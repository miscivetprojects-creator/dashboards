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27480" documentId="8_{21E78461-8472-4FC4-9B9A-C4551723630E}" xr6:coauthVersionLast="47" xr6:coauthVersionMax="47" xr10:uidLastSave="{28A7EFB7-11A3-4D81-900B-C20ADEB9838F}"/>
  <bookViews>
    <workbookView xWindow="-60" yWindow="-60" windowWidth="15480" windowHeight="11640" firstSheet="38" activeTab="38" xr2:uid="{00000000-000D-0000-FFFF-FFFF00000000}"/>
  </bookViews>
  <sheets>
    <sheet name=" MIs" sheetId="84" state="hidden" r:id="rId1"/>
    <sheet name=" May-2026" sheetId="56" r:id="rId2"/>
    <sheet name="HO(DG)" sheetId="81" r:id="rId3"/>
    <sheet name="Khammam-1" sheetId="50" r:id="rId4"/>
    <sheet name="Khammam-2" sheetId="47" r:id="rId5"/>
    <sheet name="Khammam-3" sheetId="82" r:id="rId6"/>
    <sheet name=" Khammam&amp;Cash" sheetId="95" r:id="rId7"/>
    <sheet name="Jadcherla-3" sheetId="72" r:id="rId8"/>
    <sheet name="Jadcherla-4" sheetId="78" r:id="rId9"/>
    <sheet name=" Jadcherla" sheetId="94" r:id="rId10"/>
    <sheet name=" Sangareddy-2" sheetId="89" r:id="rId11"/>
    <sheet name=" Sangareddy-3" sheetId="93" r:id="rId12"/>
    <sheet name="Narayankhed" sheetId="98" r:id="rId13"/>
    <sheet name="Dindi" sheetId="58" r:id="rId14"/>
    <sheet name="Amalapuram" sheetId="65" r:id="rId15"/>
    <sheet name="Madana palli" sheetId="71" r:id="rId16"/>
    <sheet name="Kadur" sheetId="7" r:id="rId17"/>
    <sheet name="YG Gudda-2" sheetId="62" r:id="rId18"/>
    <sheet name="Hosadurga -2" sheetId="52" r:id="rId19"/>
    <sheet name="Hiriyur(VJNL)" sheetId="3" r:id="rId20"/>
    <sheet name="Malebenur(KUWSDB)" sheetId="16" r:id="rId21"/>
    <sheet name="Molakamuru" sheetId="63" r:id="rId22"/>
    <sheet name="Chellakere -1" sheetId="68" r:id="rId23"/>
    <sheet name=" Chellakere-PKG-9" sheetId="73" r:id="rId24"/>
    <sheet name=" Chennagiri" sheetId="74" r:id="rId25"/>
    <sheet name="Khanapur" sheetId="24" r:id="rId26"/>
    <sheet name="Munavali-2" sheetId="80" r:id="rId27"/>
    <sheet name=" Munavali" sheetId="99" r:id="rId28"/>
    <sheet name="Borgaon" sheetId="10" r:id="rId29"/>
    <sheet name="Ugar,Khagwad,Kudichi" sheetId="11" r:id="rId30"/>
    <sheet name="shedbal" sheetId="101" r:id="rId31"/>
    <sheet name="Kabbur" sheetId="40" r:id="rId32"/>
    <sheet name="kumta" sheetId="25" r:id="rId33"/>
    <sheet name=" Jalgaon-1" sheetId="22" r:id="rId34"/>
    <sheet name="Jalgoan-2" sheetId="85" r:id="rId35"/>
    <sheet name=" Jalgaon-3" sheetId="97" r:id="rId36"/>
    <sheet name="Jalgaon-4" sheetId="96" r:id="rId37"/>
    <sheet name=" Jalgaon-5 c" sheetId="92" r:id="rId38"/>
    <sheet name="MKBD" sheetId="14" r:id="rId39"/>
    <sheet name=" Haveri-2" sheetId="75" r:id="rId40"/>
    <sheet name=" Guttal-2" sheetId="79" r:id="rId41"/>
    <sheet name="Rattihali-2" sheetId="76" r:id="rId42"/>
    <sheet name="Gajendragada" sheetId="12" r:id="rId43"/>
    <sheet name="Gokak Dharwad PKG 3" sheetId="41" r:id="rId44"/>
    <sheet name="Ankalgi" sheetId="60" r:id="rId45"/>
    <sheet name=" TR Associates" sheetId="83" r:id="rId46"/>
    <sheet name="SHRI DESHPANDE" sheetId="100" r:id="rId47"/>
    <sheet name=" Shankeshwar" sheetId="57" r:id="rId48"/>
    <sheet name=" Talikote" sheetId="26" r:id="rId49"/>
    <sheet name="Chadchan" sheetId="9" r:id="rId50"/>
    <sheet name="Sindagi" sheetId="33" r:id="rId51"/>
    <sheet name="Muddebhihal-2" sheetId="69" r:id="rId52"/>
    <sheet name="Alemela" sheetId="35" r:id="rId53"/>
    <sheet name="Nalatwad" sheetId="51" r:id="rId54"/>
    <sheet name="Srirangapatna" sheetId="19" r:id="rId55"/>
    <sheet name=" BPCL May-26" sheetId="44" r:id="rId56"/>
    <sheet name=" HPCL May -26" sheetId="45" r:id="rId57"/>
    <sheet name="Sheet1" sheetId="86" r:id="rId58"/>
  </sheets>
  <definedNames>
    <definedName name="_xlnm._FilterDatabase" localSheetId="55" hidden="1">' BPCL May-26'!$A$4:$U$4</definedName>
    <definedName name="_xlnm._FilterDatabase" localSheetId="56" hidden="1">' HPCL May -26'!$A$1:$P$40</definedName>
    <definedName name="_xlnm._FilterDatabase" localSheetId="37" hidden="1">' Jalgaon-5 c'!$A$2:$N$2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4" l="1"/>
  <c r="K25" i="14"/>
  <c r="K26" i="14"/>
  <c r="K27" i="14"/>
  <c r="K28" i="14"/>
  <c r="K29" i="14"/>
  <c r="K30" i="14"/>
  <c r="K31" i="14"/>
  <c r="K32" i="14"/>
  <c r="K33" i="14"/>
  <c r="K34" i="14"/>
  <c r="K35" i="14"/>
  <c r="K36" i="14"/>
  <c r="J27" i="14"/>
  <c r="J28" i="14"/>
  <c r="J29" i="14"/>
  <c r="J30" i="14"/>
  <c r="J31" i="14"/>
  <c r="J32" i="14"/>
  <c r="J33" i="14"/>
  <c r="J34" i="14"/>
  <c r="J35" i="14"/>
  <c r="K21" i="14"/>
  <c r="K20" i="14"/>
  <c r="O13" i="47"/>
  <c r="M40" i="47"/>
  <c r="G18" i="26"/>
  <c r="K18" i="26"/>
  <c r="M18" i="26"/>
  <c r="K32" i="93"/>
  <c r="N56" i="45"/>
  <c r="N57" i="45"/>
  <c r="N58" i="45"/>
  <c r="N59" i="45"/>
  <c r="N60" i="45"/>
  <c r="N61" i="45"/>
  <c r="N62" i="45"/>
  <c r="N63" i="45"/>
  <c r="N64" i="45"/>
  <c r="N65" i="45"/>
  <c r="N66" i="45"/>
  <c r="N67" i="45"/>
  <c r="N68" i="45"/>
  <c r="N69" i="45"/>
  <c r="N70" i="45"/>
  <c r="N71" i="45"/>
  <c r="N72" i="45"/>
  <c r="N73" i="45"/>
  <c r="N74" i="45"/>
  <c r="N75" i="45"/>
  <c r="N76" i="45"/>
  <c r="N77" i="45"/>
  <c r="N78" i="45"/>
  <c r="N79" i="45"/>
  <c r="N80" i="45"/>
  <c r="N81" i="45"/>
  <c r="N82" i="45"/>
  <c r="N83" i="45"/>
  <c r="N84" i="45"/>
  <c r="N85" i="45"/>
  <c r="N86" i="45"/>
  <c r="N87" i="45"/>
  <c r="N88" i="45"/>
  <c r="N89" i="45"/>
  <c r="N90" i="45"/>
  <c r="N91" i="45"/>
  <c r="N92" i="45"/>
  <c r="N93" i="45"/>
  <c r="N94" i="45"/>
  <c r="N95" i="45"/>
  <c r="N96" i="45"/>
  <c r="N97" i="45"/>
  <c r="N98" i="45"/>
  <c r="N99" i="45"/>
  <c r="N100" i="45"/>
  <c r="G159" i="44"/>
  <c r="G160" i="44"/>
  <c r="J141" i="44"/>
  <c r="J142" i="44"/>
  <c r="J143" i="44"/>
  <c r="J144" i="44"/>
  <c r="J145" i="44"/>
  <c r="J146" i="44"/>
  <c r="J147" i="44"/>
  <c r="J148" i="44"/>
  <c r="J149" i="44"/>
  <c r="J150" i="44"/>
  <c r="J151" i="44"/>
  <c r="J152" i="44"/>
  <c r="J153" i="44"/>
  <c r="J154" i="44"/>
  <c r="J155" i="44"/>
  <c r="J156" i="44"/>
  <c r="J157" i="44"/>
  <c r="J158" i="44"/>
  <c r="J159" i="44"/>
  <c r="J160" i="44"/>
  <c r="G141" i="44"/>
  <c r="G142" i="44"/>
  <c r="G143" i="44"/>
  <c r="G144" i="44"/>
  <c r="G145" i="44"/>
  <c r="G146" i="44"/>
  <c r="G147" i="44"/>
  <c r="G148" i="44"/>
  <c r="G149" i="44"/>
  <c r="G150" i="44"/>
  <c r="G151" i="44"/>
  <c r="G152" i="44"/>
  <c r="G153" i="44"/>
  <c r="G154" i="44"/>
  <c r="G155" i="44"/>
  <c r="G156" i="44"/>
  <c r="G157" i="44"/>
  <c r="G158" i="44"/>
  <c r="J133" i="44"/>
  <c r="J134" i="44"/>
  <c r="J135" i="44"/>
  <c r="J136" i="44"/>
  <c r="J137" i="44"/>
  <c r="J138" i="44"/>
  <c r="J139" i="44"/>
  <c r="J140" i="44"/>
  <c r="G133" i="44"/>
  <c r="G134" i="44"/>
  <c r="G135" i="44"/>
  <c r="G136" i="44"/>
  <c r="G137" i="44"/>
  <c r="G138" i="44"/>
  <c r="G139" i="44"/>
  <c r="G140" i="44"/>
  <c r="J104" i="44"/>
  <c r="J105" i="44"/>
  <c r="J106" i="44"/>
  <c r="J107" i="44"/>
  <c r="J108" i="44"/>
  <c r="J109" i="44"/>
  <c r="J110" i="44"/>
  <c r="J111" i="44"/>
  <c r="J112" i="44"/>
  <c r="J113" i="44"/>
  <c r="J114" i="44"/>
  <c r="J115" i="44"/>
  <c r="J116" i="44"/>
  <c r="J117" i="44"/>
  <c r="J118" i="44"/>
  <c r="J119" i="44"/>
  <c r="J120" i="44"/>
  <c r="J121" i="44"/>
  <c r="J122" i="44"/>
  <c r="J123" i="44"/>
  <c r="J124" i="44"/>
  <c r="J125" i="44"/>
  <c r="J126" i="44"/>
  <c r="J127" i="44"/>
  <c r="J128" i="44"/>
  <c r="J129" i="44"/>
  <c r="J130" i="44"/>
  <c r="J131" i="44"/>
  <c r="J132" i="44"/>
  <c r="G103" i="44"/>
  <c r="G104" i="44"/>
  <c r="G105" i="44"/>
  <c r="G106" i="44"/>
  <c r="G107" i="44"/>
  <c r="G108" i="44"/>
  <c r="G109" i="44"/>
  <c r="G110" i="44"/>
  <c r="G111" i="44"/>
  <c r="G112" i="44"/>
  <c r="G113" i="44"/>
  <c r="G114" i="44"/>
  <c r="G115" i="44"/>
  <c r="G116" i="44"/>
  <c r="G117" i="44"/>
  <c r="G118" i="44"/>
  <c r="G119" i="44"/>
  <c r="G120" i="44"/>
  <c r="G121" i="44"/>
  <c r="G122" i="44"/>
  <c r="G123" i="44"/>
  <c r="G124" i="44"/>
  <c r="G125" i="44"/>
  <c r="G126" i="44"/>
  <c r="G127" i="44"/>
  <c r="G128" i="44"/>
  <c r="G129" i="44"/>
  <c r="G130" i="44"/>
  <c r="G131" i="44"/>
  <c r="G132" i="44"/>
  <c r="G98" i="44"/>
  <c r="G99" i="44"/>
  <c r="G100" i="44"/>
  <c r="G101" i="44"/>
  <c r="G102" i="44"/>
  <c r="J95" i="44"/>
  <c r="J96" i="44"/>
  <c r="J97" i="44"/>
  <c r="J98" i="44"/>
  <c r="J99" i="44"/>
  <c r="J100" i="44"/>
  <c r="J101" i="44"/>
  <c r="J102" i="44"/>
  <c r="J103" i="44"/>
  <c r="G95" i="44"/>
  <c r="G96" i="44"/>
  <c r="G97" i="44"/>
  <c r="E37" i="11"/>
  <c r="M27" i="75"/>
  <c r="M28" i="75"/>
  <c r="M29" i="75"/>
  <c r="M30" i="75"/>
  <c r="M31" i="75"/>
  <c r="M32" i="75"/>
  <c r="M33" i="75"/>
  <c r="M34" i="75"/>
  <c r="M35" i="75"/>
  <c r="M36" i="75"/>
  <c r="M37" i="75"/>
  <c r="M38" i="75"/>
  <c r="M39" i="75"/>
  <c r="M40" i="75"/>
  <c r="M41" i="75"/>
  <c r="M26" i="75"/>
  <c r="L28" i="75"/>
  <c r="G28" i="75"/>
  <c r="K28" i="75"/>
  <c r="E42" i="75"/>
  <c r="J26" i="56"/>
  <c r="I26" i="56"/>
  <c r="G26" i="56"/>
  <c r="F26" i="56"/>
  <c r="D26" i="56"/>
  <c r="J35" i="100"/>
  <c r="H35" i="100"/>
  <c r="G35" i="100"/>
  <c r="E35" i="100"/>
  <c r="K35" i="100"/>
  <c r="M34" i="100"/>
  <c r="J29" i="56"/>
  <c r="I29" i="56"/>
  <c r="G29" i="56"/>
  <c r="F29" i="56"/>
  <c r="E29" i="56"/>
  <c r="H29" i="56" s="1"/>
  <c r="K29" i="56" s="1"/>
  <c r="D29" i="56"/>
  <c r="L35" i="101"/>
  <c r="H35" i="101"/>
  <c r="E35" i="101"/>
  <c r="J34" i="101"/>
  <c r="G34" i="101"/>
  <c r="K34" i="101" s="1"/>
  <c r="J33" i="101"/>
  <c r="G33" i="101"/>
  <c r="K33" i="101" s="1"/>
  <c r="J32" i="101"/>
  <c r="G32" i="101"/>
  <c r="K32" i="101" s="1"/>
  <c r="J31" i="101"/>
  <c r="G31" i="101"/>
  <c r="K31" i="101" s="1"/>
  <c r="J30" i="101"/>
  <c r="G30" i="101"/>
  <c r="K30" i="101" s="1"/>
  <c r="J29" i="101"/>
  <c r="G29" i="101"/>
  <c r="K29" i="101" s="1"/>
  <c r="J28" i="101"/>
  <c r="G28" i="101"/>
  <c r="K28" i="101" s="1"/>
  <c r="J27" i="101"/>
  <c r="G27" i="101"/>
  <c r="K27" i="101" s="1"/>
  <c r="J26" i="101"/>
  <c r="G26" i="101"/>
  <c r="K26" i="101" s="1"/>
  <c r="J25" i="101"/>
  <c r="G25" i="101"/>
  <c r="K25" i="101" s="1"/>
  <c r="J24" i="101"/>
  <c r="G24" i="101"/>
  <c r="K24" i="101" s="1"/>
  <c r="J23" i="101"/>
  <c r="G23" i="101"/>
  <c r="K23" i="101" s="1"/>
  <c r="J22" i="101"/>
  <c r="G22" i="101"/>
  <c r="K22" i="101" s="1"/>
  <c r="J21" i="101"/>
  <c r="G21" i="101"/>
  <c r="K21" i="101" s="1"/>
  <c r="J20" i="101"/>
  <c r="G20" i="101"/>
  <c r="K20" i="101" s="1"/>
  <c r="J19" i="101"/>
  <c r="G19" i="101"/>
  <c r="K19" i="101" s="1"/>
  <c r="J18" i="101"/>
  <c r="G18" i="101"/>
  <c r="K18" i="101" s="1"/>
  <c r="J17" i="101"/>
  <c r="G17" i="101"/>
  <c r="K17" i="101" s="1"/>
  <c r="J16" i="101"/>
  <c r="G16" i="101"/>
  <c r="K16" i="101" s="1"/>
  <c r="J15" i="101"/>
  <c r="G15" i="101"/>
  <c r="K15" i="101" s="1"/>
  <c r="J14" i="101"/>
  <c r="G14" i="101"/>
  <c r="K14" i="101" s="1"/>
  <c r="J13" i="101"/>
  <c r="G13" i="101"/>
  <c r="K13" i="101" s="1"/>
  <c r="J12" i="101"/>
  <c r="G12" i="101"/>
  <c r="K12" i="101" s="1"/>
  <c r="J11" i="101"/>
  <c r="G11" i="101"/>
  <c r="K11" i="101" s="1"/>
  <c r="J10" i="101"/>
  <c r="G10" i="101"/>
  <c r="K10" i="101" s="1"/>
  <c r="J9" i="101"/>
  <c r="G9" i="101"/>
  <c r="K9" i="101" s="1"/>
  <c r="J8" i="101"/>
  <c r="G8" i="101"/>
  <c r="K8" i="101" s="1"/>
  <c r="J7" i="101"/>
  <c r="G7" i="101"/>
  <c r="K7" i="101" s="1"/>
  <c r="J6" i="101"/>
  <c r="G6" i="101"/>
  <c r="K6" i="101" s="1"/>
  <c r="J5" i="101"/>
  <c r="G5" i="101"/>
  <c r="K5" i="101" s="1"/>
  <c r="J4" i="101"/>
  <c r="J35" i="101" s="1"/>
  <c r="G4" i="101"/>
  <c r="J102" i="65"/>
  <c r="H102" i="65"/>
  <c r="G102" i="65"/>
  <c r="E102" i="65"/>
  <c r="J45" i="56"/>
  <c r="I45" i="56"/>
  <c r="G45" i="56"/>
  <c r="F45" i="56"/>
  <c r="E45" i="56"/>
  <c r="H45" i="56" s="1"/>
  <c r="D45" i="56"/>
  <c r="K34" i="81"/>
  <c r="M33" i="81"/>
  <c r="M34" i="81"/>
  <c r="M35" i="81"/>
  <c r="M36" i="81"/>
  <c r="G34" i="81"/>
  <c r="J34" i="100"/>
  <c r="G34" i="100"/>
  <c r="K34" i="100" s="1"/>
  <c r="G33" i="35"/>
  <c r="G34" i="35"/>
  <c r="G33" i="51"/>
  <c r="G34" i="51"/>
  <c r="E33" i="93"/>
  <c r="G36" i="14"/>
  <c r="K35" i="81"/>
  <c r="G31" i="81"/>
  <c r="K31" i="81" s="1"/>
  <c r="L31" i="81" s="1"/>
  <c r="G32" i="81"/>
  <c r="K32" i="81" s="1"/>
  <c r="L32" i="81" s="1"/>
  <c r="G33" i="81"/>
  <c r="K33" i="81" s="1"/>
  <c r="L33" i="81" s="1"/>
  <c r="J27" i="11"/>
  <c r="K27" i="11" s="1"/>
  <c r="E35" i="10"/>
  <c r="G30" i="35"/>
  <c r="G31" i="35"/>
  <c r="G32" i="35"/>
  <c r="P3" i="26"/>
  <c r="L14" i="95"/>
  <c r="L15" i="95"/>
  <c r="L16" i="95"/>
  <c r="L13" i="96"/>
  <c r="G34" i="92"/>
  <c r="G33" i="92"/>
  <c r="G32" i="92"/>
  <c r="K32" i="25"/>
  <c r="G32" i="25"/>
  <c r="G30" i="81"/>
  <c r="K30" i="81" s="1"/>
  <c r="K20" i="52"/>
  <c r="K21" i="52"/>
  <c r="K22" i="52"/>
  <c r="K23" i="52"/>
  <c r="K24" i="52"/>
  <c r="K25" i="52"/>
  <c r="K26" i="52"/>
  <c r="K27" i="52"/>
  <c r="K28" i="52"/>
  <c r="K29" i="52"/>
  <c r="K30" i="52"/>
  <c r="K32" i="52"/>
  <c r="K33" i="52"/>
  <c r="K34" i="52"/>
  <c r="P32" i="11"/>
  <c r="J13" i="25"/>
  <c r="G13" i="25"/>
  <c r="K13" i="25" s="1"/>
  <c r="G27" i="24"/>
  <c r="G28" i="24"/>
  <c r="L30" i="81"/>
  <c r="G28" i="81"/>
  <c r="K28" i="81" s="1"/>
  <c r="L28" i="81" s="1"/>
  <c r="G29" i="81"/>
  <c r="K29" i="81" s="1"/>
  <c r="L29" i="81" s="1"/>
  <c r="K23" i="12"/>
  <c r="G20" i="12"/>
  <c r="G21" i="12"/>
  <c r="G22" i="12"/>
  <c r="G23" i="12"/>
  <c r="G24" i="12"/>
  <c r="G31" i="75"/>
  <c r="K31" i="75" s="1"/>
  <c r="G27" i="81"/>
  <c r="K27" i="81" s="1"/>
  <c r="L27" i="81" s="1"/>
  <c r="G26" i="24"/>
  <c r="G25" i="24"/>
  <c r="L35" i="100"/>
  <c r="J33" i="100"/>
  <c r="G33" i="100"/>
  <c r="K33" i="100" s="1"/>
  <c r="J32" i="100"/>
  <c r="G32" i="100"/>
  <c r="K32" i="100" s="1"/>
  <c r="J31" i="100"/>
  <c r="G31" i="100"/>
  <c r="K31" i="100" s="1"/>
  <c r="J30" i="100"/>
  <c r="G30" i="100"/>
  <c r="K30" i="100" s="1"/>
  <c r="J29" i="100"/>
  <c r="G29" i="100"/>
  <c r="K29" i="100" s="1"/>
  <c r="J28" i="100"/>
  <c r="G28" i="100"/>
  <c r="K28" i="100" s="1"/>
  <c r="J27" i="100"/>
  <c r="G27" i="100"/>
  <c r="K27" i="100" s="1"/>
  <c r="J26" i="100"/>
  <c r="G26" i="100"/>
  <c r="K26" i="100" s="1"/>
  <c r="J25" i="100"/>
  <c r="G25" i="100"/>
  <c r="K25" i="100" s="1"/>
  <c r="J24" i="100"/>
  <c r="G24" i="100"/>
  <c r="K24" i="100" s="1"/>
  <c r="J23" i="100"/>
  <c r="G23" i="100"/>
  <c r="K23" i="100" s="1"/>
  <c r="J22" i="100"/>
  <c r="G22" i="100"/>
  <c r="K22" i="100" s="1"/>
  <c r="J21" i="100"/>
  <c r="G21" i="100"/>
  <c r="K21" i="100" s="1"/>
  <c r="J20" i="100"/>
  <c r="G20" i="100"/>
  <c r="K20" i="100" s="1"/>
  <c r="J19" i="100"/>
  <c r="G19" i="100"/>
  <c r="K19" i="100" s="1"/>
  <c r="J18" i="100"/>
  <c r="G18" i="100"/>
  <c r="K18" i="100" s="1"/>
  <c r="J17" i="100"/>
  <c r="G17" i="100"/>
  <c r="K17" i="100" s="1"/>
  <c r="J16" i="100"/>
  <c r="G16" i="100"/>
  <c r="K16" i="100" s="1"/>
  <c r="J15" i="100"/>
  <c r="G15" i="100"/>
  <c r="K15" i="100" s="1"/>
  <c r="J14" i="100"/>
  <c r="G14" i="100"/>
  <c r="K14" i="100" s="1"/>
  <c r="J13" i="100"/>
  <c r="G13" i="100"/>
  <c r="K13" i="100" s="1"/>
  <c r="J12" i="100"/>
  <c r="G12" i="100"/>
  <c r="K12" i="100" s="1"/>
  <c r="J11" i="100"/>
  <c r="G11" i="100"/>
  <c r="K11" i="100" s="1"/>
  <c r="J10" i="100"/>
  <c r="G10" i="100"/>
  <c r="K10" i="100" s="1"/>
  <c r="J9" i="100"/>
  <c r="G9" i="100"/>
  <c r="K9" i="100" s="1"/>
  <c r="J8" i="100"/>
  <c r="G8" i="100"/>
  <c r="K8" i="100" s="1"/>
  <c r="J7" i="100"/>
  <c r="G7" i="100"/>
  <c r="K7" i="100" s="1"/>
  <c r="J6" i="100"/>
  <c r="G6" i="100"/>
  <c r="K6" i="100" s="1"/>
  <c r="J5" i="100"/>
  <c r="G5" i="100"/>
  <c r="K5" i="100" s="1"/>
  <c r="J4" i="100"/>
  <c r="G4" i="100"/>
  <c r="G24" i="24"/>
  <c r="G26" i="81"/>
  <c r="K26" i="81" s="1"/>
  <c r="L26" i="81" s="1"/>
  <c r="G25" i="81"/>
  <c r="K25" i="81" s="1"/>
  <c r="L25" i="81" s="1"/>
  <c r="G25" i="75"/>
  <c r="K25" i="75" s="1"/>
  <c r="L25" i="75" s="1"/>
  <c r="G23" i="75"/>
  <c r="G24" i="75"/>
  <c r="K24" i="75" s="1"/>
  <c r="L24" i="75" s="1"/>
  <c r="G24" i="3"/>
  <c r="G23" i="24"/>
  <c r="G24" i="81"/>
  <c r="K24" i="81" s="1"/>
  <c r="L24" i="81" s="1"/>
  <c r="J24" i="85"/>
  <c r="K24" i="85"/>
  <c r="G24" i="85"/>
  <c r="M23" i="85"/>
  <c r="M24" i="85"/>
  <c r="M25" i="85"/>
  <c r="M26" i="85"/>
  <c r="M27" i="85"/>
  <c r="L23" i="73"/>
  <c r="K23" i="73"/>
  <c r="G23" i="73"/>
  <c r="G23" i="99"/>
  <c r="K23" i="99"/>
  <c r="M23" i="99"/>
  <c r="J16" i="99"/>
  <c r="J17" i="99"/>
  <c r="J18" i="99"/>
  <c r="J19" i="99"/>
  <c r="L39" i="99"/>
  <c r="H39" i="99"/>
  <c r="E39" i="99"/>
  <c r="J38" i="99"/>
  <c r="G38" i="99"/>
  <c r="K38" i="99" s="1"/>
  <c r="J37" i="99"/>
  <c r="G37" i="99"/>
  <c r="K37" i="99" s="1"/>
  <c r="J36" i="99"/>
  <c r="G36" i="99"/>
  <c r="K36" i="99" s="1"/>
  <c r="J35" i="99"/>
  <c r="G35" i="99"/>
  <c r="K35" i="99" s="1"/>
  <c r="J34" i="99"/>
  <c r="G34" i="99"/>
  <c r="K34" i="99" s="1"/>
  <c r="J33" i="99"/>
  <c r="G33" i="99"/>
  <c r="K33" i="99" s="1"/>
  <c r="J32" i="99"/>
  <c r="G32" i="99"/>
  <c r="K32" i="99" s="1"/>
  <c r="J31" i="99"/>
  <c r="G31" i="99"/>
  <c r="K31" i="99" s="1"/>
  <c r="J30" i="99"/>
  <c r="G30" i="99"/>
  <c r="K30" i="99" s="1"/>
  <c r="J29" i="99"/>
  <c r="G29" i="99"/>
  <c r="K29" i="99" s="1"/>
  <c r="J28" i="99"/>
  <c r="G28" i="99"/>
  <c r="K28" i="99" s="1"/>
  <c r="J27" i="99"/>
  <c r="G27" i="99"/>
  <c r="K27" i="99" s="1"/>
  <c r="J26" i="99"/>
  <c r="G26" i="99"/>
  <c r="K26" i="99" s="1"/>
  <c r="J25" i="99"/>
  <c r="G25" i="99"/>
  <c r="K25" i="99" s="1"/>
  <c r="J24" i="99"/>
  <c r="G24" i="99"/>
  <c r="K24" i="99" s="1"/>
  <c r="M24" i="99" s="1"/>
  <c r="M25" i="99" s="1"/>
  <c r="M26" i="99" s="1"/>
  <c r="J22" i="99"/>
  <c r="G22" i="99"/>
  <c r="K22" i="99" s="1"/>
  <c r="J21" i="99"/>
  <c r="G21" i="99"/>
  <c r="K21" i="99" s="1"/>
  <c r="J20" i="99"/>
  <c r="G20" i="99"/>
  <c r="K20" i="99" s="1"/>
  <c r="G19" i="99"/>
  <c r="K19" i="99" s="1"/>
  <c r="G18" i="99"/>
  <c r="K18" i="99" s="1"/>
  <c r="G17" i="99"/>
  <c r="K17" i="99" s="1"/>
  <c r="G16" i="99"/>
  <c r="K16" i="99" s="1"/>
  <c r="J15" i="99"/>
  <c r="G15" i="99"/>
  <c r="K15" i="99" s="1"/>
  <c r="J14" i="99"/>
  <c r="G14" i="99"/>
  <c r="K14" i="99" s="1"/>
  <c r="J13" i="99"/>
  <c r="G13" i="99"/>
  <c r="K13" i="99" s="1"/>
  <c r="J12" i="99"/>
  <c r="G12" i="99"/>
  <c r="K12" i="99" s="1"/>
  <c r="J11" i="99"/>
  <c r="G11" i="99"/>
  <c r="K11" i="99" s="1"/>
  <c r="R10" i="99"/>
  <c r="J10" i="99"/>
  <c r="G10" i="99"/>
  <c r="K10" i="99" s="1"/>
  <c r="J9" i="99"/>
  <c r="G9" i="99"/>
  <c r="K9" i="99" s="1"/>
  <c r="J8" i="99"/>
  <c r="G8" i="99"/>
  <c r="K8" i="99" s="1"/>
  <c r="J7" i="99"/>
  <c r="G7" i="99"/>
  <c r="K7" i="99" s="1"/>
  <c r="J6" i="99"/>
  <c r="G6" i="99"/>
  <c r="K6" i="99" s="1"/>
  <c r="J5" i="99"/>
  <c r="G5" i="99"/>
  <c r="K5" i="99" s="1"/>
  <c r="J4" i="99"/>
  <c r="J39" i="99" s="1"/>
  <c r="G4" i="99"/>
  <c r="G21" i="24"/>
  <c r="G22" i="24"/>
  <c r="G34" i="65"/>
  <c r="G35" i="65"/>
  <c r="G36" i="65"/>
  <c r="G37" i="65"/>
  <c r="G38" i="65"/>
  <c r="G33" i="65"/>
  <c r="K38" i="65"/>
  <c r="J26" i="65"/>
  <c r="J27" i="65"/>
  <c r="J28" i="65"/>
  <c r="J29" i="65"/>
  <c r="J30" i="65"/>
  <c r="J31" i="65"/>
  <c r="K31" i="65" s="1"/>
  <c r="J32" i="65"/>
  <c r="K32" i="65" s="1"/>
  <c r="J33" i="65"/>
  <c r="K33" i="65" s="1"/>
  <c r="J34" i="65"/>
  <c r="K34" i="65" s="1"/>
  <c r="J35" i="65"/>
  <c r="K35" i="65" s="1"/>
  <c r="J36" i="65"/>
  <c r="K36" i="65" s="1"/>
  <c r="L36" i="65" s="1"/>
  <c r="J37" i="65"/>
  <c r="K37" i="65" s="1"/>
  <c r="J25" i="65"/>
  <c r="G23" i="81"/>
  <c r="K23" i="81" s="1"/>
  <c r="L23" i="81" s="1"/>
  <c r="L17" i="98"/>
  <c r="L18" i="98"/>
  <c r="L19" i="98"/>
  <c r="L20" i="98"/>
  <c r="L21" i="98"/>
  <c r="L22" i="98"/>
  <c r="L23" i="98"/>
  <c r="K16" i="98"/>
  <c r="K17" i="98"/>
  <c r="K18" i="98"/>
  <c r="K19" i="98"/>
  <c r="K20" i="98"/>
  <c r="K21" i="98"/>
  <c r="K22" i="98"/>
  <c r="L5" i="45"/>
  <c r="L6" i="45"/>
  <c r="L7" i="45"/>
  <c r="L8" i="45"/>
  <c r="L9" i="45"/>
  <c r="L10" i="45"/>
  <c r="L11" i="45"/>
  <c r="L12" i="45"/>
  <c r="L13" i="45"/>
  <c r="L14" i="45"/>
  <c r="L15" i="45"/>
  <c r="L16" i="45"/>
  <c r="L17" i="45"/>
  <c r="L18" i="45"/>
  <c r="L19" i="45"/>
  <c r="L20" i="45"/>
  <c r="L21" i="45"/>
  <c r="L22" i="45"/>
  <c r="L23" i="45"/>
  <c r="L24" i="45"/>
  <c r="L25" i="45"/>
  <c r="L26" i="45"/>
  <c r="L27" i="45"/>
  <c r="L28" i="45"/>
  <c r="L29" i="45"/>
  <c r="L30" i="45"/>
  <c r="L31" i="45"/>
  <c r="L32" i="45"/>
  <c r="L33" i="45"/>
  <c r="L34" i="45"/>
  <c r="L35" i="45"/>
  <c r="L36" i="45"/>
  <c r="L37" i="45"/>
  <c r="L38" i="45"/>
  <c r="L39" i="45"/>
  <c r="L40" i="45"/>
  <c r="L41" i="45"/>
  <c r="L42" i="45"/>
  <c r="L43" i="45"/>
  <c r="L44" i="45"/>
  <c r="L45" i="45"/>
  <c r="L46" i="45"/>
  <c r="L47" i="45"/>
  <c r="L48" i="45"/>
  <c r="L49" i="45"/>
  <c r="L50" i="45"/>
  <c r="L51" i="45"/>
  <c r="L52" i="45"/>
  <c r="L53" i="45"/>
  <c r="L54" i="45"/>
  <c r="L55" i="45"/>
  <c r="L56" i="45"/>
  <c r="L57" i="45"/>
  <c r="L58" i="45"/>
  <c r="L13" i="95"/>
  <c r="K20" i="81"/>
  <c r="L20" i="81"/>
  <c r="K21" i="81"/>
  <c r="L21" i="81"/>
  <c r="G22" i="81"/>
  <c r="K22" i="81" s="1"/>
  <c r="L22" i="81" s="1"/>
  <c r="J25" i="76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39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G74" i="44"/>
  <c r="G75" i="44"/>
  <c r="G76" i="44"/>
  <c r="G77" i="44"/>
  <c r="G78" i="44"/>
  <c r="K5" i="44"/>
  <c r="K6" i="44"/>
  <c r="K7" i="44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2" i="44"/>
  <c r="K43" i="44"/>
  <c r="K44" i="44"/>
  <c r="K45" i="44"/>
  <c r="K46" i="44"/>
  <c r="K47" i="44"/>
  <c r="K48" i="44"/>
  <c r="K49" i="44"/>
  <c r="K50" i="44"/>
  <c r="K51" i="44"/>
  <c r="K52" i="44"/>
  <c r="K53" i="44"/>
  <c r="K54" i="44"/>
  <c r="K55" i="44"/>
  <c r="K56" i="44"/>
  <c r="K57" i="44"/>
  <c r="K58" i="44"/>
  <c r="K59" i="44"/>
  <c r="K60" i="44"/>
  <c r="K61" i="44"/>
  <c r="K62" i="44"/>
  <c r="K63" i="44"/>
  <c r="K64" i="44"/>
  <c r="K65" i="44"/>
  <c r="K66" i="44"/>
  <c r="K67" i="44"/>
  <c r="K68" i="44"/>
  <c r="K69" i="44"/>
  <c r="K70" i="44"/>
  <c r="K71" i="44"/>
  <c r="K72" i="44"/>
  <c r="K73" i="44"/>
  <c r="K74" i="44"/>
  <c r="K75" i="44"/>
  <c r="K76" i="44"/>
  <c r="K77" i="44"/>
  <c r="K78" i="44"/>
  <c r="M5" i="44"/>
  <c r="M6" i="44"/>
  <c r="M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M37" i="44"/>
  <c r="M38" i="44"/>
  <c r="M39" i="44"/>
  <c r="M40" i="44"/>
  <c r="M41" i="44"/>
  <c r="M42" i="44"/>
  <c r="M43" i="44"/>
  <c r="M44" i="44"/>
  <c r="M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G82" i="44"/>
  <c r="K82" i="44" s="1"/>
  <c r="M19" i="50"/>
  <c r="M20" i="50"/>
  <c r="J19" i="24"/>
  <c r="G20" i="24"/>
  <c r="G19" i="24"/>
  <c r="J21" i="11"/>
  <c r="K21" i="11" s="1"/>
  <c r="J19" i="75"/>
  <c r="J20" i="75"/>
  <c r="J57" i="44"/>
  <c r="J58" i="44"/>
  <c r="J59" i="44"/>
  <c r="J60" i="44"/>
  <c r="J61" i="44"/>
  <c r="J62" i="44"/>
  <c r="K96" i="44"/>
  <c r="K97" i="44"/>
  <c r="K98" i="44"/>
  <c r="J5" i="44"/>
  <c r="J6" i="44"/>
  <c r="J7" i="44"/>
  <c r="J8" i="44"/>
  <c r="J9" i="44"/>
  <c r="J10" i="44"/>
  <c r="J11" i="44"/>
  <c r="J12" i="44"/>
  <c r="J13" i="44"/>
  <c r="J14" i="44"/>
  <c r="J15" i="44"/>
  <c r="J16" i="44"/>
  <c r="J17" i="44"/>
  <c r="J18" i="44"/>
  <c r="J19" i="44"/>
  <c r="J20" i="44"/>
  <c r="J21" i="44"/>
  <c r="J22" i="44"/>
  <c r="J23" i="44"/>
  <c r="J24" i="44"/>
  <c r="J25" i="44"/>
  <c r="J26" i="44"/>
  <c r="J27" i="44"/>
  <c r="J28" i="44"/>
  <c r="J29" i="44"/>
  <c r="J30" i="44"/>
  <c r="J31" i="44"/>
  <c r="J32" i="44"/>
  <c r="J33" i="44"/>
  <c r="J34" i="44"/>
  <c r="J35" i="44"/>
  <c r="J36" i="44"/>
  <c r="J37" i="44"/>
  <c r="J38" i="44"/>
  <c r="J39" i="44"/>
  <c r="J40" i="44"/>
  <c r="J41" i="44"/>
  <c r="J42" i="44"/>
  <c r="J43" i="44"/>
  <c r="J44" i="44"/>
  <c r="J45" i="44"/>
  <c r="J46" i="44"/>
  <c r="J47" i="44"/>
  <c r="J48" i="44"/>
  <c r="J49" i="44"/>
  <c r="J50" i="44"/>
  <c r="J51" i="44"/>
  <c r="J52" i="44"/>
  <c r="J53" i="44"/>
  <c r="J54" i="44"/>
  <c r="J55" i="44"/>
  <c r="J56" i="44"/>
  <c r="J63" i="44"/>
  <c r="J64" i="44"/>
  <c r="J65" i="44"/>
  <c r="J66" i="44"/>
  <c r="J67" i="44"/>
  <c r="J68" i="44"/>
  <c r="J69" i="44"/>
  <c r="J70" i="44"/>
  <c r="J71" i="44"/>
  <c r="J72" i="44"/>
  <c r="J73" i="44"/>
  <c r="K16" i="50"/>
  <c r="K17" i="50"/>
  <c r="J20" i="25"/>
  <c r="G20" i="25"/>
  <c r="K20" i="25" s="1"/>
  <c r="P14" i="12"/>
  <c r="L19" i="62"/>
  <c r="L16" i="98"/>
  <c r="G17" i="24"/>
  <c r="K17" i="24"/>
  <c r="G16" i="81"/>
  <c r="K16" i="81" s="1"/>
  <c r="L16" i="81" s="1"/>
  <c r="G17" i="81"/>
  <c r="K17" i="81" s="1"/>
  <c r="L17" i="81" s="1"/>
  <c r="G18" i="81"/>
  <c r="K18" i="81" s="1"/>
  <c r="L18" i="81" s="1"/>
  <c r="G19" i="81"/>
  <c r="K19" i="81" s="1"/>
  <c r="L19" i="81" s="1"/>
  <c r="S30" i="25"/>
  <c r="T30" i="25"/>
  <c r="U30" i="25"/>
  <c r="G17" i="80"/>
  <c r="K17" i="80" s="1"/>
  <c r="J15" i="24"/>
  <c r="J16" i="24"/>
  <c r="G16" i="24"/>
  <c r="Q21" i="92"/>
  <c r="K12" i="96"/>
  <c r="L12" i="95"/>
  <c r="J10" i="24"/>
  <c r="J11" i="24"/>
  <c r="J12" i="24"/>
  <c r="J13" i="24"/>
  <c r="J14" i="24"/>
  <c r="G15" i="24"/>
  <c r="G15" i="14"/>
  <c r="K15" i="14" s="1"/>
  <c r="G16" i="14"/>
  <c r="K16" i="14" s="1"/>
  <c r="H39" i="92"/>
  <c r="F36" i="56" s="1"/>
  <c r="E39" i="92"/>
  <c r="D36" i="56"/>
  <c r="I35" i="56"/>
  <c r="G35" i="56"/>
  <c r="F35" i="56"/>
  <c r="L19" i="96"/>
  <c r="J35" i="56" s="1"/>
  <c r="J19" i="96"/>
  <c r="H19" i="96"/>
  <c r="E19" i="96"/>
  <c r="D35" i="56"/>
  <c r="L19" i="97"/>
  <c r="J34" i="56"/>
  <c r="I34" i="56"/>
  <c r="G34" i="56"/>
  <c r="F34" i="56"/>
  <c r="I11" i="56"/>
  <c r="G11" i="56"/>
  <c r="F11" i="56"/>
  <c r="I5" i="56"/>
  <c r="G5" i="56"/>
  <c r="F5" i="56"/>
  <c r="M12" i="56"/>
  <c r="E76" i="92"/>
  <c r="E75" i="92"/>
  <c r="E74" i="92"/>
  <c r="E73" i="92"/>
  <c r="E72" i="92"/>
  <c r="E71" i="92"/>
  <c r="E70" i="92"/>
  <c r="E69" i="92"/>
  <c r="E68" i="92"/>
  <c r="E78" i="92" s="1"/>
  <c r="J34" i="92"/>
  <c r="K34" i="92"/>
  <c r="L34" i="92" s="1"/>
  <c r="J33" i="92"/>
  <c r="K33" i="92"/>
  <c r="L33" i="92" s="1"/>
  <c r="J32" i="92"/>
  <c r="K32" i="92"/>
  <c r="L32" i="92" s="1"/>
  <c r="J31" i="92"/>
  <c r="G31" i="92"/>
  <c r="K31" i="92" s="1"/>
  <c r="L31" i="92" s="1"/>
  <c r="J30" i="92"/>
  <c r="G30" i="92"/>
  <c r="K30" i="92" s="1"/>
  <c r="J29" i="92"/>
  <c r="G29" i="92"/>
  <c r="K29" i="92" s="1"/>
  <c r="J28" i="92"/>
  <c r="G28" i="92"/>
  <c r="K28" i="92" s="1"/>
  <c r="J27" i="92"/>
  <c r="G27" i="92"/>
  <c r="K27" i="92" s="1"/>
  <c r="V26" i="92"/>
  <c r="J26" i="92"/>
  <c r="G26" i="92"/>
  <c r="K26" i="92" s="1"/>
  <c r="L26" i="92" s="1"/>
  <c r="V25" i="92"/>
  <c r="J25" i="92"/>
  <c r="G25" i="92"/>
  <c r="K25" i="92" s="1"/>
  <c r="V24" i="92"/>
  <c r="J24" i="92"/>
  <c r="G24" i="92"/>
  <c r="K24" i="92" s="1"/>
  <c r="L24" i="92" s="1"/>
  <c r="J23" i="92"/>
  <c r="G23" i="92"/>
  <c r="K23" i="92" s="1"/>
  <c r="L23" i="92" s="1"/>
  <c r="J22" i="92"/>
  <c r="G22" i="92"/>
  <c r="K22" i="92" s="1"/>
  <c r="L22" i="92" s="1"/>
  <c r="J21" i="92"/>
  <c r="G21" i="92"/>
  <c r="J20" i="92"/>
  <c r="G20" i="92"/>
  <c r="K20" i="92" s="1"/>
  <c r="J19" i="92"/>
  <c r="G19" i="92"/>
  <c r="K19" i="92" s="1"/>
  <c r="J18" i="92"/>
  <c r="G18" i="92"/>
  <c r="K18" i="92" s="1"/>
  <c r="J17" i="92"/>
  <c r="G17" i="92"/>
  <c r="K17" i="92" s="1"/>
  <c r="J16" i="92"/>
  <c r="G16" i="92"/>
  <c r="K16" i="92" s="1"/>
  <c r="J15" i="92"/>
  <c r="G15" i="92"/>
  <c r="K15" i="92" s="1"/>
  <c r="J14" i="92"/>
  <c r="G14" i="92"/>
  <c r="K14" i="92" s="1"/>
  <c r="J13" i="92"/>
  <c r="G13" i="92"/>
  <c r="K13" i="92" s="1"/>
  <c r="J12" i="92"/>
  <c r="G12" i="92"/>
  <c r="K12" i="92" s="1"/>
  <c r="J11" i="92"/>
  <c r="G11" i="92"/>
  <c r="K11" i="92" s="1"/>
  <c r="J10" i="92"/>
  <c r="G10" i="92"/>
  <c r="K10" i="92" s="1"/>
  <c r="J9" i="92"/>
  <c r="G9" i="92"/>
  <c r="K9" i="92" s="1"/>
  <c r="J8" i="92"/>
  <c r="G8" i="92"/>
  <c r="K8" i="92" s="1"/>
  <c r="J7" i="92"/>
  <c r="G7" i="92"/>
  <c r="K7" i="92" s="1"/>
  <c r="J6" i="92"/>
  <c r="G6" i="92"/>
  <c r="K6" i="92" s="1"/>
  <c r="J5" i="92"/>
  <c r="G5" i="92"/>
  <c r="K5" i="92" s="1"/>
  <c r="J4" i="92"/>
  <c r="J39" i="92" s="1"/>
  <c r="G36" i="56" s="1"/>
  <c r="G4" i="92"/>
  <c r="K4" i="92" s="1"/>
  <c r="M3" i="92"/>
  <c r="L14" i="98"/>
  <c r="L4" i="98"/>
  <c r="L5" i="98"/>
  <c r="L6" i="98"/>
  <c r="L7" i="98"/>
  <c r="L8" i="98"/>
  <c r="H35" i="98"/>
  <c r="E35" i="98"/>
  <c r="D11" i="56" s="1"/>
  <c r="J34" i="98"/>
  <c r="G34" i="98"/>
  <c r="K34" i="98" s="1"/>
  <c r="L34" i="98" s="1"/>
  <c r="J33" i="98"/>
  <c r="G33" i="98"/>
  <c r="K33" i="98" s="1"/>
  <c r="L33" i="98" s="1"/>
  <c r="J32" i="98"/>
  <c r="G32" i="98"/>
  <c r="K32" i="98" s="1"/>
  <c r="L32" i="98" s="1"/>
  <c r="J31" i="98"/>
  <c r="G31" i="98"/>
  <c r="K31" i="98" s="1"/>
  <c r="L31" i="98" s="1"/>
  <c r="J30" i="98"/>
  <c r="G30" i="98"/>
  <c r="K30" i="98" s="1"/>
  <c r="L30" i="98" s="1"/>
  <c r="J29" i="98"/>
  <c r="G29" i="98"/>
  <c r="K29" i="98" s="1"/>
  <c r="L29" i="98" s="1"/>
  <c r="J28" i="98"/>
  <c r="G28" i="98"/>
  <c r="K28" i="98" s="1"/>
  <c r="L28" i="98" s="1"/>
  <c r="J27" i="98"/>
  <c r="G27" i="98"/>
  <c r="K27" i="98" s="1"/>
  <c r="L27" i="98" s="1"/>
  <c r="J26" i="98"/>
  <c r="G26" i="98"/>
  <c r="K26" i="98" s="1"/>
  <c r="L26" i="98" s="1"/>
  <c r="J25" i="98"/>
  <c r="G25" i="98"/>
  <c r="K25" i="98" s="1"/>
  <c r="L25" i="98" s="1"/>
  <c r="J24" i="98"/>
  <c r="G24" i="98"/>
  <c r="J23" i="98"/>
  <c r="G23" i="98"/>
  <c r="J22" i="98"/>
  <c r="G22" i="98"/>
  <c r="J21" i="98"/>
  <c r="G21" i="98"/>
  <c r="J20" i="98"/>
  <c r="G20" i="98"/>
  <c r="J19" i="98"/>
  <c r="G19" i="98"/>
  <c r="J18" i="98"/>
  <c r="G18" i="98"/>
  <c r="L35" i="98" s="1"/>
  <c r="J11" i="56" s="1"/>
  <c r="J17" i="98"/>
  <c r="G17" i="98"/>
  <c r="J16" i="98"/>
  <c r="G16" i="98"/>
  <c r="J15" i="98"/>
  <c r="G15" i="98"/>
  <c r="K15" i="98" s="1"/>
  <c r="J14" i="98"/>
  <c r="G14" i="98"/>
  <c r="K14" i="98" s="1"/>
  <c r="J13" i="98"/>
  <c r="G13" i="98"/>
  <c r="K13" i="98" s="1"/>
  <c r="J12" i="98"/>
  <c r="G12" i="98"/>
  <c r="K12" i="98" s="1"/>
  <c r="J11" i="98"/>
  <c r="G11" i="98"/>
  <c r="K11" i="98" s="1"/>
  <c r="J10" i="98"/>
  <c r="G10" i="98"/>
  <c r="K10" i="98" s="1"/>
  <c r="J9" i="98"/>
  <c r="G9" i="98"/>
  <c r="K9" i="98" s="1"/>
  <c r="J8" i="98"/>
  <c r="G8" i="98"/>
  <c r="K8" i="98" s="1"/>
  <c r="J7" i="98"/>
  <c r="G7" i="98"/>
  <c r="K7" i="98" s="1"/>
  <c r="J6" i="98"/>
  <c r="G6" i="98"/>
  <c r="K6" i="98" s="1"/>
  <c r="J5" i="98"/>
  <c r="G5" i="98"/>
  <c r="K5" i="98" s="1"/>
  <c r="J4" i="98"/>
  <c r="J35" i="98" s="1"/>
  <c r="G4" i="98"/>
  <c r="K5" i="24"/>
  <c r="K6" i="24"/>
  <c r="K7" i="24"/>
  <c r="K8" i="24"/>
  <c r="K9" i="24"/>
  <c r="K10" i="24"/>
  <c r="K11" i="24"/>
  <c r="K12" i="24"/>
  <c r="K13" i="24"/>
  <c r="G5" i="24"/>
  <c r="G6" i="24"/>
  <c r="G7" i="24"/>
  <c r="G8" i="24"/>
  <c r="G9" i="24"/>
  <c r="G10" i="24"/>
  <c r="G11" i="24"/>
  <c r="G12" i="24"/>
  <c r="G13" i="24"/>
  <c r="G14" i="24"/>
  <c r="M15" i="62"/>
  <c r="M16" i="62"/>
  <c r="G13" i="81"/>
  <c r="K13" i="81" s="1"/>
  <c r="G14" i="81"/>
  <c r="K14" i="81" s="1"/>
  <c r="G15" i="81"/>
  <c r="K15" i="81" s="1"/>
  <c r="L15" i="81" s="1"/>
  <c r="E19" i="97"/>
  <c r="D34" i="56" s="1"/>
  <c r="J17" i="97"/>
  <c r="G17" i="97"/>
  <c r="K17" i="97" s="1"/>
  <c r="J16" i="97"/>
  <c r="G16" i="97"/>
  <c r="K16" i="97" s="1"/>
  <c r="J15" i="97"/>
  <c r="G15" i="97"/>
  <c r="K15" i="97" s="1"/>
  <c r="J14" i="97"/>
  <c r="G14" i="97"/>
  <c r="K14" i="97" s="1"/>
  <c r="J13" i="97"/>
  <c r="G13" i="97"/>
  <c r="K13" i="97" s="1"/>
  <c r="J12" i="97"/>
  <c r="G12" i="97"/>
  <c r="K12" i="97" s="1"/>
  <c r="J11" i="97"/>
  <c r="G11" i="97"/>
  <c r="K11" i="97" s="1"/>
  <c r="J10" i="97"/>
  <c r="G10" i="97"/>
  <c r="K10" i="97" s="1"/>
  <c r="J9" i="97"/>
  <c r="G9" i="97"/>
  <c r="K9" i="97" s="1"/>
  <c r="J8" i="97"/>
  <c r="G8" i="97"/>
  <c r="K8" i="97" s="1"/>
  <c r="J7" i="97"/>
  <c r="G7" i="97"/>
  <c r="K7" i="97" s="1"/>
  <c r="J6" i="97"/>
  <c r="G6" i="97"/>
  <c r="K6" i="97" s="1"/>
  <c r="J5" i="97"/>
  <c r="G5" i="97"/>
  <c r="K5" i="97" s="1"/>
  <c r="J4" i="97"/>
  <c r="G4" i="97"/>
  <c r="J18" i="96"/>
  <c r="G18" i="96"/>
  <c r="K18" i="96" s="1"/>
  <c r="J17" i="96"/>
  <c r="G17" i="96"/>
  <c r="K17" i="96" s="1"/>
  <c r="J16" i="96"/>
  <c r="G16" i="96"/>
  <c r="K16" i="96" s="1"/>
  <c r="J15" i="96"/>
  <c r="G15" i="96"/>
  <c r="K15" i="96" s="1"/>
  <c r="J14" i="96"/>
  <c r="G14" i="96"/>
  <c r="K14" i="96" s="1"/>
  <c r="J13" i="96"/>
  <c r="G13" i="96"/>
  <c r="K13" i="96" s="1"/>
  <c r="J12" i="96"/>
  <c r="G12" i="96"/>
  <c r="J11" i="96"/>
  <c r="G11" i="96"/>
  <c r="J10" i="96"/>
  <c r="G10" i="96"/>
  <c r="K10" i="96" s="1"/>
  <c r="J9" i="96"/>
  <c r="G9" i="96"/>
  <c r="K9" i="96" s="1"/>
  <c r="J8" i="96"/>
  <c r="G8" i="96"/>
  <c r="K8" i="96" s="1"/>
  <c r="J7" i="96"/>
  <c r="G7" i="96"/>
  <c r="K7" i="96" s="1"/>
  <c r="J6" i="96"/>
  <c r="G6" i="96"/>
  <c r="K6" i="96" s="1"/>
  <c r="J5" i="96"/>
  <c r="G5" i="96"/>
  <c r="K5" i="96" s="1"/>
  <c r="J4" i="96"/>
  <c r="G4" i="96"/>
  <c r="L13" i="50"/>
  <c r="L11" i="95"/>
  <c r="G12" i="81"/>
  <c r="K12" i="81" s="1"/>
  <c r="L12" i="81" s="1"/>
  <c r="L10" i="95"/>
  <c r="G11" i="81"/>
  <c r="K11" i="81" s="1"/>
  <c r="L11" i="81" s="1"/>
  <c r="G8" i="81"/>
  <c r="K8" i="81" s="1"/>
  <c r="G9" i="81"/>
  <c r="K9" i="81" s="1"/>
  <c r="G10" i="81"/>
  <c r="K10" i="81" s="1"/>
  <c r="L10" i="81" s="1"/>
  <c r="J4" i="44"/>
  <c r="L9" i="95"/>
  <c r="L9" i="50"/>
  <c r="J9" i="24"/>
  <c r="L8" i="95"/>
  <c r="L8" i="50"/>
  <c r="L8" i="65"/>
  <c r="L9" i="65"/>
  <c r="L10" i="65"/>
  <c r="L11" i="65"/>
  <c r="G6" i="65"/>
  <c r="G7" i="65"/>
  <c r="R6" i="68"/>
  <c r="S14" i="68"/>
  <c r="J8" i="24"/>
  <c r="L7" i="50"/>
  <c r="L7" i="94"/>
  <c r="J7" i="14"/>
  <c r="J7" i="65"/>
  <c r="G5" i="81"/>
  <c r="K5" i="81" s="1"/>
  <c r="G6" i="81"/>
  <c r="K6" i="81" s="1"/>
  <c r="G7" i="81"/>
  <c r="K7" i="81" s="1"/>
  <c r="L7" i="81" s="1"/>
  <c r="R10" i="80"/>
  <c r="L5" i="95"/>
  <c r="L5" i="50"/>
  <c r="L6" i="50"/>
  <c r="J6" i="65"/>
  <c r="G5" i="65"/>
  <c r="K5" i="65" s="1"/>
  <c r="L5" i="65" s="1"/>
  <c r="M5" i="41"/>
  <c r="G5" i="79"/>
  <c r="G6" i="79"/>
  <c r="J6" i="79"/>
  <c r="I8" i="56"/>
  <c r="L30" i="95"/>
  <c r="L31" i="95"/>
  <c r="L32" i="95"/>
  <c r="L33" i="95"/>
  <c r="L34" i="95"/>
  <c r="L35" i="95"/>
  <c r="L36" i="95"/>
  <c r="L37" i="95"/>
  <c r="G4" i="65"/>
  <c r="G4" i="25"/>
  <c r="G4" i="24"/>
  <c r="R20" i="81"/>
  <c r="S20" i="81" s="1"/>
  <c r="G40" i="95"/>
  <c r="K40" i="95" s="1"/>
  <c r="L40" i="95" s="1"/>
  <c r="G38" i="95"/>
  <c r="K38" i="95" s="1"/>
  <c r="L38" i="95" s="1"/>
  <c r="G39" i="95"/>
  <c r="K39" i="95" s="1"/>
  <c r="L39" i="95" s="1"/>
  <c r="G35" i="14"/>
  <c r="J25" i="41"/>
  <c r="S8" i="81"/>
  <c r="S10" i="81" s="1"/>
  <c r="Q6" i="72"/>
  <c r="G35" i="25"/>
  <c r="J35" i="25"/>
  <c r="K35" i="25"/>
  <c r="G30" i="14"/>
  <c r="G29" i="14"/>
  <c r="G32" i="14"/>
  <c r="G31" i="14"/>
  <c r="G34" i="14"/>
  <c r="G27" i="95"/>
  <c r="K27" i="95" s="1"/>
  <c r="L27" i="95" s="1"/>
  <c r="H46" i="95"/>
  <c r="E46" i="95"/>
  <c r="D5" i="56" s="1"/>
  <c r="J45" i="95"/>
  <c r="G45" i="95"/>
  <c r="K45" i="95" s="1"/>
  <c r="J37" i="95"/>
  <c r="G37" i="95"/>
  <c r="K37" i="95" s="1"/>
  <c r="J36" i="95"/>
  <c r="G36" i="95"/>
  <c r="K36" i="95" s="1"/>
  <c r="G35" i="95"/>
  <c r="K35" i="95" s="1"/>
  <c r="J34" i="95"/>
  <c r="G34" i="95"/>
  <c r="K34" i="95" s="1"/>
  <c r="J33" i="95"/>
  <c r="G33" i="95"/>
  <c r="K33" i="95" s="1"/>
  <c r="J32" i="95"/>
  <c r="G32" i="95"/>
  <c r="K32" i="95" s="1"/>
  <c r="J31" i="95"/>
  <c r="G31" i="95"/>
  <c r="K31" i="95" s="1"/>
  <c r="J30" i="95"/>
  <c r="G30" i="95"/>
  <c r="K30" i="95" s="1"/>
  <c r="J29" i="95"/>
  <c r="G29" i="95"/>
  <c r="K29" i="95" s="1"/>
  <c r="L29" i="95" s="1"/>
  <c r="J28" i="95"/>
  <c r="G28" i="95"/>
  <c r="K28" i="95" s="1"/>
  <c r="L28" i="95" s="1"/>
  <c r="J26" i="95"/>
  <c r="G26" i="95"/>
  <c r="K26" i="95" s="1"/>
  <c r="L26" i="95" s="1"/>
  <c r="J25" i="95"/>
  <c r="G25" i="95"/>
  <c r="K25" i="95" s="1"/>
  <c r="L25" i="95" s="1"/>
  <c r="J24" i="95"/>
  <c r="G24" i="95"/>
  <c r="K24" i="95" s="1"/>
  <c r="L24" i="95" s="1"/>
  <c r="L46" i="95" s="1"/>
  <c r="J5" i="56" s="1"/>
  <c r="J23" i="95"/>
  <c r="G23" i="95"/>
  <c r="K23" i="95" s="1"/>
  <c r="J22" i="95"/>
  <c r="G22" i="95"/>
  <c r="K22" i="95" s="1"/>
  <c r="J21" i="95"/>
  <c r="G21" i="95"/>
  <c r="K21" i="95" s="1"/>
  <c r="J20" i="95"/>
  <c r="G20" i="95"/>
  <c r="K20" i="95" s="1"/>
  <c r="J19" i="95"/>
  <c r="G19" i="95"/>
  <c r="K19" i="95" s="1"/>
  <c r="J18" i="95"/>
  <c r="G18" i="95"/>
  <c r="K18" i="95" s="1"/>
  <c r="J17" i="95"/>
  <c r="G17" i="95"/>
  <c r="K17" i="95" s="1"/>
  <c r="J16" i="95"/>
  <c r="G16" i="95"/>
  <c r="K16" i="95" s="1"/>
  <c r="J15" i="95"/>
  <c r="G15" i="95"/>
  <c r="K15" i="95" s="1"/>
  <c r="J14" i="95"/>
  <c r="G14" i="95"/>
  <c r="K14" i="95" s="1"/>
  <c r="J13" i="95"/>
  <c r="G13" i="95"/>
  <c r="K13" i="95" s="1"/>
  <c r="J12" i="95"/>
  <c r="G12" i="95"/>
  <c r="K12" i="95" s="1"/>
  <c r="J11" i="95"/>
  <c r="G11" i="95"/>
  <c r="K11" i="95" s="1"/>
  <c r="J10" i="95"/>
  <c r="G10" i="95"/>
  <c r="K10" i="95" s="1"/>
  <c r="J9" i="95"/>
  <c r="G9" i="95"/>
  <c r="K9" i="95" s="1"/>
  <c r="J8" i="95"/>
  <c r="G8" i="95"/>
  <c r="K8" i="95" s="1"/>
  <c r="J7" i="95"/>
  <c r="G7" i="95"/>
  <c r="K7" i="95" s="1"/>
  <c r="J6" i="95"/>
  <c r="G6" i="95"/>
  <c r="K6" i="95" s="1"/>
  <c r="J5" i="95"/>
  <c r="J46" i="95" s="1"/>
  <c r="G5" i="95"/>
  <c r="K5" i="95" s="1"/>
  <c r="G4" i="95"/>
  <c r="G28" i="14"/>
  <c r="U22" i="76"/>
  <c r="S25" i="79"/>
  <c r="H35" i="94"/>
  <c r="F8" i="56" s="1"/>
  <c r="E35" i="94"/>
  <c r="D8" i="56" s="1"/>
  <c r="J34" i="94"/>
  <c r="G34" i="94"/>
  <c r="K34" i="94" s="1"/>
  <c r="J33" i="94"/>
  <c r="G33" i="94"/>
  <c r="K33" i="94" s="1"/>
  <c r="J32" i="94"/>
  <c r="G32" i="94"/>
  <c r="K32" i="94" s="1"/>
  <c r="J31" i="94"/>
  <c r="G31" i="94"/>
  <c r="K31" i="94" s="1"/>
  <c r="J30" i="94"/>
  <c r="G30" i="94"/>
  <c r="K30" i="94" s="1"/>
  <c r="J29" i="94"/>
  <c r="G29" i="94"/>
  <c r="K29" i="94" s="1"/>
  <c r="J28" i="94"/>
  <c r="G28" i="94"/>
  <c r="K28" i="94" s="1"/>
  <c r="J27" i="94"/>
  <c r="G27" i="94"/>
  <c r="K27" i="94" s="1"/>
  <c r="J26" i="94"/>
  <c r="G26" i="94"/>
  <c r="K26" i="94" s="1"/>
  <c r="J25" i="94"/>
  <c r="G25" i="94"/>
  <c r="K25" i="94" s="1"/>
  <c r="J24" i="94"/>
  <c r="G24" i="94"/>
  <c r="K24" i="94" s="1"/>
  <c r="J23" i="94"/>
  <c r="G23" i="94"/>
  <c r="K23" i="94" s="1"/>
  <c r="J22" i="94"/>
  <c r="G22" i="94"/>
  <c r="K22" i="94" s="1"/>
  <c r="J21" i="94"/>
  <c r="G21" i="94"/>
  <c r="K21" i="94" s="1"/>
  <c r="J20" i="94"/>
  <c r="G20" i="94"/>
  <c r="K20" i="94" s="1"/>
  <c r="J19" i="94"/>
  <c r="G19" i="94"/>
  <c r="K19" i="94" s="1"/>
  <c r="J18" i="94"/>
  <c r="G18" i="94"/>
  <c r="K18" i="94" s="1"/>
  <c r="J17" i="94"/>
  <c r="G17" i="94"/>
  <c r="K17" i="94" s="1"/>
  <c r="J16" i="94"/>
  <c r="G16" i="94"/>
  <c r="K16" i="94" s="1"/>
  <c r="J15" i="94"/>
  <c r="G15" i="94"/>
  <c r="K15" i="94" s="1"/>
  <c r="L15" i="94" s="1"/>
  <c r="L35" i="94" s="1"/>
  <c r="J8" i="56" s="1"/>
  <c r="J14" i="94"/>
  <c r="G14" i="94"/>
  <c r="K14" i="94" s="1"/>
  <c r="J13" i="94"/>
  <c r="G13" i="94"/>
  <c r="K13" i="94" s="1"/>
  <c r="J12" i="94"/>
  <c r="G12" i="94"/>
  <c r="K12" i="94" s="1"/>
  <c r="J11" i="94"/>
  <c r="G11" i="94"/>
  <c r="K11" i="94" s="1"/>
  <c r="J10" i="94"/>
  <c r="G10" i="94"/>
  <c r="K10" i="94" s="1"/>
  <c r="J9" i="94"/>
  <c r="G9" i="94"/>
  <c r="K9" i="94" s="1"/>
  <c r="J8" i="94"/>
  <c r="G8" i="94"/>
  <c r="K8" i="94" s="1"/>
  <c r="J7" i="94"/>
  <c r="G7" i="94"/>
  <c r="K7" i="94" s="1"/>
  <c r="J6" i="94"/>
  <c r="G6" i="94"/>
  <c r="K6" i="94" s="1"/>
  <c r="J5" i="94"/>
  <c r="G5" i="94"/>
  <c r="K5" i="94" s="1"/>
  <c r="J4" i="94"/>
  <c r="J35" i="94" s="1"/>
  <c r="G8" i="56" s="1"/>
  <c r="G4" i="94"/>
  <c r="J87" i="44"/>
  <c r="J88" i="44"/>
  <c r="J89" i="44"/>
  <c r="J90" i="44"/>
  <c r="J91" i="44"/>
  <c r="G90" i="44"/>
  <c r="K90" i="44" s="1"/>
  <c r="G89" i="44"/>
  <c r="K89" i="44" s="1"/>
  <c r="G88" i="44"/>
  <c r="K88" i="44" s="1"/>
  <c r="G87" i="44"/>
  <c r="K87" i="44" s="1"/>
  <c r="J86" i="44"/>
  <c r="G86" i="44"/>
  <c r="K86" i="44" s="1"/>
  <c r="G85" i="44"/>
  <c r="J85" i="44"/>
  <c r="J82" i="44"/>
  <c r="J22" i="14"/>
  <c r="J23" i="14"/>
  <c r="J26" i="14"/>
  <c r="G25" i="14"/>
  <c r="G23" i="14"/>
  <c r="K23" i="14" s="1"/>
  <c r="G26" i="14"/>
  <c r="G22" i="14"/>
  <c r="K22" i="14" s="1"/>
  <c r="G21" i="85"/>
  <c r="G21" i="3"/>
  <c r="J17" i="14"/>
  <c r="J18" i="14"/>
  <c r="J19" i="14"/>
  <c r="G17" i="14"/>
  <c r="K17" i="14" s="1"/>
  <c r="G18" i="14"/>
  <c r="K18" i="14" s="1"/>
  <c r="G19" i="14"/>
  <c r="K19" i="14" s="1"/>
  <c r="J17" i="50"/>
  <c r="J14" i="50"/>
  <c r="J15" i="50"/>
  <c r="J16" i="50"/>
  <c r="I10" i="56"/>
  <c r="G16" i="41"/>
  <c r="J16" i="41"/>
  <c r="K16" i="41" s="1"/>
  <c r="J14" i="41"/>
  <c r="G14" i="41"/>
  <c r="K14" i="41" s="1"/>
  <c r="J22" i="76"/>
  <c r="J14" i="14"/>
  <c r="G14" i="14"/>
  <c r="K14" i="14" s="1"/>
  <c r="J13" i="14"/>
  <c r="G13" i="14"/>
  <c r="K13" i="14" s="1"/>
  <c r="G14" i="68"/>
  <c r="J11" i="50"/>
  <c r="J12" i="50"/>
  <c r="J13" i="50"/>
  <c r="J11" i="14"/>
  <c r="G11" i="14"/>
  <c r="H35" i="93"/>
  <c r="F10" i="56" s="1"/>
  <c r="E35" i="93"/>
  <c r="D10" i="56" s="1"/>
  <c r="J34" i="93"/>
  <c r="G34" i="93"/>
  <c r="K34" i="93" s="1"/>
  <c r="J33" i="93"/>
  <c r="G33" i="93"/>
  <c r="K33" i="93" s="1"/>
  <c r="J32" i="93"/>
  <c r="G32" i="93"/>
  <c r="J31" i="93"/>
  <c r="G31" i="93"/>
  <c r="K31" i="93" s="1"/>
  <c r="J30" i="93"/>
  <c r="G30" i="93"/>
  <c r="K30" i="93" s="1"/>
  <c r="J29" i="93"/>
  <c r="G29" i="93"/>
  <c r="K29" i="93" s="1"/>
  <c r="J28" i="93"/>
  <c r="G28" i="93"/>
  <c r="K28" i="93" s="1"/>
  <c r="J27" i="93"/>
  <c r="G27" i="93"/>
  <c r="K27" i="93" s="1"/>
  <c r="J26" i="93"/>
  <c r="G26" i="93"/>
  <c r="K26" i="93" s="1"/>
  <c r="J25" i="93"/>
  <c r="G25" i="93"/>
  <c r="K25" i="93" s="1"/>
  <c r="J24" i="93"/>
  <c r="G24" i="93"/>
  <c r="K24" i="93" s="1"/>
  <c r="J23" i="93"/>
  <c r="G23" i="93"/>
  <c r="K23" i="93" s="1"/>
  <c r="J22" i="93"/>
  <c r="G22" i="93"/>
  <c r="K22" i="93" s="1"/>
  <c r="J21" i="93"/>
  <c r="G21" i="93"/>
  <c r="K21" i="93" s="1"/>
  <c r="J20" i="93"/>
  <c r="G20" i="93"/>
  <c r="K20" i="93" s="1"/>
  <c r="J19" i="93"/>
  <c r="G19" i="93"/>
  <c r="K19" i="93" s="1"/>
  <c r="J18" i="93"/>
  <c r="G18" i="93"/>
  <c r="K18" i="93" s="1"/>
  <c r="J17" i="93"/>
  <c r="G17" i="93"/>
  <c r="K17" i="93" s="1"/>
  <c r="J16" i="93"/>
  <c r="G16" i="93"/>
  <c r="K16" i="93" s="1"/>
  <c r="J15" i="93"/>
  <c r="G15" i="93"/>
  <c r="K15" i="93" s="1"/>
  <c r="J14" i="93"/>
  <c r="G14" i="93"/>
  <c r="K14" i="93" s="1"/>
  <c r="J13" i="93"/>
  <c r="G13" i="93"/>
  <c r="K13" i="93" s="1"/>
  <c r="J12" i="93"/>
  <c r="G12" i="93"/>
  <c r="K12" i="93" s="1"/>
  <c r="J11" i="93"/>
  <c r="G11" i="93"/>
  <c r="K11" i="93" s="1"/>
  <c r="J10" i="93"/>
  <c r="G10" i="93"/>
  <c r="K10" i="93" s="1"/>
  <c r="J9" i="93"/>
  <c r="G9" i="93"/>
  <c r="K9" i="93" s="1"/>
  <c r="J8" i="93"/>
  <c r="G8" i="93"/>
  <c r="K8" i="93" s="1"/>
  <c r="J7" i="93"/>
  <c r="G7" i="93"/>
  <c r="K7" i="93" s="1"/>
  <c r="J6" i="93"/>
  <c r="G6" i="93"/>
  <c r="K6" i="93" s="1"/>
  <c r="J5" i="93"/>
  <c r="G5" i="93"/>
  <c r="K5" i="93" s="1"/>
  <c r="J4" i="93"/>
  <c r="J35" i="93" s="1"/>
  <c r="G10" i="56" s="1"/>
  <c r="G4" i="93"/>
  <c r="J9" i="50"/>
  <c r="J10" i="50"/>
  <c r="J11" i="80"/>
  <c r="G11" i="80"/>
  <c r="K11" i="80" s="1"/>
  <c r="J10" i="14"/>
  <c r="G10" i="14"/>
  <c r="J9" i="35"/>
  <c r="J9" i="14"/>
  <c r="G9" i="14"/>
  <c r="G5" i="14"/>
  <c r="G6" i="14"/>
  <c r="G7" i="14"/>
  <c r="G8" i="14"/>
  <c r="J7" i="50"/>
  <c r="J8" i="50"/>
  <c r="G8" i="57"/>
  <c r="J6" i="50"/>
  <c r="G40" i="51"/>
  <c r="G41" i="51"/>
  <c r="G42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3" i="51"/>
  <c r="G24" i="51"/>
  <c r="G25" i="51"/>
  <c r="G26" i="51"/>
  <c r="G27" i="51"/>
  <c r="G28" i="51"/>
  <c r="G29" i="51"/>
  <c r="G30" i="51"/>
  <c r="G31" i="51"/>
  <c r="G32" i="51"/>
  <c r="G35" i="51"/>
  <c r="G36" i="51"/>
  <c r="G37" i="51"/>
  <c r="G38" i="51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5" i="69"/>
  <c r="J5" i="69"/>
  <c r="G6" i="69"/>
  <c r="J6" i="69"/>
  <c r="G7" i="69"/>
  <c r="J7" i="69"/>
  <c r="G8" i="69"/>
  <c r="J8" i="69"/>
  <c r="G9" i="69"/>
  <c r="J9" i="69"/>
  <c r="G10" i="69"/>
  <c r="J10" i="69"/>
  <c r="G11" i="69"/>
  <c r="J11" i="69"/>
  <c r="G12" i="69"/>
  <c r="J12" i="69"/>
  <c r="G13" i="69"/>
  <c r="J13" i="69"/>
  <c r="G14" i="69"/>
  <c r="J14" i="69"/>
  <c r="G15" i="69"/>
  <c r="J15" i="69"/>
  <c r="G16" i="69"/>
  <c r="J16" i="69"/>
  <c r="G17" i="69"/>
  <c r="J17" i="69"/>
  <c r="G18" i="69"/>
  <c r="J18" i="69"/>
  <c r="G20" i="69"/>
  <c r="J20" i="69"/>
  <c r="G21" i="69"/>
  <c r="J21" i="69"/>
  <c r="G22" i="69"/>
  <c r="J22" i="69"/>
  <c r="G23" i="69"/>
  <c r="J23" i="69"/>
  <c r="G24" i="69"/>
  <c r="J24" i="69"/>
  <c r="G25" i="69"/>
  <c r="J25" i="69"/>
  <c r="G26" i="69"/>
  <c r="J26" i="69"/>
  <c r="G27" i="69"/>
  <c r="J27" i="69"/>
  <c r="G28" i="69"/>
  <c r="J28" i="69"/>
  <c r="G29" i="69"/>
  <c r="J29" i="69"/>
  <c r="G30" i="69"/>
  <c r="J30" i="69"/>
  <c r="G31" i="69"/>
  <c r="J31" i="69"/>
  <c r="G32" i="69"/>
  <c r="J32" i="69"/>
  <c r="G33" i="69"/>
  <c r="J33" i="69"/>
  <c r="G34" i="69"/>
  <c r="J34" i="69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5" i="9"/>
  <c r="J5" i="9"/>
  <c r="G6" i="9"/>
  <c r="J6" i="9"/>
  <c r="G7" i="9"/>
  <c r="J7" i="9"/>
  <c r="G8" i="9"/>
  <c r="J8" i="9"/>
  <c r="G9" i="9"/>
  <c r="J9" i="9"/>
  <c r="G10" i="9"/>
  <c r="J10" i="9"/>
  <c r="G11" i="9"/>
  <c r="J11" i="9"/>
  <c r="G12" i="9"/>
  <c r="J12" i="9"/>
  <c r="G13" i="9"/>
  <c r="J13" i="9"/>
  <c r="G14" i="9"/>
  <c r="J14" i="9"/>
  <c r="G15" i="9"/>
  <c r="J15" i="9"/>
  <c r="G16" i="9"/>
  <c r="J16" i="9"/>
  <c r="G17" i="9"/>
  <c r="J17" i="9"/>
  <c r="G18" i="9"/>
  <c r="J18" i="9"/>
  <c r="G19" i="9"/>
  <c r="J19" i="9"/>
  <c r="G20" i="9"/>
  <c r="J20" i="9"/>
  <c r="G21" i="9"/>
  <c r="J21" i="9"/>
  <c r="G22" i="9"/>
  <c r="J22" i="9"/>
  <c r="G23" i="9"/>
  <c r="J23" i="9"/>
  <c r="G24" i="9"/>
  <c r="J24" i="9"/>
  <c r="G25" i="9"/>
  <c r="J25" i="9"/>
  <c r="G26" i="9"/>
  <c r="J26" i="9"/>
  <c r="G27" i="9"/>
  <c r="J27" i="9"/>
  <c r="G28" i="9"/>
  <c r="J28" i="9"/>
  <c r="G29" i="9"/>
  <c r="J29" i="9"/>
  <c r="G30" i="9"/>
  <c r="J30" i="9"/>
  <c r="G31" i="9"/>
  <c r="J31" i="9"/>
  <c r="G32" i="9"/>
  <c r="J32" i="9"/>
  <c r="G33" i="9"/>
  <c r="J33" i="9"/>
  <c r="G34" i="9"/>
  <c r="J34" i="9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9" i="26"/>
  <c r="G20" i="26"/>
  <c r="G21" i="26"/>
  <c r="G22" i="26"/>
  <c r="G23" i="26"/>
  <c r="G24" i="26"/>
  <c r="G25" i="26"/>
  <c r="G26" i="26"/>
  <c r="G27" i="26"/>
  <c r="G28" i="26"/>
  <c r="G29" i="26"/>
  <c r="G5" i="57"/>
  <c r="J5" i="57"/>
  <c r="G6" i="57"/>
  <c r="J6" i="57"/>
  <c r="G7" i="57"/>
  <c r="J7" i="57"/>
  <c r="J8" i="57"/>
  <c r="G9" i="57"/>
  <c r="J9" i="57"/>
  <c r="G10" i="57"/>
  <c r="J10" i="57"/>
  <c r="G11" i="57"/>
  <c r="J11" i="57"/>
  <c r="G12" i="57"/>
  <c r="J12" i="57"/>
  <c r="G13" i="57"/>
  <c r="J13" i="57"/>
  <c r="G14" i="57"/>
  <c r="J14" i="57"/>
  <c r="G15" i="57"/>
  <c r="J15" i="57"/>
  <c r="G16" i="57"/>
  <c r="J16" i="57"/>
  <c r="G17" i="57"/>
  <c r="J17" i="57"/>
  <c r="G18" i="57"/>
  <c r="J18" i="57"/>
  <c r="G19" i="57"/>
  <c r="J19" i="57"/>
  <c r="G20" i="57"/>
  <c r="J20" i="57"/>
  <c r="G21" i="57"/>
  <c r="J21" i="57"/>
  <c r="G22" i="57"/>
  <c r="J22" i="57"/>
  <c r="G23" i="57"/>
  <c r="J23" i="57"/>
  <c r="G24" i="57"/>
  <c r="J24" i="57"/>
  <c r="G25" i="57"/>
  <c r="J25" i="57"/>
  <c r="G26" i="57"/>
  <c r="J26" i="57"/>
  <c r="G27" i="57"/>
  <c r="J27" i="57"/>
  <c r="G28" i="57"/>
  <c r="J28" i="57"/>
  <c r="G29" i="57"/>
  <c r="J29" i="57"/>
  <c r="G30" i="57"/>
  <c r="J30" i="57"/>
  <c r="G31" i="57"/>
  <c r="J31" i="57"/>
  <c r="G32" i="57"/>
  <c r="J32" i="57"/>
  <c r="G33" i="57"/>
  <c r="J33" i="57"/>
  <c r="G34" i="57"/>
  <c r="J34" i="57"/>
  <c r="G5" i="60"/>
  <c r="G6" i="60"/>
  <c r="G7" i="60"/>
  <c r="G8" i="60"/>
  <c r="G9" i="60"/>
  <c r="G10" i="60"/>
  <c r="G11" i="60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26" i="60"/>
  <c r="G27" i="60"/>
  <c r="G28" i="60"/>
  <c r="G29" i="60"/>
  <c r="G30" i="60"/>
  <c r="G31" i="60"/>
  <c r="G32" i="60"/>
  <c r="G33" i="60"/>
  <c r="G34" i="60"/>
  <c r="G4" i="60"/>
  <c r="G5" i="41"/>
  <c r="J5" i="41"/>
  <c r="G6" i="41"/>
  <c r="J6" i="41"/>
  <c r="G7" i="41"/>
  <c r="J7" i="41"/>
  <c r="G8" i="41"/>
  <c r="J8" i="41"/>
  <c r="G9" i="41"/>
  <c r="J9" i="41"/>
  <c r="G10" i="41"/>
  <c r="J10" i="41"/>
  <c r="G11" i="41"/>
  <c r="J11" i="41"/>
  <c r="G12" i="41"/>
  <c r="J12" i="41"/>
  <c r="G13" i="41"/>
  <c r="J13" i="41"/>
  <c r="G15" i="41"/>
  <c r="J15" i="41"/>
  <c r="G17" i="41"/>
  <c r="J17" i="41"/>
  <c r="G18" i="41"/>
  <c r="J18" i="41"/>
  <c r="G19" i="41"/>
  <c r="J19" i="41"/>
  <c r="G20" i="41"/>
  <c r="J20" i="41"/>
  <c r="G21" i="41"/>
  <c r="J21" i="41"/>
  <c r="G22" i="41"/>
  <c r="J22" i="41"/>
  <c r="G23" i="41"/>
  <c r="J23" i="41"/>
  <c r="G24" i="41"/>
  <c r="J24" i="41"/>
  <c r="G25" i="41"/>
  <c r="K25" i="41" s="1"/>
  <c r="G26" i="41"/>
  <c r="J26" i="41"/>
  <c r="G27" i="41"/>
  <c r="J27" i="41"/>
  <c r="G28" i="41"/>
  <c r="J28" i="41"/>
  <c r="G29" i="41"/>
  <c r="J29" i="41"/>
  <c r="G30" i="41"/>
  <c r="J30" i="41"/>
  <c r="G31" i="41"/>
  <c r="J31" i="41"/>
  <c r="G32" i="41"/>
  <c r="J32" i="41"/>
  <c r="G33" i="41"/>
  <c r="J33" i="41"/>
  <c r="G34" i="41"/>
  <c r="J34" i="41"/>
  <c r="G35" i="41"/>
  <c r="J35" i="41"/>
  <c r="G36" i="41"/>
  <c r="J36" i="41"/>
  <c r="G37" i="41"/>
  <c r="J37" i="41"/>
  <c r="G38" i="41"/>
  <c r="J38" i="41"/>
  <c r="G39" i="41"/>
  <c r="J39" i="41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5" i="12"/>
  <c r="G26" i="12"/>
  <c r="G27" i="12"/>
  <c r="G28" i="12"/>
  <c r="G29" i="12"/>
  <c r="G30" i="12"/>
  <c r="G31" i="12"/>
  <c r="G32" i="12"/>
  <c r="G33" i="12"/>
  <c r="G34" i="12"/>
  <c r="G35" i="12"/>
  <c r="G5" i="76"/>
  <c r="J5" i="76"/>
  <c r="G6" i="76"/>
  <c r="J6" i="76"/>
  <c r="G7" i="76"/>
  <c r="J7" i="76"/>
  <c r="G8" i="76"/>
  <c r="J8" i="76"/>
  <c r="G9" i="76"/>
  <c r="J9" i="76"/>
  <c r="G10" i="76"/>
  <c r="J10" i="76"/>
  <c r="G11" i="76"/>
  <c r="J11" i="76"/>
  <c r="G12" i="76"/>
  <c r="J12" i="76"/>
  <c r="G13" i="76"/>
  <c r="J13" i="76"/>
  <c r="G14" i="76"/>
  <c r="J14" i="76"/>
  <c r="G15" i="76"/>
  <c r="J15" i="76"/>
  <c r="G16" i="76"/>
  <c r="J16" i="76"/>
  <c r="G17" i="76"/>
  <c r="J17" i="76"/>
  <c r="G18" i="76"/>
  <c r="J18" i="76"/>
  <c r="G19" i="76"/>
  <c r="J19" i="76"/>
  <c r="G20" i="76"/>
  <c r="J20" i="76"/>
  <c r="G21" i="76"/>
  <c r="J21" i="76"/>
  <c r="G22" i="76"/>
  <c r="K22" i="76" s="1"/>
  <c r="G23" i="76"/>
  <c r="J23" i="76"/>
  <c r="G24" i="76"/>
  <c r="J24" i="76"/>
  <c r="G25" i="76"/>
  <c r="G26" i="76"/>
  <c r="J26" i="76"/>
  <c r="G27" i="76"/>
  <c r="J27" i="76"/>
  <c r="G28" i="76"/>
  <c r="J28" i="76"/>
  <c r="G29" i="76"/>
  <c r="J29" i="76"/>
  <c r="G30" i="76"/>
  <c r="J30" i="76"/>
  <c r="G31" i="76"/>
  <c r="J31" i="76"/>
  <c r="G32" i="76"/>
  <c r="J32" i="76"/>
  <c r="G33" i="76"/>
  <c r="J33" i="76"/>
  <c r="G34" i="76"/>
  <c r="J34" i="76"/>
  <c r="G35" i="76"/>
  <c r="J35" i="76"/>
  <c r="J5" i="79"/>
  <c r="G7" i="79"/>
  <c r="J7" i="79"/>
  <c r="G8" i="79"/>
  <c r="J8" i="79"/>
  <c r="G9" i="79"/>
  <c r="J9" i="79"/>
  <c r="G10" i="79"/>
  <c r="J10" i="79"/>
  <c r="G11" i="79"/>
  <c r="J11" i="79"/>
  <c r="G12" i="79"/>
  <c r="J12" i="79"/>
  <c r="G13" i="79"/>
  <c r="J13" i="79"/>
  <c r="G14" i="79"/>
  <c r="J14" i="79"/>
  <c r="G15" i="79"/>
  <c r="J15" i="79"/>
  <c r="G16" i="79"/>
  <c r="J16" i="79"/>
  <c r="G17" i="79"/>
  <c r="J17" i="79"/>
  <c r="G18" i="79"/>
  <c r="J18" i="79"/>
  <c r="G19" i="79"/>
  <c r="J19" i="79"/>
  <c r="G20" i="79"/>
  <c r="J20" i="79"/>
  <c r="G21" i="79"/>
  <c r="J21" i="79"/>
  <c r="G22" i="79"/>
  <c r="J22" i="79"/>
  <c r="G23" i="79"/>
  <c r="J23" i="79"/>
  <c r="G24" i="79"/>
  <c r="J24" i="79"/>
  <c r="G25" i="79"/>
  <c r="J25" i="79"/>
  <c r="G26" i="79"/>
  <c r="J26" i="79"/>
  <c r="G27" i="79"/>
  <c r="J27" i="79"/>
  <c r="G28" i="79"/>
  <c r="J28" i="79"/>
  <c r="G29" i="79"/>
  <c r="J29" i="79"/>
  <c r="G30" i="79"/>
  <c r="J30" i="79"/>
  <c r="G31" i="79"/>
  <c r="J31" i="79"/>
  <c r="G32" i="79"/>
  <c r="J32" i="79"/>
  <c r="G33" i="79"/>
  <c r="J33" i="79"/>
  <c r="G34" i="79"/>
  <c r="J34" i="79"/>
  <c r="G5" i="75"/>
  <c r="J5" i="75"/>
  <c r="G6" i="75"/>
  <c r="J6" i="75"/>
  <c r="G7" i="75"/>
  <c r="J7" i="75"/>
  <c r="G8" i="75"/>
  <c r="J8" i="75"/>
  <c r="G9" i="75"/>
  <c r="J9" i="75"/>
  <c r="G10" i="75"/>
  <c r="J10" i="75"/>
  <c r="G11" i="75"/>
  <c r="J11" i="75"/>
  <c r="G12" i="75"/>
  <c r="J12" i="75"/>
  <c r="G13" i="75"/>
  <c r="J13" i="75"/>
  <c r="G14" i="75"/>
  <c r="J14" i="75"/>
  <c r="G15" i="75"/>
  <c r="J15" i="75"/>
  <c r="G16" i="75"/>
  <c r="J16" i="75"/>
  <c r="G17" i="75"/>
  <c r="J17" i="75"/>
  <c r="G18" i="75"/>
  <c r="J18" i="75"/>
  <c r="G19" i="75"/>
  <c r="G20" i="75"/>
  <c r="G21" i="75"/>
  <c r="J21" i="75"/>
  <c r="G22" i="75"/>
  <c r="J22" i="75"/>
  <c r="J23" i="75"/>
  <c r="G26" i="75"/>
  <c r="J26" i="75"/>
  <c r="G27" i="75"/>
  <c r="J27" i="75"/>
  <c r="G29" i="75"/>
  <c r="J29" i="75"/>
  <c r="G30" i="75"/>
  <c r="J30" i="75"/>
  <c r="G32" i="75"/>
  <c r="J32" i="75"/>
  <c r="G33" i="75"/>
  <c r="J33" i="75"/>
  <c r="G34" i="75"/>
  <c r="J34" i="75"/>
  <c r="G5" i="85"/>
  <c r="J5" i="85"/>
  <c r="K5" i="85"/>
  <c r="G6" i="85"/>
  <c r="J6" i="85"/>
  <c r="K6" i="85"/>
  <c r="G7" i="85"/>
  <c r="J7" i="85"/>
  <c r="K7" i="85"/>
  <c r="G8" i="85"/>
  <c r="J8" i="85"/>
  <c r="K8" i="85"/>
  <c r="G9" i="85"/>
  <c r="J9" i="85"/>
  <c r="K9" i="85"/>
  <c r="G10" i="85"/>
  <c r="J10" i="85"/>
  <c r="K10" i="85"/>
  <c r="G11" i="85"/>
  <c r="J11" i="85"/>
  <c r="K11" i="85"/>
  <c r="G12" i="85"/>
  <c r="J12" i="85"/>
  <c r="K12" i="85"/>
  <c r="G13" i="85"/>
  <c r="J13" i="85"/>
  <c r="K13" i="85"/>
  <c r="G14" i="85"/>
  <c r="J14" i="85"/>
  <c r="K14" i="85"/>
  <c r="G15" i="85"/>
  <c r="J15" i="85"/>
  <c r="K15" i="85"/>
  <c r="G16" i="85"/>
  <c r="J16" i="85"/>
  <c r="K16" i="85"/>
  <c r="G17" i="85"/>
  <c r="J17" i="85"/>
  <c r="K17" i="85"/>
  <c r="G18" i="85"/>
  <c r="J18" i="85"/>
  <c r="K18" i="85"/>
  <c r="G19" i="85"/>
  <c r="J19" i="85"/>
  <c r="K19" i="85"/>
  <c r="G20" i="85"/>
  <c r="J20" i="85"/>
  <c r="K20" i="85"/>
  <c r="J21" i="85"/>
  <c r="K21" i="85"/>
  <c r="G22" i="85"/>
  <c r="J22" i="85"/>
  <c r="K22" i="85"/>
  <c r="G23" i="85"/>
  <c r="J23" i="85"/>
  <c r="K23" i="85"/>
  <c r="G25" i="85"/>
  <c r="J25" i="85"/>
  <c r="K25" i="85"/>
  <c r="G26" i="85"/>
  <c r="J26" i="85"/>
  <c r="K26" i="85"/>
  <c r="G27" i="85"/>
  <c r="J27" i="85"/>
  <c r="K27" i="85"/>
  <c r="G28" i="85"/>
  <c r="J28" i="85"/>
  <c r="K28" i="85"/>
  <c r="G29" i="85"/>
  <c r="J29" i="85"/>
  <c r="K29" i="85"/>
  <c r="G30" i="85"/>
  <c r="J30" i="85"/>
  <c r="K30" i="85"/>
  <c r="G31" i="85"/>
  <c r="J31" i="85"/>
  <c r="K31" i="85"/>
  <c r="G32" i="85"/>
  <c r="J32" i="85"/>
  <c r="K32" i="85"/>
  <c r="G33" i="85"/>
  <c r="J33" i="85"/>
  <c r="K33" i="85"/>
  <c r="G34" i="85"/>
  <c r="J34" i="85"/>
  <c r="K34" i="85"/>
  <c r="G35" i="85"/>
  <c r="J35" i="85"/>
  <c r="K35" i="85"/>
  <c r="G36" i="85"/>
  <c r="J36" i="85"/>
  <c r="K36" i="85"/>
  <c r="G5" i="22"/>
  <c r="J5" i="22"/>
  <c r="G6" i="22"/>
  <c r="J6" i="22"/>
  <c r="G7" i="22"/>
  <c r="J7" i="22"/>
  <c r="G8" i="22"/>
  <c r="J8" i="22"/>
  <c r="G9" i="22"/>
  <c r="J9" i="22"/>
  <c r="G10" i="22"/>
  <c r="J10" i="22"/>
  <c r="G11" i="22"/>
  <c r="J11" i="22"/>
  <c r="G12" i="22"/>
  <c r="J12" i="22"/>
  <c r="G13" i="22"/>
  <c r="J13" i="22"/>
  <c r="G14" i="22"/>
  <c r="J14" i="22"/>
  <c r="G15" i="22"/>
  <c r="J15" i="22"/>
  <c r="G16" i="22"/>
  <c r="J16" i="22"/>
  <c r="G17" i="22"/>
  <c r="J17" i="22"/>
  <c r="G18" i="22"/>
  <c r="J18" i="22"/>
  <c r="G19" i="22"/>
  <c r="J19" i="22"/>
  <c r="G20" i="22"/>
  <c r="J20" i="22"/>
  <c r="G21" i="22"/>
  <c r="J21" i="22"/>
  <c r="G22" i="22"/>
  <c r="J22" i="22"/>
  <c r="G23" i="22"/>
  <c r="J23" i="22"/>
  <c r="G24" i="22"/>
  <c r="J24" i="22"/>
  <c r="G25" i="22"/>
  <c r="J25" i="22"/>
  <c r="G26" i="22"/>
  <c r="J26" i="22"/>
  <c r="G27" i="22"/>
  <c r="J27" i="22"/>
  <c r="G28" i="22"/>
  <c r="J28" i="22"/>
  <c r="G29" i="22"/>
  <c r="J29" i="22"/>
  <c r="G30" i="22"/>
  <c r="J30" i="22"/>
  <c r="G31" i="22"/>
  <c r="J31" i="22"/>
  <c r="G32" i="22"/>
  <c r="J32" i="22"/>
  <c r="G33" i="22"/>
  <c r="J33" i="22"/>
  <c r="G34" i="22"/>
  <c r="J34" i="22"/>
  <c r="G35" i="22"/>
  <c r="J35" i="22"/>
  <c r="G36" i="22"/>
  <c r="J36" i="22"/>
  <c r="G37" i="22"/>
  <c r="J37" i="22"/>
  <c r="G38" i="22"/>
  <c r="J38" i="22"/>
  <c r="G39" i="22"/>
  <c r="J39" i="22"/>
  <c r="G5" i="25"/>
  <c r="G6" i="25"/>
  <c r="G7" i="25"/>
  <c r="G8" i="25"/>
  <c r="G9" i="25"/>
  <c r="G10" i="25"/>
  <c r="G11" i="25"/>
  <c r="G12" i="25"/>
  <c r="G14" i="25"/>
  <c r="G15" i="25"/>
  <c r="G16" i="25"/>
  <c r="G17" i="25"/>
  <c r="G18" i="25"/>
  <c r="G19" i="25"/>
  <c r="G21" i="25"/>
  <c r="G22" i="25"/>
  <c r="G23" i="25"/>
  <c r="G24" i="25"/>
  <c r="G25" i="25"/>
  <c r="G26" i="25"/>
  <c r="G27" i="25"/>
  <c r="G28" i="25"/>
  <c r="G29" i="25"/>
  <c r="G30" i="25"/>
  <c r="G31" i="25"/>
  <c r="G33" i="25"/>
  <c r="G34" i="25"/>
  <c r="G36" i="25"/>
  <c r="G37" i="25"/>
  <c r="G38" i="25"/>
  <c r="G5" i="11"/>
  <c r="J5" i="11"/>
  <c r="G6" i="11"/>
  <c r="J6" i="11"/>
  <c r="G7" i="11"/>
  <c r="J7" i="11"/>
  <c r="G8" i="11"/>
  <c r="J8" i="11"/>
  <c r="G9" i="11"/>
  <c r="J9" i="11"/>
  <c r="G10" i="11"/>
  <c r="J10" i="11"/>
  <c r="G11" i="11"/>
  <c r="J11" i="11"/>
  <c r="G12" i="11"/>
  <c r="J12" i="11"/>
  <c r="G13" i="11"/>
  <c r="J13" i="11"/>
  <c r="G14" i="11"/>
  <c r="J14" i="11"/>
  <c r="G15" i="11"/>
  <c r="J15" i="11"/>
  <c r="G16" i="11"/>
  <c r="J16" i="11"/>
  <c r="G17" i="11"/>
  <c r="J17" i="11"/>
  <c r="G18" i="11"/>
  <c r="J18" i="11"/>
  <c r="G19" i="11"/>
  <c r="J19" i="11"/>
  <c r="G20" i="11"/>
  <c r="J20" i="11"/>
  <c r="G22" i="11"/>
  <c r="J22" i="11"/>
  <c r="G23" i="11"/>
  <c r="J23" i="11"/>
  <c r="G24" i="11"/>
  <c r="J24" i="11"/>
  <c r="G25" i="11"/>
  <c r="J25" i="11"/>
  <c r="G26" i="11"/>
  <c r="J26" i="11"/>
  <c r="G28" i="11"/>
  <c r="J28" i="11"/>
  <c r="G29" i="11"/>
  <c r="J29" i="11"/>
  <c r="G30" i="11"/>
  <c r="J30" i="11"/>
  <c r="G31" i="11"/>
  <c r="J31" i="11"/>
  <c r="G32" i="11"/>
  <c r="J32" i="11"/>
  <c r="G33" i="11"/>
  <c r="J33" i="11"/>
  <c r="G34" i="11"/>
  <c r="J34" i="11"/>
  <c r="G35" i="11"/>
  <c r="J35" i="11"/>
  <c r="G36" i="11"/>
  <c r="J36" i="11"/>
  <c r="G5" i="10"/>
  <c r="J5" i="10"/>
  <c r="G6" i="10"/>
  <c r="J6" i="10"/>
  <c r="G7" i="10"/>
  <c r="J7" i="10"/>
  <c r="G8" i="10"/>
  <c r="J8" i="10"/>
  <c r="G9" i="10"/>
  <c r="J9" i="10"/>
  <c r="G10" i="10"/>
  <c r="J10" i="10"/>
  <c r="G11" i="10"/>
  <c r="J11" i="10"/>
  <c r="G12" i="10"/>
  <c r="J12" i="10"/>
  <c r="G13" i="10"/>
  <c r="J13" i="10"/>
  <c r="G14" i="10"/>
  <c r="J14" i="10"/>
  <c r="G15" i="10"/>
  <c r="J15" i="10"/>
  <c r="G16" i="10"/>
  <c r="J16" i="10"/>
  <c r="G17" i="10"/>
  <c r="J17" i="10"/>
  <c r="G18" i="10"/>
  <c r="J18" i="10"/>
  <c r="G19" i="10"/>
  <c r="J19" i="10"/>
  <c r="G20" i="10"/>
  <c r="J20" i="10"/>
  <c r="G21" i="10"/>
  <c r="J21" i="10"/>
  <c r="G22" i="10"/>
  <c r="J22" i="10"/>
  <c r="G23" i="10"/>
  <c r="J23" i="10"/>
  <c r="G24" i="10"/>
  <c r="J24" i="10"/>
  <c r="G25" i="10"/>
  <c r="J25" i="10"/>
  <c r="G26" i="10"/>
  <c r="J26" i="10"/>
  <c r="G27" i="10"/>
  <c r="J27" i="10"/>
  <c r="G28" i="10"/>
  <c r="J28" i="10"/>
  <c r="G29" i="10"/>
  <c r="J29" i="10"/>
  <c r="G30" i="10"/>
  <c r="J30" i="10"/>
  <c r="G31" i="10"/>
  <c r="J31" i="10"/>
  <c r="G32" i="10"/>
  <c r="J32" i="10"/>
  <c r="G33" i="10"/>
  <c r="J33" i="10"/>
  <c r="G5" i="80"/>
  <c r="J5" i="80"/>
  <c r="G6" i="80"/>
  <c r="J6" i="80"/>
  <c r="G7" i="80"/>
  <c r="J7" i="80"/>
  <c r="G8" i="80"/>
  <c r="J8" i="80"/>
  <c r="G9" i="80"/>
  <c r="J9" i="80"/>
  <c r="G10" i="80"/>
  <c r="J10" i="80"/>
  <c r="G12" i="80"/>
  <c r="J12" i="80"/>
  <c r="G13" i="80"/>
  <c r="J13" i="80"/>
  <c r="G14" i="80"/>
  <c r="J14" i="80"/>
  <c r="G15" i="80"/>
  <c r="J15" i="80"/>
  <c r="G16" i="80"/>
  <c r="J16" i="80"/>
  <c r="G18" i="80"/>
  <c r="J18" i="80"/>
  <c r="G19" i="80"/>
  <c r="J19" i="80"/>
  <c r="G20" i="80"/>
  <c r="J20" i="80"/>
  <c r="G21" i="80"/>
  <c r="J21" i="80"/>
  <c r="G22" i="80"/>
  <c r="J22" i="80"/>
  <c r="G24" i="80"/>
  <c r="J24" i="80"/>
  <c r="G25" i="80"/>
  <c r="J25" i="80"/>
  <c r="G26" i="80"/>
  <c r="J26" i="80"/>
  <c r="G27" i="80"/>
  <c r="J27" i="80"/>
  <c r="G28" i="80"/>
  <c r="J28" i="80"/>
  <c r="G29" i="80"/>
  <c r="J29" i="80"/>
  <c r="G30" i="80"/>
  <c r="J30" i="80"/>
  <c r="G31" i="80"/>
  <c r="J31" i="80"/>
  <c r="G32" i="80"/>
  <c r="J32" i="80"/>
  <c r="G33" i="80"/>
  <c r="J33" i="80"/>
  <c r="G34" i="80"/>
  <c r="J34" i="80"/>
  <c r="G35" i="80"/>
  <c r="J35" i="80"/>
  <c r="G36" i="80"/>
  <c r="J36" i="80"/>
  <c r="G37" i="80"/>
  <c r="J37" i="80"/>
  <c r="G38" i="80"/>
  <c r="J38" i="80"/>
  <c r="J4" i="80"/>
  <c r="G4" i="80"/>
  <c r="J20" i="24"/>
  <c r="J21" i="24"/>
  <c r="J22" i="24"/>
  <c r="J23" i="24"/>
  <c r="J24" i="24"/>
  <c r="J25" i="24"/>
  <c r="J26" i="24"/>
  <c r="J27" i="24"/>
  <c r="J28" i="24"/>
  <c r="G29" i="24"/>
  <c r="J29" i="24"/>
  <c r="G30" i="24"/>
  <c r="J30" i="24"/>
  <c r="G31" i="24"/>
  <c r="J31" i="24"/>
  <c r="G32" i="24"/>
  <c r="J32" i="24"/>
  <c r="G33" i="24"/>
  <c r="J33" i="24"/>
  <c r="G34" i="24"/>
  <c r="J34" i="24"/>
  <c r="G6" i="74"/>
  <c r="J6" i="74"/>
  <c r="G7" i="74"/>
  <c r="J7" i="74"/>
  <c r="G8" i="74"/>
  <c r="J8" i="74"/>
  <c r="G9" i="74"/>
  <c r="J9" i="74"/>
  <c r="G10" i="74"/>
  <c r="J10" i="74"/>
  <c r="G11" i="74"/>
  <c r="J11" i="74"/>
  <c r="G12" i="74"/>
  <c r="J12" i="74"/>
  <c r="G13" i="74"/>
  <c r="J13" i="74"/>
  <c r="G14" i="74"/>
  <c r="J14" i="74"/>
  <c r="G15" i="74"/>
  <c r="J15" i="74"/>
  <c r="G16" i="74"/>
  <c r="J16" i="74"/>
  <c r="G17" i="74"/>
  <c r="J17" i="74"/>
  <c r="G18" i="74"/>
  <c r="J18" i="74"/>
  <c r="G19" i="74"/>
  <c r="J19" i="74"/>
  <c r="G20" i="74"/>
  <c r="J20" i="74"/>
  <c r="G21" i="74"/>
  <c r="J21" i="74"/>
  <c r="G22" i="74"/>
  <c r="J22" i="74"/>
  <c r="G23" i="74"/>
  <c r="J23" i="74"/>
  <c r="G24" i="74"/>
  <c r="J24" i="74"/>
  <c r="G25" i="74"/>
  <c r="J25" i="74"/>
  <c r="G26" i="74"/>
  <c r="J26" i="74"/>
  <c r="G27" i="74"/>
  <c r="J27" i="74"/>
  <c r="G28" i="74"/>
  <c r="J28" i="74"/>
  <c r="G29" i="74"/>
  <c r="J29" i="74"/>
  <c r="G30" i="74"/>
  <c r="J30" i="74"/>
  <c r="G31" i="74"/>
  <c r="J31" i="74"/>
  <c r="G32" i="74"/>
  <c r="J32" i="74"/>
  <c r="G33" i="74"/>
  <c r="J33" i="74"/>
  <c r="G5" i="73"/>
  <c r="J5" i="73"/>
  <c r="G6" i="73"/>
  <c r="J6" i="73"/>
  <c r="G7" i="73"/>
  <c r="J7" i="73"/>
  <c r="G8" i="73"/>
  <c r="J8" i="73"/>
  <c r="G9" i="73"/>
  <c r="J9" i="73"/>
  <c r="G10" i="73"/>
  <c r="J10" i="73"/>
  <c r="G11" i="73"/>
  <c r="J11" i="73"/>
  <c r="G12" i="73"/>
  <c r="J12" i="73"/>
  <c r="G13" i="73"/>
  <c r="J13" i="73"/>
  <c r="G14" i="73"/>
  <c r="J14" i="73"/>
  <c r="G15" i="73"/>
  <c r="J15" i="73"/>
  <c r="G16" i="73"/>
  <c r="J16" i="73"/>
  <c r="G17" i="73"/>
  <c r="J17" i="73"/>
  <c r="G18" i="73"/>
  <c r="J18" i="73"/>
  <c r="G19" i="73"/>
  <c r="J19" i="73"/>
  <c r="G20" i="73"/>
  <c r="J20" i="73"/>
  <c r="G21" i="73"/>
  <c r="J21" i="73"/>
  <c r="G22" i="73"/>
  <c r="J22" i="73"/>
  <c r="G24" i="73"/>
  <c r="J24" i="73"/>
  <c r="G25" i="73"/>
  <c r="J25" i="73"/>
  <c r="G26" i="73"/>
  <c r="J26" i="73"/>
  <c r="G27" i="73"/>
  <c r="J27" i="73"/>
  <c r="G28" i="73"/>
  <c r="J28" i="73"/>
  <c r="G29" i="73"/>
  <c r="J29" i="73"/>
  <c r="G30" i="73"/>
  <c r="J30" i="73"/>
  <c r="G31" i="73"/>
  <c r="J31" i="73"/>
  <c r="G32" i="73"/>
  <c r="J32" i="73"/>
  <c r="G34" i="73"/>
  <c r="J34" i="73"/>
  <c r="G5" i="68"/>
  <c r="J5" i="68"/>
  <c r="K5" i="68"/>
  <c r="G6" i="68"/>
  <c r="J6" i="68"/>
  <c r="K6" i="68"/>
  <c r="G7" i="68"/>
  <c r="J7" i="68"/>
  <c r="K7" i="68"/>
  <c r="G8" i="68"/>
  <c r="J8" i="68"/>
  <c r="K8" i="68"/>
  <c r="G9" i="68"/>
  <c r="J9" i="68"/>
  <c r="K9" i="68"/>
  <c r="G10" i="68"/>
  <c r="J10" i="68"/>
  <c r="K10" i="68"/>
  <c r="G11" i="68"/>
  <c r="J11" i="68"/>
  <c r="K11" i="68"/>
  <c r="G12" i="68"/>
  <c r="J12" i="68"/>
  <c r="K12" i="68"/>
  <c r="G13" i="68"/>
  <c r="J13" i="68"/>
  <c r="K13" i="68"/>
  <c r="J14" i="68"/>
  <c r="K14" i="68"/>
  <c r="G15" i="68"/>
  <c r="J15" i="68"/>
  <c r="K15" i="68"/>
  <c r="G16" i="68"/>
  <c r="J16" i="68"/>
  <c r="K16" i="68"/>
  <c r="G17" i="68"/>
  <c r="J17" i="68"/>
  <c r="K17" i="68"/>
  <c r="G18" i="68"/>
  <c r="J18" i="68"/>
  <c r="K18" i="68"/>
  <c r="G19" i="68"/>
  <c r="J19" i="68"/>
  <c r="K19" i="68"/>
  <c r="G20" i="68"/>
  <c r="J20" i="68"/>
  <c r="K20" i="68"/>
  <c r="G21" i="68"/>
  <c r="J21" i="68"/>
  <c r="K21" i="68"/>
  <c r="G22" i="68"/>
  <c r="J22" i="68"/>
  <c r="K22" i="68"/>
  <c r="G23" i="68"/>
  <c r="J23" i="68"/>
  <c r="K23" i="68"/>
  <c r="G25" i="68"/>
  <c r="J25" i="68"/>
  <c r="K25" i="68"/>
  <c r="L25" i="68" s="1"/>
  <c r="G26" i="68"/>
  <c r="J26" i="68"/>
  <c r="K26" i="68"/>
  <c r="G27" i="68"/>
  <c r="J27" i="68"/>
  <c r="K27" i="68"/>
  <c r="G28" i="68"/>
  <c r="J28" i="68"/>
  <c r="K28" i="68"/>
  <c r="G29" i="68"/>
  <c r="J29" i="68"/>
  <c r="K29" i="68"/>
  <c r="G30" i="68"/>
  <c r="J30" i="68"/>
  <c r="K30" i="68"/>
  <c r="G31" i="68"/>
  <c r="J31" i="68"/>
  <c r="K31" i="68"/>
  <c r="G32" i="68"/>
  <c r="J32" i="68"/>
  <c r="K32" i="68"/>
  <c r="G33" i="68"/>
  <c r="J33" i="68"/>
  <c r="K33" i="68"/>
  <c r="G34" i="68"/>
  <c r="J34" i="68"/>
  <c r="K34" i="68"/>
  <c r="L34" i="68" s="1"/>
  <c r="G35" i="68"/>
  <c r="J35" i="68"/>
  <c r="K35" i="68"/>
  <c r="J4" i="68"/>
  <c r="G4" i="68"/>
  <c r="G6" i="63"/>
  <c r="J6" i="63"/>
  <c r="K6" i="63"/>
  <c r="G7" i="63"/>
  <c r="J7" i="63"/>
  <c r="K7" i="63"/>
  <c r="G8" i="63"/>
  <c r="J8" i="63"/>
  <c r="K8" i="63"/>
  <c r="G9" i="63"/>
  <c r="J9" i="63"/>
  <c r="K9" i="63"/>
  <c r="G10" i="63"/>
  <c r="J10" i="63"/>
  <c r="K10" i="63"/>
  <c r="G11" i="63"/>
  <c r="J11" i="63"/>
  <c r="K11" i="63"/>
  <c r="G12" i="63"/>
  <c r="J12" i="63"/>
  <c r="K12" i="63"/>
  <c r="G13" i="63"/>
  <c r="J13" i="63"/>
  <c r="K13" i="63"/>
  <c r="G14" i="63"/>
  <c r="J14" i="63"/>
  <c r="K14" i="63"/>
  <c r="G15" i="63"/>
  <c r="J15" i="63"/>
  <c r="K15" i="63"/>
  <c r="G16" i="63"/>
  <c r="J16" i="63"/>
  <c r="K16" i="63"/>
  <c r="G17" i="63"/>
  <c r="J17" i="63"/>
  <c r="K17" i="63"/>
  <c r="G18" i="63"/>
  <c r="J18" i="63"/>
  <c r="K18" i="63"/>
  <c r="G19" i="63"/>
  <c r="J19" i="63"/>
  <c r="K19" i="63"/>
  <c r="G20" i="63"/>
  <c r="J20" i="63"/>
  <c r="K20" i="63"/>
  <c r="G21" i="63"/>
  <c r="J21" i="63"/>
  <c r="K21" i="63"/>
  <c r="G22" i="63"/>
  <c r="J22" i="63"/>
  <c r="K22" i="63"/>
  <c r="G23" i="63"/>
  <c r="J23" i="63"/>
  <c r="K23" i="63"/>
  <c r="G24" i="63"/>
  <c r="J24" i="63"/>
  <c r="K24" i="63"/>
  <c r="G25" i="63"/>
  <c r="J25" i="63"/>
  <c r="K25" i="63"/>
  <c r="G26" i="63"/>
  <c r="J26" i="63"/>
  <c r="K26" i="63"/>
  <c r="G27" i="63"/>
  <c r="J27" i="63"/>
  <c r="K27" i="63"/>
  <c r="G28" i="63"/>
  <c r="J28" i="63"/>
  <c r="K28" i="63"/>
  <c r="G29" i="63"/>
  <c r="J29" i="63"/>
  <c r="K29" i="63"/>
  <c r="G30" i="63"/>
  <c r="J30" i="63"/>
  <c r="K30" i="63"/>
  <c r="G31" i="63"/>
  <c r="J31" i="63"/>
  <c r="K31" i="63"/>
  <c r="G32" i="63"/>
  <c r="J32" i="63"/>
  <c r="K32" i="63"/>
  <c r="G33" i="63"/>
  <c r="J33" i="63"/>
  <c r="K33" i="63"/>
  <c r="G5" i="16"/>
  <c r="J5" i="16"/>
  <c r="K5" i="16"/>
  <c r="G6" i="16"/>
  <c r="J6" i="16"/>
  <c r="K6" i="16"/>
  <c r="G7" i="16"/>
  <c r="J7" i="16"/>
  <c r="K7" i="16"/>
  <c r="G8" i="16"/>
  <c r="J8" i="16"/>
  <c r="K8" i="16"/>
  <c r="G9" i="16"/>
  <c r="J9" i="16"/>
  <c r="K9" i="16"/>
  <c r="G10" i="16"/>
  <c r="J10" i="16"/>
  <c r="K10" i="16"/>
  <c r="G11" i="16"/>
  <c r="J11" i="16"/>
  <c r="K11" i="16"/>
  <c r="G12" i="16"/>
  <c r="J12" i="16"/>
  <c r="K12" i="16"/>
  <c r="G13" i="16"/>
  <c r="J13" i="16"/>
  <c r="K13" i="16"/>
  <c r="G14" i="16"/>
  <c r="J14" i="16"/>
  <c r="K14" i="16"/>
  <c r="J15" i="16"/>
  <c r="K15" i="16"/>
  <c r="G16" i="16"/>
  <c r="J16" i="16"/>
  <c r="K16" i="16"/>
  <c r="G17" i="16"/>
  <c r="J17" i="16"/>
  <c r="K17" i="16"/>
  <c r="G18" i="16"/>
  <c r="J18" i="16"/>
  <c r="K18" i="16"/>
  <c r="G19" i="16"/>
  <c r="J19" i="16"/>
  <c r="K19" i="16"/>
  <c r="G20" i="16"/>
  <c r="J20" i="16"/>
  <c r="K20" i="16"/>
  <c r="G21" i="16"/>
  <c r="J21" i="16"/>
  <c r="K21" i="16"/>
  <c r="G22" i="16"/>
  <c r="J22" i="16"/>
  <c r="K22" i="16"/>
  <c r="G23" i="16"/>
  <c r="J23" i="16"/>
  <c r="K23" i="16"/>
  <c r="G24" i="16"/>
  <c r="J24" i="16"/>
  <c r="K24" i="16"/>
  <c r="G25" i="16"/>
  <c r="J25" i="16"/>
  <c r="K25" i="16"/>
  <c r="G26" i="16"/>
  <c r="J26" i="16"/>
  <c r="K26" i="16"/>
  <c r="G27" i="16"/>
  <c r="J27" i="16"/>
  <c r="K27" i="16"/>
  <c r="G28" i="16"/>
  <c r="J28" i="16"/>
  <c r="K28" i="16"/>
  <c r="G29" i="16"/>
  <c r="J29" i="16"/>
  <c r="K29" i="16"/>
  <c r="G30" i="16"/>
  <c r="J30" i="16"/>
  <c r="K30" i="16"/>
  <c r="G31" i="16"/>
  <c r="J31" i="16"/>
  <c r="K31" i="16"/>
  <c r="G32" i="16"/>
  <c r="J32" i="16"/>
  <c r="K32" i="16"/>
  <c r="G33" i="16"/>
  <c r="J33" i="16"/>
  <c r="K33" i="16"/>
  <c r="G34" i="16"/>
  <c r="J34" i="16"/>
  <c r="K34" i="16"/>
  <c r="G35" i="16"/>
  <c r="J35" i="16"/>
  <c r="K35" i="16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J21" i="3"/>
  <c r="K21" i="3"/>
  <c r="G22" i="3"/>
  <c r="J22" i="3"/>
  <c r="K22" i="3"/>
  <c r="G23" i="3"/>
  <c r="J23" i="3"/>
  <c r="K23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25" i="52"/>
  <c r="J25" i="52"/>
  <c r="G26" i="52"/>
  <c r="J26" i="52"/>
  <c r="G27" i="52"/>
  <c r="J27" i="52"/>
  <c r="G28" i="52"/>
  <c r="J28" i="52"/>
  <c r="G29" i="52"/>
  <c r="J29" i="52"/>
  <c r="G30" i="52"/>
  <c r="J30" i="52"/>
  <c r="G31" i="52"/>
  <c r="J31" i="52"/>
  <c r="G32" i="52"/>
  <c r="J32" i="52"/>
  <c r="G33" i="52"/>
  <c r="J33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4" i="52"/>
  <c r="J14" i="52"/>
  <c r="K14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G8" i="62"/>
  <c r="G9" i="62"/>
  <c r="G10" i="62"/>
  <c r="G11" i="62"/>
  <c r="G12" i="62"/>
  <c r="G13" i="62"/>
  <c r="G14" i="62"/>
  <c r="G16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30" i="62"/>
  <c r="G31" i="62"/>
  <c r="G32" i="62"/>
  <c r="G33" i="62"/>
  <c r="G34" i="62"/>
  <c r="G35" i="62"/>
  <c r="G36" i="62"/>
  <c r="G5" i="89"/>
  <c r="J5" i="89"/>
  <c r="K5" i="89"/>
  <c r="G6" i="89"/>
  <c r="J6" i="89"/>
  <c r="K6" i="89"/>
  <c r="G7" i="89"/>
  <c r="J7" i="89"/>
  <c r="K7" i="89"/>
  <c r="G8" i="89"/>
  <c r="J8" i="89"/>
  <c r="K8" i="89"/>
  <c r="G9" i="89"/>
  <c r="J9" i="89"/>
  <c r="K9" i="89"/>
  <c r="G10" i="89"/>
  <c r="J10" i="89"/>
  <c r="K10" i="89"/>
  <c r="G11" i="89"/>
  <c r="J11" i="89"/>
  <c r="K11" i="89"/>
  <c r="G12" i="89"/>
  <c r="J12" i="89"/>
  <c r="K12" i="89"/>
  <c r="G13" i="89"/>
  <c r="J13" i="89"/>
  <c r="K13" i="89"/>
  <c r="G14" i="89"/>
  <c r="J14" i="89"/>
  <c r="K14" i="89"/>
  <c r="G15" i="89"/>
  <c r="J15" i="89"/>
  <c r="K15" i="89"/>
  <c r="G16" i="89"/>
  <c r="J16" i="89"/>
  <c r="K16" i="89"/>
  <c r="G17" i="89"/>
  <c r="J17" i="89"/>
  <c r="K17" i="89"/>
  <c r="G18" i="89"/>
  <c r="J18" i="89"/>
  <c r="K18" i="89"/>
  <c r="G19" i="89"/>
  <c r="J19" i="89"/>
  <c r="K19" i="89"/>
  <c r="G20" i="89"/>
  <c r="J20" i="89"/>
  <c r="K20" i="89"/>
  <c r="G21" i="89"/>
  <c r="J21" i="89"/>
  <c r="K21" i="89"/>
  <c r="G22" i="89"/>
  <c r="J22" i="89"/>
  <c r="K22" i="89"/>
  <c r="G23" i="89"/>
  <c r="J23" i="89"/>
  <c r="K23" i="89"/>
  <c r="G24" i="89"/>
  <c r="J24" i="89"/>
  <c r="K24" i="89"/>
  <c r="G25" i="89"/>
  <c r="J25" i="89"/>
  <c r="K25" i="89"/>
  <c r="G26" i="89"/>
  <c r="J26" i="89"/>
  <c r="K26" i="89"/>
  <c r="G27" i="89"/>
  <c r="J27" i="89"/>
  <c r="K27" i="89"/>
  <c r="G28" i="89"/>
  <c r="K28" i="89"/>
  <c r="G29" i="89"/>
  <c r="J29" i="89"/>
  <c r="K29" i="89"/>
  <c r="G30" i="89"/>
  <c r="J30" i="89"/>
  <c r="K30" i="89"/>
  <c r="G31" i="89"/>
  <c r="J31" i="89"/>
  <c r="K31" i="89"/>
  <c r="G32" i="89"/>
  <c r="J32" i="89"/>
  <c r="K32" i="89"/>
  <c r="G33" i="89"/>
  <c r="J33" i="89"/>
  <c r="K33" i="89"/>
  <c r="G34" i="89"/>
  <c r="J34" i="89"/>
  <c r="K34" i="89"/>
  <c r="J5" i="78"/>
  <c r="J6" i="78"/>
  <c r="J7" i="78"/>
  <c r="J8" i="78"/>
  <c r="J9" i="78"/>
  <c r="J10" i="78"/>
  <c r="J11" i="78"/>
  <c r="J12" i="78"/>
  <c r="J13" i="78"/>
  <c r="J14" i="78"/>
  <c r="J15" i="78"/>
  <c r="J16" i="78"/>
  <c r="J17" i="78"/>
  <c r="J18" i="78"/>
  <c r="J20" i="78"/>
  <c r="J21" i="78"/>
  <c r="J22" i="78"/>
  <c r="J23" i="78"/>
  <c r="J24" i="78"/>
  <c r="J25" i="78"/>
  <c r="J26" i="78"/>
  <c r="J27" i="78"/>
  <c r="J28" i="78"/>
  <c r="J29" i="78"/>
  <c r="J30" i="78"/>
  <c r="J31" i="78"/>
  <c r="J32" i="78"/>
  <c r="G5" i="72"/>
  <c r="J5" i="72"/>
  <c r="K5" i="72"/>
  <c r="G6" i="72"/>
  <c r="J6" i="72"/>
  <c r="K6" i="72"/>
  <c r="G7" i="72"/>
  <c r="J7" i="72"/>
  <c r="K7" i="72"/>
  <c r="G8" i="72"/>
  <c r="J8" i="72"/>
  <c r="K8" i="72"/>
  <c r="G9" i="72"/>
  <c r="J9" i="72"/>
  <c r="K9" i="72"/>
  <c r="G10" i="72"/>
  <c r="J10" i="72"/>
  <c r="K10" i="72"/>
  <c r="G11" i="72"/>
  <c r="J11" i="72"/>
  <c r="K11" i="72"/>
  <c r="G12" i="72"/>
  <c r="J12" i="72"/>
  <c r="K12" i="72"/>
  <c r="G13" i="72"/>
  <c r="J13" i="72"/>
  <c r="K13" i="72"/>
  <c r="G14" i="72"/>
  <c r="J14" i="72"/>
  <c r="K14" i="72"/>
  <c r="G15" i="72"/>
  <c r="J15" i="72"/>
  <c r="K15" i="72"/>
  <c r="G16" i="72"/>
  <c r="J16" i="72"/>
  <c r="K16" i="72"/>
  <c r="G17" i="72"/>
  <c r="J17" i="72"/>
  <c r="K17" i="72"/>
  <c r="G18" i="72"/>
  <c r="J18" i="72"/>
  <c r="K18" i="72"/>
  <c r="G19" i="72"/>
  <c r="J19" i="72"/>
  <c r="K19" i="72"/>
  <c r="G20" i="72"/>
  <c r="J20" i="72"/>
  <c r="K20" i="72"/>
  <c r="G21" i="72"/>
  <c r="J21" i="72"/>
  <c r="K21" i="72"/>
  <c r="G22" i="72"/>
  <c r="J22" i="72"/>
  <c r="K22" i="72"/>
  <c r="G23" i="72"/>
  <c r="J23" i="72"/>
  <c r="K23" i="72"/>
  <c r="G24" i="72"/>
  <c r="J24" i="72"/>
  <c r="K24" i="72"/>
  <c r="G25" i="72"/>
  <c r="J25" i="72"/>
  <c r="K25" i="72"/>
  <c r="G26" i="72"/>
  <c r="J26" i="72"/>
  <c r="K26" i="72"/>
  <c r="G27" i="72"/>
  <c r="J27" i="72"/>
  <c r="K27" i="72"/>
  <c r="G28" i="72"/>
  <c r="J28" i="72"/>
  <c r="K28" i="72"/>
  <c r="G29" i="72"/>
  <c r="J29" i="72"/>
  <c r="K29" i="72"/>
  <c r="G30" i="72"/>
  <c r="J30" i="72"/>
  <c r="K30" i="72"/>
  <c r="G31" i="72"/>
  <c r="J31" i="72"/>
  <c r="K31" i="72"/>
  <c r="G32" i="72"/>
  <c r="J32" i="72"/>
  <c r="K32" i="72"/>
  <c r="G33" i="72"/>
  <c r="J33" i="72"/>
  <c r="K33" i="72"/>
  <c r="G5" i="82"/>
  <c r="J5" i="82"/>
  <c r="K5" i="82"/>
  <c r="G6" i="82"/>
  <c r="J6" i="82"/>
  <c r="K6" i="82"/>
  <c r="G7" i="82"/>
  <c r="J7" i="82"/>
  <c r="K7" i="82"/>
  <c r="G8" i="82"/>
  <c r="J8" i="82"/>
  <c r="K8" i="82"/>
  <c r="G9" i="82"/>
  <c r="J9" i="82"/>
  <c r="K9" i="82"/>
  <c r="G10" i="82"/>
  <c r="J10" i="82"/>
  <c r="K10" i="82"/>
  <c r="G11" i="82"/>
  <c r="J11" i="82"/>
  <c r="K11" i="82"/>
  <c r="G12" i="82"/>
  <c r="J12" i="82"/>
  <c r="K12" i="82"/>
  <c r="G13" i="82"/>
  <c r="J13" i="82"/>
  <c r="K13" i="82"/>
  <c r="G14" i="82"/>
  <c r="J14" i="82"/>
  <c r="K14" i="82"/>
  <c r="G15" i="82"/>
  <c r="J15" i="82"/>
  <c r="K15" i="82"/>
  <c r="G16" i="82"/>
  <c r="J16" i="82"/>
  <c r="K16" i="82"/>
  <c r="G17" i="82"/>
  <c r="J17" i="82"/>
  <c r="K17" i="82"/>
  <c r="G18" i="82"/>
  <c r="J18" i="82"/>
  <c r="K18" i="82"/>
  <c r="G19" i="82"/>
  <c r="J19" i="82"/>
  <c r="K19" i="82"/>
  <c r="G20" i="82"/>
  <c r="J20" i="82"/>
  <c r="K20" i="82"/>
  <c r="G21" i="82"/>
  <c r="J21" i="82"/>
  <c r="K21" i="82"/>
  <c r="G22" i="82"/>
  <c r="J22" i="82"/>
  <c r="K22" i="82"/>
  <c r="G23" i="82"/>
  <c r="J23" i="82"/>
  <c r="K23" i="82"/>
  <c r="G24" i="82"/>
  <c r="J24" i="82"/>
  <c r="K24" i="82"/>
  <c r="G25" i="82"/>
  <c r="J25" i="82"/>
  <c r="K25" i="82"/>
  <c r="G26" i="82"/>
  <c r="J26" i="82"/>
  <c r="K26" i="82"/>
  <c r="G27" i="82"/>
  <c r="J27" i="82"/>
  <c r="K27" i="82"/>
  <c r="G28" i="82"/>
  <c r="J28" i="82"/>
  <c r="K28" i="82"/>
  <c r="G29" i="82"/>
  <c r="J29" i="82"/>
  <c r="K29" i="82"/>
  <c r="G30" i="82"/>
  <c r="J30" i="82"/>
  <c r="K30" i="82"/>
  <c r="G31" i="82"/>
  <c r="J31" i="82"/>
  <c r="K31" i="82"/>
  <c r="G32" i="82"/>
  <c r="J32" i="82"/>
  <c r="K32" i="82"/>
  <c r="G33" i="82"/>
  <c r="J33" i="82"/>
  <c r="K33" i="82"/>
  <c r="G34" i="82"/>
  <c r="J34" i="82"/>
  <c r="K34" i="82"/>
  <c r="G6" i="47"/>
  <c r="J6" i="47"/>
  <c r="K6" i="47"/>
  <c r="G7" i="47"/>
  <c r="J7" i="47"/>
  <c r="K7" i="47"/>
  <c r="G8" i="47"/>
  <c r="J8" i="47"/>
  <c r="K8" i="47"/>
  <c r="G9" i="47"/>
  <c r="J9" i="47"/>
  <c r="K9" i="47"/>
  <c r="G10" i="47"/>
  <c r="J10" i="47"/>
  <c r="K10" i="47"/>
  <c r="G11" i="47"/>
  <c r="J11" i="47"/>
  <c r="K11" i="47"/>
  <c r="G12" i="47"/>
  <c r="J12" i="47"/>
  <c r="K12" i="47"/>
  <c r="G13" i="47"/>
  <c r="J13" i="47"/>
  <c r="K13" i="47"/>
  <c r="G14" i="47"/>
  <c r="J14" i="47"/>
  <c r="K14" i="47"/>
  <c r="G15" i="47"/>
  <c r="J15" i="47"/>
  <c r="K15" i="47"/>
  <c r="G16" i="47"/>
  <c r="J16" i="47"/>
  <c r="K16" i="47"/>
  <c r="G17" i="47"/>
  <c r="J17" i="47"/>
  <c r="K17" i="47"/>
  <c r="G18" i="47"/>
  <c r="J18" i="47"/>
  <c r="K18" i="47"/>
  <c r="G19" i="47"/>
  <c r="J19" i="47"/>
  <c r="K19" i="47"/>
  <c r="G20" i="47"/>
  <c r="J20" i="47"/>
  <c r="K20" i="47"/>
  <c r="G21" i="47"/>
  <c r="J21" i="47"/>
  <c r="K21" i="47"/>
  <c r="G22" i="47"/>
  <c r="J22" i="47"/>
  <c r="K22" i="47"/>
  <c r="G23" i="47"/>
  <c r="J23" i="47"/>
  <c r="K23" i="47"/>
  <c r="G24" i="47"/>
  <c r="J24" i="47"/>
  <c r="K24" i="47"/>
  <c r="G25" i="47"/>
  <c r="J25" i="47"/>
  <c r="K25" i="47"/>
  <c r="G26" i="47"/>
  <c r="J26" i="47"/>
  <c r="K26" i="47"/>
  <c r="G27" i="47"/>
  <c r="J27" i="47"/>
  <c r="K27" i="47"/>
  <c r="G28" i="47"/>
  <c r="J28" i="47"/>
  <c r="K28" i="47"/>
  <c r="G29" i="47"/>
  <c r="J29" i="47"/>
  <c r="K29" i="47"/>
  <c r="G30" i="47"/>
  <c r="J30" i="47"/>
  <c r="K30" i="47"/>
  <c r="G31" i="47"/>
  <c r="J31" i="47"/>
  <c r="K31" i="47"/>
  <c r="G32" i="47"/>
  <c r="J32" i="47"/>
  <c r="K32" i="47"/>
  <c r="G33" i="47"/>
  <c r="J33" i="47"/>
  <c r="K33" i="47"/>
  <c r="G34" i="47"/>
  <c r="J34" i="47"/>
  <c r="K34" i="47"/>
  <c r="G5" i="50"/>
  <c r="K5" i="50"/>
  <c r="G6" i="50"/>
  <c r="K6" i="50"/>
  <c r="G7" i="50"/>
  <c r="K7" i="50"/>
  <c r="G8" i="50"/>
  <c r="K8" i="50"/>
  <c r="G9" i="50"/>
  <c r="K9" i="50"/>
  <c r="G10" i="50"/>
  <c r="K10" i="50"/>
  <c r="G11" i="50"/>
  <c r="K11" i="50"/>
  <c r="G12" i="50"/>
  <c r="K12" i="50"/>
  <c r="G13" i="50"/>
  <c r="K13" i="50"/>
  <c r="G14" i="50"/>
  <c r="K14" i="50"/>
  <c r="G15" i="50"/>
  <c r="K15" i="50"/>
  <c r="G16" i="50"/>
  <c r="G17" i="50"/>
  <c r="G18" i="50"/>
  <c r="K18" i="50" s="1"/>
  <c r="G19" i="50"/>
  <c r="K19" i="50" s="1"/>
  <c r="G20" i="50"/>
  <c r="K20" i="50" s="1"/>
  <c r="G21" i="50"/>
  <c r="K21" i="50" s="1"/>
  <c r="M21" i="50" s="1"/>
  <c r="M22" i="50" s="1"/>
  <c r="G22" i="50"/>
  <c r="K22" i="50"/>
  <c r="G23" i="50"/>
  <c r="K23" i="50"/>
  <c r="G24" i="50"/>
  <c r="K24" i="50"/>
  <c r="G25" i="50"/>
  <c r="K25" i="50"/>
  <c r="G26" i="50"/>
  <c r="K26" i="50"/>
  <c r="G27" i="50"/>
  <c r="K27" i="50"/>
  <c r="G28" i="50"/>
  <c r="K28" i="50"/>
  <c r="G29" i="50"/>
  <c r="K29" i="50"/>
  <c r="G30" i="50"/>
  <c r="K30" i="50"/>
  <c r="G31" i="50"/>
  <c r="K31" i="50"/>
  <c r="G32" i="50"/>
  <c r="K32" i="50"/>
  <c r="G33" i="50"/>
  <c r="K33" i="50"/>
  <c r="H40" i="80"/>
  <c r="J80" i="44"/>
  <c r="J81" i="44"/>
  <c r="J83" i="44"/>
  <c r="J84" i="44"/>
  <c r="J92" i="44"/>
  <c r="J93" i="44"/>
  <c r="J94" i="44"/>
  <c r="K95" i="44"/>
  <c r="G94" i="44"/>
  <c r="K94" i="44" s="1"/>
  <c r="G93" i="44"/>
  <c r="K93" i="44" s="1"/>
  <c r="G92" i="44"/>
  <c r="K92" i="44" s="1"/>
  <c r="G91" i="44"/>
  <c r="K91" i="44" s="1"/>
  <c r="G84" i="44"/>
  <c r="K84" i="44" s="1"/>
  <c r="G83" i="44"/>
  <c r="K83" i="44" s="1"/>
  <c r="G81" i="44"/>
  <c r="K81" i="44" s="1"/>
  <c r="G79" i="44"/>
  <c r="K79" i="44" s="1"/>
  <c r="M79" i="44" s="1"/>
  <c r="G80" i="44"/>
  <c r="K80" i="44" s="1"/>
  <c r="J79" i="44"/>
  <c r="J76" i="44"/>
  <c r="J77" i="44"/>
  <c r="J78" i="44"/>
  <c r="J74" i="44"/>
  <c r="J75" i="44"/>
  <c r="H43" i="51"/>
  <c r="E35" i="24"/>
  <c r="K15" i="69"/>
  <c r="E50" i="69"/>
  <c r="J30" i="62"/>
  <c r="K30" i="62"/>
  <c r="J29" i="71"/>
  <c r="K29" i="71" s="1"/>
  <c r="L29" i="71" s="1"/>
  <c r="I9" i="56"/>
  <c r="H35" i="89"/>
  <c r="F9" i="56" s="1"/>
  <c r="E35" i="89"/>
  <c r="D9" i="56" s="1"/>
  <c r="J4" i="89"/>
  <c r="G4" i="89"/>
  <c r="K4" i="89" s="1"/>
  <c r="K16" i="80"/>
  <c r="K15" i="75"/>
  <c r="J7" i="33"/>
  <c r="J6" i="33"/>
  <c r="J8" i="26"/>
  <c r="J9" i="26"/>
  <c r="G6" i="83"/>
  <c r="P10" i="41"/>
  <c r="K6" i="22"/>
  <c r="G5" i="71"/>
  <c r="G4" i="35"/>
  <c r="I46" i="56"/>
  <c r="I31" i="56"/>
  <c r="J4" i="57"/>
  <c r="G11" i="40"/>
  <c r="G12" i="40"/>
  <c r="G13" i="40"/>
  <c r="G14" i="40"/>
  <c r="G7" i="62"/>
  <c r="G9" i="7"/>
  <c r="G10" i="7"/>
  <c r="G11" i="7"/>
  <c r="G12" i="7"/>
  <c r="G13" i="7"/>
  <c r="G14" i="7"/>
  <c r="G15" i="7"/>
  <c r="G16" i="7"/>
  <c r="G17" i="7"/>
  <c r="G18" i="7"/>
  <c r="K22" i="9"/>
  <c r="K10" i="78"/>
  <c r="K11" i="78"/>
  <c r="K12" i="78"/>
  <c r="K10" i="9"/>
  <c r="K11" i="9"/>
  <c r="K9" i="9"/>
  <c r="H56" i="85"/>
  <c r="F33" i="56" s="1"/>
  <c r="E56" i="85"/>
  <c r="D33" i="56" s="1"/>
  <c r="J55" i="85"/>
  <c r="G55" i="85"/>
  <c r="K55" i="85" s="1"/>
  <c r="J54" i="85"/>
  <c r="G54" i="85"/>
  <c r="K54" i="85" s="1"/>
  <c r="J53" i="85"/>
  <c r="G53" i="85"/>
  <c r="K53" i="85" s="1"/>
  <c r="J52" i="85"/>
  <c r="G52" i="85"/>
  <c r="K52" i="85" s="1"/>
  <c r="J51" i="85"/>
  <c r="G51" i="85"/>
  <c r="K51" i="85" s="1"/>
  <c r="J50" i="85"/>
  <c r="G50" i="85"/>
  <c r="K50" i="85" s="1"/>
  <c r="J49" i="85"/>
  <c r="G49" i="85"/>
  <c r="K49" i="85" s="1"/>
  <c r="J48" i="85"/>
  <c r="G48" i="85"/>
  <c r="K48" i="85" s="1"/>
  <c r="J47" i="85"/>
  <c r="G47" i="85"/>
  <c r="K47" i="85" s="1"/>
  <c r="J46" i="85"/>
  <c r="G46" i="85"/>
  <c r="K46" i="85" s="1"/>
  <c r="J45" i="85"/>
  <c r="G45" i="85"/>
  <c r="K45" i="85" s="1"/>
  <c r="J44" i="85"/>
  <c r="G44" i="85"/>
  <c r="K44" i="85" s="1"/>
  <c r="J43" i="85"/>
  <c r="G43" i="85"/>
  <c r="K43" i="85" s="1"/>
  <c r="J42" i="85"/>
  <c r="G42" i="85"/>
  <c r="K42" i="85" s="1"/>
  <c r="J41" i="85"/>
  <c r="G41" i="85"/>
  <c r="K41" i="85" s="1"/>
  <c r="J40" i="85"/>
  <c r="G40" i="85"/>
  <c r="K40" i="85" s="1"/>
  <c r="J39" i="85"/>
  <c r="G39" i="85"/>
  <c r="K39" i="85" s="1"/>
  <c r="J38" i="85"/>
  <c r="G38" i="85"/>
  <c r="K38" i="85" s="1"/>
  <c r="J37" i="85"/>
  <c r="G37" i="85"/>
  <c r="K37" i="85" s="1"/>
  <c r="L56" i="85"/>
  <c r="J33" i="56" s="1"/>
  <c r="J4" i="85"/>
  <c r="J56" i="85" s="1"/>
  <c r="G33" i="56" s="1"/>
  <c r="G4" i="85"/>
  <c r="I33" i="56"/>
  <c r="M3" i="14"/>
  <c r="G4" i="22"/>
  <c r="G5" i="63"/>
  <c r="J5" i="63"/>
  <c r="K5" i="63"/>
  <c r="G5" i="52"/>
  <c r="J5" i="52"/>
  <c r="K5" i="52"/>
  <c r="G6" i="52"/>
  <c r="J6" i="52"/>
  <c r="K6" i="52"/>
  <c r="G7" i="52"/>
  <c r="J7" i="52"/>
  <c r="K7" i="52"/>
  <c r="G21" i="52"/>
  <c r="J21" i="52"/>
  <c r="G22" i="52"/>
  <c r="J22" i="52"/>
  <c r="G23" i="52"/>
  <c r="J23" i="52"/>
  <c r="G24" i="52"/>
  <c r="J24" i="52"/>
  <c r="G5" i="62"/>
  <c r="J5" i="62"/>
  <c r="K5" i="62"/>
  <c r="G6" i="62"/>
  <c r="J6" i="62"/>
  <c r="K6" i="62"/>
  <c r="J7" i="62"/>
  <c r="K7" i="62"/>
  <c r="J8" i="62"/>
  <c r="K8" i="62"/>
  <c r="J9" i="62"/>
  <c r="K9" i="62"/>
  <c r="J10" i="62"/>
  <c r="K10" i="62"/>
  <c r="J11" i="62"/>
  <c r="K11" i="62"/>
  <c r="J12" i="62"/>
  <c r="K12" i="62"/>
  <c r="J13" i="62"/>
  <c r="K13" i="62"/>
  <c r="J14" i="62"/>
  <c r="K14" i="62"/>
  <c r="J16" i="62"/>
  <c r="K16" i="62"/>
  <c r="J17" i="62"/>
  <c r="K17" i="62"/>
  <c r="M17" i="62" s="1"/>
  <c r="J18" i="62"/>
  <c r="K18" i="62"/>
  <c r="J19" i="62"/>
  <c r="K19" i="62"/>
  <c r="J20" i="62"/>
  <c r="K20" i="62"/>
  <c r="J21" i="62"/>
  <c r="K21" i="62"/>
  <c r="J22" i="62"/>
  <c r="K22" i="62"/>
  <c r="J23" i="62"/>
  <c r="K23" i="62"/>
  <c r="J24" i="62"/>
  <c r="K24" i="62"/>
  <c r="J25" i="62"/>
  <c r="K25" i="62"/>
  <c r="J26" i="62"/>
  <c r="K26" i="62"/>
  <c r="J27" i="62"/>
  <c r="K27" i="62"/>
  <c r="J28" i="62"/>
  <c r="K28" i="62"/>
  <c r="J29" i="62"/>
  <c r="K29" i="62"/>
  <c r="J31" i="62"/>
  <c r="K31" i="62"/>
  <c r="J32" i="62"/>
  <c r="K32" i="62"/>
  <c r="J33" i="62"/>
  <c r="K33" i="62"/>
  <c r="J34" i="62"/>
  <c r="K34" i="62"/>
  <c r="J35" i="62"/>
  <c r="K35" i="62"/>
  <c r="G33" i="58"/>
  <c r="J5" i="47"/>
  <c r="J33" i="78"/>
  <c r="H37" i="76"/>
  <c r="H35" i="24"/>
  <c r="J29" i="35"/>
  <c r="AM5" i="84"/>
  <c r="AM6" i="84"/>
  <c r="AM7" i="84"/>
  <c r="AM8" i="84"/>
  <c r="AM9" i="84"/>
  <c r="AM10" i="84"/>
  <c r="AM11" i="84"/>
  <c r="AM12" i="84"/>
  <c r="AM13" i="84"/>
  <c r="AM14" i="84"/>
  <c r="AM15" i="84"/>
  <c r="AM4" i="84"/>
  <c r="G5" i="78"/>
  <c r="I4" i="56"/>
  <c r="I43" i="56"/>
  <c r="L34" i="83"/>
  <c r="J43" i="56" s="1"/>
  <c r="H34" i="83"/>
  <c r="F43" i="56" s="1"/>
  <c r="E34" i="83"/>
  <c r="D43" i="56" s="1"/>
  <c r="J33" i="83"/>
  <c r="G33" i="83"/>
  <c r="K33" i="83" s="1"/>
  <c r="J32" i="83"/>
  <c r="G32" i="83"/>
  <c r="K32" i="83" s="1"/>
  <c r="J31" i="83"/>
  <c r="G31" i="83"/>
  <c r="K31" i="83" s="1"/>
  <c r="J30" i="83"/>
  <c r="G30" i="83"/>
  <c r="K30" i="83" s="1"/>
  <c r="J29" i="83"/>
  <c r="G29" i="83"/>
  <c r="K29" i="83" s="1"/>
  <c r="J28" i="83"/>
  <c r="G28" i="83"/>
  <c r="K28" i="83" s="1"/>
  <c r="J27" i="83"/>
  <c r="G27" i="83"/>
  <c r="K27" i="83" s="1"/>
  <c r="J26" i="83"/>
  <c r="G26" i="83"/>
  <c r="K26" i="83" s="1"/>
  <c r="J25" i="83"/>
  <c r="G25" i="83"/>
  <c r="K25" i="83" s="1"/>
  <c r="J24" i="83"/>
  <c r="G24" i="83"/>
  <c r="K24" i="83" s="1"/>
  <c r="J23" i="83"/>
  <c r="G23" i="83"/>
  <c r="K23" i="83" s="1"/>
  <c r="J22" i="83"/>
  <c r="G22" i="83"/>
  <c r="K22" i="83" s="1"/>
  <c r="J21" i="83"/>
  <c r="G21" i="83"/>
  <c r="K21" i="83" s="1"/>
  <c r="J20" i="83"/>
  <c r="G20" i="83"/>
  <c r="K20" i="83" s="1"/>
  <c r="J19" i="83"/>
  <c r="G19" i="83"/>
  <c r="K19" i="83" s="1"/>
  <c r="J18" i="83"/>
  <c r="G18" i="83"/>
  <c r="K18" i="83" s="1"/>
  <c r="J17" i="83"/>
  <c r="G17" i="83"/>
  <c r="K17" i="83" s="1"/>
  <c r="J16" i="83"/>
  <c r="G16" i="83"/>
  <c r="K16" i="83" s="1"/>
  <c r="J15" i="83"/>
  <c r="G15" i="83"/>
  <c r="K15" i="83" s="1"/>
  <c r="J14" i="83"/>
  <c r="G14" i="83"/>
  <c r="K14" i="83" s="1"/>
  <c r="J13" i="83"/>
  <c r="G13" i="83"/>
  <c r="K13" i="83" s="1"/>
  <c r="J12" i="83"/>
  <c r="G12" i="83"/>
  <c r="K12" i="83" s="1"/>
  <c r="J11" i="83"/>
  <c r="G11" i="83"/>
  <c r="K11" i="83" s="1"/>
  <c r="J10" i="83"/>
  <c r="G10" i="83"/>
  <c r="K10" i="83" s="1"/>
  <c r="J9" i="83"/>
  <c r="G9" i="83"/>
  <c r="K9" i="83" s="1"/>
  <c r="J8" i="83"/>
  <c r="G8" i="83"/>
  <c r="K8" i="83" s="1"/>
  <c r="J7" i="83"/>
  <c r="G7" i="83"/>
  <c r="K7" i="83" s="1"/>
  <c r="J6" i="83"/>
  <c r="K6" i="83" s="1"/>
  <c r="J5" i="83"/>
  <c r="G5" i="83"/>
  <c r="K5" i="83" s="1"/>
  <c r="J4" i="83"/>
  <c r="J34" i="83" s="1"/>
  <c r="G43" i="56" s="1"/>
  <c r="G4" i="83"/>
  <c r="L35" i="82"/>
  <c r="J4" i="56" s="1"/>
  <c r="H35" i="82"/>
  <c r="F4" i="56" s="1"/>
  <c r="E35" i="82"/>
  <c r="D4" i="56" s="1"/>
  <c r="J4" i="82"/>
  <c r="J35" i="82" s="1"/>
  <c r="G4" i="56" s="1"/>
  <c r="G4" i="82"/>
  <c r="J11" i="25"/>
  <c r="J12" i="25"/>
  <c r="J14" i="25"/>
  <c r="J15" i="25"/>
  <c r="I54" i="56"/>
  <c r="M56" i="81"/>
  <c r="H45" i="81"/>
  <c r="F54" i="56" s="1"/>
  <c r="E45" i="81"/>
  <c r="D54" i="56" s="1"/>
  <c r="J44" i="81"/>
  <c r="G44" i="81"/>
  <c r="K44" i="81" s="1"/>
  <c r="J4" i="81"/>
  <c r="J45" i="81" s="1"/>
  <c r="G54" i="56" s="1"/>
  <c r="G4" i="81"/>
  <c r="I25" i="56"/>
  <c r="I39" i="56"/>
  <c r="L40" i="80"/>
  <c r="J25" i="56" s="1"/>
  <c r="F25" i="56"/>
  <c r="E40" i="80"/>
  <c r="D25" i="56" s="1"/>
  <c r="J39" i="80"/>
  <c r="G39" i="80"/>
  <c r="K39" i="80" s="1"/>
  <c r="K38" i="80"/>
  <c r="K37" i="80"/>
  <c r="K36" i="80"/>
  <c r="K35" i="80"/>
  <c r="K34" i="80"/>
  <c r="K33" i="80"/>
  <c r="K32" i="80"/>
  <c r="K31" i="80"/>
  <c r="K30" i="80"/>
  <c r="K29" i="80"/>
  <c r="K28" i="80"/>
  <c r="K27" i="80"/>
  <c r="K26" i="80"/>
  <c r="K25" i="80"/>
  <c r="K24" i="80"/>
  <c r="K22" i="80"/>
  <c r="K21" i="80"/>
  <c r="K20" i="80"/>
  <c r="K19" i="80"/>
  <c r="K18" i="80"/>
  <c r="K15" i="80"/>
  <c r="K14" i="80"/>
  <c r="K13" i="80"/>
  <c r="K12" i="80"/>
  <c r="K10" i="80"/>
  <c r="K9" i="80"/>
  <c r="K8" i="80"/>
  <c r="K7" i="80"/>
  <c r="K6" i="80"/>
  <c r="K5" i="80"/>
  <c r="J40" i="80"/>
  <c r="G25" i="56" s="1"/>
  <c r="L35" i="79"/>
  <c r="J39" i="56" s="1"/>
  <c r="H35" i="79"/>
  <c r="F39" i="56" s="1"/>
  <c r="E35" i="79"/>
  <c r="D39" i="56" s="1"/>
  <c r="K34" i="79"/>
  <c r="K33" i="79"/>
  <c r="K32" i="79"/>
  <c r="K31" i="79"/>
  <c r="K30" i="79"/>
  <c r="K29" i="79"/>
  <c r="K28" i="79"/>
  <c r="K27" i="79"/>
  <c r="K26" i="79"/>
  <c r="K25" i="79"/>
  <c r="K24" i="79"/>
  <c r="I38" i="79" s="1"/>
  <c r="K23" i="79"/>
  <c r="K22" i="79"/>
  <c r="K21" i="79"/>
  <c r="K20" i="79"/>
  <c r="K19" i="79"/>
  <c r="K18" i="79"/>
  <c r="K17" i="79"/>
  <c r="K16" i="79"/>
  <c r="K15" i="79"/>
  <c r="K14" i="79"/>
  <c r="K13" i="79"/>
  <c r="K12" i="79"/>
  <c r="K11" i="79"/>
  <c r="K10" i="79"/>
  <c r="K9" i="79"/>
  <c r="K8" i="79"/>
  <c r="K7" i="79"/>
  <c r="K6" i="79"/>
  <c r="K5" i="79"/>
  <c r="J4" i="79"/>
  <c r="J35" i="79" s="1"/>
  <c r="G39" i="56" s="1"/>
  <c r="G4" i="79"/>
  <c r="G32" i="19"/>
  <c r="G33" i="19"/>
  <c r="J6" i="25"/>
  <c r="J7" i="25"/>
  <c r="J8" i="25"/>
  <c r="J9" i="25"/>
  <c r="J10" i="25"/>
  <c r="J16" i="25"/>
  <c r="J17" i="25"/>
  <c r="J18" i="25"/>
  <c r="J19" i="25"/>
  <c r="J21" i="25"/>
  <c r="J22" i="25"/>
  <c r="J23" i="25"/>
  <c r="J24" i="25"/>
  <c r="J25" i="25"/>
  <c r="J26" i="25"/>
  <c r="J27" i="25"/>
  <c r="J28" i="25"/>
  <c r="J29" i="25"/>
  <c r="J30" i="25"/>
  <c r="J31" i="25"/>
  <c r="J33" i="25"/>
  <c r="J34" i="25"/>
  <c r="J36" i="25"/>
  <c r="J37" i="25"/>
  <c r="J38" i="25"/>
  <c r="K5" i="57"/>
  <c r="K6" i="57"/>
  <c r="K7" i="57"/>
  <c r="K8" i="57"/>
  <c r="K9" i="57"/>
  <c r="K10" i="57"/>
  <c r="K11" i="57"/>
  <c r="K12" i="57"/>
  <c r="K13" i="57"/>
  <c r="K14" i="57"/>
  <c r="K15" i="57"/>
  <c r="K16" i="57"/>
  <c r="K17" i="57"/>
  <c r="K18" i="57"/>
  <c r="K19" i="57"/>
  <c r="K20" i="57"/>
  <c r="K21" i="57"/>
  <c r="K22" i="57"/>
  <c r="K23" i="57"/>
  <c r="K24" i="57"/>
  <c r="K25" i="57"/>
  <c r="K26" i="57"/>
  <c r="K27" i="57"/>
  <c r="K28" i="57"/>
  <c r="K29" i="57"/>
  <c r="K30" i="57"/>
  <c r="K31" i="57"/>
  <c r="K32" i="57"/>
  <c r="K33" i="57"/>
  <c r="K34" i="57"/>
  <c r="G4" i="41"/>
  <c r="J5" i="60"/>
  <c r="J6" i="60"/>
  <c r="J7" i="60"/>
  <c r="J8" i="60"/>
  <c r="J9" i="60"/>
  <c r="J10" i="60"/>
  <c r="J11" i="60"/>
  <c r="J12" i="60"/>
  <c r="J13" i="60"/>
  <c r="J14" i="60"/>
  <c r="J15" i="60"/>
  <c r="J16" i="60"/>
  <c r="K16" i="60" s="1"/>
  <c r="J17" i="60"/>
  <c r="J18" i="60"/>
  <c r="J19" i="60"/>
  <c r="J20" i="60"/>
  <c r="J21" i="60"/>
  <c r="J22" i="60"/>
  <c r="J23" i="60"/>
  <c r="J24" i="60"/>
  <c r="J25" i="60"/>
  <c r="J26" i="60"/>
  <c r="J27" i="60"/>
  <c r="J28" i="60"/>
  <c r="J29" i="60"/>
  <c r="J30" i="60"/>
  <c r="J31" i="60"/>
  <c r="J32" i="60"/>
  <c r="J33" i="60"/>
  <c r="J34" i="60"/>
  <c r="K5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J5" i="51"/>
  <c r="K5" i="51"/>
  <c r="J6" i="51"/>
  <c r="K6" i="51"/>
  <c r="J7" i="51"/>
  <c r="K7" i="51"/>
  <c r="J8" i="51"/>
  <c r="K8" i="51"/>
  <c r="J9" i="51"/>
  <c r="K9" i="51"/>
  <c r="J10" i="51"/>
  <c r="K10" i="51"/>
  <c r="J11" i="51"/>
  <c r="K11" i="51"/>
  <c r="J12" i="51"/>
  <c r="K12" i="51"/>
  <c r="J13" i="51"/>
  <c r="K13" i="51"/>
  <c r="J14" i="51"/>
  <c r="K14" i="51"/>
  <c r="J15" i="51"/>
  <c r="K15" i="51"/>
  <c r="J16" i="51"/>
  <c r="K16" i="51"/>
  <c r="J17" i="51"/>
  <c r="K17" i="51"/>
  <c r="J18" i="51"/>
  <c r="K18" i="51"/>
  <c r="J19" i="51"/>
  <c r="K19" i="51"/>
  <c r="J20" i="51"/>
  <c r="K20" i="51"/>
  <c r="J21" i="51"/>
  <c r="K21" i="51"/>
  <c r="J22" i="51"/>
  <c r="K22" i="51"/>
  <c r="J23" i="51"/>
  <c r="K23" i="51"/>
  <c r="J24" i="51"/>
  <c r="K24" i="51"/>
  <c r="J25" i="51"/>
  <c r="K25" i="51"/>
  <c r="J26" i="51"/>
  <c r="K26" i="51"/>
  <c r="J27" i="51"/>
  <c r="K27" i="51"/>
  <c r="J28" i="51"/>
  <c r="K28" i="51"/>
  <c r="J29" i="51"/>
  <c r="K29" i="51"/>
  <c r="J30" i="51"/>
  <c r="K30" i="51"/>
  <c r="J31" i="51"/>
  <c r="K31" i="51"/>
  <c r="J32" i="51"/>
  <c r="K32" i="51"/>
  <c r="J33" i="51"/>
  <c r="K33" i="51"/>
  <c r="J34" i="51"/>
  <c r="K34" i="51"/>
  <c r="J35" i="51"/>
  <c r="K35" i="51"/>
  <c r="J36" i="51"/>
  <c r="K36" i="51"/>
  <c r="J37" i="51"/>
  <c r="K37" i="51"/>
  <c r="J38" i="51"/>
  <c r="K38" i="51"/>
  <c r="G39" i="51"/>
  <c r="J39" i="51"/>
  <c r="K39" i="51"/>
  <c r="J40" i="51"/>
  <c r="K40" i="51"/>
  <c r="K5" i="69"/>
  <c r="K6" i="69"/>
  <c r="K7" i="69"/>
  <c r="K8" i="69"/>
  <c r="K9" i="69"/>
  <c r="K10" i="69"/>
  <c r="K11" i="69"/>
  <c r="K12" i="69"/>
  <c r="K13" i="69"/>
  <c r="K14" i="69"/>
  <c r="K16" i="69"/>
  <c r="K17" i="69"/>
  <c r="K18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G35" i="69"/>
  <c r="J35" i="69"/>
  <c r="K35" i="69"/>
  <c r="G36" i="69"/>
  <c r="J36" i="69"/>
  <c r="K36" i="69"/>
  <c r="G37" i="69"/>
  <c r="J37" i="69"/>
  <c r="K37" i="69"/>
  <c r="G38" i="69"/>
  <c r="J38" i="69"/>
  <c r="K38" i="69"/>
  <c r="G39" i="69"/>
  <c r="J39" i="69"/>
  <c r="K39" i="69"/>
  <c r="G40" i="69"/>
  <c r="J40" i="69"/>
  <c r="K40" i="69"/>
  <c r="G41" i="69"/>
  <c r="J41" i="69"/>
  <c r="K41" i="69"/>
  <c r="G4" i="26"/>
  <c r="J36" i="62"/>
  <c r="G34" i="10"/>
  <c r="J34" i="10"/>
  <c r="G4" i="76"/>
  <c r="G4" i="75"/>
  <c r="J35" i="73"/>
  <c r="G35" i="73"/>
  <c r="K35" i="73" s="1"/>
  <c r="L35" i="73" s="1"/>
  <c r="K34" i="24"/>
  <c r="K34" i="60"/>
  <c r="G34" i="63"/>
  <c r="K34" i="63" s="1"/>
  <c r="E35" i="74"/>
  <c r="K33" i="74"/>
  <c r="L33" i="74" s="1"/>
  <c r="G34" i="74"/>
  <c r="K34" i="74" s="1"/>
  <c r="L34" i="74" s="1"/>
  <c r="I7" i="56"/>
  <c r="G32" i="78"/>
  <c r="K32" i="78"/>
  <c r="G33" i="78"/>
  <c r="K33" i="78"/>
  <c r="G34" i="78"/>
  <c r="J34" i="78"/>
  <c r="K34" i="78"/>
  <c r="H35" i="78"/>
  <c r="F7" i="56" s="1"/>
  <c r="E35" i="78"/>
  <c r="D7" i="56" s="1"/>
  <c r="G31" i="78"/>
  <c r="K31" i="78" s="1"/>
  <c r="G30" i="78"/>
  <c r="K30" i="78" s="1"/>
  <c r="G29" i="78"/>
  <c r="K29" i="78" s="1"/>
  <c r="G28" i="78"/>
  <c r="K28" i="78" s="1"/>
  <c r="G27" i="78"/>
  <c r="K27" i="78" s="1"/>
  <c r="G26" i="78"/>
  <c r="G25" i="78"/>
  <c r="K25" i="78" s="1"/>
  <c r="G24" i="78"/>
  <c r="K24" i="78" s="1"/>
  <c r="G23" i="78"/>
  <c r="K23" i="78" s="1"/>
  <c r="G22" i="78"/>
  <c r="K22" i="78" s="1"/>
  <c r="G21" i="78"/>
  <c r="K21" i="78" s="1"/>
  <c r="G20" i="78"/>
  <c r="K20" i="78" s="1"/>
  <c r="G18" i="78"/>
  <c r="K18" i="78" s="1"/>
  <c r="G17" i="78"/>
  <c r="K17" i="78" s="1"/>
  <c r="G16" i="78"/>
  <c r="K16" i="78" s="1"/>
  <c r="G15" i="78"/>
  <c r="K15" i="78" s="1"/>
  <c r="L35" i="78" s="1"/>
  <c r="J7" i="56" s="1"/>
  <c r="G14" i="78"/>
  <c r="K14" i="78" s="1"/>
  <c r="G13" i="78"/>
  <c r="K13" i="78" s="1"/>
  <c r="G12" i="78"/>
  <c r="G11" i="78"/>
  <c r="G10" i="78"/>
  <c r="G9" i="78"/>
  <c r="K9" i="78" s="1"/>
  <c r="G8" i="78"/>
  <c r="K8" i="78" s="1"/>
  <c r="G7" i="78"/>
  <c r="K7" i="78" s="1"/>
  <c r="G6" i="78"/>
  <c r="K6" i="78" s="1"/>
  <c r="K5" i="78"/>
  <c r="J4" i="78"/>
  <c r="G4" i="78"/>
  <c r="K4" i="78" s="1"/>
  <c r="M4" i="78" s="1"/>
  <c r="M5" i="78" s="1"/>
  <c r="M6" i="78" s="1"/>
  <c r="M7" i="78" s="1"/>
  <c r="M8" i="78" s="1"/>
  <c r="M9" i="78" s="1"/>
  <c r="M10" i="78" s="1"/>
  <c r="M11" i="78" s="1"/>
  <c r="M12" i="78" s="1"/>
  <c r="M13" i="78" s="1"/>
  <c r="M14" i="78" s="1"/>
  <c r="M15" i="78" s="1"/>
  <c r="M16" i="78" s="1"/>
  <c r="M17" i="78" s="1"/>
  <c r="M18" i="78" s="1"/>
  <c r="M19" i="78" s="1"/>
  <c r="M20" i="78" s="1"/>
  <c r="M21" i="78" s="1"/>
  <c r="M22" i="78" s="1"/>
  <c r="M23" i="78" s="1"/>
  <c r="M24" i="78" s="1"/>
  <c r="M25" i="78" s="1"/>
  <c r="G18" i="58"/>
  <c r="G19" i="58"/>
  <c r="G20" i="58"/>
  <c r="G21" i="58"/>
  <c r="G22" i="58"/>
  <c r="G23" i="58"/>
  <c r="G24" i="58"/>
  <c r="G25" i="58"/>
  <c r="G26" i="58"/>
  <c r="G27" i="58"/>
  <c r="Q25" i="14"/>
  <c r="J6" i="14"/>
  <c r="I40" i="56"/>
  <c r="L37" i="76"/>
  <c r="J40" i="56" s="1"/>
  <c r="F40" i="56"/>
  <c r="E37" i="76"/>
  <c r="D40" i="56" s="1"/>
  <c r="K35" i="76"/>
  <c r="K34" i="76"/>
  <c r="K33" i="76"/>
  <c r="K32" i="76"/>
  <c r="K31" i="76"/>
  <c r="K30" i="76"/>
  <c r="K29" i="76"/>
  <c r="K28" i="76"/>
  <c r="K27" i="76"/>
  <c r="K26" i="76"/>
  <c r="K25" i="76"/>
  <c r="I40" i="76" s="1"/>
  <c r="K21" i="76"/>
  <c r="K20" i="76"/>
  <c r="K19" i="76"/>
  <c r="K18" i="76"/>
  <c r="K17" i="76"/>
  <c r="K16" i="76"/>
  <c r="K15" i="76"/>
  <c r="K14" i="76"/>
  <c r="K13" i="76"/>
  <c r="K12" i="76"/>
  <c r="K11" i="76"/>
  <c r="K10" i="76"/>
  <c r="K9" i="76"/>
  <c r="K8" i="76"/>
  <c r="K7" i="76"/>
  <c r="K6" i="76"/>
  <c r="J4" i="76"/>
  <c r="G21" i="7"/>
  <c r="I38" i="56"/>
  <c r="E35" i="57"/>
  <c r="L35" i="9"/>
  <c r="E35" i="60"/>
  <c r="G12" i="58"/>
  <c r="G13" i="58"/>
  <c r="G14" i="58"/>
  <c r="G15" i="58"/>
  <c r="G16" i="58"/>
  <c r="G17" i="58"/>
  <c r="K12" i="58"/>
  <c r="L12" i="58"/>
  <c r="K13" i="58"/>
  <c r="L13" i="58"/>
  <c r="K14" i="58"/>
  <c r="L14" i="58"/>
  <c r="K15" i="58"/>
  <c r="L15" i="58"/>
  <c r="K16" i="58"/>
  <c r="L16" i="58"/>
  <c r="K17" i="58"/>
  <c r="L17" i="58"/>
  <c r="K18" i="58"/>
  <c r="L18" i="58"/>
  <c r="G9" i="58"/>
  <c r="G10" i="58"/>
  <c r="G11" i="58"/>
  <c r="H42" i="75"/>
  <c r="F38" i="56" s="1"/>
  <c r="D38" i="56"/>
  <c r="J40" i="75"/>
  <c r="G40" i="75"/>
  <c r="K40" i="75" s="1"/>
  <c r="J39" i="75"/>
  <c r="G39" i="75"/>
  <c r="K39" i="75" s="1"/>
  <c r="J38" i="75"/>
  <c r="G38" i="75"/>
  <c r="K38" i="75" s="1"/>
  <c r="J37" i="75"/>
  <c r="G37" i="75"/>
  <c r="K37" i="75" s="1"/>
  <c r="J36" i="75"/>
  <c r="G36" i="75"/>
  <c r="K36" i="75" s="1"/>
  <c r="J35" i="75"/>
  <c r="G35" i="75"/>
  <c r="K35" i="75" s="1"/>
  <c r="K34" i="75"/>
  <c r="K33" i="75"/>
  <c r="K32" i="75"/>
  <c r="K30" i="75"/>
  <c r="K29" i="75"/>
  <c r="I45" i="75" s="1"/>
  <c r="K27" i="75"/>
  <c r="K26" i="75"/>
  <c r="K23" i="75"/>
  <c r="K22" i="75"/>
  <c r="K21" i="75"/>
  <c r="K20" i="75"/>
  <c r="K19" i="75"/>
  <c r="K18" i="75"/>
  <c r="K17" i="75"/>
  <c r="K16" i="75"/>
  <c r="K14" i="75"/>
  <c r="K13" i="75"/>
  <c r="L13" i="75" s="1"/>
  <c r="K12" i="75"/>
  <c r="K11" i="75"/>
  <c r="K10" i="75"/>
  <c r="K9" i="75"/>
  <c r="K8" i="75"/>
  <c r="K7" i="75"/>
  <c r="K6" i="75"/>
  <c r="J4" i="75"/>
  <c r="I23" i="56"/>
  <c r="J4" i="25"/>
  <c r="K4" i="68"/>
  <c r="E55" i="22"/>
  <c r="I21" i="56"/>
  <c r="H35" i="74"/>
  <c r="F23" i="56" s="1"/>
  <c r="D23" i="56"/>
  <c r="K29" i="74"/>
  <c r="L29" i="74" s="1"/>
  <c r="K28" i="74"/>
  <c r="L28" i="74" s="1"/>
  <c r="K27" i="74"/>
  <c r="L27" i="74" s="1"/>
  <c r="K26" i="74"/>
  <c r="L26" i="74" s="1"/>
  <c r="K25" i="74"/>
  <c r="L25" i="74" s="1"/>
  <c r="K24" i="74"/>
  <c r="L24" i="74" s="1"/>
  <c r="K23" i="74"/>
  <c r="L23" i="74" s="1"/>
  <c r="K22" i="74"/>
  <c r="L22" i="74" s="1"/>
  <c r="K21" i="74"/>
  <c r="L21" i="74" s="1"/>
  <c r="K20" i="74"/>
  <c r="L20" i="74" s="1"/>
  <c r="K19" i="74"/>
  <c r="L19" i="74" s="1"/>
  <c r="K18" i="74"/>
  <c r="L18" i="74" s="1"/>
  <c r="K17" i="74"/>
  <c r="L17" i="74" s="1"/>
  <c r="K16" i="74"/>
  <c r="L16" i="74" s="1"/>
  <c r="K15" i="74"/>
  <c r="L15" i="74" s="1"/>
  <c r="K14" i="74"/>
  <c r="L14" i="74" s="1"/>
  <c r="K13" i="74"/>
  <c r="L13" i="74" s="1"/>
  <c r="K12" i="74"/>
  <c r="L12" i="74" s="1"/>
  <c r="K11" i="74"/>
  <c r="L11" i="74" s="1"/>
  <c r="K10" i="74"/>
  <c r="L10" i="74" s="1"/>
  <c r="K9" i="74"/>
  <c r="L9" i="74" s="1"/>
  <c r="K8" i="74"/>
  <c r="L8" i="74" s="1"/>
  <c r="K7" i="74"/>
  <c r="L7" i="74" s="1"/>
  <c r="K6" i="74"/>
  <c r="L6" i="74" s="1"/>
  <c r="J5" i="74"/>
  <c r="G5" i="74"/>
  <c r="K5" i="74" s="1"/>
  <c r="L5" i="74" s="1"/>
  <c r="J4" i="74"/>
  <c r="J35" i="74" s="1"/>
  <c r="G23" i="56" s="1"/>
  <c r="G4" i="74"/>
  <c r="M3" i="74"/>
  <c r="H36" i="73"/>
  <c r="F21" i="56" s="1"/>
  <c r="E36" i="73"/>
  <c r="D21" i="56" s="1"/>
  <c r="K34" i="73"/>
  <c r="L34" i="73" s="1"/>
  <c r="K33" i="73"/>
  <c r="L33" i="73" s="1"/>
  <c r="K32" i="73"/>
  <c r="L32" i="73" s="1"/>
  <c r="K31" i="73"/>
  <c r="L31" i="73" s="1"/>
  <c r="K30" i="73"/>
  <c r="L30" i="73" s="1"/>
  <c r="K29" i="73"/>
  <c r="L29" i="73" s="1"/>
  <c r="K28" i="73"/>
  <c r="L28" i="73" s="1"/>
  <c r="K27" i="73"/>
  <c r="L27" i="73" s="1"/>
  <c r="K26" i="73"/>
  <c r="L26" i="73" s="1"/>
  <c r="K25" i="73"/>
  <c r="L25" i="73" s="1"/>
  <c r="K24" i="73"/>
  <c r="L24" i="73" s="1"/>
  <c r="K22" i="73"/>
  <c r="L22" i="73" s="1"/>
  <c r="K21" i="73"/>
  <c r="L21" i="73" s="1"/>
  <c r="K20" i="73"/>
  <c r="L20" i="73" s="1"/>
  <c r="K19" i="73"/>
  <c r="L19" i="73" s="1"/>
  <c r="K18" i="73"/>
  <c r="L18" i="73" s="1"/>
  <c r="K17" i="73"/>
  <c r="L17" i="73" s="1"/>
  <c r="K16" i="73"/>
  <c r="L16" i="73" s="1"/>
  <c r="K15" i="73"/>
  <c r="L15" i="73" s="1"/>
  <c r="K14" i="73"/>
  <c r="L14" i="73" s="1"/>
  <c r="K13" i="73"/>
  <c r="L13" i="73" s="1"/>
  <c r="K12" i="73"/>
  <c r="L12" i="73" s="1"/>
  <c r="K11" i="73"/>
  <c r="L11" i="73" s="1"/>
  <c r="K10" i="73"/>
  <c r="L10" i="73" s="1"/>
  <c r="K9" i="73"/>
  <c r="L9" i="73" s="1"/>
  <c r="K8" i="73"/>
  <c r="L8" i="73" s="1"/>
  <c r="K7" i="73"/>
  <c r="L7" i="73" s="1"/>
  <c r="K6" i="73"/>
  <c r="L6" i="73" s="1"/>
  <c r="K5" i="73"/>
  <c r="L5" i="73" s="1"/>
  <c r="J4" i="73"/>
  <c r="J36" i="73" s="1"/>
  <c r="G21" i="56" s="1"/>
  <c r="G4" i="73"/>
  <c r="H35" i="9"/>
  <c r="L4" i="45"/>
  <c r="P17" i="71"/>
  <c r="O12" i="71"/>
  <c r="Q12" i="71" s="1"/>
  <c r="I12" i="56"/>
  <c r="I6" i="56"/>
  <c r="G12" i="56"/>
  <c r="L35" i="72"/>
  <c r="J6" i="56" s="1"/>
  <c r="H35" i="72"/>
  <c r="F6" i="56" s="1"/>
  <c r="E35" i="72"/>
  <c r="D6" i="56" s="1"/>
  <c r="J34" i="72"/>
  <c r="G34" i="72"/>
  <c r="K34" i="72" s="1"/>
  <c r="J4" i="72"/>
  <c r="J35" i="72" s="1"/>
  <c r="G6" i="56" s="1"/>
  <c r="G4" i="72"/>
  <c r="I20" i="56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5" i="40"/>
  <c r="J4" i="40"/>
  <c r="J10" i="7"/>
  <c r="K10" i="7"/>
  <c r="J11" i="7"/>
  <c r="K11" i="7"/>
  <c r="J12" i="7"/>
  <c r="K12" i="7"/>
  <c r="J13" i="7"/>
  <c r="K13" i="7"/>
  <c r="J14" i="7"/>
  <c r="K14" i="7"/>
  <c r="J15" i="7"/>
  <c r="K15" i="7"/>
  <c r="J16" i="7"/>
  <c r="K16" i="7"/>
  <c r="J17" i="7"/>
  <c r="K17" i="7"/>
  <c r="H36" i="71"/>
  <c r="H43" i="35"/>
  <c r="I13" i="56"/>
  <c r="F13" i="56"/>
  <c r="E36" i="71"/>
  <c r="D13" i="56" s="1"/>
  <c r="J35" i="71"/>
  <c r="G35" i="71"/>
  <c r="K35" i="71" s="1"/>
  <c r="L35" i="71" s="1"/>
  <c r="J34" i="71"/>
  <c r="G34" i="71"/>
  <c r="K34" i="71" s="1"/>
  <c r="L34" i="71" s="1"/>
  <c r="J33" i="71"/>
  <c r="G33" i="71"/>
  <c r="K33" i="71" s="1"/>
  <c r="L33" i="71" s="1"/>
  <c r="J32" i="71"/>
  <c r="G32" i="71"/>
  <c r="K32" i="71" s="1"/>
  <c r="L32" i="71" s="1"/>
  <c r="J31" i="71"/>
  <c r="G31" i="71"/>
  <c r="K31" i="71" s="1"/>
  <c r="L31" i="71" s="1"/>
  <c r="J30" i="71"/>
  <c r="G30" i="71"/>
  <c r="K30" i="71" s="1"/>
  <c r="L30" i="71" s="1"/>
  <c r="J28" i="71"/>
  <c r="G28" i="71"/>
  <c r="K28" i="71" s="1"/>
  <c r="L28" i="71" s="1"/>
  <c r="J27" i="71"/>
  <c r="G27" i="71"/>
  <c r="K27" i="71" s="1"/>
  <c r="L27" i="71" s="1"/>
  <c r="J26" i="71"/>
  <c r="G26" i="71"/>
  <c r="K26" i="71" s="1"/>
  <c r="L26" i="71" s="1"/>
  <c r="J25" i="71"/>
  <c r="G25" i="71"/>
  <c r="K25" i="71" s="1"/>
  <c r="L25" i="71" s="1"/>
  <c r="J24" i="71"/>
  <c r="G24" i="71"/>
  <c r="K24" i="71" s="1"/>
  <c r="L24" i="71" s="1"/>
  <c r="J23" i="71"/>
  <c r="G23" i="71"/>
  <c r="K23" i="71" s="1"/>
  <c r="L23" i="71" s="1"/>
  <c r="J22" i="71"/>
  <c r="G22" i="71"/>
  <c r="K22" i="71" s="1"/>
  <c r="L22" i="71" s="1"/>
  <c r="J21" i="71"/>
  <c r="G21" i="71"/>
  <c r="K21" i="71" s="1"/>
  <c r="L21" i="71" s="1"/>
  <c r="J20" i="71"/>
  <c r="G20" i="71"/>
  <c r="K20" i="71" s="1"/>
  <c r="L20" i="71" s="1"/>
  <c r="J19" i="71"/>
  <c r="G19" i="71"/>
  <c r="K19" i="71" s="1"/>
  <c r="L19" i="71" s="1"/>
  <c r="J18" i="71"/>
  <c r="G18" i="71"/>
  <c r="K18" i="71" s="1"/>
  <c r="L18" i="71" s="1"/>
  <c r="J17" i="71"/>
  <c r="G17" i="71"/>
  <c r="K17" i="71" s="1"/>
  <c r="L17" i="71" s="1"/>
  <c r="J16" i="71"/>
  <c r="G16" i="71"/>
  <c r="K16" i="71" s="1"/>
  <c r="L16" i="71" s="1"/>
  <c r="J15" i="71"/>
  <c r="G15" i="71"/>
  <c r="K15" i="71" s="1"/>
  <c r="L15" i="71" s="1"/>
  <c r="J14" i="71"/>
  <c r="G14" i="71"/>
  <c r="K14" i="71" s="1"/>
  <c r="L14" i="71" s="1"/>
  <c r="J13" i="71"/>
  <c r="G13" i="71"/>
  <c r="K13" i="71" s="1"/>
  <c r="L13" i="71" s="1"/>
  <c r="J12" i="71"/>
  <c r="G12" i="71"/>
  <c r="K12" i="71" s="1"/>
  <c r="L12" i="71" s="1"/>
  <c r="J11" i="71"/>
  <c r="G11" i="71"/>
  <c r="K11" i="71" s="1"/>
  <c r="L11" i="71" s="1"/>
  <c r="J10" i="71"/>
  <c r="G10" i="71"/>
  <c r="K10" i="71" s="1"/>
  <c r="L10" i="71" s="1"/>
  <c r="J9" i="71"/>
  <c r="G9" i="71"/>
  <c r="K9" i="71" s="1"/>
  <c r="L9" i="71" s="1"/>
  <c r="J8" i="71"/>
  <c r="G8" i="71"/>
  <c r="K8" i="71" s="1"/>
  <c r="L8" i="71" s="1"/>
  <c r="J7" i="71"/>
  <c r="G7" i="71"/>
  <c r="K7" i="71" s="1"/>
  <c r="L7" i="71" s="1"/>
  <c r="J6" i="71"/>
  <c r="G6" i="71"/>
  <c r="K6" i="71" s="1"/>
  <c r="L6" i="71" s="1"/>
  <c r="J5" i="71"/>
  <c r="K5" i="71"/>
  <c r="L5" i="71" s="1"/>
  <c r="J4" i="71"/>
  <c r="J36" i="71" s="1"/>
  <c r="G13" i="56" s="1"/>
  <c r="G4" i="71"/>
  <c r="H55" i="22"/>
  <c r="I50" i="56"/>
  <c r="H47" i="26"/>
  <c r="H50" i="69"/>
  <c r="F50" i="56" s="1"/>
  <c r="J49" i="69"/>
  <c r="G49" i="69"/>
  <c r="K49" i="69" s="1"/>
  <c r="L49" i="69" s="1"/>
  <c r="J48" i="69"/>
  <c r="G48" i="69"/>
  <c r="K48" i="69" s="1"/>
  <c r="L48" i="69" s="1"/>
  <c r="L50" i="69" s="1"/>
  <c r="J50" i="56" s="1"/>
  <c r="J47" i="69"/>
  <c r="G47" i="69"/>
  <c r="K47" i="69" s="1"/>
  <c r="J46" i="69"/>
  <c r="G46" i="69"/>
  <c r="K46" i="69" s="1"/>
  <c r="J45" i="69"/>
  <c r="G45" i="69"/>
  <c r="K45" i="69" s="1"/>
  <c r="J44" i="69"/>
  <c r="G44" i="69"/>
  <c r="K44" i="69" s="1"/>
  <c r="J43" i="69"/>
  <c r="G43" i="69"/>
  <c r="K43" i="69" s="1"/>
  <c r="J42" i="69"/>
  <c r="G42" i="69"/>
  <c r="K42" i="69" s="1"/>
  <c r="J4" i="69"/>
  <c r="J50" i="69" s="1"/>
  <c r="G50" i="56" s="1"/>
  <c r="G4" i="69"/>
  <c r="H38" i="68"/>
  <c r="F20" i="56" s="1"/>
  <c r="E38" i="68"/>
  <c r="D20" i="56" s="1"/>
  <c r="J38" i="68"/>
  <c r="G20" i="56" s="1"/>
  <c r="I24" i="56"/>
  <c r="G5" i="40"/>
  <c r="G6" i="40"/>
  <c r="G7" i="40"/>
  <c r="G8" i="40"/>
  <c r="G9" i="40"/>
  <c r="G10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K27" i="40" s="1"/>
  <c r="G28" i="40"/>
  <c r="K28" i="40" s="1"/>
  <c r="G29" i="40"/>
  <c r="K29" i="40" s="1"/>
  <c r="G30" i="40"/>
  <c r="K30" i="40" s="1"/>
  <c r="G31" i="40"/>
  <c r="K31" i="40" s="1"/>
  <c r="G32" i="40"/>
  <c r="K32" i="40" s="1"/>
  <c r="K9" i="14"/>
  <c r="K10" i="14"/>
  <c r="K11" i="14"/>
  <c r="K12" i="14"/>
  <c r="K37" i="14"/>
  <c r="G38" i="14"/>
  <c r="J38" i="14"/>
  <c r="K38" i="14"/>
  <c r="G39" i="14"/>
  <c r="J39" i="14"/>
  <c r="K39" i="14"/>
  <c r="G40" i="22"/>
  <c r="J40" i="22"/>
  <c r="K40" i="22"/>
  <c r="G41" i="22"/>
  <c r="J41" i="22"/>
  <c r="K41" i="22"/>
  <c r="G42" i="22"/>
  <c r="J42" i="22"/>
  <c r="K42" i="22"/>
  <c r="G43" i="22"/>
  <c r="J43" i="22"/>
  <c r="K43" i="22"/>
  <c r="G44" i="22"/>
  <c r="J44" i="22"/>
  <c r="K44" i="22"/>
  <c r="G45" i="22"/>
  <c r="J45" i="22"/>
  <c r="K45" i="22"/>
  <c r="G46" i="22"/>
  <c r="J46" i="22"/>
  <c r="K46" i="22"/>
  <c r="G47" i="22"/>
  <c r="J47" i="22"/>
  <c r="K47" i="22"/>
  <c r="G48" i="22"/>
  <c r="J48" i="22"/>
  <c r="K48" i="22"/>
  <c r="G49" i="22"/>
  <c r="J49" i="22"/>
  <c r="K49" i="22"/>
  <c r="G50" i="22"/>
  <c r="J50" i="22"/>
  <c r="K50" i="22"/>
  <c r="G51" i="22"/>
  <c r="J51" i="22"/>
  <c r="K51" i="22"/>
  <c r="G52" i="22"/>
  <c r="J52" i="22"/>
  <c r="K52" i="22"/>
  <c r="G53" i="22"/>
  <c r="J53" i="22"/>
  <c r="K53" i="22"/>
  <c r="M4" i="22"/>
  <c r="J5" i="12"/>
  <c r="K5" i="12"/>
  <c r="J6" i="12"/>
  <c r="K6" i="12"/>
  <c r="J7" i="12"/>
  <c r="K7" i="12"/>
  <c r="J8" i="12"/>
  <c r="K8" i="12"/>
  <c r="J9" i="12"/>
  <c r="K9" i="12"/>
  <c r="J10" i="12"/>
  <c r="K10" i="12"/>
  <c r="J11" i="12"/>
  <c r="K11" i="12"/>
  <c r="J12" i="12"/>
  <c r="K12" i="12"/>
  <c r="J13" i="12"/>
  <c r="K13" i="12"/>
  <c r="J14" i="12"/>
  <c r="K14" i="12"/>
  <c r="J15" i="12"/>
  <c r="K15" i="12"/>
  <c r="J16" i="12"/>
  <c r="K16" i="12"/>
  <c r="J17" i="12"/>
  <c r="K17" i="12"/>
  <c r="J18" i="12"/>
  <c r="K18" i="12"/>
  <c r="J19" i="12"/>
  <c r="K19" i="12"/>
  <c r="J20" i="12"/>
  <c r="K20" i="12"/>
  <c r="J21" i="12"/>
  <c r="K21" i="12"/>
  <c r="J22" i="12"/>
  <c r="K22" i="12"/>
  <c r="J24" i="12"/>
  <c r="K24" i="12"/>
  <c r="J25" i="12"/>
  <c r="K25" i="12"/>
  <c r="J26" i="12"/>
  <c r="K26" i="12"/>
  <c r="J27" i="12"/>
  <c r="K27" i="12"/>
  <c r="J28" i="12"/>
  <c r="K28" i="12"/>
  <c r="J29" i="12"/>
  <c r="K29" i="12"/>
  <c r="J30" i="12"/>
  <c r="K30" i="12"/>
  <c r="J31" i="12"/>
  <c r="K31" i="12"/>
  <c r="J32" i="12"/>
  <c r="K32" i="12"/>
  <c r="J33" i="12"/>
  <c r="K33" i="12"/>
  <c r="J34" i="12"/>
  <c r="K34" i="12"/>
  <c r="J35" i="12"/>
  <c r="K35" i="12"/>
  <c r="M3" i="16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7" i="19"/>
  <c r="J5" i="25"/>
  <c r="K5" i="25"/>
  <c r="K6" i="25"/>
  <c r="K7" i="25"/>
  <c r="K8" i="25"/>
  <c r="K9" i="25"/>
  <c r="K10" i="25"/>
  <c r="K11" i="25"/>
  <c r="K12" i="25"/>
  <c r="K14" i="25"/>
  <c r="K15" i="25"/>
  <c r="K16" i="25"/>
  <c r="K17" i="25"/>
  <c r="K18" i="25"/>
  <c r="K19" i="25"/>
  <c r="L19" i="25" s="1"/>
  <c r="K21" i="25"/>
  <c r="K22" i="25"/>
  <c r="K23" i="25"/>
  <c r="K24" i="25"/>
  <c r="K25" i="25"/>
  <c r="K26" i="25"/>
  <c r="K27" i="25"/>
  <c r="K28" i="25"/>
  <c r="K29" i="25"/>
  <c r="K30" i="25"/>
  <c r="K31" i="25"/>
  <c r="K33" i="25"/>
  <c r="K34" i="25"/>
  <c r="K36" i="25"/>
  <c r="K37" i="25"/>
  <c r="K38" i="25"/>
  <c r="K14" i="24"/>
  <c r="K15" i="24"/>
  <c r="K16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L35" i="24"/>
  <c r="J24" i="56" s="1"/>
  <c r="K5" i="60"/>
  <c r="K6" i="60"/>
  <c r="K7" i="60"/>
  <c r="K8" i="60"/>
  <c r="K9" i="60"/>
  <c r="K10" i="60"/>
  <c r="K11" i="60"/>
  <c r="K12" i="60"/>
  <c r="K13" i="60"/>
  <c r="K14" i="60"/>
  <c r="K26" i="60"/>
  <c r="K27" i="60"/>
  <c r="K28" i="60"/>
  <c r="K29" i="60"/>
  <c r="K30" i="60"/>
  <c r="K31" i="60"/>
  <c r="K32" i="60"/>
  <c r="K33" i="60"/>
  <c r="K5" i="41"/>
  <c r="K6" i="41"/>
  <c r="K7" i="41"/>
  <c r="K8" i="41"/>
  <c r="K9" i="41"/>
  <c r="K10" i="41"/>
  <c r="K11" i="41"/>
  <c r="K12" i="41"/>
  <c r="K13" i="41"/>
  <c r="K15" i="41"/>
  <c r="K17" i="41"/>
  <c r="K18" i="41"/>
  <c r="K19" i="41"/>
  <c r="K20" i="41"/>
  <c r="K21" i="41"/>
  <c r="K22" i="41"/>
  <c r="K23" i="41"/>
  <c r="K24" i="41"/>
  <c r="K27" i="41"/>
  <c r="K28" i="41"/>
  <c r="K29" i="41"/>
  <c r="K30" i="41"/>
  <c r="K31" i="41"/>
  <c r="K32" i="41"/>
  <c r="K33" i="41"/>
  <c r="K34" i="41"/>
  <c r="K35" i="41"/>
  <c r="K36" i="41"/>
  <c r="K37" i="41"/>
  <c r="K38" i="41"/>
  <c r="K39" i="41"/>
  <c r="G40" i="41"/>
  <c r="J40" i="41"/>
  <c r="K40" i="41"/>
  <c r="G41" i="41"/>
  <c r="J41" i="41"/>
  <c r="K41" i="41"/>
  <c r="J41" i="51"/>
  <c r="K41" i="51"/>
  <c r="J5" i="35"/>
  <c r="K5" i="35"/>
  <c r="J6" i="35"/>
  <c r="K6" i="35"/>
  <c r="J7" i="35"/>
  <c r="K7" i="35"/>
  <c r="J8" i="35"/>
  <c r="K8" i="35"/>
  <c r="K9" i="35"/>
  <c r="J10" i="35"/>
  <c r="K10" i="35"/>
  <c r="J11" i="35"/>
  <c r="J12" i="35"/>
  <c r="K12" i="35" s="1"/>
  <c r="J13" i="35"/>
  <c r="K13" i="35" s="1"/>
  <c r="J14" i="35"/>
  <c r="K14" i="35"/>
  <c r="J15" i="35"/>
  <c r="K15" i="35"/>
  <c r="J16" i="35"/>
  <c r="K16" i="35"/>
  <c r="J17" i="35"/>
  <c r="K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K29" i="35"/>
  <c r="J30" i="35"/>
  <c r="K30" i="35"/>
  <c r="J31" i="35"/>
  <c r="K31" i="35"/>
  <c r="J32" i="35"/>
  <c r="K32" i="35"/>
  <c r="J33" i="35"/>
  <c r="K33" i="35"/>
  <c r="J34" i="35"/>
  <c r="K34" i="35"/>
  <c r="J35" i="35"/>
  <c r="K35" i="35"/>
  <c r="J36" i="35"/>
  <c r="K36" i="35"/>
  <c r="J37" i="35"/>
  <c r="K37" i="35"/>
  <c r="J38" i="35"/>
  <c r="K38" i="35"/>
  <c r="J39" i="35"/>
  <c r="K39" i="35"/>
  <c r="J40" i="35"/>
  <c r="K40" i="35"/>
  <c r="J41" i="35"/>
  <c r="K41" i="35"/>
  <c r="K5" i="9"/>
  <c r="K6" i="9"/>
  <c r="K7" i="9"/>
  <c r="K8" i="9"/>
  <c r="K12" i="9"/>
  <c r="K13" i="9"/>
  <c r="K14" i="9"/>
  <c r="K15" i="9"/>
  <c r="K16" i="9"/>
  <c r="K17" i="9"/>
  <c r="K18" i="9"/>
  <c r="K19" i="9"/>
  <c r="K20" i="9"/>
  <c r="K21" i="9"/>
  <c r="K23" i="9"/>
  <c r="K24" i="9"/>
  <c r="K25" i="9"/>
  <c r="K26" i="9"/>
  <c r="K27" i="9"/>
  <c r="K28" i="9"/>
  <c r="K29" i="9"/>
  <c r="K30" i="9"/>
  <c r="K31" i="9"/>
  <c r="K32" i="9"/>
  <c r="K33" i="9"/>
  <c r="K34" i="9"/>
  <c r="J5" i="26"/>
  <c r="K5" i="26"/>
  <c r="J6" i="26"/>
  <c r="K6" i="26"/>
  <c r="J7" i="26"/>
  <c r="K7" i="26"/>
  <c r="K8" i="26"/>
  <c r="K9" i="26"/>
  <c r="J10" i="26"/>
  <c r="K10" i="26"/>
  <c r="J11" i="26"/>
  <c r="K11" i="26"/>
  <c r="J12" i="26"/>
  <c r="K12" i="26"/>
  <c r="J13" i="26"/>
  <c r="K13" i="26"/>
  <c r="J14" i="26"/>
  <c r="K14" i="26"/>
  <c r="L14" i="26" s="1"/>
  <c r="J15" i="26"/>
  <c r="K15" i="26"/>
  <c r="J16" i="26"/>
  <c r="K16" i="26"/>
  <c r="J17" i="26"/>
  <c r="K17" i="26"/>
  <c r="J19" i="26"/>
  <c r="K19" i="26"/>
  <c r="J20" i="26"/>
  <c r="K20" i="26"/>
  <c r="J21" i="26"/>
  <c r="K21" i="26"/>
  <c r="J22" i="26"/>
  <c r="K22" i="26"/>
  <c r="J23" i="26"/>
  <c r="K23" i="26"/>
  <c r="J24" i="26"/>
  <c r="K24" i="26"/>
  <c r="J25" i="26"/>
  <c r="K25" i="26"/>
  <c r="J26" i="26"/>
  <c r="K26" i="26"/>
  <c r="J27" i="26"/>
  <c r="K27" i="26"/>
  <c r="J28" i="26"/>
  <c r="K28" i="26"/>
  <c r="J29" i="26"/>
  <c r="K29" i="26"/>
  <c r="G30" i="26"/>
  <c r="J30" i="26"/>
  <c r="K30" i="26"/>
  <c r="G31" i="26"/>
  <c r="J31" i="26"/>
  <c r="K31" i="26"/>
  <c r="G32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38" i="26"/>
  <c r="J38" i="26"/>
  <c r="K38" i="26"/>
  <c r="G39" i="26"/>
  <c r="J39" i="26"/>
  <c r="K39" i="26"/>
  <c r="G40" i="26"/>
  <c r="J40" i="26"/>
  <c r="K40" i="26"/>
  <c r="G41" i="26"/>
  <c r="J41" i="26"/>
  <c r="K41" i="26"/>
  <c r="G42" i="26"/>
  <c r="J42" i="26"/>
  <c r="K42" i="26"/>
  <c r="G43" i="26"/>
  <c r="J43" i="26"/>
  <c r="K43" i="26"/>
  <c r="G44" i="26"/>
  <c r="J44" i="26"/>
  <c r="K44" i="26"/>
  <c r="G45" i="26"/>
  <c r="J45" i="26"/>
  <c r="K45" i="26"/>
  <c r="K6" i="10"/>
  <c r="K7" i="10"/>
  <c r="K8" i="10"/>
  <c r="K9" i="10"/>
  <c r="K10" i="10"/>
  <c r="K11" i="10"/>
  <c r="K12" i="10"/>
  <c r="K13" i="10"/>
  <c r="K14" i="10"/>
  <c r="K15" i="10"/>
  <c r="K16" i="10"/>
  <c r="K17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G5" i="19"/>
  <c r="J5" i="19"/>
  <c r="G6" i="19"/>
  <c r="J6" i="19"/>
  <c r="G7" i="19"/>
  <c r="G8" i="19"/>
  <c r="J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4" i="19"/>
  <c r="J5" i="33"/>
  <c r="K5" i="33"/>
  <c r="K6" i="33"/>
  <c r="K7" i="33"/>
  <c r="J8" i="33"/>
  <c r="K8" i="33"/>
  <c r="J9" i="33"/>
  <c r="K9" i="33"/>
  <c r="J10" i="33"/>
  <c r="K10" i="33"/>
  <c r="J11" i="33"/>
  <c r="K11" i="33"/>
  <c r="J12" i="33"/>
  <c r="K12" i="33"/>
  <c r="J13" i="33"/>
  <c r="K13" i="33"/>
  <c r="J14" i="33"/>
  <c r="K14" i="33"/>
  <c r="J15" i="33"/>
  <c r="K15" i="33"/>
  <c r="J16" i="33"/>
  <c r="K16" i="33"/>
  <c r="J17" i="33"/>
  <c r="K17" i="33"/>
  <c r="G18" i="33"/>
  <c r="J18" i="33"/>
  <c r="K18" i="33"/>
  <c r="G19" i="33"/>
  <c r="J19" i="33"/>
  <c r="K19" i="33"/>
  <c r="G20" i="33"/>
  <c r="J20" i="33"/>
  <c r="K20" i="33"/>
  <c r="G21" i="33"/>
  <c r="J21" i="33"/>
  <c r="K21" i="33"/>
  <c r="G22" i="33"/>
  <c r="J22" i="33"/>
  <c r="K22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G35" i="33"/>
  <c r="J35" i="33"/>
  <c r="K35" i="33"/>
  <c r="G36" i="33"/>
  <c r="J36" i="33"/>
  <c r="K36" i="33"/>
  <c r="G37" i="33"/>
  <c r="J37" i="33"/>
  <c r="K37" i="33"/>
  <c r="G38" i="33"/>
  <c r="J38" i="33"/>
  <c r="K38" i="33"/>
  <c r="G39" i="33"/>
  <c r="J39" i="33"/>
  <c r="K39" i="33"/>
  <c r="G40" i="33"/>
  <c r="J40" i="33"/>
  <c r="K40" i="33"/>
  <c r="G41" i="33"/>
  <c r="J41" i="33"/>
  <c r="K41" i="33"/>
  <c r="G42" i="33"/>
  <c r="J42" i="33"/>
  <c r="K42" i="33"/>
  <c r="K8" i="14"/>
  <c r="G40" i="14"/>
  <c r="J40" i="14"/>
  <c r="K40" i="14"/>
  <c r="G54" i="22"/>
  <c r="J54" i="22"/>
  <c r="K54" i="22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G33" i="40"/>
  <c r="K33" i="40" s="1"/>
  <c r="G34" i="40"/>
  <c r="K34" i="40"/>
  <c r="L34" i="40" s="1"/>
  <c r="K5" i="10"/>
  <c r="K34" i="10"/>
  <c r="H35" i="10"/>
  <c r="L35" i="10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2" i="11"/>
  <c r="K23" i="11"/>
  <c r="K24" i="11"/>
  <c r="K25" i="11"/>
  <c r="K26" i="11"/>
  <c r="K28" i="11"/>
  <c r="K29" i="11"/>
  <c r="K30" i="11"/>
  <c r="K31" i="11"/>
  <c r="K32" i="11"/>
  <c r="K33" i="11"/>
  <c r="K34" i="11"/>
  <c r="K35" i="11"/>
  <c r="K36" i="11"/>
  <c r="G36" i="16"/>
  <c r="J36" i="16"/>
  <c r="K36" i="16"/>
  <c r="K36" i="62"/>
  <c r="G37" i="62"/>
  <c r="J37" i="62"/>
  <c r="K37" i="62"/>
  <c r="G5" i="58"/>
  <c r="J5" i="58"/>
  <c r="K5" i="58"/>
  <c r="L5" i="58"/>
  <c r="G6" i="58"/>
  <c r="J6" i="58"/>
  <c r="K6" i="58"/>
  <c r="L6" i="58"/>
  <c r="G7" i="58"/>
  <c r="J7" i="58"/>
  <c r="K7" i="58"/>
  <c r="L7" i="58"/>
  <c r="G8" i="58"/>
  <c r="J8" i="58"/>
  <c r="K8" i="58"/>
  <c r="L8" i="58"/>
  <c r="J9" i="58"/>
  <c r="K9" i="58"/>
  <c r="L9" i="58"/>
  <c r="J10" i="58"/>
  <c r="K10" i="58"/>
  <c r="L10" i="58"/>
  <c r="J11" i="58"/>
  <c r="K11" i="58"/>
  <c r="L11" i="58"/>
  <c r="J12" i="58"/>
  <c r="J13" i="58"/>
  <c r="J14" i="58"/>
  <c r="J15" i="58"/>
  <c r="J16" i="58"/>
  <c r="J17" i="58"/>
  <c r="J18" i="58"/>
  <c r="J19" i="58"/>
  <c r="K19" i="58"/>
  <c r="L19" i="58"/>
  <c r="J20" i="58"/>
  <c r="K20" i="58"/>
  <c r="L20" i="58"/>
  <c r="J21" i="58"/>
  <c r="K21" i="58"/>
  <c r="L21" i="58"/>
  <c r="J22" i="58"/>
  <c r="K22" i="58"/>
  <c r="L22" i="58"/>
  <c r="J23" i="58"/>
  <c r="K23" i="58"/>
  <c r="L23" i="58"/>
  <c r="J24" i="58"/>
  <c r="K24" i="58"/>
  <c r="L24" i="58"/>
  <c r="J25" i="58"/>
  <c r="K25" i="58"/>
  <c r="L25" i="58"/>
  <c r="J26" i="58"/>
  <c r="K26" i="58"/>
  <c r="L26" i="58"/>
  <c r="J27" i="58"/>
  <c r="K27" i="58"/>
  <c r="L27" i="58"/>
  <c r="J28" i="58"/>
  <c r="K28" i="58"/>
  <c r="L28" i="58"/>
  <c r="G29" i="58"/>
  <c r="J29" i="58"/>
  <c r="K29" i="58"/>
  <c r="L29" i="58"/>
  <c r="G30" i="58"/>
  <c r="J30" i="58"/>
  <c r="K30" i="58"/>
  <c r="L30" i="58"/>
  <c r="G31" i="58"/>
  <c r="J31" i="58"/>
  <c r="K31" i="58"/>
  <c r="L31" i="58"/>
  <c r="G32" i="58"/>
  <c r="J32" i="58"/>
  <c r="K32" i="58"/>
  <c r="L32" i="58"/>
  <c r="J33" i="58"/>
  <c r="K33" i="58"/>
  <c r="L33" i="58"/>
  <c r="G5" i="47"/>
  <c r="K5" i="47"/>
  <c r="G34" i="50"/>
  <c r="K34" i="50"/>
  <c r="G35" i="50"/>
  <c r="J35" i="50"/>
  <c r="K35" i="50"/>
  <c r="G36" i="50"/>
  <c r="J36" i="50"/>
  <c r="K36" i="50"/>
  <c r="G37" i="50"/>
  <c r="J37" i="50"/>
  <c r="K37" i="50"/>
  <c r="I14" i="56"/>
  <c r="F14" i="56"/>
  <c r="D14" i="56"/>
  <c r="G14" i="56"/>
  <c r="I22" i="56"/>
  <c r="H35" i="63"/>
  <c r="F22" i="56" s="1"/>
  <c r="E35" i="63"/>
  <c r="D22" i="56" s="1"/>
  <c r="J4" i="63"/>
  <c r="J35" i="63" s="1"/>
  <c r="G22" i="56" s="1"/>
  <c r="G4" i="63"/>
  <c r="I28" i="56"/>
  <c r="L38" i="62"/>
  <c r="J15" i="56" s="1"/>
  <c r="H38" i="62"/>
  <c r="F15" i="56" s="1"/>
  <c r="E38" i="62"/>
  <c r="D15" i="56" s="1"/>
  <c r="J4" i="62"/>
  <c r="J38" i="62" s="1"/>
  <c r="G15" i="56" s="1"/>
  <c r="G4" i="62"/>
  <c r="I15" i="56"/>
  <c r="K5" i="19"/>
  <c r="L5" i="19"/>
  <c r="K6" i="19"/>
  <c r="L6" i="19"/>
  <c r="K7" i="19"/>
  <c r="L7" i="19"/>
  <c r="K8" i="19"/>
  <c r="L8" i="19"/>
  <c r="K9" i="19"/>
  <c r="L9" i="19"/>
  <c r="K10" i="19"/>
  <c r="L10" i="19"/>
  <c r="K11" i="19"/>
  <c r="L11" i="19"/>
  <c r="K12" i="19"/>
  <c r="L12" i="19"/>
  <c r="K13" i="19"/>
  <c r="L13" i="19"/>
  <c r="K14" i="19"/>
  <c r="L14" i="19"/>
  <c r="K15" i="19"/>
  <c r="L15" i="19"/>
  <c r="K16" i="19"/>
  <c r="L16" i="19"/>
  <c r="K17" i="19"/>
  <c r="L17" i="19"/>
  <c r="K18" i="19"/>
  <c r="L18" i="19"/>
  <c r="K19" i="19"/>
  <c r="L19" i="19" s="1"/>
  <c r="K20" i="19"/>
  <c r="L20" i="19"/>
  <c r="K21" i="19"/>
  <c r="L21" i="19"/>
  <c r="K22" i="19"/>
  <c r="L22" i="19"/>
  <c r="K23" i="19"/>
  <c r="L23" i="19"/>
  <c r="K24" i="19"/>
  <c r="L24" i="19"/>
  <c r="K25" i="19"/>
  <c r="L25" i="19"/>
  <c r="K26" i="19"/>
  <c r="L26" i="19"/>
  <c r="K27" i="19"/>
  <c r="L27" i="19"/>
  <c r="K28" i="19"/>
  <c r="L28" i="19"/>
  <c r="K29" i="19"/>
  <c r="L29" i="19"/>
  <c r="K30" i="19"/>
  <c r="L30" i="19"/>
  <c r="K31" i="19"/>
  <c r="L31" i="19"/>
  <c r="K32" i="19"/>
  <c r="L32" i="19"/>
  <c r="K33" i="19"/>
  <c r="L33" i="19"/>
  <c r="G43" i="33"/>
  <c r="J43" i="33"/>
  <c r="K43" i="33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G34" i="3"/>
  <c r="J34" i="3"/>
  <c r="K34" i="3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G32" i="7"/>
  <c r="J32" i="7"/>
  <c r="K32" i="7"/>
  <c r="E43" i="35"/>
  <c r="H42" i="41"/>
  <c r="I44" i="56"/>
  <c r="H36" i="12"/>
  <c r="I51" i="56"/>
  <c r="I49" i="56"/>
  <c r="H35" i="60"/>
  <c r="F44" i="56" s="1"/>
  <c r="D44" i="56"/>
  <c r="J4" i="60"/>
  <c r="J35" i="60" s="1"/>
  <c r="G44" i="56" s="1"/>
  <c r="I47" i="56"/>
  <c r="G4" i="52"/>
  <c r="J4" i="47"/>
  <c r="J5" i="14"/>
  <c r="P11" i="33"/>
  <c r="L42" i="41"/>
  <c r="I52" i="56"/>
  <c r="I48" i="56"/>
  <c r="I42" i="56"/>
  <c r="I41" i="56"/>
  <c r="I37" i="56"/>
  <c r="I32" i="56"/>
  <c r="I27" i="56"/>
  <c r="I19" i="56"/>
  <c r="I18" i="56"/>
  <c r="I17" i="56"/>
  <c r="I16" i="56"/>
  <c r="G4" i="9"/>
  <c r="K34" i="19"/>
  <c r="L34" i="19"/>
  <c r="L33" i="57"/>
  <c r="L34" i="57"/>
  <c r="K5" i="14"/>
  <c r="G5" i="7"/>
  <c r="J5" i="7"/>
  <c r="G6" i="7"/>
  <c r="J6" i="7"/>
  <c r="G7" i="7"/>
  <c r="J7" i="7"/>
  <c r="G8" i="7"/>
  <c r="J8" i="7"/>
  <c r="J9" i="7"/>
  <c r="J18" i="7"/>
  <c r="G19" i="7"/>
  <c r="J19" i="7"/>
  <c r="G20" i="7"/>
  <c r="J20" i="7"/>
  <c r="K20" i="7" s="1"/>
  <c r="J21" i="7"/>
  <c r="J22" i="7"/>
  <c r="G33" i="7"/>
  <c r="J33" i="7"/>
  <c r="G4" i="50"/>
  <c r="K4" i="50"/>
  <c r="G34" i="58"/>
  <c r="J34" i="58"/>
  <c r="K34" i="58"/>
  <c r="L34" i="58"/>
  <c r="J4" i="58"/>
  <c r="G4" i="58"/>
  <c r="H35" i="58"/>
  <c r="F12" i="56" s="1"/>
  <c r="E35" i="58"/>
  <c r="D12" i="56" s="1"/>
  <c r="J35" i="58"/>
  <c r="H35" i="19"/>
  <c r="E35" i="19"/>
  <c r="E43" i="51"/>
  <c r="F53" i="56"/>
  <c r="D53" i="56"/>
  <c r="F52" i="56"/>
  <c r="D52" i="56"/>
  <c r="D51" i="56"/>
  <c r="E44" i="33"/>
  <c r="D49" i="56" s="1"/>
  <c r="F48" i="56"/>
  <c r="E35" i="9"/>
  <c r="D48" i="56" s="1"/>
  <c r="F47" i="56"/>
  <c r="E47" i="26"/>
  <c r="D47" i="56" s="1"/>
  <c r="H35" i="57"/>
  <c r="F46" i="56" s="1"/>
  <c r="D46" i="56"/>
  <c r="J35" i="57"/>
  <c r="G46" i="56" s="1"/>
  <c r="G4" i="57"/>
  <c r="J42" i="56"/>
  <c r="F42" i="56"/>
  <c r="E42" i="41"/>
  <c r="D42" i="56" s="1"/>
  <c r="E36" i="12"/>
  <c r="L36" i="12"/>
  <c r="J41" i="56"/>
  <c r="F41" i="56"/>
  <c r="D41" i="56"/>
  <c r="F32" i="56"/>
  <c r="D32" i="56"/>
  <c r="E41" i="14"/>
  <c r="D37" i="56" s="1"/>
  <c r="E39" i="25"/>
  <c r="D31" i="56" s="1"/>
  <c r="E35" i="40"/>
  <c r="D30" i="56" s="1"/>
  <c r="D28" i="56"/>
  <c r="J27" i="56"/>
  <c r="D27" i="56"/>
  <c r="D24" i="56"/>
  <c r="E35" i="3"/>
  <c r="D19" i="56" s="1"/>
  <c r="E35" i="7"/>
  <c r="D18" i="56" s="1"/>
  <c r="E37" i="16"/>
  <c r="D17" i="56" s="1"/>
  <c r="L37" i="16"/>
  <c r="E35" i="52"/>
  <c r="D16" i="56" s="1"/>
  <c r="J48" i="56"/>
  <c r="L37" i="11"/>
  <c r="H37" i="11"/>
  <c r="F28" i="56" s="1"/>
  <c r="F27" i="56"/>
  <c r="H35" i="3"/>
  <c r="F19" i="56" s="1"/>
  <c r="L35" i="3"/>
  <c r="J19" i="56" s="1"/>
  <c r="H35" i="7"/>
  <c r="F18" i="56" s="1"/>
  <c r="I3" i="56"/>
  <c r="I2" i="56"/>
  <c r="L38" i="50"/>
  <c r="J2" i="56" s="1"/>
  <c r="H38" i="50"/>
  <c r="F2" i="56" s="1"/>
  <c r="E38" i="50"/>
  <c r="D2" i="56" s="1"/>
  <c r="F51" i="56"/>
  <c r="L41" i="14"/>
  <c r="J37" i="56" s="1"/>
  <c r="H41" i="14"/>
  <c r="F37" i="56" s="1"/>
  <c r="H39" i="25"/>
  <c r="F31" i="56" s="1"/>
  <c r="J35" i="40"/>
  <c r="G30" i="56" s="1"/>
  <c r="H35" i="40"/>
  <c r="F30" i="56" s="1"/>
  <c r="F24" i="56"/>
  <c r="K38" i="16"/>
  <c r="L35" i="52"/>
  <c r="J16" i="56" s="1"/>
  <c r="H35" i="52"/>
  <c r="F16" i="56" s="1"/>
  <c r="E36" i="47"/>
  <c r="D3" i="56" s="1"/>
  <c r="L36" i="47"/>
  <c r="J3" i="56" s="1"/>
  <c r="H36" i="47"/>
  <c r="F3" i="56" s="1"/>
  <c r="G4" i="44"/>
  <c r="G4" i="51"/>
  <c r="K5" i="7"/>
  <c r="K6" i="7"/>
  <c r="K7" i="7"/>
  <c r="K8" i="7"/>
  <c r="K9" i="7"/>
  <c r="K18" i="7"/>
  <c r="K19" i="7"/>
  <c r="K21" i="7"/>
  <c r="K22" i="7"/>
  <c r="K33" i="7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 s="1"/>
  <c r="M18" i="52"/>
  <c r="M19" i="52"/>
  <c r="M20" i="52"/>
  <c r="M21" i="52"/>
  <c r="M22" i="52"/>
  <c r="M23" i="52"/>
  <c r="M24" i="52"/>
  <c r="M25" i="52"/>
  <c r="M26" i="52"/>
  <c r="M27" i="52"/>
  <c r="M28" i="52"/>
  <c r="M29" i="52"/>
  <c r="M30" i="52"/>
  <c r="J46" i="26"/>
  <c r="J4" i="41"/>
  <c r="J42" i="51"/>
  <c r="K42" i="51"/>
  <c r="L42" i="51" s="1"/>
  <c r="J4" i="51"/>
  <c r="G46" i="26"/>
  <c r="K46" i="26"/>
  <c r="G34" i="7"/>
  <c r="J34" i="7"/>
  <c r="K34" i="7"/>
  <c r="G4" i="47"/>
  <c r="G4" i="40"/>
  <c r="J35" i="24"/>
  <c r="G24" i="56" s="1"/>
  <c r="G4" i="12"/>
  <c r="G36" i="12" s="1"/>
  <c r="E41" i="56" s="1"/>
  <c r="H37" i="16"/>
  <c r="F17" i="56" s="1"/>
  <c r="M3" i="40"/>
  <c r="J42" i="35"/>
  <c r="G42" i="35"/>
  <c r="K42" i="35" s="1"/>
  <c r="L42" i="35" s="1"/>
  <c r="J4" i="35"/>
  <c r="H44" i="33"/>
  <c r="F49" i="56" s="1"/>
  <c r="J4" i="33"/>
  <c r="J44" i="33" s="1"/>
  <c r="G49" i="56" s="1"/>
  <c r="G4" i="33"/>
  <c r="J4" i="10"/>
  <c r="J35" i="10" s="1"/>
  <c r="J4" i="22"/>
  <c r="J55" i="22" s="1"/>
  <c r="G32" i="56" s="1"/>
  <c r="L35" i="7"/>
  <c r="J18" i="56" s="1"/>
  <c r="J4" i="26"/>
  <c r="J4" i="9"/>
  <c r="G4" i="7"/>
  <c r="G4" i="19"/>
  <c r="G35" i="19" s="1"/>
  <c r="E53" i="56" s="1"/>
  <c r="J4" i="19"/>
  <c r="K4" i="19"/>
  <c r="J4" i="16"/>
  <c r="G4" i="16"/>
  <c r="K4" i="16" s="1"/>
  <c r="J4" i="14"/>
  <c r="G4" i="14"/>
  <c r="K4" i="14"/>
  <c r="J4" i="7"/>
  <c r="J35" i="7" s="1"/>
  <c r="G18" i="56" s="1"/>
  <c r="J4" i="12"/>
  <c r="G4" i="11"/>
  <c r="J4" i="11"/>
  <c r="J37" i="11" s="1"/>
  <c r="G28" i="56" s="1"/>
  <c r="K4" i="11"/>
  <c r="M4" i="11" s="1"/>
  <c r="M5" i="11" s="1"/>
  <c r="G4" i="10"/>
  <c r="G35" i="10" s="1"/>
  <c r="J4" i="3"/>
  <c r="J35" i="3" s="1"/>
  <c r="G19" i="56" s="1"/>
  <c r="G4" i="3"/>
  <c r="G35" i="3" s="1"/>
  <c r="E19" i="56" s="1"/>
  <c r="M80" i="44" l="1"/>
  <c r="M81" i="44" s="1"/>
  <c r="M82" i="44" s="1"/>
  <c r="M83" i="44" s="1"/>
  <c r="M84" i="44" s="1"/>
  <c r="K45" i="56"/>
  <c r="G35" i="101"/>
  <c r="K4" i="101"/>
  <c r="L26" i="68"/>
  <c r="K4" i="65"/>
  <c r="K31" i="52"/>
  <c r="M31" i="52" s="1"/>
  <c r="M4" i="92"/>
  <c r="M5" i="92" s="1"/>
  <c r="M6" i="92" s="1"/>
  <c r="M7" i="92" s="1"/>
  <c r="M8" i="92" s="1"/>
  <c r="M9" i="92" s="1"/>
  <c r="M10" i="92" s="1"/>
  <c r="M11" i="92" s="1"/>
  <c r="M12" i="92" s="1"/>
  <c r="M13" i="92" s="1"/>
  <c r="M14" i="92" s="1"/>
  <c r="M15" i="92" s="1"/>
  <c r="M16" i="92" s="1"/>
  <c r="M17" i="92" s="1"/>
  <c r="M18" i="92" s="1"/>
  <c r="M19" i="92" s="1"/>
  <c r="M20" i="92" s="1"/>
  <c r="I36" i="56"/>
  <c r="K4" i="100"/>
  <c r="K7" i="65"/>
  <c r="L7" i="65" s="1"/>
  <c r="K6" i="65"/>
  <c r="L6" i="65" s="1"/>
  <c r="L42" i="75"/>
  <c r="J38" i="56" s="1"/>
  <c r="M23" i="50"/>
  <c r="M24" i="50" s="1"/>
  <c r="G39" i="99"/>
  <c r="E26" i="56" s="1"/>
  <c r="H26" i="56" s="1"/>
  <c r="K26" i="56" s="1"/>
  <c r="K4" i="99"/>
  <c r="K85" i="44"/>
  <c r="M18" i="62"/>
  <c r="M19" i="62" s="1"/>
  <c r="M20" i="62" s="1"/>
  <c r="M21" i="62" s="1"/>
  <c r="M22" i="62" s="1"/>
  <c r="M23" i="62" s="1"/>
  <c r="M24" i="62" s="1"/>
  <c r="M25" i="62" s="1"/>
  <c r="M26" i="62" s="1"/>
  <c r="K21" i="92"/>
  <c r="L21" i="92" s="1"/>
  <c r="L39" i="92" s="1"/>
  <c r="J36" i="56" s="1"/>
  <c r="G39" i="92"/>
  <c r="E36" i="56" s="1"/>
  <c r="H36" i="56" s="1"/>
  <c r="K36" i="56" s="1"/>
  <c r="K7" i="14"/>
  <c r="K11" i="96"/>
  <c r="K19" i="96" s="1"/>
  <c r="G19" i="96"/>
  <c r="E35" i="56" s="1"/>
  <c r="H35" i="56" s="1"/>
  <c r="K35" i="56" s="1"/>
  <c r="K4" i="96"/>
  <c r="G35" i="98"/>
  <c r="E11" i="56" s="1"/>
  <c r="H11" i="56" s="1"/>
  <c r="K11" i="56" s="1"/>
  <c r="K4" i="98"/>
  <c r="G19" i="97"/>
  <c r="E34" i="56" s="1"/>
  <c r="H34" i="56" s="1"/>
  <c r="K34" i="56" s="1"/>
  <c r="K4" i="97"/>
  <c r="K19" i="97" s="1"/>
  <c r="K25" i="60"/>
  <c r="K24" i="60"/>
  <c r="K23" i="60"/>
  <c r="K22" i="60"/>
  <c r="K21" i="60"/>
  <c r="K20" i="60"/>
  <c r="K19" i="60"/>
  <c r="K18" i="60"/>
  <c r="K17" i="60"/>
  <c r="K15" i="60"/>
  <c r="K26" i="41"/>
  <c r="L35" i="93"/>
  <c r="J10" i="56" s="1"/>
  <c r="K24" i="76"/>
  <c r="L45" i="81"/>
  <c r="J54" i="56" s="1"/>
  <c r="G46" i="95"/>
  <c r="E5" i="56" s="1"/>
  <c r="H5" i="56" s="1"/>
  <c r="K5" i="56" s="1"/>
  <c r="K4" i="95"/>
  <c r="G35" i="94"/>
  <c r="E8" i="56" s="1"/>
  <c r="H8" i="56" s="1"/>
  <c r="K8" i="56" s="1"/>
  <c r="K4" i="94"/>
  <c r="K23" i="76"/>
  <c r="G35" i="93"/>
  <c r="E10" i="56" s="1"/>
  <c r="H10" i="56" s="1"/>
  <c r="K10" i="56" s="1"/>
  <c r="K4" i="93"/>
  <c r="M4" i="89"/>
  <c r="M5" i="89" s="1"/>
  <c r="M6" i="89" s="1"/>
  <c r="M7" i="89" s="1"/>
  <c r="M8" i="89" s="1"/>
  <c r="M9" i="89" s="1"/>
  <c r="M10" i="89" s="1"/>
  <c r="M11" i="89" s="1"/>
  <c r="M12" i="89" s="1"/>
  <c r="M13" i="89" s="1"/>
  <c r="M14" i="89" s="1"/>
  <c r="M15" i="89" s="1"/>
  <c r="M16" i="89" s="1"/>
  <c r="J35" i="89"/>
  <c r="G9" i="56" s="1"/>
  <c r="J28" i="56"/>
  <c r="L35" i="89"/>
  <c r="J9" i="56" s="1"/>
  <c r="K35" i="89"/>
  <c r="G35" i="89"/>
  <c r="E9" i="56" s="1"/>
  <c r="H9" i="56" s="1"/>
  <c r="K9" i="56" s="1"/>
  <c r="M17" i="89"/>
  <c r="M18" i="89" s="1"/>
  <c r="M19" i="89" s="1"/>
  <c r="M20" i="89" s="1"/>
  <c r="M21" i="89" s="1"/>
  <c r="M22" i="89" s="1"/>
  <c r="M23" i="89" s="1"/>
  <c r="M24" i="89" s="1"/>
  <c r="M25" i="89" s="1"/>
  <c r="M26" i="89" s="1"/>
  <c r="M27" i="89" s="1"/>
  <c r="M5" i="22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M54" i="22" s="1"/>
  <c r="G56" i="85"/>
  <c r="E33" i="56" s="1"/>
  <c r="H33" i="56" s="1"/>
  <c r="K33" i="56" s="1"/>
  <c r="K4" i="85"/>
  <c r="J35" i="78"/>
  <c r="G7" i="56" s="1"/>
  <c r="G34" i="83"/>
  <c r="E43" i="56" s="1"/>
  <c r="H43" i="56" s="1"/>
  <c r="K43" i="56" s="1"/>
  <c r="K4" i="83"/>
  <c r="G35" i="82"/>
  <c r="E4" i="56" s="1"/>
  <c r="H4" i="56" s="1"/>
  <c r="K4" i="56" s="1"/>
  <c r="K4" i="82"/>
  <c r="F55" i="56"/>
  <c r="G45" i="81"/>
  <c r="E54" i="56" s="1"/>
  <c r="H54" i="56" s="1"/>
  <c r="K54" i="56" s="1"/>
  <c r="K4" i="81"/>
  <c r="G40" i="80"/>
  <c r="E25" i="56" s="1"/>
  <c r="H25" i="56" s="1"/>
  <c r="K25" i="56" s="1"/>
  <c r="K4" i="80"/>
  <c r="G35" i="79"/>
  <c r="E39" i="56" s="1"/>
  <c r="H39" i="56" s="1"/>
  <c r="K39" i="56" s="1"/>
  <c r="K4" i="79"/>
  <c r="K32" i="74"/>
  <c r="L32" i="74" s="1"/>
  <c r="K31" i="74"/>
  <c r="L31" i="74" s="1"/>
  <c r="K30" i="74"/>
  <c r="L30" i="74" s="1"/>
  <c r="K26" i="78"/>
  <c r="G35" i="78"/>
  <c r="E7" i="56" s="1"/>
  <c r="K6" i="14"/>
  <c r="J37" i="76"/>
  <c r="G40" i="56" s="1"/>
  <c r="K4" i="76"/>
  <c r="G37" i="76"/>
  <c r="E40" i="56" s="1"/>
  <c r="H40" i="56" s="1"/>
  <c r="K40" i="56" s="1"/>
  <c r="K5" i="76"/>
  <c r="J42" i="75"/>
  <c r="G38" i="56" s="1"/>
  <c r="K4" i="75"/>
  <c r="G42" i="75"/>
  <c r="E38" i="56" s="1"/>
  <c r="H38" i="56" s="1"/>
  <c r="K38" i="56" s="1"/>
  <c r="K5" i="75"/>
  <c r="K18" i="10"/>
  <c r="G35" i="74"/>
  <c r="E23" i="56" s="1"/>
  <c r="H23" i="56" s="1"/>
  <c r="K4" i="74"/>
  <c r="G36" i="73"/>
  <c r="E21" i="56" s="1"/>
  <c r="H21" i="56" s="1"/>
  <c r="K4" i="73"/>
  <c r="G35" i="72"/>
  <c r="E6" i="56" s="1"/>
  <c r="H6" i="56" s="1"/>
  <c r="K6" i="56" s="1"/>
  <c r="K4" i="72"/>
  <c r="H19" i="56"/>
  <c r="K19" i="56" s="1"/>
  <c r="M32" i="52"/>
  <c r="M33" i="52" s="1"/>
  <c r="K11" i="35"/>
  <c r="G36" i="71"/>
  <c r="E13" i="56" s="1"/>
  <c r="H13" i="56" s="1"/>
  <c r="K4" i="71"/>
  <c r="N4" i="45"/>
  <c r="N5" i="45" s="1"/>
  <c r="N6" i="45" s="1"/>
  <c r="N7" i="45" s="1"/>
  <c r="N8" i="45" s="1"/>
  <c r="N9" i="45" s="1"/>
  <c r="N10" i="45" s="1"/>
  <c r="N11" i="45" s="1"/>
  <c r="N12" i="45" s="1"/>
  <c r="N13" i="45" s="1"/>
  <c r="N14" i="45" s="1"/>
  <c r="N15" i="45" s="1"/>
  <c r="N16" i="45" s="1"/>
  <c r="N17" i="45" s="1"/>
  <c r="N18" i="45" s="1"/>
  <c r="N19" i="45" s="1"/>
  <c r="N20" i="45" s="1"/>
  <c r="N21" i="45" s="1"/>
  <c r="N22" i="45" s="1"/>
  <c r="N23" i="45" s="1"/>
  <c r="N24" i="45" s="1"/>
  <c r="N25" i="45" s="1"/>
  <c r="N26" i="45" s="1"/>
  <c r="N27" i="45" s="1"/>
  <c r="N28" i="45" s="1"/>
  <c r="N29" i="45" s="1"/>
  <c r="N30" i="45" s="1"/>
  <c r="N31" i="45" s="1"/>
  <c r="N32" i="45" s="1"/>
  <c r="N33" i="45" s="1"/>
  <c r="N34" i="45" s="1"/>
  <c r="N35" i="45" s="1"/>
  <c r="N36" i="45" s="1"/>
  <c r="N37" i="45" s="1"/>
  <c r="N38" i="45" s="1"/>
  <c r="N39" i="45" s="1"/>
  <c r="N40" i="45" s="1"/>
  <c r="N41" i="45" s="1"/>
  <c r="N42" i="45" s="1"/>
  <c r="N43" i="45" s="1"/>
  <c r="N44" i="45" s="1"/>
  <c r="N45" i="45" s="1"/>
  <c r="N46" i="45" s="1"/>
  <c r="N47" i="45" s="1"/>
  <c r="N48" i="45" s="1"/>
  <c r="N49" i="45" s="1"/>
  <c r="N50" i="45" s="1"/>
  <c r="N51" i="45" s="1"/>
  <c r="N52" i="45" s="1"/>
  <c r="N53" i="45" s="1"/>
  <c r="N54" i="45" s="1"/>
  <c r="N55" i="45" s="1"/>
  <c r="K4" i="69"/>
  <c r="D50" i="56"/>
  <c r="D55" i="56" s="1"/>
  <c r="G38" i="68"/>
  <c r="E20" i="56" s="1"/>
  <c r="K4" i="44"/>
  <c r="M4" i="44" s="1"/>
  <c r="M6" i="11"/>
  <c r="E14" i="56"/>
  <c r="H14" i="56" s="1"/>
  <c r="J37" i="16"/>
  <c r="G17" i="56" s="1"/>
  <c r="L47" i="26"/>
  <c r="G35" i="63"/>
  <c r="E22" i="56" s="1"/>
  <c r="H22" i="56" s="1"/>
  <c r="K4" i="63"/>
  <c r="M7" i="11"/>
  <c r="M8" i="11" s="1"/>
  <c r="G38" i="62"/>
  <c r="E15" i="56" s="1"/>
  <c r="H15" i="56" s="1"/>
  <c r="K15" i="56" s="1"/>
  <c r="K4" i="62"/>
  <c r="G35" i="60"/>
  <c r="E44" i="56" s="1"/>
  <c r="H44" i="56" s="1"/>
  <c r="K4" i="60"/>
  <c r="J43" i="51"/>
  <c r="G52" i="56" s="1"/>
  <c r="J17" i="56"/>
  <c r="K4" i="12"/>
  <c r="K36" i="12" s="1"/>
  <c r="J36" i="12"/>
  <c r="G41" i="56" s="1"/>
  <c r="H41" i="56"/>
  <c r="K41" i="56" s="1"/>
  <c r="G44" i="33"/>
  <c r="E49" i="56" s="1"/>
  <c r="H49" i="56" s="1"/>
  <c r="J35" i="9"/>
  <c r="G48" i="56" s="1"/>
  <c r="J47" i="26"/>
  <c r="G47" i="56" s="1"/>
  <c r="G55" i="22"/>
  <c r="E32" i="56" s="1"/>
  <c r="H32" i="56" s="1"/>
  <c r="K4" i="40"/>
  <c r="L4" i="40" s="1"/>
  <c r="G35" i="40"/>
  <c r="E30" i="56" s="1"/>
  <c r="H30" i="56" s="1"/>
  <c r="L35" i="40"/>
  <c r="J30" i="56" s="1"/>
  <c r="K35" i="40"/>
  <c r="J35" i="52"/>
  <c r="G16" i="56" s="1"/>
  <c r="K35" i="52"/>
  <c r="H16" i="56" s="1"/>
  <c r="K16" i="56" s="1"/>
  <c r="G35" i="52"/>
  <c r="J42" i="41"/>
  <c r="G42" i="56" s="1"/>
  <c r="G37" i="11"/>
  <c r="E28" i="56" s="1"/>
  <c r="G43" i="35"/>
  <c r="E51" i="56" s="1"/>
  <c r="G43" i="51"/>
  <c r="E52" i="56" s="1"/>
  <c r="H52" i="56" s="1"/>
  <c r="J47" i="56"/>
  <c r="G47" i="26"/>
  <c r="E47" i="56" s="1"/>
  <c r="J35" i="19"/>
  <c r="G53" i="56" s="1"/>
  <c r="H53" i="56" s="1"/>
  <c r="H47" i="56"/>
  <c r="J43" i="35"/>
  <c r="G51" i="56" s="1"/>
  <c r="H51" i="56" s="1"/>
  <c r="G35" i="9"/>
  <c r="E48" i="56" s="1"/>
  <c r="G42" i="41"/>
  <c r="E42" i="56" s="1"/>
  <c r="H42" i="56" s="1"/>
  <c r="G35" i="58"/>
  <c r="E12" i="56" s="1"/>
  <c r="H12" i="56" s="1"/>
  <c r="K4" i="58"/>
  <c r="G35" i="57"/>
  <c r="E46" i="56" s="1"/>
  <c r="H46" i="56" s="1"/>
  <c r="K4" i="57"/>
  <c r="L4" i="57" s="1"/>
  <c r="L35" i="57" s="1"/>
  <c r="J46" i="56" s="1"/>
  <c r="H28" i="56"/>
  <c r="K28" i="56" s="1"/>
  <c r="G35" i="7"/>
  <c r="E18" i="56" s="1"/>
  <c r="J36" i="47"/>
  <c r="G3" i="56" s="1"/>
  <c r="G27" i="56"/>
  <c r="J41" i="14"/>
  <c r="G37" i="56" s="1"/>
  <c r="G41" i="14"/>
  <c r="E37" i="56" s="1"/>
  <c r="H37" i="56" s="1"/>
  <c r="K37" i="56" s="1"/>
  <c r="G36" i="47"/>
  <c r="E3" i="56" s="1"/>
  <c r="K35" i="19"/>
  <c r="H20" i="56"/>
  <c r="J38" i="50"/>
  <c r="G2" i="56" s="1"/>
  <c r="G38" i="50"/>
  <c r="E2" i="56" s="1"/>
  <c r="G39" i="25"/>
  <c r="E31" i="56" s="1"/>
  <c r="J39" i="25"/>
  <c r="G31" i="56" s="1"/>
  <c r="H31" i="56" s="1"/>
  <c r="K37" i="11"/>
  <c r="E27" i="56"/>
  <c r="G35" i="24"/>
  <c r="E24" i="56" s="1"/>
  <c r="H24" i="56" s="1"/>
  <c r="K4" i="41"/>
  <c r="K41" i="14"/>
  <c r="K4" i="22"/>
  <c r="P54" i="22" s="1"/>
  <c r="K4" i="51"/>
  <c r="K43" i="51" s="1"/>
  <c r="K4" i="24"/>
  <c r="M4" i="24" s="1"/>
  <c r="K38" i="50"/>
  <c r="K4" i="47"/>
  <c r="K36" i="47" s="1"/>
  <c r="M4" i="47"/>
  <c r="O4" i="47" s="1"/>
  <c r="G37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22" i="47" s="1"/>
  <c r="M23" i="47" s="1"/>
  <c r="M24" i="47" s="1"/>
  <c r="M25" i="47" s="1"/>
  <c r="M26" i="47" s="1"/>
  <c r="M27" i="47" s="1"/>
  <c r="M28" i="47" s="1"/>
  <c r="M29" i="47" s="1"/>
  <c r="M30" i="47" s="1"/>
  <c r="M31" i="47" s="1"/>
  <c r="M32" i="47" s="1"/>
  <c r="M33" i="47" s="1"/>
  <c r="M34" i="47" s="1"/>
  <c r="M4" i="12"/>
  <c r="M5" i="12" s="1"/>
  <c r="K4" i="35"/>
  <c r="M4" i="35" s="1"/>
  <c r="M5" i="35" s="1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K4" i="33"/>
  <c r="L4" i="19"/>
  <c r="L35" i="19" s="1"/>
  <c r="J53" i="56" s="1"/>
  <c r="K4" i="7"/>
  <c r="K35" i="7" s="1"/>
  <c r="M4" i="14"/>
  <c r="M5" i="14" s="1"/>
  <c r="M6" i="14" s="1"/>
  <c r="M7" i="14" s="1"/>
  <c r="M8" i="14" s="1"/>
  <c r="M9" i="14" s="1"/>
  <c r="M10" i="14" s="1"/>
  <c r="K4" i="9"/>
  <c r="K4" i="10"/>
  <c r="K35" i="10" s="1"/>
  <c r="K4" i="26"/>
  <c r="M11" i="14"/>
  <c r="M12" i="14" s="1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6" i="12"/>
  <c r="M7" i="12" s="1"/>
  <c r="M8" i="12" s="1"/>
  <c r="M9" i="12" s="1"/>
  <c r="M10" i="12" s="1"/>
  <c r="M11" i="12" s="1"/>
  <c r="M12" i="12" s="1"/>
  <c r="M13" i="12" s="1"/>
  <c r="M14" i="12" s="1"/>
  <c r="M15" i="12" s="1"/>
  <c r="K4" i="25"/>
  <c r="M4" i="25" s="1"/>
  <c r="K4" i="3"/>
  <c r="M85" i="44" l="1"/>
  <c r="M86" i="44" s="1"/>
  <c r="M87" i="44" s="1"/>
  <c r="M88" i="44" s="1"/>
  <c r="M89" i="44" s="1"/>
  <c r="M90" i="44" s="1"/>
  <c r="M91" i="44" s="1"/>
  <c r="M92" i="44" s="1"/>
  <c r="M93" i="44" s="1"/>
  <c r="K35" i="101"/>
  <c r="M4" i="101"/>
  <c r="M5" i="101" s="1"/>
  <c r="M6" i="101" s="1"/>
  <c r="M7" i="101" s="1"/>
  <c r="M8" i="101" s="1"/>
  <c r="M9" i="101" s="1"/>
  <c r="M10" i="101" s="1"/>
  <c r="M11" i="101" s="1"/>
  <c r="M12" i="101" s="1"/>
  <c r="M13" i="101" s="1"/>
  <c r="M14" i="101" s="1"/>
  <c r="M15" i="101" s="1"/>
  <c r="M16" i="101" s="1"/>
  <c r="M17" i="101" s="1"/>
  <c r="M18" i="101" s="1"/>
  <c r="M19" i="101" s="1"/>
  <c r="M20" i="101" s="1"/>
  <c r="M21" i="101" s="1"/>
  <c r="M22" i="101" s="1"/>
  <c r="M23" i="101" s="1"/>
  <c r="M24" i="101" s="1"/>
  <c r="M25" i="101" s="1"/>
  <c r="M26" i="101" s="1"/>
  <c r="M27" i="101" s="1"/>
  <c r="M28" i="101" s="1"/>
  <c r="M29" i="101" s="1"/>
  <c r="M30" i="101" s="1"/>
  <c r="M31" i="101" s="1"/>
  <c r="M32" i="101" s="1"/>
  <c r="M33" i="101" s="1"/>
  <c r="M34" i="101" s="1"/>
  <c r="K102" i="65"/>
  <c r="L4" i="65"/>
  <c r="L102" i="65" s="1"/>
  <c r="M4" i="100"/>
  <c r="M5" i="100" s="1"/>
  <c r="M6" i="100" s="1"/>
  <c r="M7" i="100" s="1"/>
  <c r="M8" i="100" s="1"/>
  <c r="M9" i="100" s="1"/>
  <c r="M10" i="100" s="1"/>
  <c r="M11" i="100" s="1"/>
  <c r="M12" i="100" s="1"/>
  <c r="M13" i="100" s="1"/>
  <c r="M14" i="100" s="1"/>
  <c r="M15" i="100" s="1"/>
  <c r="M16" i="100" s="1"/>
  <c r="M17" i="100" s="1"/>
  <c r="M18" i="100" s="1"/>
  <c r="M19" i="100" s="1"/>
  <c r="M20" i="100" s="1"/>
  <c r="M21" i="100" s="1"/>
  <c r="M22" i="100" s="1"/>
  <c r="M23" i="100" s="1"/>
  <c r="M24" i="100" s="1"/>
  <c r="M25" i="100" s="1"/>
  <c r="M26" i="100" s="1"/>
  <c r="M27" i="100" s="1"/>
  <c r="M28" i="100" s="1"/>
  <c r="M29" i="100" s="1"/>
  <c r="M30" i="100" s="1"/>
  <c r="M31" i="100" s="1"/>
  <c r="M32" i="100" s="1"/>
  <c r="M33" i="100" s="1"/>
  <c r="K39" i="99"/>
  <c r="M4" i="99"/>
  <c r="M5" i="99" s="1"/>
  <c r="M6" i="99" s="1"/>
  <c r="M7" i="99" s="1"/>
  <c r="M8" i="99" s="1"/>
  <c r="M9" i="99" s="1"/>
  <c r="M10" i="99" s="1"/>
  <c r="M11" i="99" s="1"/>
  <c r="M12" i="99" s="1"/>
  <c r="M13" i="99" s="1"/>
  <c r="M14" i="99" s="1"/>
  <c r="M15" i="99" s="1"/>
  <c r="M16" i="99" s="1"/>
  <c r="M17" i="99" s="1"/>
  <c r="M18" i="99" s="1"/>
  <c r="M19" i="99" s="1"/>
  <c r="M20" i="99" s="1"/>
  <c r="M21" i="99" s="1"/>
  <c r="M22" i="99" s="1"/>
  <c r="M27" i="99" s="1"/>
  <c r="M28" i="99" s="1"/>
  <c r="M29" i="99" s="1"/>
  <c r="M30" i="99" s="1"/>
  <c r="M31" i="99" s="1"/>
  <c r="M32" i="99" s="1"/>
  <c r="M33" i="99" s="1"/>
  <c r="M34" i="99" s="1"/>
  <c r="M35" i="99" s="1"/>
  <c r="M36" i="99" s="1"/>
  <c r="M37" i="99" s="1"/>
  <c r="M38" i="99" s="1"/>
  <c r="K39" i="92"/>
  <c r="M21" i="92"/>
  <c r="M22" i="92" s="1"/>
  <c r="M23" i="92" s="1"/>
  <c r="M24" i="92" s="1"/>
  <c r="M25" i="92" s="1"/>
  <c r="M26" i="92" s="1"/>
  <c r="M27" i="92" s="1"/>
  <c r="M28" i="92" s="1"/>
  <c r="M29" i="92" s="1"/>
  <c r="M30" i="92" s="1"/>
  <c r="M31" i="92" s="1"/>
  <c r="M32" i="92" s="1"/>
  <c r="M33" i="92" s="1"/>
  <c r="M34" i="92" s="1"/>
  <c r="M4" i="96"/>
  <c r="M5" i="96" s="1"/>
  <c r="M6" i="96" s="1"/>
  <c r="M7" i="96" s="1"/>
  <c r="M8" i="96" s="1"/>
  <c r="M9" i="96" s="1"/>
  <c r="M10" i="96" s="1"/>
  <c r="M11" i="96" s="1"/>
  <c r="M12" i="96" s="1"/>
  <c r="M13" i="96" s="1"/>
  <c r="M14" i="96" s="1"/>
  <c r="M15" i="96" s="1"/>
  <c r="M16" i="96" s="1"/>
  <c r="M17" i="96" s="1"/>
  <c r="M18" i="96" s="1"/>
  <c r="K35" i="98"/>
  <c r="M4" i="98"/>
  <c r="M5" i="98" s="1"/>
  <c r="M6" i="98" s="1"/>
  <c r="M7" i="98" s="1"/>
  <c r="M8" i="98" s="1"/>
  <c r="M9" i="98" s="1"/>
  <c r="M10" i="98" s="1"/>
  <c r="M11" i="98" s="1"/>
  <c r="M12" i="98" s="1"/>
  <c r="M13" i="98" s="1"/>
  <c r="M14" i="98" s="1"/>
  <c r="M15" i="98" s="1"/>
  <c r="M16" i="98" s="1"/>
  <c r="M17" i="98" s="1"/>
  <c r="M18" i="98" s="1"/>
  <c r="M19" i="98" s="1"/>
  <c r="M20" i="98" s="1"/>
  <c r="M21" i="98" s="1"/>
  <c r="M22" i="98" s="1"/>
  <c r="M23" i="98" s="1"/>
  <c r="M24" i="98" s="1"/>
  <c r="M25" i="98" s="1"/>
  <c r="M26" i="98" s="1"/>
  <c r="M27" i="98" s="1"/>
  <c r="M28" i="98" s="1"/>
  <c r="M29" i="98" s="1"/>
  <c r="M30" i="98" s="1"/>
  <c r="M31" i="98" s="1"/>
  <c r="M32" i="98" s="1"/>
  <c r="M33" i="98" s="1"/>
  <c r="M4" i="97"/>
  <c r="M5" i="97" s="1"/>
  <c r="M6" i="97" s="1"/>
  <c r="M7" i="97" s="1"/>
  <c r="M8" i="97" s="1"/>
  <c r="M9" i="97" s="1"/>
  <c r="M10" i="97" s="1"/>
  <c r="M11" i="97" s="1"/>
  <c r="M12" i="97" s="1"/>
  <c r="M13" i="97" s="1"/>
  <c r="M14" i="97" s="1"/>
  <c r="M15" i="97" s="1"/>
  <c r="M16" i="97" s="1"/>
  <c r="M4" i="26"/>
  <c r="M5" i="26" s="1"/>
  <c r="M28" i="89"/>
  <c r="M29" i="89" s="1"/>
  <c r="M30" i="89" s="1"/>
  <c r="M31" i="89" s="1"/>
  <c r="M32" i="89" s="1"/>
  <c r="M33" i="89" s="1"/>
  <c r="M34" i="89" s="1"/>
  <c r="J14" i="56"/>
  <c r="K14" i="56" s="1"/>
  <c r="K46" i="95"/>
  <c r="M4" i="95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K35" i="94"/>
  <c r="M4" i="94"/>
  <c r="M5" i="94" s="1"/>
  <c r="M6" i="94" s="1"/>
  <c r="M7" i="94" s="1"/>
  <c r="M8" i="94" s="1"/>
  <c r="M9" i="94" s="1"/>
  <c r="M10" i="94" s="1"/>
  <c r="M11" i="94" s="1"/>
  <c r="M12" i="94" s="1"/>
  <c r="M13" i="94" s="1"/>
  <c r="M14" i="94" s="1"/>
  <c r="M15" i="94" s="1"/>
  <c r="M16" i="94" s="1"/>
  <c r="M17" i="94" s="1"/>
  <c r="M18" i="94" s="1"/>
  <c r="M19" i="94" s="1"/>
  <c r="M20" i="94" s="1"/>
  <c r="M21" i="94" s="1"/>
  <c r="M22" i="94" s="1"/>
  <c r="M23" i="94" s="1"/>
  <c r="M24" i="94" s="1"/>
  <c r="M25" i="94" s="1"/>
  <c r="M26" i="94" s="1"/>
  <c r="M27" i="94" s="1"/>
  <c r="M28" i="94" s="1"/>
  <c r="M29" i="94" s="1"/>
  <c r="M30" i="94" s="1"/>
  <c r="M31" i="94" s="1"/>
  <c r="M32" i="94" s="1"/>
  <c r="M33" i="94" s="1"/>
  <c r="M34" i="94" s="1"/>
  <c r="K35" i="93"/>
  <c r="M4" i="93"/>
  <c r="M5" i="93" s="1"/>
  <c r="M6" i="93" s="1"/>
  <c r="M7" i="93" s="1"/>
  <c r="M8" i="93" s="1"/>
  <c r="M9" i="93" s="1"/>
  <c r="M10" i="93" s="1"/>
  <c r="M11" i="93" s="1"/>
  <c r="M12" i="93" s="1"/>
  <c r="M13" i="93" s="1"/>
  <c r="M14" i="93" s="1"/>
  <c r="M15" i="93" s="1"/>
  <c r="M16" i="93" s="1"/>
  <c r="M17" i="93" s="1"/>
  <c r="M18" i="93" s="1"/>
  <c r="M19" i="93" s="1"/>
  <c r="M20" i="93" s="1"/>
  <c r="M21" i="93" s="1"/>
  <c r="M22" i="93" s="1"/>
  <c r="M23" i="93" s="1"/>
  <c r="M24" i="93" s="1"/>
  <c r="M25" i="93" s="1"/>
  <c r="M26" i="93" s="1"/>
  <c r="M27" i="93" s="1"/>
  <c r="M28" i="93" s="1"/>
  <c r="M29" i="93" s="1"/>
  <c r="M30" i="93" s="1"/>
  <c r="M31" i="93" s="1"/>
  <c r="M32" i="93" s="1"/>
  <c r="M33" i="93" s="1"/>
  <c r="M34" i="93" s="1"/>
  <c r="H7" i="56"/>
  <c r="K7" i="56" s="1"/>
  <c r="K46" i="56"/>
  <c r="M9" i="1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K56" i="85"/>
  <c r="M4" i="85"/>
  <c r="K34" i="83"/>
  <c r="M4" i="83"/>
  <c r="M5" i="83" s="1"/>
  <c r="M6" i="83" s="1"/>
  <c r="M7" i="83" s="1"/>
  <c r="M8" i="83" s="1"/>
  <c r="M9" i="83" s="1"/>
  <c r="M10" i="83" s="1"/>
  <c r="M11" i="83" s="1"/>
  <c r="M12" i="83" s="1"/>
  <c r="M13" i="83" s="1"/>
  <c r="M14" i="83" s="1"/>
  <c r="M15" i="83" s="1"/>
  <c r="M16" i="83" s="1"/>
  <c r="M17" i="83" s="1"/>
  <c r="M18" i="83" s="1"/>
  <c r="M19" i="83" s="1"/>
  <c r="M20" i="83" s="1"/>
  <c r="M21" i="83" s="1"/>
  <c r="M22" i="83" s="1"/>
  <c r="M23" i="83" s="1"/>
  <c r="M24" i="83" s="1"/>
  <c r="M25" i="83" s="1"/>
  <c r="M26" i="83" s="1"/>
  <c r="M27" i="83" s="1"/>
  <c r="M28" i="83" s="1"/>
  <c r="M29" i="83" s="1"/>
  <c r="M30" i="83" s="1"/>
  <c r="M31" i="83" s="1"/>
  <c r="M32" i="83" s="1"/>
  <c r="M33" i="83" s="1"/>
  <c r="K35" i="82"/>
  <c r="M4" i="82"/>
  <c r="G55" i="56"/>
  <c r="H2" i="56"/>
  <c r="K45" i="81"/>
  <c r="M4" i="81"/>
  <c r="M5" i="81" s="1"/>
  <c r="M6" i="81" s="1"/>
  <c r="M7" i="81" s="1"/>
  <c r="M8" i="81" s="1"/>
  <c r="M9" i="81" s="1"/>
  <c r="M10" i="81" s="1"/>
  <c r="M11" i="81" s="1"/>
  <c r="M12" i="81" s="1"/>
  <c r="M13" i="81" s="1"/>
  <c r="M14" i="81" s="1"/>
  <c r="M15" i="81" s="1"/>
  <c r="M16" i="81" s="1"/>
  <c r="M17" i="81" s="1"/>
  <c r="M18" i="81" s="1"/>
  <c r="M19" i="81" s="1"/>
  <c r="M20" i="81" s="1"/>
  <c r="M21" i="81" s="1"/>
  <c r="M22" i="81" s="1"/>
  <c r="M23" i="81" s="1"/>
  <c r="M24" i="81" s="1"/>
  <c r="M25" i="81" s="1"/>
  <c r="M26" i="81" s="1"/>
  <c r="M27" i="81" s="1"/>
  <c r="M28" i="81" s="1"/>
  <c r="M29" i="81" s="1"/>
  <c r="M30" i="81" s="1"/>
  <c r="M31" i="81" s="1"/>
  <c r="M32" i="81" s="1"/>
  <c r="K40" i="80"/>
  <c r="M4" i="80"/>
  <c r="M5" i="80" s="1"/>
  <c r="M6" i="80" s="1"/>
  <c r="M7" i="80" s="1"/>
  <c r="M8" i="80" s="1"/>
  <c r="M9" i="80" s="1"/>
  <c r="M10" i="80" s="1"/>
  <c r="M11" i="80" s="1"/>
  <c r="M12" i="80" s="1"/>
  <c r="M13" i="80" s="1"/>
  <c r="M14" i="80" s="1"/>
  <c r="M15" i="80" s="1"/>
  <c r="M16" i="80" s="1"/>
  <c r="K35" i="79"/>
  <c r="M4" i="79"/>
  <c r="M5" i="79" s="1"/>
  <c r="M6" i="79" s="1"/>
  <c r="M7" i="79" s="1"/>
  <c r="M8" i="79" s="1"/>
  <c r="M9" i="79" s="1"/>
  <c r="M10" i="79" s="1"/>
  <c r="M11" i="79" s="1"/>
  <c r="K35" i="78"/>
  <c r="M26" i="78"/>
  <c r="M27" i="78" s="1"/>
  <c r="M28" i="78" s="1"/>
  <c r="M29" i="78" s="1"/>
  <c r="M30" i="78" s="1"/>
  <c r="M31" i="78" s="1"/>
  <c r="M32" i="78" s="1"/>
  <c r="M33" i="78" s="1"/>
  <c r="M34" i="78" s="1"/>
  <c r="K37" i="76"/>
  <c r="M4" i="76"/>
  <c r="M5" i="76" s="1"/>
  <c r="M6" i="76" s="1"/>
  <c r="M7" i="76" s="1"/>
  <c r="M8" i="76" s="1"/>
  <c r="M9" i="76" s="1"/>
  <c r="M10" i="76" s="1"/>
  <c r="M11" i="76" s="1"/>
  <c r="M12" i="76" s="1"/>
  <c r="M13" i="76" s="1"/>
  <c r="M14" i="76" s="1"/>
  <c r="M15" i="76" s="1"/>
  <c r="M16" i="76" s="1"/>
  <c r="M17" i="76" s="1"/>
  <c r="M18" i="76" s="1"/>
  <c r="M19" i="76" s="1"/>
  <c r="M20" i="76" s="1"/>
  <c r="M21" i="76" s="1"/>
  <c r="M22" i="76" s="1"/>
  <c r="M23" i="76" s="1"/>
  <c r="M24" i="76" s="1"/>
  <c r="M25" i="76" s="1"/>
  <c r="M26" i="76" s="1"/>
  <c r="M27" i="76" s="1"/>
  <c r="M28" i="76" s="1"/>
  <c r="M29" i="76" s="1"/>
  <c r="M30" i="76" s="1"/>
  <c r="M31" i="76" s="1"/>
  <c r="M32" i="76" s="1"/>
  <c r="M33" i="76" s="1"/>
  <c r="M34" i="76" s="1"/>
  <c r="M35" i="76" s="1"/>
  <c r="M36" i="76" s="1"/>
  <c r="K42" i="75"/>
  <c r="M4" i="75"/>
  <c r="M5" i="75" s="1"/>
  <c r="M6" i="75" s="1"/>
  <c r="M7" i="75" s="1"/>
  <c r="M8" i="75" s="1"/>
  <c r="M9" i="75" s="1"/>
  <c r="M10" i="75" s="1"/>
  <c r="M11" i="75" s="1"/>
  <c r="M12" i="75" s="1"/>
  <c r="M13" i="75" s="1"/>
  <c r="M14" i="75" s="1"/>
  <c r="M15" i="75" s="1"/>
  <c r="M16" i="75" s="1"/>
  <c r="M17" i="75" s="1"/>
  <c r="M18" i="75" s="1"/>
  <c r="M19" i="75" s="1"/>
  <c r="M20" i="75" s="1"/>
  <c r="M21" i="75" s="1"/>
  <c r="M22" i="75" s="1"/>
  <c r="M23" i="75" s="1"/>
  <c r="K35" i="74"/>
  <c r="L4" i="74"/>
  <c r="L35" i="74" s="1"/>
  <c r="J23" i="56" s="1"/>
  <c r="K23" i="56" s="1"/>
  <c r="M4" i="74"/>
  <c r="M5" i="74" s="1"/>
  <c r="M6" i="74" s="1"/>
  <c r="M7" i="74" s="1"/>
  <c r="M8" i="74" s="1"/>
  <c r="M9" i="74" s="1"/>
  <c r="M10" i="74" s="1"/>
  <c r="M11" i="74" s="1"/>
  <c r="M12" i="74" s="1"/>
  <c r="M13" i="74" s="1"/>
  <c r="M14" i="74" s="1"/>
  <c r="M15" i="74" s="1"/>
  <c r="M16" i="74" s="1"/>
  <c r="M17" i="74" s="1"/>
  <c r="M18" i="74" s="1"/>
  <c r="M19" i="74" s="1"/>
  <c r="M20" i="74" s="1"/>
  <c r="M21" i="74" s="1"/>
  <c r="M22" i="74" s="1"/>
  <c r="M23" i="74" s="1"/>
  <c r="M24" i="74" s="1"/>
  <c r="M25" i="74" s="1"/>
  <c r="M26" i="74" s="1"/>
  <c r="M27" i="74" s="1"/>
  <c r="K36" i="73"/>
  <c r="L4" i="73"/>
  <c r="L36" i="73" s="1"/>
  <c r="J21" i="56" s="1"/>
  <c r="M4" i="73"/>
  <c r="M5" i="73" s="1"/>
  <c r="M6" i="73" s="1"/>
  <c r="M7" i="73" s="1"/>
  <c r="M8" i="73" s="1"/>
  <c r="M9" i="73" s="1"/>
  <c r="M10" i="73" s="1"/>
  <c r="M11" i="73" s="1"/>
  <c r="M12" i="73" s="1"/>
  <c r="M13" i="73" s="1"/>
  <c r="M14" i="73" s="1"/>
  <c r="M15" i="73" s="1"/>
  <c r="M16" i="73" s="1"/>
  <c r="M17" i="73" s="1"/>
  <c r="M18" i="73" s="1"/>
  <c r="M19" i="73" s="1"/>
  <c r="M20" i="73" s="1"/>
  <c r="M21" i="73" s="1"/>
  <c r="M22" i="73" s="1"/>
  <c r="M24" i="73" s="1"/>
  <c r="M25" i="73" s="1"/>
  <c r="M26" i="73" s="1"/>
  <c r="M27" i="73" s="1"/>
  <c r="M28" i="73" s="1"/>
  <c r="K35" i="72"/>
  <c r="M4" i="72"/>
  <c r="M5" i="72" s="1"/>
  <c r="M6" i="72" s="1"/>
  <c r="M7" i="72" s="1"/>
  <c r="M8" i="72" s="1"/>
  <c r="M9" i="72" s="1"/>
  <c r="M10" i="72" s="1"/>
  <c r="M11" i="72" s="1"/>
  <c r="M12" i="72" s="1"/>
  <c r="M13" i="72" s="1"/>
  <c r="M14" i="72" s="1"/>
  <c r="M15" i="72" s="1"/>
  <c r="M16" i="72" s="1"/>
  <c r="M17" i="72" s="1"/>
  <c r="M18" i="72" s="1"/>
  <c r="M19" i="72" s="1"/>
  <c r="M20" i="72" s="1"/>
  <c r="M21" i="72" s="1"/>
  <c r="M22" i="72" s="1"/>
  <c r="M23" i="72" s="1"/>
  <c r="M24" i="72" s="1"/>
  <c r="M25" i="72" s="1"/>
  <c r="M26" i="72" s="1"/>
  <c r="M27" i="72" s="1"/>
  <c r="M28" i="72" s="1"/>
  <c r="M29" i="72" s="1"/>
  <c r="M30" i="72" s="1"/>
  <c r="M31" i="72" s="1"/>
  <c r="M32" i="72" s="1"/>
  <c r="M33" i="72" s="1"/>
  <c r="M34" i="72" s="1"/>
  <c r="M5" i="24"/>
  <c r="M6" i="24" s="1"/>
  <c r="M7" i="24" s="1"/>
  <c r="M8" i="24" s="1"/>
  <c r="M9" i="24" s="1"/>
  <c r="M10" i="24" s="1"/>
  <c r="M11" i="24" s="1"/>
  <c r="M12" i="24" s="1"/>
  <c r="K35" i="24"/>
  <c r="H3" i="56"/>
  <c r="K3" i="56" s="1"/>
  <c r="K36" i="71"/>
  <c r="L4" i="71"/>
  <c r="L36" i="71" s="1"/>
  <c r="J13" i="56" s="1"/>
  <c r="K13" i="56" s="1"/>
  <c r="G50" i="69"/>
  <c r="E50" i="56" s="1"/>
  <c r="K50" i="69"/>
  <c r="H50" i="56" s="1"/>
  <c r="M4" i="69"/>
  <c r="M5" i="69" s="1"/>
  <c r="M6" i="69" s="1"/>
  <c r="M7" i="69" s="1"/>
  <c r="M8" i="69" s="1"/>
  <c r="M9" i="69" s="1"/>
  <c r="K38" i="68"/>
  <c r="L38" i="68"/>
  <c r="J20" i="56" s="1"/>
  <c r="M4" i="68"/>
  <c r="M5" i="68" s="1"/>
  <c r="M6" i="68" s="1"/>
  <c r="M7" i="68" s="1"/>
  <c r="M8" i="68" s="1"/>
  <c r="M9" i="68" s="1"/>
  <c r="K39" i="25"/>
  <c r="H48" i="56"/>
  <c r="K48" i="56" s="1"/>
  <c r="H18" i="56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K35" i="3"/>
  <c r="M20" i="11"/>
  <c r="M4" i="65"/>
  <c r="M5" i="65" s="1"/>
  <c r="M6" i="65" s="1"/>
  <c r="E17" i="56"/>
  <c r="H17" i="56" s="1"/>
  <c r="K17" i="56" s="1"/>
  <c r="K35" i="63"/>
  <c r="L35" i="63"/>
  <c r="J22" i="56" s="1"/>
  <c r="M4" i="63"/>
  <c r="M5" i="63" s="1"/>
  <c r="M6" i="63" s="1"/>
  <c r="K38" i="62"/>
  <c r="M4" i="62"/>
  <c r="M5" i="62" s="1"/>
  <c r="M6" i="62" s="1"/>
  <c r="M7" i="62" s="1"/>
  <c r="M8" i="62" s="1"/>
  <c r="M9" i="62" s="1"/>
  <c r="M10" i="62" s="1"/>
  <c r="M11" i="62" s="1"/>
  <c r="M12" i="62" s="1"/>
  <c r="M13" i="62" s="1"/>
  <c r="M14" i="62" s="1"/>
  <c r="M27" i="62" s="1"/>
  <c r="M28" i="62" s="1"/>
  <c r="M29" i="62" s="1"/>
  <c r="M30" i="62" s="1"/>
  <c r="M31" i="62" s="1"/>
  <c r="M32" i="62" s="1"/>
  <c r="M33" i="62" s="1"/>
  <c r="M34" i="62" s="1"/>
  <c r="M35" i="62" s="1"/>
  <c r="M36" i="62" s="1"/>
  <c r="M37" i="62" s="1"/>
  <c r="L43" i="51"/>
  <c r="M4" i="51"/>
  <c r="M5" i="51" s="1"/>
  <c r="M6" i="51" s="1"/>
  <c r="K47" i="56"/>
  <c r="K42" i="56"/>
  <c r="K35" i="60"/>
  <c r="K47" i="26"/>
  <c r="M4" i="10"/>
  <c r="K44" i="33"/>
  <c r="K35" i="9"/>
  <c r="M4" i="9"/>
  <c r="M23" i="14"/>
  <c r="M24" i="14" s="1"/>
  <c r="M25" i="14" s="1"/>
  <c r="M26" i="14" s="1"/>
  <c r="M27" i="14" s="1"/>
  <c r="M28" i="14" s="1"/>
  <c r="M29" i="14" s="1"/>
  <c r="E16" i="56"/>
  <c r="E55" i="56" s="1"/>
  <c r="M16" i="12"/>
  <c r="M17" i="12" s="1"/>
  <c r="M18" i="12" s="1"/>
  <c r="M19" i="12" s="1"/>
  <c r="M20" i="12" s="1"/>
  <c r="M21" i="12" s="1"/>
  <c r="M22" i="12" s="1"/>
  <c r="K30" i="56"/>
  <c r="H27" i="56"/>
  <c r="M4" i="41"/>
  <c r="M6" i="41" s="1"/>
  <c r="M7" i="41" s="1"/>
  <c r="M8" i="41" s="1"/>
  <c r="M9" i="41" s="1"/>
  <c r="M10" i="41" s="1"/>
  <c r="M11" i="41" s="1"/>
  <c r="M12" i="41" s="1"/>
  <c r="M13" i="41" s="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M25" i="41" s="1"/>
  <c r="K42" i="41"/>
  <c r="M4" i="16"/>
  <c r="K37" i="16"/>
  <c r="K53" i="56"/>
  <c r="K35" i="58"/>
  <c r="L4" i="58"/>
  <c r="L35" i="58" s="1"/>
  <c r="J12" i="56" s="1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55" i="22"/>
  <c r="K2" i="56"/>
  <c r="M6" i="26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4" i="50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K43" i="35"/>
  <c r="L43" i="35"/>
  <c r="J51" i="56" s="1"/>
  <c r="K51" i="56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9"/>
  <c r="M6" i="9" s="1"/>
  <c r="M7" i="9" s="1"/>
  <c r="M8" i="9" s="1"/>
  <c r="M9" i="9" s="1"/>
  <c r="M10" i="9" s="1"/>
  <c r="M11" i="9" s="1"/>
  <c r="M12" i="9" s="1"/>
  <c r="K20" i="56"/>
  <c r="M19" i="26" l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H55" i="56"/>
  <c r="M21" i="11"/>
  <c r="M22" i="11" s="1"/>
  <c r="M23" i="11" s="1"/>
  <c r="M24" i="11" s="1"/>
  <c r="M25" i="11" s="1"/>
  <c r="M26" i="11" s="1"/>
  <c r="M23" i="12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24" i="75"/>
  <c r="M25" i="75" s="1"/>
  <c r="M7" i="63"/>
  <c r="M8" i="63" s="1"/>
  <c r="M9" i="63" s="1"/>
  <c r="M10" i="63" s="1"/>
  <c r="M11" i="63" s="1"/>
  <c r="M12" i="63" s="1"/>
  <c r="M13" i="63" s="1"/>
  <c r="M14" i="63" s="1"/>
  <c r="M15" i="63" s="1"/>
  <c r="M16" i="63" s="1"/>
  <c r="M17" i="63" s="1"/>
  <c r="M18" i="63" s="1"/>
  <c r="M19" i="63" s="1"/>
  <c r="M20" i="63" s="1"/>
  <c r="M21" i="63" s="1"/>
  <c r="M22" i="63" s="1"/>
  <c r="M23" i="63" s="1"/>
  <c r="M24" i="63" s="1"/>
  <c r="M25" i="63" s="1"/>
  <c r="M26" i="63" s="1"/>
  <c r="M27" i="63" s="1"/>
  <c r="M28" i="63" s="1"/>
  <c r="M29" i="63" s="1"/>
  <c r="M30" i="63" s="1"/>
  <c r="M31" i="63" s="1"/>
  <c r="M32" i="63" s="1"/>
  <c r="M33" i="63" s="1"/>
  <c r="M34" i="63" s="1"/>
  <c r="M17" i="80"/>
  <c r="M18" i="80" s="1"/>
  <c r="M19" i="80" s="1"/>
  <c r="M20" i="80" s="1"/>
  <c r="M21" i="80" s="1"/>
  <c r="M22" i="80" s="1"/>
  <c r="M28" i="95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27" i="95"/>
  <c r="M5" i="85"/>
  <c r="M6" i="85" s="1"/>
  <c r="M7" i="85" s="1"/>
  <c r="M8" i="85" s="1"/>
  <c r="M9" i="85" s="1"/>
  <c r="M26" i="41"/>
  <c r="M27" i="41" s="1"/>
  <c r="M28" i="41" s="1"/>
  <c r="M29" i="41" s="1"/>
  <c r="P25" i="41"/>
  <c r="M12" i="79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M10" i="68"/>
  <c r="M11" i="68" s="1"/>
  <c r="M12" i="68" s="1"/>
  <c r="M13" i="68" s="1"/>
  <c r="M14" i="68" s="1"/>
  <c r="M15" i="68" s="1"/>
  <c r="M16" i="68" s="1"/>
  <c r="M17" i="68" s="1"/>
  <c r="M18" i="68" s="1"/>
  <c r="M19" i="68" s="1"/>
  <c r="M29" i="16"/>
  <c r="M30" i="16" s="1"/>
  <c r="M31" i="16" s="1"/>
  <c r="M32" i="16" s="1"/>
  <c r="M33" i="16" s="1"/>
  <c r="M34" i="16" s="1"/>
  <c r="M35" i="16" s="1"/>
  <c r="M36" i="16" s="1"/>
  <c r="M7" i="65"/>
  <c r="M8" i="65" s="1"/>
  <c r="M9" i="65" s="1"/>
  <c r="M10" i="65" s="1"/>
  <c r="M11" i="65" s="1"/>
  <c r="M12" i="65" s="1"/>
  <c r="M13" i="65" s="1"/>
  <c r="M14" i="65" s="1"/>
  <c r="M15" i="65" s="1"/>
  <c r="M16" i="65" s="1"/>
  <c r="M10" i="85"/>
  <c r="M11" i="85" s="1"/>
  <c r="M12" i="85" s="1"/>
  <c r="M13" i="85" s="1"/>
  <c r="M14" i="85" s="1"/>
  <c r="M15" i="85" s="1"/>
  <c r="M16" i="85" s="1"/>
  <c r="M17" i="85" s="1"/>
  <c r="M18" i="85" s="1"/>
  <c r="M19" i="85" s="1"/>
  <c r="M20" i="85" s="1"/>
  <c r="M21" i="85" s="1"/>
  <c r="M22" i="85" s="1"/>
  <c r="M28" i="85" s="1"/>
  <c r="M29" i="85" s="1"/>
  <c r="M30" i="85" s="1"/>
  <c r="M31" i="85" s="1"/>
  <c r="M32" i="85" s="1"/>
  <c r="M33" i="85" s="1"/>
  <c r="M34" i="85" s="1"/>
  <c r="M35" i="85" s="1"/>
  <c r="M36" i="85" s="1"/>
  <c r="M37" i="85" s="1"/>
  <c r="M38" i="85" s="1"/>
  <c r="M39" i="85" s="1"/>
  <c r="M40" i="85" s="1"/>
  <c r="M41" i="85" s="1"/>
  <c r="M42" i="85" s="1"/>
  <c r="M43" i="85" s="1"/>
  <c r="M44" i="85" s="1"/>
  <c r="M45" i="85" s="1"/>
  <c r="M46" i="85" s="1"/>
  <c r="M47" i="85" s="1"/>
  <c r="M48" i="85" s="1"/>
  <c r="M49" i="85" s="1"/>
  <c r="M50" i="85" s="1"/>
  <c r="M51" i="85" s="1"/>
  <c r="M52" i="85" s="1"/>
  <c r="M53" i="85" s="1"/>
  <c r="M54" i="85" s="1"/>
  <c r="M55" i="85" s="1"/>
  <c r="P55" i="85" s="1"/>
  <c r="J52" i="56"/>
  <c r="K52" i="56" s="1"/>
  <c r="M5" i="82"/>
  <c r="M6" i="82" s="1"/>
  <c r="M7" i="82" s="1"/>
  <c r="M8" i="82" s="1"/>
  <c r="M9" i="82" s="1"/>
  <c r="M10" i="82" s="1"/>
  <c r="M11" i="82" s="1"/>
  <c r="M12" i="82" s="1"/>
  <c r="M13" i="82" s="1"/>
  <c r="M14" i="82" s="1"/>
  <c r="M15" i="82" s="1"/>
  <c r="K27" i="56"/>
  <c r="Q18" i="81"/>
  <c r="K21" i="56"/>
  <c r="K22" i="56"/>
  <c r="M7" i="51"/>
  <c r="M8" i="51" s="1"/>
  <c r="M9" i="51" s="1"/>
  <c r="M10" i="51" s="1"/>
  <c r="M11" i="51" s="1"/>
  <c r="M12" i="51" s="1"/>
  <c r="M13" i="51" s="1"/>
  <c r="M14" i="51" s="1"/>
  <c r="M10" i="69"/>
  <c r="M11" i="69" s="1"/>
  <c r="M12" i="69" s="1"/>
  <c r="M13" i="69" s="1"/>
  <c r="M14" i="69" s="1"/>
  <c r="C64" i="56" a="1"/>
  <c r="C64" i="56" s="1"/>
  <c r="M30" i="14"/>
  <c r="M31" i="14" s="1"/>
  <c r="M32" i="14" s="1"/>
  <c r="M33" i="14" s="1"/>
  <c r="M34" i="14" s="1"/>
  <c r="M35" i="14" s="1"/>
  <c r="M36" i="14" s="1"/>
  <c r="M37" i="14" s="1"/>
  <c r="M38" i="14" s="1"/>
  <c r="M39" i="14" s="1"/>
  <c r="M40" i="14" s="1"/>
  <c r="M5" i="10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3" i="24"/>
  <c r="M18" i="65"/>
  <c r="M19" i="65" s="1"/>
  <c r="M20" i="65" s="1"/>
  <c r="M17" i="65"/>
  <c r="M15" i="3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18" i="10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L39" i="25"/>
  <c r="J31" i="56" s="1"/>
  <c r="M5" i="25"/>
  <c r="M6" i="25" s="1"/>
  <c r="M7" i="25" s="1"/>
  <c r="M8" i="25" s="1"/>
  <c r="M9" i="25" s="1"/>
  <c r="M10" i="25" s="1"/>
  <c r="K18" i="56"/>
  <c r="L35" i="60"/>
  <c r="J44" i="56" s="1"/>
  <c r="K44" i="56" s="1"/>
  <c r="M4" i="60"/>
  <c r="L44" i="33"/>
  <c r="J49" i="56" s="1"/>
  <c r="M4" i="33"/>
  <c r="K12" i="56"/>
  <c r="L55" i="22"/>
  <c r="J32" i="56" s="1"/>
  <c r="M5" i="50"/>
  <c r="M6" i="50" s="1"/>
  <c r="M7" i="50" s="1"/>
  <c r="M8" i="50" s="1"/>
  <c r="M9" i="50" s="1"/>
  <c r="M13" i="9"/>
  <c r="M14" i="9" s="1"/>
  <c r="L47" i="35"/>
  <c r="M20" i="68" l="1"/>
  <c r="M21" i="68" s="1"/>
  <c r="M22" i="68" s="1"/>
  <c r="M23" i="68" s="1"/>
  <c r="M24" i="68" s="1"/>
  <c r="M25" i="68" s="1"/>
  <c r="M26" i="68" s="1"/>
  <c r="M27" i="68" s="1"/>
  <c r="M28" i="68" s="1"/>
  <c r="M29" i="68" s="1"/>
  <c r="M30" i="68" s="1"/>
  <c r="M31" i="68" s="1"/>
  <c r="M32" i="68" s="1"/>
  <c r="M33" i="68" s="1"/>
  <c r="M34" i="68" s="1"/>
  <c r="M35" i="68" s="1"/>
  <c r="M27" i="11"/>
  <c r="M28" i="11" s="1"/>
  <c r="M29" i="11" s="1"/>
  <c r="M30" i="11" s="1"/>
  <c r="M31" i="11" s="1"/>
  <c r="M32" i="11" s="1"/>
  <c r="M33" i="11" s="1"/>
  <c r="M34" i="11" s="1"/>
  <c r="M35" i="11" s="1"/>
  <c r="M36" i="11" s="1"/>
  <c r="M23" i="80"/>
  <c r="M24" i="80" s="1"/>
  <c r="M25" i="80" s="1"/>
  <c r="M26" i="80" s="1"/>
  <c r="M27" i="80" s="1"/>
  <c r="M28" i="80" s="1"/>
  <c r="M29" i="80" s="1"/>
  <c r="M30" i="80" s="1"/>
  <c r="M31" i="80" s="1"/>
  <c r="M32" i="80" s="1"/>
  <c r="M33" i="80" s="1"/>
  <c r="M34" i="80" s="1"/>
  <c r="M35" i="80" s="1"/>
  <c r="M36" i="80" s="1"/>
  <c r="M37" i="80" s="1"/>
  <c r="M38" i="80" s="1"/>
  <c r="M39" i="80" s="1"/>
  <c r="M11" i="25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35" i="25" s="1"/>
  <c r="M36" i="25" s="1"/>
  <c r="M37" i="25" s="1"/>
  <c r="M38" i="25" s="1"/>
  <c r="M10" i="50"/>
  <c r="M11" i="50" s="1"/>
  <c r="M12" i="50" s="1"/>
  <c r="M13" i="50" s="1"/>
  <c r="M30" i="41"/>
  <c r="M31" i="41" s="1"/>
  <c r="M32" i="41" s="1"/>
  <c r="M33" i="41" s="1"/>
  <c r="M34" i="41" s="1"/>
  <c r="M35" i="41" s="1"/>
  <c r="M36" i="41" s="1"/>
  <c r="M37" i="41" s="1"/>
  <c r="M38" i="41" s="1"/>
  <c r="M39" i="41" s="1"/>
  <c r="M40" i="41" s="1"/>
  <c r="M41" i="41" s="1"/>
  <c r="O41" i="41" s="1"/>
  <c r="M21" i="65"/>
  <c r="M22" i="65" s="1"/>
  <c r="M23" i="65" s="1"/>
  <c r="M24" i="65" s="1"/>
  <c r="M25" i="65" s="1"/>
  <c r="M26" i="65" s="1"/>
  <c r="M27" i="65" s="1"/>
  <c r="M28" i="65" s="1"/>
  <c r="M15" i="69"/>
  <c r="M16" i="69" s="1"/>
  <c r="M17" i="69" s="1"/>
  <c r="M18" i="69" s="1"/>
  <c r="M20" i="69" s="1"/>
  <c r="M21" i="69" s="1"/>
  <c r="M22" i="69" s="1"/>
  <c r="M23" i="69" s="1"/>
  <c r="M24" i="69" s="1"/>
  <c r="M25" i="69" s="1"/>
  <c r="M26" i="69" s="1"/>
  <c r="M27" i="69" s="1"/>
  <c r="M28" i="69" s="1"/>
  <c r="M29" i="69" s="1"/>
  <c r="M30" i="69" s="1"/>
  <c r="M31" i="69" s="1"/>
  <c r="M32" i="69" s="1"/>
  <c r="M33" i="69" s="1"/>
  <c r="M34" i="69" s="1"/>
  <c r="M35" i="69" s="1"/>
  <c r="M36" i="69" s="1"/>
  <c r="M37" i="69" s="1"/>
  <c r="M38" i="69" s="1"/>
  <c r="M39" i="69" s="1"/>
  <c r="M40" i="69" s="1"/>
  <c r="M41" i="69" s="1"/>
  <c r="M42" i="69" s="1"/>
  <c r="M43" i="69" s="1"/>
  <c r="M44" i="69" s="1"/>
  <c r="M45" i="69" s="1"/>
  <c r="M46" i="69" s="1"/>
  <c r="M47" i="69" s="1"/>
  <c r="M48" i="69" s="1"/>
  <c r="M49" i="69" s="1"/>
  <c r="K50" i="56" s="1"/>
  <c r="M15" i="51"/>
  <c r="M16" i="51" s="1"/>
  <c r="M17" i="51" s="1"/>
  <c r="M18" i="51" s="1"/>
  <c r="M19" i="51" s="1"/>
  <c r="M20" i="51" s="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5" i="60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M15" i="9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16" i="82"/>
  <c r="M17" i="82" s="1"/>
  <c r="M18" i="82" s="1"/>
  <c r="M19" i="82" s="1"/>
  <c r="M20" i="82" s="1"/>
  <c r="M21" i="82" s="1"/>
  <c r="M22" i="82" s="1"/>
  <c r="M23" i="82" s="1"/>
  <c r="M24" i="82" s="1"/>
  <c r="M25" i="82" s="1"/>
  <c r="M26" i="82" s="1"/>
  <c r="M27" i="82" s="1"/>
  <c r="M28" i="82" s="1"/>
  <c r="M29" i="82" s="1"/>
  <c r="M30" i="82" s="1"/>
  <c r="M31" i="82" s="1"/>
  <c r="M32" i="82" s="1"/>
  <c r="M33" i="82" s="1"/>
  <c r="M34" i="82" s="1"/>
  <c r="K31" i="56"/>
  <c r="J55" i="56"/>
  <c r="Q40" i="14"/>
  <c r="K49" i="56"/>
  <c r="B61" i="56" a="1"/>
  <c r="B61" i="56" s="1"/>
  <c r="M32" i="51"/>
  <c r="M33" i="51" s="1"/>
  <c r="M34" i="51" s="1"/>
  <c r="M35" i="51" s="1"/>
  <c r="M36" i="51" s="1"/>
  <c r="M37" i="51" s="1"/>
  <c r="M38" i="51" s="1"/>
  <c r="M39" i="51" s="1"/>
  <c r="M14" i="24"/>
  <c r="M16" i="60"/>
  <c r="M17" i="60" s="1"/>
  <c r="M18" i="60" s="1"/>
  <c r="M19" i="60" s="1"/>
  <c r="M20" i="60" s="1"/>
  <c r="M21" i="60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14" i="50"/>
  <c r="M15" i="50" s="1"/>
  <c r="M16" i="50" s="1"/>
  <c r="M17" i="50" s="1"/>
  <c r="M18" i="50" s="1"/>
  <c r="M25" i="50" s="1"/>
  <c r="M26" i="50" s="1"/>
  <c r="M27" i="50" s="1"/>
  <c r="M28" i="50" s="1"/>
  <c r="M29" i="50" s="1"/>
  <c r="M30" i="50" s="1"/>
  <c r="M28" i="9"/>
  <c r="M29" i="9" s="1"/>
  <c r="M30" i="9" s="1"/>
  <c r="M31" i="9" s="1"/>
  <c r="M32" i="9" s="1"/>
  <c r="M33" i="9" s="1"/>
  <c r="M34" i="9" s="1"/>
  <c r="M31" i="50"/>
  <c r="M32" i="50" s="1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K32" i="56"/>
  <c r="M29" i="65" l="1"/>
  <c r="M30" i="65" s="1"/>
  <c r="M31" i="65" s="1"/>
  <c r="M32" i="65" s="1"/>
  <c r="M33" i="65" s="1"/>
  <c r="M34" i="65" s="1"/>
  <c r="M35" i="65" s="1"/>
  <c r="M36" i="65" s="1"/>
  <c r="M37" i="65" s="1"/>
  <c r="M38" i="65" s="1"/>
  <c r="M39" i="65" s="1"/>
  <c r="M40" i="65" s="1"/>
  <c r="M41" i="65" s="1"/>
  <c r="M42" i="65" s="1"/>
  <c r="M43" i="65" s="1"/>
  <c r="M44" i="65" s="1"/>
  <c r="M45" i="65" s="1"/>
  <c r="M46" i="65" s="1"/>
  <c r="M47" i="65" s="1"/>
  <c r="M48" i="65" s="1"/>
  <c r="M49" i="65" s="1"/>
  <c r="M50" i="65" s="1"/>
  <c r="M51" i="65" s="1"/>
  <c r="M52" i="65" s="1"/>
  <c r="M53" i="65" s="1"/>
  <c r="M54" i="65" s="1"/>
  <c r="M55" i="65" s="1"/>
  <c r="M56" i="65" s="1"/>
  <c r="M57" i="65" s="1"/>
  <c r="M58" i="65" s="1"/>
  <c r="P44" i="44"/>
  <c r="I55" i="56"/>
  <c r="K55" i="56" s="1"/>
  <c r="M15" i="24"/>
  <c r="M16" i="24" s="1"/>
  <c r="M17" i="24" s="1"/>
  <c r="M55" i="56"/>
  <c r="M33" i="50"/>
  <c r="M34" i="50" s="1"/>
  <c r="M35" i="50" s="1"/>
  <c r="M19" i="35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78" i="65" l="1"/>
  <c r="M59" i="65"/>
  <c r="M60" i="65" s="1"/>
  <c r="M61" i="65" s="1"/>
  <c r="M62" i="65" s="1"/>
  <c r="M63" i="65" s="1"/>
  <c r="M64" i="65" s="1"/>
  <c r="M65" i="65" s="1"/>
  <c r="M66" i="65" s="1"/>
  <c r="M67" i="65" s="1"/>
  <c r="M68" i="65" s="1"/>
  <c r="M69" i="65" s="1"/>
  <c r="M70" i="65" s="1"/>
  <c r="M71" i="65" s="1"/>
  <c r="M72" i="65" s="1"/>
  <c r="M73" i="65" s="1"/>
  <c r="M74" i="65" s="1"/>
  <c r="M75" i="65" s="1"/>
  <c r="M76" i="65" s="1"/>
  <c r="M94" i="44"/>
  <c r="M95" i="44" s="1"/>
  <c r="M96" i="44" s="1"/>
  <c r="M97" i="44" s="1"/>
  <c r="O46" i="44"/>
  <c r="M44" i="81"/>
  <c r="P43" i="81"/>
  <c r="M18" i="24"/>
  <c r="M98" i="44" l="1"/>
  <c r="O97" i="44"/>
  <c r="M19" i="24"/>
  <c r="M20" i="24" l="1"/>
  <c r="M21" i="24" l="1"/>
  <c r="M22" i="24" l="1"/>
  <c r="M23" i="24" l="1"/>
  <c r="M24" i="24" s="1"/>
  <c r="M25" i="24" s="1"/>
  <c r="M26" i="24" s="1"/>
  <c r="M27" i="24" s="1"/>
  <c r="M28" i="24" s="1"/>
  <c r="M29" i="24" s="1"/>
  <c r="M30" i="24" s="1"/>
  <c r="M31" i="24" l="1"/>
  <c r="M32" i="24" l="1"/>
  <c r="M33" i="24" l="1"/>
  <c r="M34" i="24" s="1"/>
  <c r="M35" i="24"/>
  <c r="K24" i="5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tc={E4F66D34-D01F-400C-AC77-FD28C2795751}</author>
  </authors>
  <commentList>
    <comment ref="L25" authorId="0" shapeId="0" xr:uid="{E4F66D34-D01F-400C-AC77-FD28C279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Transfer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</authors>
  <commentList>
    <comment ref="E14" authorId="0" shapeId="0" xr:uid="{28F77594-4689-4EA3-9818-A214F986CE7F}">
      <text>
        <r>
          <rPr>
            <sz val="11"/>
            <color theme="1"/>
            <rFont val="Calibri"/>
            <family val="2"/>
            <scheme val="minor"/>
          </rPr>
          <t xml:space="preserve">MIS:
Jadcherla to jalgaon OTP BPCL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<sst xmlns="http://schemas.openxmlformats.org/spreadsheetml/2006/main" count="2353" uniqueCount="457">
  <si>
    <t>S.No</t>
  </si>
  <si>
    <t>NAme</t>
  </si>
  <si>
    <t>Lacation</t>
  </si>
  <si>
    <t>Card Number</t>
  </si>
  <si>
    <t>Category</t>
  </si>
  <si>
    <t>1st Jan</t>
  </si>
  <si>
    <t>2nd Jan</t>
  </si>
  <si>
    <t>3rd Jan</t>
  </si>
  <si>
    <t>4th Jan</t>
  </si>
  <si>
    <t>5th Jan</t>
  </si>
  <si>
    <t>6th Jan</t>
  </si>
  <si>
    <t>7th Jan</t>
  </si>
  <si>
    <t>8th Jan</t>
  </si>
  <si>
    <t>9th Jan</t>
  </si>
  <si>
    <t>10th Jan</t>
  </si>
  <si>
    <t>11th Jan</t>
  </si>
  <si>
    <t>12th Jan</t>
  </si>
  <si>
    <t>13th Jan</t>
  </si>
  <si>
    <t>14th Jan</t>
  </si>
  <si>
    <t>15th Jan</t>
  </si>
  <si>
    <t>16th Jan</t>
  </si>
  <si>
    <t>17th Jan</t>
  </si>
  <si>
    <t>18th Jan</t>
  </si>
  <si>
    <t>19th Jan</t>
  </si>
  <si>
    <t>20th Jan</t>
  </si>
  <si>
    <t>21st Jan</t>
  </si>
  <si>
    <t>22nd Jan</t>
  </si>
  <si>
    <t>23rd Jan</t>
  </si>
  <si>
    <t>24th Jan</t>
  </si>
  <si>
    <t>25th Jan</t>
  </si>
  <si>
    <t>26th Jan</t>
  </si>
  <si>
    <t>27th Jan</t>
  </si>
  <si>
    <t>28th Jan</t>
  </si>
  <si>
    <t>29th Jan</t>
  </si>
  <si>
    <t>30th Jan</t>
  </si>
  <si>
    <t>31st Jan</t>
  </si>
  <si>
    <t>Total</t>
  </si>
  <si>
    <t>Diesel</t>
  </si>
  <si>
    <t>Rambabu</t>
  </si>
  <si>
    <t>HO(Two Wheeler)</t>
  </si>
  <si>
    <t>FC3450563999</t>
  </si>
  <si>
    <t>Petrol</t>
  </si>
  <si>
    <t>Hanumanth Rao</t>
  </si>
  <si>
    <t>HO</t>
  </si>
  <si>
    <t>FC3450676131</t>
  </si>
  <si>
    <t>Radhakrishna</t>
  </si>
  <si>
    <t>FC8000207658</t>
  </si>
  <si>
    <t>VIjay</t>
  </si>
  <si>
    <t>FC3450698859</t>
  </si>
  <si>
    <t>Client</t>
  </si>
  <si>
    <t>Hiriyur</t>
  </si>
  <si>
    <t>FC3450698864</t>
  </si>
  <si>
    <t>Hosadurga</t>
  </si>
  <si>
    <t>FC3450698865</t>
  </si>
  <si>
    <t>Diesel Price</t>
  </si>
  <si>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</si>
  <si>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</si>
  <si>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</si>
  <si>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</si>
  <si>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</si>
  <si>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</si>
  <si>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</si>
  <si>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</si>
  <si>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</si>
  <si>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</si>
  <si>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</si>
  <si>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</si>
  <si>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</si>
  <si>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Khammam-2</t>
  </si>
  <si>
    <t>Jayasai union bunk</t>
  </si>
  <si>
    <t>Khammam-3</t>
  </si>
  <si>
    <t>JSASFuel Genie India Pvt.Ltd</t>
  </si>
  <si>
    <t>Khammam-Cash&amp;Carry</t>
  </si>
  <si>
    <t xml:space="preserve">NA </t>
  </si>
  <si>
    <t>Jadcherla-1</t>
  </si>
  <si>
    <t>Jadcherla-2</t>
  </si>
  <si>
    <t>Shree Poornima F/S</t>
  </si>
  <si>
    <t>Jadcherla-3</t>
  </si>
  <si>
    <t>Sai Baba Filling Station</t>
  </si>
  <si>
    <t>Sangareddy-2</t>
  </si>
  <si>
    <t>Durga Bhavani F/S</t>
  </si>
  <si>
    <t xml:space="preserve">VASUDEO NIVRUTTI </t>
  </si>
  <si>
    <t>Sangareddy-3</t>
  </si>
  <si>
    <t xml:space="preserve">Shiva Parvathi Filling Station </t>
  </si>
  <si>
    <t>NarayanaKhed</t>
  </si>
  <si>
    <t xml:space="preserve">Sai Shiva Filling Station </t>
  </si>
  <si>
    <t>Dindi</t>
  </si>
  <si>
    <t>Akarapu Balakistamma Fillling</t>
  </si>
  <si>
    <t>Madanapalli</t>
  </si>
  <si>
    <t>NA</t>
  </si>
  <si>
    <t>Kakinada</t>
  </si>
  <si>
    <t>YG Gudda-2</t>
  </si>
  <si>
    <t>Pankaja HP Fuel Center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</si>
  <si>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</si>
  <si>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</si>
  <si>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</si>
  <si>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</si>
  <si>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</si>
  <si>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</si>
  <si>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</si>
  <si>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</si>
  <si>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</si>
  <si>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Shivaganga Service Station</t>
  </si>
  <si>
    <t>Chellakere(KUWSDB)-09</t>
  </si>
  <si>
    <t>Molakalmuru</t>
  </si>
  <si>
    <t>Sri Lakshmi Venkateshwara Filling Station</t>
  </si>
  <si>
    <t>Chennagiri</t>
  </si>
  <si>
    <t>Khanapur(PKG-3)</t>
  </si>
  <si>
    <t>V.V.Varde</t>
  </si>
  <si>
    <t>Munavalli(PKG-3)</t>
  </si>
  <si>
    <t>Shre Shiva Petroleum</t>
  </si>
  <si>
    <t>Daneshwari Petroleum</t>
  </si>
  <si>
    <t>Borgaon(PKG-3)</t>
  </si>
  <si>
    <t>Aadisagar Petrolium</t>
  </si>
  <si>
    <t>Ugar,Kudichi(PKG-3)</t>
  </si>
  <si>
    <t>Shiri Bhrhmanath Petrolium</t>
  </si>
  <si>
    <t>Shedbal</t>
  </si>
  <si>
    <t xml:space="preserve">Varad Petroluem </t>
  </si>
  <si>
    <t>Kabbur(PKG-3)</t>
  </si>
  <si>
    <t>Shri Jai Hanuman Petrolium</t>
  </si>
  <si>
    <t>Kumta (PKG-1)</t>
  </si>
  <si>
    <t xml:space="preserve">V.M.MIRJANKAR (KUMTA) BHARAT </t>
  </si>
  <si>
    <t>Jalgaon-1</t>
  </si>
  <si>
    <t>Jai Bajarang Sarvo Senter Bodwad</t>
  </si>
  <si>
    <t>Jalgaon-2</t>
  </si>
  <si>
    <t>Nayara</t>
  </si>
  <si>
    <t>Jalgaon-3</t>
  </si>
  <si>
    <t xml:space="preserve">Vasudeo Nivrutti </t>
  </si>
  <si>
    <t>Jalgaon-4</t>
  </si>
  <si>
    <t xml:space="preserve">Raksha Auto Fuels </t>
  </si>
  <si>
    <t>Jalgaon-5 C</t>
  </si>
  <si>
    <t>MKBD</t>
  </si>
  <si>
    <t>Shree Sai Samarth Petroleum</t>
  </si>
  <si>
    <t>Haveri</t>
  </si>
  <si>
    <t>M/s Magavi City Fuels</t>
  </si>
  <si>
    <t>Guttal-2</t>
  </si>
  <si>
    <t>Himagiri Petroleum</t>
  </si>
  <si>
    <t>Rattihali-2</t>
  </si>
  <si>
    <t>Shiva Oil Traders</t>
  </si>
  <si>
    <t>Gajendragada</t>
  </si>
  <si>
    <t>Vanasri Petrol Pump</t>
  </si>
  <si>
    <t>Gokak(PKG-3)</t>
  </si>
  <si>
    <t>AJ Petrolinks</t>
  </si>
  <si>
    <t>Hukkere</t>
  </si>
  <si>
    <t>TR Assocites</t>
  </si>
  <si>
    <t>Ankaligi</t>
  </si>
  <si>
    <t>Shivaganga</t>
  </si>
  <si>
    <t>Ghattaprabha</t>
  </si>
  <si>
    <t>Shri Deshpande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</si>
  <si>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</si>
  <si>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</si>
  <si>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</si>
  <si>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</si>
  <si>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</si>
  <si>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</si>
  <si>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</si>
  <si>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</si>
  <si>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Muddebihal(PKG-1)2</t>
  </si>
  <si>
    <t xml:space="preserve">PS NAGATHAN PETROLIUM </t>
  </si>
  <si>
    <t>Almela(PKG-1)</t>
  </si>
  <si>
    <t>Shiddeshwar Petroleums</t>
  </si>
  <si>
    <t>Nalatwad(PKG-1)</t>
  </si>
  <si>
    <t>Shri Pawad Basaweshwar Petroleums</t>
  </si>
  <si>
    <t>Srirangapatna</t>
  </si>
  <si>
    <t>Anupama F/S</t>
  </si>
  <si>
    <t>HO(DG)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</si>
  <si>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</si>
  <si>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</si>
  <si>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</si>
  <si>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</si>
  <si>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</si>
  <si>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</si>
  <si>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</si>
  <si>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</si>
  <si>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</si>
  <si>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</si>
  <si>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</si>
  <si>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</si>
  <si>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>Khammam</t>
  </si>
  <si>
    <t>Jadcherla</t>
  </si>
  <si>
    <t>HPCL</t>
  </si>
  <si>
    <t>Credit Card</t>
  </si>
  <si>
    <t>As 0n Date</t>
  </si>
  <si>
    <t>CASH DG Sir</t>
  </si>
  <si>
    <t xml:space="preserve">JSASFuel Genie India Pvt.Ltd													</t>
  </si>
  <si>
    <t xml:space="preserve"> Cash &amp;Carry</t>
  </si>
  <si>
    <t>02.05.2026</t>
  </si>
  <si>
    <t>Stambhadri Fuel Park (HP)</t>
  </si>
  <si>
    <t>04.05.2026</t>
  </si>
  <si>
    <t>Sri Sri Sri Filling Station (HP)</t>
  </si>
  <si>
    <t>05.05.2026</t>
  </si>
  <si>
    <t>06.05.2026</t>
  </si>
  <si>
    <t>07.05.2026</t>
  </si>
  <si>
    <t>09.05.2026</t>
  </si>
  <si>
    <t>12.05.2026</t>
  </si>
  <si>
    <t>Sri Sri Sri Filling Station (HPCL)</t>
  </si>
  <si>
    <t>Stambhadri Fuel Park (HPCL)</t>
  </si>
  <si>
    <t>354016 paid  to dted 24.04.2026</t>
  </si>
  <si>
    <t>Ind no/Bill No</t>
  </si>
  <si>
    <t>As on Date</t>
  </si>
  <si>
    <t>/</t>
  </si>
  <si>
    <t xml:space="preserve"> Sai baba F/S</t>
  </si>
  <si>
    <t>BT</t>
  </si>
  <si>
    <t>SHIVA PARVATHI FILLING STATION SADASHIVPET</t>
  </si>
  <si>
    <t xml:space="preserve"> </t>
  </si>
  <si>
    <t>BPCL Card</t>
  </si>
  <si>
    <t>01.05.2026</t>
  </si>
  <si>
    <t>CHAKRADWARABANDHAM BHARAT PETROLEUM DEALERS</t>
  </si>
  <si>
    <t>CHAKRADWARABANDHAM</t>
  </si>
  <si>
    <t>BPCL</t>
  </si>
  <si>
    <t xml:space="preserve">SRI BALAJI AGENCIES BHARAT PETROLEUM DEALERS </t>
  </si>
  <si>
    <t>SRILAKSHMI AGENCIES BHARAT PETROLEUM DEALERS</t>
  </si>
  <si>
    <t>BP Kakinada</t>
  </si>
  <si>
    <t> </t>
  </si>
  <si>
    <t xml:space="preserve">BP Chakradwarabhandam </t>
  </si>
  <si>
    <t>Rajanagaram</t>
  </si>
  <si>
    <t>JVVR Filling Station</t>
  </si>
  <si>
    <t>Pitapuram</t>
  </si>
  <si>
    <t>BP Lalacheruvu</t>
  </si>
  <si>
    <t>Rajahmundry</t>
  </si>
  <si>
    <t>Sardar Singh Sahni&amp;Sons</t>
  </si>
  <si>
    <t>Gannavaram</t>
  </si>
  <si>
    <t>Sri Lakshmi Agencies</t>
  </si>
  <si>
    <t>Samarlkota</t>
  </si>
  <si>
    <t>08.05.2026</t>
  </si>
  <si>
    <t xml:space="preserve">GSR Vana Durga Filling </t>
  </si>
  <si>
    <t>Vijayawada</t>
  </si>
  <si>
    <t>Solasa Krishna Oil Company</t>
  </si>
  <si>
    <t>Jangareddygudem</t>
  </si>
  <si>
    <t>Sri Venkateswara Enterprises</t>
  </si>
  <si>
    <t>Yanam</t>
  </si>
  <si>
    <t>10.05.2026</t>
  </si>
  <si>
    <t>IOCL</t>
  </si>
  <si>
    <t>13.05.2026</t>
  </si>
  <si>
    <t>Sree SV Agencies</t>
  </si>
  <si>
    <t>Peddapuram</t>
  </si>
  <si>
    <t>14.05.2026</t>
  </si>
  <si>
    <t>BPCL Tirumala Agencies</t>
  </si>
  <si>
    <t>Anathavaram (Mummidivaram)</t>
  </si>
  <si>
    <t>15.05.2026</t>
  </si>
  <si>
    <t>16.05.2026</t>
  </si>
  <si>
    <t>17.05.2026</t>
  </si>
  <si>
    <t>BP Kovvuru</t>
  </si>
  <si>
    <t>Kovvuru</t>
  </si>
  <si>
    <t>18.05.2026</t>
  </si>
  <si>
    <t>Sathya Siva Durga Agencies</t>
  </si>
  <si>
    <t>Chebrolu</t>
  </si>
  <si>
    <t>19.05.2026</t>
  </si>
  <si>
    <t xml:space="preserve">SAI LEELA FILLING STATION </t>
  </si>
  <si>
    <t>MANDADAM</t>
  </si>
  <si>
    <t xml:space="preserve">SOLASA KRISHNA OIL COMPANY BHARAT PETROLEUM </t>
  </si>
  <si>
    <t>JANGAREDDYGUDEM</t>
  </si>
  <si>
    <t>SRI BALAJI AGENCIES BHARAT PETROLEUM DEALERS</t>
  </si>
  <si>
    <t>20.05.2026</t>
  </si>
  <si>
    <t>21.05.2026</t>
  </si>
  <si>
    <t>22.05.2026</t>
  </si>
  <si>
    <t>23.05.2026</t>
  </si>
  <si>
    <t>Sri Bhimeswara Agencies BPCL</t>
  </si>
  <si>
    <t>Amalapuram</t>
  </si>
  <si>
    <t>24.05.2026</t>
  </si>
  <si>
    <t xml:space="preserve">Vishnu filling station </t>
  </si>
  <si>
    <t>25.05.2026</t>
  </si>
  <si>
    <t>Himagiri Filling Station</t>
  </si>
  <si>
    <t>26.05.2026</t>
  </si>
  <si>
    <t>Kilaram Brothers</t>
  </si>
  <si>
    <t>Denduluru</t>
  </si>
  <si>
    <t>27.05.2026</t>
  </si>
  <si>
    <t xml:space="preserve">vijaya balaji agencies </t>
  </si>
  <si>
    <t>28.05.2026</t>
  </si>
  <si>
    <t>29.05.2026</t>
  </si>
  <si>
    <t>30.05.2026</t>
  </si>
  <si>
    <t xml:space="preserve">MAA PETROLEUM </t>
  </si>
  <si>
    <t>NAGULAVENIPADU</t>
  </si>
  <si>
    <t>SRI BALAJI AGENCIES</t>
  </si>
  <si>
    <t>31.05.2026</t>
  </si>
  <si>
    <t>Pallavi IOCL</t>
  </si>
  <si>
    <t>Sri Siddeshwara Fuels HPCL</t>
  </si>
  <si>
    <t>Sree Veerabhadreshwara Service Station</t>
  </si>
  <si>
    <t>Molakamuru</t>
  </si>
  <si>
    <t>Shivaganga Service Station (BPCL)</t>
  </si>
  <si>
    <t>OCL OTP MLB</t>
  </si>
  <si>
    <t>Sri Vishnu Baba Petroleum</t>
  </si>
  <si>
    <t>Chellakere-PKG-09</t>
  </si>
  <si>
    <t>Date of payment</t>
  </si>
  <si>
    <t>Shiri Shiva Petroluem</t>
  </si>
  <si>
    <t>HPCl</t>
  </si>
  <si>
    <t xml:space="preserve">SAI SHIVA FILLING STATION </t>
  </si>
  <si>
    <t>DANESHWARI  PETROLIUM(YERRAGATTI)</t>
  </si>
  <si>
    <t>d</t>
  </si>
  <si>
    <t>VARAD PETROLEUM SHEDBAL</t>
  </si>
  <si>
    <t>Kumta</t>
  </si>
  <si>
    <t>V.M.Mirjankar</t>
  </si>
  <si>
    <t>Month</t>
  </si>
  <si>
    <t>Disel In Litters</t>
  </si>
  <si>
    <t>Petrol In Litters</t>
  </si>
  <si>
    <t>Feb'-26</t>
  </si>
  <si>
    <t>March'-26</t>
  </si>
  <si>
    <t>April'-26</t>
  </si>
  <si>
    <t>May'-26</t>
  </si>
  <si>
    <t xml:space="preserve"> Nayara</t>
  </si>
  <si>
    <t>Vasudeo</t>
  </si>
  <si>
    <t>RTGS NO.</t>
  </si>
  <si>
    <t>BPCL CARD PAYMENT - FC3450676132</t>
  </si>
  <si>
    <t>TG 07 V 5356</t>
  </si>
  <si>
    <t>CNRBH00129325250</t>
  </si>
  <si>
    <t>CNRBR52026050685101897</t>
  </si>
  <si>
    <t>KA 16 AA 8261</t>
  </si>
  <si>
    <t>Raksha</t>
  </si>
  <si>
    <t xml:space="preserve">RAKSHA AUTO FUELS </t>
  </si>
  <si>
    <t>CNRBR5226050685102162</t>
  </si>
  <si>
    <t>HO PAYMENT DONE</t>
  </si>
  <si>
    <t>KA 16 AA 8265</t>
  </si>
  <si>
    <t>CNRBR52026050885329103</t>
  </si>
  <si>
    <t>TG 07 V 5356-2176.53 AND 8261-270.47</t>
  </si>
  <si>
    <t>CASH PURCHASE</t>
  </si>
  <si>
    <t>68536/38/39/40</t>
  </si>
  <si>
    <t>SHRI KRISHNA PETROLEUM</t>
  </si>
  <si>
    <t>IOCL CARD PAYMENT-9863</t>
  </si>
  <si>
    <t>220234626E100141</t>
  </si>
  <si>
    <t>VANDAN PETROLEUM</t>
  </si>
  <si>
    <t>IOCL CARD PAYMENT-</t>
  </si>
  <si>
    <t>VENKATESH AUTOMOBILES</t>
  </si>
  <si>
    <t>CHANDRODAY PETROLEUM</t>
  </si>
  <si>
    <t>HP CARD PAYMENT - 7112</t>
  </si>
  <si>
    <t>E0129/30/31/32/33</t>
  </si>
  <si>
    <t>SAMRTH TRANSPORT</t>
  </si>
  <si>
    <t>223857026E200060/61/62/63/64/65/66/67/68</t>
  </si>
  <si>
    <t>69019/24/32/50/39/61/43</t>
  </si>
  <si>
    <t>953205061250344/1054</t>
  </si>
  <si>
    <t>E0277/78/79/80/81/82/83</t>
  </si>
  <si>
    <t>E0274/75/76/78/79</t>
  </si>
  <si>
    <t>BABA FUELS STATION</t>
  </si>
  <si>
    <t>KA 16AA 8265</t>
  </si>
  <si>
    <t>330316/17/21/24/26/28/29/31/32/34</t>
  </si>
  <si>
    <t>260435/36/37/38</t>
  </si>
  <si>
    <t>KHANDELWAL PETROLEUM</t>
  </si>
  <si>
    <t>Payement Done</t>
  </si>
  <si>
    <t>223857026E200347/48/49/50/51/52/53/54/55</t>
  </si>
  <si>
    <t>E8227/28/29/40/50/51/52/53/54/55</t>
  </si>
  <si>
    <t>COCO MALSANE</t>
  </si>
  <si>
    <t>IOCL CARD PAYMENT -0021</t>
  </si>
  <si>
    <t>MH  28 CC 0798</t>
  </si>
  <si>
    <t>Sri Krishna Petroleum</t>
  </si>
  <si>
    <t>Raza Petroleum</t>
  </si>
  <si>
    <t>CASH PURCHASE PARTY WISE DETAILS</t>
  </si>
  <si>
    <t>TOTAL LTRS</t>
  </si>
  <si>
    <t>Engine Oil 15W40</t>
  </si>
  <si>
    <t>AP3 Grease</t>
  </si>
  <si>
    <t>Lubricant Purchaged</t>
  </si>
  <si>
    <t xml:space="preserve"> Magavi fuel F/S</t>
  </si>
  <si>
    <t>.</t>
  </si>
  <si>
    <t>CAPITAL FUELS</t>
  </si>
  <si>
    <t>BBBZ PETROLEUM</t>
  </si>
  <si>
    <t>`</t>
  </si>
  <si>
    <t>raja bhakshi</t>
  </si>
  <si>
    <t>Shiva ganga</t>
  </si>
  <si>
    <t xml:space="preserve">  TR Associates</t>
  </si>
  <si>
    <t xml:space="preserve"> S R PATIL</t>
  </si>
  <si>
    <t>Talikote</t>
  </si>
  <si>
    <t>IOCL Card</t>
  </si>
  <si>
    <t>BPCL Card Ledger</t>
  </si>
  <si>
    <t>Petrol Bunk Name</t>
  </si>
  <si>
    <t>Card No</t>
  </si>
  <si>
    <t>Recharge Amount</t>
  </si>
  <si>
    <t>Redeem</t>
  </si>
  <si>
    <t>JUBILEE HILLS FILL. STN. BHARAT PETROLEUM DEALERS</t>
  </si>
  <si>
    <t>7,84,905.31</t>
  </si>
  <si>
    <t>RAKSHA AUTO FUELS BHARAT PETROLEUM DEALERS</t>
  </si>
  <si>
    <t>FC3450676132</t>
  </si>
  <si>
    <t>VASUDEO NIVRUTTI MAHAJAN BHARAT PETROLEUM DEALERS</t>
  </si>
  <si>
    <t>SAI SHIVA FILLING STATION BHARAT PETROLEUM DEALERS</t>
  </si>
  <si>
    <t>FC3450676135</t>
  </si>
  <si>
    <t>SHIVAGANGA SERVICE STATION BHARAT PETROLEUM DEALERS</t>
  </si>
  <si>
    <t>FC3450698863</t>
  </si>
  <si>
    <t>RATHNA FUEL STATION BHARAT PETROLEUM DEALERS</t>
  </si>
  <si>
    <t>BP-CHAKRADWARABANDHAM BHARAT PETROLEUM DEALERS</t>
  </si>
  <si>
    <t>FC8000207659</t>
  </si>
  <si>
    <t>PARANDEKAR PETROLEUM BHARAT PETROLEUM DEALERS</t>
  </si>
  <si>
    <t>FC8000207650</t>
  </si>
  <si>
    <t>VENKATESH AUTOMOBILES BHARAT PETROLEUM DEALERS</t>
  </si>
  <si>
    <t>SAMARTH TRANSPORT BHARAT PETROLEUM DEALERS</t>
  </si>
  <si>
    <t>VIJAYA BHARAT FUEL &amp; SERVICES BHARAT PETROLEUM DEALERS</t>
  </si>
  <si>
    <t>SAI BABA FILLING STATION BHARAT PETROLEUM DEALERS</t>
  </si>
  <si>
    <t>FC3450563998</t>
  </si>
  <si>
    <t>KESHAV PETROFIL BHARAT PETROLEUM DEALERS</t>
  </si>
  <si>
    <t>SRI MARUTHI FILLING STATION BHARAT PETROLEUM DEALERS</t>
  </si>
  <si>
    <t>P S NAGATHAN PETROLEUMS BHARAT PETROLEUM DEALERS</t>
  </si>
  <si>
    <t>PRIYANKA PETROLEUM BHARAT PETROLEUM DEALERS</t>
  </si>
  <si>
    <t>SHRI BRAHMANATH PETROLEUM BHARAT PETROLEUM DEALERS</t>
  </si>
  <si>
    <t>SREE VEERABHADRESHWARA SER.STA BHARAT PETROLEUM DEALERS</t>
  </si>
  <si>
    <t>BP-KAKINADA BHARAT PETROLEUM CORPORATION L</t>
  </si>
  <si>
    <t>T. R. ASSOCIATES BHARAT PETROLEUM DEALERS</t>
  </si>
  <si>
    <t>FC3450698868</t>
  </si>
  <si>
    <t>JVVR FILLING STATION BHARAT PETROLEUM DEALERS</t>
  </si>
  <si>
    <t>V.V.VARDE BHARAT PETROLEUM DEALERS</t>
  </si>
  <si>
    <t>FC8000207649</t>
  </si>
  <si>
    <t>MAGAVI CITY FUELS BHARAT PETROLEUM DEALERS</t>
  </si>
  <si>
    <t>BP-LALLACHERUVU BHARAT PETROLEUM DEALERS</t>
  </si>
  <si>
    <t>SARDAR SINGH SAHNI &amp; SONS BHARAT PETROLEUM DEALERS</t>
  </si>
  <si>
    <t>GSR VANA DURGA FILLING STATION BHARAT PETROLEUM DEALERS</t>
  </si>
  <si>
    <t>SOLASA KRISHNA OIL COMPANY BHARAT PETROLEUM DEALERS</t>
  </si>
  <si>
    <t>SANDHYA FUEL STATION BHARAT PETROLEUM DEALERS</t>
  </si>
  <si>
    <t>SRI VENKATESWARA ENTERPRISES BHARAT PETROLEUM DEALERS</t>
  </si>
  <si>
    <t>TEJ FILLING STATION BHARAT PETROLEUM DEALERS</t>
  </si>
  <si>
    <t>SREE S.V.AGENCIES BHARAT PETROLEUM DEALERS</t>
  </si>
  <si>
    <t>SANGAM SERVICE STATION BHARAT PETROLEUM DEALERS</t>
  </si>
  <si>
    <t>TIRUMALA AGENCIES BHARAT PETROLEUM DEALERS</t>
  </si>
  <si>
    <t>BP- KOVVURU BHARAT PETROLEUM CORPN LTD.</t>
  </si>
  <si>
    <t>SATYA SIVA DURGA AGENCIES BHARAT PETROLEUM DEALERS</t>
  </si>
  <si>
    <t>SAI LEELA FILLING STATION BHARAT PETROLEUM DEALERS</t>
  </si>
  <si>
    <t>J P PATIL PETROLEUM BHARAT PETROLEUM DEALERS</t>
  </si>
  <si>
    <t>HITECH FILLING STATION BHARAT PETROLEUM DEALERS</t>
  </si>
  <si>
    <t>MJV SERVICE BHARAT PETROLEUM DEALERS</t>
  </si>
  <si>
    <t>SRI BHIMESWARA AGENCIES BHARAT PETROLEUM DEALERS</t>
  </si>
  <si>
    <t>VISHNU FILLING STATION BHARAT PETROLEUM DEALERS</t>
  </si>
  <si>
    <t>SRI DURGAMBA SERVICE STATION BHARAT PETROLEUM DEALERS</t>
  </si>
  <si>
    <t>HIMAGIRI FILLING STATION BHARAT PETROLEUM DEALERS</t>
  </si>
  <si>
    <t>KILARAM BROTHERS BHARAT PETROLEUM DEALERS</t>
  </si>
  <si>
    <t>MAA PETROLEUM BHARAT PETROLEUM DEALERS</t>
  </si>
  <si>
    <t>HPCL Card Ledger</t>
  </si>
  <si>
    <t>DIVYA LAXMI GANAPATHI AUTO SERVICES</t>
  </si>
  <si>
    <t>,8200079000522057</t>
  </si>
  <si>
    <t>M/s. Stambhadri Fuel Park</t>
  </si>
  <si>
    <t>JAMBGI AUTO SERVICE</t>
  </si>
  <si>
    <t>Munnavali</t>
  </si>
  <si>
    <t>,8200079005271387</t>
  </si>
  <si>
    <t>Jalgon</t>
  </si>
  <si>
    <t>,8200079004507112</t>
  </si>
  <si>
    <t>SRI SRI SRI FILLING STATION</t>
  </si>
  <si>
    <t>Venkatadri fuel Point</t>
  </si>
  <si>
    <t>HO DG</t>
  </si>
  <si>
    <t>,8200079004507062</t>
  </si>
  <si>
    <t>MSHSD SHRI HEMAGIRI PETROLEUM</t>
  </si>
  <si>
    <t>Guttal</t>
  </si>
  <si>
    <t>,8200079004507121</t>
  </si>
  <si>
    <t>PANKAJA HP FUEL CENTRE</t>
  </si>
  <si>
    <t>YG gudda</t>
  </si>
  <si>
    <t>,8200079004507153</t>
  </si>
  <si>
    <t>SHRI SHIVA PETROLEUM</t>
  </si>
  <si>
    <t>AJ PETROLINKS</t>
  </si>
  <si>
    <t>Ghattapra</t>
  </si>
  <si>
    <t>TUMCOS FUEL STATION</t>
  </si>
  <si>
    <t>SHIVA OIL TRADERS</t>
  </si>
  <si>
    <t>,8200079004507138</t>
  </si>
  <si>
    <t>khammam</t>
  </si>
  <si>
    <t>NATH SERVICE CENTRE</t>
  </si>
  <si>
    <t xml:space="preserve"> SRI SIDDESHWARA FUELS</t>
  </si>
  <si>
    <t>POORNIMA FILLING STATION</t>
  </si>
  <si>
    <t>,8200079000522041</t>
  </si>
  <si>
    <t>A Y IJANTAKAR PETROLEUM</t>
  </si>
  <si>
    <t>,8200079000522050</t>
  </si>
  <si>
    <t>,820007900450706</t>
  </si>
  <si>
    <t>,8200079004507150</t>
  </si>
  <si>
    <t>GANGA FILLING STATION</t>
  </si>
  <si>
    <t>VIJAYA BALAJI AGENCIES YANAM</t>
  </si>
  <si>
    <t>L FUELS</t>
  </si>
  <si>
    <t>FC3450698866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</si>
</sst>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  <numFmt numFmtId="171" formatCode="0.0"/>
    <numFmt numFmtId="172" formatCode="dd/mm/yyyy"/>
  </numFmts>
  <fonts count="4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</font>
    <font>
      <sz val="8"/>
      <color rgb="FF000000"/>
      <name val="Calibri"/>
    </font>
    <font>
      <sz val="12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charset val="134"/>
      <scheme val="minor"/>
    </font>
    <font>
      <sz val="11"/>
      <color theme="1"/>
      <name val="Cambria"/>
      <family val="1"/>
    </font>
    <font>
      <sz val="12"/>
      <color rgb="FF000000"/>
      <name val="Calibri"/>
      <scheme val="minor"/>
    </font>
    <font>
      <sz val="11"/>
      <color rgb="FF000000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602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4" fillId="0" borderId="0" xfId="0" applyFont="1"/>
    <xf numFmtId="0" fontId="4" fillId="0" borderId="5" xfId="0" applyFont="1" applyBorder="1"/>
    <xf numFmtId="164" fontId="4" fillId="0" borderId="2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1" applyFont="1" applyBorder="1" applyAlignment="1">
      <alignment vertical="center"/>
    </xf>
    <xf numFmtId="164" fontId="4" fillId="0" borderId="6" xfId="1" applyFont="1" applyBorder="1" applyAlignment="1">
      <alignment vertical="center"/>
    </xf>
    <xf numFmtId="164" fontId="4" fillId="0" borderId="2" xfId="1" applyFont="1" applyBorder="1" applyAlignment="1">
      <alignment horizontal="center" vertical="top"/>
    </xf>
    <xf numFmtId="164" fontId="4" fillId="0" borderId="6" xfId="1" applyFont="1" applyBorder="1" applyAlignment="1">
      <alignment horizontal="center" vertical="top"/>
    </xf>
    <xf numFmtId="164" fontId="4" fillId="0" borderId="4" xfId="1" applyFont="1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center" vertical="center" wrapText="1"/>
    </xf>
    <xf numFmtId="164" fontId="4" fillId="0" borderId="12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2" fontId="0" fillId="0" borderId="0" xfId="0" applyNumberFormat="1"/>
    <xf numFmtId="0" fontId="8" fillId="0" borderId="2" xfId="3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2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164" fontId="11" fillId="0" borderId="5" xfId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0" borderId="0" xfId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2" fontId="0" fillId="0" borderId="5" xfId="0" applyNumberFormat="1" applyBorder="1"/>
    <xf numFmtId="164" fontId="4" fillId="0" borderId="5" xfId="1" applyFont="1" applyBorder="1" applyAlignment="1">
      <alignment vertical="center"/>
    </xf>
    <xf numFmtId="2" fontId="10" fillId="4" borderId="5" xfId="0" applyNumberFormat="1" applyFont="1" applyFill="1" applyBorder="1" applyAlignment="1">
      <alignment horizontal="center" vertical="center"/>
    </xf>
    <xf numFmtId="164" fontId="10" fillId="4" borderId="5" xfId="1" applyFont="1" applyFill="1" applyBorder="1" applyAlignment="1">
      <alignment horizontal="center" vertical="center"/>
    </xf>
    <xf numFmtId="0" fontId="6" fillId="0" borderId="5" xfId="0" applyFont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43" fontId="4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4" fontId="13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43" fontId="14" fillId="3" borderId="2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43" fontId="14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1" fillId="0" borderId="0" xfId="0" applyFont="1"/>
    <xf numFmtId="2" fontId="5" fillId="4" borderId="5" xfId="0" applyNumberFormat="1" applyFont="1" applyFill="1" applyBorder="1" applyAlignment="1">
      <alignment horizontal="center" vertical="center"/>
    </xf>
    <xf numFmtId="164" fontId="5" fillId="4" borderId="5" xfId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/>
    </xf>
    <xf numFmtId="2" fontId="4" fillId="0" borderId="5" xfId="0" applyNumberFormat="1" applyFont="1" applyBorder="1"/>
    <xf numFmtId="0" fontId="4" fillId="0" borderId="5" xfId="0" applyFont="1" applyBorder="1" applyAlignment="1">
      <alignment vertical="center"/>
    </xf>
    <xf numFmtId="164" fontId="4" fillId="0" borderId="5" xfId="1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4" fillId="0" borderId="5" xfId="1" applyFont="1" applyBorder="1" applyAlignment="1">
      <alignment horizontal="center" indent="1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43" fontId="14" fillId="3" borderId="5" xfId="0" applyNumberFormat="1" applyFont="1" applyFill="1" applyBorder="1" applyAlignment="1">
      <alignment horizontal="center" vertical="center" wrapText="1"/>
    </xf>
    <xf numFmtId="43" fontId="14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2" fontId="14" fillId="3" borderId="5" xfId="0" applyNumberFormat="1" applyFont="1" applyFill="1" applyBorder="1" applyAlignment="1">
      <alignment horizontal="center" vertical="center" wrapText="1"/>
    </xf>
    <xf numFmtId="2" fontId="14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2" xfId="0" applyFont="1" applyBorder="1"/>
    <xf numFmtId="0" fontId="0" fillId="0" borderId="13" xfId="0" applyBorder="1"/>
    <xf numFmtId="0" fontId="18" fillId="0" borderId="5" xfId="0" applyFont="1" applyBorder="1"/>
    <xf numFmtId="2" fontId="18" fillId="0" borderId="5" xfId="0" applyNumberFormat="1" applyFont="1" applyBorder="1"/>
    <xf numFmtId="0" fontId="14" fillId="3" borderId="14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12" fillId="3" borderId="5" xfId="0" applyFont="1" applyFill="1" applyBorder="1" applyAlignment="1">
      <alignment horizontal="center" vertical="center"/>
    </xf>
    <xf numFmtId="0" fontId="19" fillId="0" borderId="5" xfId="0" applyFont="1" applyBorder="1"/>
    <xf numFmtId="164" fontId="0" fillId="0" borderId="5" xfId="0" applyNumberFormat="1" applyBorder="1"/>
    <xf numFmtId="0" fontId="12" fillId="3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8" xfId="1" applyFont="1" applyFill="1" applyBorder="1" applyAlignment="1">
      <alignment horizontal="center" vertical="center"/>
    </xf>
    <xf numFmtId="43" fontId="12" fillId="3" borderId="17" xfId="0" applyNumberFormat="1" applyFont="1" applyFill="1" applyBorder="1" applyAlignment="1">
      <alignment horizontal="center" vertical="center" wrapText="1"/>
    </xf>
    <xf numFmtId="43" fontId="12" fillId="3" borderId="6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/>
    </xf>
    <xf numFmtId="0" fontId="12" fillId="3" borderId="6" xfId="0" applyFont="1" applyFill="1" applyBorder="1" applyAlignment="1">
      <alignment horizontal="center" vertical="center"/>
    </xf>
    <xf numFmtId="43" fontId="12" fillId="3" borderId="6" xfId="0" applyNumberFormat="1" applyFont="1" applyFill="1" applyBorder="1" applyAlignment="1">
      <alignment horizontal="center" vertical="center"/>
    </xf>
    <xf numFmtId="43" fontId="12" fillId="3" borderId="17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13" fillId="0" borderId="7" xfId="3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" fontId="7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4" fontId="7" fillId="0" borderId="12" xfId="0" applyNumberFormat="1" applyFont="1" applyBorder="1" applyAlignment="1">
      <alignment horizontal="center"/>
    </xf>
    <xf numFmtId="0" fontId="14" fillId="3" borderId="1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43" fontId="14" fillId="3" borderId="13" xfId="0" applyNumberFormat="1" applyFont="1" applyFill="1" applyBorder="1" applyAlignment="1">
      <alignment horizontal="center" vertical="center" wrapText="1"/>
    </xf>
    <xf numFmtId="43" fontId="14" fillId="3" borderId="13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164" fontId="4" fillId="0" borderId="12" xfId="1" applyFont="1" applyBorder="1" applyAlignment="1">
      <alignment horizontal="center" vertical="top"/>
    </xf>
    <xf numFmtId="164" fontId="10" fillId="0" borderId="5" xfId="1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164" fontId="0" fillId="0" borderId="0" xfId="0" applyNumberFormat="1"/>
    <xf numFmtId="43" fontId="0" fillId="0" borderId="5" xfId="0" applyNumberFormat="1" applyBorder="1"/>
    <xf numFmtId="0" fontId="0" fillId="0" borderId="12" xfId="0" applyBorder="1"/>
    <xf numFmtId="43" fontId="14" fillId="3" borderId="6" xfId="0" applyNumberFormat="1" applyFont="1" applyFill="1" applyBorder="1" applyAlignment="1">
      <alignment horizontal="center" vertical="center" wrapText="1"/>
    </xf>
    <xf numFmtId="43" fontId="14" fillId="3" borderId="6" xfId="0" applyNumberFormat="1" applyFont="1" applyFill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top"/>
    </xf>
    <xf numFmtId="164" fontId="4" fillId="0" borderId="7" xfId="1" applyFont="1" applyBorder="1" applyAlignment="1">
      <alignment vertical="center"/>
    </xf>
    <xf numFmtId="43" fontId="14" fillId="3" borderId="17" xfId="0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5" xfId="0" applyNumberFormat="1" applyFont="1" applyFill="1" applyBorder="1" applyAlignment="1">
      <alignment horizontal="center" vertical="center" wrapText="1"/>
    </xf>
    <xf numFmtId="43" fontId="4" fillId="2" borderId="5" xfId="0" applyNumberFormat="1" applyFont="1" applyFill="1" applyBorder="1" applyAlignment="1">
      <alignment horizontal="center" vertical="center"/>
    </xf>
    <xf numFmtId="43" fontId="6" fillId="2" borderId="5" xfId="0" applyNumberFormat="1" applyFont="1" applyFill="1" applyBorder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6" fontId="4" fillId="0" borderId="12" xfId="0" applyNumberFormat="1" applyFont="1" applyBorder="1" applyAlignment="1">
      <alignment horizontal="center"/>
    </xf>
    <xf numFmtId="2" fontId="4" fillId="0" borderId="12" xfId="0" applyNumberFormat="1" applyFont="1" applyBorder="1"/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43" fontId="14" fillId="2" borderId="5" xfId="0" applyNumberFormat="1" applyFont="1" applyFill="1" applyBorder="1" applyAlignment="1">
      <alignment horizontal="center" vertical="center" wrapText="1"/>
    </xf>
    <xf numFmtId="43" fontId="14" fillId="2" borderId="5" xfId="0" applyNumberFormat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vertical="center"/>
    </xf>
    <xf numFmtId="2" fontId="5" fillId="4" borderId="12" xfId="0" applyNumberFormat="1" applyFont="1" applyFill="1" applyBorder="1" applyAlignment="1">
      <alignment horizontal="center" vertical="center"/>
    </xf>
    <xf numFmtId="164" fontId="5" fillId="4" borderId="12" xfId="1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right"/>
    </xf>
    <xf numFmtId="164" fontId="5" fillId="0" borderId="5" xfId="1" applyFont="1" applyBorder="1" applyAlignment="1">
      <alignment horizontal="center" vertical="center" indent="1"/>
    </xf>
    <xf numFmtId="0" fontId="6" fillId="0" borderId="5" xfId="0" applyFont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43" fontId="12" fillId="3" borderId="5" xfId="0" applyNumberFormat="1" applyFont="1" applyFill="1" applyBorder="1" applyAlignment="1">
      <alignment horizontal="center" vertical="center"/>
    </xf>
    <xf numFmtId="0" fontId="19" fillId="2" borderId="5" xfId="0" applyFont="1" applyFill="1" applyBorder="1"/>
    <xf numFmtId="0" fontId="11" fillId="0" borderId="17" xfId="0" applyFont="1" applyBorder="1" applyAlignment="1">
      <alignment horizontal="center" vertical="center"/>
    </xf>
    <xf numFmtId="0" fontId="4" fillId="0" borderId="13" xfId="0" applyFont="1" applyBorder="1"/>
    <xf numFmtId="14" fontId="4" fillId="0" borderId="13" xfId="0" applyNumberFormat="1" applyFont="1" applyBorder="1" applyAlignment="1">
      <alignment horizontal="center"/>
    </xf>
    <xf numFmtId="2" fontId="4" fillId="0" borderId="13" xfId="0" applyNumberFormat="1" applyFont="1" applyBorder="1"/>
    <xf numFmtId="2" fontId="4" fillId="0" borderId="13" xfId="0" applyNumberFormat="1" applyFont="1" applyBorder="1" applyAlignment="1">
      <alignment horizontal="right"/>
    </xf>
    <xf numFmtId="43" fontId="6" fillId="2" borderId="13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4" fillId="3" borderId="13" xfId="0" applyNumberFormat="1" applyFont="1" applyFill="1" applyBorder="1" applyAlignment="1">
      <alignment horizontal="center" vertical="center"/>
    </xf>
    <xf numFmtId="0" fontId="4" fillId="0" borderId="5" xfId="1" applyNumberFormat="1" applyFont="1" applyBorder="1" applyAlignment="1">
      <alignment vertical="center"/>
    </xf>
    <xf numFmtId="0" fontId="4" fillId="0" borderId="11" xfId="0" applyFont="1" applyBorder="1"/>
    <xf numFmtId="2" fontId="5" fillId="0" borderId="0" xfId="0" applyNumberFormat="1" applyFont="1"/>
    <xf numFmtId="2" fontId="0" fillId="0" borderId="12" xfId="0" applyNumberFormat="1" applyBorder="1"/>
    <xf numFmtId="0" fontId="11" fillId="0" borderId="13" xfId="0" applyFont="1" applyBorder="1" applyAlignment="1">
      <alignment horizontal="center" vertical="center"/>
    </xf>
    <xf numFmtId="2" fontId="10" fillId="4" borderId="26" xfId="0" applyNumberFormat="1" applyFont="1" applyFill="1" applyBorder="1" applyAlignment="1">
      <alignment horizontal="center" vertical="center"/>
    </xf>
    <xf numFmtId="164" fontId="4" fillId="0" borderId="13" xfId="1" applyFont="1" applyBorder="1" applyAlignment="1">
      <alignment horizontal="center" vertical="center"/>
    </xf>
    <xf numFmtId="0" fontId="14" fillId="3" borderId="6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43" fontId="14" fillId="3" borderId="6" xfId="0" applyNumberFormat="1" applyFont="1" applyFill="1" applyBorder="1" applyAlignment="1">
      <alignment horizontal="right" vertical="center" wrapText="1"/>
    </xf>
    <xf numFmtId="0" fontId="4" fillId="0" borderId="5" xfId="3" applyNumberFormat="1" applyFont="1" applyBorder="1" applyAlignment="1">
      <alignment vertical="center"/>
    </xf>
    <xf numFmtId="3" fontId="4" fillId="0" borderId="5" xfId="3" applyNumberFormat="1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164" fontId="4" fillId="0" borderId="13" xfId="1" applyFont="1" applyBorder="1" applyAlignment="1">
      <alignment vertical="center"/>
    </xf>
    <xf numFmtId="164" fontId="4" fillId="0" borderId="11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horizontal="center"/>
    </xf>
    <xf numFmtId="164" fontId="11" fillId="0" borderId="10" xfId="1" applyFont="1" applyBorder="1" applyAlignment="1">
      <alignment horizontal="center" vertical="center"/>
    </xf>
    <xf numFmtId="164" fontId="11" fillId="0" borderId="11" xfId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right" vertical="center"/>
    </xf>
    <xf numFmtId="164" fontId="11" fillId="0" borderId="5" xfId="1" applyFont="1" applyBorder="1" applyAlignment="1">
      <alignment horizontal="left" vertical="top"/>
    </xf>
    <xf numFmtId="165" fontId="4" fillId="0" borderId="10" xfId="0" applyNumberFormat="1" applyFont="1" applyBorder="1" applyAlignment="1">
      <alignment horizontal="center"/>
    </xf>
    <xf numFmtId="164" fontId="10" fillId="0" borderId="13" xfId="1" applyFont="1" applyBorder="1" applyAlignment="1">
      <alignment horizontal="center" vertical="center"/>
    </xf>
    <xf numFmtId="0" fontId="11" fillId="0" borderId="13" xfId="0" applyFont="1" applyBorder="1"/>
    <xf numFmtId="2" fontId="10" fillId="4" borderId="12" xfId="0" applyNumberFormat="1" applyFont="1" applyFill="1" applyBorder="1" applyAlignment="1">
      <alignment horizontal="center" vertical="center"/>
    </xf>
    <xf numFmtId="164" fontId="10" fillId="4" borderId="12" xfId="1" applyFont="1" applyFill="1" applyBorder="1" applyAlignment="1">
      <alignment horizontal="center" vertical="center"/>
    </xf>
    <xf numFmtId="0" fontId="13" fillId="0" borderId="5" xfId="3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3" fillId="0" borderId="17" xfId="3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4" fillId="0" borderId="12" xfId="1" applyNumberFormat="1" applyFont="1" applyBorder="1" applyAlignment="1">
      <alignment vertical="center"/>
    </xf>
    <xf numFmtId="164" fontId="4" fillId="0" borderId="12" xfId="1" applyFont="1" applyBorder="1" applyAlignment="1">
      <alignment vertical="center"/>
    </xf>
    <xf numFmtId="2" fontId="0" fillId="0" borderId="13" xfId="0" applyNumberFormat="1" applyBorder="1"/>
    <xf numFmtId="2" fontId="14" fillId="3" borderId="13" xfId="0" applyNumberFormat="1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0" fontId="14" fillId="2" borderId="13" xfId="0" applyFont="1" applyFill="1" applyBorder="1" applyAlignment="1">
      <alignment horizontal="center" vertical="center" wrapText="1"/>
    </xf>
    <xf numFmtId="164" fontId="11" fillId="0" borderId="12" xfId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65" fontId="4" fillId="0" borderId="27" xfId="0" applyNumberFormat="1" applyFont="1" applyBorder="1" applyAlignment="1">
      <alignment horizontal="center"/>
    </xf>
    <xf numFmtId="0" fontId="0" fillId="0" borderId="21" xfId="0" applyBorder="1"/>
    <xf numFmtId="0" fontId="4" fillId="0" borderId="1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6" fillId="0" borderId="13" xfId="0" applyFont="1" applyBorder="1"/>
    <xf numFmtId="0" fontId="21" fillId="0" borderId="0" xfId="0" applyFont="1"/>
    <xf numFmtId="2" fontId="14" fillId="3" borderId="6" xfId="0" applyNumberFormat="1" applyFont="1" applyFill="1" applyBorder="1" applyAlignment="1">
      <alignment horizontal="center" vertical="center" wrapText="1"/>
    </xf>
    <xf numFmtId="2" fontId="14" fillId="3" borderId="6" xfId="0" applyNumberFormat="1" applyFont="1" applyFill="1" applyBorder="1" applyAlignment="1">
      <alignment horizontal="center" vertical="center"/>
    </xf>
    <xf numFmtId="0" fontId="18" fillId="0" borderId="13" xfId="0" applyFont="1" applyBorder="1"/>
    <xf numFmtId="2" fontId="10" fillId="4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4" fillId="2" borderId="5" xfId="1" applyFont="1" applyFill="1" applyBorder="1" applyAlignment="1">
      <alignment horizontal="center" vertical="center"/>
    </xf>
    <xf numFmtId="164" fontId="10" fillId="0" borderId="10" xfId="1" applyFont="1" applyBorder="1" applyAlignment="1">
      <alignment vertical="center"/>
    </xf>
    <xf numFmtId="0" fontId="0" fillId="0" borderId="11" xfId="0" applyBorder="1"/>
    <xf numFmtId="164" fontId="11" fillId="0" borderId="8" xfId="1" applyFont="1" applyBorder="1" applyAlignment="1">
      <alignment horizontal="center" vertical="center"/>
    </xf>
    <xf numFmtId="164" fontId="11" fillId="0" borderId="4" xfId="1" applyFont="1" applyBorder="1" applyAlignment="1">
      <alignment horizontal="center" vertical="center"/>
    </xf>
    <xf numFmtId="164" fontId="11" fillId="0" borderId="18" xfId="1" applyFont="1" applyBorder="1" applyAlignment="1">
      <alignment horizontal="center" vertical="center"/>
    </xf>
    <xf numFmtId="164" fontId="11" fillId="0" borderId="24" xfId="1" applyFont="1" applyBorder="1" applyAlignment="1">
      <alignment horizontal="center" vertical="center"/>
    </xf>
    <xf numFmtId="167" fontId="0" fillId="0" borderId="0" xfId="0" applyNumberFormat="1"/>
    <xf numFmtId="4" fontId="4" fillId="0" borderId="0" xfId="0" applyNumberFormat="1" applyFont="1" applyAlignment="1">
      <alignment vertical="center" wrapText="1"/>
    </xf>
    <xf numFmtId="43" fontId="4" fillId="0" borderId="0" xfId="0" applyNumberFormat="1" applyFont="1" applyAlignment="1">
      <alignment vertical="center"/>
    </xf>
    <xf numFmtId="4" fontId="0" fillId="0" borderId="0" xfId="0" applyNumberFormat="1"/>
    <xf numFmtId="168" fontId="4" fillId="0" borderId="2" xfId="1" applyNumberFormat="1" applyFont="1" applyBorder="1" applyAlignment="1">
      <alignment horizontal="center" vertical="top"/>
    </xf>
    <xf numFmtId="0" fontId="5" fillId="7" borderId="0" xfId="0" applyFont="1" applyFill="1" applyAlignment="1">
      <alignment vertical="center"/>
    </xf>
    <xf numFmtId="0" fontId="18" fillId="7" borderId="0" xfId="0" applyFont="1" applyFill="1"/>
    <xf numFmtId="0" fontId="0" fillId="0" borderId="12" xfId="0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23" fillId="6" borderId="13" xfId="0" applyFont="1" applyFill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2" fontId="4" fillId="0" borderId="5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4" fontId="6" fillId="0" borderId="5" xfId="0" applyNumberFormat="1" applyFont="1" applyBorder="1"/>
    <xf numFmtId="164" fontId="0" fillId="0" borderId="0" xfId="0" applyNumberFormat="1" applyAlignment="1">
      <alignment horizontal="center"/>
    </xf>
    <xf numFmtId="0" fontId="14" fillId="3" borderId="6" xfId="0" applyFont="1" applyFill="1" applyBorder="1" applyAlignment="1">
      <alignment vertical="center" wrapText="1"/>
    </xf>
    <xf numFmtId="166" fontId="4" fillId="0" borderId="5" xfId="0" applyNumberFormat="1" applyFont="1" applyBorder="1"/>
    <xf numFmtId="164" fontId="5" fillId="4" borderId="5" xfId="1" applyFont="1" applyFill="1" applyBorder="1" applyAlignment="1">
      <alignment vertical="center"/>
    </xf>
    <xf numFmtId="169" fontId="0" fillId="0" borderId="11" xfId="0" applyNumberFormat="1" applyBorder="1"/>
    <xf numFmtId="0" fontId="24" fillId="0" borderId="11" xfId="0" applyFont="1" applyBorder="1" applyAlignment="1">
      <alignment horizontal="center" vertical="center"/>
    </xf>
    <xf numFmtId="1" fontId="18" fillId="0" borderId="20" xfId="0" applyNumberFormat="1" applyFont="1" applyBorder="1" applyAlignment="1">
      <alignment vertical="center"/>
    </xf>
    <xf numFmtId="164" fontId="20" fillId="0" borderId="32" xfId="1" applyFont="1" applyBorder="1" applyAlignment="1">
      <alignment horizontal="center"/>
    </xf>
    <xf numFmtId="1" fontId="4" fillId="2" borderId="5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9" fillId="0" borderId="5" xfId="0" applyFont="1" applyBorder="1"/>
    <xf numFmtId="166" fontId="25" fillId="0" borderId="5" xfId="0" applyNumberFormat="1" applyFont="1" applyBorder="1" applyAlignment="1">
      <alignment horizontal="center"/>
    </xf>
    <xf numFmtId="166" fontId="24" fillId="0" borderId="5" xfId="0" applyNumberFormat="1" applyFont="1" applyBorder="1" applyAlignment="1">
      <alignment horizontal="center" vertical="center"/>
    </xf>
    <xf numFmtId="0" fontId="26" fillId="8" borderId="28" xfId="0" applyFont="1" applyFill="1" applyBorder="1"/>
    <xf numFmtId="0" fontId="26" fillId="8" borderId="29" xfId="0" applyFont="1" applyFill="1" applyBorder="1"/>
    <xf numFmtId="2" fontId="26" fillId="8" borderId="29" xfId="0" applyNumberFormat="1" applyFont="1" applyFill="1" applyBorder="1"/>
    <xf numFmtId="2" fontId="26" fillId="8" borderId="30" xfId="0" applyNumberFormat="1" applyFont="1" applyFill="1" applyBorder="1"/>
    <xf numFmtId="0" fontId="27" fillId="0" borderId="0" xfId="0" applyFont="1"/>
    <xf numFmtId="0" fontId="27" fillId="0" borderId="5" xfId="0" applyFont="1" applyBorder="1"/>
    <xf numFmtId="1" fontId="27" fillId="2" borderId="5" xfId="0" applyNumberFormat="1" applyFont="1" applyFill="1" applyBorder="1"/>
    <xf numFmtId="0" fontId="27" fillId="0" borderId="5" xfId="0" applyFont="1" applyBorder="1" applyAlignment="1">
      <alignment wrapText="1"/>
    </xf>
    <xf numFmtId="2" fontId="27" fillId="0" borderId="5" xfId="0" applyNumberFormat="1" applyFont="1" applyBorder="1"/>
    <xf numFmtId="2" fontId="27" fillId="0" borderId="0" xfId="0" applyNumberFormat="1" applyFont="1"/>
    <xf numFmtId="1" fontId="27" fillId="0" borderId="0" xfId="0" applyNumberFormat="1" applyFont="1"/>
    <xf numFmtId="164" fontId="29" fillId="0" borderId="5" xfId="4" applyNumberFormat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right" vertical="center" wrapText="1"/>
    </xf>
    <xf numFmtId="2" fontId="14" fillId="3" borderId="5" xfId="0" applyNumberFormat="1" applyFont="1" applyFill="1" applyBorder="1" applyAlignment="1">
      <alignment horizontal="right" vertical="center"/>
    </xf>
    <xf numFmtId="43" fontId="14" fillId="3" borderId="5" xfId="0" applyNumberFormat="1" applyFont="1" applyFill="1" applyBorder="1" applyAlignment="1">
      <alignment horizontal="right" vertical="center"/>
    </xf>
    <xf numFmtId="2" fontId="0" fillId="0" borderId="5" xfId="0" applyNumberFormat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2" fontId="5" fillId="2" borderId="11" xfId="0" applyNumberFormat="1" applyFont="1" applyFill="1" applyBorder="1" applyAlignment="1">
      <alignment vertical="center"/>
    </xf>
    <xf numFmtId="2" fontId="5" fillId="2" borderId="5" xfId="0" applyNumberFormat="1" applyFont="1" applyFill="1" applyBorder="1" applyAlignment="1">
      <alignment vertical="center"/>
    </xf>
    <xf numFmtId="43" fontId="6" fillId="2" borderId="12" xfId="0" applyNumberFormat="1" applyFont="1" applyFill="1" applyBorder="1" applyAlignment="1">
      <alignment horizontal="center" vertical="center"/>
    </xf>
    <xf numFmtId="164" fontId="30" fillId="0" borderId="5" xfId="1" applyFont="1" applyBorder="1" applyAlignment="1"/>
    <xf numFmtId="0" fontId="25" fillId="0" borderId="5" xfId="0" applyFont="1" applyBorder="1"/>
    <xf numFmtId="1" fontId="27" fillId="2" borderId="0" xfId="1" applyNumberFormat="1" applyFont="1" applyFill="1" applyBorder="1" applyAlignment="1">
      <alignment vertical="center"/>
    </xf>
    <xf numFmtId="170" fontId="6" fillId="2" borderId="5" xfId="0" applyNumberFormat="1" applyFont="1" applyFill="1" applyBorder="1" applyAlignment="1">
      <alignment horizontal="center" vertical="center"/>
    </xf>
    <xf numFmtId="170" fontId="0" fillId="0" borderId="11" xfId="0" applyNumberFormat="1" applyBorder="1"/>
    <xf numFmtId="43" fontId="31" fillId="0" borderId="0" xfId="0" applyNumberFormat="1" applyFont="1"/>
    <xf numFmtId="2" fontId="14" fillId="3" borderId="17" xfId="0" applyNumberFormat="1" applyFont="1" applyFill="1" applyBorder="1" applyAlignment="1">
      <alignment horizontal="center" vertical="center"/>
    </xf>
    <xf numFmtId="2" fontId="0" fillId="0" borderId="11" xfId="0" applyNumberFormat="1" applyBorder="1"/>
    <xf numFmtId="0" fontId="19" fillId="0" borderId="12" xfId="0" applyFont="1" applyBorder="1"/>
    <xf numFmtId="2" fontId="22" fillId="6" borderId="25" xfId="0" applyNumberFormat="1" applyFont="1" applyFill="1" applyBorder="1" applyAlignment="1">
      <alignment horizontal="right"/>
    </xf>
    <xf numFmtId="0" fontId="4" fillId="2" borderId="31" xfId="0" applyFont="1" applyFill="1" applyBorder="1"/>
    <xf numFmtId="0" fontId="19" fillId="0" borderId="11" xfId="0" applyFont="1" applyBorder="1"/>
    <xf numFmtId="166" fontId="30" fillId="0" borderId="5" xfId="0" applyNumberFormat="1" applyFont="1" applyBorder="1" applyAlignment="1">
      <alignment horizontal="center"/>
    </xf>
    <xf numFmtId="2" fontId="4" fillId="0" borderId="3" xfId="1" applyNumberFormat="1" applyFont="1" applyBorder="1" applyAlignment="1">
      <alignment vertical="center"/>
    </xf>
    <xf numFmtId="0" fontId="26" fillId="8" borderId="5" xfId="0" applyFont="1" applyFill="1" applyBorder="1"/>
    <xf numFmtId="2" fontId="26" fillId="8" borderId="5" xfId="0" applyNumberFormat="1" applyFont="1" applyFill="1" applyBorder="1"/>
    <xf numFmtId="0" fontId="27" fillId="10" borderId="5" xfId="0" applyFont="1" applyFill="1" applyBorder="1"/>
    <xf numFmtId="164" fontId="30" fillId="0" borderId="5" xfId="1" applyFont="1" applyBorder="1" applyAlignment="1">
      <alignment vertical="center"/>
    </xf>
    <xf numFmtId="0" fontId="0" fillId="0" borderId="5" xfId="0" applyBorder="1" applyAlignment="1">
      <alignment horizontal="left"/>
    </xf>
    <xf numFmtId="0" fontId="31" fillId="0" borderId="0" xfId="0" applyFont="1"/>
    <xf numFmtId="1" fontId="0" fillId="0" borderId="0" xfId="0" applyNumberFormat="1"/>
    <xf numFmtId="0" fontId="30" fillId="0" borderId="5" xfId="0" applyFont="1" applyBorder="1"/>
    <xf numFmtId="0" fontId="19" fillId="0" borderId="33" xfId="0" applyFont="1" applyBorder="1"/>
    <xf numFmtId="164" fontId="4" fillId="0" borderId="10" xfId="0" applyNumberFormat="1" applyFont="1" applyBorder="1" applyAlignment="1">
      <alignment vertical="center"/>
    </xf>
    <xf numFmtId="166" fontId="4" fillId="0" borderId="13" xfId="0" applyNumberFormat="1" applyFont="1" applyBorder="1"/>
    <xf numFmtId="164" fontId="4" fillId="0" borderId="13" xfId="1" applyFont="1" applyBorder="1" applyAlignment="1">
      <alignment horizontal="center" vertical="top"/>
    </xf>
    <xf numFmtId="164" fontId="11" fillId="2" borderId="5" xfId="1" applyFont="1" applyFill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/>
    </xf>
    <xf numFmtId="0" fontId="4" fillId="0" borderId="12" xfId="0" applyFont="1" applyBorder="1"/>
    <xf numFmtId="164" fontId="20" fillId="0" borderId="2" xfId="1" applyFont="1" applyBorder="1" applyAlignment="1">
      <alignment horizontal="center"/>
    </xf>
    <xf numFmtId="16" fontId="0" fillId="0" borderId="0" xfId="0" applyNumberFormat="1"/>
    <xf numFmtId="0" fontId="27" fillId="10" borderId="0" xfId="0" applyFont="1" applyFill="1"/>
    <xf numFmtId="0" fontId="27" fillId="11" borderId="0" xfId="0" applyFont="1" applyFill="1"/>
    <xf numFmtId="0" fontId="32" fillId="0" borderId="5" xfId="0" applyFont="1" applyBorder="1"/>
    <xf numFmtId="0" fontId="4" fillId="2" borderId="11" xfId="0" applyFont="1" applyFill="1" applyBorder="1"/>
    <xf numFmtId="0" fontId="27" fillId="0" borderId="31" xfId="0" applyFont="1" applyBorder="1" applyAlignment="1">
      <alignment horizontal="center"/>
    </xf>
    <xf numFmtId="1" fontId="27" fillId="2" borderId="34" xfId="0" applyNumberFormat="1" applyFont="1" applyFill="1" applyBorder="1"/>
    <xf numFmtId="1" fontId="27" fillId="9" borderId="38" xfId="0" applyNumberFormat="1" applyFont="1" applyFill="1" applyBorder="1"/>
    <xf numFmtId="1" fontId="27" fillId="9" borderId="39" xfId="0" applyNumberFormat="1" applyFont="1" applyFill="1" applyBorder="1"/>
    <xf numFmtId="1" fontId="0" fillId="0" borderId="5" xfId="0" applyNumberFormat="1" applyBorder="1"/>
    <xf numFmtId="171" fontId="0" fillId="0" borderId="0" xfId="0" applyNumberFormat="1"/>
    <xf numFmtId="1" fontId="27" fillId="2" borderId="13" xfId="0" applyNumberFormat="1" applyFont="1" applyFill="1" applyBorder="1"/>
    <xf numFmtId="0" fontId="0" fillId="10" borderId="5" xfId="0" applyFill="1" applyBorder="1"/>
    <xf numFmtId="0" fontId="15" fillId="5" borderId="9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2" fontId="10" fillId="4" borderId="42" xfId="0" applyNumberFormat="1" applyFont="1" applyFill="1" applyBorder="1" applyAlignment="1">
      <alignment horizontal="center" vertical="center"/>
    </xf>
    <xf numFmtId="164" fontId="10" fillId="4" borderId="42" xfId="1" applyFont="1" applyFill="1" applyBorder="1" applyAlignment="1">
      <alignment horizontal="center" vertical="center"/>
    </xf>
    <xf numFmtId="164" fontId="10" fillId="4" borderId="43" xfId="1" applyFont="1" applyFill="1" applyBorder="1" applyAlignment="1">
      <alignment horizontal="center" vertical="center"/>
    </xf>
    <xf numFmtId="164" fontId="10" fillId="4" borderId="44" xfId="1" applyFont="1" applyFill="1" applyBorder="1" applyAlignment="1">
      <alignment horizontal="center" vertical="center"/>
    </xf>
    <xf numFmtId="164" fontId="11" fillId="0" borderId="0" xfId="1" applyFont="1" applyAlignment="1">
      <alignment horizontal="center" vertical="center"/>
    </xf>
    <xf numFmtId="0" fontId="18" fillId="0" borderId="0" xfId="0" applyFont="1"/>
    <xf numFmtId="1" fontId="27" fillId="2" borderId="5" xfId="1" applyNumberFormat="1" applyFont="1" applyFill="1" applyBorder="1" applyAlignment="1">
      <alignment vertical="center"/>
    </xf>
    <xf numFmtId="1" fontId="27" fillId="2" borderId="10" xfId="0" applyNumberFormat="1" applyFont="1" applyFill="1" applyBorder="1"/>
    <xf numFmtId="1" fontId="27" fillId="2" borderId="11" xfId="0" applyNumberFormat="1" applyFont="1" applyFill="1" applyBorder="1"/>
    <xf numFmtId="1" fontId="27" fillId="2" borderId="17" xfId="1" applyNumberFormat="1" applyFont="1" applyFill="1" applyBorder="1" applyAlignment="1">
      <alignment vertical="center"/>
    </xf>
    <xf numFmtId="0" fontId="0" fillId="2" borderId="0" xfId="0" applyFill="1"/>
    <xf numFmtId="2" fontId="33" fillId="2" borderId="5" xfId="0" applyNumberFormat="1" applyFont="1" applyFill="1" applyBorder="1" applyAlignment="1">
      <alignment horizontal="center" vertical="center"/>
    </xf>
    <xf numFmtId="171" fontId="0" fillId="0" borderId="5" xfId="0" applyNumberFormat="1" applyBorder="1"/>
    <xf numFmtId="0" fontId="33" fillId="12" borderId="5" xfId="0" applyFont="1" applyFill="1" applyBorder="1" applyAlignment="1">
      <alignment horizontal="center" vertical="center" wrapText="1"/>
    </xf>
    <xf numFmtId="2" fontId="33" fillId="12" borderId="5" xfId="0" applyNumberFormat="1" applyFont="1" applyFill="1" applyBorder="1" applyAlignment="1">
      <alignment horizontal="left" vertical="center" wrapText="1"/>
    </xf>
    <xf numFmtId="2" fontId="33" fillId="12" borderId="5" xfId="0" applyNumberFormat="1" applyFont="1" applyFill="1" applyBorder="1" applyAlignment="1">
      <alignment horizontal="center" vertical="center" wrapText="1"/>
    </xf>
    <xf numFmtId="2" fontId="33" fillId="12" borderId="5" xfId="0" applyNumberFormat="1" applyFont="1" applyFill="1" applyBorder="1" applyAlignment="1">
      <alignment horizontal="center" vertical="center"/>
    </xf>
    <xf numFmtId="14" fontId="33" fillId="12" borderId="5" xfId="0" applyNumberFormat="1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 wrapText="1"/>
    </xf>
    <xf numFmtId="2" fontId="33" fillId="2" borderId="5" xfId="0" applyNumberFormat="1" applyFont="1" applyFill="1" applyBorder="1" applyAlignment="1">
      <alignment horizontal="left" vertical="center" wrapText="1"/>
    </xf>
    <xf numFmtId="2" fontId="33" fillId="2" borderId="5" xfId="0" applyNumberFormat="1" applyFont="1" applyFill="1" applyBorder="1" applyAlignment="1">
      <alignment horizontal="center" vertical="center" wrapText="1"/>
    </xf>
    <xf numFmtId="2" fontId="36" fillId="2" borderId="5" xfId="0" applyNumberFormat="1" applyFont="1" applyFill="1" applyBorder="1" applyAlignment="1">
      <alignment horizontal="center" vertical="center" wrapText="1"/>
    </xf>
    <xf numFmtId="14" fontId="33" fillId="2" borderId="5" xfId="0" applyNumberFormat="1" applyFont="1" applyFill="1" applyBorder="1" applyAlignment="1">
      <alignment horizontal="center" vertical="center"/>
    </xf>
    <xf numFmtId="0" fontId="35" fillId="7" borderId="5" xfId="0" applyFont="1" applyFill="1" applyBorder="1"/>
    <xf numFmtId="0" fontId="35" fillId="6" borderId="5" xfId="0" applyFont="1" applyFill="1" applyBorder="1"/>
    <xf numFmtId="171" fontId="19" fillId="0" borderId="5" xfId="0" applyNumberFormat="1" applyFont="1" applyBorder="1"/>
    <xf numFmtId="0" fontId="35" fillId="9" borderId="5" xfId="0" applyFont="1" applyFill="1" applyBorder="1"/>
    <xf numFmtId="4" fontId="0" fillId="0" borderId="5" xfId="0" applyNumberFormat="1" applyBorder="1" applyAlignment="1">
      <alignment horizontal="right"/>
    </xf>
    <xf numFmtId="0" fontId="37" fillId="0" borderId="5" xfId="0" applyFont="1" applyBorder="1"/>
    <xf numFmtId="171" fontId="6" fillId="0" borderId="12" xfId="0" applyNumberFormat="1" applyFont="1" applyBorder="1"/>
    <xf numFmtId="1" fontId="27" fillId="2" borderId="12" xfId="0" applyNumberFormat="1" applyFont="1" applyFill="1" applyBorder="1"/>
    <xf numFmtId="164" fontId="4" fillId="0" borderId="10" xfId="1" applyFont="1" applyBorder="1" applyAlignment="1">
      <alignment horizontal="center" vertical="top"/>
    </xf>
    <xf numFmtId="0" fontId="19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4" fontId="19" fillId="0" borderId="21" xfId="0" applyNumberFormat="1" applyFont="1" applyBorder="1"/>
    <xf numFmtId="0" fontId="25" fillId="0" borderId="5" xfId="0" applyFont="1" applyBorder="1" applyAlignment="1">
      <alignment horizontal="center" vertical="center"/>
    </xf>
    <xf numFmtId="3" fontId="0" fillId="0" borderId="0" xfId="0" applyNumberFormat="1"/>
    <xf numFmtId="4" fontId="0" fillId="0" borderId="13" xfId="0" applyNumberFormat="1" applyBorder="1" applyAlignment="1">
      <alignment horizontal="right"/>
    </xf>
    <xf numFmtId="4" fontId="19" fillId="0" borderId="5" xfId="0" applyNumberFormat="1" applyFont="1" applyBorder="1"/>
    <xf numFmtId="43" fontId="4" fillId="2" borderId="13" xfId="0" applyNumberFormat="1" applyFont="1" applyFill="1" applyBorder="1" applyAlignment="1">
      <alignment horizontal="center" vertical="center"/>
    </xf>
    <xf numFmtId="164" fontId="5" fillId="4" borderId="12" xfId="1" applyFont="1" applyFill="1" applyBorder="1" applyAlignment="1">
      <alignment vertical="center"/>
    </xf>
    <xf numFmtId="0" fontId="19" fillId="0" borderId="45" xfId="0" applyFont="1" applyBorder="1"/>
    <xf numFmtId="4" fontId="19" fillId="0" borderId="11" xfId="0" applyNumberFormat="1" applyFont="1" applyBorder="1"/>
    <xf numFmtId="164" fontId="11" fillId="0" borderId="33" xfId="1" applyFont="1" applyBorder="1" applyAlignment="1">
      <alignment horizontal="center" vertical="center"/>
    </xf>
    <xf numFmtId="2" fontId="0" fillId="0" borderId="0" xfId="0" applyNumberFormat="1" applyAlignment="1">
      <alignment horizontal="right"/>
    </xf>
    <xf numFmtId="0" fontId="19" fillId="0" borderId="2" xfId="0" applyFont="1" applyBorder="1"/>
    <xf numFmtId="0" fontId="0" fillId="0" borderId="2" xfId="0" applyBorder="1" applyAlignment="1">
      <alignment horizontal="center" vertical="center"/>
    </xf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4" fontId="19" fillId="0" borderId="33" xfId="0" applyNumberFormat="1" applyFont="1" applyBorder="1"/>
    <xf numFmtId="2" fontId="25" fillId="0" borderId="5" xfId="0" applyNumberFormat="1" applyFont="1" applyBorder="1" applyAlignment="1">
      <alignment horizontal="center"/>
    </xf>
    <xf numFmtId="0" fontId="19" fillId="0" borderId="0" xfId="0" applyFont="1"/>
    <xf numFmtId="2" fontId="25" fillId="0" borderId="5" xfId="0" applyNumberFormat="1" applyFont="1" applyBorder="1" applyAlignment="1">
      <alignment horizontal="left" indent="1"/>
    </xf>
    <xf numFmtId="166" fontId="4" fillId="0" borderId="5" xfId="0" applyNumberFormat="1" applyFont="1" applyBorder="1" applyAlignment="1">
      <alignment horizontal="right"/>
    </xf>
    <xf numFmtId="172" fontId="30" fillId="0" borderId="11" xfId="0" applyNumberFormat="1" applyFont="1" applyBorder="1" applyAlignment="1">
      <alignment horizontal="left" vertical="center" wrapText="1"/>
    </xf>
    <xf numFmtId="165" fontId="4" fillId="0" borderId="12" xfId="0" applyNumberFormat="1" applyFont="1" applyBorder="1" applyAlignment="1">
      <alignment horizontal="center"/>
    </xf>
    <xf numFmtId="166" fontId="4" fillId="0" borderId="12" xfId="0" applyNumberFormat="1" applyFont="1" applyBorder="1"/>
    <xf numFmtId="1" fontId="0" fillId="0" borderId="5" xfId="0" applyNumberFormat="1" applyBorder="1" applyAlignment="1">
      <alignment horizontal="center"/>
    </xf>
    <xf numFmtId="166" fontId="30" fillId="0" borderId="5" xfId="0" applyNumberFormat="1" applyFont="1" applyBorder="1" applyAlignment="1">
      <alignment horizontal="right" vertical="center"/>
    </xf>
    <xf numFmtId="164" fontId="30" fillId="0" borderId="5" xfId="1" applyFont="1" applyBorder="1" applyAlignment="1">
      <alignment horizontal="right" vertical="center"/>
    </xf>
    <xf numFmtId="0" fontId="0" fillId="10" borderId="0" xfId="0" applyFill="1"/>
    <xf numFmtId="4" fontId="19" fillId="0" borderId="8" xfId="0" applyNumberFormat="1" applyFont="1" applyBorder="1"/>
    <xf numFmtId="0" fontId="0" fillId="2" borderId="5" xfId="0" applyFill="1" applyBorder="1"/>
    <xf numFmtId="2" fontId="22" fillId="6" borderId="24" xfId="0" applyNumberFormat="1" applyFont="1" applyFill="1" applyBorder="1" applyAlignment="1">
      <alignment horizontal="right"/>
    </xf>
    <xf numFmtId="0" fontId="0" fillId="0" borderId="12" xfId="0" applyBorder="1" applyAlignment="1">
      <alignment horizontal="right"/>
    </xf>
    <xf numFmtId="2" fontId="25" fillId="0" borderId="5" xfId="0" applyNumberFormat="1" applyFont="1" applyBorder="1"/>
    <xf numFmtId="0" fontId="0" fillId="0" borderId="12" xfId="0" applyBorder="1" applyAlignment="1">
      <alignment horizontal="center" vertical="center"/>
    </xf>
    <xf numFmtId="4" fontId="19" fillId="0" borderId="4" xfId="0" applyNumberFormat="1" applyFont="1" applyBorder="1"/>
    <xf numFmtId="0" fontId="0" fillId="0" borderId="10" xfId="0" applyBorder="1" applyAlignment="1">
      <alignment horizontal="center" vertical="center"/>
    </xf>
    <xf numFmtId="0" fontId="7" fillId="0" borderId="12" xfId="0" applyFont="1" applyBorder="1" applyAlignment="1">
      <alignment horizontal="center" vertical="top"/>
    </xf>
    <xf numFmtId="0" fontId="39" fillId="3" borderId="5" xfId="0" applyFont="1" applyFill="1" applyBorder="1" applyAlignment="1">
      <alignment horizontal="center" vertical="center"/>
    </xf>
    <xf numFmtId="0" fontId="39" fillId="3" borderId="5" xfId="0" applyFont="1" applyFill="1" applyBorder="1" applyAlignment="1">
      <alignment horizontal="center" vertical="center" wrapText="1"/>
    </xf>
    <xf numFmtId="0" fontId="39" fillId="3" borderId="5" xfId="0" applyFont="1" applyFill="1" applyBorder="1" applyAlignment="1">
      <alignment vertical="center" wrapText="1"/>
    </xf>
    <xf numFmtId="2" fontId="39" fillId="3" borderId="5" xfId="0" applyNumberFormat="1" applyFont="1" applyFill="1" applyBorder="1" applyAlignment="1">
      <alignment horizontal="center" vertical="center" wrapText="1"/>
    </xf>
    <xf numFmtId="2" fontId="39" fillId="3" borderId="5" xfId="0" applyNumberFormat="1" applyFont="1" applyFill="1" applyBorder="1" applyAlignment="1">
      <alignment horizontal="center" vertical="center"/>
    </xf>
    <xf numFmtId="43" fontId="39" fillId="3" borderId="5" xfId="0" applyNumberFormat="1" applyFont="1" applyFill="1" applyBorder="1" applyAlignment="1">
      <alignment horizontal="center" vertical="center"/>
    </xf>
    <xf numFmtId="164" fontId="41" fillId="0" borderId="5" xfId="1" applyFont="1" applyBorder="1" applyAlignment="1">
      <alignment horizontal="center" vertical="center"/>
    </xf>
    <xf numFmtId="165" fontId="25" fillId="0" borderId="5" xfId="0" applyNumberFormat="1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9" fillId="2" borderId="5" xfId="0" applyFont="1" applyFill="1" applyBorder="1" applyAlignment="1">
      <alignment horizontal="center" vertical="center" wrapText="1"/>
    </xf>
    <xf numFmtId="164" fontId="41" fillId="2" borderId="5" xfId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165" fontId="25" fillId="2" borderId="5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2" fontId="0" fillId="2" borderId="5" xfId="0" applyNumberFormat="1" applyFill="1" applyBorder="1"/>
    <xf numFmtId="2" fontId="0" fillId="2" borderId="13" xfId="0" applyNumberFormat="1" applyFill="1" applyBorder="1"/>
    <xf numFmtId="43" fontId="0" fillId="2" borderId="5" xfId="0" applyNumberFormat="1" applyFill="1" applyBorder="1"/>
    <xf numFmtId="0" fontId="0" fillId="2" borderId="23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2" fontId="0" fillId="0" borderId="5" xfId="0" applyNumberFormat="1" applyBorder="1" applyAlignment="1">
      <alignment horizontal="center" vertical="center"/>
    </xf>
    <xf numFmtId="0" fontId="0" fillId="2" borderId="13" xfId="0" applyFill="1" applyBorder="1"/>
    <xf numFmtId="0" fontId="0" fillId="2" borderId="13" xfId="0" applyFill="1" applyBorder="1" applyAlignment="1">
      <alignment horizontal="center" vertical="center"/>
    </xf>
    <xf numFmtId="43" fontId="0" fillId="2" borderId="13" xfId="0" applyNumberFormat="1" applyFill="1" applyBorder="1"/>
    <xf numFmtId="0" fontId="0" fillId="0" borderId="23" xfId="0" applyBorder="1" applyAlignment="1">
      <alignment horizontal="center"/>
    </xf>
    <xf numFmtId="0" fontId="39" fillId="3" borderId="13" xfId="0" applyFont="1" applyFill="1" applyBorder="1" applyAlignment="1">
      <alignment horizontal="center" vertical="center" wrapText="1"/>
    </xf>
    <xf numFmtId="43" fontId="0" fillId="0" borderId="5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quotePrefix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43" fontId="0" fillId="2" borderId="5" xfId="0" applyNumberForma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 wrapText="1"/>
    </xf>
    <xf numFmtId="164" fontId="4" fillId="13" borderId="5" xfId="1" applyFont="1" applyFill="1" applyBorder="1" applyAlignment="1">
      <alignment horizontal="center" vertical="center"/>
    </xf>
    <xf numFmtId="2" fontId="0" fillId="0" borderId="5" xfId="0" applyNumberFormat="1" applyBorder="1" applyAlignment="1">
      <alignment horizontal="left"/>
    </xf>
    <xf numFmtId="0" fontId="5" fillId="0" borderId="5" xfId="0" applyFont="1" applyBorder="1"/>
    <xf numFmtId="165" fontId="4" fillId="2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4" fillId="10" borderId="5" xfId="0" applyFont="1" applyFill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8" xfId="0" applyFont="1" applyBorder="1"/>
    <xf numFmtId="4" fontId="6" fillId="0" borderId="8" xfId="0" applyNumberFormat="1" applyFont="1" applyBorder="1"/>
    <xf numFmtId="0" fontId="19" fillId="0" borderId="13" xfId="0" applyFont="1" applyBorder="1"/>
    <xf numFmtId="0" fontId="19" fillId="0" borderId="23" xfId="0" applyFont="1" applyBorder="1"/>
    <xf numFmtId="2" fontId="0" fillId="0" borderId="24" xfId="0" applyNumberFormat="1" applyBorder="1" applyAlignment="1">
      <alignment horizontal="right"/>
    </xf>
    <xf numFmtId="2" fontId="0" fillId="2" borderId="24" xfId="0" applyNumberFormat="1" applyFill="1" applyBorder="1" applyAlignment="1">
      <alignment horizontal="right"/>
    </xf>
    <xf numFmtId="2" fontId="0" fillId="2" borderId="11" xfId="0" applyNumberFormat="1" applyFill="1" applyBorder="1" applyAlignment="1">
      <alignment horizontal="right"/>
    </xf>
    <xf numFmtId="2" fontId="0" fillId="2" borderId="33" xfId="0" applyNumberFormat="1" applyFill="1" applyBorder="1" applyAlignment="1">
      <alignment horizontal="right"/>
    </xf>
    <xf numFmtId="2" fontId="0" fillId="2" borderId="13" xfId="0" applyNumberFormat="1" applyFill="1" applyBorder="1" applyAlignment="1">
      <alignment horizontal="right"/>
    </xf>
    <xf numFmtId="2" fontId="0" fillId="2" borderId="12" xfId="0" applyNumberFormat="1" applyFill="1" applyBorder="1" applyAlignment="1">
      <alignment horizontal="right"/>
    </xf>
    <xf numFmtId="166" fontId="43" fillId="0" borderId="2" xfId="0" applyNumberFormat="1" applyFont="1" applyBorder="1" applyAlignment="1">
      <alignment horizontal="center"/>
    </xf>
    <xf numFmtId="0" fontId="43" fillId="0" borderId="2" xfId="0" applyFont="1" applyBorder="1"/>
    <xf numFmtId="166" fontId="43" fillId="0" borderId="0" xfId="0" applyNumberFormat="1" applyFont="1" applyAlignment="1">
      <alignment horizontal="center"/>
    </xf>
    <xf numFmtId="0" fontId="43" fillId="0" borderId="0" xfId="0" applyFont="1"/>
    <xf numFmtId="0" fontId="0" fillId="0" borderId="13" xfId="0" applyBorder="1" applyAlignment="1">
      <alignment horizontal="right"/>
    </xf>
    <xf numFmtId="0" fontId="17" fillId="0" borderId="5" xfId="0" applyFont="1" applyBorder="1"/>
    <xf numFmtId="0" fontId="13" fillId="0" borderId="5" xfId="0" applyFont="1" applyBorder="1"/>
    <xf numFmtId="2" fontId="13" fillId="0" borderId="5" xfId="0" applyNumberFormat="1" applyFont="1" applyBorder="1"/>
    <xf numFmtId="14" fontId="4" fillId="0" borderId="13" xfId="0" applyNumberFormat="1" applyFont="1" applyBorder="1"/>
    <xf numFmtId="14" fontId="4" fillId="0" borderId="5" xfId="0" applyNumberFormat="1" applyFont="1" applyBorder="1"/>
    <xf numFmtId="0" fontId="44" fillId="0" borderId="5" xfId="0" applyFont="1" applyBorder="1"/>
    <xf numFmtId="0" fontId="45" fillId="0" borderId="5" xfId="0" applyFont="1" applyBorder="1"/>
    <xf numFmtId="2" fontId="46" fillId="0" borderId="5" xfId="0" applyNumberFormat="1" applyFont="1" applyBorder="1"/>
    <xf numFmtId="0" fontId="19" fillId="14" borderId="7" xfId="0" applyFont="1" applyFill="1" applyBorder="1"/>
    <xf numFmtId="0" fontId="19" fillId="14" borderId="8" xfId="0" applyFont="1" applyFill="1" applyBorder="1"/>
    <xf numFmtId="4" fontId="19" fillId="14" borderId="8" xfId="0" applyNumberFormat="1" applyFont="1" applyFill="1" applyBorder="1"/>
    <xf numFmtId="0" fontId="0" fillId="10" borderId="5" xfId="0" applyFill="1" applyBorder="1" applyAlignment="1">
      <alignment horizontal="center" vertical="center"/>
    </xf>
    <xf numFmtId="166" fontId="4" fillId="10" borderId="12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6" fontId="25" fillId="0" borderId="5" xfId="0" applyNumberFormat="1" applyFont="1" applyBorder="1" applyAlignment="1">
      <alignment horizontal="left" indent="1"/>
    </xf>
    <xf numFmtId="0" fontId="25" fillId="0" borderId="13" xfId="0" applyFont="1" applyBorder="1" applyAlignment="1">
      <alignment horizontal="center" vertical="center"/>
    </xf>
    <xf numFmtId="166" fontId="25" fillId="0" borderId="1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2" fontId="0" fillId="0" borderId="10" xfId="0" applyNumberFormat="1" applyBorder="1"/>
    <xf numFmtId="2" fontId="10" fillId="4" borderId="47" xfId="0" applyNumberFormat="1" applyFont="1" applyFill="1" applyBorder="1" applyAlignment="1">
      <alignment horizontal="center" vertical="center"/>
    </xf>
    <xf numFmtId="0" fontId="25" fillId="0" borderId="13" xfId="0" applyFont="1" applyBorder="1"/>
    <xf numFmtId="166" fontId="43" fillId="0" borderId="5" xfId="0" applyNumberFormat="1" applyFont="1" applyBorder="1" applyAlignment="1">
      <alignment horizontal="center"/>
    </xf>
    <xf numFmtId="0" fontId="19" fillId="15" borderId="2" xfId="0" applyFont="1" applyFill="1" applyBorder="1"/>
    <xf numFmtId="0" fontId="19" fillId="15" borderId="4" xfId="0" applyFont="1" applyFill="1" applyBorder="1"/>
    <xf numFmtId="0" fontId="19" fillId="15" borderId="7" xfId="0" applyFont="1" applyFill="1" applyBorder="1"/>
    <xf numFmtId="0" fontId="19" fillId="15" borderId="8" xfId="0" applyFont="1" applyFill="1" applyBorder="1"/>
    <xf numFmtId="4" fontId="19" fillId="15" borderId="8" xfId="0" applyNumberFormat="1" applyFont="1" applyFill="1" applyBorder="1"/>
    <xf numFmtId="1" fontId="27" fillId="2" borderId="12" xfId="1" applyNumberFormat="1" applyFont="1" applyFill="1" applyBorder="1" applyAlignment="1">
      <alignment vertical="center"/>
    </xf>
    <xf numFmtId="0" fontId="0" fillId="0" borderId="11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24" xfId="0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15" fontId="19" fillId="2" borderId="5" xfId="0" applyNumberFormat="1" applyFont="1" applyFill="1" applyBorder="1" applyAlignment="1">
      <alignment horizontal="center"/>
    </xf>
    <xf numFmtId="15" fontId="19" fillId="2" borderId="13" xfId="0" applyNumberFormat="1" applyFont="1" applyFill="1" applyBorder="1" applyAlignment="1">
      <alignment horizontal="center"/>
    </xf>
    <xf numFmtId="15" fontId="19" fillId="2" borderId="23" xfId="0" applyNumberFormat="1" applyFont="1" applyFill="1" applyBorder="1" applyAlignment="1">
      <alignment horizontal="center"/>
    </xf>
    <xf numFmtId="15" fontId="19" fillId="2" borderId="10" xfId="0" applyNumberFormat="1" applyFont="1" applyFill="1" applyBorder="1" applyAlignment="1">
      <alignment horizontal="center"/>
    </xf>
    <xf numFmtId="15" fontId="19" fillId="2" borderId="27" xfId="0" applyNumberFormat="1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19" fillId="0" borderId="33" xfId="0" applyFon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0" borderId="46" xfId="0" applyFont="1" applyBorder="1" applyAlignment="1">
      <alignment horizontal="center"/>
    </xf>
    <xf numFmtId="0" fontId="19" fillId="0" borderId="0" xfId="0" applyFont="1" applyAlignment="1">
      <alignment horizontal="center"/>
    </xf>
    <xf numFmtId="2" fontId="0" fillId="0" borderId="10" xfId="0" applyNumberForma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19" fillId="0" borderId="40" xfId="0" applyFont="1" applyBorder="1" applyAlignment="1">
      <alignment horizontal="center"/>
    </xf>
    <xf numFmtId="2" fontId="22" fillId="6" borderId="25" xfId="0" applyNumberFormat="1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47" fillId="0" borderId="2" xfId="0" applyFont="1" applyBorder="1"/>
    <xf numFmtId="0" fontId="46" fillId="0" borderId="5" xfId="0" applyFont="1" applyBorder="1"/>
    <xf numFmtId="15" fontId="47" fillId="2" borderId="5" xfId="0" applyNumberFormat="1" applyFont="1" applyFill="1" applyBorder="1" applyAlignment="1">
      <alignment horizontal="center"/>
    </xf>
    <xf numFmtId="0" fontId="27" fillId="0" borderId="13" xfId="0" applyFont="1" applyBorder="1"/>
    <xf numFmtId="0" fontId="46" fillId="0" borderId="5" xfId="0" quotePrefix="1" applyFont="1" applyBorder="1" applyAlignment="1">
      <alignment horizontal="left" wrapText="1"/>
    </xf>
    <xf numFmtId="165" fontId="4" fillId="10" borderId="5" xfId="0" applyNumberFormat="1" applyFont="1" applyFill="1" applyBorder="1" applyAlignment="1">
      <alignment horizontal="center" vertical="center"/>
    </xf>
    <xf numFmtId="0" fontId="6" fillId="10" borderId="12" xfId="0" applyFont="1" applyFill="1" applyBorder="1"/>
    <xf numFmtId="164" fontId="11" fillId="16" borderId="5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5" borderId="9" xfId="0" applyFont="1" applyFill="1" applyBorder="1" applyAlignment="1">
      <alignment horizontal="center"/>
    </xf>
    <xf numFmtId="2" fontId="33" fillId="12" borderId="5" xfId="0" applyNumberFormat="1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/>
    </xf>
    <xf numFmtId="0" fontId="3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8" fillId="9" borderId="35" xfId="0" applyFont="1" applyFill="1" applyBorder="1" applyAlignment="1">
      <alignment horizontal="center"/>
    </xf>
    <xf numFmtId="0" fontId="28" fillId="9" borderId="36" xfId="0" applyFont="1" applyFill="1" applyBorder="1" applyAlignment="1">
      <alignment horizontal="center"/>
    </xf>
    <xf numFmtId="0" fontId="28" fillId="9" borderId="37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5" fillId="5" borderId="41" xfId="0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5" fillId="5" borderId="5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5" fillId="5" borderId="0" xfId="0" applyFont="1" applyFill="1" applyAlignment="1">
      <alignment horizontal="center" wrapText="1"/>
    </xf>
    <xf numFmtId="0" fontId="5" fillId="0" borderId="2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40" fillId="0" borderId="5" xfId="0" applyFont="1" applyBorder="1" applyAlignment="1">
      <alignment horizontal="center"/>
    </xf>
    <xf numFmtId="0" fontId="40" fillId="2" borderId="10" xfId="0" applyFont="1" applyFill="1" applyBorder="1" applyAlignment="1">
      <alignment horizontal="center"/>
    </xf>
    <xf numFmtId="0" fontId="40" fillId="2" borderId="21" xfId="0" applyFont="1" applyFill="1" applyBorder="1" applyAlignment="1">
      <alignment horizontal="center"/>
    </xf>
    <xf numFmtId="0" fontId="40" fillId="2" borderId="11" xfId="0" applyFont="1" applyFill="1" applyBorder="1" applyAlignment="1">
      <alignment horizontal="center"/>
    </xf>
    <xf numFmtId="0" fontId="38" fillId="5" borderId="5" xfId="0" applyFont="1" applyFill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2" fontId="15" fillId="5" borderId="10" xfId="0" applyNumberFormat="1" applyFont="1" applyFill="1" applyBorder="1" applyAlignment="1">
      <alignment horizontal="center" vertical="center"/>
    </xf>
    <xf numFmtId="2" fontId="15" fillId="5" borderId="21" xfId="0" applyNumberFormat="1" applyFont="1" applyFill="1" applyBorder="1" applyAlignment="1">
      <alignment horizontal="center" vertical="center"/>
    </xf>
    <xf numFmtId="2" fontId="15" fillId="5" borderId="11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2" borderId="21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2" fontId="15" fillId="5" borderId="5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43" fontId="5" fillId="2" borderId="10" xfId="0" applyNumberFormat="1" applyFont="1" applyFill="1" applyBorder="1" applyAlignment="1">
      <alignment horizontal="center" vertical="center"/>
    </xf>
    <xf numFmtId="43" fontId="5" fillId="2" borderId="11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2" fontId="1" fillId="0" borderId="5" xfId="0" applyNumberFormat="1" applyFont="1" applyBorder="1"/>
    <xf numFmtId="0" fontId="1" fillId="0" borderId="5" xfId="0" applyFont="1" applyBorder="1"/>
    <xf numFmtId="0" fontId="1" fillId="0" borderId="13" xfId="0" applyFont="1" applyBorder="1"/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Hyperlink" xfId="4" builtinId="8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9025C700-89B0-4A60-8EAE-23446D455481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5" dT="2026-05-22T05:18:01.19" personId="{9025C700-89B0-4A60-8EAE-23446D455481}" id="{E4F66D34-D01F-400C-AC77-FD28C2795751}">
    <text>Account Transfer</text>
  </threadedComment>
</ThreadedComments>
</file>

<file path=xl/worksheets/_rels/sheet4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C797-301E-4D70-B954-BDEBA92A43C0}">
  <dimension ref="A2:AM18"/>
  <sheetViews>
    <sheetView workbookViewId="0">
      <pane xSplit="5" topLeftCell="AW1" activePane="topRight" state="frozen"/>
      <selection pane="topRight" activeCell="AF19" sqref="AF19"/>
    </sheetView>
  </sheetViews>
  <sheetFormatPr defaultRowHeight="15"/>
  <cols>
    <col min="2" max="2" width="16" bestFit="1" customWidth="1"/>
    <col min="3" max="3" width="17.42578125" bestFit="1" customWidth="1"/>
    <col min="4" max="4" width="24.85546875" customWidth="1"/>
    <col min="5" max="5" width="18" customWidth="1"/>
    <col min="7" max="7" width="11.28515625" bestFit="1" customWidth="1"/>
    <col min="8" max="8" width="11.140625" bestFit="1" customWidth="1"/>
  </cols>
  <sheetData>
    <row r="2" spans="1:39">
      <c r="A2" s="348" t="s">
        <v>0</v>
      </c>
      <c r="B2" s="349" t="s">
        <v>1</v>
      </c>
      <c r="C2" s="350" t="s">
        <v>2</v>
      </c>
      <c r="D2" s="350" t="s">
        <v>3</v>
      </c>
      <c r="E2" s="350" t="s">
        <v>3</v>
      </c>
      <c r="F2" s="350" t="s">
        <v>4</v>
      </c>
      <c r="G2" s="539" t="s">
        <v>5</v>
      </c>
      <c r="H2" s="539"/>
      <c r="I2" s="351" t="s">
        <v>6</v>
      </c>
      <c r="J2" s="351" t="s">
        <v>7</v>
      </c>
      <c r="K2" s="351" t="s">
        <v>8</v>
      </c>
      <c r="L2" s="351" t="s">
        <v>9</v>
      </c>
      <c r="M2" s="351" t="s">
        <v>10</v>
      </c>
      <c r="N2" s="351" t="s">
        <v>11</v>
      </c>
      <c r="O2" s="351" t="s">
        <v>12</v>
      </c>
      <c r="P2" s="351" t="s">
        <v>13</v>
      </c>
      <c r="Q2" s="351" t="s">
        <v>14</v>
      </c>
      <c r="R2" s="351" t="s">
        <v>15</v>
      </c>
      <c r="S2" s="351" t="s">
        <v>16</v>
      </c>
      <c r="T2" s="351" t="s">
        <v>17</v>
      </c>
      <c r="U2" s="351" t="s">
        <v>18</v>
      </c>
      <c r="V2" s="351" t="s">
        <v>19</v>
      </c>
      <c r="W2" s="351" t="s">
        <v>20</v>
      </c>
      <c r="X2" s="351" t="s">
        <v>21</v>
      </c>
      <c r="Y2" s="351" t="s">
        <v>22</v>
      </c>
      <c r="Z2" s="351" t="s">
        <v>23</v>
      </c>
      <c r="AA2" s="351" t="s">
        <v>24</v>
      </c>
      <c r="AB2" s="351" t="s">
        <v>25</v>
      </c>
      <c r="AC2" s="351" t="s">
        <v>26</v>
      </c>
      <c r="AD2" s="351" t="s">
        <v>27</v>
      </c>
      <c r="AE2" s="351" t="s">
        <v>28</v>
      </c>
      <c r="AF2" s="351" t="s">
        <v>29</v>
      </c>
      <c r="AG2" s="351" t="s">
        <v>30</v>
      </c>
      <c r="AH2" s="351" t="s">
        <v>31</v>
      </c>
      <c r="AI2" s="351" t="s">
        <v>32</v>
      </c>
      <c r="AJ2" s="351" t="s">
        <v>33</v>
      </c>
      <c r="AK2" s="351" t="s">
        <v>34</v>
      </c>
      <c r="AL2" s="351" t="s">
        <v>35</v>
      </c>
      <c r="AM2" s="352" t="s">
        <v>36</v>
      </c>
    </row>
    <row r="3" spans="1:39" s="345" customFormat="1">
      <c r="A3" s="353"/>
      <c r="B3" s="354"/>
      <c r="C3" s="355"/>
      <c r="D3" s="355"/>
      <c r="E3" s="355"/>
      <c r="F3" s="356" t="s">
        <v>37</v>
      </c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  <c r="AC3" s="346"/>
      <c r="AD3" s="346"/>
      <c r="AE3" s="346"/>
      <c r="AF3" s="346"/>
      <c r="AG3" s="346"/>
      <c r="AH3" s="346"/>
      <c r="AI3" s="346"/>
      <c r="AJ3" s="346"/>
      <c r="AK3" s="346"/>
      <c r="AL3" s="346"/>
      <c r="AM3" s="357"/>
    </row>
    <row r="4" spans="1:39" ht="15.75">
      <c r="A4" s="542">
        <v>1</v>
      </c>
      <c r="B4" s="540" t="s">
        <v>38</v>
      </c>
      <c r="C4" s="540" t="s">
        <v>39</v>
      </c>
      <c r="D4" s="541" t="s">
        <v>40</v>
      </c>
      <c r="E4" s="358" t="s">
        <v>37</v>
      </c>
      <c r="F4" s="347">
        <v>0</v>
      </c>
      <c r="G4" s="347">
        <v>0</v>
      </c>
      <c r="H4" s="347">
        <v>0</v>
      </c>
      <c r="I4" s="347">
        <v>0</v>
      </c>
      <c r="J4" s="347">
        <v>0</v>
      </c>
      <c r="K4" s="347">
        <v>0</v>
      </c>
      <c r="L4" s="347">
        <v>0</v>
      </c>
      <c r="M4" s="347">
        <v>0</v>
      </c>
      <c r="N4" s="347">
        <v>0</v>
      </c>
      <c r="O4" s="347">
        <v>0</v>
      </c>
      <c r="P4" s="347">
        <v>0</v>
      </c>
      <c r="Q4" s="347">
        <v>0</v>
      </c>
      <c r="R4" s="347">
        <v>0</v>
      </c>
      <c r="S4" s="347">
        <v>0</v>
      </c>
      <c r="T4" s="347">
        <v>0</v>
      </c>
      <c r="U4" s="347">
        <v>0</v>
      </c>
      <c r="V4" s="347">
        <v>0</v>
      </c>
      <c r="W4" s="347">
        <v>0</v>
      </c>
      <c r="X4" s="347">
        <v>5.22</v>
      </c>
      <c r="Y4" s="347">
        <v>0</v>
      </c>
      <c r="Z4" s="347">
        <v>0</v>
      </c>
      <c r="AA4" s="347">
        <v>0</v>
      </c>
      <c r="AB4" s="347">
        <v>0</v>
      </c>
      <c r="AC4" s="347">
        <v>0</v>
      </c>
      <c r="AD4" s="347">
        <v>60</v>
      </c>
      <c r="AE4" s="347">
        <v>0</v>
      </c>
      <c r="AF4" s="347">
        <v>0</v>
      </c>
      <c r="AG4" s="347">
        <v>0</v>
      </c>
      <c r="AH4" s="347">
        <v>4.5599999999999996</v>
      </c>
      <c r="AI4" s="347">
        <v>0</v>
      </c>
      <c r="AJ4" s="347">
        <v>0</v>
      </c>
      <c r="AK4" s="347">
        <v>0</v>
      </c>
      <c r="AL4" s="347">
        <v>0</v>
      </c>
      <c r="AM4" s="347">
        <f>SUM(F4:AL4)</f>
        <v>69.78</v>
      </c>
    </row>
    <row r="5" spans="1:39" ht="15.75">
      <c r="A5" s="542"/>
      <c r="B5" s="540"/>
      <c r="C5" s="540"/>
      <c r="D5" s="541"/>
      <c r="E5" s="359" t="s">
        <v>41</v>
      </c>
      <c r="F5" s="347">
        <v>0</v>
      </c>
      <c r="G5" s="347">
        <v>4.6900000000000004</v>
      </c>
      <c r="H5" s="347">
        <v>0</v>
      </c>
      <c r="I5" s="347">
        <v>0</v>
      </c>
      <c r="J5" s="347">
        <v>0</v>
      </c>
      <c r="K5" s="347">
        <v>0</v>
      </c>
      <c r="L5" s="347">
        <v>0</v>
      </c>
      <c r="M5" s="347">
        <v>0</v>
      </c>
      <c r="N5" s="347">
        <v>3.91</v>
      </c>
      <c r="O5" s="347">
        <v>0</v>
      </c>
      <c r="P5" s="347">
        <v>6.98</v>
      </c>
      <c r="Q5" s="347">
        <v>0</v>
      </c>
      <c r="R5" s="347">
        <v>0</v>
      </c>
      <c r="S5" s="347">
        <v>0</v>
      </c>
      <c r="T5" s="347">
        <v>0</v>
      </c>
      <c r="U5" s="347">
        <v>0</v>
      </c>
      <c r="V5" s="347">
        <v>0</v>
      </c>
      <c r="W5" s="347">
        <v>0</v>
      </c>
      <c r="X5" s="347">
        <v>0</v>
      </c>
      <c r="Y5" s="347">
        <v>0</v>
      </c>
      <c r="Z5" s="347">
        <v>0</v>
      </c>
      <c r="AA5" s="347"/>
      <c r="AB5" s="347">
        <v>0</v>
      </c>
      <c r="AC5" s="360">
        <v>0</v>
      </c>
      <c r="AD5" s="347">
        <v>0</v>
      </c>
      <c r="AE5" s="347">
        <v>0</v>
      </c>
      <c r="AF5" s="347">
        <v>0</v>
      </c>
      <c r="AG5" s="347">
        <v>0</v>
      </c>
      <c r="AH5" s="347">
        <v>0</v>
      </c>
      <c r="AI5" s="347">
        <v>0</v>
      </c>
      <c r="AJ5" s="347">
        <v>0</v>
      </c>
      <c r="AK5" s="347">
        <v>0</v>
      </c>
      <c r="AL5" s="347">
        <v>0</v>
      </c>
      <c r="AM5" s="347">
        <f t="shared" ref="AM5:AM15" si="0">SUM(F5:AL5)</f>
        <v>15.580000000000002</v>
      </c>
    </row>
    <row r="6" spans="1:39" ht="15.75">
      <c r="A6" s="542">
        <v>2</v>
      </c>
      <c r="B6" s="540" t="s">
        <v>42</v>
      </c>
      <c r="C6" s="540" t="s">
        <v>43</v>
      </c>
      <c r="D6" s="541" t="s">
        <v>44</v>
      </c>
      <c r="E6" s="361" t="s">
        <v>37</v>
      </c>
      <c r="F6" s="347">
        <v>0</v>
      </c>
      <c r="G6" s="347">
        <v>0</v>
      </c>
      <c r="H6" s="347">
        <v>0</v>
      </c>
      <c r="I6" s="347">
        <v>0</v>
      </c>
      <c r="J6" s="347">
        <v>0</v>
      </c>
      <c r="K6" s="347">
        <v>0</v>
      </c>
      <c r="L6" s="347">
        <v>0</v>
      </c>
      <c r="M6" s="347">
        <v>0</v>
      </c>
      <c r="N6" s="347">
        <v>0</v>
      </c>
      <c r="O6" s="347">
        <v>0</v>
      </c>
      <c r="P6" s="347">
        <v>0</v>
      </c>
      <c r="Q6" s="347">
        <v>0</v>
      </c>
      <c r="R6" s="347">
        <v>0</v>
      </c>
      <c r="S6" s="347">
        <v>0</v>
      </c>
      <c r="T6" s="347">
        <v>0</v>
      </c>
      <c r="U6" s="347">
        <v>0</v>
      </c>
      <c r="V6" s="347">
        <v>0</v>
      </c>
      <c r="W6" s="347">
        <v>0</v>
      </c>
      <c r="X6" s="347">
        <v>0</v>
      </c>
      <c r="Y6" s="347">
        <v>0</v>
      </c>
      <c r="Z6" s="347">
        <v>0</v>
      </c>
      <c r="AA6" s="347">
        <v>0</v>
      </c>
      <c r="AB6" s="347">
        <v>0</v>
      </c>
      <c r="AC6" s="347">
        <v>0</v>
      </c>
      <c r="AD6" s="347">
        <v>0</v>
      </c>
      <c r="AE6" s="347">
        <v>0</v>
      </c>
      <c r="AF6" s="347">
        <v>0</v>
      </c>
      <c r="AG6" s="347">
        <v>0</v>
      </c>
      <c r="AH6" s="347">
        <v>0</v>
      </c>
      <c r="AI6" s="347">
        <v>0</v>
      </c>
      <c r="AJ6" s="347">
        <v>0</v>
      </c>
      <c r="AK6" s="347">
        <v>0</v>
      </c>
      <c r="AL6" s="347">
        <v>0</v>
      </c>
      <c r="AM6" s="347">
        <f t="shared" si="0"/>
        <v>0</v>
      </c>
    </row>
    <row r="7" spans="1:39" ht="15.75">
      <c r="A7" s="542"/>
      <c r="B7" s="540"/>
      <c r="C7" s="540"/>
      <c r="D7" s="541"/>
      <c r="E7" s="359" t="s">
        <v>41</v>
      </c>
      <c r="F7" s="347">
        <v>0</v>
      </c>
      <c r="G7" s="347">
        <v>0</v>
      </c>
      <c r="H7" s="347">
        <v>0</v>
      </c>
      <c r="I7" s="347">
        <v>0</v>
      </c>
      <c r="J7" s="347">
        <v>0</v>
      </c>
      <c r="K7" s="347">
        <v>0</v>
      </c>
      <c r="L7" s="347">
        <v>0</v>
      </c>
      <c r="M7" s="347">
        <v>0</v>
      </c>
      <c r="N7" s="347">
        <v>0</v>
      </c>
      <c r="O7" s="347">
        <v>0</v>
      </c>
      <c r="P7" s="347">
        <v>0</v>
      </c>
      <c r="Q7" s="347">
        <v>0</v>
      </c>
      <c r="R7" s="347">
        <v>0</v>
      </c>
      <c r="S7" s="347">
        <v>0</v>
      </c>
      <c r="T7" s="347">
        <v>0</v>
      </c>
      <c r="U7" s="347">
        <v>0</v>
      </c>
      <c r="V7" s="347">
        <v>0</v>
      </c>
      <c r="W7" s="347">
        <v>0</v>
      </c>
      <c r="X7" s="347">
        <v>0</v>
      </c>
      <c r="Y7" s="347">
        <v>0</v>
      </c>
      <c r="Z7" s="347">
        <v>0</v>
      </c>
      <c r="AA7" s="347"/>
      <c r="AB7" s="347">
        <v>0</v>
      </c>
      <c r="AC7" s="360">
        <v>0</v>
      </c>
      <c r="AD7" s="347">
        <v>0</v>
      </c>
      <c r="AE7" s="347">
        <v>0</v>
      </c>
      <c r="AF7" s="347">
        <v>0</v>
      </c>
      <c r="AG7" s="347">
        <v>0</v>
      </c>
      <c r="AH7" s="347">
        <v>0</v>
      </c>
      <c r="AI7" s="347">
        <v>0</v>
      </c>
      <c r="AJ7" s="347">
        <v>0</v>
      </c>
      <c r="AK7" s="347">
        <v>0</v>
      </c>
      <c r="AL7" s="347">
        <v>0</v>
      </c>
      <c r="AM7" s="347">
        <f t="shared" si="0"/>
        <v>0</v>
      </c>
    </row>
    <row r="8" spans="1:39" ht="15.75">
      <c r="A8" s="542">
        <v>3</v>
      </c>
      <c r="B8" s="540" t="s">
        <v>45</v>
      </c>
      <c r="C8" s="540" t="s">
        <v>43</v>
      </c>
      <c r="D8" s="541" t="s">
        <v>46</v>
      </c>
      <c r="E8" s="361" t="s">
        <v>37</v>
      </c>
      <c r="F8" s="347">
        <v>0</v>
      </c>
      <c r="G8" s="347">
        <v>0</v>
      </c>
      <c r="H8" s="347">
        <v>0</v>
      </c>
      <c r="I8" s="347">
        <v>0</v>
      </c>
      <c r="J8" s="347">
        <v>33.44</v>
      </c>
      <c r="K8" s="347">
        <v>0</v>
      </c>
      <c r="L8" s="347">
        <v>0</v>
      </c>
      <c r="M8" s="347">
        <v>0</v>
      </c>
      <c r="N8" s="347">
        <v>0</v>
      </c>
      <c r="O8" s="347">
        <v>0</v>
      </c>
      <c r="P8" s="347">
        <v>0</v>
      </c>
      <c r="Q8" s="347">
        <v>0</v>
      </c>
      <c r="R8" s="347">
        <v>35.53</v>
      </c>
      <c r="S8" s="347">
        <v>0</v>
      </c>
      <c r="T8" s="347">
        <v>0</v>
      </c>
      <c r="U8" s="347">
        <v>0</v>
      </c>
      <c r="V8" s="347">
        <v>0</v>
      </c>
      <c r="W8" s="347">
        <v>0</v>
      </c>
      <c r="X8" s="347">
        <v>0</v>
      </c>
      <c r="Y8" s="347">
        <v>0</v>
      </c>
      <c r="Z8" s="347">
        <v>0</v>
      </c>
      <c r="AA8" s="347">
        <v>0</v>
      </c>
      <c r="AB8" s="347">
        <v>33.44</v>
      </c>
      <c r="AC8" s="347">
        <v>0</v>
      </c>
      <c r="AD8" s="347">
        <v>0</v>
      </c>
      <c r="AE8" s="347">
        <v>0</v>
      </c>
      <c r="AF8" s="347">
        <v>0</v>
      </c>
      <c r="AG8" s="347">
        <v>0</v>
      </c>
      <c r="AH8" s="347">
        <v>0</v>
      </c>
      <c r="AI8" s="347">
        <v>0</v>
      </c>
      <c r="AJ8" s="347">
        <v>0</v>
      </c>
      <c r="AK8" s="347">
        <v>0</v>
      </c>
      <c r="AL8" s="347">
        <v>0</v>
      </c>
      <c r="AM8" s="347">
        <f t="shared" si="0"/>
        <v>102.41</v>
      </c>
    </row>
    <row r="9" spans="1:39" ht="15.75">
      <c r="A9" s="542"/>
      <c r="B9" s="540"/>
      <c r="C9" s="540"/>
      <c r="D9" s="541"/>
      <c r="E9" s="359" t="s">
        <v>41</v>
      </c>
      <c r="F9" s="347">
        <v>0</v>
      </c>
      <c r="G9" s="347">
        <v>0</v>
      </c>
      <c r="H9" s="347">
        <v>0</v>
      </c>
      <c r="I9" s="347">
        <v>0</v>
      </c>
      <c r="J9" s="347">
        <v>0</v>
      </c>
      <c r="K9" s="347">
        <v>0</v>
      </c>
      <c r="L9" s="347">
        <v>0</v>
      </c>
      <c r="M9" s="347">
        <v>0</v>
      </c>
      <c r="N9" s="347">
        <v>0</v>
      </c>
      <c r="O9" s="347">
        <v>0</v>
      </c>
      <c r="P9" s="347">
        <v>0</v>
      </c>
      <c r="Q9" s="347">
        <v>0</v>
      </c>
      <c r="R9" s="347">
        <v>0</v>
      </c>
      <c r="S9" s="347">
        <v>0</v>
      </c>
      <c r="T9" s="347">
        <v>0</v>
      </c>
      <c r="U9" s="347">
        <v>0</v>
      </c>
      <c r="V9" s="347">
        <v>0</v>
      </c>
      <c r="W9" s="347">
        <v>0</v>
      </c>
      <c r="X9" s="347">
        <v>0</v>
      </c>
      <c r="Y9" s="347">
        <v>0</v>
      </c>
      <c r="Z9" s="347">
        <v>0</v>
      </c>
      <c r="AA9" s="347"/>
      <c r="AB9" s="347">
        <v>0</v>
      </c>
      <c r="AC9" s="360">
        <v>0</v>
      </c>
      <c r="AD9" s="347">
        <v>0</v>
      </c>
      <c r="AE9" s="347">
        <v>0</v>
      </c>
      <c r="AF9" s="347">
        <v>0</v>
      </c>
      <c r="AG9" s="347">
        <v>0</v>
      </c>
      <c r="AH9" s="347">
        <v>0</v>
      </c>
      <c r="AI9" s="347">
        <v>0</v>
      </c>
      <c r="AJ9" s="347">
        <v>0</v>
      </c>
      <c r="AK9" s="347">
        <v>0</v>
      </c>
      <c r="AL9" s="347">
        <v>0</v>
      </c>
      <c r="AM9" s="347">
        <f t="shared" si="0"/>
        <v>0</v>
      </c>
    </row>
    <row r="10" spans="1:39" ht="15.75">
      <c r="A10" s="542">
        <v>4</v>
      </c>
      <c r="B10" s="540" t="s">
        <v>47</v>
      </c>
      <c r="C10" s="540" t="s">
        <v>43</v>
      </c>
      <c r="D10" s="541" t="s">
        <v>48</v>
      </c>
      <c r="E10" s="361" t="s">
        <v>37</v>
      </c>
      <c r="F10" s="347">
        <v>0</v>
      </c>
      <c r="G10" s="347">
        <v>0</v>
      </c>
      <c r="H10" s="347">
        <v>0</v>
      </c>
      <c r="I10" s="347">
        <v>0</v>
      </c>
      <c r="J10" s="347">
        <v>0</v>
      </c>
      <c r="K10" s="347">
        <v>0</v>
      </c>
      <c r="L10" s="347">
        <v>0</v>
      </c>
      <c r="M10" s="347">
        <v>0</v>
      </c>
      <c r="N10" s="347">
        <v>0</v>
      </c>
      <c r="O10" s="347">
        <v>0</v>
      </c>
      <c r="P10" s="347">
        <v>49.22</v>
      </c>
      <c r="Q10" s="347">
        <v>0</v>
      </c>
      <c r="R10" s="347">
        <v>0</v>
      </c>
      <c r="S10" s="347">
        <v>0</v>
      </c>
      <c r="T10" s="347">
        <v>0</v>
      </c>
      <c r="U10" s="347">
        <v>54.57</v>
      </c>
      <c r="V10" s="347">
        <v>0</v>
      </c>
      <c r="W10" s="347">
        <v>0</v>
      </c>
      <c r="X10" s="347">
        <v>0</v>
      </c>
      <c r="Y10" s="347">
        <v>0</v>
      </c>
      <c r="Z10" s="347">
        <v>0</v>
      </c>
      <c r="AA10" s="347">
        <v>0</v>
      </c>
      <c r="AB10" s="347">
        <v>0</v>
      </c>
      <c r="AC10" s="347">
        <v>0</v>
      </c>
      <c r="AD10" s="347">
        <v>49.8</v>
      </c>
      <c r="AE10" s="347">
        <v>0</v>
      </c>
      <c r="AF10" s="347">
        <v>0</v>
      </c>
      <c r="AG10" s="347">
        <v>0</v>
      </c>
      <c r="AH10" s="347">
        <v>0</v>
      </c>
      <c r="AI10" s="347">
        <v>0</v>
      </c>
      <c r="AJ10" s="347">
        <v>0</v>
      </c>
      <c r="AK10" s="347">
        <v>0</v>
      </c>
      <c r="AL10" s="347">
        <v>0</v>
      </c>
      <c r="AM10" s="347">
        <f t="shared" si="0"/>
        <v>153.58999999999997</v>
      </c>
    </row>
    <row r="11" spans="1:39" ht="15.75">
      <c r="A11" s="542"/>
      <c r="B11" s="540"/>
      <c r="C11" s="540"/>
      <c r="D11" s="541"/>
      <c r="E11" s="359" t="s">
        <v>41</v>
      </c>
      <c r="F11" s="347">
        <v>0</v>
      </c>
      <c r="G11" s="347">
        <v>0</v>
      </c>
      <c r="H11" s="347">
        <v>0</v>
      </c>
      <c r="I11" s="347">
        <v>0</v>
      </c>
      <c r="J11" s="347">
        <v>0</v>
      </c>
      <c r="K11" s="347">
        <v>0</v>
      </c>
      <c r="L11" s="347">
        <v>0</v>
      </c>
      <c r="M11" s="347">
        <v>0</v>
      </c>
      <c r="N11" s="347">
        <v>0</v>
      </c>
      <c r="O11" s="347">
        <v>0</v>
      </c>
      <c r="P11" s="347">
        <v>0</v>
      </c>
      <c r="Q11" s="347">
        <v>0</v>
      </c>
      <c r="R11" s="347">
        <v>0</v>
      </c>
      <c r="S11" s="347">
        <v>0</v>
      </c>
      <c r="T11" s="347">
        <v>0</v>
      </c>
      <c r="U11" s="347">
        <v>0</v>
      </c>
      <c r="V11" s="347">
        <v>0</v>
      </c>
      <c r="W11" s="347">
        <v>0</v>
      </c>
      <c r="X11" s="347">
        <v>0</v>
      </c>
      <c r="Y11" s="347">
        <v>0</v>
      </c>
      <c r="Z11" s="347">
        <v>0</v>
      </c>
      <c r="AA11" s="347"/>
      <c r="AB11" s="347">
        <v>0</v>
      </c>
      <c r="AC11" s="360">
        <v>0</v>
      </c>
      <c r="AD11" s="347">
        <v>0</v>
      </c>
      <c r="AE11" s="347">
        <v>0</v>
      </c>
      <c r="AF11" s="347">
        <v>0</v>
      </c>
      <c r="AG11" s="347">
        <v>0</v>
      </c>
      <c r="AH11" s="347">
        <v>0</v>
      </c>
      <c r="AI11" s="347">
        <v>0</v>
      </c>
      <c r="AJ11" s="347">
        <v>0</v>
      </c>
      <c r="AK11" s="347">
        <v>0</v>
      </c>
      <c r="AL11" s="347">
        <v>0</v>
      </c>
      <c r="AM11" s="347">
        <f t="shared" si="0"/>
        <v>0</v>
      </c>
    </row>
    <row r="12" spans="1:39" ht="15.75">
      <c r="A12" s="542">
        <v>5</v>
      </c>
      <c r="B12" s="540" t="s">
        <v>49</v>
      </c>
      <c r="C12" s="540" t="s">
        <v>50</v>
      </c>
      <c r="D12" s="541" t="s">
        <v>51</v>
      </c>
      <c r="E12" s="361" t="s">
        <v>37</v>
      </c>
      <c r="F12" s="347">
        <v>0</v>
      </c>
      <c r="G12" s="347">
        <v>0</v>
      </c>
      <c r="H12" s="347">
        <v>0</v>
      </c>
      <c r="I12" s="347">
        <v>0</v>
      </c>
      <c r="J12" s="347">
        <v>0</v>
      </c>
      <c r="K12" s="347">
        <v>0</v>
      </c>
      <c r="L12" s="347">
        <v>0</v>
      </c>
      <c r="M12" s="347">
        <v>0</v>
      </c>
      <c r="N12" s="347">
        <v>86.29</v>
      </c>
      <c r="O12" s="347">
        <v>0</v>
      </c>
      <c r="P12" s="347">
        <v>0</v>
      </c>
      <c r="Q12" s="347">
        <v>0</v>
      </c>
      <c r="R12" s="347">
        <v>0</v>
      </c>
      <c r="S12" s="347">
        <v>0</v>
      </c>
      <c r="T12" s="347">
        <v>0</v>
      </c>
      <c r="U12" s="347">
        <v>0</v>
      </c>
      <c r="V12" s="347">
        <v>0</v>
      </c>
      <c r="W12" s="347">
        <v>0</v>
      </c>
      <c r="X12" s="347">
        <v>0</v>
      </c>
      <c r="Y12" s="347">
        <v>0</v>
      </c>
      <c r="Z12" s="347">
        <v>0</v>
      </c>
      <c r="AA12" s="347">
        <v>0</v>
      </c>
      <c r="AB12" s="347">
        <v>0</v>
      </c>
      <c r="AC12" s="347">
        <v>0</v>
      </c>
      <c r="AD12" s="347">
        <v>145.61000000000001</v>
      </c>
      <c r="AE12" s="347">
        <v>0</v>
      </c>
      <c r="AF12" s="347">
        <v>0</v>
      </c>
      <c r="AG12" s="347">
        <v>0</v>
      </c>
      <c r="AH12" s="347">
        <v>0</v>
      </c>
      <c r="AI12" s="347">
        <v>0</v>
      </c>
      <c r="AJ12" s="347">
        <v>0</v>
      </c>
      <c r="AK12" s="347">
        <v>0</v>
      </c>
      <c r="AL12" s="347">
        <v>0</v>
      </c>
      <c r="AM12" s="347">
        <f t="shared" si="0"/>
        <v>231.90000000000003</v>
      </c>
    </row>
    <row r="13" spans="1:39" ht="15.75">
      <c r="A13" s="542"/>
      <c r="B13" s="540"/>
      <c r="C13" s="540"/>
      <c r="D13" s="541"/>
      <c r="E13" s="359" t="s">
        <v>41</v>
      </c>
      <c r="F13" s="347">
        <v>0</v>
      </c>
      <c r="G13" s="347">
        <v>0</v>
      </c>
      <c r="H13" s="347">
        <v>0</v>
      </c>
      <c r="I13" s="347">
        <v>0</v>
      </c>
      <c r="J13" s="347">
        <v>0</v>
      </c>
      <c r="K13" s="347">
        <v>0</v>
      </c>
      <c r="L13" s="347">
        <v>0</v>
      </c>
      <c r="M13" s="347">
        <v>0</v>
      </c>
      <c r="N13" s="347">
        <v>0</v>
      </c>
      <c r="O13" s="347">
        <v>0</v>
      </c>
      <c r="P13" s="347">
        <v>0</v>
      </c>
      <c r="Q13" s="347">
        <v>0</v>
      </c>
      <c r="R13" s="347">
        <v>0</v>
      </c>
      <c r="S13" s="347">
        <v>0</v>
      </c>
      <c r="T13" s="347">
        <v>0</v>
      </c>
      <c r="U13" s="347">
        <v>0</v>
      </c>
      <c r="V13" s="347">
        <v>0</v>
      </c>
      <c r="W13" s="347">
        <v>0</v>
      </c>
      <c r="X13" s="347">
        <v>0</v>
      </c>
      <c r="Y13" s="347">
        <v>0</v>
      </c>
      <c r="Z13" s="347">
        <v>0</v>
      </c>
      <c r="AA13" s="347"/>
      <c r="AB13" s="347">
        <v>0</v>
      </c>
      <c r="AC13" s="360">
        <v>0</v>
      </c>
      <c r="AD13" s="347">
        <v>0</v>
      </c>
      <c r="AE13" s="347">
        <v>0</v>
      </c>
      <c r="AF13" s="347">
        <v>0</v>
      </c>
      <c r="AG13" s="347">
        <v>0</v>
      </c>
      <c r="AH13" s="347">
        <v>0</v>
      </c>
      <c r="AI13" s="347">
        <v>0</v>
      </c>
      <c r="AJ13" s="347">
        <v>0</v>
      </c>
      <c r="AK13" s="347">
        <v>0</v>
      </c>
      <c r="AL13" s="347">
        <v>0</v>
      </c>
      <c r="AM13" s="347">
        <f t="shared" si="0"/>
        <v>0</v>
      </c>
    </row>
    <row r="14" spans="1:39" ht="15.75">
      <c r="A14" s="542">
        <v>6</v>
      </c>
      <c r="B14" s="540" t="s">
        <v>49</v>
      </c>
      <c r="C14" s="540" t="s">
        <v>52</v>
      </c>
      <c r="D14" s="541" t="s">
        <v>53</v>
      </c>
      <c r="E14" s="361" t="s">
        <v>37</v>
      </c>
      <c r="F14" s="347">
        <v>0</v>
      </c>
      <c r="G14" s="347">
        <v>0</v>
      </c>
      <c r="H14" s="347">
        <v>0</v>
      </c>
      <c r="I14" s="347">
        <v>0</v>
      </c>
      <c r="J14" s="347">
        <v>0</v>
      </c>
      <c r="K14" s="347">
        <v>0</v>
      </c>
      <c r="L14" s="347">
        <v>40</v>
      </c>
      <c r="M14" s="347">
        <v>40</v>
      </c>
      <c r="N14" s="347">
        <v>0</v>
      </c>
      <c r="O14" s="347">
        <v>36</v>
      </c>
      <c r="P14" s="347">
        <v>35</v>
      </c>
      <c r="Q14" s="347">
        <v>0</v>
      </c>
      <c r="R14" s="347">
        <v>0</v>
      </c>
      <c r="S14" s="347">
        <v>0</v>
      </c>
      <c r="T14" s="347">
        <v>0</v>
      </c>
      <c r="U14" s="347">
        <v>0</v>
      </c>
      <c r="V14" s="347">
        <v>0</v>
      </c>
      <c r="W14" s="347">
        <v>45</v>
      </c>
      <c r="X14" s="347">
        <v>45</v>
      </c>
      <c r="Y14" s="347">
        <v>43.53</v>
      </c>
      <c r="Z14" s="347">
        <v>40</v>
      </c>
      <c r="AA14" s="347">
        <v>43</v>
      </c>
      <c r="AB14" s="347">
        <v>0</v>
      </c>
      <c r="AC14" s="347">
        <v>40</v>
      </c>
      <c r="AD14" s="347">
        <v>0</v>
      </c>
      <c r="AE14" s="347">
        <v>40</v>
      </c>
      <c r="AF14" s="347">
        <v>0</v>
      </c>
      <c r="AG14" s="347">
        <v>0</v>
      </c>
      <c r="AH14" s="347">
        <v>0</v>
      </c>
      <c r="AI14" s="347">
        <v>0</v>
      </c>
      <c r="AJ14" s="347">
        <v>0</v>
      </c>
      <c r="AK14" s="347">
        <v>0</v>
      </c>
      <c r="AL14" s="347">
        <v>0</v>
      </c>
      <c r="AM14" s="347">
        <f t="shared" si="0"/>
        <v>447.53</v>
      </c>
    </row>
    <row r="15" spans="1:39" ht="15.75">
      <c r="A15" s="542"/>
      <c r="B15" s="540"/>
      <c r="C15" s="540"/>
      <c r="D15" s="541"/>
      <c r="E15" s="359" t="s">
        <v>41</v>
      </c>
      <c r="F15" s="347">
        <v>0</v>
      </c>
      <c r="G15" s="347">
        <v>0</v>
      </c>
      <c r="H15" s="347">
        <v>0</v>
      </c>
      <c r="I15" s="347">
        <v>0</v>
      </c>
      <c r="J15" s="347">
        <v>0</v>
      </c>
      <c r="K15" s="347">
        <v>0</v>
      </c>
      <c r="L15" s="347">
        <v>0</v>
      </c>
      <c r="M15" s="347">
        <v>0</v>
      </c>
      <c r="N15" s="347">
        <v>0</v>
      </c>
      <c r="O15" s="347">
        <v>0</v>
      </c>
      <c r="P15" s="347">
        <v>0</v>
      </c>
      <c r="Q15" s="347">
        <v>0</v>
      </c>
      <c r="R15" s="347">
        <v>0</v>
      </c>
      <c r="S15" s="347">
        <v>0</v>
      </c>
      <c r="T15" s="347">
        <v>0</v>
      </c>
      <c r="U15" s="347">
        <v>0</v>
      </c>
      <c r="V15" s="347">
        <v>0</v>
      </c>
      <c r="W15" s="347">
        <v>0</v>
      </c>
      <c r="X15" s="347">
        <v>0</v>
      </c>
      <c r="Y15" s="347">
        <v>0</v>
      </c>
      <c r="Z15" s="347">
        <v>0</v>
      </c>
      <c r="AA15" s="347"/>
      <c r="AB15" s="347">
        <v>0</v>
      </c>
      <c r="AC15" s="360">
        <v>0</v>
      </c>
      <c r="AD15" s="347">
        <v>0</v>
      </c>
      <c r="AE15" s="347">
        <v>0</v>
      </c>
      <c r="AF15" s="347">
        <v>0</v>
      </c>
      <c r="AG15" s="347">
        <v>0</v>
      </c>
      <c r="AH15" s="347">
        <v>0</v>
      </c>
      <c r="AI15" s="347">
        <v>0</v>
      </c>
      <c r="AJ15" s="347">
        <v>0</v>
      </c>
      <c r="AK15" s="347">
        <v>0</v>
      </c>
      <c r="AL15" s="347">
        <v>0</v>
      </c>
      <c r="AM15" s="347">
        <f t="shared" si="0"/>
        <v>0</v>
      </c>
    </row>
    <row r="18" spans="7:7">
      <c r="G18" t="s">
        <v>54</v>
      </c>
    </row>
  </sheetData>
  <mergeCells count="25">
    <mergeCell ref="B14:B15"/>
    <mergeCell ref="C4:C5"/>
    <mergeCell ref="C6:C7"/>
    <mergeCell ref="C8:C9"/>
    <mergeCell ref="A4:A5"/>
    <mergeCell ref="A6:A7"/>
    <mergeCell ref="A8:A9"/>
    <mergeCell ref="A10:A11"/>
    <mergeCell ref="A12:A13"/>
    <mergeCell ref="A14:A15"/>
    <mergeCell ref="B4:B5"/>
    <mergeCell ref="B6:B7"/>
    <mergeCell ref="B8:B9"/>
    <mergeCell ref="B10:B11"/>
    <mergeCell ref="B12:B13"/>
    <mergeCell ref="G2:H2"/>
    <mergeCell ref="C10:C11"/>
    <mergeCell ref="C12:C13"/>
    <mergeCell ref="C14:C15"/>
    <mergeCell ref="D4:D5"/>
    <mergeCell ref="D6:D7"/>
    <mergeCell ref="D8:D9"/>
    <mergeCell ref="D10:D11"/>
    <mergeCell ref="D12:D13"/>
    <mergeCell ref="D14:D15"/>
  </mergeCells>
  <conditionalFormatting sqref="F5:AL5">
    <cfRule type="cellIs" dxfId="11" priority="12" operator="greaterThan">
      <formula>0</formula>
    </cfRule>
  </conditionalFormatting>
  <conditionalFormatting sqref="F7:AL7">
    <cfRule type="cellIs" dxfId="10" priority="11" operator="greaterThan">
      <formula>0</formula>
    </cfRule>
  </conditionalFormatting>
  <conditionalFormatting sqref="F9:AL9">
    <cfRule type="cellIs" dxfId="9" priority="10" operator="greaterThan">
      <formula>0</formula>
    </cfRule>
  </conditionalFormatting>
  <conditionalFormatting sqref="F11:AL11">
    <cfRule type="cellIs" dxfId="8" priority="9" operator="greaterThan">
      <formula>0</formula>
    </cfRule>
  </conditionalFormatting>
  <conditionalFormatting sqref="F13:AL13">
    <cfRule type="cellIs" dxfId="7" priority="8" operator="greaterThan">
      <formula>0</formula>
    </cfRule>
  </conditionalFormatting>
  <conditionalFormatting sqref="F15:AL15">
    <cfRule type="cellIs" dxfId="6" priority="7" operator="greaterThan">
      <formula>0</formula>
    </cfRule>
  </conditionalFormatting>
  <conditionalFormatting sqref="F4:AM4 AM5:AM15">
    <cfRule type="cellIs" dxfId="5" priority="6" operator="greaterThan">
      <formula>0</formula>
    </cfRule>
  </conditionalFormatting>
  <conditionalFormatting sqref="F6:AL6">
    <cfRule type="cellIs" dxfId="4" priority="5" operator="greaterThan">
      <formula>0</formula>
    </cfRule>
  </conditionalFormatting>
  <conditionalFormatting sqref="F8:AL8">
    <cfRule type="cellIs" dxfId="3" priority="4" operator="greaterThan">
      <formula>0</formula>
    </cfRule>
  </conditionalFormatting>
  <conditionalFormatting sqref="F10:AL10">
    <cfRule type="cellIs" dxfId="2" priority="3" operator="greaterThan">
      <formula>0</formula>
    </cfRule>
  </conditionalFormatting>
  <conditionalFormatting sqref="F12:AL12">
    <cfRule type="cellIs" dxfId="1" priority="2" operator="greaterThan">
      <formula>0</formula>
    </cfRule>
  </conditionalFormatting>
  <conditionalFormatting sqref="F14:AL14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N80"/>
  <sheetViews>
    <sheetView topLeftCell="A29" workbookViewId="0">
      <selection activeCell="A2" sqref="A2"/>
    </sheetView>
  </sheetViews>
  <sheetFormatPr defaultColWidth="8.28515625" defaultRowHeight="15.75"/>
  <cols>
    <col min="1" max="1" width="8.28515625" style="270"/>
    <col min="2" max="2" width="25" style="270" customWidth="1"/>
    <col min="3" max="3" width="34.5703125" style="270" bestFit="1" customWidth="1"/>
    <col min="4" max="4" width="13.5703125" style="270" bestFit="1" customWidth="1"/>
    <col min="5" max="5" width="15.42578125" style="270" customWidth="1"/>
    <col min="6" max="6" width="14.5703125" style="270" customWidth="1"/>
    <col min="7" max="7" width="16.5703125" style="270" customWidth="1"/>
    <col min="8" max="8" width="23.5703125" style="270" customWidth="1"/>
    <col min="9" max="9" width="17.42578125" style="270" customWidth="1"/>
    <col min="10" max="10" width="16.7109375" style="270" customWidth="1"/>
    <col min="11" max="11" width="20.42578125" style="270" customWidth="1"/>
    <col min="12" max="12" width="22.7109375" style="270" customWidth="1"/>
    <col min="13" max="13" width="16.85546875" style="270" customWidth="1"/>
    <col min="14" max="16384" width="8.28515625" style="270"/>
  </cols>
  <sheetData>
    <row r="1" spans="1:13">
      <c r="A1" s="266" t="s">
        <v>55</v>
      </c>
      <c r="B1" s="267" t="s">
        <v>56</v>
      </c>
      <c r="C1" s="267" t="s">
        <v>57</v>
      </c>
      <c r="D1" s="268" t="s">
        <v>58</v>
      </c>
      <c r="E1" s="268" t="s">
        <v>59</v>
      </c>
      <c r="F1" s="268" t="s">
        <v>60</v>
      </c>
      <c r="G1" s="268" t="s">
        <v>61</v>
      </c>
      <c r="H1" s="268" t="s">
        <v>62</v>
      </c>
      <c r="I1" s="268" t="s">
        <v>63</v>
      </c>
      <c r="J1" s="268" t="s">
        <v>64</v>
      </c>
      <c r="K1" s="269" t="s">
        <v>65</v>
      </c>
    </row>
    <row r="2" spans="1:13">
      <c r="A2" s="324">
        <v>1</v>
      </c>
      <c r="B2" s="271" t="s">
        <v>66</v>
      </c>
      <c r="C2" s="271" t="s">
        <v>67</v>
      </c>
      <c r="D2" s="272">
        <f>+'Khammam-1'!E38</f>
        <v>48265.34</v>
      </c>
      <c r="E2" s="272">
        <f>+'Khammam-1'!G38</f>
        <v>4766880.1708000004</v>
      </c>
      <c r="F2" s="272">
        <f>+'Khammam-1'!H38</f>
        <v>0</v>
      </c>
      <c r="G2" s="272">
        <f>+'Khammam-1'!J38</f>
        <v>0</v>
      </c>
      <c r="H2" s="272">
        <f>E2+G2</f>
        <v>4766880.1708000004</v>
      </c>
      <c r="I2" s="272">
        <f>+'Khammam-1'!K3</f>
        <v>1769630.6855000001</v>
      </c>
      <c r="J2" s="272">
        <f>+'Khammam-1'!L38</f>
        <v>3882012</v>
      </c>
      <c r="K2" s="325">
        <f>H2+I2-J2</f>
        <v>2654498.8563000001</v>
      </c>
    </row>
    <row r="3" spans="1:13">
      <c r="A3" s="324">
        <v>2</v>
      </c>
      <c r="B3" s="271" t="s">
        <v>68</v>
      </c>
      <c r="C3" s="271" t="s">
        <v>69</v>
      </c>
      <c r="D3" s="272">
        <f>+'Khammam-2'!E36</f>
        <v>49055.57</v>
      </c>
      <c r="E3" s="272">
        <f>+'Khammam-2'!G36</f>
        <v>4879543.4652000004</v>
      </c>
      <c r="F3" s="272">
        <f>+'Khammam-2'!H36</f>
        <v>1040</v>
      </c>
      <c r="G3" s="272">
        <f>+'Khammam-2'!J36</f>
        <v>114901.15000000001</v>
      </c>
      <c r="H3" s="272">
        <f>E3+G3</f>
        <v>4994444.6152000008</v>
      </c>
      <c r="I3" s="272">
        <f>+'Khammam-2'!K3</f>
        <v>3725652.9538299982</v>
      </c>
      <c r="J3" s="272">
        <f>+'Khammam-2'!L36</f>
        <v>0</v>
      </c>
      <c r="K3" s="325">
        <f>H3+I3-J3</f>
        <v>8720097.569029998</v>
      </c>
    </row>
    <row r="4" spans="1:13">
      <c r="A4" s="324">
        <v>3</v>
      </c>
      <c r="B4" s="271" t="s">
        <v>70</v>
      </c>
      <c r="C4" s="271" t="s">
        <v>71</v>
      </c>
      <c r="D4" s="272">
        <f>+'Khammam-3'!E35</f>
        <v>0</v>
      </c>
      <c r="E4" s="272">
        <f>+'Khammam-3'!G35</f>
        <v>0</v>
      </c>
      <c r="F4" s="272">
        <f>+'Khammam-3'!H35</f>
        <v>0</v>
      </c>
      <c r="G4" s="272">
        <f>+'Khammam-3'!J35</f>
        <v>0</v>
      </c>
      <c r="H4" s="272">
        <f>E4+G4</f>
        <v>0</v>
      </c>
      <c r="I4" s="272">
        <f>+'Khammam-3'!M3</f>
        <v>2572600.2709999997</v>
      </c>
      <c r="J4" s="272">
        <f>+'Khammam-3'!L35</f>
        <v>1000000</v>
      </c>
      <c r="K4" s="325">
        <f>H4+I4-J4</f>
        <v>1572600.2709999997</v>
      </c>
    </row>
    <row r="5" spans="1:13">
      <c r="A5" s="324">
        <v>4</v>
      </c>
      <c r="B5" s="271" t="s">
        <v>72</v>
      </c>
      <c r="C5" s="271" t="s">
        <v>73</v>
      </c>
      <c r="D5" s="272">
        <f>+' Khammam&amp;Cash'!E46</f>
        <v>22238.478999999999</v>
      </c>
      <c r="E5" s="272">
        <f>+' Khammam&amp;Cash'!G46</f>
        <v>2148660.0435200003</v>
      </c>
      <c r="F5" s="272">
        <f>+' Khammam&amp;Cash'!H46</f>
        <v>0</v>
      </c>
      <c r="G5" s="272">
        <f>+' Khammam&amp;Cash'!J46</f>
        <v>0</v>
      </c>
      <c r="H5" s="272">
        <f>E5+G5</f>
        <v>2148660.0435200003</v>
      </c>
      <c r="I5" s="272">
        <f>+' Khammam&amp;Cash'!M3</f>
        <v>0</v>
      </c>
      <c r="J5" s="272">
        <f>+' Khammam&amp;Cash'!L46</f>
        <v>2148660.0435200003</v>
      </c>
      <c r="K5" s="325">
        <f>H5+I5-J5</f>
        <v>0</v>
      </c>
    </row>
    <row r="6" spans="1:13">
      <c r="A6" s="324">
        <v>5</v>
      </c>
      <c r="B6" s="271" t="s">
        <v>74</v>
      </c>
      <c r="C6" s="271" t="s">
        <v>71</v>
      </c>
      <c r="D6" s="272">
        <f>+'Jadcherla-3'!E35</f>
        <v>0</v>
      </c>
      <c r="E6" s="272">
        <f>+'Jadcherla-3'!G35</f>
        <v>0</v>
      </c>
      <c r="F6" s="272">
        <f>+'Jadcherla-3'!H35</f>
        <v>0</v>
      </c>
      <c r="G6" s="272">
        <f>+'Jadcherla-3'!J35</f>
        <v>0</v>
      </c>
      <c r="H6" s="272">
        <f>E6+G6</f>
        <v>0</v>
      </c>
      <c r="I6" s="272">
        <f>+'Jadcherla-3'!M3</f>
        <v>1313281.7</v>
      </c>
      <c r="J6" s="272">
        <f>+'Jadcherla-3'!L35</f>
        <v>0</v>
      </c>
      <c r="K6" s="325">
        <f>H6+I6-J6</f>
        <v>1313281.7</v>
      </c>
    </row>
    <row r="7" spans="1:13">
      <c r="A7" s="324">
        <v>6</v>
      </c>
      <c r="B7" s="271" t="s">
        <v>75</v>
      </c>
      <c r="C7" s="271" t="s">
        <v>76</v>
      </c>
      <c r="D7" s="272">
        <f>+'Jadcherla-4'!E35</f>
        <v>1000</v>
      </c>
      <c r="E7" s="272">
        <f>+'Jadcherla-4'!G35</f>
        <v>96300</v>
      </c>
      <c r="F7" s="272">
        <f>+'Jadcherla-4'!H35</f>
        <v>112</v>
      </c>
      <c r="G7" s="272">
        <f>+'Jadcherla-4'!J35</f>
        <v>12264.880000000001</v>
      </c>
      <c r="H7" s="272">
        <f>E7+G7</f>
        <v>108564.88</v>
      </c>
      <c r="I7" s="272">
        <f>+'Jadcherla-4'!M3</f>
        <v>3523.2000000000116</v>
      </c>
      <c r="J7" s="272">
        <f>+'Jadcherla-4'!L35</f>
        <v>96300</v>
      </c>
      <c r="K7" s="325">
        <f>H7+I7-J7</f>
        <v>15788.080000000016</v>
      </c>
    </row>
    <row r="8" spans="1:13">
      <c r="A8" s="324">
        <v>7</v>
      </c>
      <c r="B8" s="271" t="s">
        <v>77</v>
      </c>
      <c r="C8" s="271" t="s">
        <v>78</v>
      </c>
      <c r="D8" s="272">
        <f>+' Jadcherla'!E35</f>
        <v>10537.119999999999</v>
      </c>
      <c r="E8" s="272">
        <f>+' Jadcherla'!G35</f>
        <v>1049374.1104000001</v>
      </c>
      <c r="F8" s="272">
        <f>+' Jadcherla'!H35</f>
        <v>0</v>
      </c>
      <c r="G8" s="272">
        <f>+' Jadcherla'!J35</f>
        <v>0</v>
      </c>
      <c r="H8" s="272">
        <f>E8+G8</f>
        <v>1049374.1104000001</v>
      </c>
      <c r="I8" s="272">
        <f>+' Jadcherla'!M3</f>
        <v>44630</v>
      </c>
      <c r="J8" s="272">
        <f>+' Jadcherla'!L35</f>
        <v>922889</v>
      </c>
      <c r="K8" s="325">
        <f>H8+I8-J8</f>
        <v>171115.11040000012</v>
      </c>
    </row>
    <row r="9" spans="1:13">
      <c r="A9" s="324">
        <v>8</v>
      </c>
      <c r="B9" s="271" t="s">
        <v>79</v>
      </c>
      <c r="C9" s="271" t="s">
        <v>80</v>
      </c>
      <c r="D9" s="272">
        <f>+' Sangareddy-2'!E35</f>
        <v>6343.6200000000008</v>
      </c>
      <c r="E9" s="272">
        <f>+' Sangareddy-2'!G35</f>
        <v>620418.55359999998</v>
      </c>
      <c r="F9" s="272">
        <f>+' Sangareddy-2'!H35</f>
        <v>261.71999999999997</v>
      </c>
      <c r="G9" s="272">
        <f>+' Sangareddy-2'!J35</f>
        <v>28902.223399999999</v>
      </c>
      <c r="H9" s="272">
        <f>E9+G9</f>
        <v>649320.777</v>
      </c>
      <c r="I9" s="272">
        <f>+' Sangareddy-2'!M3</f>
        <v>258995.39439999996</v>
      </c>
      <c r="J9" s="272">
        <f>+' Sangareddy-2'!L35</f>
        <v>800000</v>
      </c>
      <c r="K9" s="325">
        <f>H9+I9-J9</f>
        <v>108316.17139999999</v>
      </c>
      <c r="M9" s="270" t="s">
        <v>81</v>
      </c>
    </row>
    <row r="10" spans="1:13">
      <c r="A10" s="324">
        <v>9</v>
      </c>
      <c r="B10" s="271" t="s">
        <v>82</v>
      </c>
      <c r="C10" s="271" t="s">
        <v>83</v>
      </c>
      <c r="D10" s="272">
        <f>+' Sangareddy-3'!E35</f>
        <v>18194.620000000003</v>
      </c>
      <c r="E10" s="272">
        <f>+' Sangareddy-3'!G35</f>
        <v>1819638.0537999999</v>
      </c>
      <c r="F10" s="272">
        <f>+' Sangareddy-3'!H35</f>
        <v>25.36</v>
      </c>
      <c r="G10" s="272">
        <f>+' Sangareddy-3'!J35</f>
        <v>2948.1</v>
      </c>
      <c r="H10" s="272">
        <f>E10+G10</f>
        <v>1822586.1538</v>
      </c>
      <c r="I10" s="272">
        <f>+' Sangareddy-3'!M3</f>
        <v>163539.23910000004</v>
      </c>
      <c r="J10" s="272">
        <f>+' Sangareddy-3'!L35</f>
        <v>1000000</v>
      </c>
      <c r="K10" s="325">
        <f>H10+I10-J10</f>
        <v>986125.39290000009</v>
      </c>
    </row>
    <row r="11" spans="1:13">
      <c r="A11" s="324">
        <v>10</v>
      </c>
      <c r="B11" s="271" t="s">
        <v>84</v>
      </c>
      <c r="C11" s="271" t="s">
        <v>85</v>
      </c>
      <c r="D11" s="272">
        <f>Narayankhed!E35</f>
        <v>1537.82</v>
      </c>
      <c r="E11" s="272">
        <f>+Narayankhed!G35</f>
        <v>152799.6384</v>
      </c>
      <c r="F11" s="272">
        <f>+Narayankhed!H35</f>
        <v>0</v>
      </c>
      <c r="G11" s="272">
        <f>+Narayankhed!J35</f>
        <v>0</v>
      </c>
      <c r="H11" s="272">
        <f>E11+G11</f>
        <v>152799.6384</v>
      </c>
      <c r="I11" s="272">
        <f>+Narayankhed!M3</f>
        <v>0</v>
      </c>
      <c r="J11" s="272">
        <f>+Narayankhed!L35</f>
        <v>152799.6384</v>
      </c>
      <c r="K11" s="325">
        <f>H11+I11-J11</f>
        <v>0</v>
      </c>
    </row>
    <row r="12" spans="1:13">
      <c r="A12" s="324">
        <v>11</v>
      </c>
      <c r="B12" s="271" t="s">
        <v>86</v>
      </c>
      <c r="C12" s="271" t="s">
        <v>87</v>
      </c>
      <c r="D12" s="272">
        <f>+Dindi!E35</f>
        <v>0</v>
      </c>
      <c r="E12" s="272">
        <f>+Dindi!G35</f>
        <v>0</v>
      </c>
      <c r="F12" s="272">
        <f>+Dindi!H35</f>
        <v>0</v>
      </c>
      <c r="G12" s="272">
        <f>+Dindi!J35</f>
        <v>0</v>
      </c>
      <c r="H12" s="272">
        <f>E12+G12</f>
        <v>0</v>
      </c>
      <c r="I12" s="272">
        <f>+Dindi!M3</f>
        <v>0</v>
      </c>
      <c r="J12" s="272">
        <f>+Dindi!L35</f>
        <v>0</v>
      </c>
      <c r="K12" s="325">
        <f t="shared" ref="K12:K54" si="0">H12+I12-J12</f>
        <v>0</v>
      </c>
      <c r="M12" s="270" t="str">
        <f>PROPER(M9)</f>
        <v xml:space="preserve">Vasudeo Nivrutti </v>
      </c>
    </row>
    <row r="13" spans="1:13">
      <c r="A13" s="324">
        <v>12</v>
      </c>
      <c r="B13" s="271" t="s">
        <v>88</v>
      </c>
      <c r="C13" s="271" t="s">
        <v>89</v>
      </c>
      <c r="D13" s="272">
        <f>+'Madana palli'!E36</f>
        <v>18.98</v>
      </c>
      <c r="E13" s="272">
        <f>+'Madana palli'!G36</f>
        <v>1998.9735999999998</v>
      </c>
      <c r="F13" s="272">
        <f>+'Madana palli'!H36</f>
        <v>4.25</v>
      </c>
      <c r="G13" s="272">
        <f>+'Madana palli'!J36</f>
        <v>500.05500000000001</v>
      </c>
      <c r="H13" s="272">
        <f>E13+G13</f>
        <v>2499.0285999999996</v>
      </c>
      <c r="I13" s="272">
        <f>+'Madana palli'!M3</f>
        <v>0</v>
      </c>
      <c r="J13" s="272">
        <f>+'Madana palli'!L36</f>
        <v>2499.0285999999996</v>
      </c>
      <c r="K13" s="325">
        <f t="shared" si="0"/>
        <v>0</v>
      </c>
    </row>
    <row r="14" spans="1:13">
      <c r="A14" s="324">
        <v>13</v>
      </c>
      <c r="B14" s="271" t="s">
        <v>90</v>
      </c>
      <c r="C14" s="271" t="s">
        <v>89</v>
      </c>
      <c r="D14" s="272">
        <f>+Amalapuram!E102</f>
        <v>3362.44</v>
      </c>
      <c r="E14" s="272">
        <f>+Amalapuram!G102</f>
        <v>340456.84690000006</v>
      </c>
      <c r="F14" s="272">
        <f>+Amalapuram!H102</f>
        <v>258.11</v>
      </c>
      <c r="G14" s="272">
        <f>+Amalapuram!J102</f>
        <v>29399.14</v>
      </c>
      <c r="H14" s="272">
        <f>E14+G14</f>
        <v>369855.98690000008</v>
      </c>
      <c r="I14" s="272">
        <f>+Amalapuram!M3</f>
        <v>0</v>
      </c>
      <c r="J14" s="272">
        <f>+Amalapuram!L102</f>
        <v>369855.98640000017</v>
      </c>
      <c r="K14" s="325">
        <f>H14+I14-J14</f>
        <v>4.9999990733340383E-4</v>
      </c>
    </row>
    <row r="15" spans="1:13">
      <c r="A15" s="324">
        <v>14</v>
      </c>
      <c r="B15" s="271" t="s">
        <v>91</v>
      </c>
      <c r="C15" s="271" t="s">
        <v>92</v>
      </c>
      <c r="D15" s="272">
        <f>+'YG Gudda-2'!E38</f>
        <v>9000</v>
      </c>
      <c r="E15" s="272">
        <f>+'YG Gudda-2'!G38</f>
        <v>848355</v>
      </c>
      <c r="F15" s="272">
        <f>+'YG Gudda-2'!H38</f>
        <v>280</v>
      </c>
      <c r="G15" s="272">
        <f>+'YG Gudda-2'!J38</f>
        <v>29456</v>
      </c>
      <c r="H15" s="272">
        <f t="shared" ref="H15" si="1">E15+G15</f>
        <v>877811</v>
      </c>
      <c r="I15" s="272">
        <f>+'YG Gudda-2'!M3</f>
        <v>194105.95990299998</v>
      </c>
      <c r="J15" s="272">
        <f>+'YG Gudda-2'!L38</f>
        <v>882798</v>
      </c>
      <c r="K15" s="325">
        <f t="shared" si="0"/>
        <v>189118.95990299992</v>
      </c>
    </row>
    <row r="16" spans="1:13">
      <c r="A16" s="324">
        <v>15</v>
      </c>
      <c r="B16" s="271" t="s">
        <v>93</v>
      </c>
      <c r="C16" s="271" t="s">
        <v>94</v>
      </c>
      <c r="D16" s="272">
        <f>+'Hosadurga -2'!E35</f>
        <v>2700.44</v>
      </c>
      <c r="E16" s="272">
        <f>+'Hosadurga -2'!G35</f>
        <v>260751.01760000002</v>
      </c>
      <c r="F16" s="272">
        <f>+'Hosadurga -2'!H35</f>
        <v>155.43</v>
      </c>
      <c r="G16" s="272">
        <f>+'Hosadurga -2'!J35</f>
        <v>16960.589599999999</v>
      </c>
      <c r="H16" s="272">
        <f>+'Hosadurga -2'!K35</f>
        <v>277711.60720000003</v>
      </c>
      <c r="I16" s="272">
        <f>+'Hosadurga -2'!K3</f>
        <v>248489.27649999977</v>
      </c>
      <c r="J16" s="272">
        <f>+'Hosadurga -2'!L35</f>
        <v>377999.68959999998</v>
      </c>
      <c r="K16" s="325">
        <f>H16+I16-J16</f>
        <v>148201.19409999979</v>
      </c>
    </row>
    <row r="17" spans="1:11" ht="15.75" customHeight="1">
      <c r="A17" s="324">
        <v>16</v>
      </c>
      <c r="B17" s="273" t="s">
        <v>95</v>
      </c>
      <c r="C17" s="273" t="s">
        <v>96</v>
      </c>
      <c r="D17" s="272">
        <f>+'Malebenur(KUWSDB)'!E37</f>
        <v>4600</v>
      </c>
      <c r="E17" s="272">
        <f>+'Malebenur(KUWSDB)'!G37</f>
        <v>434664</v>
      </c>
      <c r="F17" s="272">
        <f>+'Malebenur(KUWSDB)'!H37</f>
        <v>145</v>
      </c>
      <c r="G17" s="272">
        <f>+'Malebenur(KUWSDB)'!J37</f>
        <v>15440.300000000001</v>
      </c>
      <c r="H17" s="272">
        <f>E17+G17</f>
        <v>450104.3</v>
      </c>
      <c r="I17" s="272">
        <f>+'Malebenur(KUWSDB)'!K3</f>
        <v>193649.20969999995</v>
      </c>
      <c r="J17" s="272">
        <f>+'Malebenur(KUWSDB)'!L37</f>
        <v>548000</v>
      </c>
      <c r="K17" s="325">
        <f>H17+I17-J17</f>
        <v>95753.509699999937</v>
      </c>
    </row>
    <row r="18" spans="1:11">
      <c r="A18" s="324">
        <v>17</v>
      </c>
      <c r="B18" s="271" t="s">
        <v>97</v>
      </c>
      <c r="C18" s="271" t="s">
        <v>98</v>
      </c>
      <c r="D18" s="272">
        <f>+Kadur!E35</f>
        <v>1600</v>
      </c>
      <c r="E18" s="272">
        <f>+Kadur!G35</f>
        <v>152240</v>
      </c>
      <c r="F18" s="272">
        <f>+Kadur!H35</f>
        <v>70</v>
      </c>
      <c r="G18" s="272">
        <f>+Kadur!J35</f>
        <v>7648.9</v>
      </c>
      <c r="H18" s="272">
        <f t="shared" ref="H18:H54" si="2">E18+G18</f>
        <v>159888.9</v>
      </c>
      <c r="I18" s="272">
        <f>+Kadur!K3</f>
        <v>0</v>
      </c>
      <c r="J18" s="272">
        <f>+Kadur!L35</f>
        <v>0</v>
      </c>
      <c r="K18" s="325">
        <f t="shared" si="0"/>
        <v>159888.9</v>
      </c>
    </row>
    <row r="19" spans="1:11">
      <c r="A19" s="324">
        <v>18</v>
      </c>
      <c r="B19" s="271" t="s">
        <v>99</v>
      </c>
      <c r="C19" s="271" t="s">
        <v>100</v>
      </c>
      <c r="D19" s="272">
        <f>+'Hiriyur(VJNL)'!E35</f>
        <v>3500</v>
      </c>
      <c r="E19" s="272">
        <f>+'Hiriyur(VJNL)'!G35</f>
        <v>328440</v>
      </c>
      <c r="F19" s="272">
        <f>+'Hiriyur(VJNL)'!H35</f>
        <v>245</v>
      </c>
      <c r="G19" s="272">
        <f>+'Hiriyur(VJNL)'!J35</f>
        <v>25740.400000000001</v>
      </c>
      <c r="H19" s="272">
        <f t="shared" si="2"/>
        <v>354180.4</v>
      </c>
      <c r="I19" s="272">
        <f>+'Hiriyur(VJNL)'!K3</f>
        <v>278745.30000000005</v>
      </c>
      <c r="J19" s="272">
        <f>+'Hiriyur(VJNL)'!L35</f>
        <v>450000</v>
      </c>
      <c r="K19" s="325">
        <f t="shared" si="0"/>
        <v>182925.70000000007</v>
      </c>
    </row>
    <row r="20" spans="1:11">
      <c r="A20" s="324">
        <v>19</v>
      </c>
      <c r="B20" s="271" t="s">
        <v>101</v>
      </c>
      <c r="C20" s="271" t="s">
        <v>102</v>
      </c>
      <c r="D20" s="272">
        <f>+'Chellakere -1'!E38</f>
        <v>3200.08</v>
      </c>
      <c r="E20" s="272">
        <f>+'Chellakere -1'!G38</f>
        <v>305200.06849999999</v>
      </c>
      <c r="F20" s="272">
        <f>+'Chellakere -1'!H38</f>
        <v>210.03</v>
      </c>
      <c r="G20" s="272">
        <f>+'Chellakere -1'!J38</f>
        <v>22624.203700000002</v>
      </c>
      <c r="H20" s="272">
        <f t="shared" si="2"/>
        <v>327824.27220000001</v>
      </c>
      <c r="I20" s="272">
        <f>+'Chellakere -1'!K3</f>
        <v>249803.3744</v>
      </c>
      <c r="J20" s="272">
        <f>+'Chellakere -1'!L38</f>
        <v>506012.56</v>
      </c>
      <c r="K20" s="325">
        <f t="shared" si="0"/>
        <v>71615.086599999981</v>
      </c>
    </row>
    <row r="21" spans="1:11">
      <c r="A21" s="324">
        <v>20</v>
      </c>
      <c r="B21" s="271" t="s">
        <v>103</v>
      </c>
      <c r="C21" s="271" t="s">
        <v>102</v>
      </c>
      <c r="D21" s="272">
        <f>+' Chellakere-PKG-9'!E36</f>
        <v>600.65</v>
      </c>
      <c r="E21" s="272">
        <f>+' Chellakere-PKG-9'!G36</f>
        <v>57117.949000000008</v>
      </c>
      <c r="F21" s="272">
        <f>+' Chellakere-PKG-9'!H36</f>
        <v>46</v>
      </c>
      <c r="G21" s="272">
        <f>+' Chellakere-PKG-9'!J36</f>
        <v>4960.9399999999996</v>
      </c>
      <c r="H21" s="272">
        <f t="shared" si="2"/>
        <v>62078.88900000001</v>
      </c>
      <c r="I21" s="272">
        <f>+' Chellakere-PKG-9'!M3</f>
        <v>0</v>
      </c>
      <c r="J21" s="272">
        <f>+' Chellakere-PKG-9'!L36</f>
        <v>62078.889000000003</v>
      </c>
      <c r="K21" s="325">
        <f t="shared" si="0"/>
        <v>0</v>
      </c>
    </row>
    <row r="22" spans="1:11">
      <c r="A22" s="324">
        <v>21</v>
      </c>
      <c r="B22" s="271" t="s">
        <v>104</v>
      </c>
      <c r="C22" s="299" t="s">
        <v>105</v>
      </c>
      <c r="D22" s="272">
        <f>+Molakamuru!E35</f>
        <v>1200</v>
      </c>
      <c r="E22" s="272">
        <f>+Molakamuru!G35</f>
        <v>114030</v>
      </c>
      <c r="F22" s="272">
        <f>+Molakamuru!H35</f>
        <v>45</v>
      </c>
      <c r="G22" s="272">
        <f>+Molakamuru!J35</f>
        <v>4876.8</v>
      </c>
      <c r="H22" s="272">
        <f t="shared" si="2"/>
        <v>118906.8</v>
      </c>
      <c r="I22" s="272">
        <f>+Molakamuru!K3</f>
        <v>56291.815199999975</v>
      </c>
      <c r="J22" s="272">
        <f>+Molakamuru!L35</f>
        <v>112377.94</v>
      </c>
      <c r="K22" s="325">
        <f t="shared" si="0"/>
        <v>62820.675199999969</v>
      </c>
    </row>
    <row r="23" spans="1:11">
      <c r="A23" s="324">
        <v>22</v>
      </c>
      <c r="B23" s="271" t="s">
        <v>106</v>
      </c>
      <c r="C23" s="323" t="s">
        <v>89</v>
      </c>
      <c r="D23" s="272">
        <f>+' Chennagiri'!E35</f>
        <v>965</v>
      </c>
      <c r="E23" s="272">
        <f>+' Chennagiri'!G35</f>
        <v>92635.8</v>
      </c>
      <c r="F23" s="272">
        <f>+' Chennagiri'!H35</f>
        <v>44.73</v>
      </c>
      <c r="G23" s="272">
        <f>+' Chennagiri'!J35</f>
        <v>4999.9193999999998</v>
      </c>
      <c r="H23" s="272">
        <f t="shared" si="2"/>
        <v>97635.719400000002</v>
      </c>
      <c r="I23" s="272">
        <f>+' Chennagiri'!K3</f>
        <v>0</v>
      </c>
      <c r="J23" s="272">
        <f>+' Chennagiri'!L35</f>
        <v>97635.719400000002</v>
      </c>
      <c r="K23" s="325">
        <f t="shared" si="0"/>
        <v>0</v>
      </c>
    </row>
    <row r="24" spans="1:11">
      <c r="A24" s="324">
        <v>23</v>
      </c>
      <c r="B24" s="271" t="s">
        <v>107</v>
      </c>
      <c r="C24" s="271" t="s">
        <v>108</v>
      </c>
      <c r="D24" s="272">
        <f>+Khanapur!E35</f>
        <v>1755.95</v>
      </c>
      <c r="E24" s="272">
        <f>+Khanapur!G35</f>
        <v>164273.59899999999</v>
      </c>
      <c r="F24" s="272">
        <f>+Khanapur!H35</f>
        <v>85</v>
      </c>
      <c r="G24" s="272">
        <f>+Khanapur!J35</f>
        <v>8971.5000000000018</v>
      </c>
      <c r="H24" s="272">
        <f t="shared" si="2"/>
        <v>173245.09899999999</v>
      </c>
      <c r="I24" s="272">
        <f>+Khanapur!M3</f>
        <v>114295.13099999998</v>
      </c>
      <c r="J24" s="272">
        <f>+Khanapur!L35</f>
        <v>228514.576</v>
      </c>
      <c r="K24" s="325">
        <f t="shared" si="0"/>
        <v>59025.65399999998</v>
      </c>
    </row>
    <row r="25" spans="1:11">
      <c r="A25" s="324">
        <v>24</v>
      </c>
      <c r="B25" s="271" t="s">
        <v>109</v>
      </c>
      <c r="C25" s="271" t="s">
        <v>110</v>
      </c>
      <c r="D25" s="272">
        <f>+'Munavali-2'!E40</f>
        <v>9550</v>
      </c>
      <c r="E25" s="272">
        <f>+'Munavali-2'!G40</f>
        <v>899267</v>
      </c>
      <c r="F25" s="272">
        <f>+'Munavali-2'!H40</f>
        <v>162.75</v>
      </c>
      <c r="G25" s="272">
        <f>+'Munavali-2'!J40</f>
        <v>17029.497600000002</v>
      </c>
      <c r="H25" s="272">
        <f t="shared" si="2"/>
        <v>916296.4976</v>
      </c>
      <c r="I25" s="272">
        <f>+'Munavali-2'!M3</f>
        <v>567608.00526000012</v>
      </c>
      <c r="J25" s="272">
        <f>+'Munavali-2'!L40</f>
        <v>1038902.8824</v>
      </c>
      <c r="K25" s="325">
        <f t="shared" si="0"/>
        <v>445001.62046000012</v>
      </c>
    </row>
    <row r="26" spans="1:11">
      <c r="A26" s="324">
        <v>25</v>
      </c>
      <c r="B26" s="271" t="s">
        <v>109</v>
      </c>
      <c r="C26" s="271" t="s">
        <v>111</v>
      </c>
      <c r="D26" s="272">
        <f>+' Munavali'!E39</f>
        <v>5841.67</v>
      </c>
      <c r="E26" s="272">
        <f>+' Munavali'!G39</f>
        <v>564521.74710000004</v>
      </c>
      <c r="F26" s="272">
        <f>+' Munavali'!H39</f>
        <v>120</v>
      </c>
      <c r="G26" s="272">
        <f>+' Munavali'!J39</f>
        <v>13194.400000000001</v>
      </c>
      <c r="H26" s="272">
        <f t="shared" si="2"/>
        <v>577716.14710000006</v>
      </c>
      <c r="I26" s="272">
        <f>+' Munavali'!M3</f>
        <v>0</v>
      </c>
      <c r="J26" s="272">
        <f>+' Munavali'!L39</f>
        <v>300000</v>
      </c>
      <c r="K26" s="325">
        <f t="shared" si="0"/>
        <v>277716.14710000006</v>
      </c>
    </row>
    <row r="27" spans="1:11">
      <c r="A27" s="324">
        <v>26</v>
      </c>
      <c r="B27" s="271" t="s">
        <v>112</v>
      </c>
      <c r="C27" s="271" t="s">
        <v>113</v>
      </c>
      <c r="D27" s="272">
        <f>+Borgaon!E35</f>
        <v>5710.55</v>
      </c>
      <c r="E27" s="272">
        <f>+Borgaon!G35</f>
        <v>546400.8422999999</v>
      </c>
      <c r="F27" s="272">
        <f>+Borgaon!H35</f>
        <v>76</v>
      </c>
      <c r="G27" s="272">
        <f>+Borgaon!J35</f>
        <v>8070.1599999999989</v>
      </c>
      <c r="H27" s="272">
        <f t="shared" si="2"/>
        <v>554471.00229999993</v>
      </c>
      <c r="I27" s="272">
        <f>+Borgaon!K3</f>
        <v>106655.38839999995</v>
      </c>
      <c r="J27" s="272">
        <f>+Borgaon!L35</f>
        <v>385000</v>
      </c>
      <c r="K27" s="325">
        <f>H27+I27-J27</f>
        <v>276126.39069999987</v>
      </c>
    </row>
    <row r="28" spans="1:11">
      <c r="A28" s="324">
        <v>27</v>
      </c>
      <c r="B28" s="271" t="s">
        <v>114</v>
      </c>
      <c r="C28" s="271" t="s">
        <v>115</v>
      </c>
      <c r="D28" s="272">
        <f>+'Ugar,Khagwad,Kudichi'!E37</f>
        <v>12026.84</v>
      </c>
      <c r="E28" s="272">
        <f>+'Ugar,Khagwad,Kudichi'!G37</f>
        <v>1132213.2668000001</v>
      </c>
      <c r="F28" s="272">
        <f>+'Ugar,Khagwad,Kudichi'!H37</f>
        <v>241</v>
      </c>
      <c r="G28" s="272">
        <f>+'Ugar,Khagwad,Kudichi'!J37</f>
        <v>26148.230000000003</v>
      </c>
      <c r="H28" s="272">
        <f t="shared" si="2"/>
        <v>1158361.4968000001</v>
      </c>
      <c r="I28" s="272">
        <f>+'Ugar,Khagwad,Kudichi'!M3</f>
        <v>584214.75130000012</v>
      </c>
      <c r="J28" s="272">
        <f>+'Ugar,Khagwad,Kudichi'!L37</f>
        <v>1265943</v>
      </c>
      <c r="K28" s="325">
        <f>H28+I28-J28</f>
        <v>476633.2481000002</v>
      </c>
    </row>
    <row r="29" spans="1:11">
      <c r="A29" s="324">
        <v>28</v>
      </c>
      <c r="B29" s="271" t="s">
        <v>116</v>
      </c>
      <c r="C29" s="271" t="s">
        <v>117</v>
      </c>
      <c r="D29" s="272">
        <f>+shedbal!E35</f>
        <v>1600</v>
      </c>
      <c r="E29" s="272">
        <f>+shedbal!G35</f>
        <v>159568</v>
      </c>
      <c r="F29" s="272">
        <f>+shedbal!H35</f>
        <v>75</v>
      </c>
      <c r="G29" s="272">
        <f>+shedbal!J35</f>
        <v>8388.75</v>
      </c>
      <c r="H29" s="272">
        <f t="shared" si="2"/>
        <v>167956.75</v>
      </c>
      <c r="I29" s="272">
        <f>+shedbal!M3</f>
        <v>0</v>
      </c>
      <c r="J29" s="272">
        <f>+shedbal!L35</f>
        <v>0</v>
      </c>
      <c r="K29" s="325">
        <f>H29+I29-J29</f>
        <v>167956.75</v>
      </c>
    </row>
    <row r="30" spans="1:11">
      <c r="A30" s="324">
        <v>29</v>
      </c>
      <c r="B30" s="271" t="s">
        <v>118</v>
      </c>
      <c r="C30" s="271" t="s">
        <v>119</v>
      </c>
      <c r="D30" s="272">
        <f>+Kabbur!E35</f>
        <v>1179.5899999999999</v>
      </c>
      <c r="E30" s="272">
        <f>+Kabbur!G35</f>
        <v>114899.78349999999</v>
      </c>
      <c r="F30" s="272">
        <f>+Kabbur!H35</f>
        <v>24.95</v>
      </c>
      <c r="G30" s="272">
        <f>+Kabbur!J35</f>
        <v>2650.5230000000001</v>
      </c>
      <c r="H30" s="272">
        <f t="shared" si="2"/>
        <v>117550.30649999999</v>
      </c>
      <c r="I30" s="272">
        <v>0</v>
      </c>
      <c r="J30" s="272">
        <f>+Kabbur!L35</f>
        <v>117550.30649999999</v>
      </c>
      <c r="K30" s="325">
        <f t="shared" si="0"/>
        <v>0</v>
      </c>
    </row>
    <row r="31" spans="1:11">
      <c r="A31" s="324">
        <v>30</v>
      </c>
      <c r="B31" s="271" t="s">
        <v>120</v>
      </c>
      <c r="C31" s="271" t="s">
        <v>121</v>
      </c>
      <c r="D31" s="272">
        <f>+kumta!E39</f>
        <v>1445</v>
      </c>
      <c r="E31" s="272">
        <f>+kumta!G39</f>
        <v>137309.75</v>
      </c>
      <c r="F31" s="272">
        <f>+kumta!H39</f>
        <v>179.62</v>
      </c>
      <c r="G31" s="272">
        <f>+kumta!J39</f>
        <v>19391.780200000001</v>
      </c>
      <c r="H31" s="272">
        <f t="shared" si="2"/>
        <v>156701.53020000001</v>
      </c>
      <c r="I31" s="272">
        <f>kumta!M3</f>
        <v>2607.2200000000084</v>
      </c>
      <c r="J31" s="272">
        <f>+kumta!L39</f>
        <v>87986.999999999985</v>
      </c>
      <c r="K31" s="325">
        <f t="shared" si="0"/>
        <v>71321.750200000024</v>
      </c>
    </row>
    <row r="32" spans="1:11">
      <c r="A32" s="324">
        <v>31</v>
      </c>
      <c r="B32" s="271" t="s">
        <v>122</v>
      </c>
      <c r="C32" s="271" t="s">
        <v>123</v>
      </c>
      <c r="D32" s="272">
        <f>+' Jalgaon-1'!E55</f>
        <v>0</v>
      </c>
      <c r="E32" s="272">
        <f>+' Jalgaon-1'!G55</f>
        <v>0</v>
      </c>
      <c r="F32" s="272">
        <f>+' Jalgaon-1'!H55</f>
        <v>0</v>
      </c>
      <c r="G32" s="272">
        <f>+' Jalgaon-1'!J55</f>
        <v>0</v>
      </c>
      <c r="H32" s="272">
        <f t="shared" si="2"/>
        <v>0</v>
      </c>
      <c r="I32" s="272">
        <f>+' Jalgaon-1'!K3</f>
        <v>93813.679100000241</v>
      </c>
      <c r="J32" s="272">
        <f>+' Jalgaon-1'!L55</f>
        <v>93813</v>
      </c>
      <c r="K32" s="325">
        <f t="shared" si="0"/>
        <v>0.67910000024130568</v>
      </c>
    </row>
    <row r="33" spans="1:13">
      <c r="A33" s="324">
        <v>32</v>
      </c>
      <c r="B33" s="271" t="s">
        <v>124</v>
      </c>
      <c r="C33" s="271" t="s">
        <v>125</v>
      </c>
      <c r="D33" s="272">
        <f>+'Jalgoan-2'!E56</f>
        <v>21903.53</v>
      </c>
      <c r="E33" s="272">
        <f>'Jalgoan-2'!G56</f>
        <v>2088960.9529000001</v>
      </c>
      <c r="F33" s="272">
        <f>+'Jalgoan-2'!H56</f>
        <v>415</v>
      </c>
      <c r="G33" s="272">
        <f>+'Jalgoan-2'!J56</f>
        <v>46926.100000000006</v>
      </c>
      <c r="H33" s="272">
        <f t="shared" si="2"/>
        <v>2135887.0529</v>
      </c>
      <c r="I33" s="272">
        <f>+'Jalgoan-2'!M3</f>
        <v>2665455.9562000008</v>
      </c>
      <c r="J33" s="272">
        <f>+'Jalgoan-2'!L56</f>
        <v>2631873.2747</v>
      </c>
      <c r="K33" s="325">
        <f t="shared" si="0"/>
        <v>2169469.7344000014</v>
      </c>
    </row>
    <row r="34" spans="1:13">
      <c r="A34" s="324">
        <v>33</v>
      </c>
      <c r="B34" s="271" t="s">
        <v>126</v>
      </c>
      <c r="C34" s="271" t="s">
        <v>127</v>
      </c>
      <c r="D34" s="272">
        <f>+' Jalgaon-3'!E19</f>
        <v>20133.169999999998</v>
      </c>
      <c r="E34" s="272">
        <f>+' Jalgaon-3'!G19</f>
        <v>1896800.9159000001</v>
      </c>
      <c r="F34" s="272">
        <f>+' Jalgaon-3'!H19</f>
        <v>0</v>
      </c>
      <c r="G34" s="272">
        <f>+' Jalgaon-3'!J19</f>
        <v>0</v>
      </c>
      <c r="H34" s="272">
        <f t="shared" si="2"/>
        <v>1896800.9159000001</v>
      </c>
      <c r="I34" s="272">
        <f>+' Jalgaon-3'!M3</f>
        <v>0</v>
      </c>
      <c r="J34" s="272">
        <f>+' Jalgaon-3'!L19</f>
        <v>1402087.8656000001</v>
      </c>
      <c r="K34" s="325">
        <f t="shared" si="0"/>
        <v>494713.0503</v>
      </c>
    </row>
    <row r="35" spans="1:13">
      <c r="A35" s="324">
        <v>34</v>
      </c>
      <c r="B35" s="271" t="s">
        <v>128</v>
      </c>
      <c r="C35" s="271" t="s">
        <v>129</v>
      </c>
      <c r="D35" s="272">
        <f>+'Jalgaon-4'!E19</f>
        <v>12037.210000000001</v>
      </c>
      <c r="E35" s="272">
        <f>+'Jalgaon-4'!G19</f>
        <v>1108054.6007000001</v>
      </c>
      <c r="F35" s="272">
        <f>+'Jalgaon-4'!H19</f>
        <v>0</v>
      </c>
      <c r="G35" s="272">
        <f>+'Jalgaon-4'!J19</f>
        <v>0</v>
      </c>
      <c r="H35" s="272">
        <f>E35+G35</f>
        <v>1108054.6007000001</v>
      </c>
      <c r="I35" s="272">
        <f>+'Jalgaon-4'!M3</f>
        <v>0</v>
      </c>
      <c r="J35" s="272">
        <f>+'Jalgaon-4'!L19</f>
        <v>1108054.6007000001</v>
      </c>
      <c r="K35" s="325">
        <f t="shared" si="0"/>
        <v>0</v>
      </c>
    </row>
    <row r="36" spans="1:13">
      <c r="A36" s="324">
        <v>35</v>
      </c>
      <c r="B36" s="271" t="s">
        <v>130</v>
      </c>
      <c r="C36" s="271" t="s">
        <v>73</v>
      </c>
      <c r="D36" s="272">
        <f>+' Jalgaon-5 c'!E39</f>
        <v>39436.770000000004</v>
      </c>
      <c r="E36" s="272">
        <f>+' Jalgaon-5 c'!G39</f>
        <v>3690231.2697000001</v>
      </c>
      <c r="F36" s="272">
        <f>+' Jalgaon-5 c'!H39</f>
        <v>0</v>
      </c>
      <c r="G36" s="272">
        <f>+' Jalgaon-5 c'!J39</f>
        <v>0</v>
      </c>
      <c r="H36" s="272">
        <f>E36+G36</f>
        <v>3690231.2697000001</v>
      </c>
      <c r="I36" s="272">
        <f>+' Jalgaon-5 c'!M3</f>
        <v>0</v>
      </c>
      <c r="J36" s="272">
        <f>+' Jalgaon-5 c'!L39</f>
        <v>3690231.2657000003</v>
      </c>
      <c r="K36" s="325">
        <f t="shared" si="0"/>
        <v>3.9999997243285179E-3</v>
      </c>
    </row>
    <row r="37" spans="1:13">
      <c r="A37" s="324">
        <v>36</v>
      </c>
      <c r="B37" s="271" t="s">
        <v>131</v>
      </c>
      <c r="C37" s="271" t="s">
        <v>132</v>
      </c>
      <c r="D37" s="272">
        <f>+MKBD!E41</f>
        <v>24319.62</v>
      </c>
      <c r="E37" s="272">
        <f>+MKBD!G41</f>
        <v>2308313.1753000002</v>
      </c>
      <c r="F37" s="272">
        <f>+MKBD!H41</f>
        <v>115</v>
      </c>
      <c r="G37" s="272">
        <f>+MKBD!J41</f>
        <v>12325.999999999998</v>
      </c>
      <c r="H37" s="272">
        <f t="shared" si="2"/>
        <v>2320639.1753000002</v>
      </c>
      <c r="I37" s="272">
        <f>+MKBD!K3</f>
        <v>2570275.5498000002</v>
      </c>
      <c r="J37" s="272">
        <f>+MKBD!L41</f>
        <v>1000000</v>
      </c>
      <c r="K37" s="325">
        <f t="shared" si="0"/>
        <v>3890914.7251000004</v>
      </c>
    </row>
    <row r="38" spans="1:13">
      <c r="A38" s="324">
        <v>37</v>
      </c>
      <c r="B38" s="271" t="s">
        <v>133</v>
      </c>
      <c r="C38" s="271" t="s">
        <v>134</v>
      </c>
      <c r="D38" s="272">
        <f>' Haveri-2'!E42</f>
        <v>8690.5800000000017</v>
      </c>
      <c r="E38" s="272">
        <f>' Haveri-2'!G42</f>
        <v>817553.9859000002</v>
      </c>
      <c r="F38" s="272">
        <f>' Haveri-2'!H42</f>
        <v>196.08</v>
      </c>
      <c r="G38" s="272">
        <f>' Haveri-2'!J42</f>
        <v>21168.398599999997</v>
      </c>
      <c r="H38" s="272">
        <f t="shared" si="2"/>
        <v>838722.38450000016</v>
      </c>
      <c r="I38" s="272">
        <f>' Haveri-2'!M3</f>
        <v>60112.507899999982</v>
      </c>
      <c r="J38" s="272">
        <f>+' Haveri-2'!L42</f>
        <v>692610.92570000002</v>
      </c>
      <c r="K38" s="325">
        <f t="shared" si="0"/>
        <v>206223.96670000011</v>
      </c>
    </row>
    <row r="39" spans="1:13">
      <c r="A39" s="324">
        <v>38</v>
      </c>
      <c r="B39" s="271" t="s">
        <v>135</v>
      </c>
      <c r="C39" s="271" t="s">
        <v>136</v>
      </c>
      <c r="D39" s="272">
        <f>+' Guttal-2'!E35</f>
        <v>3290</v>
      </c>
      <c r="E39" s="272">
        <f>+' Guttal-2'!G35</f>
        <v>310419.40000000002</v>
      </c>
      <c r="F39" s="272">
        <f>+' Guttal-2'!H35</f>
        <v>137</v>
      </c>
      <c r="G39" s="272">
        <f>+' Guttal-2'!J35</f>
        <v>14876.32</v>
      </c>
      <c r="H39" s="272">
        <f t="shared" si="2"/>
        <v>325295.72000000003</v>
      </c>
      <c r="I39" s="272">
        <f>+' Guttal-2'!M3</f>
        <v>200595.10380000016</v>
      </c>
      <c r="J39" s="272">
        <f>+' Guttal-2'!L35</f>
        <v>420000</v>
      </c>
      <c r="K39" s="325">
        <f t="shared" si="0"/>
        <v>105890.82380000013</v>
      </c>
    </row>
    <row r="40" spans="1:13">
      <c r="A40" s="324">
        <v>39</v>
      </c>
      <c r="B40" s="271" t="s">
        <v>137</v>
      </c>
      <c r="C40" s="271" t="s">
        <v>138</v>
      </c>
      <c r="D40" s="272">
        <f>+'Rattihali-2'!E37</f>
        <v>5535.5999999999995</v>
      </c>
      <c r="E40" s="272">
        <f>+'Rattihali-2'!G37</f>
        <v>529300.28690000006</v>
      </c>
      <c r="F40" s="272">
        <f>+'Rattihali-2'!H37</f>
        <v>100</v>
      </c>
      <c r="G40" s="272">
        <f>+'Rattihali-2'!J37</f>
        <v>10687.53</v>
      </c>
      <c r="H40" s="272">
        <f t="shared" si="2"/>
        <v>539987.81690000009</v>
      </c>
      <c r="I40" s="272">
        <f>+'Rattihali-2'!M3</f>
        <v>266017.90400000004</v>
      </c>
      <c r="J40" s="272">
        <f>+'Rattihali-2'!L37</f>
        <v>450000</v>
      </c>
      <c r="K40" s="325">
        <f t="shared" si="0"/>
        <v>356005.72090000007</v>
      </c>
    </row>
    <row r="41" spans="1:13">
      <c r="A41" s="324">
        <v>40</v>
      </c>
      <c r="B41" s="271" t="s">
        <v>139</v>
      </c>
      <c r="C41" s="271" t="s">
        <v>140</v>
      </c>
      <c r="D41" s="272">
        <f>+Gajendragada!E36</f>
        <v>522.35</v>
      </c>
      <c r="E41" s="272">
        <f>+Gajendragada!G36</f>
        <v>50389.980499999998</v>
      </c>
      <c r="F41" s="272">
        <f>+Gajendragada!H36</f>
        <v>111.16</v>
      </c>
      <c r="G41" s="272">
        <f>+Gajendragada!J36</f>
        <v>11805.468000000003</v>
      </c>
      <c r="H41" s="272">
        <f t="shared" si="2"/>
        <v>62195.448499999999</v>
      </c>
      <c r="I41" s="272">
        <f>+Gajendragada!K3</f>
        <v>41263.189499999971</v>
      </c>
      <c r="J41" s="272">
        <f>+Gajendragada!L36</f>
        <v>60000</v>
      </c>
      <c r="K41" s="325">
        <f t="shared" si="0"/>
        <v>43458.637999999977</v>
      </c>
    </row>
    <row r="42" spans="1:13">
      <c r="A42" s="324">
        <v>41</v>
      </c>
      <c r="B42" s="274" t="s">
        <v>141</v>
      </c>
      <c r="C42" s="274" t="s">
        <v>142</v>
      </c>
      <c r="D42" s="272">
        <f>+'Gokak Dharwad PKG 3'!E42</f>
        <v>7041.7900000000018</v>
      </c>
      <c r="E42" s="272">
        <f>+'Gokak Dharwad PKG 3'!G42</f>
        <v>658929.03929999995</v>
      </c>
      <c r="F42" s="272">
        <f>+'Gokak Dharwad PKG 3'!H42</f>
        <v>117</v>
      </c>
      <c r="G42" s="272">
        <f>+'Gokak Dharwad PKG 3'!J42</f>
        <v>12325.149999999998</v>
      </c>
      <c r="H42" s="272">
        <f t="shared" si="2"/>
        <v>671254.18929999997</v>
      </c>
      <c r="I42" s="344">
        <f>+'Gokak Dharwad PKG 3'!K3</f>
        <v>326043.53140000138</v>
      </c>
      <c r="J42" s="272">
        <f>+'Gokak Dharwad PKG 3'!L42</f>
        <v>761000</v>
      </c>
      <c r="K42" s="325">
        <f t="shared" si="0"/>
        <v>236297.72070000134</v>
      </c>
      <c r="M42" s="276"/>
    </row>
    <row r="43" spans="1:13">
      <c r="A43" s="324">
        <v>42</v>
      </c>
      <c r="B43" s="274" t="s">
        <v>143</v>
      </c>
      <c r="C43" s="274" t="s">
        <v>144</v>
      </c>
      <c r="D43" s="272">
        <f>+' TR Associates'!E34</f>
        <v>11496.310000000001</v>
      </c>
      <c r="E43" s="272">
        <f>+' TR Associates'!G34</f>
        <v>1082763.0939000002</v>
      </c>
      <c r="F43" s="272">
        <f>+' TR Associates'!H34</f>
        <v>102</v>
      </c>
      <c r="G43" s="272">
        <f>+' TR Associates'!J34</f>
        <v>10843.28</v>
      </c>
      <c r="H43" s="342">
        <f t="shared" si="2"/>
        <v>1093606.3739000002</v>
      </c>
      <c r="I43" s="341">
        <f>+' TR Associates'!M3</f>
        <v>497320.02639999997</v>
      </c>
      <c r="J43" s="343">
        <f>+' TR Associates'!L34</f>
        <v>800000</v>
      </c>
      <c r="K43" s="325">
        <f t="shared" si="0"/>
        <v>790926.40030000033</v>
      </c>
      <c r="M43" s="276"/>
    </row>
    <row r="44" spans="1:13">
      <c r="A44" s="324">
        <v>43</v>
      </c>
      <c r="B44" s="274" t="s">
        <v>145</v>
      </c>
      <c r="C44" s="274" t="s">
        <v>146</v>
      </c>
      <c r="D44" s="272">
        <f>+Ankalgi!E35</f>
        <v>5019.2</v>
      </c>
      <c r="E44" s="272">
        <f>+Ankalgi!G35</f>
        <v>473753.83389999997</v>
      </c>
      <c r="F44" s="272">
        <f>+Ankalgi!H35</f>
        <v>68</v>
      </c>
      <c r="G44" s="272">
        <f>+Ankalgi!J35</f>
        <v>7220.77</v>
      </c>
      <c r="H44" s="272">
        <f t="shared" si="2"/>
        <v>480974.60389999999</v>
      </c>
      <c r="I44" s="291">
        <f>+Ankalgi!M3</f>
        <v>96251.93</v>
      </c>
      <c r="J44" s="272">
        <f>+Ankalgi!L35</f>
        <v>350000</v>
      </c>
      <c r="K44" s="325">
        <f>H44+I44-J44</f>
        <v>227226.53389999992</v>
      </c>
    </row>
    <row r="45" spans="1:13">
      <c r="A45" s="324">
        <v>44</v>
      </c>
      <c r="B45" s="274" t="s">
        <v>147</v>
      </c>
      <c r="C45" s="274" t="s">
        <v>148</v>
      </c>
      <c r="D45" s="272">
        <f>+'SHRI DESHPANDE'!E35</f>
        <v>3736.6700000000005</v>
      </c>
      <c r="E45" s="272">
        <f>+'SHRI DESHPANDE'!G35</f>
        <v>367925.14210000006</v>
      </c>
      <c r="F45" s="272">
        <f>+'SHRI DESHPANDE'!H35</f>
        <v>146</v>
      </c>
      <c r="G45" s="272">
        <f>+'SHRI DESHPANDE'!J35</f>
        <v>16254.31</v>
      </c>
      <c r="H45" s="342">
        <f>E45+G45</f>
        <v>384179.45210000005</v>
      </c>
      <c r="I45" s="341">
        <f>+'SHRI DESHPANDE'!M3</f>
        <v>0</v>
      </c>
      <c r="J45" s="343">
        <f>+'SHRI DESHPANDE'!L35</f>
        <v>0</v>
      </c>
      <c r="K45" s="325">
        <f>H45+I45-J45</f>
        <v>384179.45210000005</v>
      </c>
    </row>
    <row r="46" spans="1:13">
      <c r="A46" s="324">
        <v>45</v>
      </c>
      <c r="B46" s="274" t="s">
        <v>149</v>
      </c>
      <c r="C46" s="274" t="s">
        <v>150</v>
      </c>
      <c r="D46" s="272">
        <f>+' Shankeshwar'!E35</f>
        <v>450.36</v>
      </c>
      <c r="E46" s="272">
        <f>+' Shankeshwar'!G35</f>
        <v>42110.831200000001</v>
      </c>
      <c r="F46" s="272">
        <f>+' Shankeshwar'!H35</f>
        <v>38</v>
      </c>
      <c r="G46" s="272">
        <f>+' Shankeshwar'!J35</f>
        <v>3987.7299999999996</v>
      </c>
      <c r="H46" s="342">
        <f t="shared" si="2"/>
        <v>46098.561199999996</v>
      </c>
      <c r="I46" s="494">
        <f>' Shankeshwar'!M3</f>
        <v>0</v>
      </c>
      <c r="J46" s="343">
        <f>+' Shankeshwar'!L35</f>
        <v>46098.561200000004</v>
      </c>
      <c r="K46" s="325">
        <f t="shared" si="0"/>
        <v>0</v>
      </c>
    </row>
    <row r="47" spans="1:13">
      <c r="A47" s="324">
        <v>46</v>
      </c>
      <c r="B47" s="274" t="s">
        <v>151</v>
      </c>
      <c r="C47" s="274" t="s">
        <v>152</v>
      </c>
      <c r="D47" s="272">
        <f>+' Talikote'!E47</f>
        <v>862.1099999999999</v>
      </c>
      <c r="E47" s="272">
        <f>+' Talikote'!G47</f>
        <v>81316.766900000002</v>
      </c>
      <c r="F47" s="272">
        <f>+' Talikote'!H47</f>
        <v>58.769999999999996</v>
      </c>
      <c r="G47" s="272">
        <f>+' Talikote'!J47</f>
        <v>6333.9333000000006</v>
      </c>
      <c r="H47" s="272">
        <f t="shared" si="2"/>
        <v>87650.700200000007</v>
      </c>
      <c r="I47" s="365">
        <f>+' Talikote'!N3</f>
        <v>18468.864099999981</v>
      </c>
      <c r="J47" s="272">
        <f>+' Talikote'!L47</f>
        <v>91345.153099999996</v>
      </c>
      <c r="K47" s="325">
        <f t="shared" si="0"/>
        <v>14774.411199999988</v>
      </c>
    </row>
    <row r="48" spans="1:13">
      <c r="A48" s="324">
        <v>47</v>
      </c>
      <c r="B48" s="274" t="s">
        <v>153</v>
      </c>
      <c r="C48" s="274" t="s">
        <v>154</v>
      </c>
      <c r="D48" s="272">
        <f>+Chadchan!E35</f>
        <v>416.59</v>
      </c>
      <c r="E48" s="272">
        <f>+Chadchan!G35</f>
        <v>39342.874000000003</v>
      </c>
      <c r="F48" s="272">
        <f>+Chadchan!H35</f>
        <v>66.759999999999991</v>
      </c>
      <c r="G48" s="272">
        <f>+Chadchan!J35</f>
        <v>7186.3060999999998</v>
      </c>
      <c r="H48" s="272">
        <f t="shared" si="2"/>
        <v>46529.180100000005</v>
      </c>
      <c r="I48" s="272">
        <f>+Chadchan!K3</f>
        <v>119708.40840000007</v>
      </c>
      <c r="J48" s="272">
        <f>+Chadchan!L35</f>
        <v>150000</v>
      </c>
      <c r="K48" s="325">
        <f t="shared" si="0"/>
        <v>16237.588500000071</v>
      </c>
    </row>
    <row r="49" spans="1:13">
      <c r="A49" s="324">
        <v>48</v>
      </c>
      <c r="B49" s="274" t="s">
        <v>155</v>
      </c>
      <c r="C49" s="274" t="s">
        <v>156</v>
      </c>
      <c r="D49" s="272">
        <f>+Sindagi!E44</f>
        <v>273.64999999999998</v>
      </c>
      <c r="E49" s="272">
        <f>+Sindagi!G44</f>
        <v>26031.105499999998</v>
      </c>
      <c r="F49" s="272">
        <f>+Sindagi!H44</f>
        <v>0</v>
      </c>
      <c r="G49" s="272">
        <f>+Sindagi!J44</f>
        <v>0</v>
      </c>
      <c r="H49" s="272">
        <f t="shared" si="2"/>
        <v>26031.105499999998</v>
      </c>
      <c r="I49" s="272">
        <f>+Sindagi!M3</f>
        <v>5617.8127000000022</v>
      </c>
      <c r="J49" s="272">
        <f>+Sindagi!L44</f>
        <v>19000</v>
      </c>
      <c r="K49" s="325">
        <f t="shared" si="0"/>
        <v>12648.9182</v>
      </c>
    </row>
    <row r="50" spans="1:13">
      <c r="A50" s="324">
        <v>49</v>
      </c>
      <c r="B50" s="274" t="s">
        <v>157</v>
      </c>
      <c r="C50" s="274" t="s">
        <v>158</v>
      </c>
      <c r="D50" s="272">
        <f>+'Muddebhihal-2'!E50</f>
        <v>1309.7</v>
      </c>
      <c r="E50" s="272">
        <f>+'Muddebhihal-2'!G50</f>
        <v>127569.63720000001</v>
      </c>
      <c r="F50" s="272">
        <f>+'Muddebhihal-2'!H50</f>
        <v>41.01</v>
      </c>
      <c r="G50" s="272">
        <f>+'Muddebhihal-2'!J50</f>
        <v>4468.8648000000003</v>
      </c>
      <c r="H50" s="272">
        <f>+'Muddebhihal-2'!K50</f>
        <v>132038.50200000001</v>
      </c>
      <c r="I50" s="272">
        <f>+'Muddebhihal-2'!M3</f>
        <v>137771.22020000001</v>
      </c>
      <c r="J50" s="272">
        <f>+'Muddebhihal-2'!L50</f>
        <v>120000</v>
      </c>
      <c r="K50" s="325">
        <f>+'Muddebhihal-2'!M49</f>
        <v>149809.72220000005</v>
      </c>
    </row>
    <row r="51" spans="1:13">
      <c r="A51" s="324">
        <v>50</v>
      </c>
      <c r="B51" s="274" t="s">
        <v>159</v>
      </c>
      <c r="C51" s="274" t="s">
        <v>160</v>
      </c>
      <c r="D51" s="272">
        <f>+Alemela!E43</f>
        <v>904.75999999999988</v>
      </c>
      <c r="E51" s="272">
        <f>+Alemela!G43</f>
        <v>85929.813200000004</v>
      </c>
      <c r="F51" s="272">
        <f>+Alemela!H43</f>
        <v>125.63</v>
      </c>
      <c r="G51" s="272">
        <f>+Alemela!J43</f>
        <v>13353.94</v>
      </c>
      <c r="H51" s="272">
        <f t="shared" si="2"/>
        <v>99283.753200000006</v>
      </c>
      <c r="I51" s="272">
        <f>+Alemela!M3</f>
        <v>15850.338799999998</v>
      </c>
      <c r="J51" s="272">
        <f>+Alemela!L43</f>
        <v>50000.49</v>
      </c>
      <c r="K51" s="325">
        <f t="shared" si="0"/>
        <v>65133.602000000006</v>
      </c>
    </row>
    <row r="52" spans="1:13">
      <c r="A52" s="324">
        <v>51</v>
      </c>
      <c r="B52" s="274" t="s">
        <v>161</v>
      </c>
      <c r="C52" s="274" t="s">
        <v>162</v>
      </c>
      <c r="D52" s="272">
        <f>+Nalatwad!E43</f>
        <v>207.77</v>
      </c>
      <c r="E52" s="272">
        <f>+Nalatwad!G43</f>
        <v>19235.761200000001</v>
      </c>
      <c r="F52" s="272">
        <f>+Nalatwad!H43</f>
        <v>73.800000000000011</v>
      </c>
      <c r="G52" s="272">
        <f>+Nalatwad!J43</f>
        <v>7970.1866999999993</v>
      </c>
      <c r="H52" s="272">
        <f>E52+G52</f>
        <v>27205.947899999999</v>
      </c>
      <c r="I52" s="272">
        <f>+Nalatwad!M3</f>
        <v>83089.933699999994</v>
      </c>
      <c r="J52" s="272">
        <f>+Nalatwad!L43</f>
        <v>0</v>
      </c>
      <c r="K52" s="325">
        <f>H52+I52-J52</f>
        <v>110295.88159999999</v>
      </c>
    </row>
    <row r="53" spans="1:13">
      <c r="A53" s="324">
        <v>52</v>
      </c>
      <c r="B53" s="274" t="s">
        <v>163</v>
      </c>
      <c r="C53" s="274" t="s">
        <v>164</v>
      </c>
      <c r="D53" s="272">
        <f>+Srirangapatna!E35</f>
        <v>152.72</v>
      </c>
      <c r="E53" s="272">
        <f>+Srirangapatna!G35</f>
        <v>14679.6368</v>
      </c>
      <c r="F53" s="272">
        <f>+Srirangapatna!H35</f>
        <v>21.14</v>
      </c>
      <c r="G53" s="272">
        <f>+Srirangapatna!J35</f>
        <v>2260.4863</v>
      </c>
      <c r="H53" s="272">
        <f t="shared" si="2"/>
        <v>16940.123100000001</v>
      </c>
      <c r="I53" s="272">
        <v>0</v>
      </c>
      <c r="J53" s="272">
        <f>+Srirangapatna!L35</f>
        <v>16940.123100000001</v>
      </c>
      <c r="K53" s="325">
        <f t="shared" si="0"/>
        <v>0</v>
      </c>
    </row>
    <row r="54" spans="1:13">
      <c r="A54" s="324">
        <v>53</v>
      </c>
      <c r="B54" s="274" t="s">
        <v>165</v>
      </c>
      <c r="C54" s="271" t="s">
        <v>71</v>
      </c>
      <c r="D54" s="330">
        <f>+'HO(DG)'!E45</f>
        <v>1414.96</v>
      </c>
      <c r="E54" s="330">
        <f>+'HO(DG)'!G45</f>
        <v>140530.52439999999</v>
      </c>
      <c r="F54" s="330">
        <f>+'HO(DG)'!H45</f>
        <v>0</v>
      </c>
      <c r="G54" s="330">
        <f>+'HO(DG)'!J45</f>
        <v>0</v>
      </c>
      <c r="H54" s="272">
        <f t="shared" si="2"/>
        <v>140530.52439999999</v>
      </c>
      <c r="I54" s="330">
        <f>+'HO(DG)'!M3</f>
        <v>79033.75</v>
      </c>
      <c r="J54" s="330">
        <f>+'HO(DG)'!L45</f>
        <v>119766.52440000001</v>
      </c>
      <c r="K54" s="325">
        <f t="shared" si="0"/>
        <v>99797.749999999985</v>
      </c>
    </row>
    <row r="55" spans="1:13">
      <c r="A55" s="543" t="s">
        <v>36</v>
      </c>
      <c r="B55" s="544"/>
      <c r="C55" s="545"/>
      <c r="D55" s="326">
        <f>SUM(D2:D54)</f>
        <v>396185.179</v>
      </c>
      <c r="E55" s="326">
        <f t="shared" ref="E55:G55" si="3">SUM(E2:E54)</f>
        <v>38148100.30742</v>
      </c>
      <c r="F55" s="326">
        <f t="shared" si="3"/>
        <v>5839.3000000000011</v>
      </c>
      <c r="G55" s="326">
        <f>SUM(G2:G54)</f>
        <v>635463.21570000006</v>
      </c>
      <c r="H55" s="326">
        <f>SUM(H2:H54)</f>
        <v>38783563.523120001</v>
      </c>
      <c r="I55" s="326">
        <f>SUM(I2:I54)</f>
        <v>19725008.58149299</v>
      </c>
      <c r="J55" s="326">
        <f>SUM(J2:J54)</f>
        <v>30908638.044020001</v>
      </c>
      <c r="K55" s="327">
        <f>H55+I55-J55</f>
        <v>27599934.06059299</v>
      </c>
      <c r="L55" s="270">
        <v>27515633.103193007</v>
      </c>
      <c r="M55" s="276">
        <f>K55-L55</f>
        <v>84300.957399982959</v>
      </c>
    </row>
    <row r="56" spans="1:13">
      <c r="K56" s="275"/>
    </row>
    <row r="58" spans="1:13">
      <c r="K58" s="275"/>
    </row>
    <row r="59" spans="1:13">
      <c r="K59" s="275"/>
    </row>
    <row r="60" spans="1:13">
      <c r="A60" s="303" t="s">
        <v>55</v>
      </c>
      <c r="B60" s="303" t="s">
        <v>56</v>
      </c>
      <c r="C60" s="303" t="s">
        <v>57</v>
      </c>
      <c r="D60" s="304" t="s">
        <v>58</v>
      </c>
      <c r="E60" s="304" t="s">
        <v>59</v>
      </c>
      <c r="F60" s="304" t="s">
        <v>60</v>
      </c>
      <c r="G60" s="304" t="s">
        <v>61</v>
      </c>
      <c r="H60" s="304" t="s">
        <v>62</v>
      </c>
      <c r="I60" s="304" t="s">
        <v>63</v>
      </c>
      <c r="J60" s="304" t="s">
        <v>64</v>
      </c>
      <c r="K60" s="304" t="s">
        <v>65</v>
      </c>
    </row>
    <row r="61" spans="1:13">
      <c r="A61" s="305">
        <v>39</v>
      </c>
      <c r="B61" s="305" t="str" cm="1">
        <f t="array" ref="B61:K61">VLOOKUP(A61,A1:K53,{2,3,4,5,6,7,8,9,10,11},FALSE)</f>
        <v>Rattihali-2</v>
      </c>
      <c r="C61" s="305" t="str">
        <v>Shiva Oil Traders</v>
      </c>
      <c r="D61" s="305">
        <v>5535.5999999999995</v>
      </c>
      <c r="E61" s="305">
        <v>529300.28690000006</v>
      </c>
      <c r="F61" s="305">
        <v>100</v>
      </c>
      <c r="G61" s="305">
        <v>10687.53</v>
      </c>
      <c r="H61" s="305">
        <v>539987.81690000009</v>
      </c>
      <c r="I61" s="305">
        <v>266017.90400000004</v>
      </c>
      <c r="J61" s="305">
        <v>450000</v>
      </c>
      <c r="K61" s="305">
        <v>356005.72090000007</v>
      </c>
    </row>
    <row r="63" spans="1:13">
      <c r="B63" s="303" t="s">
        <v>56</v>
      </c>
      <c r="C63" s="303" t="s">
        <v>57</v>
      </c>
      <c r="D63" s="304" t="s">
        <v>58</v>
      </c>
      <c r="E63" s="304" t="s">
        <v>59</v>
      </c>
      <c r="F63" s="304" t="s">
        <v>60</v>
      </c>
      <c r="G63" s="304" t="s">
        <v>61</v>
      </c>
      <c r="H63" s="304" t="s">
        <v>62</v>
      </c>
      <c r="I63" s="304" t="s">
        <v>63</v>
      </c>
      <c r="J63" s="304" t="s">
        <v>64</v>
      </c>
      <c r="K63" s="304" t="s">
        <v>65</v>
      </c>
    </row>
    <row r="64" spans="1:13">
      <c r="B64" s="6" t="s">
        <v>124</v>
      </c>
      <c r="C64" s="270" t="str" cm="1">
        <f t="array" ref="C64:K64">VLOOKUP(B64,B1:K53,{2,3,4,5,6,7,8,9,10},FALSE)</f>
        <v>Nayara</v>
      </c>
      <c r="D64" s="270">
        <v>21903.53</v>
      </c>
      <c r="E64" s="270">
        <v>2088960.9529000001</v>
      </c>
      <c r="F64" s="270">
        <v>415</v>
      </c>
      <c r="G64" s="270">
        <v>46926.100000000006</v>
      </c>
      <c r="H64" s="270">
        <v>2135887.0529</v>
      </c>
      <c r="I64" s="270">
        <v>2665455.9562000008</v>
      </c>
      <c r="J64" s="270">
        <v>2631873.2747</v>
      </c>
      <c r="K64" s="270">
        <v>2169469.7344000014</v>
      </c>
    </row>
    <row r="71" spans="2:14">
      <c r="B71" s="270">
        <v>60000</v>
      </c>
    </row>
    <row r="72" spans="2:14">
      <c r="B72" s="270">
        <v>18000</v>
      </c>
    </row>
    <row r="73" spans="2:14">
      <c r="B73" s="270">
        <v>18000</v>
      </c>
    </row>
    <row r="74" spans="2:14">
      <c r="B74" s="270">
        <v>75000</v>
      </c>
    </row>
    <row r="75" spans="2:14">
      <c r="B75" s="270">
        <v>360000</v>
      </c>
    </row>
    <row r="79" spans="2:14">
      <c r="M79" s="321"/>
    </row>
    <row r="80" spans="2:14">
      <c r="M80" s="321"/>
      <c r="N80" s="320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55:C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39FC-1DEE-4D53-95A1-C1F1A0CD88CD}">
  <dimension ref="A1:S56"/>
  <sheetViews>
    <sheetView topLeftCell="A16" workbookViewId="0">
      <selection activeCell="O28" sqref="O28"/>
    </sheetView>
  </sheetViews>
  <sheetFormatPr defaultRowHeight="15"/>
  <cols>
    <col min="2" max="2" width="10.42578125" bestFit="1" customWidth="1"/>
    <col min="4" max="4" width="18.42578125" customWidth="1"/>
    <col min="7" max="7" width="10.42578125" bestFit="1" customWidth="1"/>
    <col min="11" max="11" width="9.5703125" bestFit="1" customWidth="1"/>
    <col min="12" max="12" width="10.42578125" bestFit="1" customWidth="1"/>
    <col min="13" max="13" width="11.42578125" bestFit="1" customWidth="1"/>
    <col min="14" max="14" width="11" customWidth="1"/>
    <col min="16" max="16" width="13.5703125" bestFit="1" customWidth="1"/>
    <col min="17" max="17" width="15.85546875" customWidth="1"/>
    <col min="18" max="18" width="13.140625" customWidth="1"/>
    <col min="19" max="19" width="11.85546875" customWidth="1"/>
  </cols>
  <sheetData>
    <row r="1" spans="1:19" ht="15.75">
      <c r="A1" s="546" t="s">
        <v>71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</row>
    <row r="2" spans="1:19" ht="27">
      <c r="A2" s="102" t="s">
        <v>0</v>
      </c>
      <c r="B2" s="105" t="s">
        <v>166</v>
      </c>
      <c r="C2" s="105" t="s">
        <v>167</v>
      </c>
      <c r="D2" s="105" t="s">
        <v>168</v>
      </c>
      <c r="E2" s="105" t="s">
        <v>169</v>
      </c>
      <c r="F2" s="105" t="s">
        <v>170</v>
      </c>
      <c r="G2" s="105" t="s">
        <v>171</v>
      </c>
      <c r="H2" s="105" t="s">
        <v>172</v>
      </c>
      <c r="I2" s="105" t="s">
        <v>170</v>
      </c>
      <c r="J2" s="105" t="s">
        <v>171</v>
      </c>
      <c r="K2" s="143" t="s">
        <v>173</v>
      </c>
      <c r="L2" s="143" t="s">
        <v>174</v>
      </c>
      <c r="M2" s="143" t="s">
        <v>175</v>
      </c>
      <c r="N2" s="105" t="s">
        <v>176</v>
      </c>
    </row>
    <row r="3" spans="1:19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9"/>
      <c r="K3" s="130">
        <v>79033.75</v>
      </c>
      <c r="L3" s="230"/>
      <c r="M3" s="309">
        <v>79033.75</v>
      </c>
      <c r="N3" s="231"/>
      <c r="O3">
        <v>2623243.3616999988</v>
      </c>
    </row>
    <row r="4" spans="1:19">
      <c r="A4" s="26">
        <v>1</v>
      </c>
      <c r="B4" s="27">
        <v>46143</v>
      </c>
      <c r="C4" s="106"/>
      <c r="D4" s="35"/>
      <c r="E4" s="36"/>
      <c r="F4" s="36"/>
      <c r="G4" s="36">
        <f>E4*F4</f>
        <v>0</v>
      </c>
      <c r="H4" s="315">
        <v>0</v>
      </c>
      <c r="I4" s="315">
        <v>0</v>
      </c>
      <c r="J4" s="36">
        <f>H4*I4</f>
        <v>0</v>
      </c>
      <c r="K4" s="36">
        <f t="shared" ref="K4:L44" si="0">G4+J4</f>
        <v>0</v>
      </c>
      <c r="L4" s="196">
        <v>0</v>
      </c>
      <c r="M4" s="36">
        <f>M3+K4-L4</f>
        <v>79033.75</v>
      </c>
      <c r="N4" s="232"/>
      <c r="P4" s="22"/>
    </row>
    <row r="5" spans="1:19">
      <c r="A5" s="26">
        <v>2</v>
      </c>
      <c r="B5" s="27">
        <v>46144</v>
      </c>
      <c r="C5" s="106"/>
      <c r="D5" s="35"/>
      <c r="E5" s="36"/>
      <c r="F5" s="36"/>
      <c r="G5" s="36">
        <f t="shared" ref="G5:G19" si="1">E5*F5</f>
        <v>0</v>
      </c>
      <c r="H5" s="315"/>
      <c r="I5" s="315"/>
      <c r="J5" s="36"/>
      <c r="K5" s="36">
        <f t="shared" si="0"/>
        <v>0</v>
      </c>
      <c r="L5" s="196"/>
      <c r="M5" s="36">
        <f t="shared" ref="M5:M36" si="2">M4+K5-L5</f>
        <v>79033.75</v>
      </c>
      <c r="N5" s="234"/>
      <c r="R5" s="17" t="s">
        <v>43</v>
      </c>
      <c r="S5" s="393">
        <v>188521.2205</v>
      </c>
    </row>
    <row r="6" spans="1:19">
      <c r="A6" s="26">
        <v>3</v>
      </c>
      <c r="B6" s="27">
        <v>46145</v>
      </c>
      <c r="C6" s="106"/>
      <c r="D6" s="35"/>
      <c r="E6" s="36"/>
      <c r="F6" s="36"/>
      <c r="G6" s="36">
        <f t="shared" si="1"/>
        <v>0</v>
      </c>
      <c r="H6" s="315"/>
      <c r="I6" s="315"/>
      <c r="J6" s="36"/>
      <c r="K6" s="36">
        <f t="shared" si="0"/>
        <v>0</v>
      </c>
      <c r="L6" s="196"/>
      <c r="M6" s="36">
        <f t="shared" si="2"/>
        <v>79033.75</v>
      </c>
      <c r="N6" s="36"/>
      <c r="R6" s="17" t="s">
        <v>178</v>
      </c>
      <c r="S6" s="393">
        <v>8227903</v>
      </c>
    </row>
    <row r="7" spans="1:19">
      <c r="A7" s="26">
        <v>4</v>
      </c>
      <c r="B7" s="27">
        <v>46146</v>
      </c>
      <c r="C7" s="106"/>
      <c r="D7" s="35"/>
      <c r="E7" s="36">
        <v>110</v>
      </c>
      <c r="F7" s="36">
        <v>95.64</v>
      </c>
      <c r="G7" s="36">
        <f t="shared" si="1"/>
        <v>10520.4</v>
      </c>
      <c r="H7" s="315"/>
      <c r="I7" s="315"/>
      <c r="J7" s="36"/>
      <c r="K7" s="36">
        <f t="shared" si="0"/>
        <v>10520.4</v>
      </c>
      <c r="L7" s="36">
        <f t="shared" si="0"/>
        <v>10520.4</v>
      </c>
      <c r="M7" s="36">
        <f t="shared" si="2"/>
        <v>79033.75</v>
      </c>
      <c r="N7" s="36"/>
      <c r="R7" s="17" t="s">
        <v>179</v>
      </c>
      <c r="S7" s="393">
        <v>2453209.39</v>
      </c>
    </row>
    <row r="8" spans="1:19">
      <c r="A8" s="26">
        <v>5</v>
      </c>
      <c r="B8" s="27">
        <v>46147</v>
      </c>
      <c r="C8" s="106"/>
      <c r="D8" s="35"/>
      <c r="E8" s="36"/>
      <c r="F8" s="36"/>
      <c r="G8" s="36">
        <f t="shared" si="1"/>
        <v>0</v>
      </c>
      <c r="H8" s="315"/>
      <c r="I8" s="315"/>
      <c r="J8" s="36"/>
      <c r="K8" s="36">
        <f t="shared" si="0"/>
        <v>0</v>
      </c>
      <c r="L8" s="196"/>
      <c r="M8" s="36">
        <f t="shared" si="2"/>
        <v>79033.75</v>
      </c>
      <c r="N8" s="36"/>
      <c r="P8">
        <v>5679</v>
      </c>
      <c r="R8" s="17" t="s">
        <v>36</v>
      </c>
      <c r="S8" s="17">
        <f>SUM(S5:S7)</f>
        <v>10869633.6105</v>
      </c>
    </row>
    <row r="9" spans="1:19">
      <c r="A9" s="26">
        <v>6</v>
      </c>
      <c r="B9" s="27">
        <v>46148</v>
      </c>
      <c r="C9" s="34"/>
      <c r="D9" s="35"/>
      <c r="E9" s="36"/>
      <c r="F9" s="36"/>
      <c r="G9" s="36">
        <f t="shared" si="1"/>
        <v>0</v>
      </c>
      <c r="H9" s="315"/>
      <c r="I9" s="315"/>
      <c r="J9" s="36"/>
      <c r="K9" s="36">
        <f t="shared" si="0"/>
        <v>0</v>
      </c>
      <c r="L9" s="196"/>
      <c r="M9" s="36">
        <f t="shared" si="2"/>
        <v>79033.75</v>
      </c>
      <c r="N9" s="378"/>
      <c r="S9">
        <v>10869632</v>
      </c>
    </row>
    <row r="10" spans="1:19">
      <c r="A10" s="26">
        <v>7</v>
      </c>
      <c r="B10" s="27">
        <v>46149</v>
      </c>
      <c r="C10" s="34"/>
      <c r="D10" s="35"/>
      <c r="E10" s="36">
        <v>35</v>
      </c>
      <c r="F10" s="36">
        <v>95.64</v>
      </c>
      <c r="G10" s="36">
        <f t="shared" si="1"/>
        <v>3347.4</v>
      </c>
      <c r="H10" s="315"/>
      <c r="I10" s="315"/>
      <c r="J10" s="36"/>
      <c r="K10" s="36">
        <f t="shared" si="0"/>
        <v>3347.4</v>
      </c>
      <c r="L10" s="36">
        <f t="shared" si="0"/>
        <v>3347.4</v>
      </c>
      <c r="M10" s="36">
        <f t="shared" si="2"/>
        <v>79033.75</v>
      </c>
      <c r="N10" s="197" t="s">
        <v>180</v>
      </c>
      <c r="S10" s="309">
        <f>S9-S8</f>
        <v>-1.6105000004172325</v>
      </c>
    </row>
    <row r="11" spans="1:19">
      <c r="A11" s="26"/>
      <c r="B11" s="27">
        <v>46149</v>
      </c>
      <c r="C11" s="34"/>
      <c r="D11" s="35"/>
      <c r="E11" s="36">
        <v>70</v>
      </c>
      <c r="F11" s="36">
        <v>95.64</v>
      </c>
      <c r="G11" s="36">
        <f t="shared" si="1"/>
        <v>6694.8</v>
      </c>
      <c r="H11" s="315"/>
      <c r="I11" s="315"/>
      <c r="J11" s="36"/>
      <c r="K11" s="36">
        <f t="shared" si="0"/>
        <v>6694.8</v>
      </c>
      <c r="L11" s="36">
        <f t="shared" si="0"/>
        <v>6694.8</v>
      </c>
      <c r="M11" s="36">
        <f t="shared" si="2"/>
        <v>79033.75</v>
      </c>
      <c r="N11" s="197" t="s">
        <v>180</v>
      </c>
      <c r="S11" s="309"/>
    </row>
    <row r="12" spans="1:19">
      <c r="A12" s="26">
        <v>8</v>
      </c>
      <c r="B12" s="27">
        <v>46150</v>
      </c>
      <c r="C12" s="34"/>
      <c r="D12" s="35"/>
      <c r="E12" s="36">
        <v>120</v>
      </c>
      <c r="F12" s="36">
        <v>95.64</v>
      </c>
      <c r="G12" s="36">
        <f t="shared" si="1"/>
        <v>11476.8</v>
      </c>
      <c r="H12" s="315"/>
      <c r="I12" s="315"/>
      <c r="J12" s="36"/>
      <c r="K12" s="36">
        <f t="shared" si="0"/>
        <v>11476.8</v>
      </c>
      <c r="L12" s="36">
        <f t="shared" si="0"/>
        <v>11476.8</v>
      </c>
      <c r="M12" s="36">
        <f t="shared" si="2"/>
        <v>79033.75</v>
      </c>
      <c r="N12" s="197"/>
    </row>
    <row r="13" spans="1:19">
      <c r="A13" s="26">
        <v>9</v>
      </c>
      <c r="B13" s="27">
        <v>46151</v>
      </c>
      <c r="C13" s="34"/>
      <c r="D13" s="35"/>
      <c r="E13" s="36"/>
      <c r="F13" s="36"/>
      <c r="G13" s="36">
        <f t="shared" si="1"/>
        <v>0</v>
      </c>
      <c r="H13" s="315"/>
      <c r="I13" s="315"/>
      <c r="J13" s="36"/>
      <c r="K13" s="36">
        <f t="shared" si="0"/>
        <v>0</v>
      </c>
      <c r="L13" s="196"/>
      <c r="M13" s="36">
        <f t="shared" si="2"/>
        <v>79033.75</v>
      </c>
      <c r="N13" s="197"/>
      <c r="Q13">
        <v>54.98</v>
      </c>
    </row>
    <row r="14" spans="1:19">
      <c r="A14" s="26">
        <v>10</v>
      </c>
      <c r="B14" s="27">
        <v>46152</v>
      </c>
      <c r="C14" s="34"/>
      <c r="D14" s="35"/>
      <c r="E14" s="36"/>
      <c r="F14" s="36"/>
      <c r="G14" s="36">
        <f t="shared" si="1"/>
        <v>0</v>
      </c>
      <c r="H14" s="315"/>
      <c r="I14" s="315"/>
      <c r="J14" s="36"/>
      <c r="K14" s="36">
        <f t="shared" si="0"/>
        <v>0</v>
      </c>
      <c r="L14" s="196"/>
      <c r="M14" s="36">
        <f t="shared" si="2"/>
        <v>79033.75</v>
      </c>
      <c r="N14" s="197"/>
      <c r="Q14">
        <v>54.98</v>
      </c>
    </row>
    <row r="15" spans="1:19">
      <c r="A15" s="26">
        <v>11</v>
      </c>
      <c r="B15" s="27">
        <v>46153</v>
      </c>
      <c r="C15" s="34"/>
      <c r="D15" s="35"/>
      <c r="E15" s="36">
        <v>110</v>
      </c>
      <c r="F15" s="36">
        <v>95.64</v>
      </c>
      <c r="G15" s="36">
        <f t="shared" si="1"/>
        <v>10520.4</v>
      </c>
      <c r="H15" s="315"/>
      <c r="I15" s="315"/>
      <c r="J15" s="36"/>
      <c r="K15" s="36">
        <f t="shared" si="0"/>
        <v>10520.4</v>
      </c>
      <c r="L15" s="36">
        <f t="shared" si="0"/>
        <v>10520.4</v>
      </c>
      <c r="M15" s="36">
        <f t="shared" si="2"/>
        <v>79033.75</v>
      </c>
      <c r="N15" s="197"/>
    </row>
    <row r="16" spans="1:19">
      <c r="A16" s="26">
        <v>12</v>
      </c>
      <c r="B16" s="27">
        <v>46154</v>
      </c>
      <c r="C16" s="34"/>
      <c r="D16" s="35"/>
      <c r="E16" s="36"/>
      <c r="F16" s="36"/>
      <c r="G16" s="36">
        <f t="shared" si="1"/>
        <v>0</v>
      </c>
      <c r="H16" s="315"/>
      <c r="I16" s="315"/>
      <c r="J16" s="36"/>
      <c r="K16" s="36">
        <f t="shared" ref="K16:K19" si="3">G16+J16</f>
        <v>0</v>
      </c>
      <c r="L16" s="36">
        <f t="shared" ref="L16:L19" si="4">H16+K16</f>
        <v>0</v>
      </c>
      <c r="M16" s="36">
        <f t="shared" si="2"/>
        <v>79033.75</v>
      </c>
      <c r="N16" s="197"/>
      <c r="R16">
        <v>19166</v>
      </c>
    </row>
    <row r="17" spans="1:19">
      <c r="A17" s="26">
        <v>13</v>
      </c>
      <c r="B17" s="27">
        <v>46155</v>
      </c>
      <c r="C17" s="34"/>
      <c r="D17" s="35"/>
      <c r="E17" s="36"/>
      <c r="F17" s="36"/>
      <c r="G17" s="36">
        <f t="shared" si="1"/>
        <v>0</v>
      </c>
      <c r="H17" s="315"/>
      <c r="I17" s="315"/>
      <c r="J17" s="36"/>
      <c r="K17" s="36">
        <f t="shared" si="3"/>
        <v>0</v>
      </c>
      <c r="L17" s="36">
        <f t="shared" si="4"/>
        <v>0</v>
      </c>
      <c r="M17" s="36">
        <f t="shared" si="2"/>
        <v>79033.75</v>
      </c>
      <c r="N17" s="197"/>
      <c r="R17">
        <v>19645</v>
      </c>
    </row>
    <row r="18" spans="1:19">
      <c r="A18" s="26">
        <v>14</v>
      </c>
      <c r="B18" s="27">
        <v>46156</v>
      </c>
      <c r="C18" s="34"/>
      <c r="D18" s="35"/>
      <c r="E18" s="36">
        <v>109.96</v>
      </c>
      <c r="F18" s="36">
        <v>95.64</v>
      </c>
      <c r="G18" s="36">
        <f t="shared" si="1"/>
        <v>10516.5744</v>
      </c>
      <c r="H18" s="315"/>
      <c r="I18" s="315"/>
      <c r="J18" s="36"/>
      <c r="K18" s="36">
        <f t="shared" si="3"/>
        <v>10516.5744</v>
      </c>
      <c r="L18" s="36">
        <f t="shared" si="4"/>
        <v>10516.5744</v>
      </c>
      <c r="M18" s="36">
        <f t="shared" si="2"/>
        <v>79033.75</v>
      </c>
      <c r="N18" s="197"/>
      <c r="P18">
        <v>1905988</v>
      </c>
      <c r="Q18" s="173">
        <f>P18-M18</f>
        <v>1826954.25</v>
      </c>
      <c r="R18">
        <v>21083</v>
      </c>
    </row>
    <row r="19" spans="1:19">
      <c r="A19" s="26">
        <v>15</v>
      </c>
      <c r="B19" s="27">
        <v>46157</v>
      </c>
      <c r="C19" s="34"/>
      <c r="D19" s="35"/>
      <c r="E19" s="36"/>
      <c r="F19" s="36"/>
      <c r="G19" s="36">
        <f t="shared" si="1"/>
        <v>0</v>
      </c>
      <c r="H19" s="315"/>
      <c r="I19" s="315"/>
      <c r="J19" s="36"/>
      <c r="K19" s="36">
        <f t="shared" ref="K19:K35" si="5">G19+J19</f>
        <v>0</v>
      </c>
      <c r="L19" s="36">
        <f t="shared" ref="L19:L33" si="6">H19+K19</f>
        <v>0</v>
      </c>
      <c r="M19" s="36">
        <f t="shared" si="2"/>
        <v>79033.75</v>
      </c>
      <c r="N19" s="197"/>
      <c r="R19">
        <v>19140</v>
      </c>
      <c r="S19">
        <v>220637</v>
      </c>
    </row>
    <row r="20" spans="1:19">
      <c r="A20" s="26">
        <v>16</v>
      </c>
      <c r="B20" s="27">
        <v>46158</v>
      </c>
      <c r="C20" s="34"/>
      <c r="D20" s="35"/>
      <c r="E20" s="36"/>
      <c r="F20" s="36"/>
      <c r="G20" s="36"/>
      <c r="H20" s="315"/>
      <c r="I20" s="315"/>
      <c r="J20" s="36"/>
      <c r="K20" s="36">
        <f t="shared" si="5"/>
        <v>0</v>
      </c>
      <c r="L20" s="36">
        <f t="shared" si="6"/>
        <v>0</v>
      </c>
      <c r="M20" s="36">
        <f t="shared" si="2"/>
        <v>79033.75</v>
      </c>
      <c r="N20" s="197" t="s">
        <v>180</v>
      </c>
      <c r="R20">
        <f>SUM(R16:R19)</f>
        <v>79034</v>
      </c>
      <c r="S20">
        <f>S19+R20</f>
        <v>299671</v>
      </c>
    </row>
    <row r="21" spans="1:19">
      <c r="A21" s="26">
        <v>17</v>
      </c>
      <c r="B21" s="27">
        <v>46159</v>
      </c>
      <c r="C21" s="34"/>
      <c r="D21" s="35"/>
      <c r="E21" s="36"/>
      <c r="F21" s="36"/>
      <c r="G21" s="36"/>
      <c r="H21" s="315"/>
      <c r="I21" s="315"/>
      <c r="J21" s="36"/>
      <c r="K21" s="36">
        <f t="shared" si="5"/>
        <v>0</v>
      </c>
      <c r="L21" s="36">
        <f t="shared" si="6"/>
        <v>0</v>
      </c>
      <c r="M21" s="36">
        <f t="shared" si="2"/>
        <v>79033.75</v>
      </c>
      <c r="N21" s="197" t="s">
        <v>180</v>
      </c>
    </row>
    <row r="22" spans="1:19">
      <c r="A22" s="26">
        <v>18</v>
      </c>
      <c r="B22" s="27">
        <v>46160</v>
      </c>
      <c r="C22" s="167"/>
      <c r="D22" s="35"/>
      <c r="E22" s="36">
        <v>70</v>
      </c>
      <c r="F22" s="36">
        <v>98.9</v>
      </c>
      <c r="G22" s="36">
        <f t="shared" ref="G22:G34" si="7">E22*F22</f>
        <v>6923</v>
      </c>
      <c r="H22" s="315"/>
      <c r="I22" s="315"/>
      <c r="J22" s="36"/>
      <c r="K22" s="36">
        <f t="shared" si="5"/>
        <v>6923</v>
      </c>
      <c r="L22" s="36">
        <f t="shared" si="6"/>
        <v>6923</v>
      </c>
      <c r="M22" s="36">
        <f t="shared" si="2"/>
        <v>79033.75</v>
      </c>
      <c r="N22" s="235" t="s">
        <v>181</v>
      </c>
    </row>
    <row r="23" spans="1:19">
      <c r="A23" s="26">
        <v>19</v>
      </c>
      <c r="B23" s="27">
        <v>46161</v>
      </c>
      <c r="C23" s="167"/>
      <c r="D23" s="35"/>
      <c r="E23" s="36">
        <v>70</v>
      </c>
      <c r="F23" s="36">
        <v>99.89</v>
      </c>
      <c r="G23" s="36">
        <f t="shared" si="7"/>
        <v>6992.3</v>
      </c>
      <c r="H23" s="315"/>
      <c r="I23" s="315"/>
      <c r="J23" s="36"/>
      <c r="K23" s="36">
        <f t="shared" si="5"/>
        <v>6992.3</v>
      </c>
      <c r="L23" s="36">
        <f t="shared" si="6"/>
        <v>6992.3</v>
      </c>
      <c r="M23" s="36">
        <f t="shared" si="2"/>
        <v>79033.75</v>
      </c>
      <c r="N23" s="235"/>
    </row>
    <row r="24" spans="1:19">
      <c r="A24" s="26">
        <v>20</v>
      </c>
      <c r="B24" s="27">
        <v>46162</v>
      </c>
      <c r="C24" s="106"/>
      <c r="D24" s="35"/>
      <c r="E24" s="36">
        <v>70</v>
      </c>
      <c r="F24" s="36">
        <v>99.89</v>
      </c>
      <c r="G24" s="36">
        <f t="shared" si="7"/>
        <v>6992.3</v>
      </c>
      <c r="H24" s="315"/>
      <c r="I24" s="315"/>
      <c r="J24" s="36"/>
      <c r="K24" s="36">
        <f t="shared" si="5"/>
        <v>6992.3</v>
      </c>
      <c r="L24" s="36">
        <f t="shared" si="6"/>
        <v>6992.3</v>
      </c>
      <c r="M24" s="36">
        <f t="shared" si="2"/>
        <v>79033.75</v>
      </c>
      <c r="N24" s="235"/>
    </row>
    <row r="25" spans="1:19">
      <c r="A25" s="26">
        <v>21</v>
      </c>
      <c r="B25" s="27">
        <v>46163</v>
      </c>
      <c r="C25" s="179"/>
      <c r="D25" s="35"/>
      <c r="E25" s="36">
        <v>95</v>
      </c>
      <c r="F25" s="36">
        <v>99.89</v>
      </c>
      <c r="G25" s="36">
        <f t="shared" si="7"/>
        <v>9489.5499999999993</v>
      </c>
      <c r="H25" s="315"/>
      <c r="I25" s="315"/>
      <c r="J25" s="36"/>
      <c r="K25" s="36">
        <f t="shared" si="5"/>
        <v>9489.5499999999993</v>
      </c>
      <c r="L25" s="36">
        <f t="shared" si="6"/>
        <v>9489.5499999999993</v>
      </c>
      <c r="M25" s="36">
        <f t="shared" si="2"/>
        <v>79033.75</v>
      </c>
      <c r="N25" s="235"/>
    </row>
    <row r="26" spans="1:19">
      <c r="A26" s="26">
        <v>22</v>
      </c>
      <c r="B26" s="27">
        <v>46164</v>
      </c>
      <c r="C26" s="179"/>
      <c r="D26" s="35"/>
      <c r="E26" s="36">
        <v>70</v>
      </c>
      <c r="F26" s="36">
        <v>99.89</v>
      </c>
      <c r="G26" s="36">
        <f t="shared" si="7"/>
        <v>6992.3</v>
      </c>
      <c r="H26" s="315"/>
      <c r="I26" s="315"/>
      <c r="J26" s="36"/>
      <c r="K26" s="36">
        <f t="shared" si="5"/>
        <v>6992.3</v>
      </c>
      <c r="L26" s="36">
        <f t="shared" si="6"/>
        <v>6992.3</v>
      </c>
      <c r="M26" s="36">
        <f t="shared" si="2"/>
        <v>79033.75</v>
      </c>
      <c r="N26" s="235"/>
    </row>
    <row r="27" spans="1:19">
      <c r="A27" s="26">
        <v>23</v>
      </c>
      <c r="B27" s="27">
        <v>46165</v>
      </c>
      <c r="C27" s="106"/>
      <c r="D27" s="35"/>
      <c r="E27" s="36">
        <v>70</v>
      </c>
      <c r="F27" s="36">
        <v>99.89</v>
      </c>
      <c r="G27" s="36">
        <f t="shared" si="7"/>
        <v>6992.3</v>
      </c>
      <c r="H27" s="315"/>
      <c r="I27" s="315"/>
      <c r="J27" s="36"/>
      <c r="K27" s="36">
        <f t="shared" si="5"/>
        <v>6992.3</v>
      </c>
      <c r="L27" s="36">
        <f t="shared" si="6"/>
        <v>6992.3</v>
      </c>
      <c r="M27" s="36">
        <f t="shared" si="2"/>
        <v>79033.75</v>
      </c>
      <c r="N27" s="197"/>
    </row>
    <row r="28" spans="1:19">
      <c r="A28" s="26">
        <v>24</v>
      </c>
      <c r="B28" s="27">
        <v>46166</v>
      </c>
      <c r="C28" s="106"/>
      <c r="D28" s="35"/>
      <c r="E28" s="36"/>
      <c r="F28" s="36"/>
      <c r="G28" s="36">
        <f t="shared" si="7"/>
        <v>0</v>
      </c>
      <c r="H28" s="315"/>
      <c r="I28" s="315"/>
      <c r="J28" s="36"/>
      <c r="K28" s="36">
        <f t="shared" si="5"/>
        <v>0</v>
      </c>
      <c r="L28" s="36">
        <f t="shared" si="6"/>
        <v>0</v>
      </c>
      <c r="M28" s="36">
        <f t="shared" si="2"/>
        <v>79033.75</v>
      </c>
      <c r="N28" s="197"/>
    </row>
    <row r="29" spans="1:19">
      <c r="A29" s="26">
        <v>25</v>
      </c>
      <c r="B29" s="27">
        <v>46167</v>
      </c>
      <c r="C29" s="106"/>
      <c r="D29" s="35"/>
      <c r="E29" s="36">
        <v>70</v>
      </c>
      <c r="F29" s="36">
        <v>103.76</v>
      </c>
      <c r="G29" s="36">
        <f t="shared" si="7"/>
        <v>7263.2000000000007</v>
      </c>
      <c r="H29" s="315"/>
      <c r="I29" s="315"/>
      <c r="J29" s="36"/>
      <c r="K29" s="36">
        <f t="shared" si="5"/>
        <v>7263.2000000000007</v>
      </c>
      <c r="L29" s="36">
        <f t="shared" si="6"/>
        <v>7263.2000000000007</v>
      </c>
      <c r="M29" s="36">
        <f t="shared" si="2"/>
        <v>79033.75</v>
      </c>
      <c r="N29" s="197"/>
    </row>
    <row r="30" spans="1:19">
      <c r="A30" s="26">
        <v>26</v>
      </c>
      <c r="B30" s="27">
        <v>46168</v>
      </c>
      <c r="C30" s="106"/>
      <c r="D30" s="35"/>
      <c r="E30" s="36">
        <v>110</v>
      </c>
      <c r="F30" s="36">
        <v>103.76</v>
      </c>
      <c r="G30" s="36">
        <f t="shared" si="7"/>
        <v>11413.6</v>
      </c>
      <c r="H30" s="315"/>
      <c r="I30" s="315"/>
      <c r="J30" s="36"/>
      <c r="K30" s="36">
        <f t="shared" si="5"/>
        <v>11413.6</v>
      </c>
      <c r="L30" s="36">
        <f t="shared" si="6"/>
        <v>11413.6</v>
      </c>
      <c r="M30" s="36">
        <f t="shared" si="2"/>
        <v>79033.75</v>
      </c>
      <c r="N30" s="197"/>
    </row>
    <row r="31" spans="1:19">
      <c r="A31" s="26">
        <v>27</v>
      </c>
      <c r="B31" s="27">
        <v>46169</v>
      </c>
      <c r="C31" s="106"/>
      <c r="D31" s="35"/>
      <c r="E31" s="36"/>
      <c r="F31" s="36"/>
      <c r="G31" s="36">
        <f t="shared" si="7"/>
        <v>0</v>
      </c>
      <c r="H31" s="315"/>
      <c r="I31" s="315"/>
      <c r="J31" s="36"/>
      <c r="K31" s="36">
        <f t="shared" si="5"/>
        <v>0</v>
      </c>
      <c r="L31" s="36">
        <f t="shared" si="6"/>
        <v>0</v>
      </c>
      <c r="M31" s="36">
        <f t="shared" si="2"/>
        <v>79033.75</v>
      </c>
      <c r="N31" s="197"/>
    </row>
    <row r="32" spans="1:19">
      <c r="A32" s="26">
        <v>28</v>
      </c>
      <c r="B32" s="27">
        <v>46170</v>
      </c>
      <c r="C32" s="106"/>
      <c r="D32" s="35"/>
      <c r="E32" s="36"/>
      <c r="F32" s="36"/>
      <c r="G32" s="36">
        <f t="shared" si="7"/>
        <v>0</v>
      </c>
      <c r="H32" s="315"/>
      <c r="I32" s="315"/>
      <c r="J32" s="36"/>
      <c r="K32" s="36">
        <f t="shared" si="5"/>
        <v>0</v>
      </c>
      <c r="L32" s="36">
        <f t="shared" si="6"/>
        <v>0</v>
      </c>
      <c r="M32" s="36">
        <f t="shared" si="2"/>
        <v>79033.75</v>
      </c>
      <c r="N32" s="197"/>
    </row>
    <row r="33" spans="1:16">
      <c r="A33" s="26">
        <v>29</v>
      </c>
      <c r="B33" s="27">
        <v>46171</v>
      </c>
      <c r="C33" s="106"/>
      <c r="D33" s="35"/>
      <c r="E33" s="36">
        <v>35</v>
      </c>
      <c r="F33" s="36">
        <v>103.76</v>
      </c>
      <c r="G33" s="36">
        <f t="shared" si="7"/>
        <v>3631.6000000000004</v>
      </c>
      <c r="H33" s="315"/>
      <c r="I33" s="315"/>
      <c r="J33" s="36"/>
      <c r="K33" s="36">
        <f t="shared" si="5"/>
        <v>3631.6000000000004</v>
      </c>
      <c r="L33" s="36">
        <f t="shared" si="6"/>
        <v>3631.6000000000004</v>
      </c>
      <c r="M33" s="36">
        <f t="shared" si="2"/>
        <v>79033.75</v>
      </c>
      <c r="N33" s="197"/>
    </row>
    <row r="34" spans="1:16">
      <c r="A34" s="26"/>
      <c r="B34" s="534">
        <v>46171</v>
      </c>
      <c r="C34" s="106"/>
      <c r="D34" s="35"/>
      <c r="E34" s="536">
        <v>200</v>
      </c>
      <c r="F34" s="36">
        <v>103.82</v>
      </c>
      <c r="G34" s="36">
        <f t="shared" si="7"/>
        <v>20764</v>
      </c>
      <c r="H34" s="315"/>
      <c r="I34" s="315"/>
      <c r="J34" s="36"/>
      <c r="K34" s="36">
        <f t="shared" si="5"/>
        <v>20764</v>
      </c>
      <c r="L34" s="36"/>
      <c r="M34" s="36">
        <f t="shared" si="2"/>
        <v>99797.75</v>
      </c>
      <c r="N34" s="197"/>
    </row>
    <row r="35" spans="1:16">
      <c r="A35" s="26">
        <v>30</v>
      </c>
      <c r="B35" s="27">
        <v>46172</v>
      </c>
      <c r="C35" s="106"/>
      <c r="D35" s="35"/>
      <c r="E35" s="36"/>
      <c r="F35" s="36"/>
      <c r="G35" s="36"/>
      <c r="H35" s="315"/>
      <c r="I35" s="315"/>
      <c r="J35" s="36"/>
      <c r="K35" s="36">
        <f t="shared" si="5"/>
        <v>0</v>
      </c>
      <c r="L35" s="36"/>
      <c r="M35" s="36">
        <f t="shared" si="2"/>
        <v>99797.75</v>
      </c>
      <c r="N35" s="197"/>
    </row>
    <row r="36" spans="1:16">
      <c r="A36" s="26">
        <v>31</v>
      </c>
      <c r="B36" s="27">
        <v>46173</v>
      </c>
      <c r="C36" s="106"/>
      <c r="D36" s="35"/>
      <c r="E36" s="36"/>
      <c r="F36" s="36"/>
      <c r="G36" s="36"/>
      <c r="H36" s="315"/>
      <c r="I36" s="315"/>
      <c r="J36" s="36"/>
      <c r="K36" s="36"/>
      <c r="L36" s="36"/>
      <c r="M36" s="36">
        <f t="shared" si="2"/>
        <v>99797.75</v>
      </c>
      <c r="N36" s="197"/>
    </row>
    <row r="37" spans="1:16">
      <c r="A37" s="26">
        <v>32</v>
      </c>
      <c r="B37" s="27">
        <v>46174</v>
      </c>
      <c r="C37" s="106"/>
      <c r="D37" s="35"/>
      <c r="E37" s="36"/>
      <c r="F37" s="36"/>
      <c r="G37" s="36"/>
      <c r="H37" s="315"/>
      <c r="I37" s="315"/>
      <c r="J37" s="36"/>
      <c r="K37" s="36"/>
      <c r="L37" s="196"/>
      <c r="M37" s="36"/>
      <c r="N37" s="197"/>
    </row>
    <row r="38" spans="1:16">
      <c r="A38" s="26">
        <v>33</v>
      </c>
      <c r="B38" s="27">
        <v>46175</v>
      </c>
      <c r="C38" s="106"/>
      <c r="D38" s="35"/>
      <c r="E38" s="36"/>
      <c r="F38" s="36"/>
      <c r="G38" s="36"/>
      <c r="H38" s="315"/>
      <c r="I38" s="315"/>
      <c r="J38" s="36"/>
      <c r="K38" s="36"/>
      <c r="L38" s="196"/>
      <c r="M38" s="36"/>
      <c r="N38" s="197"/>
    </row>
    <row r="39" spans="1:16">
      <c r="A39" s="26">
        <v>34</v>
      </c>
      <c r="B39" s="27">
        <v>46176</v>
      </c>
      <c r="C39" s="106"/>
      <c r="D39" s="35"/>
      <c r="E39" s="36"/>
      <c r="F39" s="36"/>
      <c r="G39" s="36"/>
      <c r="H39" s="315"/>
      <c r="I39" s="315"/>
      <c r="J39" s="36"/>
      <c r="K39" s="36"/>
      <c r="L39" s="196"/>
      <c r="M39" s="36"/>
      <c r="N39" s="197"/>
    </row>
    <row r="40" spans="1:16">
      <c r="A40" s="26">
        <v>35</v>
      </c>
      <c r="B40" s="27"/>
      <c r="C40" s="106"/>
      <c r="D40" s="35"/>
      <c r="E40" s="36"/>
      <c r="F40" s="36"/>
      <c r="G40" s="36"/>
      <c r="H40" s="315"/>
      <c r="I40" s="315"/>
      <c r="J40" s="36"/>
      <c r="K40" s="36"/>
      <c r="L40" s="196"/>
      <c r="M40" s="36"/>
      <c r="N40" s="197"/>
    </row>
    <row r="41" spans="1:16">
      <c r="A41" s="26">
        <v>36</v>
      </c>
      <c r="B41" s="27"/>
      <c r="C41" s="106"/>
      <c r="D41" s="35"/>
      <c r="E41" s="36"/>
      <c r="F41" s="36"/>
      <c r="G41" s="36"/>
      <c r="H41" s="315"/>
      <c r="I41" s="315"/>
      <c r="J41" s="36"/>
      <c r="K41" s="36"/>
      <c r="L41" s="196"/>
      <c r="M41" s="36"/>
      <c r="N41" s="197"/>
    </row>
    <row r="42" spans="1:16">
      <c r="A42" s="26">
        <v>37</v>
      </c>
      <c r="B42" s="27"/>
      <c r="C42" s="106"/>
      <c r="D42" s="35"/>
      <c r="E42" s="36"/>
      <c r="F42" s="36"/>
      <c r="G42" s="36"/>
      <c r="H42" s="315"/>
      <c r="I42" s="315"/>
      <c r="J42" s="36"/>
      <c r="K42" s="36"/>
      <c r="L42" s="196"/>
      <c r="M42" s="36"/>
      <c r="N42" s="197"/>
    </row>
    <row r="43" spans="1:16">
      <c r="A43" s="26">
        <v>38</v>
      </c>
      <c r="B43" s="27"/>
      <c r="C43" s="106"/>
      <c r="D43" s="35"/>
      <c r="E43" s="36"/>
      <c r="F43" s="36"/>
      <c r="G43" s="36"/>
      <c r="H43" s="315"/>
      <c r="I43" s="315"/>
      <c r="J43" s="36"/>
      <c r="K43" s="36"/>
      <c r="L43" s="196"/>
      <c r="M43" s="36"/>
      <c r="N43" s="235"/>
      <c r="O43">
        <v>2669494</v>
      </c>
      <c r="P43" s="173">
        <f>O43-M43</f>
        <v>2669494</v>
      </c>
    </row>
    <row r="44" spans="1:16">
      <c r="A44" s="333"/>
      <c r="B44" s="27"/>
      <c r="C44" s="33"/>
      <c r="D44" s="334"/>
      <c r="E44" s="36">
        <v>0</v>
      </c>
      <c r="F44" s="36">
        <v>0</v>
      </c>
      <c r="G44" s="36">
        <f>E44*F44</f>
        <v>0</v>
      </c>
      <c r="H44" s="36"/>
      <c r="I44" s="36"/>
      <c r="J44" s="36">
        <f t="shared" ref="J20:J44" si="8">H44*I44</f>
        <v>0</v>
      </c>
      <c r="K44" s="36">
        <f t="shared" si="0"/>
        <v>0</v>
      </c>
      <c r="L44" s="38"/>
      <c r="M44" s="36">
        <f t="shared" ref="M40:M44" si="9">M43+K44-L44</f>
        <v>0</v>
      </c>
      <c r="N44" s="36"/>
    </row>
    <row r="45" spans="1:16">
      <c r="A45" s="180"/>
      <c r="B45" s="335"/>
      <c r="C45" s="335"/>
      <c r="D45" s="335"/>
      <c r="E45" s="336">
        <f>SUM(E4:E43)</f>
        <v>1414.96</v>
      </c>
      <c r="F45" s="336"/>
      <c r="G45" s="336">
        <f>SUM(G4:G43)</f>
        <v>140530.52439999999</v>
      </c>
      <c r="H45" s="336">
        <f>SUM(H4:H43)</f>
        <v>0</v>
      </c>
      <c r="I45" s="336"/>
      <c r="J45" s="336">
        <f>SUM(J4:J43)</f>
        <v>0</v>
      </c>
      <c r="K45" s="336">
        <f>SUM(K4:K43)</f>
        <v>140530.52439999999</v>
      </c>
      <c r="L45" s="336">
        <f>SUM(L4:L43)</f>
        <v>119766.52440000001</v>
      </c>
      <c r="M45" s="337"/>
      <c r="N45" s="338"/>
    </row>
    <row r="46" spans="1:16">
      <c r="A46" s="37"/>
      <c r="B46" s="37"/>
      <c r="C46" s="37"/>
      <c r="D46" s="37"/>
      <c r="E46" s="339"/>
      <c r="F46" s="339"/>
      <c r="G46" s="339"/>
      <c r="H46" s="339"/>
      <c r="I46" s="339"/>
      <c r="J46" s="339"/>
      <c r="K46" s="339"/>
      <c r="L46" s="339"/>
      <c r="M46" s="339"/>
      <c r="N46" s="339"/>
    </row>
    <row r="47" spans="1:16">
      <c r="A47" s="33"/>
      <c r="B47" s="33"/>
      <c r="C47" s="33"/>
      <c r="D47" s="33"/>
      <c r="E47" s="33"/>
      <c r="F47" s="33"/>
      <c r="G47" s="39"/>
      <c r="H47" s="33"/>
      <c r="I47" s="33"/>
      <c r="J47" s="33"/>
      <c r="K47" s="33"/>
      <c r="L47" s="33"/>
      <c r="M47" s="33"/>
      <c r="N47" s="33"/>
    </row>
    <row r="48" spans="1:16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</row>
    <row r="52" spans="5:13">
      <c r="E52" s="173"/>
    </row>
    <row r="54" spans="5:13">
      <c r="M54">
        <v>2408309</v>
      </c>
    </row>
    <row r="55" spans="5:13">
      <c r="M55">
        <v>5327.86</v>
      </c>
    </row>
    <row r="56" spans="5:13">
      <c r="M56" s="340">
        <f>M54-M55</f>
        <v>2402981.14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38"/>
  <sheetViews>
    <sheetView topLeftCell="A2" workbookViewId="0">
      <selection activeCell="J9" sqref="J9"/>
    </sheetView>
  </sheetViews>
  <sheetFormatPr defaultRowHeight="15"/>
  <cols>
    <col min="2" max="2" width="10.5703125" bestFit="1" customWidth="1"/>
    <col min="4" max="4" width="14" customWidth="1"/>
    <col min="5" max="5" width="16.85546875" customWidth="1"/>
    <col min="6" max="6" width="10.42578125" bestFit="1" customWidth="1"/>
    <col min="7" max="7" width="13.85546875" customWidth="1"/>
    <col min="10" max="10" width="9.28515625" bestFit="1" customWidth="1"/>
    <col min="11" max="11" width="13" customWidth="1"/>
    <col min="12" max="12" width="16.42578125" customWidth="1"/>
    <col min="13" max="13" width="12.28515625" bestFit="1" customWidth="1"/>
    <col min="16" max="16" width="12.140625" bestFit="1" customWidth="1"/>
    <col min="18" max="18" width="13" bestFit="1" customWidth="1"/>
  </cols>
  <sheetData>
    <row r="1" spans="1:18" ht="15.75">
      <c r="A1" s="550" t="s">
        <v>67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</row>
    <row r="2" spans="1:18" ht="30">
      <c r="A2" s="123" t="s">
        <v>0</v>
      </c>
      <c r="B2" s="124" t="s">
        <v>166</v>
      </c>
      <c r="C2" s="124" t="s">
        <v>167</v>
      </c>
      <c r="D2" s="124" t="s">
        <v>168</v>
      </c>
      <c r="E2" s="124" t="s">
        <v>169</v>
      </c>
      <c r="F2" s="124" t="s">
        <v>170</v>
      </c>
      <c r="G2" s="124" t="s">
        <v>171</v>
      </c>
      <c r="H2" s="124" t="s">
        <v>172</v>
      </c>
      <c r="I2" s="124" t="s">
        <v>170</v>
      </c>
      <c r="J2" s="125" t="s">
        <v>171</v>
      </c>
      <c r="K2" s="123" t="s">
        <v>173</v>
      </c>
      <c r="L2" s="126" t="s">
        <v>174</v>
      </c>
      <c r="M2" s="126" t="s">
        <v>182</v>
      </c>
      <c r="N2" s="124" t="s">
        <v>176</v>
      </c>
    </row>
    <row r="3" spans="1:18">
      <c r="A3" s="551" t="s">
        <v>177</v>
      </c>
      <c r="B3" s="551"/>
      <c r="C3" s="551"/>
      <c r="D3" s="551"/>
      <c r="E3" s="551"/>
      <c r="F3" s="551"/>
      <c r="G3" s="551"/>
      <c r="H3" s="551"/>
      <c r="I3" s="551"/>
      <c r="J3" s="551"/>
      <c r="K3" s="211">
        <v>1769630.6855000001</v>
      </c>
      <c r="L3" s="226"/>
      <c r="M3" s="211">
        <v>1769630.6855000001</v>
      </c>
      <c r="N3" s="94"/>
    </row>
    <row r="4" spans="1:18">
      <c r="A4" s="26">
        <v>1</v>
      </c>
      <c r="B4" s="27">
        <v>46143</v>
      </c>
      <c r="C4" s="17"/>
      <c r="D4" s="17"/>
      <c r="E4" s="17"/>
      <c r="F4" s="17"/>
      <c r="G4" s="17">
        <f>E4*F4</f>
        <v>0</v>
      </c>
      <c r="H4" s="307"/>
      <c r="I4" s="17"/>
      <c r="J4" s="17"/>
      <c r="K4" s="17">
        <f>G4+J4</f>
        <v>0</v>
      </c>
      <c r="L4" s="17">
        <v>0</v>
      </c>
      <c r="M4" s="40">
        <f>M3+K4-L4</f>
        <v>1769630.6855000001</v>
      </c>
      <c r="N4" s="17"/>
    </row>
    <row r="5" spans="1:18">
      <c r="A5" s="26">
        <v>2</v>
      </c>
      <c r="B5" s="27">
        <v>46144</v>
      </c>
      <c r="C5" s="17"/>
      <c r="D5" s="17"/>
      <c r="E5" s="17">
        <v>2700</v>
      </c>
      <c r="F5" s="17">
        <v>95.68</v>
      </c>
      <c r="G5" s="17">
        <f t="shared" ref="G5:G33" si="0">E5*F5</f>
        <v>258336.00000000003</v>
      </c>
      <c r="H5" s="307"/>
      <c r="I5" s="17"/>
      <c r="J5" s="17"/>
      <c r="K5" s="17">
        <f t="shared" ref="K5:L33" si="1">G5+J5</f>
        <v>258336.00000000003</v>
      </c>
      <c r="L5" s="17">
        <f t="shared" si="1"/>
        <v>258336.00000000003</v>
      </c>
      <c r="M5" s="40">
        <f>M4+K5-L5</f>
        <v>1769630.6855000001</v>
      </c>
      <c r="N5" s="17"/>
    </row>
    <row r="6" spans="1:18">
      <c r="A6" s="26">
        <v>3</v>
      </c>
      <c r="B6" s="27">
        <v>46145</v>
      </c>
      <c r="C6" s="17"/>
      <c r="D6" s="17"/>
      <c r="E6" s="17">
        <v>2000</v>
      </c>
      <c r="F6" s="17">
        <v>95.68</v>
      </c>
      <c r="G6" s="17">
        <f t="shared" si="0"/>
        <v>191360</v>
      </c>
      <c r="H6" s="307"/>
      <c r="I6" s="17"/>
      <c r="J6" s="17">
        <f>H6*I6</f>
        <v>0</v>
      </c>
      <c r="K6" s="17">
        <f t="shared" si="1"/>
        <v>191360</v>
      </c>
      <c r="L6" s="17">
        <f t="shared" si="1"/>
        <v>191360</v>
      </c>
      <c r="M6" s="40">
        <f t="shared" ref="M6:M8" si="2">M5+K6-L6</f>
        <v>1769630.6855000001</v>
      </c>
      <c r="N6" s="17"/>
    </row>
    <row r="7" spans="1:18">
      <c r="A7" s="26">
        <v>4</v>
      </c>
      <c r="B7" s="27">
        <v>46146</v>
      </c>
      <c r="C7" s="17"/>
      <c r="D7" s="17"/>
      <c r="E7" s="17">
        <v>1500</v>
      </c>
      <c r="F7" s="17">
        <v>95.68</v>
      </c>
      <c r="G7" s="17">
        <f t="shared" si="0"/>
        <v>143520</v>
      </c>
      <c r="H7" s="307"/>
      <c r="I7" s="17"/>
      <c r="J7" s="17">
        <f t="shared" ref="J7:J17" si="3">H7*I7</f>
        <v>0</v>
      </c>
      <c r="K7" s="17">
        <f t="shared" si="1"/>
        <v>143520</v>
      </c>
      <c r="L7" s="17">
        <f t="shared" si="1"/>
        <v>143520</v>
      </c>
      <c r="M7" s="40">
        <f t="shared" si="2"/>
        <v>1769630.6855000001</v>
      </c>
      <c r="N7" s="17"/>
    </row>
    <row r="8" spans="1:18">
      <c r="A8" s="26">
        <v>5</v>
      </c>
      <c r="B8" s="27">
        <v>46147</v>
      </c>
      <c r="C8" s="17"/>
      <c r="D8" s="17"/>
      <c r="E8" s="17">
        <v>2700</v>
      </c>
      <c r="F8" s="17">
        <v>95.68</v>
      </c>
      <c r="G8" s="17">
        <f t="shared" si="0"/>
        <v>258336.00000000003</v>
      </c>
      <c r="H8" s="307"/>
      <c r="I8" s="17"/>
      <c r="J8" s="17">
        <f t="shared" si="3"/>
        <v>0</v>
      </c>
      <c r="K8" s="17">
        <f t="shared" si="1"/>
        <v>258336.00000000003</v>
      </c>
      <c r="L8" s="17">
        <f t="shared" si="1"/>
        <v>258336.00000000003</v>
      </c>
      <c r="M8" s="40">
        <f t="shared" si="2"/>
        <v>1769630.6855000001</v>
      </c>
      <c r="N8" s="17"/>
    </row>
    <row r="9" spans="1:18">
      <c r="A9" s="26">
        <v>6</v>
      </c>
      <c r="B9" s="27">
        <v>46148</v>
      </c>
      <c r="C9" s="17"/>
      <c r="D9" s="17"/>
      <c r="E9" s="17">
        <v>1400</v>
      </c>
      <c r="F9" s="17">
        <v>95.68</v>
      </c>
      <c r="G9" s="17">
        <f t="shared" si="0"/>
        <v>133952</v>
      </c>
      <c r="H9" s="307"/>
      <c r="I9" s="17"/>
      <c r="J9" s="17">
        <f t="shared" si="3"/>
        <v>0</v>
      </c>
      <c r="K9" s="17">
        <f t="shared" si="1"/>
        <v>133952</v>
      </c>
      <c r="L9" s="17">
        <f t="shared" si="1"/>
        <v>133952</v>
      </c>
      <c r="M9" s="40">
        <f>M8+K9-L9</f>
        <v>1769630.6855000001</v>
      </c>
      <c r="N9" s="17"/>
    </row>
    <row r="10" spans="1:18">
      <c r="A10" s="26">
        <v>7</v>
      </c>
      <c r="B10" s="27">
        <v>46149</v>
      </c>
      <c r="C10" s="17"/>
      <c r="D10" s="17"/>
      <c r="E10" s="17"/>
      <c r="F10" s="17"/>
      <c r="G10" s="17">
        <f t="shared" si="0"/>
        <v>0</v>
      </c>
      <c r="H10" s="307"/>
      <c r="I10" s="17"/>
      <c r="J10" s="17">
        <f t="shared" si="3"/>
        <v>0</v>
      </c>
      <c r="K10" s="17">
        <f t="shared" si="1"/>
        <v>0</v>
      </c>
      <c r="L10" s="17">
        <v>0</v>
      </c>
      <c r="M10" s="40">
        <f>M9+K10-L10</f>
        <v>1769630.6855000001</v>
      </c>
      <c r="N10" s="17"/>
    </row>
    <row r="11" spans="1:18">
      <c r="A11" s="26">
        <v>8</v>
      </c>
      <c r="B11" s="27">
        <v>46150</v>
      </c>
      <c r="C11" s="17"/>
      <c r="D11" s="17"/>
      <c r="E11" s="17">
        <v>2800</v>
      </c>
      <c r="F11" s="17">
        <v>95.68</v>
      </c>
      <c r="G11" s="17">
        <f t="shared" si="0"/>
        <v>267904</v>
      </c>
      <c r="H11" s="307"/>
      <c r="I11" s="17"/>
      <c r="J11" s="17">
        <f t="shared" si="3"/>
        <v>0</v>
      </c>
      <c r="K11" s="17">
        <f t="shared" si="1"/>
        <v>267904</v>
      </c>
      <c r="L11" s="331">
        <v>267904</v>
      </c>
      <c r="M11" s="40">
        <f>M10+K11-L11</f>
        <v>1769630.6855000001</v>
      </c>
      <c r="N11" s="17"/>
    </row>
    <row r="12" spans="1:18">
      <c r="A12" s="26">
        <v>9</v>
      </c>
      <c r="B12" s="27">
        <v>46151</v>
      </c>
      <c r="C12" s="17"/>
      <c r="D12" s="17"/>
      <c r="E12" s="17"/>
      <c r="F12" s="17"/>
      <c r="G12" s="17">
        <f t="shared" si="0"/>
        <v>0</v>
      </c>
      <c r="H12" s="307"/>
      <c r="I12" s="17"/>
      <c r="J12" s="17">
        <f t="shared" si="3"/>
        <v>0</v>
      </c>
      <c r="K12" s="17">
        <f t="shared" si="1"/>
        <v>0</v>
      </c>
      <c r="L12" s="17">
        <v>0</v>
      </c>
      <c r="M12" s="40">
        <f>M11+K12-L12</f>
        <v>1769630.6855000001</v>
      </c>
      <c r="N12" s="17"/>
    </row>
    <row r="13" spans="1:18">
      <c r="A13" s="26">
        <v>10</v>
      </c>
      <c r="B13" s="27">
        <v>46152</v>
      </c>
      <c r="C13" s="17"/>
      <c r="D13" s="17"/>
      <c r="E13" s="17">
        <v>2500</v>
      </c>
      <c r="F13" s="17">
        <v>95.68</v>
      </c>
      <c r="G13" s="17">
        <f t="shared" si="0"/>
        <v>239200.00000000003</v>
      </c>
      <c r="H13" s="307"/>
      <c r="I13" s="17"/>
      <c r="J13" s="17">
        <f t="shared" si="3"/>
        <v>0</v>
      </c>
      <c r="K13" s="17">
        <f t="shared" si="1"/>
        <v>239200.00000000003</v>
      </c>
      <c r="L13" s="17">
        <f t="shared" si="1"/>
        <v>239200.00000000003</v>
      </c>
      <c r="M13" s="40">
        <f t="shared" ref="M13:M35" si="4">M12+K13-L13</f>
        <v>1769630.6855000001</v>
      </c>
      <c r="N13" s="17"/>
      <c r="P13" s="22"/>
    </row>
    <row r="14" spans="1:18">
      <c r="A14" s="26">
        <v>11</v>
      </c>
      <c r="B14" s="27">
        <v>46153</v>
      </c>
      <c r="C14" s="17"/>
      <c r="D14" s="17"/>
      <c r="E14" s="17"/>
      <c r="F14" s="17"/>
      <c r="G14" s="17">
        <f t="shared" si="0"/>
        <v>0</v>
      </c>
      <c r="H14" s="307"/>
      <c r="I14" s="17"/>
      <c r="J14" s="17">
        <f t="shared" si="3"/>
        <v>0</v>
      </c>
      <c r="K14" s="17">
        <f t="shared" si="1"/>
        <v>0</v>
      </c>
      <c r="L14" s="17">
        <v>0</v>
      </c>
      <c r="M14" s="40">
        <f t="shared" si="4"/>
        <v>1769630.6855000001</v>
      </c>
      <c r="N14" s="17"/>
    </row>
    <row r="15" spans="1:18">
      <c r="A15" s="26">
        <v>12</v>
      </c>
      <c r="B15" s="27">
        <v>46154</v>
      </c>
      <c r="C15" s="17"/>
      <c r="D15" s="17"/>
      <c r="E15" s="17"/>
      <c r="F15" s="17"/>
      <c r="G15" s="17">
        <f t="shared" si="0"/>
        <v>0</v>
      </c>
      <c r="H15" s="307"/>
      <c r="I15" s="17"/>
      <c r="J15" s="17">
        <f t="shared" si="3"/>
        <v>0</v>
      </c>
      <c r="K15" s="17">
        <f t="shared" si="1"/>
        <v>0</v>
      </c>
      <c r="L15" s="17">
        <v>0</v>
      </c>
      <c r="M15" s="40">
        <f t="shared" si="4"/>
        <v>1769630.6855000001</v>
      </c>
      <c r="N15" s="17"/>
      <c r="R15" s="22"/>
    </row>
    <row r="16" spans="1:18">
      <c r="A16" s="26">
        <v>13</v>
      </c>
      <c r="B16" s="27">
        <v>46155</v>
      </c>
      <c r="C16" s="17"/>
      <c r="D16" s="17"/>
      <c r="E16" s="40">
        <v>4875.88</v>
      </c>
      <c r="F16" s="40">
        <v>95.68</v>
      </c>
      <c r="G16" s="40">
        <f t="shared" si="0"/>
        <v>466524.19840000005</v>
      </c>
      <c r="H16" s="444"/>
      <c r="I16" s="40"/>
      <c r="J16" s="40">
        <f t="shared" si="3"/>
        <v>0</v>
      </c>
      <c r="K16" s="17">
        <f>G16+J16</f>
        <v>466524.19840000005</v>
      </c>
      <c r="L16" s="40">
        <v>466524</v>
      </c>
      <c r="M16" s="40">
        <f t="shared" si="4"/>
        <v>1769630.8839000002</v>
      </c>
      <c r="N16" s="17"/>
    </row>
    <row r="17" spans="1:16">
      <c r="A17" s="26">
        <v>14</v>
      </c>
      <c r="B17" s="27">
        <v>46156</v>
      </c>
      <c r="C17" s="17"/>
      <c r="D17" s="17"/>
      <c r="E17" s="40"/>
      <c r="F17" s="40"/>
      <c r="G17" s="40">
        <f t="shared" si="0"/>
        <v>0</v>
      </c>
      <c r="H17" s="444"/>
      <c r="I17" s="40"/>
      <c r="J17" s="40">
        <f t="shared" si="3"/>
        <v>0</v>
      </c>
      <c r="K17" s="17">
        <f>G17+J17</f>
        <v>0</v>
      </c>
      <c r="L17" s="40">
        <v>0</v>
      </c>
      <c r="M17" s="40">
        <f t="shared" si="4"/>
        <v>1769630.8839000002</v>
      </c>
      <c r="N17" s="17"/>
    </row>
    <row r="18" spans="1:16">
      <c r="A18" s="26">
        <v>15</v>
      </c>
      <c r="B18" s="27">
        <v>46157</v>
      </c>
      <c r="C18" s="17"/>
      <c r="D18" s="17"/>
      <c r="E18" s="40">
        <v>2728.93</v>
      </c>
      <c r="F18" s="40">
        <v>98.94</v>
      </c>
      <c r="G18" s="40">
        <f t="shared" si="0"/>
        <v>270000.33419999998</v>
      </c>
      <c r="H18" s="444"/>
      <c r="I18" s="40"/>
      <c r="J18" s="40"/>
      <c r="K18" s="17">
        <f>G18+J18</f>
        <v>270000.33419999998</v>
      </c>
      <c r="L18" s="40">
        <v>270000</v>
      </c>
      <c r="M18" s="40">
        <f t="shared" si="4"/>
        <v>1769631.2181000002</v>
      </c>
      <c r="N18" s="17"/>
    </row>
    <row r="19" spans="1:16">
      <c r="A19" s="26">
        <v>16</v>
      </c>
      <c r="B19" s="27">
        <v>46158</v>
      </c>
      <c r="C19" s="17"/>
      <c r="D19" s="17"/>
      <c r="E19" s="40">
        <v>2800</v>
      </c>
      <c r="F19" s="40">
        <v>98.94</v>
      </c>
      <c r="G19" s="40">
        <f t="shared" si="0"/>
        <v>277032</v>
      </c>
      <c r="H19" s="444"/>
      <c r="I19" s="40"/>
      <c r="J19" s="40"/>
      <c r="K19" s="17">
        <f>G19+J19</f>
        <v>277032</v>
      </c>
      <c r="L19" s="40">
        <v>0</v>
      </c>
      <c r="M19" s="40">
        <f t="shared" si="4"/>
        <v>2046663.2181000002</v>
      </c>
      <c r="N19" s="17"/>
    </row>
    <row r="20" spans="1:16">
      <c r="A20" s="26">
        <v>17</v>
      </c>
      <c r="B20" s="27">
        <v>46159</v>
      </c>
      <c r="C20" s="17"/>
      <c r="D20" s="17"/>
      <c r="E20" s="40">
        <v>2080.5300000000002</v>
      </c>
      <c r="F20" s="40">
        <v>98.94</v>
      </c>
      <c r="G20" s="40">
        <f t="shared" si="0"/>
        <v>205847.63820000002</v>
      </c>
      <c r="H20" s="444"/>
      <c r="I20" s="40"/>
      <c r="J20" s="40"/>
      <c r="K20" s="328">
        <f>G20+J20</f>
        <v>205847.63820000002</v>
      </c>
      <c r="L20" s="40">
        <v>285000</v>
      </c>
      <c r="M20" s="40">
        <f t="shared" si="4"/>
        <v>1967510.8563000001</v>
      </c>
      <c r="N20" s="17"/>
    </row>
    <row r="21" spans="1:16">
      <c r="A21" s="26">
        <v>18</v>
      </c>
      <c r="B21" s="27">
        <v>46160</v>
      </c>
      <c r="C21" s="17"/>
      <c r="D21" s="17"/>
      <c r="E21" s="17">
        <v>2800</v>
      </c>
      <c r="F21" s="17">
        <v>98.94</v>
      </c>
      <c r="G21" s="17">
        <f t="shared" si="0"/>
        <v>277032</v>
      </c>
      <c r="H21" s="307"/>
      <c r="I21" s="17"/>
      <c r="J21" s="17"/>
      <c r="K21" s="17">
        <f>G21+J21</f>
        <v>277032</v>
      </c>
      <c r="L21" s="17">
        <v>197880</v>
      </c>
      <c r="M21" s="40">
        <f t="shared" si="4"/>
        <v>2046662.8563000001</v>
      </c>
      <c r="N21" s="17"/>
    </row>
    <row r="22" spans="1:16">
      <c r="A22" s="26">
        <v>19</v>
      </c>
      <c r="B22" s="27">
        <v>46161</v>
      </c>
      <c r="C22" s="17"/>
      <c r="D22" s="17"/>
      <c r="E22" s="17"/>
      <c r="F22" s="17"/>
      <c r="G22" s="17">
        <f t="shared" si="0"/>
        <v>0</v>
      </c>
      <c r="H22" s="307"/>
      <c r="I22" s="17"/>
      <c r="J22" s="17"/>
      <c r="K22" s="17">
        <f t="shared" si="1"/>
        <v>0</v>
      </c>
      <c r="L22" s="17">
        <v>0</v>
      </c>
      <c r="M22" s="40">
        <f t="shared" si="4"/>
        <v>2046662.8563000001</v>
      </c>
      <c r="N22" s="17"/>
    </row>
    <row r="23" spans="1:16">
      <c r="A23" s="26">
        <v>20</v>
      </c>
      <c r="B23" s="27">
        <v>46162</v>
      </c>
      <c r="C23" s="17"/>
      <c r="D23" s="17"/>
      <c r="E23" s="17">
        <v>2800</v>
      </c>
      <c r="F23" s="17">
        <v>99.93</v>
      </c>
      <c r="G23" s="17">
        <f t="shared" si="0"/>
        <v>279804</v>
      </c>
      <c r="H23" s="307"/>
      <c r="I23" s="17"/>
      <c r="J23" s="17"/>
      <c r="K23" s="17">
        <f t="shared" si="1"/>
        <v>279804</v>
      </c>
      <c r="L23" s="17">
        <v>200000</v>
      </c>
      <c r="M23" s="40">
        <f t="shared" si="4"/>
        <v>2126466.8563000001</v>
      </c>
      <c r="N23" s="17"/>
    </row>
    <row r="24" spans="1:16">
      <c r="A24" s="26">
        <v>21</v>
      </c>
      <c r="B24" s="27">
        <v>46163</v>
      </c>
      <c r="C24" s="17"/>
      <c r="D24" s="17"/>
      <c r="E24" s="17">
        <v>2000</v>
      </c>
      <c r="F24" s="17">
        <v>99.93</v>
      </c>
      <c r="G24" s="17">
        <f t="shared" si="0"/>
        <v>199860</v>
      </c>
      <c r="H24" s="307"/>
      <c r="I24" s="17"/>
      <c r="J24" s="17"/>
      <c r="K24" s="17">
        <f t="shared" si="1"/>
        <v>199860</v>
      </c>
      <c r="L24" s="17">
        <v>250000</v>
      </c>
      <c r="M24" s="40">
        <f t="shared" si="4"/>
        <v>2076326.8563000001</v>
      </c>
      <c r="N24" s="17"/>
    </row>
    <row r="25" spans="1:16">
      <c r="A25" s="26">
        <v>22</v>
      </c>
      <c r="B25" s="27">
        <v>46164</v>
      </c>
      <c r="C25" s="17"/>
      <c r="D25" s="17"/>
      <c r="E25" s="17"/>
      <c r="F25" s="17"/>
      <c r="G25" s="17">
        <f t="shared" si="0"/>
        <v>0</v>
      </c>
      <c r="H25" s="307"/>
      <c r="I25" s="17"/>
      <c r="J25" s="17"/>
      <c r="K25" s="17">
        <f t="shared" si="1"/>
        <v>0</v>
      </c>
      <c r="L25" s="17">
        <v>0</v>
      </c>
      <c r="M25" s="40">
        <f t="shared" si="4"/>
        <v>2076326.8563000001</v>
      </c>
      <c r="N25" s="17"/>
    </row>
    <row r="26" spans="1:16">
      <c r="A26" s="26">
        <v>23</v>
      </c>
      <c r="B26" s="27">
        <v>46165</v>
      </c>
      <c r="C26" s="17"/>
      <c r="D26" s="17"/>
      <c r="E26" s="17"/>
      <c r="F26" s="17"/>
      <c r="G26" s="17">
        <f t="shared" si="0"/>
        <v>0</v>
      </c>
      <c r="H26" s="307"/>
      <c r="I26" s="17"/>
      <c r="J26" s="17"/>
      <c r="K26" s="17">
        <f t="shared" si="1"/>
        <v>0</v>
      </c>
      <c r="L26" s="17">
        <v>0</v>
      </c>
      <c r="M26" s="40">
        <f t="shared" si="4"/>
        <v>2076326.8563000001</v>
      </c>
      <c r="N26" s="17"/>
    </row>
    <row r="27" spans="1:16">
      <c r="A27" s="26">
        <v>24</v>
      </c>
      <c r="B27" s="27">
        <v>46166</v>
      </c>
      <c r="C27" s="17"/>
      <c r="D27" s="17"/>
      <c r="E27" s="17">
        <v>2650</v>
      </c>
      <c r="F27" s="17">
        <v>100.92</v>
      </c>
      <c r="G27" s="17">
        <f t="shared" si="0"/>
        <v>267438</v>
      </c>
      <c r="H27" s="307"/>
      <c r="I27" s="17"/>
      <c r="J27" s="17"/>
      <c r="K27" s="17">
        <f t="shared" si="1"/>
        <v>267438</v>
      </c>
      <c r="L27" s="17"/>
      <c r="M27" s="40">
        <f t="shared" si="4"/>
        <v>2343764.8563000001</v>
      </c>
      <c r="N27" s="17"/>
      <c r="O27">
        <v>250000</v>
      </c>
      <c r="P27" t="s">
        <v>183</v>
      </c>
    </row>
    <row r="28" spans="1:16">
      <c r="A28" s="26">
        <v>25</v>
      </c>
      <c r="B28" s="27">
        <v>46167</v>
      </c>
      <c r="C28" s="17"/>
      <c r="D28" s="17"/>
      <c r="E28" s="17">
        <v>2000</v>
      </c>
      <c r="F28" s="17">
        <v>103.8</v>
      </c>
      <c r="G28" s="17">
        <f t="shared" si="0"/>
        <v>207600</v>
      </c>
      <c r="H28" s="307"/>
      <c r="I28" s="17"/>
      <c r="J28" s="17"/>
      <c r="K28" s="17">
        <f t="shared" si="1"/>
        <v>207600</v>
      </c>
      <c r="L28" s="17">
        <v>0</v>
      </c>
      <c r="M28" s="40">
        <f t="shared" si="4"/>
        <v>2551364.8563000001</v>
      </c>
      <c r="N28" s="17"/>
    </row>
    <row r="29" spans="1:16">
      <c r="A29" s="26">
        <v>26</v>
      </c>
      <c r="B29" s="27">
        <v>46168</v>
      </c>
      <c r="C29" s="17"/>
      <c r="D29" s="17"/>
      <c r="E29" s="17">
        <v>2700</v>
      </c>
      <c r="F29" s="17">
        <v>103.8</v>
      </c>
      <c r="G29" s="17">
        <f t="shared" si="0"/>
        <v>280260</v>
      </c>
      <c r="H29" s="307"/>
      <c r="I29" s="17"/>
      <c r="J29" s="17"/>
      <c r="K29" s="17">
        <f t="shared" si="1"/>
        <v>280260</v>
      </c>
      <c r="L29" s="17">
        <v>600000</v>
      </c>
      <c r="M29" s="40">
        <f t="shared" si="4"/>
        <v>2231624.8563000001</v>
      </c>
      <c r="N29" s="17"/>
    </row>
    <row r="30" spans="1:16">
      <c r="A30" s="26">
        <v>27</v>
      </c>
      <c r="B30" s="27">
        <v>46169</v>
      </c>
      <c r="C30" s="17"/>
      <c r="D30" s="17"/>
      <c r="E30" s="17"/>
      <c r="F30" s="17"/>
      <c r="G30" s="17">
        <f t="shared" si="0"/>
        <v>0</v>
      </c>
      <c r="H30" s="307"/>
      <c r="I30" s="17"/>
      <c r="J30" s="17"/>
      <c r="K30" s="17">
        <f t="shared" si="1"/>
        <v>0</v>
      </c>
      <c r="L30" s="17">
        <v>0</v>
      </c>
      <c r="M30" s="40">
        <f t="shared" si="4"/>
        <v>2231624.8563000001</v>
      </c>
      <c r="N30" s="17"/>
      <c r="P30" s="22"/>
    </row>
    <row r="31" spans="1:16">
      <c r="A31" s="26">
        <v>28</v>
      </c>
      <c r="B31" s="27">
        <v>46170</v>
      </c>
      <c r="C31" s="17"/>
      <c r="D31" s="17"/>
      <c r="E31" s="17">
        <v>1000</v>
      </c>
      <c r="F31" s="17">
        <v>103.8</v>
      </c>
      <c r="G31" s="17">
        <f t="shared" si="0"/>
        <v>103800</v>
      </c>
      <c r="H31" s="307"/>
      <c r="I31" s="17"/>
      <c r="J31" s="17"/>
      <c r="K31" s="17">
        <f t="shared" si="1"/>
        <v>103800</v>
      </c>
      <c r="L31" s="17">
        <v>120000</v>
      </c>
      <c r="M31" s="40">
        <f t="shared" si="4"/>
        <v>2215424.8563000001</v>
      </c>
      <c r="N31" s="17"/>
    </row>
    <row r="32" spans="1:16">
      <c r="A32" s="26">
        <v>29</v>
      </c>
      <c r="B32" s="27">
        <v>46171</v>
      </c>
      <c r="C32" s="17"/>
      <c r="D32" s="17"/>
      <c r="E32" s="17">
        <v>2000</v>
      </c>
      <c r="F32" s="17">
        <v>103.8</v>
      </c>
      <c r="G32" s="17">
        <f t="shared" si="0"/>
        <v>207600</v>
      </c>
      <c r="H32" s="307"/>
      <c r="I32" s="17"/>
      <c r="J32" s="17"/>
      <c r="K32" s="17">
        <f t="shared" si="1"/>
        <v>207600</v>
      </c>
      <c r="L32" s="17">
        <v>0</v>
      </c>
      <c r="M32" s="40">
        <f t="shared" si="4"/>
        <v>2423024.8563000001</v>
      </c>
      <c r="N32" s="17"/>
      <c r="P32" s="22"/>
    </row>
    <row r="33" spans="1:16">
      <c r="A33" s="26">
        <v>30</v>
      </c>
      <c r="B33" s="27">
        <v>46172</v>
      </c>
      <c r="C33" s="17"/>
      <c r="D33" s="17"/>
      <c r="E33" s="17"/>
      <c r="F33" s="17"/>
      <c r="G33" s="17">
        <f t="shared" si="0"/>
        <v>0</v>
      </c>
      <c r="H33" s="307"/>
      <c r="I33" s="17"/>
      <c r="J33" s="17"/>
      <c r="K33" s="17">
        <f t="shared" si="1"/>
        <v>0</v>
      </c>
      <c r="L33" s="17">
        <v>0</v>
      </c>
      <c r="M33" s="40">
        <f t="shared" si="4"/>
        <v>2423024.8563000001</v>
      </c>
      <c r="N33" s="17"/>
    </row>
    <row r="34" spans="1:16">
      <c r="A34" s="26">
        <v>31</v>
      </c>
      <c r="B34" s="27">
        <v>46173</v>
      </c>
      <c r="C34" s="17"/>
      <c r="D34" s="17"/>
      <c r="E34" s="17">
        <v>2230</v>
      </c>
      <c r="F34" s="17">
        <v>103.8</v>
      </c>
      <c r="G34" s="328">
        <f>E34*F34</f>
        <v>231474</v>
      </c>
      <c r="H34" s="307"/>
      <c r="I34" s="17"/>
      <c r="J34" s="17"/>
      <c r="K34" s="17">
        <f t="shared" ref="K5:K37" si="5">G34+J34</f>
        <v>231474</v>
      </c>
      <c r="L34" s="17"/>
      <c r="M34" s="40">
        <f t="shared" si="4"/>
        <v>2654498.8563000001</v>
      </c>
      <c r="N34" s="17"/>
      <c r="O34">
        <v>156000</v>
      </c>
      <c r="P34" t="s">
        <v>183</v>
      </c>
    </row>
    <row r="35" spans="1:16">
      <c r="A35" s="26">
        <v>32</v>
      </c>
      <c r="B35" s="27"/>
      <c r="C35" s="17"/>
      <c r="D35" s="17"/>
      <c r="E35" s="17"/>
      <c r="F35" s="17"/>
      <c r="G35" s="328">
        <f>E35*F35</f>
        <v>0</v>
      </c>
      <c r="H35" s="307"/>
      <c r="I35" s="17"/>
      <c r="J35" s="17">
        <f t="shared" ref="J5:J37" si="6">H35*I35</f>
        <v>0</v>
      </c>
      <c r="K35" s="17">
        <f t="shared" si="5"/>
        <v>0</v>
      </c>
      <c r="L35" s="17">
        <v>0</v>
      </c>
      <c r="M35" s="40">
        <f t="shared" si="4"/>
        <v>2654498.8563000001</v>
      </c>
      <c r="N35" s="17"/>
      <c r="P35" s="22"/>
    </row>
    <row r="36" spans="1:16">
      <c r="A36" s="26">
        <v>33</v>
      </c>
      <c r="B36" s="27"/>
      <c r="C36" s="17"/>
      <c r="D36" s="17"/>
      <c r="E36" s="17"/>
      <c r="F36" s="17"/>
      <c r="G36" s="328">
        <f>E36*F36</f>
        <v>0</v>
      </c>
      <c r="H36" s="307"/>
      <c r="I36" s="17"/>
      <c r="J36" s="17">
        <f t="shared" si="6"/>
        <v>0</v>
      </c>
      <c r="K36" s="17">
        <f t="shared" si="5"/>
        <v>0</v>
      </c>
      <c r="L36" s="17">
        <v>0</v>
      </c>
      <c r="M36" s="17"/>
      <c r="N36" s="17"/>
    </row>
    <row r="37" spans="1:16">
      <c r="A37" s="26">
        <v>34</v>
      </c>
      <c r="B37" s="27"/>
      <c r="C37" s="17"/>
      <c r="D37" s="17"/>
      <c r="E37" s="17"/>
      <c r="F37" s="17"/>
      <c r="G37" s="328">
        <f>E37*F37</f>
        <v>0</v>
      </c>
      <c r="H37" s="307"/>
      <c r="I37" s="17"/>
      <c r="J37" s="17">
        <f t="shared" si="6"/>
        <v>0</v>
      </c>
      <c r="K37" s="17">
        <f t="shared" si="5"/>
        <v>0</v>
      </c>
      <c r="L37" s="17"/>
      <c r="M37" s="17"/>
      <c r="N37" s="17"/>
    </row>
    <row r="38" spans="1:16">
      <c r="A38" s="42"/>
      <c r="B38" s="42"/>
      <c r="C38" s="42"/>
      <c r="D38" s="42"/>
      <c r="E38" s="227">
        <f>SUM(E3:E37)</f>
        <v>48265.34</v>
      </c>
      <c r="F38" s="227"/>
      <c r="G38" s="227">
        <f>SUM(G3:G37)</f>
        <v>4766880.1708000004</v>
      </c>
      <c r="H38" s="227">
        <f>SUM(H3:H37)</f>
        <v>0</v>
      </c>
      <c r="I38" s="227"/>
      <c r="J38" s="227">
        <f>SUM(J3:J37)</f>
        <v>0</v>
      </c>
      <c r="K38" s="227">
        <f>SUM(K4:K37)</f>
        <v>4766880.1708000004</v>
      </c>
      <c r="L38" s="227">
        <f>SUM(L3:L37)</f>
        <v>3882012</v>
      </c>
      <c r="M38" s="227"/>
      <c r="N38" s="227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P40"/>
  <sheetViews>
    <sheetView workbookViewId="0">
      <selection activeCell="O14" sqref="O14"/>
    </sheetView>
  </sheetViews>
  <sheetFormatPr defaultRowHeight="15"/>
  <cols>
    <col min="2" max="2" width="12.140625" customWidth="1"/>
    <col min="4" max="4" width="20.28515625" bestFit="1" customWidth="1"/>
    <col min="5" max="5" width="23.42578125" customWidth="1"/>
    <col min="7" max="7" width="14.42578125" customWidth="1"/>
    <col min="10" max="10" width="10.42578125" bestFit="1" customWidth="1"/>
    <col min="11" max="11" width="12.85546875" customWidth="1"/>
    <col min="12" max="12" width="13.7109375" customWidth="1"/>
    <col min="13" max="13" width="16" customWidth="1"/>
    <col min="14" max="14" width="34.5703125" customWidth="1"/>
    <col min="15" max="15" width="12.5703125" bestFit="1" customWidth="1"/>
  </cols>
  <sheetData>
    <row r="1" spans="1:16" ht="15.75">
      <c r="A1" s="550" t="s">
        <v>69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</row>
    <row r="2" spans="1:16" ht="30">
      <c r="A2" s="64" t="s">
        <v>0</v>
      </c>
      <c r="B2" s="83" t="s">
        <v>166</v>
      </c>
      <c r="C2" s="83" t="s">
        <v>167</v>
      </c>
      <c r="D2" s="83" t="s">
        <v>168</v>
      </c>
      <c r="E2" s="83" t="s">
        <v>169</v>
      </c>
      <c r="F2" s="83" t="s">
        <v>170</v>
      </c>
      <c r="G2" s="83" t="s">
        <v>171</v>
      </c>
      <c r="H2" s="83" t="s">
        <v>172</v>
      </c>
      <c r="I2" s="83" t="s">
        <v>170</v>
      </c>
      <c r="J2" s="84" t="s">
        <v>171</v>
      </c>
      <c r="K2" s="123" t="s">
        <v>173</v>
      </c>
      <c r="L2" s="126" t="s">
        <v>174</v>
      </c>
      <c r="M2" s="126" t="s">
        <v>182</v>
      </c>
      <c r="N2" s="124" t="s">
        <v>176</v>
      </c>
      <c r="O2" s="308"/>
      <c r="P2" s="22"/>
    </row>
    <row r="3" spans="1:16">
      <c r="A3" s="552" t="s">
        <v>177</v>
      </c>
      <c r="B3" s="553"/>
      <c r="C3" s="553"/>
      <c r="D3" s="553"/>
      <c r="E3" s="553"/>
      <c r="F3" s="553"/>
      <c r="G3" s="553"/>
      <c r="H3" s="553"/>
      <c r="I3" s="553"/>
      <c r="J3" s="553"/>
      <c r="K3">
        <v>3725652.9538299982</v>
      </c>
      <c r="L3" s="226"/>
      <c r="M3">
        <v>3725652.9538299982</v>
      </c>
      <c r="N3" s="94"/>
    </row>
    <row r="4" spans="1:16">
      <c r="A4" s="26">
        <v>1</v>
      </c>
      <c r="B4" s="27">
        <v>46143</v>
      </c>
      <c r="C4" s="17"/>
      <c r="D4" s="258"/>
      <c r="E4" s="265"/>
      <c r="F4" s="306"/>
      <c r="G4" s="17">
        <f>E4*F4</f>
        <v>0</v>
      </c>
      <c r="H4" s="17"/>
      <c r="I4" s="17"/>
      <c r="J4" s="17">
        <f>H4*I4</f>
        <v>0</v>
      </c>
      <c r="K4" s="17">
        <f>G4+J4</f>
        <v>0</v>
      </c>
      <c r="L4" s="17"/>
      <c r="M4" s="40">
        <f>M3+K4-L4</f>
        <v>3725652.9538299982</v>
      </c>
      <c r="N4" s="17"/>
      <c r="O4" s="40">
        <f t="shared" ref="O4" si="0">O3+M4-N4</f>
        <v>3725652.9538299982</v>
      </c>
    </row>
    <row r="5" spans="1:16">
      <c r="A5" s="26">
        <v>2</v>
      </c>
      <c r="B5" s="27">
        <v>46144</v>
      </c>
      <c r="C5" s="17"/>
      <c r="D5" s="258"/>
      <c r="E5" s="265"/>
      <c r="F5" s="306"/>
      <c r="G5" s="17">
        <f t="shared" ref="G5:G34" si="1">E5*F5</f>
        <v>0</v>
      </c>
      <c r="H5" s="17">
        <v>100</v>
      </c>
      <c r="I5" s="17">
        <v>107.49</v>
      </c>
      <c r="J5" s="17">
        <f t="shared" ref="J5:J33" si="2">H5*I5</f>
        <v>10749</v>
      </c>
      <c r="K5" s="17">
        <f t="shared" ref="K5:K34" si="3">G5+J5</f>
        <v>10749</v>
      </c>
      <c r="L5" s="17"/>
      <c r="M5" s="40">
        <f t="shared" ref="M5:M16" si="4">M4+K5-L5</f>
        <v>3736401.9538299982</v>
      </c>
      <c r="N5" s="17"/>
    </row>
    <row r="6" spans="1:16">
      <c r="A6" s="26">
        <v>3</v>
      </c>
      <c r="B6" s="27">
        <v>46145</v>
      </c>
      <c r="C6" s="17"/>
      <c r="D6" s="258"/>
      <c r="E6" s="265"/>
      <c r="F6" s="306"/>
      <c r="G6" s="17">
        <f t="shared" ref="G6:G34" si="5">E6*F6</f>
        <v>0</v>
      </c>
      <c r="H6" s="17"/>
      <c r="I6" s="17"/>
      <c r="J6" s="17">
        <f t="shared" ref="J6:J34" si="6">H6*I6</f>
        <v>0</v>
      </c>
      <c r="K6" s="17">
        <f t="shared" ref="K6:L34" si="7">G6+J6</f>
        <v>0</v>
      </c>
      <c r="L6" s="17"/>
      <c r="M6" s="40">
        <f t="shared" si="4"/>
        <v>3736401.9538299982</v>
      </c>
      <c r="N6" s="17"/>
    </row>
    <row r="7" spans="1:16">
      <c r="A7" s="26">
        <v>4</v>
      </c>
      <c r="B7" s="27">
        <v>46146</v>
      </c>
      <c r="C7" s="17"/>
      <c r="D7" s="258"/>
      <c r="E7" s="265"/>
      <c r="F7" s="306"/>
      <c r="G7" s="17">
        <f t="shared" si="5"/>
        <v>0</v>
      </c>
      <c r="H7" s="17"/>
      <c r="I7" s="17"/>
      <c r="J7" s="17">
        <f t="shared" si="6"/>
        <v>0</v>
      </c>
      <c r="K7" s="17">
        <f t="shared" si="7"/>
        <v>0</v>
      </c>
      <c r="L7" s="17"/>
      <c r="M7" s="40">
        <f t="shared" si="4"/>
        <v>3736401.9538299982</v>
      </c>
      <c r="N7" s="17"/>
    </row>
    <row r="8" spans="1:16">
      <c r="A8" s="26">
        <v>5</v>
      </c>
      <c r="B8" s="27">
        <v>46147</v>
      </c>
      <c r="C8" s="17"/>
      <c r="D8" s="258"/>
      <c r="E8" s="265"/>
      <c r="F8" s="306"/>
      <c r="G8" s="17">
        <f t="shared" si="5"/>
        <v>0</v>
      </c>
      <c r="H8" s="17">
        <v>95</v>
      </c>
      <c r="I8" s="17">
        <v>107.49</v>
      </c>
      <c r="J8" s="17">
        <f t="shared" si="6"/>
        <v>10211.549999999999</v>
      </c>
      <c r="K8" s="17">
        <f t="shared" si="7"/>
        <v>10211.549999999999</v>
      </c>
      <c r="L8" s="17"/>
      <c r="M8" s="40">
        <f t="shared" si="4"/>
        <v>3746613.503829998</v>
      </c>
      <c r="N8" s="17"/>
      <c r="O8">
        <v>12802499.148000002</v>
      </c>
    </row>
    <row r="9" spans="1:16">
      <c r="A9" s="26">
        <v>6</v>
      </c>
      <c r="B9" s="27">
        <v>46148</v>
      </c>
      <c r="C9" s="17"/>
      <c r="D9" s="258"/>
      <c r="E9" s="265">
        <v>2994.21</v>
      </c>
      <c r="F9" s="306">
        <v>95.71</v>
      </c>
      <c r="G9" s="17">
        <f t="shared" si="5"/>
        <v>286575.83909999998</v>
      </c>
      <c r="H9" s="17">
        <v>80</v>
      </c>
      <c r="I9" s="17">
        <v>107.49</v>
      </c>
      <c r="J9" s="17">
        <f t="shared" si="6"/>
        <v>8599.1999999999989</v>
      </c>
      <c r="K9" s="17">
        <f t="shared" si="7"/>
        <v>295175.03909999999</v>
      </c>
      <c r="L9" s="17"/>
      <c r="M9" s="40">
        <f t="shared" si="4"/>
        <v>4041788.5429299981</v>
      </c>
      <c r="N9" s="228"/>
    </row>
    <row r="10" spans="1:16">
      <c r="A10" s="26">
        <v>7</v>
      </c>
      <c r="B10" s="27">
        <v>46149</v>
      </c>
      <c r="C10" s="17"/>
      <c r="D10" s="258"/>
      <c r="E10" s="265">
        <v>1744.02</v>
      </c>
      <c r="F10" s="306">
        <v>95.71</v>
      </c>
      <c r="G10" s="17">
        <f t="shared" si="5"/>
        <v>166920.15419999999</v>
      </c>
      <c r="H10" s="17"/>
      <c r="I10" s="17"/>
      <c r="J10" s="17">
        <f t="shared" si="6"/>
        <v>0</v>
      </c>
      <c r="K10" s="331">
        <f t="shared" si="7"/>
        <v>166920.15419999999</v>
      </c>
      <c r="L10" s="17"/>
      <c r="M10" s="40">
        <f t="shared" si="4"/>
        <v>4208708.6971299984</v>
      </c>
      <c r="N10" s="17"/>
    </row>
    <row r="11" spans="1:16">
      <c r="A11" s="26">
        <v>8</v>
      </c>
      <c r="B11" s="27">
        <v>46150</v>
      </c>
      <c r="C11" s="17"/>
      <c r="D11" s="258"/>
      <c r="E11" s="265">
        <v>1742.41</v>
      </c>
      <c r="F11" s="306">
        <v>95.71</v>
      </c>
      <c r="G11" s="17">
        <f t="shared" si="5"/>
        <v>166766.06109999999</v>
      </c>
      <c r="H11" s="17">
        <v>60</v>
      </c>
      <c r="I11" s="17">
        <v>107.49</v>
      </c>
      <c r="J11" s="17">
        <f t="shared" si="6"/>
        <v>6449.4</v>
      </c>
      <c r="K11" s="17">
        <f t="shared" si="7"/>
        <v>173215.46109999999</v>
      </c>
      <c r="L11" s="17"/>
      <c r="M11" s="40">
        <f t="shared" si="4"/>
        <v>4381924.1582299983</v>
      </c>
      <c r="N11" s="17"/>
    </row>
    <row r="12" spans="1:16">
      <c r="A12" s="26">
        <v>9</v>
      </c>
      <c r="B12" s="27">
        <v>46151</v>
      </c>
      <c r="C12" s="17"/>
      <c r="D12" s="258"/>
      <c r="E12" s="265">
        <v>2760.94</v>
      </c>
      <c r="F12" s="306">
        <v>95.71</v>
      </c>
      <c r="G12" s="17">
        <f t="shared" si="5"/>
        <v>264249.5674</v>
      </c>
      <c r="H12" s="17"/>
      <c r="I12" s="17"/>
      <c r="J12" s="17">
        <f t="shared" si="6"/>
        <v>0</v>
      </c>
      <c r="K12" s="17">
        <f t="shared" si="7"/>
        <v>264249.5674</v>
      </c>
      <c r="L12" s="17"/>
      <c r="M12" s="40">
        <f t="shared" si="4"/>
        <v>4646173.7256299984</v>
      </c>
      <c r="N12" s="17"/>
      <c r="O12">
        <v>166834</v>
      </c>
    </row>
    <row r="13" spans="1:16">
      <c r="A13" s="26">
        <v>10</v>
      </c>
      <c r="B13" s="27">
        <v>46152</v>
      </c>
      <c r="C13" s="17"/>
      <c r="D13" s="258"/>
      <c r="E13" s="265">
        <v>747</v>
      </c>
      <c r="F13" s="306">
        <v>95.71</v>
      </c>
      <c r="G13" s="17">
        <f t="shared" si="5"/>
        <v>71495.37</v>
      </c>
      <c r="H13" s="17"/>
      <c r="I13" s="17"/>
      <c r="J13" s="17">
        <f t="shared" si="6"/>
        <v>0</v>
      </c>
      <c r="K13" s="17">
        <f t="shared" si="7"/>
        <v>71495.37</v>
      </c>
      <c r="L13" s="17"/>
      <c r="M13" s="40">
        <f t="shared" si="4"/>
        <v>4717669.0956299985</v>
      </c>
      <c r="N13" s="17"/>
      <c r="O13">
        <f>K10-O12</f>
        <v>86.154199999989942</v>
      </c>
    </row>
    <row r="14" spans="1:16">
      <c r="A14" s="26">
        <v>11</v>
      </c>
      <c r="B14" s="27">
        <v>46153</v>
      </c>
      <c r="C14" s="17"/>
      <c r="D14" s="258"/>
      <c r="E14" s="265">
        <v>2145.86</v>
      </c>
      <c r="F14" s="306">
        <v>95.71</v>
      </c>
      <c r="G14" s="40">
        <f t="shared" si="5"/>
        <v>205380.26060000001</v>
      </c>
      <c r="H14" s="17">
        <v>80</v>
      </c>
      <c r="I14" s="17">
        <v>107.49</v>
      </c>
      <c r="J14" s="17">
        <f t="shared" si="6"/>
        <v>8599.1999999999989</v>
      </c>
      <c r="K14" s="40">
        <f t="shared" si="7"/>
        <v>213979.46060000002</v>
      </c>
      <c r="L14" s="17"/>
      <c r="M14" s="40">
        <f t="shared" si="4"/>
        <v>4931648.5562299984</v>
      </c>
      <c r="N14" s="17"/>
    </row>
    <row r="15" spans="1:16">
      <c r="A15" s="26">
        <v>12</v>
      </c>
      <c r="B15" s="27">
        <v>46154</v>
      </c>
      <c r="C15" s="17"/>
      <c r="D15" s="258"/>
      <c r="E15" s="265">
        <v>2517.61</v>
      </c>
      <c r="F15" s="306">
        <v>95.71</v>
      </c>
      <c r="G15" s="17">
        <f t="shared" si="5"/>
        <v>240960.45309999998</v>
      </c>
      <c r="H15" s="17"/>
      <c r="I15" s="17"/>
      <c r="J15" s="17">
        <f t="shared" si="6"/>
        <v>0</v>
      </c>
      <c r="K15" s="17">
        <f t="shared" si="7"/>
        <v>240960.45309999998</v>
      </c>
      <c r="L15" s="17"/>
      <c r="M15" s="40">
        <f t="shared" si="4"/>
        <v>5172609.0093299979</v>
      </c>
      <c r="N15" s="17"/>
    </row>
    <row r="16" spans="1:16">
      <c r="A16" s="26">
        <v>13</v>
      </c>
      <c r="B16" s="27">
        <v>46155</v>
      </c>
      <c r="C16" s="17"/>
      <c r="D16" s="258"/>
      <c r="E16" s="265">
        <v>3076.46</v>
      </c>
      <c r="F16" s="306">
        <v>95.71</v>
      </c>
      <c r="G16" s="17">
        <f t="shared" si="5"/>
        <v>294447.9866</v>
      </c>
      <c r="H16" s="17">
        <v>85</v>
      </c>
      <c r="I16" s="17">
        <v>107.49</v>
      </c>
      <c r="J16" s="17">
        <f t="shared" si="6"/>
        <v>9136.65</v>
      </c>
      <c r="K16" s="17">
        <f t="shared" si="7"/>
        <v>303584.63660000003</v>
      </c>
      <c r="L16" s="17"/>
      <c r="M16" s="40">
        <f t="shared" si="4"/>
        <v>5476193.6459299978</v>
      </c>
      <c r="N16" s="17"/>
    </row>
    <row r="17" spans="1:14">
      <c r="A17" s="26">
        <v>14</v>
      </c>
      <c r="B17" s="27">
        <v>46156</v>
      </c>
      <c r="C17" s="17"/>
      <c r="D17" s="258"/>
      <c r="E17" s="265">
        <v>1699.85</v>
      </c>
      <c r="F17" s="306">
        <v>95.71</v>
      </c>
      <c r="G17" s="17">
        <f t="shared" si="5"/>
        <v>162692.64349999998</v>
      </c>
      <c r="H17" s="17"/>
      <c r="I17" s="17"/>
      <c r="J17" s="17">
        <f t="shared" si="6"/>
        <v>0</v>
      </c>
      <c r="K17" s="17">
        <f t="shared" si="7"/>
        <v>162692.64349999998</v>
      </c>
      <c r="L17" s="17"/>
      <c r="M17" s="40">
        <f t="shared" ref="M17:M34" si="8">M16+K17-L17</f>
        <v>5638886.289429998</v>
      </c>
      <c r="N17" s="17"/>
    </row>
    <row r="18" spans="1:14">
      <c r="A18" s="26">
        <v>15</v>
      </c>
      <c r="B18" s="27">
        <v>46157</v>
      </c>
      <c r="C18" s="17"/>
      <c r="D18" s="258"/>
      <c r="E18" s="265">
        <v>1878.23</v>
      </c>
      <c r="F18" s="306">
        <v>98.97</v>
      </c>
      <c r="G18" s="17">
        <f t="shared" si="5"/>
        <v>185888.42309999999</v>
      </c>
      <c r="H18" s="17">
        <v>80</v>
      </c>
      <c r="I18" s="17">
        <v>110.88</v>
      </c>
      <c r="J18" s="17">
        <f t="shared" si="6"/>
        <v>8870.4</v>
      </c>
      <c r="K18" s="17">
        <f t="shared" si="7"/>
        <v>194758.82309999998</v>
      </c>
      <c r="L18" s="17"/>
      <c r="M18" s="40">
        <f t="shared" si="8"/>
        <v>5833645.1125299977</v>
      </c>
      <c r="N18" s="17"/>
    </row>
    <row r="19" spans="1:14">
      <c r="A19" s="26">
        <v>16</v>
      </c>
      <c r="B19" s="27">
        <v>46158</v>
      </c>
      <c r="C19" s="17"/>
      <c r="D19" s="258"/>
      <c r="E19" s="265"/>
      <c r="F19" s="306"/>
      <c r="G19" s="17">
        <f t="shared" si="5"/>
        <v>0</v>
      </c>
      <c r="H19" s="17"/>
      <c r="I19" s="17"/>
      <c r="J19" s="17">
        <f t="shared" si="6"/>
        <v>0</v>
      </c>
      <c r="K19" s="17">
        <f t="shared" si="7"/>
        <v>0</v>
      </c>
      <c r="L19" s="17"/>
      <c r="M19" s="40">
        <f t="shared" si="8"/>
        <v>5833645.1125299977</v>
      </c>
      <c r="N19" s="17"/>
    </row>
    <row r="20" spans="1:14">
      <c r="A20" s="26">
        <v>17</v>
      </c>
      <c r="B20" s="27">
        <v>46159</v>
      </c>
      <c r="C20" s="17"/>
      <c r="D20" s="258"/>
      <c r="E20" s="265"/>
      <c r="F20" s="306"/>
      <c r="G20" s="17">
        <f t="shared" si="5"/>
        <v>0</v>
      </c>
      <c r="H20" s="17"/>
      <c r="I20" s="17"/>
      <c r="J20" s="17">
        <f t="shared" si="6"/>
        <v>0</v>
      </c>
      <c r="K20" s="17">
        <f t="shared" si="7"/>
        <v>0</v>
      </c>
      <c r="L20" s="17"/>
      <c r="M20" s="40">
        <f t="shared" si="8"/>
        <v>5833645.1125299977</v>
      </c>
      <c r="N20" s="17"/>
    </row>
    <row r="21" spans="1:14">
      <c r="A21" s="26">
        <v>18</v>
      </c>
      <c r="B21" s="27">
        <v>46160</v>
      </c>
      <c r="C21" s="17"/>
      <c r="D21" s="258"/>
      <c r="E21" s="265">
        <v>1200</v>
      </c>
      <c r="F21" s="306">
        <v>98.97</v>
      </c>
      <c r="G21" s="17">
        <f t="shared" si="5"/>
        <v>118764</v>
      </c>
      <c r="H21" s="17">
        <v>80</v>
      </c>
      <c r="I21" s="17">
        <v>110.88</v>
      </c>
      <c r="J21" s="17">
        <f t="shared" si="6"/>
        <v>8870.4</v>
      </c>
      <c r="K21" s="17">
        <f t="shared" si="7"/>
        <v>127634.4</v>
      </c>
      <c r="L21" s="17"/>
      <c r="M21" s="40">
        <f t="shared" si="8"/>
        <v>5961279.5125299981</v>
      </c>
      <c r="N21" s="17"/>
    </row>
    <row r="22" spans="1:14">
      <c r="A22" s="26">
        <v>19</v>
      </c>
      <c r="B22" s="27">
        <v>46161</v>
      </c>
      <c r="C22" s="17"/>
      <c r="D22" s="258"/>
      <c r="E22" s="265">
        <v>1500</v>
      </c>
      <c r="F22" s="306">
        <v>99.95</v>
      </c>
      <c r="G22" s="17">
        <f t="shared" si="5"/>
        <v>149925</v>
      </c>
      <c r="H22" s="17"/>
      <c r="I22" s="17"/>
      <c r="J22" s="17">
        <f t="shared" si="6"/>
        <v>0</v>
      </c>
      <c r="K22" s="17">
        <f t="shared" si="7"/>
        <v>149925</v>
      </c>
      <c r="L22" s="17"/>
      <c r="M22" s="40">
        <f t="shared" si="8"/>
        <v>6111204.5125299981</v>
      </c>
      <c r="N22" s="17"/>
    </row>
    <row r="23" spans="1:14">
      <c r="A23" s="26">
        <v>20</v>
      </c>
      <c r="B23" s="27">
        <v>46162</v>
      </c>
      <c r="C23" s="17"/>
      <c r="D23" s="258"/>
      <c r="E23" s="265">
        <v>3001</v>
      </c>
      <c r="F23" s="306">
        <v>99.95</v>
      </c>
      <c r="G23" s="17">
        <f t="shared" si="5"/>
        <v>299949.95</v>
      </c>
      <c r="H23" s="17">
        <v>95</v>
      </c>
      <c r="I23" s="17">
        <v>111.87</v>
      </c>
      <c r="J23" s="17">
        <f t="shared" si="6"/>
        <v>10627.65</v>
      </c>
      <c r="K23" s="17">
        <f t="shared" si="7"/>
        <v>310577.60000000003</v>
      </c>
      <c r="L23" s="17"/>
      <c r="M23" s="40">
        <f t="shared" si="8"/>
        <v>6421782.1125299977</v>
      </c>
      <c r="N23" s="17"/>
    </row>
    <row r="24" spans="1:14">
      <c r="A24" s="26">
        <v>21</v>
      </c>
      <c r="B24" s="27">
        <v>46163</v>
      </c>
      <c r="C24" s="17"/>
      <c r="D24" s="258"/>
      <c r="E24" s="265">
        <v>1670</v>
      </c>
      <c r="F24" s="306">
        <v>99.95</v>
      </c>
      <c r="G24" s="17">
        <f t="shared" si="5"/>
        <v>166916.5</v>
      </c>
      <c r="H24" s="17"/>
      <c r="I24" s="17"/>
      <c r="J24" s="17">
        <f t="shared" si="6"/>
        <v>0</v>
      </c>
      <c r="K24" s="17">
        <f t="shared" si="7"/>
        <v>166916.5</v>
      </c>
      <c r="L24" s="17"/>
      <c r="M24" s="40">
        <f t="shared" si="8"/>
        <v>6588698.6125299977</v>
      </c>
      <c r="N24" s="17"/>
    </row>
    <row r="25" spans="1:14">
      <c r="A25" s="26">
        <v>22</v>
      </c>
      <c r="B25" s="27">
        <v>46164</v>
      </c>
      <c r="C25" s="17"/>
      <c r="D25" s="258"/>
      <c r="E25" s="265">
        <v>2466.77</v>
      </c>
      <c r="F25" s="306">
        <v>99.95</v>
      </c>
      <c r="G25" s="17">
        <f t="shared" si="5"/>
        <v>246553.66150000002</v>
      </c>
      <c r="H25" s="17">
        <v>50</v>
      </c>
      <c r="I25" s="17">
        <v>111.87</v>
      </c>
      <c r="J25" s="17">
        <f t="shared" si="6"/>
        <v>5593.5</v>
      </c>
      <c r="K25" s="17">
        <f t="shared" si="7"/>
        <v>252147.16150000002</v>
      </c>
      <c r="L25" s="17"/>
      <c r="M25" s="40">
        <f t="shared" si="8"/>
        <v>6840845.7740299981</v>
      </c>
      <c r="N25" s="17"/>
    </row>
    <row r="26" spans="1:14">
      <c r="A26" s="26">
        <v>23</v>
      </c>
      <c r="B26" s="27">
        <v>46165</v>
      </c>
      <c r="C26" s="17"/>
      <c r="D26" s="258"/>
      <c r="E26" s="265">
        <v>2598.69</v>
      </c>
      <c r="F26" s="306">
        <v>100.94</v>
      </c>
      <c r="G26" s="17">
        <f t="shared" si="5"/>
        <v>262311.76860000001</v>
      </c>
      <c r="H26" s="17"/>
      <c r="I26" s="17"/>
      <c r="J26" s="17">
        <f t="shared" si="6"/>
        <v>0</v>
      </c>
      <c r="K26" s="17">
        <f t="shared" si="7"/>
        <v>262311.76860000001</v>
      </c>
      <c r="L26" s="17"/>
      <c r="M26" s="40">
        <f t="shared" si="8"/>
        <v>7103157.5426299982</v>
      </c>
      <c r="N26" s="17"/>
    </row>
    <row r="27" spans="1:14">
      <c r="A27" s="26">
        <v>24</v>
      </c>
      <c r="B27" s="27">
        <v>46166</v>
      </c>
      <c r="C27" s="17"/>
      <c r="D27" s="258"/>
      <c r="E27" s="265"/>
      <c r="F27" s="306"/>
      <c r="G27" s="17">
        <f t="shared" si="5"/>
        <v>0</v>
      </c>
      <c r="H27" s="17"/>
      <c r="I27" s="17"/>
      <c r="J27" s="17">
        <f t="shared" si="6"/>
        <v>0</v>
      </c>
      <c r="K27" s="17">
        <f t="shared" si="7"/>
        <v>0</v>
      </c>
      <c r="L27" s="17"/>
      <c r="M27" s="40">
        <f t="shared" si="8"/>
        <v>7103157.5426299982</v>
      </c>
      <c r="N27" s="17"/>
    </row>
    <row r="28" spans="1:14">
      <c r="A28" s="26">
        <v>25</v>
      </c>
      <c r="B28" s="27">
        <v>46167</v>
      </c>
      <c r="C28" s="17"/>
      <c r="D28" s="258"/>
      <c r="E28" s="265">
        <v>3590.27</v>
      </c>
      <c r="F28" s="306">
        <v>103.82</v>
      </c>
      <c r="G28" s="40">
        <f t="shared" si="5"/>
        <v>372741.83139999997</v>
      </c>
      <c r="H28" s="17">
        <v>100</v>
      </c>
      <c r="I28" s="17">
        <v>115.72</v>
      </c>
      <c r="J28" s="17">
        <f t="shared" si="6"/>
        <v>11572</v>
      </c>
      <c r="K28" s="328">
        <f t="shared" si="7"/>
        <v>384313.83139999997</v>
      </c>
      <c r="L28" s="17"/>
      <c r="M28" s="40">
        <f t="shared" si="8"/>
        <v>7487471.3740299977</v>
      </c>
      <c r="N28" s="17"/>
    </row>
    <row r="29" spans="1:14">
      <c r="A29" s="26">
        <v>26</v>
      </c>
      <c r="B29" s="27">
        <v>46168</v>
      </c>
      <c r="C29" s="17"/>
      <c r="D29" s="258"/>
      <c r="E29" s="265">
        <v>1239.03</v>
      </c>
      <c r="F29" s="306">
        <v>103.82</v>
      </c>
      <c r="G29" s="17">
        <f t="shared" si="5"/>
        <v>128636.09459999998</v>
      </c>
      <c r="H29" s="17"/>
      <c r="I29" s="17"/>
      <c r="J29" s="17">
        <f t="shared" si="6"/>
        <v>0</v>
      </c>
      <c r="K29" s="328">
        <f t="shared" si="7"/>
        <v>128636.09459999998</v>
      </c>
      <c r="L29" s="17"/>
      <c r="M29" s="40">
        <f t="shared" si="8"/>
        <v>7616107.4686299982</v>
      </c>
      <c r="N29" s="17"/>
    </row>
    <row r="30" spans="1:14">
      <c r="A30" s="26">
        <v>27</v>
      </c>
      <c r="B30" s="27">
        <v>46169</v>
      </c>
      <c r="C30" s="17"/>
      <c r="D30" s="258"/>
      <c r="E30" s="265">
        <v>2313.2199999999998</v>
      </c>
      <c r="F30" s="306">
        <v>103.82</v>
      </c>
      <c r="G30" s="17">
        <f t="shared" si="5"/>
        <v>240158.50039999996</v>
      </c>
      <c r="H30" s="17">
        <v>55</v>
      </c>
      <c r="I30" s="17">
        <v>115.72</v>
      </c>
      <c r="J30" s="17">
        <f t="shared" si="6"/>
        <v>6364.6</v>
      </c>
      <c r="K30" s="328">
        <f t="shared" si="7"/>
        <v>246523.10039999997</v>
      </c>
      <c r="L30" s="17"/>
      <c r="M30" s="40">
        <f t="shared" si="8"/>
        <v>7862630.569029998</v>
      </c>
      <c r="N30" s="17"/>
    </row>
    <row r="31" spans="1:14">
      <c r="A31" s="26">
        <v>28</v>
      </c>
      <c r="B31" s="27">
        <v>46170</v>
      </c>
      <c r="C31" s="17"/>
      <c r="D31" s="258"/>
      <c r="E31" s="265">
        <v>2138.0700000000002</v>
      </c>
      <c r="F31" s="306">
        <v>103.82</v>
      </c>
      <c r="G31" s="17">
        <f t="shared" si="5"/>
        <v>221974.42740000002</v>
      </c>
      <c r="H31" s="17"/>
      <c r="I31" s="17"/>
      <c r="J31" s="17">
        <f t="shared" si="6"/>
        <v>0</v>
      </c>
      <c r="K31" s="17">
        <f t="shared" si="7"/>
        <v>221974.42740000002</v>
      </c>
      <c r="L31" s="17"/>
      <c r="M31" s="40">
        <f t="shared" si="8"/>
        <v>8084604.9964299984</v>
      </c>
      <c r="N31" s="17"/>
    </row>
    <row r="32" spans="1:14">
      <c r="A32" s="26">
        <v>29</v>
      </c>
      <c r="B32" s="27">
        <v>46171</v>
      </c>
      <c r="C32" s="17"/>
      <c r="D32" s="258"/>
      <c r="E32" s="265">
        <v>1662.76</v>
      </c>
      <c r="F32" s="306">
        <v>103.82</v>
      </c>
      <c r="G32" s="40">
        <f t="shared" si="5"/>
        <v>172627.7432</v>
      </c>
      <c r="H32" s="17">
        <v>80</v>
      </c>
      <c r="I32" s="17">
        <v>115.72</v>
      </c>
      <c r="J32" s="17">
        <f t="shared" si="6"/>
        <v>9257.6</v>
      </c>
      <c r="K32" s="40">
        <f t="shared" si="7"/>
        <v>181885.3432</v>
      </c>
      <c r="L32" s="17"/>
      <c r="M32" s="40">
        <f t="shared" si="8"/>
        <v>8266490.3396299984</v>
      </c>
      <c r="N32" s="17"/>
    </row>
    <row r="33" spans="1:14">
      <c r="A33" s="26">
        <v>30</v>
      </c>
      <c r="B33" s="27">
        <v>46172</v>
      </c>
      <c r="C33" s="17"/>
      <c r="D33" s="258"/>
      <c r="E33" s="265">
        <v>1073.79</v>
      </c>
      <c r="F33" s="306">
        <v>103.82</v>
      </c>
      <c r="G33" s="17">
        <f t="shared" si="5"/>
        <v>111480.87779999999</v>
      </c>
      <c r="H33" s="17"/>
      <c r="I33" s="17"/>
      <c r="J33" s="17">
        <f t="shared" si="6"/>
        <v>0</v>
      </c>
      <c r="K33" s="17">
        <f t="shared" si="7"/>
        <v>111480.87779999999</v>
      </c>
      <c r="L33" s="17"/>
      <c r="M33" s="40">
        <f t="shared" si="8"/>
        <v>8377971.2174299983</v>
      </c>
      <c r="N33" s="17"/>
    </row>
    <row r="34" spans="1:14">
      <c r="A34" s="26">
        <v>31</v>
      </c>
      <c r="B34" s="27">
        <v>46173</v>
      </c>
      <c r="C34" s="17"/>
      <c r="D34" s="258"/>
      <c r="E34" s="265">
        <v>3295.38</v>
      </c>
      <c r="F34" s="306">
        <v>103.82</v>
      </c>
      <c r="G34" s="17">
        <f t="shared" si="5"/>
        <v>342126.35159999999</v>
      </c>
      <c r="H34" s="17"/>
      <c r="I34" s="17"/>
      <c r="J34" s="17">
        <f t="shared" si="6"/>
        <v>0</v>
      </c>
      <c r="K34" s="17">
        <f t="shared" si="7"/>
        <v>342126.35159999999</v>
      </c>
      <c r="L34" s="17"/>
      <c r="M34" s="40">
        <f t="shared" si="8"/>
        <v>8720097.569029998</v>
      </c>
      <c r="N34" s="17"/>
    </row>
    <row r="35" spans="1:14">
      <c r="A35" s="26"/>
      <c r="B35" s="27"/>
      <c r="C35" s="17"/>
      <c r="D35" s="258"/>
      <c r="E35" s="265"/>
      <c r="F35" s="306"/>
      <c r="G35" s="17"/>
      <c r="H35" s="17"/>
      <c r="I35" s="17"/>
      <c r="J35" s="17"/>
      <c r="K35" s="17"/>
      <c r="L35" s="17"/>
      <c r="M35" s="40"/>
      <c r="N35" s="17"/>
    </row>
    <row r="36" spans="1:14">
      <c r="A36" s="42"/>
      <c r="B36" s="42"/>
      <c r="C36" s="42"/>
      <c r="D36" s="42"/>
      <c r="E36" s="43">
        <f>SUM(E4:E34)</f>
        <v>49055.57</v>
      </c>
      <c r="F36" s="43"/>
      <c r="G36" s="43">
        <f>SUM(G4:G34)</f>
        <v>4879543.4652000004</v>
      </c>
      <c r="H36" s="43">
        <f>SUM(H4:H34)</f>
        <v>1040</v>
      </c>
      <c r="I36" s="43"/>
      <c r="J36" s="43">
        <f>SUM(J4:J34)</f>
        <v>114901.15000000001</v>
      </c>
      <c r="K36" s="43">
        <f>SUM(K4:K34)</f>
        <v>4994444.6151999999</v>
      </c>
      <c r="L36" s="43">
        <f>SUM(L4:L34)</f>
        <v>0</v>
      </c>
      <c r="M36" s="43"/>
      <c r="N36" s="43"/>
    </row>
    <row r="39" spans="1:14">
      <c r="M39">
        <v>4994360</v>
      </c>
    </row>
    <row r="40" spans="1:14">
      <c r="M40" s="22">
        <f>K36-M39</f>
        <v>84.615199999883771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2600-625A-4673-A405-708447C74D8E}">
  <sheetPr>
    <tabColor rgb="FF00B050"/>
  </sheetPr>
  <dimension ref="A1:P39"/>
  <sheetViews>
    <sheetView workbookViewId="0">
      <selection activeCell="H6" sqref="H6"/>
    </sheetView>
  </sheetViews>
  <sheetFormatPr defaultRowHeight="15"/>
  <cols>
    <col min="2" max="2" width="14.140625" customWidth="1"/>
    <col min="5" max="5" width="10.42578125" bestFit="1" customWidth="1"/>
    <col min="6" max="6" width="7.28515625" bestFit="1" customWidth="1"/>
    <col min="7" max="7" width="12.85546875" bestFit="1" customWidth="1"/>
    <col min="11" max="12" width="13.5703125" bestFit="1" customWidth="1"/>
    <col min="13" max="13" width="12.5703125" bestFit="1" customWidth="1"/>
    <col min="14" max="14" width="8.7109375" bestFit="1" customWidth="1"/>
    <col min="15" max="15" width="11.42578125" bestFit="1" customWidth="1"/>
  </cols>
  <sheetData>
    <row r="1" spans="1:16" ht="15.75">
      <c r="A1" s="550" t="s">
        <v>184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</row>
    <row r="2" spans="1:16" ht="30.75">
      <c r="A2" s="64" t="s">
        <v>0</v>
      </c>
      <c r="B2" s="83" t="s">
        <v>166</v>
      </c>
      <c r="C2" s="83" t="s">
        <v>167</v>
      </c>
      <c r="D2" s="83" t="s">
        <v>168</v>
      </c>
      <c r="E2" s="83" t="s">
        <v>169</v>
      </c>
      <c r="F2" s="83" t="s">
        <v>170</v>
      </c>
      <c r="G2" s="83" t="s">
        <v>171</v>
      </c>
      <c r="H2" s="83" t="s">
        <v>172</v>
      </c>
      <c r="I2" s="83" t="s">
        <v>170</v>
      </c>
      <c r="J2" s="84" t="s">
        <v>171</v>
      </c>
      <c r="K2" s="123" t="s">
        <v>173</v>
      </c>
      <c r="L2" s="126" t="s">
        <v>174</v>
      </c>
      <c r="M2" s="126" t="s">
        <v>182</v>
      </c>
      <c r="N2" s="124" t="s">
        <v>176</v>
      </c>
      <c r="O2" s="308"/>
      <c r="P2" s="22"/>
    </row>
    <row r="3" spans="1:16">
      <c r="A3" s="552" t="s">
        <v>177</v>
      </c>
      <c r="B3" s="553"/>
      <c r="C3" s="553"/>
      <c r="D3" s="553"/>
      <c r="E3" s="553"/>
      <c r="F3" s="553"/>
      <c r="G3" s="553"/>
      <c r="H3" s="553"/>
      <c r="I3" s="553"/>
      <c r="J3" s="553"/>
      <c r="K3">
        <v>2572600.2709999997</v>
      </c>
      <c r="L3" s="226"/>
      <c r="M3">
        <v>2572600.2709999997</v>
      </c>
      <c r="N3" s="94"/>
    </row>
    <row r="4" spans="1:16">
      <c r="A4" s="26">
        <v>1</v>
      </c>
      <c r="B4" s="27">
        <v>46143</v>
      </c>
      <c r="C4" s="17"/>
      <c r="D4" s="258"/>
      <c r="E4" s="265"/>
      <c r="F4" s="306"/>
      <c r="G4" s="17">
        <f>E4*F4</f>
        <v>0</v>
      </c>
      <c r="H4" s="17"/>
      <c r="I4" s="17"/>
      <c r="J4" s="17">
        <f>H4*I4</f>
        <v>0</v>
      </c>
      <c r="K4" s="17">
        <f>G4+J4</f>
        <v>0</v>
      </c>
      <c r="L4" s="17"/>
      <c r="M4" s="40">
        <f>M3+K4-L4</f>
        <v>2572600.2709999997</v>
      </c>
      <c r="N4" s="17"/>
      <c r="O4" s="40"/>
    </row>
    <row r="5" spans="1:16">
      <c r="A5" s="26">
        <v>2</v>
      </c>
      <c r="B5" s="27">
        <v>46144</v>
      </c>
      <c r="C5" s="17"/>
      <c r="D5" s="258"/>
      <c r="E5" s="265"/>
      <c r="F5" s="306"/>
      <c r="G5" s="17">
        <f t="shared" ref="G5:G34" si="0">E5*F5</f>
        <v>0</v>
      </c>
      <c r="H5" s="17"/>
      <c r="I5" s="17"/>
      <c r="J5" s="17">
        <f t="shared" ref="J5:J34" si="1">H5*I5</f>
        <v>0</v>
      </c>
      <c r="K5" s="17">
        <f t="shared" ref="K5:K34" si="2">G5+J5</f>
        <v>0</v>
      </c>
      <c r="L5" s="17"/>
      <c r="M5" s="40">
        <f>M4+K5-L5</f>
        <v>2572600.2709999997</v>
      </c>
      <c r="N5" s="17"/>
    </row>
    <row r="6" spans="1:16">
      <c r="A6" s="26">
        <v>3</v>
      </c>
      <c r="B6" s="27">
        <v>46145</v>
      </c>
      <c r="C6" s="17"/>
      <c r="D6" s="258"/>
      <c r="E6" s="265"/>
      <c r="F6" s="306"/>
      <c r="G6" s="17">
        <f t="shared" si="0"/>
        <v>0</v>
      </c>
      <c r="H6" s="17"/>
      <c r="I6" s="17"/>
      <c r="J6" s="17">
        <f t="shared" si="1"/>
        <v>0</v>
      </c>
      <c r="K6" s="17">
        <f t="shared" si="2"/>
        <v>0</v>
      </c>
      <c r="L6" s="17"/>
      <c r="M6" s="40">
        <f t="shared" ref="M6:M34" si="3">M5+K6-L6</f>
        <v>2572600.2709999997</v>
      </c>
      <c r="N6" s="17"/>
    </row>
    <row r="7" spans="1:16">
      <c r="A7" s="26">
        <v>4</v>
      </c>
      <c r="B7" s="27">
        <v>46146</v>
      </c>
      <c r="C7" s="17"/>
      <c r="D7" s="258"/>
      <c r="E7" s="265"/>
      <c r="F7" s="306"/>
      <c r="G7" s="17">
        <f t="shared" si="0"/>
        <v>0</v>
      </c>
      <c r="H7" s="17"/>
      <c r="I7" s="17"/>
      <c r="J7" s="17">
        <f t="shared" si="1"/>
        <v>0</v>
      </c>
      <c r="K7" s="17">
        <f t="shared" si="2"/>
        <v>0</v>
      </c>
      <c r="L7" s="17">
        <v>1000000</v>
      </c>
      <c r="M7" s="40">
        <f>M6+K7-L7</f>
        <v>1572600.2709999997</v>
      </c>
      <c r="N7" s="17"/>
    </row>
    <row r="8" spans="1:16">
      <c r="A8" s="26">
        <v>5</v>
      </c>
      <c r="B8" s="27">
        <v>46147</v>
      </c>
      <c r="C8" s="17"/>
      <c r="D8" s="258"/>
      <c r="E8" s="265"/>
      <c r="F8" s="306"/>
      <c r="G8" s="17">
        <f t="shared" si="0"/>
        <v>0</v>
      </c>
      <c r="H8" s="17"/>
      <c r="I8" s="17"/>
      <c r="J8" s="17">
        <f t="shared" si="1"/>
        <v>0</v>
      </c>
      <c r="K8" s="17">
        <f t="shared" si="2"/>
        <v>0</v>
      </c>
      <c r="L8" s="17"/>
      <c r="M8" s="40">
        <f t="shared" si="3"/>
        <v>1572600.2709999997</v>
      </c>
      <c r="N8" s="17"/>
    </row>
    <row r="9" spans="1:16">
      <c r="A9" s="26">
        <v>6</v>
      </c>
      <c r="B9" s="27">
        <v>46148</v>
      </c>
      <c r="C9" s="17"/>
      <c r="D9" s="258"/>
      <c r="E9" s="265"/>
      <c r="F9" s="306"/>
      <c r="G9" s="17">
        <f t="shared" si="0"/>
        <v>0</v>
      </c>
      <c r="H9" s="17"/>
      <c r="I9" s="17"/>
      <c r="J9" s="17">
        <f t="shared" si="1"/>
        <v>0</v>
      </c>
      <c r="K9" s="17">
        <f t="shared" si="2"/>
        <v>0</v>
      </c>
      <c r="L9" s="17"/>
      <c r="M9" s="40">
        <f t="shared" si="3"/>
        <v>1572600.2709999997</v>
      </c>
      <c r="N9" s="228"/>
    </row>
    <row r="10" spans="1:16">
      <c r="A10" s="26">
        <v>7</v>
      </c>
      <c r="B10" s="27">
        <v>46149</v>
      </c>
      <c r="C10" s="17"/>
      <c r="D10" s="258"/>
      <c r="E10" s="265"/>
      <c r="F10" s="306"/>
      <c r="G10" s="17">
        <f t="shared" si="0"/>
        <v>0</v>
      </c>
      <c r="H10" s="17"/>
      <c r="I10" s="17"/>
      <c r="J10" s="17">
        <f t="shared" si="1"/>
        <v>0</v>
      </c>
      <c r="K10" s="17">
        <f t="shared" si="2"/>
        <v>0</v>
      </c>
      <c r="L10" s="17"/>
      <c r="M10" s="40">
        <f t="shared" si="3"/>
        <v>1572600.2709999997</v>
      </c>
      <c r="N10" s="17"/>
    </row>
    <row r="11" spans="1:16">
      <c r="A11" s="26">
        <v>8</v>
      </c>
      <c r="B11" s="27">
        <v>46150</v>
      </c>
      <c r="C11" s="17"/>
      <c r="D11" s="258"/>
      <c r="E11" s="265"/>
      <c r="F11" s="306"/>
      <c r="G11" s="17">
        <f t="shared" si="0"/>
        <v>0</v>
      </c>
      <c r="H11" s="17"/>
      <c r="I11" s="17"/>
      <c r="J11" s="17">
        <f t="shared" si="1"/>
        <v>0</v>
      </c>
      <c r="K11" s="17">
        <f t="shared" si="2"/>
        <v>0</v>
      </c>
      <c r="L11" s="17"/>
      <c r="M11" s="40">
        <f t="shared" si="3"/>
        <v>1572600.2709999997</v>
      </c>
      <c r="N11" s="17"/>
    </row>
    <row r="12" spans="1:16">
      <c r="A12" s="26">
        <v>9</v>
      </c>
      <c r="B12" s="27">
        <v>46151</v>
      </c>
      <c r="C12" s="17"/>
      <c r="D12" s="258"/>
      <c r="E12" s="265"/>
      <c r="F12" s="306"/>
      <c r="G12" s="17">
        <f t="shared" si="0"/>
        <v>0</v>
      </c>
      <c r="H12" s="17"/>
      <c r="I12" s="17"/>
      <c r="J12" s="17">
        <f t="shared" si="1"/>
        <v>0</v>
      </c>
      <c r="K12" s="17">
        <f t="shared" si="2"/>
        <v>0</v>
      </c>
      <c r="L12" s="17"/>
      <c r="M12" s="40">
        <f t="shared" si="3"/>
        <v>1572600.2709999997</v>
      </c>
      <c r="N12" s="17"/>
    </row>
    <row r="13" spans="1:16">
      <c r="A13" s="26">
        <v>10</v>
      </c>
      <c r="B13" s="27">
        <v>46152</v>
      </c>
      <c r="C13" s="17"/>
      <c r="D13" s="258"/>
      <c r="E13" s="265"/>
      <c r="F13" s="306"/>
      <c r="G13" s="17">
        <f t="shared" si="0"/>
        <v>0</v>
      </c>
      <c r="H13" s="17"/>
      <c r="I13" s="17"/>
      <c r="J13" s="17">
        <f t="shared" si="1"/>
        <v>0</v>
      </c>
      <c r="K13" s="17">
        <f t="shared" si="2"/>
        <v>0</v>
      </c>
      <c r="L13" s="17"/>
      <c r="M13" s="40">
        <f t="shared" si="3"/>
        <v>1572600.2709999997</v>
      </c>
      <c r="N13" s="17"/>
    </row>
    <row r="14" spans="1:16">
      <c r="A14" s="26">
        <v>11</v>
      </c>
      <c r="B14" s="27">
        <v>46153</v>
      </c>
      <c r="C14" s="17"/>
      <c r="D14" s="258"/>
      <c r="E14" s="265"/>
      <c r="F14" s="306"/>
      <c r="G14" s="17">
        <f t="shared" si="0"/>
        <v>0</v>
      </c>
      <c r="H14" s="17"/>
      <c r="I14" s="17"/>
      <c r="J14" s="17">
        <f t="shared" si="1"/>
        <v>0</v>
      </c>
      <c r="K14" s="17">
        <f t="shared" si="2"/>
        <v>0</v>
      </c>
      <c r="L14" s="17"/>
      <c r="M14" s="40">
        <f t="shared" si="3"/>
        <v>1572600.2709999997</v>
      </c>
      <c r="N14" s="17"/>
    </row>
    <row r="15" spans="1:16">
      <c r="A15" s="26">
        <v>12</v>
      </c>
      <c r="B15" s="27">
        <v>46154</v>
      </c>
      <c r="C15" s="17"/>
      <c r="D15" s="258"/>
      <c r="E15" s="265"/>
      <c r="F15" s="306"/>
      <c r="G15" s="17">
        <f t="shared" si="0"/>
        <v>0</v>
      </c>
      <c r="H15" s="17"/>
      <c r="I15" s="17"/>
      <c r="J15" s="17">
        <f t="shared" si="1"/>
        <v>0</v>
      </c>
      <c r="K15" s="17">
        <f t="shared" si="2"/>
        <v>0</v>
      </c>
      <c r="L15" s="17"/>
      <c r="M15" s="40">
        <f t="shared" si="3"/>
        <v>1572600.2709999997</v>
      </c>
      <c r="N15" s="17"/>
    </row>
    <row r="16" spans="1:16">
      <c r="A16" s="26">
        <v>13</v>
      </c>
      <c r="B16" s="27">
        <v>46155</v>
      </c>
      <c r="C16" s="17"/>
      <c r="D16" s="258"/>
      <c r="E16" s="265"/>
      <c r="F16" s="306"/>
      <c r="G16" s="17">
        <f t="shared" si="0"/>
        <v>0</v>
      </c>
      <c r="H16" s="17"/>
      <c r="I16" s="17"/>
      <c r="J16" s="17">
        <f t="shared" si="1"/>
        <v>0</v>
      </c>
      <c r="K16" s="17">
        <f t="shared" si="2"/>
        <v>0</v>
      </c>
      <c r="L16" s="17"/>
      <c r="M16" s="40">
        <f>M15+K16-L16</f>
        <v>1572600.2709999997</v>
      </c>
      <c r="N16" s="17"/>
    </row>
    <row r="17" spans="1:14">
      <c r="A17" s="26">
        <v>14</v>
      </c>
      <c r="B17" s="27">
        <v>46156</v>
      </c>
      <c r="C17" s="17"/>
      <c r="D17" s="258"/>
      <c r="E17" s="265"/>
      <c r="F17" s="306"/>
      <c r="G17" s="17">
        <f t="shared" si="0"/>
        <v>0</v>
      </c>
      <c r="H17" s="17"/>
      <c r="I17" s="17"/>
      <c r="J17" s="17">
        <f t="shared" si="1"/>
        <v>0</v>
      </c>
      <c r="K17" s="17">
        <f t="shared" si="2"/>
        <v>0</v>
      </c>
      <c r="L17" s="17"/>
      <c r="M17" s="40">
        <f t="shared" si="3"/>
        <v>1572600.2709999997</v>
      </c>
      <c r="N17" s="17"/>
    </row>
    <row r="18" spans="1:14">
      <c r="A18" s="26">
        <v>15</v>
      </c>
      <c r="B18" s="27">
        <v>46157</v>
      </c>
      <c r="C18" s="17"/>
      <c r="D18" s="258"/>
      <c r="E18" s="265"/>
      <c r="F18" s="306"/>
      <c r="G18" s="17">
        <f t="shared" si="0"/>
        <v>0</v>
      </c>
      <c r="H18" s="17"/>
      <c r="I18" s="17"/>
      <c r="J18" s="17">
        <f t="shared" si="1"/>
        <v>0</v>
      </c>
      <c r="K18" s="17">
        <f t="shared" si="2"/>
        <v>0</v>
      </c>
      <c r="L18" s="17"/>
      <c r="M18" s="40">
        <f t="shared" si="3"/>
        <v>1572600.2709999997</v>
      </c>
      <c r="N18" s="17"/>
    </row>
    <row r="19" spans="1:14">
      <c r="A19" s="26">
        <v>16</v>
      </c>
      <c r="B19" s="27">
        <v>46158</v>
      </c>
      <c r="C19" s="17"/>
      <c r="D19" s="258"/>
      <c r="E19" s="265"/>
      <c r="F19" s="306"/>
      <c r="G19" s="17">
        <f t="shared" si="0"/>
        <v>0</v>
      </c>
      <c r="H19" s="17"/>
      <c r="I19" s="17"/>
      <c r="J19" s="17">
        <f t="shared" si="1"/>
        <v>0</v>
      </c>
      <c r="K19" s="17">
        <f t="shared" si="2"/>
        <v>0</v>
      </c>
      <c r="L19" s="17"/>
      <c r="M19" s="40">
        <f t="shared" si="3"/>
        <v>1572600.2709999997</v>
      </c>
      <c r="N19" s="17"/>
    </row>
    <row r="20" spans="1:14">
      <c r="A20" s="26">
        <v>17</v>
      </c>
      <c r="B20" s="27">
        <v>46159</v>
      </c>
      <c r="C20" s="17"/>
      <c r="D20" s="258"/>
      <c r="E20" s="265"/>
      <c r="F20" s="306"/>
      <c r="G20" s="17">
        <f t="shared" si="0"/>
        <v>0</v>
      </c>
      <c r="H20" s="17"/>
      <c r="I20" s="17"/>
      <c r="J20" s="17">
        <f t="shared" si="1"/>
        <v>0</v>
      </c>
      <c r="K20" s="17">
        <f t="shared" si="2"/>
        <v>0</v>
      </c>
      <c r="L20" s="17"/>
      <c r="M20" s="40">
        <f t="shared" si="3"/>
        <v>1572600.2709999997</v>
      </c>
      <c r="N20" s="17"/>
    </row>
    <row r="21" spans="1:14">
      <c r="A21" s="26">
        <v>18</v>
      </c>
      <c r="B21" s="27">
        <v>46160</v>
      </c>
      <c r="C21" s="17"/>
      <c r="D21" s="258"/>
      <c r="E21" s="265"/>
      <c r="F21" s="306"/>
      <c r="G21" s="17">
        <f t="shared" si="0"/>
        <v>0</v>
      </c>
      <c r="H21" s="17"/>
      <c r="I21" s="17"/>
      <c r="J21" s="17">
        <f t="shared" si="1"/>
        <v>0</v>
      </c>
      <c r="K21" s="17">
        <f t="shared" si="2"/>
        <v>0</v>
      </c>
      <c r="L21" s="17"/>
      <c r="M21" s="40">
        <f t="shared" si="3"/>
        <v>1572600.2709999997</v>
      </c>
      <c r="N21" s="17"/>
    </row>
    <row r="22" spans="1:14">
      <c r="A22" s="26">
        <v>19</v>
      </c>
      <c r="B22" s="27">
        <v>46161</v>
      </c>
      <c r="C22" s="17"/>
      <c r="D22" s="258"/>
      <c r="E22" s="265"/>
      <c r="F22" s="306"/>
      <c r="G22" s="17">
        <f t="shared" si="0"/>
        <v>0</v>
      </c>
      <c r="H22" s="17"/>
      <c r="I22" s="17"/>
      <c r="J22" s="17">
        <f t="shared" si="1"/>
        <v>0</v>
      </c>
      <c r="K22" s="17">
        <f t="shared" si="2"/>
        <v>0</v>
      </c>
      <c r="L22" s="17"/>
      <c r="M22" s="40">
        <f t="shared" si="3"/>
        <v>1572600.2709999997</v>
      </c>
      <c r="N22" s="17"/>
    </row>
    <row r="23" spans="1:14">
      <c r="A23" s="26">
        <v>20</v>
      </c>
      <c r="B23" s="27">
        <v>46162</v>
      </c>
      <c r="C23" s="17"/>
      <c r="D23" s="258"/>
      <c r="E23" s="265"/>
      <c r="F23" s="306"/>
      <c r="G23" s="17">
        <f t="shared" si="0"/>
        <v>0</v>
      </c>
      <c r="H23" s="17"/>
      <c r="I23" s="17"/>
      <c r="J23" s="17">
        <f t="shared" si="1"/>
        <v>0</v>
      </c>
      <c r="K23" s="17">
        <f t="shared" si="2"/>
        <v>0</v>
      </c>
      <c r="L23" s="17"/>
      <c r="M23" s="40">
        <f t="shared" si="3"/>
        <v>1572600.2709999997</v>
      </c>
      <c r="N23" s="17"/>
    </row>
    <row r="24" spans="1:14">
      <c r="A24" s="26">
        <v>21</v>
      </c>
      <c r="B24" s="27">
        <v>46163</v>
      </c>
      <c r="C24" s="17"/>
      <c r="D24" s="258"/>
      <c r="E24" s="265"/>
      <c r="F24" s="306"/>
      <c r="G24" s="17">
        <f t="shared" si="0"/>
        <v>0</v>
      </c>
      <c r="H24" s="17"/>
      <c r="I24" s="17"/>
      <c r="J24" s="17">
        <f t="shared" si="1"/>
        <v>0</v>
      </c>
      <c r="K24" s="17">
        <f t="shared" si="2"/>
        <v>0</v>
      </c>
      <c r="L24" s="17"/>
      <c r="M24" s="40">
        <f t="shared" si="3"/>
        <v>1572600.2709999997</v>
      </c>
      <c r="N24" s="17"/>
    </row>
    <row r="25" spans="1:14">
      <c r="A25" s="26">
        <v>22</v>
      </c>
      <c r="B25" s="27">
        <v>46164</v>
      </c>
      <c r="C25" s="17"/>
      <c r="D25" s="258"/>
      <c r="E25" s="265"/>
      <c r="F25" s="306"/>
      <c r="G25" s="17">
        <f t="shared" si="0"/>
        <v>0</v>
      </c>
      <c r="H25" s="17"/>
      <c r="I25" s="17"/>
      <c r="J25" s="17">
        <f t="shared" si="1"/>
        <v>0</v>
      </c>
      <c r="K25" s="17">
        <f t="shared" si="2"/>
        <v>0</v>
      </c>
      <c r="L25" s="17"/>
      <c r="M25" s="40">
        <f t="shared" si="3"/>
        <v>1572600.2709999997</v>
      </c>
      <c r="N25" s="17"/>
    </row>
    <row r="26" spans="1:14">
      <c r="A26" s="26">
        <v>23</v>
      </c>
      <c r="B26" s="27">
        <v>46165</v>
      </c>
      <c r="C26" s="17"/>
      <c r="D26" s="258"/>
      <c r="E26" s="265"/>
      <c r="F26" s="306"/>
      <c r="G26" s="17">
        <f t="shared" si="0"/>
        <v>0</v>
      </c>
      <c r="H26" s="17"/>
      <c r="I26" s="17"/>
      <c r="J26" s="17">
        <f t="shared" si="1"/>
        <v>0</v>
      </c>
      <c r="K26" s="17">
        <f t="shared" si="2"/>
        <v>0</v>
      </c>
      <c r="L26" s="17"/>
      <c r="M26" s="40">
        <f t="shared" si="3"/>
        <v>1572600.2709999997</v>
      </c>
      <c r="N26" s="17"/>
    </row>
    <row r="27" spans="1:14">
      <c r="A27" s="26">
        <v>24</v>
      </c>
      <c r="B27" s="27">
        <v>46166</v>
      </c>
      <c r="C27" s="17"/>
      <c r="D27" s="258"/>
      <c r="E27" s="265"/>
      <c r="F27" s="306"/>
      <c r="G27" s="17">
        <f t="shared" si="0"/>
        <v>0</v>
      </c>
      <c r="H27" s="17"/>
      <c r="I27" s="17"/>
      <c r="J27" s="17">
        <f t="shared" si="1"/>
        <v>0</v>
      </c>
      <c r="K27" s="17">
        <f t="shared" si="2"/>
        <v>0</v>
      </c>
      <c r="L27" s="17"/>
      <c r="M27" s="40">
        <f t="shared" si="3"/>
        <v>1572600.2709999997</v>
      </c>
      <c r="N27" s="17"/>
    </row>
    <row r="28" spans="1:14">
      <c r="A28" s="26">
        <v>25</v>
      </c>
      <c r="B28" s="27">
        <v>46167</v>
      </c>
      <c r="C28" s="17"/>
      <c r="D28" s="258"/>
      <c r="E28" s="265"/>
      <c r="F28" s="306"/>
      <c r="G28" s="17">
        <f t="shared" si="0"/>
        <v>0</v>
      </c>
      <c r="H28" s="17"/>
      <c r="I28" s="17"/>
      <c r="J28" s="17">
        <f t="shared" si="1"/>
        <v>0</v>
      </c>
      <c r="K28" s="17">
        <f t="shared" si="2"/>
        <v>0</v>
      </c>
      <c r="L28" s="17"/>
      <c r="M28" s="40">
        <f t="shared" si="3"/>
        <v>1572600.2709999997</v>
      </c>
      <c r="N28" s="17"/>
    </row>
    <row r="29" spans="1:14">
      <c r="A29" s="26">
        <v>26</v>
      </c>
      <c r="B29" s="27">
        <v>46168</v>
      </c>
      <c r="C29" s="17"/>
      <c r="D29" s="258"/>
      <c r="E29" s="265"/>
      <c r="F29" s="306"/>
      <c r="G29" s="17">
        <f t="shared" si="0"/>
        <v>0</v>
      </c>
      <c r="H29" s="17"/>
      <c r="I29" s="17"/>
      <c r="J29" s="17">
        <f t="shared" si="1"/>
        <v>0</v>
      </c>
      <c r="K29" s="17">
        <f t="shared" si="2"/>
        <v>0</v>
      </c>
      <c r="L29" s="17"/>
      <c r="M29" s="40">
        <f t="shared" si="3"/>
        <v>1572600.2709999997</v>
      </c>
      <c r="N29" s="17"/>
    </row>
    <row r="30" spans="1:14">
      <c r="A30" s="26">
        <v>27</v>
      </c>
      <c r="B30" s="27">
        <v>46169</v>
      </c>
      <c r="C30" s="17"/>
      <c r="D30" s="258"/>
      <c r="E30" s="265"/>
      <c r="F30" s="306"/>
      <c r="G30" s="17">
        <f t="shared" si="0"/>
        <v>0</v>
      </c>
      <c r="H30" s="17"/>
      <c r="I30" s="17"/>
      <c r="J30" s="17">
        <f t="shared" si="1"/>
        <v>0</v>
      </c>
      <c r="K30" s="17">
        <f t="shared" si="2"/>
        <v>0</v>
      </c>
      <c r="L30" s="17"/>
      <c r="M30" s="40">
        <f t="shared" si="3"/>
        <v>1572600.2709999997</v>
      </c>
      <c r="N30" s="17"/>
    </row>
    <row r="31" spans="1:14">
      <c r="A31" s="26">
        <v>28</v>
      </c>
      <c r="B31" s="27">
        <v>46170</v>
      </c>
      <c r="C31" s="17"/>
      <c r="D31" s="258"/>
      <c r="E31" s="265"/>
      <c r="F31" s="306"/>
      <c r="G31" s="17">
        <f t="shared" si="0"/>
        <v>0</v>
      </c>
      <c r="H31" s="17"/>
      <c r="I31" s="17"/>
      <c r="J31" s="17">
        <f t="shared" si="1"/>
        <v>0</v>
      </c>
      <c r="K31" s="17">
        <f t="shared" si="2"/>
        <v>0</v>
      </c>
      <c r="L31" s="17"/>
      <c r="M31" s="40">
        <f t="shared" si="3"/>
        <v>1572600.2709999997</v>
      </c>
      <c r="N31" s="17"/>
    </row>
    <row r="32" spans="1:14">
      <c r="A32" s="26">
        <v>29</v>
      </c>
      <c r="B32" s="27">
        <v>46171</v>
      </c>
      <c r="C32" s="17"/>
      <c r="D32" s="258"/>
      <c r="E32" s="265"/>
      <c r="F32" s="306"/>
      <c r="G32" s="17">
        <f t="shared" si="0"/>
        <v>0</v>
      </c>
      <c r="H32" s="17"/>
      <c r="I32" s="17"/>
      <c r="J32" s="17">
        <f t="shared" si="1"/>
        <v>0</v>
      </c>
      <c r="K32" s="17">
        <f t="shared" si="2"/>
        <v>0</v>
      </c>
      <c r="L32" s="17"/>
      <c r="M32" s="40">
        <f t="shared" si="3"/>
        <v>1572600.2709999997</v>
      </c>
      <c r="N32" s="17"/>
    </row>
    <row r="33" spans="1:14">
      <c r="A33" s="26">
        <v>30</v>
      </c>
      <c r="B33" s="27">
        <v>46172</v>
      </c>
      <c r="C33" s="17"/>
      <c r="D33" s="258"/>
      <c r="E33" s="265"/>
      <c r="F33" s="306"/>
      <c r="G33" s="17">
        <f t="shared" si="0"/>
        <v>0</v>
      </c>
      <c r="H33" s="17"/>
      <c r="I33" s="17"/>
      <c r="J33" s="17">
        <f t="shared" si="1"/>
        <v>0</v>
      </c>
      <c r="K33" s="17">
        <f t="shared" si="2"/>
        <v>0</v>
      </c>
      <c r="L33" s="17"/>
      <c r="M33" s="40">
        <f t="shared" si="3"/>
        <v>1572600.2709999997</v>
      </c>
      <c r="N33" s="17"/>
    </row>
    <row r="34" spans="1:14">
      <c r="A34" s="26">
        <v>31</v>
      </c>
      <c r="B34" s="27"/>
      <c r="C34" s="17"/>
      <c r="D34" s="258"/>
      <c r="E34" s="265"/>
      <c r="F34" s="306"/>
      <c r="G34" s="17">
        <f t="shared" si="0"/>
        <v>0</v>
      </c>
      <c r="H34" s="17"/>
      <c r="I34" s="17"/>
      <c r="J34" s="17">
        <f t="shared" si="1"/>
        <v>0</v>
      </c>
      <c r="K34" s="17">
        <f t="shared" si="2"/>
        <v>0</v>
      </c>
      <c r="L34" s="17"/>
      <c r="M34" s="40">
        <f t="shared" si="3"/>
        <v>1572600.2709999997</v>
      </c>
      <c r="N34" s="17"/>
    </row>
    <row r="35" spans="1:14">
      <c r="A35" s="42"/>
      <c r="B35" s="42"/>
      <c r="C35" s="42"/>
      <c r="D35" s="42"/>
      <c r="E35" s="43">
        <f>SUM(E4:E34)</f>
        <v>0</v>
      </c>
      <c r="F35" s="43"/>
      <c r="G35" s="43">
        <f>SUM(G4:G34)</f>
        <v>0</v>
      </c>
      <c r="H35" s="43">
        <f>SUM(H4:H34)</f>
        <v>0</v>
      </c>
      <c r="I35" s="43"/>
      <c r="J35" s="43">
        <f>SUM(J4:J34)</f>
        <v>0</v>
      </c>
      <c r="K35" s="43">
        <f>SUM(K4:K34)</f>
        <v>0</v>
      </c>
      <c r="L35" s="43">
        <f>SUM(L4:L34)</f>
        <v>1000000</v>
      </c>
      <c r="M35" s="43"/>
      <c r="N35" s="43"/>
    </row>
    <row r="39" spans="1:14">
      <c r="M39" s="22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002E-DF3D-473F-82CE-A339634F7C34}">
  <sheetPr>
    <tabColor rgb="FF00B050"/>
  </sheetPr>
  <dimension ref="A1:U46"/>
  <sheetViews>
    <sheetView workbookViewId="0">
      <selection activeCell="G7" sqref="G7"/>
    </sheetView>
  </sheetViews>
  <sheetFormatPr defaultRowHeight="15"/>
  <cols>
    <col min="2" max="2" width="16.140625" customWidth="1"/>
    <col min="3" max="3" width="37" bestFit="1" customWidth="1"/>
    <col min="6" max="6" width="12.140625" customWidth="1"/>
    <col min="7" max="7" width="15.7109375" customWidth="1"/>
    <col min="11" max="12" width="13.5703125" bestFit="1" customWidth="1"/>
    <col min="13" max="13" width="11.42578125" bestFit="1" customWidth="1"/>
  </cols>
  <sheetData>
    <row r="1" spans="1:18" ht="15.75">
      <c r="A1" s="550" t="s">
        <v>185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</row>
    <row r="2" spans="1:18" ht="30.75">
      <c r="A2" s="123" t="s">
        <v>0</v>
      </c>
      <c r="B2" s="124" t="s">
        <v>166</v>
      </c>
      <c r="C2" s="124"/>
      <c r="D2" s="124" t="s">
        <v>168</v>
      </c>
      <c r="E2" s="124" t="s">
        <v>169</v>
      </c>
      <c r="F2" s="124" t="s">
        <v>170</v>
      </c>
      <c r="G2" s="124" t="s">
        <v>171</v>
      </c>
      <c r="H2" s="124" t="s">
        <v>172</v>
      </c>
      <c r="I2" s="124" t="s">
        <v>170</v>
      </c>
      <c r="J2" s="125" t="s">
        <v>171</v>
      </c>
      <c r="K2" s="123" t="s">
        <v>173</v>
      </c>
      <c r="L2" s="126" t="s">
        <v>174</v>
      </c>
      <c r="M2" s="126" t="s">
        <v>182</v>
      </c>
      <c r="N2" s="124" t="s">
        <v>176</v>
      </c>
    </row>
    <row r="3" spans="1:18">
      <c r="A3" s="551" t="s">
        <v>177</v>
      </c>
      <c r="B3" s="551"/>
      <c r="C3" s="551"/>
      <c r="D3" s="551"/>
      <c r="E3" s="551"/>
      <c r="F3" s="551"/>
      <c r="G3" s="551"/>
      <c r="H3" s="551"/>
      <c r="I3" s="551"/>
      <c r="J3" s="551"/>
      <c r="K3" s="211">
        <v>0</v>
      </c>
      <c r="L3" s="226"/>
      <c r="M3" s="211">
        <v>0</v>
      </c>
      <c r="N3" s="94"/>
    </row>
    <row r="4" spans="1:18">
      <c r="A4" s="26">
        <v>1</v>
      </c>
      <c r="B4" s="27"/>
      <c r="C4" s="17"/>
      <c r="D4" s="17"/>
      <c r="E4" s="17"/>
      <c r="F4" s="17"/>
      <c r="G4" s="17">
        <f>E4*F4</f>
        <v>0</v>
      </c>
      <c r="H4" s="307"/>
      <c r="I4" s="17"/>
      <c r="J4" s="17"/>
      <c r="K4" s="17">
        <f>G4+J4</f>
        <v>0</v>
      </c>
      <c r="L4" s="17">
        <v>0</v>
      </c>
      <c r="M4" s="40">
        <f>M3+K4-L4</f>
        <v>0</v>
      </c>
      <c r="N4" s="17"/>
    </row>
    <row r="5" spans="1:18">
      <c r="A5" s="26">
        <v>2</v>
      </c>
      <c r="B5" s="27" t="s">
        <v>186</v>
      </c>
      <c r="C5" s="17" t="s">
        <v>187</v>
      </c>
      <c r="D5" s="17"/>
      <c r="E5" s="17">
        <v>2800</v>
      </c>
      <c r="F5" s="17">
        <v>95.68</v>
      </c>
      <c r="G5" s="17">
        <f>E5*F5</f>
        <v>267904</v>
      </c>
      <c r="H5" s="307"/>
      <c r="I5" s="17"/>
      <c r="J5" s="17">
        <f>H5*I5</f>
        <v>0</v>
      </c>
      <c r="K5" s="17">
        <f>G5+J5</f>
        <v>267904</v>
      </c>
      <c r="L5" s="17">
        <f>H5+K5</f>
        <v>267904</v>
      </c>
      <c r="M5" s="40">
        <f>M4+K5-L5</f>
        <v>0</v>
      </c>
      <c r="N5" s="17"/>
    </row>
    <row r="6" spans="1:18">
      <c r="A6" s="26">
        <v>3</v>
      </c>
      <c r="B6" s="27" t="s">
        <v>188</v>
      </c>
      <c r="C6" s="17" t="s">
        <v>189</v>
      </c>
      <c r="D6" s="17"/>
      <c r="E6" s="17">
        <v>2000</v>
      </c>
      <c r="F6" s="17">
        <v>95.68</v>
      </c>
      <c r="G6" s="17">
        <f>E6*F6</f>
        <v>191360</v>
      </c>
      <c r="H6" s="307"/>
      <c r="I6" s="17"/>
      <c r="J6" s="17">
        <f>H6*I6</f>
        <v>0</v>
      </c>
      <c r="K6" s="17">
        <f>G6+J6</f>
        <v>191360</v>
      </c>
      <c r="L6" s="17">
        <v>95680</v>
      </c>
      <c r="M6" s="40">
        <f>M5+K6-L6</f>
        <v>95680</v>
      </c>
      <c r="N6" s="17"/>
    </row>
    <row r="7" spans="1:18">
      <c r="A7" s="26">
        <v>4</v>
      </c>
      <c r="B7" s="27" t="s">
        <v>190</v>
      </c>
      <c r="C7" s="17" t="s">
        <v>189</v>
      </c>
      <c r="D7" s="17"/>
      <c r="E7" s="17"/>
      <c r="F7" s="17"/>
      <c r="G7" s="17">
        <f>E7*F7</f>
        <v>0</v>
      </c>
      <c r="H7" s="307"/>
      <c r="I7" s="17"/>
      <c r="J7" s="17">
        <f>H7*I7</f>
        <v>0</v>
      </c>
      <c r="K7" s="17">
        <f>G7+J7</f>
        <v>0</v>
      </c>
      <c r="L7" s="17">
        <v>95680</v>
      </c>
      <c r="M7" s="40">
        <f>M6+K7-L7</f>
        <v>0</v>
      </c>
      <c r="N7" s="17"/>
    </row>
    <row r="8" spans="1:18">
      <c r="A8" s="26">
        <v>5</v>
      </c>
      <c r="B8" s="27" t="s">
        <v>190</v>
      </c>
      <c r="C8" s="17" t="s">
        <v>187</v>
      </c>
      <c r="D8" s="17"/>
      <c r="E8" s="17">
        <v>2800</v>
      </c>
      <c r="F8" s="17">
        <v>95.68</v>
      </c>
      <c r="G8" s="40">
        <f>E8*F8</f>
        <v>267904</v>
      </c>
      <c r="H8" s="307"/>
      <c r="I8" s="17"/>
      <c r="J8" s="17">
        <f>H8*I8</f>
        <v>0</v>
      </c>
      <c r="K8" s="40">
        <f>G8+J8</f>
        <v>267904</v>
      </c>
      <c r="L8" s="40">
        <f>H8+K8</f>
        <v>267904</v>
      </c>
      <c r="M8" s="40">
        <f>M7+K8-L8</f>
        <v>0</v>
      </c>
      <c r="N8" s="17"/>
    </row>
    <row r="9" spans="1:18">
      <c r="A9" s="26">
        <v>6</v>
      </c>
      <c r="B9" s="27" t="s">
        <v>191</v>
      </c>
      <c r="C9" s="17" t="s">
        <v>187</v>
      </c>
      <c r="D9" s="17"/>
      <c r="E9" s="17">
        <v>2800</v>
      </c>
      <c r="F9" s="17">
        <v>95.68</v>
      </c>
      <c r="G9" s="40">
        <f>E9*F9</f>
        <v>267904</v>
      </c>
      <c r="H9" s="307"/>
      <c r="I9" s="17"/>
      <c r="J9" s="17">
        <f>H9*I9</f>
        <v>0</v>
      </c>
      <c r="K9" s="40">
        <f>G9+J9</f>
        <v>267904</v>
      </c>
      <c r="L9" s="40">
        <f>H9+K9</f>
        <v>267904</v>
      </c>
      <c r="M9" s="40">
        <f>M8+K9-L9</f>
        <v>0</v>
      </c>
      <c r="N9" s="17"/>
    </row>
    <row r="10" spans="1:18">
      <c r="A10" s="26">
        <v>7</v>
      </c>
      <c r="B10" s="27" t="s">
        <v>192</v>
      </c>
      <c r="C10" s="17" t="s">
        <v>187</v>
      </c>
      <c r="D10" s="17"/>
      <c r="E10" s="17">
        <v>2597.1990000000001</v>
      </c>
      <c r="F10" s="17">
        <v>95.68</v>
      </c>
      <c r="G10" s="40">
        <f>E10*F10</f>
        <v>248500.00032000002</v>
      </c>
      <c r="H10" s="307"/>
      <c r="I10" s="17"/>
      <c r="J10" s="17">
        <f>H10*I10</f>
        <v>0</v>
      </c>
      <c r="K10" s="40">
        <f>G10+J10</f>
        <v>248500.00032000002</v>
      </c>
      <c r="L10" s="40">
        <f>H10+K10</f>
        <v>248500.00032000002</v>
      </c>
      <c r="M10" s="40">
        <f>M9+K10-L10</f>
        <v>0</v>
      </c>
      <c r="N10" s="17"/>
    </row>
    <row r="11" spans="1:18">
      <c r="A11" s="26">
        <v>8</v>
      </c>
      <c r="B11" s="27" t="s">
        <v>193</v>
      </c>
      <c r="C11" s="17" t="s">
        <v>187</v>
      </c>
      <c r="D11" s="17"/>
      <c r="E11" s="17">
        <v>2800</v>
      </c>
      <c r="F11" s="17">
        <v>95.68</v>
      </c>
      <c r="G11" s="40">
        <f>E11*F11</f>
        <v>267904</v>
      </c>
      <c r="H11" s="307"/>
      <c r="I11" s="17"/>
      <c r="J11" s="17">
        <f>H11*I11</f>
        <v>0</v>
      </c>
      <c r="K11" s="40">
        <f>G11+J11</f>
        <v>267904</v>
      </c>
      <c r="L11" s="40">
        <f>H11+K11</f>
        <v>267904</v>
      </c>
      <c r="M11" s="40">
        <f>M10+K11-L11</f>
        <v>0</v>
      </c>
      <c r="N11" s="17"/>
    </row>
    <row r="12" spans="1:18">
      <c r="A12" s="26">
        <v>9</v>
      </c>
      <c r="B12" s="27" t="s">
        <v>194</v>
      </c>
      <c r="C12" s="17" t="s">
        <v>187</v>
      </c>
      <c r="D12" s="17"/>
      <c r="E12" s="17">
        <v>3020</v>
      </c>
      <c r="F12" s="17">
        <v>95.68</v>
      </c>
      <c r="G12" s="40">
        <f>E12*F12</f>
        <v>288953.60000000003</v>
      </c>
      <c r="H12" s="307"/>
      <c r="I12" s="17"/>
      <c r="J12" s="17">
        <f>H12*I12</f>
        <v>0</v>
      </c>
      <c r="K12" s="40">
        <f>G12+J12</f>
        <v>288953.60000000003</v>
      </c>
      <c r="L12" s="40">
        <f>H12+K12</f>
        <v>288953.60000000003</v>
      </c>
      <c r="M12" s="40">
        <f>M11+K12-L12</f>
        <v>0</v>
      </c>
      <c r="N12" s="17"/>
    </row>
    <row r="13" spans="1:18">
      <c r="A13" s="26">
        <v>10</v>
      </c>
      <c r="B13" s="27">
        <v>46160</v>
      </c>
      <c r="C13" s="17" t="s">
        <v>187</v>
      </c>
      <c r="D13" s="17"/>
      <c r="E13" s="17">
        <v>1021.28</v>
      </c>
      <c r="F13" s="17">
        <v>98.94</v>
      </c>
      <c r="G13" s="40">
        <f>E13*F13</f>
        <v>101045.44319999999</v>
      </c>
      <c r="H13" s="307"/>
      <c r="I13" s="17"/>
      <c r="J13" s="17">
        <f>H13*I13</f>
        <v>0</v>
      </c>
      <c r="K13" s="40">
        <f>G13+J13</f>
        <v>101045.44319999999</v>
      </c>
      <c r="L13" s="40">
        <f>H13+K13</f>
        <v>101045.44319999999</v>
      </c>
      <c r="M13" s="40">
        <f>M12+K13-L13</f>
        <v>0</v>
      </c>
      <c r="N13" s="17"/>
      <c r="P13" s="22"/>
    </row>
    <row r="14" spans="1:18">
      <c r="A14" s="26">
        <v>11</v>
      </c>
      <c r="B14" s="27">
        <v>46163</v>
      </c>
      <c r="C14" s="17" t="s">
        <v>195</v>
      </c>
      <c r="D14" s="17"/>
      <c r="E14" s="17">
        <v>500</v>
      </c>
      <c r="F14" s="17">
        <v>99.93</v>
      </c>
      <c r="G14" s="40">
        <f>E14*F14</f>
        <v>49965</v>
      </c>
      <c r="H14" s="307"/>
      <c r="I14" s="17"/>
      <c r="J14" s="17">
        <f>H14*I14</f>
        <v>0</v>
      </c>
      <c r="K14" s="40">
        <f>G14+J14</f>
        <v>49965</v>
      </c>
      <c r="L14" s="40">
        <f>H14+K14</f>
        <v>49965</v>
      </c>
      <c r="M14" s="40">
        <f>M13+K14-L14</f>
        <v>0</v>
      </c>
      <c r="N14" s="17"/>
    </row>
    <row r="15" spans="1:18">
      <c r="A15" s="26">
        <v>12</v>
      </c>
      <c r="B15" s="27">
        <v>46170</v>
      </c>
      <c r="C15" s="17" t="s">
        <v>196</v>
      </c>
      <c r="D15" s="17"/>
      <c r="E15" s="17">
        <v>1200</v>
      </c>
      <c r="F15" s="17">
        <v>103.8</v>
      </c>
      <c r="G15" s="40">
        <f>E15*F15</f>
        <v>124560</v>
      </c>
      <c r="H15" s="307"/>
      <c r="I15" s="17"/>
      <c r="J15" s="17">
        <f>H15*I15</f>
        <v>0</v>
      </c>
      <c r="K15" s="40">
        <f>G15+J15</f>
        <v>124560</v>
      </c>
      <c r="L15" s="40">
        <f>H15+K15</f>
        <v>124560</v>
      </c>
      <c r="M15" s="40">
        <f>M14+K15-L15</f>
        <v>0</v>
      </c>
      <c r="N15" s="17"/>
      <c r="R15" s="22"/>
    </row>
    <row r="16" spans="1:18">
      <c r="A16" s="26">
        <v>13</v>
      </c>
      <c r="B16" s="27">
        <v>46170</v>
      </c>
      <c r="C16" s="17" t="s">
        <v>195</v>
      </c>
      <c r="D16" s="17"/>
      <c r="E16" s="17">
        <v>700</v>
      </c>
      <c r="F16" s="17">
        <v>103.8</v>
      </c>
      <c r="G16" s="40">
        <f>E16*F16</f>
        <v>72660</v>
      </c>
      <c r="H16" s="307"/>
      <c r="I16" s="17"/>
      <c r="J16" s="17">
        <f>H16*I16</f>
        <v>0</v>
      </c>
      <c r="K16" s="40">
        <f>G16+J16</f>
        <v>72660</v>
      </c>
      <c r="L16" s="40">
        <f>H16+K16</f>
        <v>72660</v>
      </c>
      <c r="M16" s="40">
        <f>M15+K16-L16</f>
        <v>0</v>
      </c>
      <c r="N16" s="17"/>
    </row>
    <row r="17" spans="1:21">
      <c r="A17" s="26">
        <v>14</v>
      </c>
      <c r="B17" s="27"/>
      <c r="C17" s="17"/>
      <c r="D17" s="17"/>
      <c r="E17" s="17"/>
      <c r="F17" s="17"/>
      <c r="G17" s="40">
        <f>E17*F17</f>
        <v>0</v>
      </c>
      <c r="H17" s="307"/>
      <c r="I17" s="17"/>
      <c r="J17" s="17">
        <f>H17*I17</f>
        <v>0</v>
      </c>
      <c r="K17" s="17">
        <f>G17+J17</f>
        <v>0</v>
      </c>
      <c r="L17" s="17">
        <v>0</v>
      </c>
      <c r="M17" s="40">
        <f>M16+K17-L17</f>
        <v>0</v>
      </c>
      <c r="N17" s="17"/>
      <c r="U17" s="371"/>
    </row>
    <row r="18" spans="1:21">
      <c r="A18" s="26">
        <v>15</v>
      </c>
      <c r="B18" s="27"/>
      <c r="C18" s="17"/>
      <c r="D18" s="17"/>
      <c r="E18" s="17"/>
      <c r="F18" s="17"/>
      <c r="G18" s="40">
        <f>E18*F18</f>
        <v>0</v>
      </c>
      <c r="H18" s="307"/>
      <c r="I18" s="17"/>
      <c r="J18" s="17">
        <f>H18*I18</f>
        <v>0</v>
      </c>
      <c r="K18" s="17">
        <f>G18+J18</f>
        <v>0</v>
      </c>
      <c r="L18" s="17">
        <v>0</v>
      </c>
      <c r="M18" s="40">
        <f>M17+K18-L18</f>
        <v>0</v>
      </c>
      <c r="N18" s="17"/>
      <c r="U18" s="371"/>
    </row>
    <row r="19" spans="1:21">
      <c r="A19" s="26">
        <v>16</v>
      </c>
      <c r="B19" s="27"/>
      <c r="C19" s="17"/>
      <c r="D19" s="17"/>
      <c r="E19" s="17"/>
      <c r="F19" s="17"/>
      <c r="G19" s="40">
        <f>E19*F19</f>
        <v>0</v>
      </c>
      <c r="H19" s="307"/>
      <c r="I19" s="17"/>
      <c r="J19" s="17">
        <f>H19*I19</f>
        <v>0</v>
      </c>
      <c r="K19" s="17">
        <f>G19+J19</f>
        <v>0</v>
      </c>
      <c r="L19" s="17">
        <v>0</v>
      </c>
      <c r="M19" s="40">
        <f>M18+K19-L19</f>
        <v>0</v>
      </c>
      <c r="N19" s="17"/>
      <c r="U19" s="371"/>
    </row>
    <row r="20" spans="1:21">
      <c r="A20" s="26">
        <v>17</v>
      </c>
      <c r="B20" s="27"/>
      <c r="C20" s="17"/>
      <c r="D20" s="17"/>
      <c r="E20" s="17"/>
      <c r="F20" s="17"/>
      <c r="G20" s="40">
        <f>E20*F20</f>
        <v>0</v>
      </c>
      <c r="H20" s="307"/>
      <c r="I20" s="17"/>
      <c r="J20" s="17">
        <f>H20*I20</f>
        <v>0</v>
      </c>
      <c r="K20" s="17">
        <f>G20+J20</f>
        <v>0</v>
      </c>
      <c r="L20" s="17">
        <v>0</v>
      </c>
      <c r="M20" s="40">
        <f>M19+K20-L20</f>
        <v>0</v>
      </c>
      <c r="N20" s="17"/>
      <c r="U20" s="371"/>
    </row>
    <row r="21" spans="1:21">
      <c r="A21" s="26">
        <v>18</v>
      </c>
      <c r="B21" s="27"/>
      <c r="C21" s="17"/>
      <c r="D21" s="17"/>
      <c r="E21" s="17"/>
      <c r="F21" s="17"/>
      <c r="G21" s="40">
        <f>E21*F21</f>
        <v>0</v>
      </c>
      <c r="H21" s="307"/>
      <c r="I21" s="17"/>
      <c r="J21" s="17">
        <f>H21*I21</f>
        <v>0</v>
      </c>
      <c r="K21" s="17">
        <f>G21+J21</f>
        <v>0</v>
      </c>
      <c r="L21" s="17">
        <v>0</v>
      </c>
      <c r="M21" s="40">
        <f>M20+K21-L21</f>
        <v>0</v>
      </c>
      <c r="N21" s="17"/>
    </row>
    <row r="22" spans="1:21">
      <c r="A22" s="26">
        <v>19</v>
      </c>
      <c r="B22" s="27"/>
      <c r="C22" s="17"/>
      <c r="D22" s="17"/>
      <c r="E22" s="17"/>
      <c r="F22" s="17"/>
      <c r="G22" s="328">
        <f>E22*F22</f>
        <v>0</v>
      </c>
      <c r="H22" s="307"/>
      <c r="I22" s="17"/>
      <c r="J22" s="17">
        <f>H22*I22</f>
        <v>0</v>
      </c>
      <c r="K22" s="17">
        <f>G22+J22</f>
        <v>0</v>
      </c>
      <c r="L22" s="17">
        <v>0</v>
      </c>
      <c r="M22" s="40">
        <f>M21+K22-L22</f>
        <v>0</v>
      </c>
      <c r="N22" s="17"/>
    </row>
    <row r="23" spans="1:21">
      <c r="A23" s="26">
        <v>20</v>
      </c>
      <c r="B23" s="27"/>
      <c r="C23" s="17"/>
      <c r="D23" s="17"/>
      <c r="E23" s="17"/>
      <c r="F23" s="17"/>
      <c r="G23" s="328">
        <f>E23*F23</f>
        <v>0</v>
      </c>
      <c r="H23" s="307"/>
      <c r="I23" s="17"/>
      <c r="J23" s="17">
        <f>H23*I23</f>
        <v>0</v>
      </c>
      <c r="K23" s="17">
        <f>G23+J23</f>
        <v>0</v>
      </c>
      <c r="L23" s="17">
        <v>0</v>
      </c>
      <c r="M23" s="40">
        <f>M22+K23-L23</f>
        <v>0</v>
      </c>
      <c r="N23" s="17"/>
    </row>
    <row r="24" spans="1:21">
      <c r="A24" s="26">
        <v>21</v>
      </c>
      <c r="B24" s="27"/>
      <c r="C24" s="17"/>
      <c r="D24" s="17"/>
      <c r="E24" s="17"/>
      <c r="F24" s="17"/>
      <c r="G24" s="328">
        <f>E24*F24</f>
        <v>0</v>
      </c>
      <c r="H24" s="307"/>
      <c r="I24" s="17"/>
      <c r="J24" s="17">
        <f>H24*I24</f>
        <v>0</v>
      </c>
      <c r="K24" s="17">
        <f>G24+J24</f>
        <v>0</v>
      </c>
      <c r="L24" s="328">
        <f>H24+K24</f>
        <v>0</v>
      </c>
      <c r="M24" s="40">
        <f>M23+K24-L24</f>
        <v>0</v>
      </c>
      <c r="N24" s="17"/>
    </row>
    <row r="25" spans="1:21">
      <c r="A25" s="26">
        <v>22</v>
      </c>
      <c r="B25" s="27"/>
      <c r="C25" s="17"/>
      <c r="D25" s="17"/>
      <c r="E25" s="183"/>
      <c r="F25" s="183"/>
      <c r="G25" s="328">
        <f>E25*F25</f>
        <v>0</v>
      </c>
      <c r="H25" s="307"/>
      <c r="I25" s="17"/>
      <c r="J25" s="17">
        <f>H25*I25</f>
        <v>0</v>
      </c>
      <c r="K25" s="17">
        <f>G25+J25</f>
        <v>0</v>
      </c>
      <c r="L25" s="17">
        <f>H25+K25</f>
        <v>0</v>
      </c>
      <c r="M25" s="40">
        <f>M24+K25-L25</f>
        <v>0</v>
      </c>
      <c r="N25" s="17"/>
    </row>
    <row r="26" spans="1:21">
      <c r="A26" s="26">
        <v>23</v>
      </c>
      <c r="B26" s="27"/>
      <c r="C26" s="390"/>
      <c r="D26" s="17"/>
      <c r="E26" s="394"/>
      <c r="F26" s="395"/>
      <c r="G26" s="328">
        <f>E26*F26</f>
        <v>0</v>
      </c>
      <c r="H26" s="307"/>
      <c r="I26" s="17"/>
      <c r="J26" s="17">
        <f>H26*I26</f>
        <v>0</v>
      </c>
      <c r="K26" s="17">
        <f>G26+J26</f>
        <v>0</v>
      </c>
      <c r="L26" s="17">
        <f>H26+K26</f>
        <v>0</v>
      </c>
      <c r="M26" s="40">
        <f>M25+K26-L26</f>
        <v>0</v>
      </c>
      <c r="N26" s="17"/>
    </row>
    <row r="27" spans="1:21">
      <c r="A27" s="26">
        <v>24</v>
      </c>
      <c r="B27" s="27"/>
      <c r="C27" s="390"/>
      <c r="D27" s="17"/>
      <c r="E27" s="394"/>
      <c r="F27" s="395"/>
      <c r="G27" s="328">
        <f>E27*F27</f>
        <v>0</v>
      </c>
      <c r="H27" s="307"/>
      <c r="I27" s="17"/>
      <c r="J27" s="17"/>
      <c r="K27" s="17">
        <f>G27+J27</f>
        <v>0</v>
      </c>
      <c r="L27" s="17">
        <f>H27+K27</f>
        <v>0</v>
      </c>
      <c r="M27" s="40">
        <f>M26+K27-L27</f>
        <v>0</v>
      </c>
      <c r="N27" s="17"/>
    </row>
    <row r="28" spans="1:21">
      <c r="A28" s="26">
        <v>25</v>
      </c>
      <c r="B28" s="27"/>
      <c r="C28" s="390"/>
      <c r="D28" s="17"/>
      <c r="E28" s="394"/>
      <c r="F28" s="395"/>
      <c r="G28" s="328">
        <f>E28*F28</f>
        <v>0</v>
      </c>
      <c r="H28" s="307"/>
      <c r="I28" s="17"/>
      <c r="J28" s="17">
        <f>H28*I28</f>
        <v>0</v>
      </c>
      <c r="K28" s="17">
        <f>G28+J28</f>
        <v>0</v>
      </c>
      <c r="L28" s="17">
        <f>H28+K28</f>
        <v>0</v>
      </c>
      <c r="M28" s="40">
        <f>M26+K28-L28</f>
        <v>0</v>
      </c>
      <c r="N28" s="17"/>
    </row>
    <row r="29" spans="1:21">
      <c r="A29" s="26">
        <v>26</v>
      </c>
      <c r="B29" s="27"/>
      <c r="C29" s="390"/>
      <c r="D29" s="17"/>
      <c r="E29" s="394"/>
      <c r="F29" s="395"/>
      <c r="G29" s="328">
        <f>E29*F29</f>
        <v>0</v>
      </c>
      <c r="H29" s="307"/>
      <c r="I29" s="17"/>
      <c r="J29" s="17">
        <f>H29*I29</f>
        <v>0</v>
      </c>
      <c r="K29" s="17">
        <f>G29+J29</f>
        <v>0</v>
      </c>
      <c r="L29" s="17">
        <f>H29+K29</f>
        <v>0</v>
      </c>
      <c r="M29" s="40">
        <f>M28+K29-L29</f>
        <v>0</v>
      </c>
      <c r="N29" s="17"/>
      <c r="O29" s="396" t="s">
        <v>197</v>
      </c>
    </row>
    <row r="30" spans="1:21">
      <c r="A30" s="26">
        <v>27</v>
      </c>
      <c r="B30" s="27"/>
      <c r="C30" s="390"/>
      <c r="D30" s="17"/>
      <c r="E30" s="394"/>
      <c r="F30" s="395"/>
      <c r="G30" s="328">
        <f>E30*F30</f>
        <v>0</v>
      </c>
      <c r="H30" s="307"/>
      <c r="I30" s="17"/>
      <c r="J30" s="17">
        <f>H30*I30</f>
        <v>0</v>
      </c>
      <c r="K30" s="17">
        <f>G30+J30</f>
        <v>0</v>
      </c>
      <c r="L30" s="17">
        <f t="shared" ref="L30:L37" si="0">H30+K30</f>
        <v>0</v>
      </c>
      <c r="M30" s="40">
        <f>M29+K30-L30</f>
        <v>0</v>
      </c>
      <c r="N30" s="17"/>
    </row>
    <row r="31" spans="1:21">
      <c r="A31" s="26">
        <v>28</v>
      </c>
      <c r="B31" s="27"/>
      <c r="C31" s="390"/>
      <c r="D31" s="17"/>
      <c r="E31" s="183"/>
      <c r="F31" s="183"/>
      <c r="G31" s="328">
        <f>E31*F31</f>
        <v>0</v>
      </c>
      <c r="H31" s="307"/>
      <c r="I31" s="17"/>
      <c r="J31" s="17">
        <f>H31*I31</f>
        <v>0</v>
      </c>
      <c r="K31" s="17">
        <f>G31+J31</f>
        <v>0</v>
      </c>
      <c r="L31" s="17">
        <f t="shared" si="0"/>
        <v>0</v>
      </c>
      <c r="M31" s="40">
        <f>M30+K31-L31</f>
        <v>0</v>
      </c>
      <c r="N31" s="17"/>
      <c r="P31" s="22"/>
    </row>
    <row r="32" spans="1:21">
      <c r="A32" s="26">
        <v>29</v>
      </c>
      <c r="B32" s="27"/>
      <c r="C32" s="390"/>
      <c r="D32" s="17"/>
      <c r="E32" s="183"/>
      <c r="F32" s="183"/>
      <c r="G32" s="328">
        <f>E32*F32</f>
        <v>0</v>
      </c>
      <c r="H32" s="307"/>
      <c r="I32" s="17"/>
      <c r="J32" s="17">
        <f>H32*I32</f>
        <v>0</v>
      </c>
      <c r="K32" s="17">
        <f>G32+J32</f>
        <v>0</v>
      </c>
      <c r="L32" s="17">
        <f t="shared" si="0"/>
        <v>0</v>
      </c>
      <c r="M32" s="40">
        <f>M31+K32-L32</f>
        <v>0</v>
      </c>
      <c r="N32" s="17"/>
    </row>
    <row r="33" spans="1:16">
      <c r="A33" s="26">
        <v>30</v>
      </c>
      <c r="B33" s="27"/>
      <c r="C33" s="17"/>
      <c r="D33" s="17"/>
      <c r="E33" s="183"/>
      <c r="F33" s="183"/>
      <c r="G33" s="328">
        <f>E33*F33</f>
        <v>0</v>
      </c>
      <c r="H33" s="307"/>
      <c r="I33" s="17"/>
      <c r="J33" s="17">
        <f>H33*I33</f>
        <v>0</v>
      </c>
      <c r="K33" s="17">
        <f>G33+J33</f>
        <v>0</v>
      </c>
      <c r="L33" s="17">
        <f t="shared" si="0"/>
        <v>0</v>
      </c>
      <c r="M33" s="40">
        <f>M32+K33-L33</f>
        <v>0</v>
      </c>
      <c r="N33" s="17"/>
      <c r="P33" s="22"/>
    </row>
    <row r="34" spans="1:16">
      <c r="A34" s="26">
        <v>31</v>
      </c>
      <c r="B34" s="27"/>
      <c r="C34" s="17"/>
      <c r="D34" s="17"/>
      <c r="E34" s="183"/>
      <c r="F34" s="183"/>
      <c r="G34" s="328">
        <f>E34*F34</f>
        <v>0</v>
      </c>
      <c r="H34" s="307"/>
      <c r="I34" s="17"/>
      <c r="J34" s="17">
        <f>H34*I34</f>
        <v>0</v>
      </c>
      <c r="K34" s="17">
        <f>G34+J34</f>
        <v>0</v>
      </c>
      <c r="L34" s="17">
        <f t="shared" si="0"/>
        <v>0</v>
      </c>
      <c r="M34" s="40">
        <f>M33+K34-L34</f>
        <v>0</v>
      </c>
      <c r="N34" s="17"/>
    </row>
    <row r="35" spans="1:16">
      <c r="A35" s="26">
        <v>32</v>
      </c>
      <c r="B35" s="27"/>
      <c r="C35" s="17"/>
      <c r="D35" s="17"/>
      <c r="E35" s="183"/>
      <c r="F35" s="183"/>
      <c r="G35" s="328">
        <f>E35*F35</f>
        <v>0</v>
      </c>
      <c r="H35" s="307"/>
      <c r="I35" s="17"/>
      <c r="J35" s="17"/>
      <c r="K35" s="17">
        <f>G35+J35</f>
        <v>0</v>
      </c>
      <c r="L35" s="17">
        <f t="shared" si="0"/>
        <v>0</v>
      </c>
      <c r="M35" s="40">
        <f>M34+K35-L35</f>
        <v>0</v>
      </c>
      <c r="N35" s="17"/>
    </row>
    <row r="36" spans="1:16">
      <c r="A36" s="26">
        <v>33</v>
      </c>
      <c r="B36" s="27"/>
      <c r="C36" s="17"/>
      <c r="D36" s="17"/>
      <c r="E36" s="183"/>
      <c r="F36" s="183"/>
      <c r="G36" s="328">
        <f>E36*F36</f>
        <v>0</v>
      </c>
      <c r="H36" s="307"/>
      <c r="I36" s="17"/>
      <c r="J36" s="17">
        <f>H36*I36</f>
        <v>0</v>
      </c>
      <c r="K36" s="17">
        <f>G36+J36</f>
        <v>0</v>
      </c>
      <c r="L36" s="17">
        <f t="shared" si="0"/>
        <v>0</v>
      </c>
      <c r="M36" s="40">
        <f>M35+K36-L36</f>
        <v>0</v>
      </c>
      <c r="N36" s="17"/>
    </row>
    <row r="37" spans="1:16">
      <c r="A37" s="26">
        <v>34</v>
      </c>
      <c r="B37" s="27"/>
      <c r="C37" s="17"/>
      <c r="D37" s="17"/>
      <c r="E37" s="17"/>
      <c r="F37" s="17"/>
      <c r="G37" s="328">
        <f>E37*F37</f>
        <v>0</v>
      </c>
      <c r="H37" s="307"/>
      <c r="I37" s="17"/>
      <c r="J37" s="17">
        <f>H37*I37</f>
        <v>0</v>
      </c>
      <c r="K37" s="17">
        <f>G37+J37</f>
        <v>0</v>
      </c>
      <c r="L37" s="17">
        <f t="shared" si="0"/>
        <v>0</v>
      </c>
      <c r="M37" s="40">
        <f t="shared" ref="M37:M41" si="1">M36+K37-L37</f>
        <v>0</v>
      </c>
      <c r="N37" s="17"/>
    </row>
    <row r="38" spans="1:16">
      <c r="A38" s="26"/>
      <c r="B38" s="27"/>
      <c r="C38" s="17"/>
      <c r="D38" s="17"/>
      <c r="E38" s="17"/>
      <c r="F38" s="17"/>
      <c r="G38" s="328">
        <f t="shared" ref="G38:G40" si="2">E38*F38</f>
        <v>0</v>
      </c>
      <c r="H38" s="307"/>
      <c r="I38" s="17"/>
      <c r="J38" s="17"/>
      <c r="K38" s="17">
        <f t="shared" ref="K38:K40" si="3">G38+J38</f>
        <v>0</v>
      </c>
      <c r="L38" s="17">
        <f t="shared" ref="L37:L40" si="4">H38+K38</f>
        <v>0</v>
      </c>
      <c r="M38" s="40">
        <f t="shared" si="1"/>
        <v>0</v>
      </c>
      <c r="N38" s="17"/>
    </row>
    <row r="39" spans="1:16">
      <c r="A39" s="26"/>
      <c r="B39" s="27"/>
      <c r="C39" s="17"/>
      <c r="D39" s="17"/>
      <c r="E39" s="17"/>
      <c r="F39" s="17"/>
      <c r="G39" s="328">
        <f t="shared" si="2"/>
        <v>0</v>
      </c>
      <c r="H39" s="307"/>
      <c r="I39" s="17"/>
      <c r="J39" s="17"/>
      <c r="K39" s="17">
        <f t="shared" si="3"/>
        <v>0</v>
      </c>
      <c r="L39" s="17">
        <f t="shared" si="4"/>
        <v>0</v>
      </c>
      <c r="M39" s="40">
        <f t="shared" si="1"/>
        <v>0</v>
      </c>
      <c r="N39" s="17"/>
    </row>
    <row r="40" spans="1:16">
      <c r="A40" s="26"/>
      <c r="B40" s="27"/>
      <c r="C40" s="17"/>
      <c r="D40" s="17"/>
      <c r="E40" s="17"/>
      <c r="F40" s="17"/>
      <c r="G40" s="328">
        <f t="shared" si="2"/>
        <v>0</v>
      </c>
      <c r="H40" s="307"/>
      <c r="I40" s="17"/>
      <c r="J40" s="17"/>
      <c r="K40" s="17">
        <f t="shared" si="3"/>
        <v>0</v>
      </c>
      <c r="L40" s="17">
        <f t="shared" si="4"/>
        <v>0</v>
      </c>
      <c r="M40" s="40">
        <f t="shared" si="1"/>
        <v>0</v>
      </c>
      <c r="N40" s="17"/>
    </row>
    <row r="41" spans="1:16">
      <c r="A41" s="26"/>
      <c r="B41" s="27"/>
      <c r="C41" s="17"/>
      <c r="D41" s="17"/>
      <c r="E41" s="17"/>
      <c r="F41" s="17"/>
      <c r="G41" s="328"/>
      <c r="H41" s="307"/>
      <c r="I41" s="17"/>
      <c r="J41" s="17"/>
      <c r="K41" s="17"/>
      <c r="L41" s="17"/>
      <c r="M41" s="40">
        <f t="shared" si="1"/>
        <v>0</v>
      </c>
      <c r="N41" s="17"/>
    </row>
    <row r="42" spans="1:16">
      <c r="A42" s="26"/>
      <c r="B42" s="27"/>
      <c r="C42" s="17"/>
      <c r="D42" s="17"/>
      <c r="E42" s="17"/>
      <c r="F42" s="17"/>
      <c r="G42" s="328"/>
      <c r="H42" s="307"/>
      <c r="I42" s="17"/>
      <c r="J42" s="17"/>
      <c r="K42" s="17"/>
      <c r="L42" s="17"/>
      <c r="M42" s="17"/>
      <c r="N42" s="17"/>
    </row>
    <row r="43" spans="1:16">
      <c r="A43" s="26"/>
      <c r="B43" s="27"/>
      <c r="C43" s="17"/>
      <c r="D43" s="17"/>
      <c r="E43" s="17"/>
      <c r="F43" s="17"/>
      <c r="G43" s="328"/>
      <c r="H43" s="307"/>
      <c r="I43" s="17"/>
      <c r="J43" s="17"/>
      <c r="K43" s="17"/>
      <c r="L43" s="17"/>
      <c r="M43" s="17"/>
      <c r="N43" s="17"/>
    </row>
    <row r="44" spans="1:16">
      <c r="A44" s="26"/>
      <c r="B44" s="27"/>
      <c r="C44" s="17"/>
      <c r="D44" s="17"/>
      <c r="E44" s="17"/>
      <c r="F44" s="17"/>
      <c r="G44" s="328"/>
      <c r="H44" s="307"/>
      <c r="I44" s="17"/>
      <c r="J44" s="17"/>
      <c r="K44" s="17"/>
      <c r="L44" s="17"/>
      <c r="M44" s="17"/>
      <c r="N44" s="17"/>
    </row>
    <row r="45" spans="1:16">
      <c r="A45" s="26">
        <v>35</v>
      </c>
      <c r="B45" s="27"/>
      <c r="C45" s="17"/>
      <c r="D45" s="17"/>
      <c r="E45" s="17"/>
      <c r="F45" s="17"/>
      <c r="G45" s="328">
        <f>E45*F45</f>
        <v>0</v>
      </c>
      <c r="H45" s="307"/>
      <c r="I45" s="17"/>
      <c r="J45" s="17">
        <f>H45*I45</f>
        <v>0</v>
      </c>
      <c r="K45" s="17">
        <f>G45+J45</f>
        <v>0</v>
      </c>
      <c r="L45" s="17"/>
      <c r="M45" s="17"/>
      <c r="N45" s="17"/>
    </row>
    <row r="46" spans="1:16">
      <c r="A46" s="42"/>
      <c r="B46" s="42"/>
      <c r="C46" s="42"/>
      <c r="D46" s="42"/>
      <c r="E46" s="227">
        <f>SUM(E3:E45)</f>
        <v>22238.478999999999</v>
      </c>
      <c r="F46" s="227"/>
      <c r="G46" s="227">
        <f>SUM(G3:G45)</f>
        <v>2148660.0435200003</v>
      </c>
      <c r="H46" s="227">
        <f>SUM(H3:H45)</f>
        <v>0</v>
      </c>
      <c r="I46" s="227"/>
      <c r="J46" s="227">
        <f>SUM(J3:J45)</f>
        <v>0</v>
      </c>
      <c r="K46" s="227">
        <f>SUM(K4:K45)</f>
        <v>2148660.0435200003</v>
      </c>
      <c r="L46" s="227">
        <f>SUM(L3:L45)</f>
        <v>2148660.0435200003</v>
      </c>
      <c r="M46" s="227"/>
      <c r="N46" s="227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4AB8-1190-4CA3-8E20-1BC2619602FD}">
  <dimension ref="A1:S44"/>
  <sheetViews>
    <sheetView topLeftCell="A13" workbookViewId="0">
      <selection activeCell="K15" sqref="K15"/>
    </sheetView>
  </sheetViews>
  <sheetFormatPr defaultRowHeight="15"/>
  <cols>
    <col min="2" max="2" width="10.42578125" bestFit="1" customWidth="1"/>
    <col min="3" max="3" width="12.140625" customWidth="1"/>
    <col min="4" max="4" width="15.140625" customWidth="1"/>
    <col min="5" max="5" width="10.85546875" customWidth="1"/>
    <col min="7" max="7" width="13.7109375" bestFit="1" customWidth="1"/>
    <col min="11" max="12" width="13.5703125" bestFit="1" customWidth="1"/>
    <col min="13" max="13" width="13.140625" bestFit="1" customWidth="1"/>
    <col min="14" max="14" width="8.42578125" bestFit="1" customWidth="1"/>
  </cols>
  <sheetData>
    <row r="1" spans="1:19" ht="15.75">
      <c r="A1" s="546" t="s">
        <v>71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82"/>
    </row>
    <row r="2" spans="1:19" ht="30.75">
      <c r="A2" s="97" t="s">
        <v>0</v>
      </c>
      <c r="B2" s="98" t="s">
        <v>166</v>
      </c>
      <c r="C2" s="98" t="s">
        <v>167</v>
      </c>
      <c r="D2" s="98" t="s">
        <v>198</v>
      </c>
      <c r="E2" s="254" t="s">
        <v>169</v>
      </c>
      <c r="F2" s="254" t="s">
        <v>170</v>
      </c>
      <c r="G2" s="98" t="s">
        <v>171</v>
      </c>
      <c r="H2" s="98" t="s">
        <v>172</v>
      </c>
      <c r="I2" s="98" t="s">
        <v>170</v>
      </c>
      <c r="J2" s="137" t="s">
        <v>171</v>
      </c>
      <c r="K2" s="99" t="s">
        <v>173</v>
      </c>
      <c r="L2" s="138" t="s">
        <v>174</v>
      </c>
      <c r="M2" s="142" t="s">
        <v>199</v>
      </c>
      <c r="N2" s="100" t="s">
        <v>176</v>
      </c>
      <c r="O2" s="59"/>
    </row>
    <row r="3" spans="1:19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9"/>
      <c r="M3" s="147">
        <v>1313281.7</v>
      </c>
      <c r="N3" s="155"/>
      <c r="O3" s="59"/>
    </row>
    <row r="4" spans="1:19">
      <c r="A4" s="195">
        <v>1</v>
      </c>
      <c r="B4" s="218">
        <v>46143</v>
      </c>
      <c r="C4" s="67"/>
      <c r="D4" s="158"/>
      <c r="E4" s="255"/>
      <c r="F4" s="255"/>
      <c r="G4" s="8">
        <f t="shared" ref="G4:G34" si="0">E4*F4</f>
        <v>0</v>
      </c>
      <c r="H4" s="65"/>
      <c r="I4" s="66"/>
      <c r="J4" s="8">
        <f>H4*I4</f>
        <v>0</v>
      </c>
      <c r="K4" s="8">
        <f>G4+J4</f>
        <v>0</v>
      </c>
      <c r="L4" s="68">
        <v>0</v>
      </c>
      <c r="M4" s="68">
        <f>+M3+K4-L4</f>
        <v>1313281.7</v>
      </c>
      <c r="N4" s="8"/>
    </row>
    <row r="5" spans="1:19">
      <c r="A5" s="46">
        <v>2</v>
      </c>
      <c r="B5" s="218">
        <v>46144</v>
      </c>
      <c r="C5" s="67"/>
      <c r="D5" s="158"/>
      <c r="E5" s="255"/>
      <c r="F5" s="255"/>
      <c r="G5" s="8">
        <f t="shared" ref="G5:G33" si="1">E5*F5</f>
        <v>0</v>
      </c>
      <c r="H5" s="65"/>
      <c r="I5" s="66"/>
      <c r="J5" s="8">
        <f t="shared" ref="J5:J33" si="2">H5*I5</f>
        <v>0</v>
      </c>
      <c r="K5" s="8">
        <f t="shared" ref="K5:K33" si="3">G5+J5</f>
        <v>0</v>
      </c>
      <c r="L5" s="68">
        <v>0</v>
      </c>
      <c r="M5" s="68">
        <f t="shared" ref="M5:M34" si="4">+M4+K5-L5</f>
        <v>1313281.7</v>
      </c>
      <c r="N5" s="8"/>
    </row>
    <row r="6" spans="1:19">
      <c r="A6" s="46">
        <v>3</v>
      </c>
      <c r="B6" s="218">
        <v>46145</v>
      </c>
      <c r="C6" s="67"/>
      <c r="D6" s="158"/>
      <c r="E6" s="255"/>
      <c r="F6" s="255"/>
      <c r="G6" s="8">
        <f t="shared" si="1"/>
        <v>0</v>
      </c>
      <c r="H6" s="65"/>
      <c r="I6" s="66"/>
      <c r="J6" s="8">
        <f t="shared" si="2"/>
        <v>0</v>
      </c>
      <c r="K6" s="8">
        <f t="shared" si="3"/>
        <v>0</v>
      </c>
      <c r="L6" s="68">
        <v>0</v>
      </c>
      <c r="M6" s="68">
        <f t="shared" si="4"/>
        <v>1313281.7</v>
      </c>
      <c r="N6" s="8"/>
      <c r="O6">
        <v>8032614</v>
      </c>
      <c r="P6">
        <v>2453209.39</v>
      </c>
      <c r="Q6">
        <f>SUM(O6:P6)</f>
        <v>10485823.390000001</v>
      </c>
    </row>
    <row r="7" spans="1:19">
      <c r="A7" s="46">
        <v>4</v>
      </c>
      <c r="B7" s="218">
        <v>46146</v>
      </c>
      <c r="C7" s="67"/>
      <c r="D7" s="158"/>
      <c r="E7" s="255"/>
      <c r="F7" s="255"/>
      <c r="G7" s="8">
        <f t="shared" si="1"/>
        <v>0</v>
      </c>
      <c r="H7" s="65"/>
      <c r="I7" s="66"/>
      <c r="J7" s="8">
        <f t="shared" si="2"/>
        <v>0</v>
      </c>
      <c r="K7" s="8">
        <f t="shared" si="3"/>
        <v>0</v>
      </c>
      <c r="L7" s="68">
        <v>0</v>
      </c>
      <c r="M7" s="68">
        <f t="shared" si="4"/>
        <v>1313281.7</v>
      </c>
      <c r="N7" s="8"/>
    </row>
    <row r="8" spans="1:19">
      <c r="A8" s="46">
        <v>5</v>
      </c>
      <c r="B8" s="218">
        <v>46147</v>
      </c>
      <c r="C8" s="67"/>
      <c r="D8" s="158"/>
      <c r="E8" s="255"/>
      <c r="F8" s="255"/>
      <c r="G8" s="8">
        <f t="shared" si="1"/>
        <v>0</v>
      </c>
      <c r="H8" s="65"/>
      <c r="I8" s="66"/>
      <c r="J8" s="8">
        <f t="shared" si="2"/>
        <v>0</v>
      </c>
      <c r="K8" s="8">
        <f t="shared" si="3"/>
        <v>0</v>
      </c>
      <c r="L8" s="68">
        <v>0</v>
      </c>
      <c r="M8" s="68">
        <f t="shared" si="4"/>
        <v>1313281.7</v>
      </c>
      <c r="N8" s="8"/>
      <c r="O8" s="69"/>
      <c r="R8" s="223"/>
    </row>
    <row r="9" spans="1:19">
      <c r="A9" s="46">
        <v>6</v>
      </c>
      <c r="B9" s="218">
        <v>46148</v>
      </c>
      <c r="C9" s="67"/>
      <c r="D9" s="158"/>
      <c r="E9" s="255"/>
      <c r="F9" s="255"/>
      <c r="G9" s="8">
        <f t="shared" si="1"/>
        <v>0</v>
      </c>
      <c r="H9" s="65"/>
      <c r="I9" s="66"/>
      <c r="J9" s="8">
        <f t="shared" si="2"/>
        <v>0</v>
      </c>
      <c r="K9" s="8">
        <f t="shared" si="3"/>
        <v>0</v>
      </c>
      <c r="L9" s="68">
        <v>0</v>
      </c>
      <c r="M9" s="68">
        <f t="shared" si="4"/>
        <v>1313281.7</v>
      </c>
      <c r="N9" s="8"/>
      <c r="O9" s="69"/>
    </row>
    <row r="10" spans="1:19">
      <c r="A10" s="46">
        <v>7</v>
      </c>
      <c r="B10" s="218">
        <v>46149</v>
      </c>
      <c r="C10" s="67"/>
      <c r="D10" s="158"/>
      <c r="E10" s="255"/>
      <c r="F10" s="255"/>
      <c r="G10" s="8">
        <f t="shared" si="1"/>
        <v>0</v>
      </c>
      <c r="H10" s="65"/>
      <c r="I10" s="66"/>
      <c r="J10" s="8">
        <f t="shared" si="2"/>
        <v>0</v>
      </c>
      <c r="K10" s="8">
        <f t="shared" si="3"/>
        <v>0</v>
      </c>
      <c r="L10" s="68">
        <v>0</v>
      </c>
      <c r="M10" s="68">
        <f t="shared" si="4"/>
        <v>1313281.7</v>
      </c>
      <c r="N10" s="8"/>
      <c r="O10" s="69"/>
      <c r="R10">
        <v>700</v>
      </c>
    </row>
    <row r="11" spans="1:19">
      <c r="A11" s="46">
        <v>8</v>
      </c>
      <c r="B11" s="218">
        <v>46150</v>
      </c>
      <c r="C11" s="67"/>
      <c r="D11" s="158"/>
      <c r="E11" s="255"/>
      <c r="F11" s="255"/>
      <c r="G11" s="8">
        <f t="shared" si="1"/>
        <v>0</v>
      </c>
      <c r="H11" s="65"/>
      <c r="I11" s="66"/>
      <c r="J11" s="8">
        <f t="shared" si="2"/>
        <v>0</v>
      </c>
      <c r="K11" s="8">
        <f t="shared" si="3"/>
        <v>0</v>
      </c>
      <c r="L11" s="68">
        <v>0</v>
      </c>
      <c r="M11" s="68">
        <f t="shared" si="4"/>
        <v>1313281.7</v>
      </c>
      <c r="N11" s="8"/>
      <c r="O11" s="69"/>
      <c r="S11">
        <v>5000</v>
      </c>
    </row>
    <row r="12" spans="1:19">
      <c r="A12" s="46">
        <v>9</v>
      </c>
      <c r="B12" s="218">
        <v>46151</v>
      </c>
      <c r="C12" s="67"/>
      <c r="D12" s="158"/>
      <c r="E12" s="255"/>
      <c r="F12" s="255"/>
      <c r="G12" s="8">
        <f t="shared" si="1"/>
        <v>0</v>
      </c>
      <c r="H12" s="65"/>
      <c r="I12" s="66"/>
      <c r="J12" s="8">
        <f t="shared" si="2"/>
        <v>0</v>
      </c>
      <c r="K12" s="8">
        <f t="shared" si="3"/>
        <v>0</v>
      </c>
      <c r="L12" s="68">
        <v>0</v>
      </c>
      <c r="M12" s="68">
        <f t="shared" si="4"/>
        <v>1313281.7</v>
      </c>
      <c r="N12" s="8"/>
      <c r="O12" s="69"/>
      <c r="S12">
        <v>1500</v>
      </c>
    </row>
    <row r="13" spans="1:19">
      <c r="A13" s="46">
        <v>10</v>
      </c>
      <c r="B13" s="218">
        <v>46152</v>
      </c>
      <c r="C13" s="67"/>
      <c r="D13" s="158"/>
      <c r="E13" s="255"/>
      <c r="F13" s="255"/>
      <c r="G13" s="8">
        <f t="shared" si="1"/>
        <v>0</v>
      </c>
      <c r="H13" s="65"/>
      <c r="I13" s="66"/>
      <c r="J13" s="8">
        <f t="shared" si="2"/>
        <v>0</v>
      </c>
      <c r="K13" s="8">
        <f t="shared" si="3"/>
        <v>0</v>
      </c>
      <c r="L13" s="68">
        <v>0</v>
      </c>
      <c r="M13" s="68">
        <f t="shared" si="4"/>
        <v>1313281.7</v>
      </c>
      <c r="N13" s="8"/>
      <c r="O13" s="69"/>
      <c r="S13">
        <v>500</v>
      </c>
    </row>
    <row r="14" spans="1:19">
      <c r="A14" s="46">
        <v>11</v>
      </c>
      <c r="B14" s="218">
        <v>46153</v>
      </c>
      <c r="C14" s="67"/>
      <c r="D14" s="158"/>
      <c r="E14" s="255"/>
      <c r="F14" s="255"/>
      <c r="G14" s="8">
        <f t="shared" si="1"/>
        <v>0</v>
      </c>
      <c r="H14" s="65"/>
      <c r="I14" s="66"/>
      <c r="J14" s="8">
        <f t="shared" si="2"/>
        <v>0</v>
      </c>
      <c r="K14" s="8">
        <f t="shared" si="3"/>
        <v>0</v>
      </c>
      <c r="L14" s="68">
        <v>0</v>
      </c>
      <c r="M14" s="68">
        <f t="shared" si="4"/>
        <v>1313281.7</v>
      </c>
      <c r="N14" s="8"/>
      <c r="O14" s="69"/>
    </row>
    <row r="15" spans="1:19">
      <c r="A15" s="46">
        <v>12</v>
      </c>
      <c r="B15" s="218">
        <v>46154</v>
      </c>
      <c r="C15" s="67"/>
      <c r="D15" s="158"/>
      <c r="E15" s="255"/>
      <c r="F15" s="255"/>
      <c r="G15" s="8">
        <f t="shared" si="1"/>
        <v>0</v>
      </c>
      <c r="H15" s="65"/>
      <c r="I15" s="66"/>
      <c r="J15" s="8">
        <f t="shared" si="2"/>
        <v>0</v>
      </c>
      <c r="K15" s="8">
        <f t="shared" si="3"/>
        <v>0</v>
      </c>
      <c r="L15" s="68">
        <v>0</v>
      </c>
      <c r="M15" s="68">
        <f t="shared" si="4"/>
        <v>1313281.7</v>
      </c>
      <c r="N15" s="8"/>
      <c r="O15" s="69"/>
    </row>
    <row r="16" spans="1:19">
      <c r="A16" s="46">
        <v>13</v>
      </c>
      <c r="B16" s="218">
        <v>46155</v>
      </c>
      <c r="C16" s="67"/>
      <c r="D16" s="158"/>
      <c r="E16" s="255"/>
      <c r="F16" s="255"/>
      <c r="G16" s="8">
        <f t="shared" si="1"/>
        <v>0</v>
      </c>
      <c r="H16" s="65"/>
      <c r="I16" s="66"/>
      <c r="J16" s="8">
        <f t="shared" si="2"/>
        <v>0</v>
      </c>
      <c r="K16" s="8">
        <f t="shared" si="3"/>
        <v>0</v>
      </c>
      <c r="L16" s="68">
        <v>0</v>
      </c>
      <c r="M16" s="68">
        <f t="shared" si="4"/>
        <v>1313281.7</v>
      </c>
      <c r="N16" s="8"/>
      <c r="O16" s="69"/>
    </row>
    <row r="17" spans="1:17">
      <c r="A17" s="46">
        <v>14</v>
      </c>
      <c r="B17" s="218">
        <v>46156</v>
      </c>
      <c r="C17" s="67"/>
      <c r="D17" s="158"/>
      <c r="E17" s="255"/>
      <c r="F17" s="255"/>
      <c r="G17" s="8">
        <f t="shared" si="1"/>
        <v>0</v>
      </c>
      <c r="H17" s="65"/>
      <c r="I17" s="66"/>
      <c r="J17" s="8">
        <f t="shared" si="2"/>
        <v>0</v>
      </c>
      <c r="K17" s="8">
        <f t="shared" si="3"/>
        <v>0</v>
      </c>
      <c r="L17" s="68">
        <v>0</v>
      </c>
      <c r="M17" s="68">
        <f t="shared" si="4"/>
        <v>1313281.7</v>
      </c>
      <c r="N17" s="8"/>
      <c r="O17" s="69"/>
    </row>
    <row r="18" spans="1:17">
      <c r="A18" s="46">
        <v>15</v>
      </c>
      <c r="B18" s="218">
        <v>46157</v>
      </c>
      <c r="C18" s="67"/>
      <c r="D18" s="158"/>
      <c r="E18" s="255"/>
      <c r="F18" s="255"/>
      <c r="G18" s="8">
        <f t="shared" si="1"/>
        <v>0</v>
      </c>
      <c r="H18" s="65"/>
      <c r="I18" s="66"/>
      <c r="J18" s="8">
        <f t="shared" si="2"/>
        <v>0</v>
      </c>
      <c r="K18" s="8">
        <f t="shared" si="3"/>
        <v>0</v>
      </c>
      <c r="L18" s="68">
        <v>0</v>
      </c>
      <c r="M18" s="68">
        <f t="shared" si="4"/>
        <v>1313281.7</v>
      </c>
      <c r="N18" s="181"/>
      <c r="O18" s="69"/>
    </row>
    <row r="19" spans="1:17">
      <c r="A19" s="46">
        <v>16</v>
      </c>
      <c r="B19" s="218">
        <v>46158</v>
      </c>
      <c r="C19" s="67"/>
      <c r="D19" s="158"/>
      <c r="E19" s="255"/>
      <c r="F19" s="255"/>
      <c r="G19" s="8">
        <f t="shared" si="1"/>
        <v>0</v>
      </c>
      <c r="H19" s="65"/>
      <c r="I19" s="66"/>
      <c r="J19" s="8">
        <f t="shared" si="2"/>
        <v>0</v>
      </c>
      <c r="K19" s="8">
        <f t="shared" si="3"/>
        <v>0</v>
      </c>
      <c r="L19" s="68">
        <v>0</v>
      </c>
      <c r="M19" s="68">
        <f t="shared" si="4"/>
        <v>1313281.7</v>
      </c>
      <c r="N19" s="277"/>
      <c r="O19" s="69"/>
    </row>
    <row r="20" spans="1:17">
      <c r="A20" s="46">
        <v>17</v>
      </c>
      <c r="B20" s="218">
        <v>46159</v>
      </c>
      <c r="C20" s="67"/>
      <c r="D20" s="158"/>
      <c r="E20" s="255"/>
      <c r="F20" s="255"/>
      <c r="G20" s="8">
        <f t="shared" si="1"/>
        <v>0</v>
      </c>
      <c r="H20" s="65"/>
      <c r="I20" s="66"/>
      <c r="J20" s="8">
        <f t="shared" si="2"/>
        <v>0</v>
      </c>
      <c r="K20" s="8">
        <f t="shared" si="3"/>
        <v>0</v>
      </c>
      <c r="L20" s="68">
        <v>0</v>
      </c>
      <c r="M20" s="68">
        <f t="shared" si="4"/>
        <v>1313281.7</v>
      </c>
      <c r="N20" s="19"/>
      <c r="O20" s="69"/>
    </row>
    <row r="21" spans="1:17">
      <c r="A21" s="46">
        <v>18</v>
      </c>
      <c r="B21" s="218">
        <v>46160</v>
      </c>
      <c r="C21" s="67"/>
      <c r="D21" s="158"/>
      <c r="E21" s="255"/>
      <c r="F21" s="255"/>
      <c r="G21" s="8">
        <f t="shared" si="1"/>
        <v>0</v>
      </c>
      <c r="H21" s="65"/>
      <c r="I21" s="66"/>
      <c r="J21" s="8">
        <f t="shared" si="2"/>
        <v>0</v>
      </c>
      <c r="K21" s="8">
        <f t="shared" si="3"/>
        <v>0</v>
      </c>
      <c r="L21" s="68">
        <v>0</v>
      </c>
      <c r="M21" s="68">
        <f t="shared" si="4"/>
        <v>1313281.7</v>
      </c>
      <c r="N21" s="8"/>
      <c r="O21" s="69"/>
    </row>
    <row r="22" spans="1:17">
      <c r="A22" s="46">
        <v>19</v>
      </c>
      <c r="B22" s="218">
        <v>46161</v>
      </c>
      <c r="C22" s="67"/>
      <c r="D22" s="158"/>
      <c r="E22" s="255"/>
      <c r="F22" s="255"/>
      <c r="G22" s="8">
        <f t="shared" si="1"/>
        <v>0</v>
      </c>
      <c r="H22" s="65"/>
      <c r="I22" s="66"/>
      <c r="J22" s="8">
        <f t="shared" si="2"/>
        <v>0</v>
      </c>
      <c r="K22" s="8">
        <f t="shared" si="3"/>
        <v>0</v>
      </c>
      <c r="L22" s="68">
        <v>0</v>
      </c>
      <c r="M22" s="68">
        <f t="shared" si="4"/>
        <v>1313281.7</v>
      </c>
      <c r="N22" s="8"/>
      <c r="O22" s="69"/>
      <c r="Q22" s="22"/>
    </row>
    <row r="23" spans="1:17">
      <c r="A23" s="46">
        <v>20</v>
      </c>
      <c r="B23" s="218">
        <v>46162</v>
      </c>
      <c r="C23" s="67"/>
      <c r="D23" s="158"/>
      <c r="E23" s="255"/>
      <c r="F23" s="255"/>
      <c r="G23" s="8">
        <f t="shared" si="1"/>
        <v>0</v>
      </c>
      <c r="H23" s="65"/>
      <c r="I23" s="66"/>
      <c r="J23" s="8">
        <f t="shared" si="2"/>
        <v>0</v>
      </c>
      <c r="K23" s="8">
        <f t="shared" si="3"/>
        <v>0</v>
      </c>
      <c r="L23" s="68">
        <v>0</v>
      </c>
      <c r="M23" s="68">
        <f t="shared" si="4"/>
        <v>1313281.7</v>
      </c>
      <c r="N23" s="8"/>
      <c r="O23" s="69"/>
    </row>
    <row r="24" spans="1:17">
      <c r="A24" s="46">
        <v>21</v>
      </c>
      <c r="B24" s="218">
        <v>46163</v>
      </c>
      <c r="C24" s="67"/>
      <c r="D24" s="158"/>
      <c r="E24" s="255"/>
      <c r="F24" s="255"/>
      <c r="G24" s="8">
        <f t="shared" si="1"/>
        <v>0</v>
      </c>
      <c r="H24" s="65"/>
      <c r="I24" s="66"/>
      <c r="J24" s="8">
        <f t="shared" si="2"/>
        <v>0</v>
      </c>
      <c r="K24" s="8">
        <f t="shared" si="3"/>
        <v>0</v>
      </c>
      <c r="L24" s="68">
        <v>0</v>
      </c>
      <c r="M24" s="68">
        <f t="shared" si="4"/>
        <v>1313281.7</v>
      </c>
      <c r="N24" s="8"/>
      <c r="O24" s="69"/>
    </row>
    <row r="25" spans="1:17">
      <c r="A25" s="46">
        <v>22</v>
      </c>
      <c r="B25" s="218">
        <v>46164</v>
      </c>
      <c r="C25" s="67"/>
      <c r="D25" s="158"/>
      <c r="E25" s="255"/>
      <c r="F25" s="255"/>
      <c r="G25" s="8">
        <f t="shared" si="1"/>
        <v>0</v>
      </c>
      <c r="H25" s="65"/>
      <c r="I25" s="66"/>
      <c r="J25" s="8">
        <f t="shared" si="2"/>
        <v>0</v>
      </c>
      <c r="K25" s="8">
        <f t="shared" si="3"/>
        <v>0</v>
      </c>
      <c r="L25" s="68">
        <v>0</v>
      </c>
      <c r="M25" s="68">
        <f t="shared" si="4"/>
        <v>1313281.7</v>
      </c>
      <c r="N25" s="8"/>
      <c r="O25" s="69"/>
    </row>
    <row r="26" spans="1:17">
      <c r="A26" s="46">
        <v>23</v>
      </c>
      <c r="B26" s="218">
        <v>46165</v>
      </c>
      <c r="C26" s="67"/>
      <c r="D26" s="158"/>
      <c r="E26" s="255"/>
      <c r="F26" s="255"/>
      <c r="G26" s="8">
        <f t="shared" si="1"/>
        <v>0</v>
      </c>
      <c r="H26" s="65"/>
      <c r="I26" s="66"/>
      <c r="J26" s="8">
        <f t="shared" si="2"/>
        <v>0</v>
      </c>
      <c r="K26" s="8">
        <f t="shared" si="3"/>
        <v>0</v>
      </c>
      <c r="L26" s="68">
        <v>0</v>
      </c>
      <c r="M26" s="68">
        <f t="shared" si="4"/>
        <v>1313281.7</v>
      </c>
      <c r="N26" s="8"/>
      <c r="O26" s="69"/>
    </row>
    <row r="27" spans="1:17">
      <c r="A27" s="46">
        <v>24</v>
      </c>
      <c r="B27" s="218">
        <v>46166</v>
      </c>
      <c r="C27" s="67"/>
      <c r="D27" s="158"/>
      <c r="E27" s="255"/>
      <c r="F27" s="255"/>
      <c r="G27" s="8">
        <f t="shared" si="1"/>
        <v>0</v>
      </c>
      <c r="H27" s="65"/>
      <c r="I27" s="66"/>
      <c r="J27" s="8">
        <f t="shared" si="2"/>
        <v>0</v>
      </c>
      <c r="K27" s="8">
        <f t="shared" si="3"/>
        <v>0</v>
      </c>
      <c r="L27" s="68">
        <v>0</v>
      </c>
      <c r="M27" s="68">
        <f t="shared" si="4"/>
        <v>1313281.7</v>
      </c>
      <c r="N27" s="8"/>
      <c r="O27" s="69"/>
    </row>
    <row r="28" spans="1:17">
      <c r="A28" s="220">
        <v>25</v>
      </c>
      <c r="B28" s="218">
        <v>46167</v>
      </c>
      <c r="C28" s="67"/>
      <c r="D28" s="158"/>
      <c r="E28" s="255"/>
      <c r="F28" s="255"/>
      <c r="G28" s="8">
        <f t="shared" si="1"/>
        <v>0</v>
      </c>
      <c r="H28" s="65"/>
      <c r="I28" s="66"/>
      <c r="J28" s="8">
        <f t="shared" si="2"/>
        <v>0</v>
      </c>
      <c r="K28" s="8">
        <f t="shared" si="3"/>
        <v>0</v>
      </c>
      <c r="L28" s="68">
        <v>0</v>
      </c>
      <c r="M28" s="68">
        <f t="shared" si="4"/>
        <v>1313281.7</v>
      </c>
      <c r="N28" s="8"/>
      <c r="O28" s="69"/>
    </row>
    <row r="29" spans="1:17">
      <c r="A29" s="220">
        <v>26</v>
      </c>
      <c r="B29" s="218">
        <v>46168</v>
      </c>
      <c r="C29" s="67"/>
      <c r="D29" s="158"/>
      <c r="E29" s="255"/>
      <c r="F29" s="255"/>
      <c r="G29" s="8">
        <f t="shared" si="1"/>
        <v>0</v>
      </c>
      <c r="H29" s="65"/>
      <c r="I29" s="66"/>
      <c r="J29" s="8">
        <f t="shared" si="2"/>
        <v>0</v>
      </c>
      <c r="K29" s="8">
        <f t="shared" si="3"/>
        <v>0</v>
      </c>
      <c r="L29" s="68">
        <v>0</v>
      </c>
      <c r="M29" s="68">
        <f t="shared" si="4"/>
        <v>1313281.7</v>
      </c>
      <c r="N29" s="8"/>
      <c r="O29" s="69"/>
    </row>
    <row r="30" spans="1:17">
      <c r="A30" s="220">
        <v>27</v>
      </c>
      <c r="B30" s="218">
        <v>46169</v>
      </c>
      <c r="C30" s="67"/>
      <c r="D30" s="158"/>
      <c r="E30" s="255"/>
      <c r="F30" s="255"/>
      <c r="G30" s="8">
        <f t="shared" si="1"/>
        <v>0</v>
      </c>
      <c r="H30" s="65"/>
      <c r="I30" s="66"/>
      <c r="J30" s="8">
        <f t="shared" si="2"/>
        <v>0</v>
      </c>
      <c r="K30" s="8">
        <f t="shared" si="3"/>
        <v>0</v>
      </c>
      <c r="L30" s="68">
        <v>0</v>
      </c>
      <c r="M30" s="68">
        <f t="shared" si="4"/>
        <v>1313281.7</v>
      </c>
      <c r="N30" s="8"/>
      <c r="O30" s="69"/>
    </row>
    <row r="31" spans="1:17">
      <c r="A31" s="220">
        <v>28</v>
      </c>
      <c r="B31" s="218">
        <v>46170</v>
      </c>
      <c r="C31" s="67"/>
      <c r="D31" s="158"/>
      <c r="E31" s="255"/>
      <c r="F31" s="255"/>
      <c r="G31" s="8">
        <f t="shared" si="1"/>
        <v>0</v>
      </c>
      <c r="H31" s="65"/>
      <c r="I31" s="66"/>
      <c r="J31" s="8">
        <f t="shared" si="2"/>
        <v>0</v>
      </c>
      <c r="K31" s="8">
        <f t="shared" si="3"/>
        <v>0</v>
      </c>
      <c r="L31" s="68">
        <v>0</v>
      </c>
      <c r="M31" s="68">
        <f t="shared" si="4"/>
        <v>1313281.7</v>
      </c>
      <c r="N31" s="8"/>
      <c r="O31" s="69"/>
    </row>
    <row r="32" spans="1:17">
      <c r="A32" s="221">
        <v>29</v>
      </c>
      <c r="B32" s="218">
        <v>46171</v>
      </c>
      <c r="C32" s="67"/>
      <c r="D32" s="158"/>
      <c r="E32" s="255"/>
      <c r="F32" s="255"/>
      <c r="G32" s="8">
        <f t="shared" si="1"/>
        <v>0</v>
      </c>
      <c r="H32" s="65"/>
      <c r="I32" s="66"/>
      <c r="J32" s="8">
        <f t="shared" si="2"/>
        <v>0</v>
      </c>
      <c r="K32" s="8">
        <f t="shared" si="3"/>
        <v>0</v>
      </c>
      <c r="L32" s="68"/>
      <c r="M32" s="68">
        <f t="shared" si="4"/>
        <v>1313281.7</v>
      </c>
      <c r="N32" s="8"/>
      <c r="O32" s="69"/>
    </row>
    <row r="33" spans="1:15">
      <c r="A33" s="221">
        <v>30</v>
      </c>
      <c r="B33" s="218">
        <v>46172</v>
      </c>
      <c r="C33" s="67"/>
      <c r="D33" s="158"/>
      <c r="E33" s="255"/>
      <c r="F33" s="255"/>
      <c r="G33" s="8">
        <f t="shared" si="1"/>
        <v>0</v>
      </c>
      <c r="H33" s="65"/>
      <c r="I33" s="66"/>
      <c r="J33" s="8">
        <f t="shared" si="2"/>
        <v>0</v>
      </c>
      <c r="K33" s="8">
        <f t="shared" si="3"/>
        <v>0</v>
      </c>
      <c r="L33" s="68"/>
      <c r="M33" s="68">
        <f t="shared" si="4"/>
        <v>1313281.7</v>
      </c>
      <c r="N33" s="8"/>
      <c r="O33" s="69"/>
    </row>
    <row r="34" spans="1:15">
      <c r="A34" s="221">
        <v>31</v>
      </c>
      <c r="B34" s="218"/>
      <c r="C34" s="67"/>
      <c r="D34" s="158"/>
      <c r="E34" s="255"/>
      <c r="F34" s="255"/>
      <c r="G34" s="8">
        <f t="shared" si="0"/>
        <v>0</v>
      </c>
      <c r="H34" s="65">
        <v>0</v>
      </c>
      <c r="I34" s="66">
        <v>0</v>
      </c>
      <c r="J34" s="8">
        <f t="shared" ref="J5:J34" si="5">H34*I34</f>
        <v>0</v>
      </c>
      <c r="K34" s="8">
        <f t="shared" ref="K5:K34" si="6">G34+J34</f>
        <v>0</v>
      </c>
      <c r="L34" s="68">
        <v>0</v>
      </c>
      <c r="M34" s="68">
        <f t="shared" si="4"/>
        <v>1313281.7</v>
      </c>
      <c r="N34" s="8"/>
      <c r="O34" s="69"/>
    </row>
    <row r="35" spans="1:15">
      <c r="A35" s="62"/>
      <c r="B35" s="62"/>
      <c r="C35" s="62"/>
      <c r="D35" s="62"/>
      <c r="E35" s="256">
        <f>SUM(E4:E34)</f>
        <v>0</v>
      </c>
      <c r="F35" s="256"/>
      <c r="G35" s="63">
        <f>SUM(G4:G34)</f>
        <v>0</v>
      </c>
      <c r="H35" s="63">
        <f>SUM(H4:H34)</f>
        <v>0</v>
      </c>
      <c r="I35" s="63"/>
      <c r="J35" s="63">
        <f>SUM(J4:J34)</f>
        <v>0</v>
      </c>
      <c r="K35" s="63">
        <f>SUM(K4:K34)</f>
        <v>0</v>
      </c>
      <c r="L35" s="63">
        <f>SUM(L4:L34)</f>
        <v>0</v>
      </c>
      <c r="M35" s="63"/>
      <c r="N35" s="63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  <row r="37" spans="1:15">
      <c r="O37" s="69"/>
    </row>
    <row r="38" spans="1:15">
      <c r="F38" t="s">
        <v>200</v>
      </c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A42" s="69"/>
      <c r="B42" s="59"/>
      <c r="C42" s="69"/>
      <c r="D42" s="69"/>
      <c r="E42" s="69"/>
      <c r="F42" s="69"/>
      <c r="G42" s="76"/>
      <c r="H42" s="69"/>
      <c r="I42" s="69"/>
      <c r="J42" s="59"/>
      <c r="K42" s="59"/>
      <c r="L42" s="59"/>
      <c r="M42" s="59"/>
      <c r="N42" s="69"/>
      <c r="O42" s="74"/>
    </row>
    <row r="43" spans="1:15">
      <c r="A43" s="69"/>
      <c r="B43" s="554"/>
      <c r="C43" s="554"/>
      <c r="D43" s="554"/>
      <c r="E43" s="554"/>
      <c r="F43" s="69"/>
      <c r="G43" s="69"/>
      <c r="H43" s="69"/>
      <c r="I43" s="554"/>
      <c r="J43" s="554"/>
      <c r="K43" s="554"/>
      <c r="L43" s="554"/>
      <c r="M43" s="554"/>
      <c r="N43" s="554"/>
      <c r="O43" s="74"/>
    </row>
    <row r="44" spans="1:15">
      <c r="A44" s="69"/>
      <c r="B44" s="59"/>
      <c r="C44" s="69"/>
      <c r="D44" s="69"/>
      <c r="E44" s="69"/>
      <c r="F44" s="69"/>
      <c r="G44" s="69"/>
      <c r="H44" s="69"/>
      <c r="I44" s="69"/>
      <c r="J44" s="59"/>
      <c r="K44" s="59"/>
      <c r="L44" s="59"/>
      <c r="M44" s="59"/>
      <c r="N44" s="69"/>
      <c r="O44" s="74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FE56-609E-4DFF-AE6F-57743C385CA3}">
  <dimension ref="A1:N35"/>
  <sheetViews>
    <sheetView workbookViewId="0">
      <selection activeCell="I22" sqref="I22"/>
    </sheetView>
  </sheetViews>
  <sheetFormatPr defaultRowHeight="15"/>
  <cols>
    <col min="2" max="2" width="10.140625" bestFit="1" customWidth="1"/>
    <col min="7" max="7" width="11.85546875" bestFit="1" customWidth="1"/>
    <col min="10" max="12" width="10.85546875" bestFit="1" customWidth="1"/>
    <col min="13" max="13" width="10.7109375" customWidth="1"/>
  </cols>
  <sheetData>
    <row r="1" spans="1:14" ht="15.75">
      <c r="A1" s="555" t="s">
        <v>76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</row>
    <row r="2" spans="1:14" ht="27">
      <c r="A2" s="102" t="s">
        <v>0</v>
      </c>
      <c r="B2" s="105" t="s">
        <v>166</v>
      </c>
      <c r="C2" s="105" t="s">
        <v>167</v>
      </c>
      <c r="D2" s="105" t="s">
        <v>168</v>
      </c>
      <c r="E2" s="105" t="s">
        <v>169</v>
      </c>
      <c r="F2" s="105" t="s">
        <v>170</v>
      </c>
      <c r="G2" s="105" t="s">
        <v>171</v>
      </c>
      <c r="H2" s="105" t="s">
        <v>172</v>
      </c>
      <c r="I2" s="105" t="s">
        <v>170</v>
      </c>
      <c r="J2" s="105" t="s">
        <v>171</v>
      </c>
      <c r="K2" s="143" t="s">
        <v>173</v>
      </c>
      <c r="L2" s="143" t="s">
        <v>174</v>
      </c>
      <c r="M2" s="143" t="s">
        <v>175</v>
      </c>
      <c r="N2" s="105" t="s">
        <v>176</v>
      </c>
    </row>
    <row r="3" spans="1:14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9"/>
      <c r="K3" s="130"/>
      <c r="L3" s="230"/>
      <c r="M3" s="309">
        <v>3523.2000000000116</v>
      </c>
      <c r="N3" s="231"/>
    </row>
    <row r="4" spans="1:14">
      <c r="A4" s="26">
        <v>1</v>
      </c>
      <c r="B4" s="27">
        <v>46143</v>
      </c>
      <c r="C4" s="106"/>
      <c r="D4" s="35"/>
      <c r="E4" s="36"/>
      <c r="F4" s="36"/>
      <c r="G4" s="36">
        <f>E4*F4</f>
        <v>0</v>
      </c>
      <c r="H4" s="315"/>
      <c r="I4" s="315"/>
      <c r="J4" s="36">
        <f>H4*I4</f>
        <v>0</v>
      </c>
      <c r="K4" s="36">
        <f t="shared" ref="K4:K31" si="0">G4+J4</f>
        <v>0</v>
      </c>
      <c r="L4" s="196">
        <v>0</v>
      </c>
      <c r="M4" s="36">
        <f>M3+K4-L4</f>
        <v>3523.2000000000116</v>
      </c>
      <c r="N4" s="232"/>
    </row>
    <row r="5" spans="1:14">
      <c r="A5" s="26">
        <v>2</v>
      </c>
      <c r="B5" s="27">
        <v>46144</v>
      </c>
      <c r="C5" s="106"/>
      <c r="D5" s="35"/>
      <c r="E5" s="36"/>
      <c r="F5" s="36"/>
      <c r="G5" s="36">
        <f>E5*F5</f>
        <v>0</v>
      </c>
      <c r="H5" s="315">
        <v>40</v>
      </c>
      <c r="I5" s="315">
        <v>108.1</v>
      </c>
      <c r="J5" s="36">
        <f t="shared" ref="J5:J32" si="1">H5*I5</f>
        <v>4324</v>
      </c>
      <c r="K5" s="36">
        <f t="shared" si="0"/>
        <v>4324</v>
      </c>
      <c r="L5" s="196">
        <v>0</v>
      </c>
      <c r="M5" s="36">
        <f t="shared" ref="M5:M31" si="2">M4+K5-L5</f>
        <v>7847.2000000000116</v>
      </c>
      <c r="N5" s="233"/>
    </row>
    <row r="6" spans="1:14">
      <c r="A6" s="26">
        <v>3</v>
      </c>
      <c r="B6" s="27">
        <v>46145</v>
      </c>
      <c r="C6" s="106"/>
      <c r="D6" s="35"/>
      <c r="E6" s="36"/>
      <c r="F6" s="36"/>
      <c r="G6" s="36">
        <f t="shared" ref="G6:G31" si="3">E6*F6</f>
        <v>0</v>
      </c>
      <c r="H6" s="315"/>
      <c r="I6" s="315"/>
      <c r="J6" s="36">
        <f t="shared" si="1"/>
        <v>0</v>
      </c>
      <c r="K6" s="36">
        <f t="shared" si="0"/>
        <v>0</v>
      </c>
      <c r="L6" s="196">
        <v>0</v>
      </c>
      <c r="M6" s="36">
        <f t="shared" si="2"/>
        <v>7847.2000000000116</v>
      </c>
      <c r="N6" s="234"/>
    </row>
    <row r="7" spans="1:14">
      <c r="A7" s="26">
        <v>4</v>
      </c>
      <c r="B7" s="27">
        <v>46146</v>
      </c>
      <c r="C7" s="106"/>
      <c r="D7" s="35"/>
      <c r="E7" s="36"/>
      <c r="F7" s="36"/>
      <c r="G7" s="36">
        <f t="shared" si="3"/>
        <v>0</v>
      </c>
      <c r="H7" s="315"/>
      <c r="I7" s="315"/>
      <c r="J7" s="36">
        <f t="shared" si="1"/>
        <v>0</v>
      </c>
      <c r="K7" s="36">
        <f t="shared" si="0"/>
        <v>0</v>
      </c>
      <c r="L7" s="196">
        <v>0</v>
      </c>
      <c r="M7" s="36">
        <f>M6+K7-L7</f>
        <v>7847.2000000000116</v>
      </c>
      <c r="N7" s="197"/>
    </row>
    <row r="8" spans="1:14">
      <c r="A8" s="26">
        <v>5</v>
      </c>
      <c r="B8" s="27">
        <v>46147</v>
      </c>
      <c r="C8" s="34"/>
      <c r="D8" s="35"/>
      <c r="E8" s="36"/>
      <c r="F8" s="36"/>
      <c r="G8" s="36">
        <f t="shared" si="3"/>
        <v>0</v>
      </c>
      <c r="H8" s="315"/>
      <c r="I8" s="315"/>
      <c r="J8" s="36">
        <f t="shared" si="1"/>
        <v>0</v>
      </c>
      <c r="K8" s="36">
        <f t="shared" si="0"/>
        <v>0</v>
      </c>
      <c r="L8" s="196">
        <v>0</v>
      </c>
      <c r="M8" s="36">
        <f>M7+K8-L8</f>
        <v>7847.2000000000116</v>
      </c>
      <c r="N8" s="197"/>
    </row>
    <row r="9" spans="1:14">
      <c r="A9" s="26">
        <v>6</v>
      </c>
      <c r="B9" s="27">
        <v>46148</v>
      </c>
      <c r="C9" s="34"/>
      <c r="D9" s="35"/>
      <c r="E9" s="36"/>
      <c r="F9" s="36"/>
      <c r="G9" s="36">
        <f t="shared" si="3"/>
        <v>0</v>
      </c>
      <c r="H9" s="315"/>
      <c r="I9" s="315"/>
      <c r="J9" s="36">
        <f t="shared" si="1"/>
        <v>0</v>
      </c>
      <c r="K9" s="36">
        <f t="shared" si="0"/>
        <v>0</v>
      </c>
      <c r="L9" s="196">
        <v>0</v>
      </c>
      <c r="M9" s="36">
        <f t="shared" si="2"/>
        <v>7847.2000000000116</v>
      </c>
      <c r="N9" s="197"/>
    </row>
    <row r="10" spans="1:14">
      <c r="A10" s="26">
        <v>7</v>
      </c>
      <c r="B10" s="27">
        <v>46149</v>
      </c>
      <c r="C10" s="34"/>
      <c r="D10" s="35"/>
      <c r="E10" s="36"/>
      <c r="F10" s="36"/>
      <c r="G10" s="36">
        <f t="shared" si="3"/>
        <v>0</v>
      </c>
      <c r="H10" s="315"/>
      <c r="I10" s="315"/>
      <c r="J10" s="36">
        <f t="shared" si="1"/>
        <v>0</v>
      </c>
      <c r="K10" s="36">
        <f t="shared" ref="K10:K15" si="4">G10+J10</f>
        <v>0</v>
      </c>
      <c r="L10" s="196">
        <v>0</v>
      </c>
      <c r="M10" s="36">
        <f t="shared" si="2"/>
        <v>7847.2000000000116</v>
      </c>
      <c r="N10" s="197"/>
    </row>
    <row r="11" spans="1:14">
      <c r="A11" s="26">
        <v>8</v>
      </c>
      <c r="B11" s="27">
        <v>46150</v>
      </c>
      <c r="C11" s="34"/>
      <c r="D11" s="35"/>
      <c r="E11" s="36"/>
      <c r="F11" s="36"/>
      <c r="G11" s="36">
        <f t="shared" si="3"/>
        <v>0</v>
      </c>
      <c r="H11" s="315"/>
      <c r="I11" s="315"/>
      <c r="J11" s="36">
        <f t="shared" si="1"/>
        <v>0</v>
      </c>
      <c r="K11" s="36">
        <f t="shared" si="4"/>
        <v>0</v>
      </c>
      <c r="L11" s="196">
        <v>0</v>
      </c>
      <c r="M11" s="36">
        <f t="shared" si="2"/>
        <v>7847.2000000000116</v>
      </c>
      <c r="N11" s="197"/>
    </row>
    <row r="12" spans="1:14">
      <c r="A12" s="26">
        <v>9</v>
      </c>
      <c r="B12" s="27">
        <v>46151</v>
      </c>
      <c r="C12" s="34"/>
      <c r="D12" s="35"/>
      <c r="E12" s="36"/>
      <c r="F12" s="36"/>
      <c r="G12" s="36">
        <f t="shared" si="3"/>
        <v>0</v>
      </c>
      <c r="H12" s="315"/>
      <c r="I12" s="315"/>
      <c r="J12" s="36">
        <f t="shared" si="1"/>
        <v>0</v>
      </c>
      <c r="K12" s="36">
        <f t="shared" si="4"/>
        <v>0</v>
      </c>
      <c r="L12" s="196">
        <v>0</v>
      </c>
      <c r="M12" s="36">
        <f t="shared" si="2"/>
        <v>7847.2000000000116</v>
      </c>
      <c r="N12" s="197"/>
    </row>
    <row r="13" spans="1:14">
      <c r="A13" s="26">
        <v>10</v>
      </c>
      <c r="B13" s="27">
        <v>46152</v>
      </c>
      <c r="C13" s="34"/>
      <c r="D13" s="35"/>
      <c r="E13" s="36"/>
      <c r="F13" s="36"/>
      <c r="G13" s="36">
        <f t="shared" si="3"/>
        <v>0</v>
      </c>
      <c r="H13" s="315"/>
      <c r="I13" s="315"/>
      <c r="J13" s="36">
        <f t="shared" si="1"/>
        <v>0</v>
      </c>
      <c r="K13" s="36">
        <f t="shared" si="4"/>
        <v>0</v>
      </c>
      <c r="L13" s="196">
        <v>0</v>
      </c>
      <c r="M13" s="36">
        <f>M12+K13-L13</f>
        <v>7847.2000000000116</v>
      </c>
      <c r="N13" s="197"/>
    </row>
    <row r="14" spans="1:14">
      <c r="A14" s="26">
        <v>11</v>
      </c>
      <c r="B14" s="27">
        <v>46153</v>
      </c>
      <c r="C14" s="34"/>
      <c r="D14" s="35"/>
      <c r="E14" s="36"/>
      <c r="F14" s="36"/>
      <c r="G14" s="36">
        <f t="shared" si="3"/>
        <v>0</v>
      </c>
      <c r="H14" s="315"/>
      <c r="I14" s="315"/>
      <c r="J14" s="36">
        <f t="shared" si="1"/>
        <v>0</v>
      </c>
      <c r="K14" s="36">
        <f t="shared" si="4"/>
        <v>0</v>
      </c>
      <c r="L14" s="196">
        <v>0</v>
      </c>
      <c r="M14" s="36">
        <f>M13+K14-L14</f>
        <v>7847.2000000000116</v>
      </c>
      <c r="N14" s="197"/>
    </row>
    <row r="15" spans="1:14">
      <c r="A15" s="26">
        <v>12</v>
      </c>
      <c r="B15" s="27">
        <v>46154</v>
      </c>
      <c r="C15" s="34"/>
      <c r="D15" s="35"/>
      <c r="E15" s="36">
        <v>500</v>
      </c>
      <c r="F15" s="36">
        <v>96.3</v>
      </c>
      <c r="G15" s="36">
        <f t="shared" si="3"/>
        <v>48150</v>
      </c>
      <c r="H15" s="315">
        <v>36</v>
      </c>
      <c r="I15" s="315">
        <v>108.1</v>
      </c>
      <c r="J15" s="36">
        <f t="shared" si="1"/>
        <v>3891.6</v>
      </c>
      <c r="K15" s="36">
        <f>G15+J15</f>
        <v>52041.599999999999</v>
      </c>
      <c r="L15" s="36">
        <v>48150</v>
      </c>
      <c r="M15" s="36">
        <f t="shared" si="2"/>
        <v>11738.80000000001</v>
      </c>
      <c r="N15" s="197"/>
    </row>
    <row r="16" spans="1:14">
      <c r="A16" s="26">
        <v>13</v>
      </c>
      <c r="B16" s="27">
        <v>46155</v>
      </c>
      <c r="C16" s="34"/>
      <c r="D16" s="35"/>
      <c r="E16" s="36">
        <v>500</v>
      </c>
      <c r="F16" s="36">
        <v>96.3</v>
      </c>
      <c r="G16" s="36">
        <f t="shared" si="3"/>
        <v>48150</v>
      </c>
      <c r="H16" s="315"/>
      <c r="I16" s="315"/>
      <c r="J16" s="36">
        <f t="shared" si="1"/>
        <v>0</v>
      </c>
      <c r="K16" s="36">
        <f t="shared" si="0"/>
        <v>48150</v>
      </c>
      <c r="L16" s="36">
        <v>48150</v>
      </c>
      <c r="M16" s="36">
        <f t="shared" si="2"/>
        <v>11738.80000000001</v>
      </c>
      <c r="N16" s="197"/>
    </row>
    <row r="17" spans="1:14">
      <c r="A17" s="26">
        <v>14</v>
      </c>
      <c r="B17" s="27">
        <v>46156</v>
      </c>
      <c r="C17" s="34"/>
      <c r="D17" s="35"/>
      <c r="E17" s="36"/>
      <c r="F17" s="36"/>
      <c r="G17" s="36">
        <f t="shared" si="3"/>
        <v>0</v>
      </c>
      <c r="H17" s="315"/>
      <c r="I17" s="315"/>
      <c r="J17" s="36">
        <f t="shared" si="1"/>
        <v>0</v>
      </c>
      <c r="K17" s="36">
        <f t="shared" si="0"/>
        <v>0</v>
      </c>
      <c r="L17" s="196">
        <v>0</v>
      </c>
      <c r="M17" s="36">
        <f t="shared" si="2"/>
        <v>11738.80000000001</v>
      </c>
      <c r="N17" s="197"/>
    </row>
    <row r="18" spans="1:14">
      <c r="A18" s="26">
        <v>15</v>
      </c>
      <c r="B18" s="27">
        <v>46157</v>
      </c>
      <c r="C18" s="167"/>
      <c r="D18" s="35"/>
      <c r="E18" s="36"/>
      <c r="F18" s="36"/>
      <c r="G18" s="36">
        <f t="shared" si="3"/>
        <v>0</v>
      </c>
      <c r="H18" s="315"/>
      <c r="I18" s="315"/>
      <c r="J18" s="36">
        <f t="shared" si="1"/>
        <v>0</v>
      </c>
      <c r="K18" s="36">
        <f t="shared" si="0"/>
        <v>0</v>
      </c>
      <c r="L18" s="196">
        <v>0</v>
      </c>
      <c r="M18" s="36">
        <f t="shared" si="2"/>
        <v>11738.80000000001</v>
      </c>
      <c r="N18" s="235"/>
    </row>
    <row r="19" spans="1:14">
      <c r="A19" s="26">
        <v>16</v>
      </c>
      <c r="B19" s="27">
        <v>46158</v>
      </c>
      <c r="C19" s="106"/>
      <c r="D19" s="35"/>
      <c r="E19" s="36">
        <v>0</v>
      </c>
      <c r="F19" s="36">
        <v>0</v>
      </c>
      <c r="G19" s="36">
        <v>0</v>
      </c>
      <c r="H19" s="315">
        <v>0</v>
      </c>
      <c r="I19" s="315">
        <v>0</v>
      </c>
      <c r="J19" s="36">
        <v>0</v>
      </c>
      <c r="K19" s="36">
        <v>0</v>
      </c>
      <c r="L19" s="196">
        <v>0</v>
      </c>
      <c r="M19" s="36">
        <f t="shared" si="2"/>
        <v>11738.80000000001</v>
      </c>
      <c r="N19" s="235"/>
    </row>
    <row r="20" spans="1:14">
      <c r="A20" s="26">
        <v>17</v>
      </c>
      <c r="B20" s="27">
        <v>46159</v>
      </c>
      <c r="C20" s="179"/>
      <c r="D20" s="35"/>
      <c r="E20" s="36"/>
      <c r="F20" s="36"/>
      <c r="G20" s="36">
        <f t="shared" si="3"/>
        <v>0</v>
      </c>
      <c r="H20" s="315"/>
      <c r="I20" s="315"/>
      <c r="J20" s="36">
        <f t="shared" si="1"/>
        <v>0</v>
      </c>
      <c r="K20" s="36">
        <f t="shared" si="0"/>
        <v>0</v>
      </c>
      <c r="L20" s="196">
        <v>0</v>
      </c>
      <c r="M20" s="36">
        <f t="shared" si="2"/>
        <v>11738.80000000001</v>
      </c>
      <c r="N20" s="235"/>
    </row>
    <row r="21" spans="1:14">
      <c r="A21" s="26">
        <v>18</v>
      </c>
      <c r="B21" s="27">
        <v>46160</v>
      </c>
      <c r="C21" s="179"/>
      <c r="D21" s="35"/>
      <c r="E21" s="36"/>
      <c r="F21" s="36"/>
      <c r="G21" s="36">
        <f t="shared" si="3"/>
        <v>0</v>
      </c>
      <c r="H21" s="315"/>
      <c r="I21" s="315"/>
      <c r="J21" s="36">
        <f t="shared" si="1"/>
        <v>0</v>
      </c>
      <c r="K21" s="36">
        <f t="shared" si="0"/>
        <v>0</v>
      </c>
      <c r="L21" s="196">
        <v>0</v>
      </c>
      <c r="M21" s="36">
        <f t="shared" si="2"/>
        <v>11738.80000000001</v>
      </c>
      <c r="N21" s="235"/>
    </row>
    <row r="22" spans="1:14">
      <c r="A22" s="26">
        <v>19</v>
      </c>
      <c r="B22" s="27">
        <v>46161</v>
      </c>
      <c r="C22" s="106"/>
      <c r="D22" s="35"/>
      <c r="E22" s="36"/>
      <c r="F22" s="36"/>
      <c r="G22" s="36">
        <f t="shared" si="3"/>
        <v>0</v>
      </c>
      <c r="H22" s="315"/>
      <c r="I22" s="315"/>
      <c r="J22" s="36">
        <f t="shared" si="1"/>
        <v>0</v>
      </c>
      <c r="K22" s="36">
        <f t="shared" si="0"/>
        <v>0</v>
      </c>
      <c r="L22" s="196">
        <v>0</v>
      </c>
      <c r="M22" s="36">
        <f t="shared" si="2"/>
        <v>11738.80000000001</v>
      </c>
      <c r="N22" s="197"/>
    </row>
    <row r="23" spans="1:14">
      <c r="A23" s="26">
        <v>20</v>
      </c>
      <c r="B23" s="27">
        <v>46162</v>
      </c>
      <c r="C23" s="106"/>
      <c r="D23" s="35"/>
      <c r="E23" s="36"/>
      <c r="F23" s="36"/>
      <c r="G23" s="36">
        <f t="shared" si="3"/>
        <v>0</v>
      </c>
      <c r="H23" s="315"/>
      <c r="I23" s="315"/>
      <c r="J23" s="36">
        <f t="shared" si="1"/>
        <v>0</v>
      </c>
      <c r="K23" s="36">
        <f t="shared" si="0"/>
        <v>0</v>
      </c>
      <c r="L23" s="196">
        <v>0</v>
      </c>
      <c r="M23" s="36">
        <f t="shared" si="2"/>
        <v>11738.80000000001</v>
      </c>
      <c r="N23" s="197"/>
    </row>
    <row r="24" spans="1:14">
      <c r="A24" s="26">
        <v>21</v>
      </c>
      <c r="B24" s="27">
        <v>46163</v>
      </c>
      <c r="C24" s="106"/>
      <c r="D24" s="35"/>
      <c r="E24" s="36">
        <v>0</v>
      </c>
      <c r="F24" s="36">
        <v>100.67</v>
      </c>
      <c r="G24" s="36">
        <f t="shared" si="3"/>
        <v>0</v>
      </c>
      <c r="H24" s="315">
        <v>36</v>
      </c>
      <c r="I24" s="315">
        <v>112.48</v>
      </c>
      <c r="J24" s="36">
        <f t="shared" si="1"/>
        <v>4049.28</v>
      </c>
      <c r="K24" s="36">
        <f t="shared" si="0"/>
        <v>4049.28</v>
      </c>
      <c r="L24" s="196">
        <v>0</v>
      </c>
      <c r="M24" s="36">
        <f t="shared" si="2"/>
        <v>15788.080000000011</v>
      </c>
      <c r="N24" s="197"/>
    </row>
    <row r="25" spans="1:14">
      <c r="A25" s="26">
        <v>22</v>
      </c>
      <c r="B25" s="27">
        <v>46164</v>
      </c>
      <c r="C25" s="106"/>
      <c r="D25" s="35"/>
      <c r="E25" s="36">
        <v>0</v>
      </c>
      <c r="F25" s="36">
        <v>0</v>
      </c>
      <c r="G25" s="36">
        <f t="shared" si="3"/>
        <v>0</v>
      </c>
      <c r="H25" s="315"/>
      <c r="I25" s="315"/>
      <c r="J25" s="36">
        <f t="shared" si="1"/>
        <v>0</v>
      </c>
      <c r="K25" s="36">
        <f t="shared" si="0"/>
        <v>0</v>
      </c>
      <c r="L25" s="196">
        <v>0</v>
      </c>
      <c r="M25" s="36">
        <f t="shared" si="2"/>
        <v>15788.080000000011</v>
      </c>
      <c r="N25" s="197"/>
    </row>
    <row r="26" spans="1:14">
      <c r="A26" s="26">
        <v>23</v>
      </c>
      <c r="B26" s="27">
        <v>46165</v>
      </c>
      <c r="C26" s="106"/>
      <c r="D26" s="35"/>
      <c r="E26" s="36">
        <v>0</v>
      </c>
      <c r="F26" s="36">
        <v>0</v>
      </c>
      <c r="G26" s="36">
        <f t="shared" si="3"/>
        <v>0</v>
      </c>
      <c r="H26" s="315"/>
      <c r="I26" s="315"/>
      <c r="J26" s="36">
        <f t="shared" si="1"/>
        <v>0</v>
      </c>
      <c r="K26" s="36">
        <f t="shared" si="0"/>
        <v>0</v>
      </c>
      <c r="L26" s="196">
        <v>0</v>
      </c>
      <c r="M26" s="36">
        <f t="shared" si="2"/>
        <v>15788.080000000011</v>
      </c>
      <c r="N26" s="197"/>
    </row>
    <row r="27" spans="1:14">
      <c r="A27" s="26">
        <v>24</v>
      </c>
      <c r="B27" s="27">
        <v>46166</v>
      </c>
      <c r="C27" s="106"/>
      <c r="D27" s="35"/>
      <c r="E27" s="36">
        <v>0</v>
      </c>
      <c r="F27" s="36">
        <v>0</v>
      </c>
      <c r="G27" s="36">
        <f t="shared" si="3"/>
        <v>0</v>
      </c>
      <c r="H27" s="315"/>
      <c r="I27" s="315"/>
      <c r="J27" s="36">
        <f t="shared" si="1"/>
        <v>0</v>
      </c>
      <c r="K27" s="36">
        <f t="shared" si="0"/>
        <v>0</v>
      </c>
      <c r="L27" s="196">
        <v>0</v>
      </c>
      <c r="M27" s="36">
        <f t="shared" si="2"/>
        <v>15788.080000000011</v>
      </c>
      <c r="N27" s="197"/>
    </row>
    <row r="28" spans="1:14">
      <c r="A28" s="26">
        <v>25</v>
      </c>
      <c r="B28" s="27">
        <v>46167</v>
      </c>
      <c r="C28" s="106"/>
      <c r="D28" s="35"/>
      <c r="E28" s="36">
        <v>0</v>
      </c>
      <c r="F28" s="36">
        <v>0</v>
      </c>
      <c r="G28" s="36">
        <f t="shared" si="3"/>
        <v>0</v>
      </c>
      <c r="H28" s="315"/>
      <c r="I28" s="315"/>
      <c r="J28" s="36">
        <f t="shared" si="1"/>
        <v>0</v>
      </c>
      <c r="K28" s="36">
        <f t="shared" si="0"/>
        <v>0</v>
      </c>
      <c r="L28" s="196">
        <v>0</v>
      </c>
      <c r="M28" s="36">
        <f t="shared" si="2"/>
        <v>15788.080000000011</v>
      </c>
      <c r="N28" s="197"/>
    </row>
    <row r="29" spans="1:14">
      <c r="A29" s="26">
        <v>26</v>
      </c>
      <c r="B29" s="27">
        <v>46168</v>
      </c>
      <c r="C29" s="106"/>
      <c r="D29" s="35"/>
      <c r="E29" s="36"/>
      <c r="F29" s="36"/>
      <c r="G29" s="36">
        <f t="shared" si="3"/>
        <v>0</v>
      </c>
      <c r="H29" s="315"/>
      <c r="I29" s="315"/>
      <c r="J29" s="36">
        <f t="shared" si="1"/>
        <v>0</v>
      </c>
      <c r="K29" s="36">
        <f t="shared" si="0"/>
        <v>0</v>
      </c>
      <c r="L29" s="196">
        <v>0</v>
      </c>
      <c r="M29" s="36">
        <f t="shared" si="2"/>
        <v>15788.080000000011</v>
      </c>
      <c r="N29" s="197"/>
    </row>
    <row r="30" spans="1:14">
      <c r="A30" s="26">
        <v>27</v>
      </c>
      <c r="B30" s="27">
        <v>46169</v>
      </c>
      <c r="C30" s="106"/>
      <c r="D30" s="35"/>
      <c r="E30" s="36"/>
      <c r="F30" s="36"/>
      <c r="G30" s="36">
        <f t="shared" si="3"/>
        <v>0</v>
      </c>
      <c r="H30" s="315"/>
      <c r="I30" s="315"/>
      <c r="J30" s="36">
        <f t="shared" si="1"/>
        <v>0</v>
      </c>
      <c r="K30" s="36">
        <f t="shared" si="0"/>
        <v>0</v>
      </c>
      <c r="L30" s="196">
        <v>0</v>
      </c>
      <c r="M30" s="36">
        <f>M29+K30-L30</f>
        <v>15788.080000000011</v>
      </c>
      <c r="N30" s="197"/>
    </row>
    <row r="31" spans="1:14">
      <c r="A31" s="26">
        <v>28</v>
      </c>
      <c r="B31" s="27">
        <v>46170</v>
      </c>
      <c r="C31" s="106"/>
      <c r="D31" s="35"/>
      <c r="E31" s="36"/>
      <c r="F31" s="36"/>
      <c r="G31" s="36">
        <f t="shared" si="3"/>
        <v>0</v>
      </c>
      <c r="H31" s="315"/>
      <c r="I31" s="315"/>
      <c r="J31" s="36">
        <f t="shared" si="1"/>
        <v>0</v>
      </c>
      <c r="K31" s="36">
        <f t="shared" si="0"/>
        <v>0</v>
      </c>
      <c r="L31" s="196">
        <v>0</v>
      </c>
      <c r="M31" s="36">
        <f t="shared" si="2"/>
        <v>15788.080000000011</v>
      </c>
      <c r="N31" s="197"/>
    </row>
    <row r="32" spans="1:14">
      <c r="A32" s="26">
        <v>29</v>
      </c>
      <c r="B32" s="27">
        <v>46171</v>
      </c>
      <c r="C32" s="106"/>
      <c r="D32" s="35"/>
      <c r="E32" s="36"/>
      <c r="F32" s="36"/>
      <c r="G32" s="36">
        <f t="shared" ref="G32:G34" si="5">E32*F32</f>
        <v>0</v>
      </c>
      <c r="H32" s="315"/>
      <c r="I32" s="315"/>
      <c r="J32" s="36">
        <f t="shared" si="1"/>
        <v>0</v>
      </c>
      <c r="K32" s="36">
        <f t="shared" ref="K32:K34" si="6">G32+J32</f>
        <v>0</v>
      </c>
      <c r="L32" s="196">
        <v>0</v>
      </c>
      <c r="M32" s="36">
        <f t="shared" ref="M32:M34" si="7">M31+K32-L32</f>
        <v>15788.080000000011</v>
      </c>
      <c r="N32" s="197"/>
    </row>
    <row r="33" spans="1:14">
      <c r="A33" s="26">
        <v>30</v>
      </c>
      <c r="B33" s="27">
        <v>46172</v>
      </c>
      <c r="C33" s="106"/>
      <c r="D33" s="35"/>
      <c r="E33" s="36"/>
      <c r="F33" s="36"/>
      <c r="G33" s="36">
        <f t="shared" si="5"/>
        <v>0</v>
      </c>
      <c r="H33" s="315">
        <v>0</v>
      </c>
      <c r="I33" s="315">
        <v>0</v>
      </c>
      <c r="J33" s="36">
        <f t="shared" ref="J16:J33" si="8">H33*I33</f>
        <v>0</v>
      </c>
      <c r="K33" s="36">
        <f t="shared" si="6"/>
        <v>0</v>
      </c>
      <c r="L33" s="196">
        <v>0</v>
      </c>
      <c r="M33" s="36">
        <f t="shared" si="7"/>
        <v>15788.080000000011</v>
      </c>
      <c r="N33" s="197"/>
    </row>
    <row r="34" spans="1:14">
      <c r="A34" s="26">
        <v>31</v>
      </c>
      <c r="B34" s="27">
        <v>46173</v>
      </c>
      <c r="C34" s="106"/>
      <c r="D34" s="35"/>
      <c r="E34" s="36"/>
      <c r="F34" s="36"/>
      <c r="G34" s="36">
        <f t="shared" si="5"/>
        <v>0</v>
      </c>
      <c r="H34" s="315"/>
      <c r="I34" s="315"/>
      <c r="J34" s="36">
        <f t="shared" ref="J32:J34" si="9">H34*I34</f>
        <v>0</v>
      </c>
      <c r="K34" s="36">
        <f t="shared" si="6"/>
        <v>0</v>
      </c>
      <c r="L34" s="196"/>
      <c r="M34" s="36">
        <f t="shared" si="7"/>
        <v>15788.080000000011</v>
      </c>
      <c r="N34" s="197"/>
    </row>
    <row r="35" spans="1:14">
      <c r="A35" s="62"/>
      <c r="B35" s="62"/>
      <c r="C35" s="62"/>
      <c r="D35" s="62"/>
      <c r="E35" s="256">
        <f>SUM(E4:E34)</f>
        <v>1000</v>
      </c>
      <c r="F35" s="256"/>
      <c r="G35" s="63">
        <f>SUM(G4:G34)</f>
        <v>96300</v>
      </c>
      <c r="H35" s="63">
        <f>SUM(H4:H34)</f>
        <v>112</v>
      </c>
      <c r="I35" s="63"/>
      <c r="J35" s="63">
        <f>SUM(J4:J34)</f>
        <v>12264.880000000001</v>
      </c>
      <c r="K35" s="63">
        <f>SUM(K4:K34)</f>
        <v>108564.88</v>
      </c>
      <c r="L35" s="63">
        <f>SUM(L4:L34)</f>
        <v>96300</v>
      </c>
      <c r="M35" s="63"/>
      <c r="N35" s="63"/>
    </row>
  </sheetData>
  <mergeCells count="2">
    <mergeCell ref="A1:N1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C2A6-4209-49EA-B5EF-5259614B8C5D}">
  <dimension ref="A1:N35"/>
  <sheetViews>
    <sheetView topLeftCell="A16" workbookViewId="0">
      <selection activeCell="Q3" sqref="Q3"/>
    </sheetView>
  </sheetViews>
  <sheetFormatPr defaultRowHeight="15"/>
  <cols>
    <col min="2" max="2" width="10.5703125" bestFit="1" customWidth="1"/>
    <col min="5" max="5" width="10.28515625" customWidth="1"/>
    <col min="7" max="7" width="14" customWidth="1"/>
    <col min="11" max="11" width="19.5703125" customWidth="1"/>
    <col min="12" max="12" width="17.7109375" customWidth="1"/>
    <col min="13" max="13" width="10.42578125" bestFit="1" customWidth="1"/>
  </cols>
  <sheetData>
    <row r="1" spans="1:14" ht="15.75">
      <c r="A1" s="555" t="s">
        <v>201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</row>
    <row r="2" spans="1:14" ht="27">
      <c r="A2" s="102" t="s">
        <v>0</v>
      </c>
      <c r="B2" s="105" t="s">
        <v>166</v>
      </c>
      <c r="C2" s="105" t="s">
        <v>167</v>
      </c>
      <c r="D2" s="105" t="s">
        <v>168</v>
      </c>
      <c r="E2" s="105" t="s">
        <v>169</v>
      </c>
      <c r="F2" s="105" t="s">
        <v>170</v>
      </c>
      <c r="G2" s="105" t="s">
        <v>171</v>
      </c>
      <c r="H2" s="105" t="s">
        <v>172</v>
      </c>
      <c r="I2" s="105" t="s">
        <v>170</v>
      </c>
      <c r="J2" s="105" t="s">
        <v>171</v>
      </c>
      <c r="K2" s="143" t="s">
        <v>173</v>
      </c>
      <c r="L2" s="143" t="s">
        <v>174</v>
      </c>
      <c r="M2" s="143" t="s">
        <v>175</v>
      </c>
      <c r="N2" s="105" t="s">
        <v>176</v>
      </c>
    </row>
    <row r="3" spans="1:14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9"/>
      <c r="K3" s="130"/>
      <c r="L3" s="230"/>
      <c r="M3" s="309">
        <v>44630</v>
      </c>
      <c r="N3" s="231"/>
    </row>
    <row r="4" spans="1:14">
      <c r="A4" s="26">
        <v>1</v>
      </c>
      <c r="B4" s="27">
        <v>46143</v>
      </c>
      <c r="C4" s="106"/>
      <c r="D4" s="35"/>
      <c r="E4" s="36"/>
      <c r="F4" s="36"/>
      <c r="G4" s="36">
        <f>E4*F4</f>
        <v>0</v>
      </c>
      <c r="H4" s="315"/>
      <c r="I4" s="315"/>
      <c r="J4" s="36">
        <f>H4*I4</f>
        <v>0</v>
      </c>
      <c r="K4" s="36">
        <f t="shared" ref="K4:L34" si="0">G4+J4</f>
        <v>0</v>
      </c>
      <c r="L4" s="196">
        <v>0</v>
      </c>
      <c r="M4" s="36">
        <f>M3+K4-L4</f>
        <v>44630</v>
      </c>
      <c r="N4" s="232"/>
    </row>
    <row r="5" spans="1:14">
      <c r="A5" s="26">
        <v>2</v>
      </c>
      <c r="B5" s="27">
        <v>46144</v>
      </c>
      <c r="C5" s="106"/>
      <c r="D5" s="35"/>
      <c r="E5" s="36"/>
      <c r="F5" s="36"/>
      <c r="G5" s="36">
        <f>E5*F5</f>
        <v>0</v>
      </c>
      <c r="H5" s="315"/>
      <c r="I5" s="315"/>
      <c r="J5" s="36">
        <f t="shared" ref="J5:J34" si="1">H5*I5</f>
        <v>0</v>
      </c>
      <c r="K5" s="36">
        <f t="shared" si="0"/>
        <v>0</v>
      </c>
      <c r="L5" s="196">
        <v>0</v>
      </c>
      <c r="M5" s="36">
        <f t="shared" ref="M5:M34" si="2">M4+K5-L5</f>
        <v>44630</v>
      </c>
      <c r="N5" s="233"/>
    </row>
    <row r="6" spans="1:14">
      <c r="A6" s="26">
        <v>3</v>
      </c>
      <c r="B6" s="27">
        <v>46145</v>
      </c>
      <c r="C6" s="106"/>
      <c r="D6" s="35"/>
      <c r="E6" s="36"/>
      <c r="F6" s="36"/>
      <c r="G6" s="36">
        <f t="shared" ref="G6:G34" si="3">E6*F6</f>
        <v>0</v>
      </c>
      <c r="H6" s="315"/>
      <c r="I6" s="315"/>
      <c r="J6" s="36">
        <f t="shared" si="1"/>
        <v>0</v>
      </c>
      <c r="K6" s="36">
        <f t="shared" si="0"/>
        <v>0</v>
      </c>
      <c r="L6" s="196">
        <v>0</v>
      </c>
      <c r="M6" s="36">
        <f t="shared" si="2"/>
        <v>44630</v>
      </c>
      <c r="N6" s="234"/>
    </row>
    <row r="7" spans="1:14">
      <c r="A7" s="26">
        <v>4</v>
      </c>
      <c r="B7" s="27">
        <v>46146</v>
      </c>
      <c r="C7" s="106"/>
      <c r="D7" s="35"/>
      <c r="E7" s="36">
        <v>1500</v>
      </c>
      <c r="F7" s="36">
        <v>96.42</v>
      </c>
      <c r="G7" s="36">
        <f t="shared" si="3"/>
        <v>144630</v>
      </c>
      <c r="H7" s="315"/>
      <c r="I7" s="315"/>
      <c r="J7" s="36">
        <f t="shared" si="1"/>
        <v>0</v>
      </c>
      <c r="K7" s="36">
        <f t="shared" si="0"/>
        <v>144630</v>
      </c>
      <c r="L7" s="36">
        <f t="shared" si="0"/>
        <v>144630</v>
      </c>
      <c r="M7" s="36">
        <f>M6+K7-L7</f>
        <v>44630</v>
      </c>
      <c r="N7" s="197"/>
    </row>
    <row r="8" spans="1:14">
      <c r="A8" s="26">
        <v>5</v>
      </c>
      <c r="B8" s="27">
        <v>46147</v>
      </c>
      <c r="C8" s="34"/>
      <c r="D8" s="35"/>
      <c r="E8" s="36"/>
      <c r="F8" s="36"/>
      <c r="G8" s="36">
        <f t="shared" si="3"/>
        <v>0</v>
      </c>
      <c r="H8" s="315"/>
      <c r="I8" s="315"/>
      <c r="J8" s="36">
        <f t="shared" si="1"/>
        <v>0</v>
      </c>
      <c r="K8" s="36">
        <f t="shared" si="0"/>
        <v>0</v>
      </c>
      <c r="L8" s="196">
        <v>0</v>
      </c>
      <c r="M8" s="36">
        <f>M7+K8-L8</f>
        <v>44630</v>
      </c>
      <c r="N8" s="197"/>
    </row>
    <row r="9" spans="1:14">
      <c r="A9" s="26">
        <v>6</v>
      </c>
      <c r="B9" s="27">
        <v>46148</v>
      </c>
      <c r="C9" s="34"/>
      <c r="D9" s="35"/>
      <c r="E9" s="36">
        <v>1037.1199999999999</v>
      </c>
      <c r="F9" s="36">
        <v>96.42</v>
      </c>
      <c r="G9" s="36">
        <f t="shared" si="3"/>
        <v>99999.11039999999</v>
      </c>
      <c r="H9" s="315"/>
      <c r="I9" s="315"/>
      <c r="J9" s="36">
        <f t="shared" si="1"/>
        <v>0</v>
      </c>
      <c r="K9" s="36">
        <f t="shared" si="0"/>
        <v>99999.11039999999</v>
      </c>
      <c r="L9" s="196">
        <v>100000</v>
      </c>
      <c r="M9" s="36">
        <f t="shared" si="2"/>
        <v>44629.110400000005</v>
      </c>
      <c r="N9" s="197"/>
    </row>
    <row r="10" spans="1:14">
      <c r="A10" s="26">
        <v>7</v>
      </c>
      <c r="B10" s="27">
        <v>46149</v>
      </c>
      <c r="C10" s="34"/>
      <c r="D10" s="35"/>
      <c r="E10" s="36"/>
      <c r="F10" s="36"/>
      <c r="G10" s="36">
        <f t="shared" si="3"/>
        <v>0</v>
      </c>
      <c r="H10" s="315"/>
      <c r="I10" s="315"/>
      <c r="J10" s="36">
        <f t="shared" si="1"/>
        <v>0</v>
      </c>
      <c r="K10" s="36">
        <f t="shared" si="0"/>
        <v>0</v>
      </c>
      <c r="L10" s="196">
        <v>0</v>
      </c>
      <c r="M10" s="36">
        <f t="shared" si="2"/>
        <v>44629.110400000005</v>
      </c>
      <c r="N10" s="197"/>
    </row>
    <row r="11" spans="1:14">
      <c r="A11" s="26">
        <v>8</v>
      </c>
      <c r="B11" s="27">
        <v>46150</v>
      </c>
      <c r="C11" s="34"/>
      <c r="D11" s="35"/>
      <c r="E11" s="36">
        <v>1000</v>
      </c>
      <c r="F11" s="36">
        <v>96.42</v>
      </c>
      <c r="G11" s="36">
        <f t="shared" si="3"/>
        <v>96420</v>
      </c>
      <c r="H11" s="315"/>
      <c r="I11" s="315"/>
      <c r="J11" s="36">
        <f t="shared" si="1"/>
        <v>0</v>
      </c>
      <c r="K11" s="36">
        <f t="shared" si="0"/>
        <v>96420</v>
      </c>
      <c r="L11" s="196">
        <v>0</v>
      </c>
      <c r="M11" s="36">
        <f t="shared" si="2"/>
        <v>141049.11040000001</v>
      </c>
      <c r="N11" s="197"/>
    </row>
    <row r="12" spans="1:14">
      <c r="A12" s="26">
        <v>9</v>
      </c>
      <c r="B12" s="27">
        <v>46151</v>
      </c>
      <c r="C12" s="34"/>
      <c r="D12" s="35"/>
      <c r="E12" s="36"/>
      <c r="F12" s="36"/>
      <c r="G12" s="36">
        <f t="shared" si="3"/>
        <v>0</v>
      </c>
      <c r="H12" s="315"/>
      <c r="I12" s="315"/>
      <c r="J12" s="36">
        <f t="shared" si="1"/>
        <v>0</v>
      </c>
      <c r="K12" s="36">
        <f t="shared" si="0"/>
        <v>0</v>
      </c>
      <c r="L12" s="196">
        <v>0</v>
      </c>
      <c r="M12" s="36">
        <f t="shared" si="2"/>
        <v>141049.11040000001</v>
      </c>
      <c r="N12" s="197"/>
    </row>
    <row r="13" spans="1:14">
      <c r="A13" s="26">
        <v>10</v>
      </c>
      <c r="B13" s="27">
        <v>46152</v>
      </c>
      <c r="C13" s="34"/>
      <c r="D13" s="35"/>
      <c r="E13" s="36"/>
      <c r="F13" s="36"/>
      <c r="G13" s="36">
        <f t="shared" si="3"/>
        <v>0</v>
      </c>
      <c r="H13" s="315"/>
      <c r="I13" s="315"/>
      <c r="J13" s="36">
        <f t="shared" si="1"/>
        <v>0</v>
      </c>
      <c r="K13" s="36">
        <f t="shared" si="0"/>
        <v>0</v>
      </c>
      <c r="L13" s="196">
        <v>0</v>
      </c>
      <c r="M13" s="36">
        <f>M12+K13-L13</f>
        <v>141049.11040000001</v>
      </c>
      <c r="N13" s="197"/>
    </row>
    <row r="14" spans="1:14">
      <c r="A14" s="26">
        <v>11</v>
      </c>
      <c r="B14" s="27">
        <v>46153</v>
      </c>
      <c r="C14" s="34"/>
      <c r="D14" s="35"/>
      <c r="E14" s="36"/>
      <c r="F14" s="36"/>
      <c r="G14" s="36">
        <f t="shared" si="3"/>
        <v>0</v>
      </c>
      <c r="H14" s="315"/>
      <c r="I14" s="315"/>
      <c r="J14" s="36">
        <f t="shared" si="1"/>
        <v>0</v>
      </c>
      <c r="K14" s="36">
        <f t="shared" si="0"/>
        <v>0</v>
      </c>
      <c r="L14" s="196">
        <v>0</v>
      </c>
      <c r="M14" s="36">
        <f>M13+K14-L14</f>
        <v>141049.11040000001</v>
      </c>
      <c r="N14" s="197"/>
    </row>
    <row r="15" spans="1:14">
      <c r="A15" s="26">
        <v>12</v>
      </c>
      <c r="B15" s="27">
        <v>46154</v>
      </c>
      <c r="C15" s="34"/>
      <c r="D15" s="35"/>
      <c r="E15" s="36"/>
      <c r="F15" s="36"/>
      <c r="G15" s="36">
        <f t="shared" si="3"/>
        <v>0</v>
      </c>
      <c r="H15" s="315"/>
      <c r="I15" s="315"/>
      <c r="J15" s="36">
        <f t="shared" si="1"/>
        <v>0</v>
      </c>
      <c r="K15" s="36">
        <f>G15+J15</f>
        <v>0</v>
      </c>
      <c r="L15" s="36">
        <f>H15+K15</f>
        <v>0</v>
      </c>
      <c r="M15" s="36">
        <f t="shared" si="2"/>
        <v>141049.11040000001</v>
      </c>
      <c r="N15" s="197"/>
    </row>
    <row r="16" spans="1:14">
      <c r="A16" s="26">
        <v>13</v>
      </c>
      <c r="B16" s="27">
        <v>46155</v>
      </c>
      <c r="C16" s="34"/>
      <c r="D16" s="35"/>
      <c r="E16" s="36"/>
      <c r="F16" s="36"/>
      <c r="G16" s="36">
        <f t="shared" si="3"/>
        <v>0</v>
      </c>
      <c r="H16" s="315"/>
      <c r="I16" s="315"/>
      <c r="J16" s="36">
        <f t="shared" si="1"/>
        <v>0</v>
      </c>
      <c r="K16" s="36">
        <f t="shared" si="0"/>
        <v>0</v>
      </c>
      <c r="L16" s="196">
        <v>141049</v>
      </c>
      <c r="M16" s="36">
        <f t="shared" si="2"/>
        <v>0.11040000000502914</v>
      </c>
      <c r="N16" s="197"/>
    </row>
    <row r="17" spans="1:14">
      <c r="A17" s="26">
        <v>14</v>
      </c>
      <c r="B17" s="27">
        <v>46156</v>
      </c>
      <c r="C17" s="34"/>
      <c r="D17" s="35"/>
      <c r="E17" s="36">
        <v>500</v>
      </c>
      <c r="F17" s="36">
        <v>96.42</v>
      </c>
      <c r="G17" s="36">
        <f t="shared" si="3"/>
        <v>48210</v>
      </c>
      <c r="H17" s="315"/>
      <c r="I17" s="315"/>
      <c r="J17" s="36">
        <f t="shared" si="1"/>
        <v>0</v>
      </c>
      <c r="K17" s="36">
        <f t="shared" si="0"/>
        <v>48210</v>
      </c>
      <c r="L17" s="196">
        <v>0</v>
      </c>
      <c r="M17" s="36">
        <f t="shared" si="2"/>
        <v>48210.110400000005</v>
      </c>
      <c r="N17" s="197"/>
    </row>
    <row r="18" spans="1:14">
      <c r="A18" s="26">
        <v>15</v>
      </c>
      <c r="B18" s="27">
        <v>46157</v>
      </c>
      <c r="C18" s="167"/>
      <c r="D18" s="35"/>
      <c r="E18" s="36">
        <v>1000</v>
      </c>
      <c r="F18" s="36">
        <v>99.68</v>
      </c>
      <c r="G18" s="36">
        <f t="shared" si="3"/>
        <v>99680</v>
      </c>
      <c r="H18" s="315"/>
      <c r="I18" s="315"/>
      <c r="J18" s="36">
        <f t="shared" si="1"/>
        <v>0</v>
      </c>
      <c r="K18" s="36">
        <f t="shared" si="0"/>
        <v>99680</v>
      </c>
      <c r="L18" s="196">
        <v>48210</v>
      </c>
      <c r="M18" s="36">
        <f t="shared" si="2"/>
        <v>99680.110400000005</v>
      </c>
      <c r="N18" s="235" t="s">
        <v>202</v>
      </c>
    </row>
    <row r="19" spans="1:14">
      <c r="A19" s="26">
        <v>16</v>
      </c>
      <c r="B19" s="27">
        <v>46158</v>
      </c>
      <c r="C19" s="106"/>
      <c r="D19" s="35"/>
      <c r="E19" s="36"/>
      <c r="F19" s="36"/>
      <c r="G19" s="36">
        <f t="shared" si="3"/>
        <v>0</v>
      </c>
      <c r="H19" s="315"/>
      <c r="I19" s="315"/>
      <c r="J19" s="36">
        <f t="shared" si="1"/>
        <v>0</v>
      </c>
      <c r="K19" s="36">
        <f t="shared" si="0"/>
        <v>0</v>
      </c>
      <c r="L19" s="196">
        <v>0</v>
      </c>
      <c r="M19" s="36">
        <f t="shared" si="2"/>
        <v>99680.110400000005</v>
      </c>
      <c r="N19" s="235"/>
    </row>
    <row r="20" spans="1:14">
      <c r="A20" s="26">
        <v>17</v>
      </c>
      <c r="B20" s="27">
        <v>46159</v>
      </c>
      <c r="C20" s="179"/>
      <c r="D20" s="35"/>
      <c r="E20" s="36"/>
      <c r="F20" s="36"/>
      <c r="G20" s="36">
        <f t="shared" si="3"/>
        <v>0</v>
      </c>
      <c r="H20" s="315"/>
      <c r="I20" s="315"/>
      <c r="J20" s="36">
        <f t="shared" si="1"/>
        <v>0</v>
      </c>
      <c r="K20" s="36">
        <f t="shared" si="0"/>
        <v>0</v>
      </c>
      <c r="L20" s="196">
        <v>0</v>
      </c>
      <c r="M20" s="36">
        <f t="shared" si="2"/>
        <v>99680.110400000005</v>
      </c>
      <c r="N20" s="235"/>
    </row>
    <row r="21" spans="1:14">
      <c r="A21" s="26">
        <v>18</v>
      </c>
      <c r="B21" s="27">
        <v>46160</v>
      </c>
      <c r="C21" s="179"/>
      <c r="D21" s="35"/>
      <c r="E21" s="36">
        <v>1500</v>
      </c>
      <c r="F21" s="36">
        <v>99.68</v>
      </c>
      <c r="G21" s="36">
        <f t="shared" si="3"/>
        <v>149520</v>
      </c>
      <c r="H21" s="315"/>
      <c r="I21" s="315"/>
      <c r="J21" s="36">
        <f t="shared" si="1"/>
        <v>0</v>
      </c>
      <c r="K21" s="36">
        <f t="shared" si="0"/>
        <v>149520</v>
      </c>
      <c r="L21" s="196">
        <v>100000</v>
      </c>
      <c r="M21" s="36">
        <f t="shared" si="2"/>
        <v>149200.11040000001</v>
      </c>
      <c r="N21" s="235" t="s">
        <v>202</v>
      </c>
    </row>
    <row r="22" spans="1:14">
      <c r="A22" s="26">
        <v>19</v>
      </c>
      <c r="B22" s="27">
        <v>46161</v>
      </c>
      <c r="C22" s="106"/>
      <c r="D22" s="35"/>
      <c r="E22" s="36"/>
      <c r="F22" s="36"/>
      <c r="G22" s="36">
        <f t="shared" si="3"/>
        <v>0</v>
      </c>
      <c r="H22" s="315"/>
      <c r="I22" s="315"/>
      <c r="J22" s="36">
        <f t="shared" si="1"/>
        <v>0</v>
      </c>
      <c r="K22" s="36">
        <f t="shared" si="0"/>
        <v>0</v>
      </c>
      <c r="L22" s="196">
        <v>0</v>
      </c>
      <c r="M22" s="36">
        <f t="shared" si="2"/>
        <v>149200.11040000001</v>
      </c>
      <c r="N22" s="197"/>
    </row>
    <row r="23" spans="1:14">
      <c r="A23" s="26">
        <v>20</v>
      </c>
      <c r="B23" s="27">
        <v>46162</v>
      </c>
      <c r="C23" s="106"/>
      <c r="D23" s="35"/>
      <c r="E23" s="36"/>
      <c r="F23" s="36"/>
      <c r="G23" s="36">
        <f t="shared" si="3"/>
        <v>0</v>
      </c>
      <c r="H23" s="315"/>
      <c r="I23" s="315"/>
      <c r="J23" s="36">
        <f t="shared" si="1"/>
        <v>0</v>
      </c>
      <c r="K23" s="36">
        <f t="shared" si="0"/>
        <v>0</v>
      </c>
      <c r="L23" s="196">
        <v>0</v>
      </c>
      <c r="M23" s="36">
        <f t="shared" si="2"/>
        <v>149200.11040000001</v>
      </c>
      <c r="N23" s="197"/>
    </row>
    <row r="24" spans="1:14">
      <c r="A24" s="26">
        <v>21</v>
      </c>
      <c r="B24" s="27">
        <v>46163</v>
      </c>
      <c r="C24" s="106"/>
      <c r="D24" s="35"/>
      <c r="E24" s="36">
        <v>500</v>
      </c>
      <c r="F24" s="36">
        <v>100.67</v>
      </c>
      <c r="G24" s="36">
        <f t="shared" si="3"/>
        <v>50335</v>
      </c>
      <c r="H24" s="315"/>
      <c r="I24" s="315"/>
      <c r="J24" s="36">
        <f t="shared" si="1"/>
        <v>0</v>
      </c>
      <c r="K24" s="36">
        <f t="shared" si="0"/>
        <v>50335</v>
      </c>
      <c r="L24" s="196">
        <v>149000</v>
      </c>
      <c r="M24" s="36">
        <f t="shared" si="2"/>
        <v>50535.110400000005</v>
      </c>
      <c r="N24" s="197"/>
    </row>
    <row r="25" spans="1:14">
      <c r="A25" s="26">
        <v>22</v>
      </c>
      <c r="B25" s="27">
        <v>46164</v>
      </c>
      <c r="C25" s="106"/>
      <c r="D25" s="35"/>
      <c r="E25" s="36">
        <v>1000</v>
      </c>
      <c r="F25" s="36">
        <v>100.67</v>
      </c>
      <c r="G25" s="36">
        <f t="shared" si="3"/>
        <v>100670</v>
      </c>
      <c r="H25" s="315"/>
      <c r="I25" s="315"/>
      <c r="J25" s="36">
        <f t="shared" si="1"/>
        <v>0</v>
      </c>
      <c r="K25" s="36">
        <f t="shared" si="0"/>
        <v>100670</v>
      </c>
      <c r="L25" s="196">
        <v>0</v>
      </c>
      <c r="M25" s="36">
        <f t="shared" si="2"/>
        <v>151205.11040000001</v>
      </c>
      <c r="N25" s="197"/>
    </row>
    <row r="26" spans="1:14">
      <c r="A26" s="26">
        <v>23</v>
      </c>
      <c r="B26" s="27">
        <v>46165</v>
      </c>
      <c r="C26" s="106"/>
      <c r="D26" s="35"/>
      <c r="E26" s="36">
        <v>500</v>
      </c>
      <c r="F26" s="36">
        <v>101.66</v>
      </c>
      <c r="G26" s="36">
        <f t="shared" si="3"/>
        <v>50830</v>
      </c>
      <c r="H26" s="315"/>
      <c r="I26" s="315"/>
      <c r="J26" s="36">
        <f t="shared" si="1"/>
        <v>0</v>
      </c>
      <c r="K26" s="36">
        <f t="shared" si="0"/>
        <v>50830</v>
      </c>
      <c r="L26" s="36"/>
      <c r="M26" s="36">
        <f t="shared" si="2"/>
        <v>202035.11040000001</v>
      </c>
      <c r="N26" s="197"/>
    </row>
    <row r="27" spans="1:14">
      <c r="A27" s="26">
        <v>24</v>
      </c>
      <c r="B27" s="27">
        <v>46166</v>
      </c>
      <c r="C27" s="106"/>
      <c r="D27" s="35"/>
      <c r="E27" s="36"/>
      <c r="F27" s="36"/>
      <c r="G27" s="36">
        <f t="shared" si="3"/>
        <v>0</v>
      </c>
      <c r="H27" s="315"/>
      <c r="I27" s="315"/>
      <c r="J27" s="36">
        <f t="shared" si="1"/>
        <v>0</v>
      </c>
      <c r="K27" s="36">
        <f t="shared" si="0"/>
        <v>0</v>
      </c>
      <c r="L27" s="196">
        <v>0</v>
      </c>
      <c r="M27" s="36">
        <f t="shared" si="2"/>
        <v>202035.11040000001</v>
      </c>
      <c r="N27" s="197"/>
    </row>
    <row r="28" spans="1:14">
      <c r="A28" s="26">
        <v>25</v>
      </c>
      <c r="B28" s="27">
        <v>46167</v>
      </c>
      <c r="C28" s="106"/>
      <c r="D28" s="35"/>
      <c r="E28" s="36">
        <v>1000</v>
      </c>
      <c r="F28" s="36">
        <v>104.54</v>
      </c>
      <c r="G28" s="36">
        <f t="shared" si="3"/>
        <v>104540</v>
      </c>
      <c r="H28" s="315"/>
      <c r="I28" s="315"/>
      <c r="J28" s="36">
        <f t="shared" si="1"/>
        <v>0</v>
      </c>
      <c r="K28" s="36">
        <f t="shared" si="0"/>
        <v>104540</v>
      </c>
      <c r="L28" s="196">
        <v>200000</v>
      </c>
      <c r="M28" s="36">
        <f t="shared" si="2"/>
        <v>106575.11040000001</v>
      </c>
      <c r="N28" s="197"/>
    </row>
    <row r="29" spans="1:14">
      <c r="A29" s="26">
        <v>26</v>
      </c>
      <c r="B29" s="27">
        <v>46168</v>
      </c>
      <c r="C29" s="106"/>
      <c r="D29" s="35"/>
      <c r="E29" s="36">
        <v>500</v>
      </c>
      <c r="F29" s="36">
        <v>104.54</v>
      </c>
      <c r="G29" s="36">
        <f t="shared" si="3"/>
        <v>52270</v>
      </c>
      <c r="H29" s="315"/>
      <c r="I29" s="315"/>
      <c r="J29" s="36">
        <f t="shared" si="1"/>
        <v>0</v>
      </c>
      <c r="K29" s="36">
        <f t="shared" si="0"/>
        <v>52270</v>
      </c>
      <c r="L29" s="196">
        <v>0</v>
      </c>
      <c r="M29" s="36">
        <f t="shared" si="2"/>
        <v>158845.11040000001</v>
      </c>
      <c r="N29" s="197"/>
    </row>
    <row r="30" spans="1:14">
      <c r="A30" s="26">
        <v>27</v>
      </c>
      <c r="B30" s="27">
        <v>46169</v>
      </c>
      <c r="C30" s="106"/>
      <c r="D30" s="35"/>
      <c r="E30" s="36"/>
      <c r="F30" s="36"/>
      <c r="G30" s="36">
        <f t="shared" si="3"/>
        <v>0</v>
      </c>
      <c r="H30" s="315"/>
      <c r="I30" s="315"/>
      <c r="J30" s="36">
        <f t="shared" si="1"/>
        <v>0</v>
      </c>
      <c r="K30" s="36">
        <f t="shared" si="0"/>
        <v>0</v>
      </c>
      <c r="L30" s="196">
        <v>40000</v>
      </c>
      <c r="M30" s="36">
        <f>M29+K30-L30</f>
        <v>118845.11040000001</v>
      </c>
      <c r="N30" s="197"/>
    </row>
    <row r="31" spans="1:14">
      <c r="A31" s="26">
        <v>28</v>
      </c>
      <c r="B31" s="27">
        <v>46170</v>
      </c>
      <c r="C31" s="106"/>
      <c r="D31" s="35"/>
      <c r="E31" s="36">
        <v>500</v>
      </c>
      <c r="F31" s="36">
        <v>104.54</v>
      </c>
      <c r="G31" s="36">
        <f t="shared" si="3"/>
        <v>52270</v>
      </c>
      <c r="H31" s="315"/>
      <c r="I31" s="315"/>
      <c r="J31" s="36">
        <f t="shared" si="1"/>
        <v>0</v>
      </c>
      <c r="K31" s="36">
        <f t="shared" si="0"/>
        <v>52270</v>
      </c>
      <c r="L31" s="196">
        <v>0</v>
      </c>
      <c r="M31" s="36">
        <f t="shared" si="2"/>
        <v>171115.11040000001</v>
      </c>
      <c r="N31" s="197"/>
    </row>
    <row r="32" spans="1:14">
      <c r="A32" s="26">
        <v>29</v>
      </c>
      <c r="B32" s="27">
        <v>46171</v>
      </c>
      <c r="C32" s="106"/>
      <c r="D32" s="35"/>
      <c r="E32" s="36"/>
      <c r="F32" s="36"/>
      <c r="G32" s="36">
        <f t="shared" si="3"/>
        <v>0</v>
      </c>
      <c r="H32" s="315"/>
      <c r="I32" s="315"/>
      <c r="J32" s="36">
        <f t="shared" si="1"/>
        <v>0</v>
      </c>
      <c r="K32" s="36">
        <f t="shared" si="0"/>
        <v>0</v>
      </c>
      <c r="L32" s="196">
        <v>0</v>
      </c>
      <c r="M32" s="36">
        <f t="shared" si="2"/>
        <v>171115.11040000001</v>
      </c>
      <c r="N32" s="197"/>
    </row>
    <row r="33" spans="1:14">
      <c r="A33" s="26">
        <v>30</v>
      </c>
      <c r="B33" s="27">
        <v>46172</v>
      </c>
      <c r="C33" s="106"/>
      <c r="D33" s="35"/>
      <c r="E33" s="36"/>
      <c r="F33" s="36"/>
      <c r="G33" s="36">
        <f t="shared" si="3"/>
        <v>0</v>
      </c>
      <c r="H33" s="315">
        <v>0</v>
      </c>
      <c r="I33" s="315">
        <v>0</v>
      </c>
      <c r="J33" s="36">
        <f t="shared" si="1"/>
        <v>0</v>
      </c>
      <c r="K33" s="36">
        <f t="shared" si="0"/>
        <v>0</v>
      </c>
      <c r="L33" s="196">
        <v>0</v>
      </c>
      <c r="M33" s="36">
        <f t="shared" si="2"/>
        <v>171115.11040000001</v>
      </c>
      <c r="N33" s="197"/>
    </row>
    <row r="34" spans="1:14">
      <c r="A34" s="26">
        <v>31</v>
      </c>
      <c r="B34" s="27">
        <v>46173</v>
      </c>
      <c r="C34" s="106"/>
      <c r="D34" s="35"/>
      <c r="E34" s="36"/>
      <c r="F34" s="36"/>
      <c r="G34" s="36">
        <f t="shared" si="3"/>
        <v>0</v>
      </c>
      <c r="H34" s="315"/>
      <c r="I34" s="315"/>
      <c r="J34" s="36">
        <f t="shared" si="1"/>
        <v>0</v>
      </c>
      <c r="K34" s="36">
        <f t="shared" si="0"/>
        <v>0</v>
      </c>
      <c r="L34" s="196"/>
      <c r="M34" s="36">
        <f t="shared" si="2"/>
        <v>171115.11040000001</v>
      </c>
      <c r="N34" s="197"/>
    </row>
    <row r="35" spans="1:14">
      <c r="A35" s="62"/>
      <c r="B35" s="62"/>
      <c r="C35" s="62"/>
      <c r="D35" s="62"/>
      <c r="E35" s="256">
        <f>SUM(E4:E34)</f>
        <v>10537.119999999999</v>
      </c>
      <c r="F35" s="256"/>
      <c r="G35" s="63">
        <f>SUM(G4:G34)</f>
        <v>1049374.1104000001</v>
      </c>
      <c r="H35" s="63">
        <f>SUM(H4:H34)</f>
        <v>0</v>
      </c>
      <c r="I35" s="63"/>
      <c r="J35" s="63">
        <f>SUM(J4:J34)</f>
        <v>0</v>
      </c>
      <c r="K35" s="63">
        <f>SUM(K4:K34)</f>
        <v>1049374.1104000001</v>
      </c>
      <c r="L35" s="63">
        <f>SUM(L4:L34)</f>
        <v>922889</v>
      </c>
      <c r="M35" s="63"/>
      <c r="N35" s="63"/>
    </row>
  </sheetData>
  <mergeCells count="2">
    <mergeCell ref="A1:N1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CFE9-973B-4F2F-982C-C713DBE1FA46}">
  <dimension ref="A1:P35"/>
  <sheetViews>
    <sheetView workbookViewId="0">
      <selection activeCell="F2" sqref="F2"/>
    </sheetView>
  </sheetViews>
  <sheetFormatPr defaultRowHeight="15"/>
  <cols>
    <col min="2" max="2" width="11.85546875" customWidth="1"/>
    <col min="4" max="4" width="12" customWidth="1"/>
    <col min="7" max="7" width="11.85546875" bestFit="1" customWidth="1"/>
    <col min="10" max="10" width="10.85546875" bestFit="1" customWidth="1"/>
    <col min="11" max="11" width="13.5703125" bestFit="1" customWidth="1"/>
    <col min="12" max="12" width="11.140625" customWidth="1"/>
    <col min="13" max="13" width="11.85546875" bestFit="1" customWidth="1"/>
  </cols>
  <sheetData>
    <row r="1" spans="1:14" ht="15.75">
      <c r="A1" s="546" t="s">
        <v>80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</row>
    <row r="2" spans="1:14" ht="30.75">
      <c r="A2" s="97" t="s">
        <v>0</v>
      </c>
      <c r="B2" s="98" t="s">
        <v>166</v>
      </c>
      <c r="C2" s="98" t="s">
        <v>167</v>
      </c>
      <c r="D2" s="98" t="s">
        <v>198</v>
      </c>
      <c r="E2" s="254" t="s">
        <v>169</v>
      </c>
      <c r="F2" s="254" t="s">
        <v>170</v>
      </c>
      <c r="G2" s="98" t="s">
        <v>171</v>
      </c>
      <c r="H2" s="98" t="s">
        <v>172</v>
      </c>
      <c r="I2" s="98" t="s">
        <v>170</v>
      </c>
      <c r="J2" s="137" t="s">
        <v>171</v>
      </c>
      <c r="K2" s="99" t="s">
        <v>173</v>
      </c>
      <c r="L2" s="138" t="s">
        <v>174</v>
      </c>
      <c r="M2" s="142" t="s">
        <v>199</v>
      </c>
      <c r="N2" s="100" t="s">
        <v>176</v>
      </c>
    </row>
    <row r="3" spans="1:14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9"/>
      <c r="M3" s="147">
        <v>258995.39439999996</v>
      </c>
      <c r="N3" s="155"/>
    </row>
    <row r="4" spans="1:14">
      <c r="A4" s="195">
        <v>1</v>
      </c>
      <c r="B4" s="218">
        <v>45778</v>
      </c>
      <c r="C4" s="67"/>
      <c r="D4" s="158"/>
      <c r="E4" s="255"/>
      <c r="F4" s="255"/>
      <c r="G4" s="8">
        <f t="shared" ref="G4:G34" si="0">E4*F4</f>
        <v>0</v>
      </c>
      <c r="H4" s="65"/>
      <c r="I4" s="66"/>
      <c r="J4" s="8">
        <f>H4*I4</f>
        <v>0</v>
      </c>
      <c r="K4" s="8">
        <f>G4+J4</f>
        <v>0</v>
      </c>
      <c r="L4" s="68"/>
      <c r="M4" s="40">
        <f t="shared" ref="M4:M34" si="1">M3+K4-L4</f>
        <v>258995.39439999996</v>
      </c>
      <c r="N4" s="8"/>
    </row>
    <row r="5" spans="1:14">
      <c r="A5" s="46">
        <v>2</v>
      </c>
      <c r="B5" s="218">
        <v>45779</v>
      </c>
      <c r="C5" s="67"/>
      <c r="D5" s="158"/>
      <c r="E5" s="255"/>
      <c r="F5" s="255">
        <v>96.44</v>
      </c>
      <c r="G5" s="8">
        <f t="shared" ref="G5:G34" si="2">E5*F5</f>
        <v>0</v>
      </c>
      <c r="H5" s="65">
        <v>47.1</v>
      </c>
      <c r="I5" s="66">
        <v>108.31</v>
      </c>
      <c r="J5" s="8">
        <f t="shared" ref="J5:J34" si="3">H5*I5</f>
        <v>5101.4009999999998</v>
      </c>
      <c r="K5" s="8">
        <f t="shared" ref="K5:L34" si="4">G5+J5</f>
        <v>5101.4009999999998</v>
      </c>
      <c r="L5" s="68"/>
      <c r="M5" s="40">
        <f t="shared" si="1"/>
        <v>264096.79539999994</v>
      </c>
      <c r="N5" s="8"/>
    </row>
    <row r="6" spans="1:14">
      <c r="A6" s="46">
        <v>3</v>
      </c>
      <c r="B6" s="218">
        <v>45780</v>
      </c>
      <c r="C6" s="67"/>
      <c r="D6" s="158"/>
      <c r="E6" s="255"/>
      <c r="F6" s="255"/>
      <c r="G6" s="8">
        <f t="shared" si="2"/>
        <v>0</v>
      </c>
      <c r="H6" s="65"/>
      <c r="I6" s="66"/>
      <c r="J6" s="8">
        <f t="shared" si="3"/>
        <v>0</v>
      </c>
      <c r="K6" s="8">
        <f t="shared" si="4"/>
        <v>0</v>
      </c>
      <c r="L6" s="68"/>
      <c r="M6" s="40">
        <f t="shared" si="1"/>
        <v>264096.79539999994</v>
      </c>
      <c r="N6" s="8"/>
    </row>
    <row r="7" spans="1:14">
      <c r="A7" s="46">
        <v>4</v>
      </c>
      <c r="B7" s="218">
        <v>45781</v>
      </c>
      <c r="C7" s="67"/>
      <c r="D7" s="158"/>
      <c r="E7" s="255"/>
      <c r="F7" s="255"/>
      <c r="G7" s="8">
        <f t="shared" si="2"/>
        <v>0</v>
      </c>
      <c r="H7" s="65"/>
      <c r="I7" s="66"/>
      <c r="J7" s="8">
        <f t="shared" si="3"/>
        <v>0</v>
      </c>
      <c r="K7" s="8">
        <f t="shared" si="4"/>
        <v>0</v>
      </c>
      <c r="L7" s="68">
        <v>250000</v>
      </c>
      <c r="M7" s="40">
        <f t="shared" si="1"/>
        <v>14096.795399999944</v>
      </c>
      <c r="N7" s="8"/>
    </row>
    <row r="8" spans="1:14">
      <c r="A8" s="46">
        <v>5</v>
      </c>
      <c r="B8" s="218">
        <v>45782</v>
      </c>
      <c r="C8" s="67"/>
      <c r="D8" s="158"/>
      <c r="E8" s="255"/>
      <c r="F8" s="255"/>
      <c r="G8" s="8">
        <f t="shared" si="2"/>
        <v>0</v>
      </c>
      <c r="H8" s="65">
        <v>5</v>
      </c>
      <c r="I8" s="66">
        <v>108.31</v>
      </c>
      <c r="J8" s="8">
        <f t="shared" si="3"/>
        <v>541.54999999999995</v>
      </c>
      <c r="K8" s="8">
        <f t="shared" si="4"/>
        <v>541.54999999999995</v>
      </c>
      <c r="L8" s="68"/>
      <c r="M8" s="40">
        <f t="shared" si="1"/>
        <v>14638.345399999944</v>
      </c>
      <c r="N8" s="8"/>
    </row>
    <row r="9" spans="1:14">
      <c r="A9" s="46">
        <v>6</v>
      </c>
      <c r="B9" s="218">
        <v>45783</v>
      </c>
      <c r="C9" s="67"/>
      <c r="D9" s="158"/>
      <c r="E9" s="255">
        <v>810.61</v>
      </c>
      <c r="F9" s="255">
        <v>96.44</v>
      </c>
      <c r="G9" s="8">
        <f t="shared" si="2"/>
        <v>78175.228399999993</v>
      </c>
      <c r="H9" s="65">
        <v>23</v>
      </c>
      <c r="I9" s="66">
        <v>108.31</v>
      </c>
      <c r="J9" s="8">
        <f t="shared" si="3"/>
        <v>2491.13</v>
      </c>
      <c r="K9" s="8">
        <f t="shared" si="4"/>
        <v>80666.358399999997</v>
      </c>
      <c r="L9" s="68"/>
      <c r="M9" s="40">
        <f t="shared" si="1"/>
        <v>95304.703799999945</v>
      </c>
      <c r="N9" s="8"/>
    </row>
    <row r="10" spans="1:14">
      <c r="A10" s="46">
        <v>7</v>
      </c>
      <c r="B10" s="218">
        <v>45784</v>
      </c>
      <c r="C10" s="67"/>
      <c r="D10" s="158"/>
      <c r="E10" s="255">
        <v>651.31999999999994</v>
      </c>
      <c r="F10" s="255">
        <v>96.44</v>
      </c>
      <c r="G10" s="8">
        <f t="shared" si="2"/>
        <v>62813.30079999999</v>
      </c>
      <c r="H10" s="65">
        <v>5</v>
      </c>
      <c r="I10" s="66">
        <v>108.31</v>
      </c>
      <c r="J10" s="8">
        <f t="shared" si="3"/>
        <v>541.54999999999995</v>
      </c>
      <c r="K10" s="8">
        <f t="shared" si="4"/>
        <v>63354.850799999993</v>
      </c>
      <c r="L10" s="68"/>
      <c r="M10" s="40">
        <f t="shared" si="1"/>
        <v>158659.55459999994</v>
      </c>
      <c r="N10" s="8"/>
    </row>
    <row r="11" spans="1:14">
      <c r="A11" s="46">
        <v>8</v>
      </c>
      <c r="B11" s="218">
        <v>45785</v>
      </c>
      <c r="C11" s="67"/>
      <c r="D11" s="158"/>
      <c r="E11" s="255">
        <v>2.2599999999999998</v>
      </c>
      <c r="F11" s="255">
        <v>96.44</v>
      </c>
      <c r="G11" s="8">
        <f t="shared" si="2"/>
        <v>217.95439999999996</v>
      </c>
      <c r="H11" s="65">
        <v>5</v>
      </c>
      <c r="I11" s="66">
        <v>108.31</v>
      </c>
      <c r="J11" s="8">
        <f t="shared" si="3"/>
        <v>541.54999999999995</v>
      </c>
      <c r="K11" s="8">
        <f t="shared" si="4"/>
        <v>759.50439999999992</v>
      </c>
      <c r="L11" s="68"/>
      <c r="M11" s="40">
        <f t="shared" si="1"/>
        <v>159419.05899999995</v>
      </c>
      <c r="N11" s="8"/>
    </row>
    <row r="12" spans="1:14">
      <c r="A12" s="46">
        <v>9</v>
      </c>
      <c r="B12" s="218">
        <v>45786</v>
      </c>
      <c r="C12" s="67"/>
      <c r="D12" s="158"/>
      <c r="E12" s="255"/>
      <c r="F12" s="255"/>
      <c r="G12" s="8">
        <f t="shared" si="2"/>
        <v>0</v>
      </c>
      <c r="H12" s="65"/>
      <c r="I12" s="66"/>
      <c r="J12" s="8">
        <f t="shared" si="3"/>
        <v>0</v>
      </c>
      <c r="K12" s="8">
        <f t="shared" si="4"/>
        <v>0</v>
      </c>
      <c r="L12" s="68"/>
      <c r="M12" s="40">
        <f t="shared" si="1"/>
        <v>159419.05899999995</v>
      </c>
      <c r="N12" s="8"/>
    </row>
    <row r="13" spans="1:14">
      <c r="A13" s="46">
        <v>10</v>
      </c>
      <c r="B13" s="218">
        <v>45787</v>
      </c>
      <c r="C13" s="67"/>
      <c r="D13" s="158"/>
      <c r="E13" s="255"/>
      <c r="F13" s="255"/>
      <c r="G13" s="8">
        <f t="shared" si="2"/>
        <v>0</v>
      </c>
      <c r="H13" s="65"/>
      <c r="I13" s="66"/>
      <c r="J13" s="8">
        <f t="shared" si="3"/>
        <v>0</v>
      </c>
      <c r="K13" s="8">
        <f t="shared" si="4"/>
        <v>0</v>
      </c>
      <c r="L13" s="68"/>
      <c r="M13" s="40">
        <f t="shared" si="1"/>
        <v>159419.05899999995</v>
      </c>
      <c r="N13" s="8"/>
    </row>
    <row r="14" spans="1:14">
      <c r="A14" s="46">
        <v>11</v>
      </c>
      <c r="B14" s="218">
        <v>45788</v>
      </c>
      <c r="C14" s="67"/>
      <c r="D14" s="158"/>
      <c r="E14" s="255"/>
      <c r="F14" s="255"/>
      <c r="G14" s="8">
        <f t="shared" si="2"/>
        <v>0</v>
      </c>
      <c r="H14" s="65">
        <v>10</v>
      </c>
      <c r="I14" s="66">
        <v>108.31</v>
      </c>
      <c r="J14" s="8">
        <f t="shared" si="3"/>
        <v>1083.0999999999999</v>
      </c>
      <c r="K14" s="8">
        <f t="shared" si="4"/>
        <v>1083.0999999999999</v>
      </c>
      <c r="L14" s="68"/>
      <c r="M14" s="40">
        <f t="shared" si="1"/>
        <v>160502.15899999996</v>
      </c>
      <c r="N14" s="8"/>
    </row>
    <row r="15" spans="1:14">
      <c r="A15" s="46">
        <v>12</v>
      </c>
      <c r="B15" s="218">
        <v>45789</v>
      </c>
      <c r="C15" s="67"/>
      <c r="D15" s="158"/>
      <c r="E15" s="255">
        <v>970.94</v>
      </c>
      <c r="F15" s="255">
        <v>96.44</v>
      </c>
      <c r="G15" s="8">
        <f t="shared" si="2"/>
        <v>93637.453600000008</v>
      </c>
      <c r="H15" s="65">
        <v>15</v>
      </c>
      <c r="I15" s="66">
        <v>108.31</v>
      </c>
      <c r="J15" s="8">
        <f t="shared" si="3"/>
        <v>1624.65</v>
      </c>
      <c r="K15" s="8">
        <f t="shared" si="4"/>
        <v>95262.103600000002</v>
      </c>
      <c r="L15" s="68"/>
      <c r="M15" s="40">
        <f t="shared" si="1"/>
        <v>255764.26259999996</v>
      </c>
      <c r="N15" s="8"/>
    </row>
    <row r="16" spans="1:14">
      <c r="A16" s="46">
        <v>13</v>
      </c>
      <c r="B16" s="218">
        <v>45790</v>
      </c>
      <c r="C16" s="67"/>
      <c r="D16" s="158"/>
      <c r="E16" s="255">
        <v>908.44</v>
      </c>
      <c r="F16" s="255">
        <v>96.44</v>
      </c>
      <c r="G16" s="8">
        <f t="shared" si="2"/>
        <v>87609.953600000008</v>
      </c>
      <c r="H16" s="65">
        <v>3</v>
      </c>
      <c r="I16" s="66">
        <v>108.31</v>
      </c>
      <c r="J16" s="8">
        <f t="shared" si="3"/>
        <v>324.93</v>
      </c>
      <c r="K16" s="8">
        <f t="shared" si="4"/>
        <v>87934.883600000001</v>
      </c>
      <c r="L16" s="68"/>
      <c r="M16" s="40">
        <f t="shared" si="1"/>
        <v>343699.14619999996</v>
      </c>
      <c r="N16" s="8"/>
    </row>
    <row r="17" spans="1:16">
      <c r="A17" s="46">
        <v>14</v>
      </c>
      <c r="B17" s="218">
        <v>45791</v>
      </c>
      <c r="C17" s="67"/>
      <c r="D17" s="158"/>
      <c r="E17" s="255">
        <v>646.94999999999993</v>
      </c>
      <c r="F17" s="255">
        <v>96.44</v>
      </c>
      <c r="G17" s="8">
        <f t="shared" si="2"/>
        <v>62391.857999999993</v>
      </c>
      <c r="H17" s="65">
        <v>5</v>
      </c>
      <c r="I17" s="66">
        <v>108.31</v>
      </c>
      <c r="J17" s="8">
        <f t="shared" si="3"/>
        <v>541.54999999999995</v>
      </c>
      <c r="K17" s="8">
        <f t="shared" si="4"/>
        <v>62933.407999999996</v>
      </c>
      <c r="L17" s="68"/>
      <c r="M17" s="40">
        <f t="shared" si="1"/>
        <v>406632.55419999996</v>
      </c>
      <c r="N17" s="8"/>
    </row>
    <row r="18" spans="1:16">
      <c r="A18" s="46">
        <v>15</v>
      </c>
      <c r="B18" s="218">
        <v>45792</v>
      </c>
      <c r="C18" s="67"/>
      <c r="D18" s="158"/>
      <c r="E18" s="389">
        <v>163.58000000000001</v>
      </c>
      <c r="F18" s="255">
        <v>99.7</v>
      </c>
      <c r="G18" s="8">
        <f t="shared" si="2"/>
        <v>16308.926000000001</v>
      </c>
      <c r="H18" s="65">
        <v>3</v>
      </c>
      <c r="I18" s="66">
        <v>111.71</v>
      </c>
      <c r="J18" s="8">
        <f t="shared" si="3"/>
        <v>335.13</v>
      </c>
      <c r="K18" s="8">
        <f t="shared" si="4"/>
        <v>16644.056</v>
      </c>
      <c r="L18" s="68">
        <v>300000</v>
      </c>
      <c r="M18" s="40">
        <f t="shared" si="1"/>
        <v>123276.61019999994</v>
      </c>
      <c r="N18" s="8"/>
    </row>
    <row r="19" spans="1:16">
      <c r="A19" s="46">
        <v>16</v>
      </c>
      <c r="B19" s="218">
        <v>45793</v>
      </c>
      <c r="C19" s="67"/>
      <c r="D19" s="158"/>
      <c r="E19" s="255">
        <v>763.64</v>
      </c>
      <c r="F19" s="255">
        <v>99.7</v>
      </c>
      <c r="G19" s="8">
        <f t="shared" si="2"/>
        <v>76134.907999999996</v>
      </c>
      <c r="H19" s="65">
        <v>54.23</v>
      </c>
      <c r="I19" s="66">
        <v>111.71</v>
      </c>
      <c r="J19" s="8">
        <f t="shared" si="3"/>
        <v>6058.0332999999991</v>
      </c>
      <c r="K19" s="8">
        <f t="shared" si="4"/>
        <v>82192.941299999991</v>
      </c>
      <c r="L19" s="68"/>
      <c r="M19" s="40">
        <f t="shared" si="1"/>
        <v>205469.55149999994</v>
      </c>
      <c r="N19" s="8"/>
    </row>
    <row r="20" spans="1:16">
      <c r="A20" s="46">
        <v>17</v>
      </c>
      <c r="B20" s="218">
        <v>45794</v>
      </c>
      <c r="C20" s="67"/>
      <c r="D20" s="158"/>
      <c r="E20" s="255">
        <v>447.36</v>
      </c>
      <c r="F20" s="255">
        <v>99.7</v>
      </c>
      <c r="G20" s="8">
        <f t="shared" si="2"/>
        <v>44601.792000000001</v>
      </c>
      <c r="H20" s="65">
        <v>18</v>
      </c>
      <c r="I20" s="66">
        <v>111.71</v>
      </c>
      <c r="J20" s="8">
        <f t="shared" si="3"/>
        <v>2010.78</v>
      </c>
      <c r="K20" s="8">
        <f t="shared" si="4"/>
        <v>46612.572</v>
      </c>
      <c r="L20" s="68"/>
      <c r="M20" s="40">
        <f t="shared" si="1"/>
        <v>252082.12349999993</v>
      </c>
      <c r="N20" s="8"/>
    </row>
    <row r="21" spans="1:16">
      <c r="A21" s="46">
        <v>18</v>
      </c>
      <c r="B21" s="218">
        <v>45795</v>
      </c>
      <c r="C21" s="67"/>
      <c r="D21" s="158"/>
      <c r="E21" s="389"/>
      <c r="F21" s="255"/>
      <c r="G21" s="8">
        <f t="shared" si="2"/>
        <v>0</v>
      </c>
      <c r="H21" s="65"/>
      <c r="I21" s="66"/>
      <c r="J21" s="8">
        <f t="shared" si="3"/>
        <v>0</v>
      </c>
      <c r="K21" s="8">
        <f t="shared" si="4"/>
        <v>0</v>
      </c>
      <c r="L21" s="68"/>
      <c r="M21" s="40">
        <f t="shared" si="1"/>
        <v>252082.12349999993</v>
      </c>
      <c r="N21" s="8"/>
    </row>
    <row r="22" spans="1:16">
      <c r="A22" s="46">
        <v>19</v>
      </c>
      <c r="B22" s="218">
        <v>45796</v>
      </c>
      <c r="C22" s="67"/>
      <c r="D22" s="158"/>
      <c r="E22" s="65"/>
      <c r="F22" s="255"/>
      <c r="G22" s="8">
        <f t="shared" si="2"/>
        <v>0</v>
      </c>
      <c r="H22" s="65">
        <v>10</v>
      </c>
      <c r="I22" s="66">
        <v>112.69</v>
      </c>
      <c r="J22" s="8">
        <f t="shared" si="3"/>
        <v>1126.9000000000001</v>
      </c>
      <c r="K22" s="8">
        <f t="shared" si="4"/>
        <v>1126.9000000000001</v>
      </c>
      <c r="L22" s="68"/>
      <c r="M22" s="40">
        <f t="shared" si="1"/>
        <v>253209.02349999992</v>
      </c>
      <c r="N22" s="8"/>
    </row>
    <row r="23" spans="1:16">
      <c r="A23" s="46">
        <v>20</v>
      </c>
      <c r="B23" s="218">
        <v>45797</v>
      </c>
      <c r="C23" s="67"/>
      <c r="D23" s="158"/>
      <c r="E23" s="255">
        <v>133.07999999999998</v>
      </c>
      <c r="F23" s="255">
        <v>100.69</v>
      </c>
      <c r="G23" s="8">
        <f t="shared" si="2"/>
        <v>13399.825199999997</v>
      </c>
      <c r="H23" s="65"/>
      <c r="I23" s="66"/>
      <c r="J23" s="8">
        <f t="shared" si="3"/>
        <v>0</v>
      </c>
      <c r="K23" s="8">
        <f t="shared" si="4"/>
        <v>13399.825199999997</v>
      </c>
      <c r="L23" s="68"/>
      <c r="M23" s="40">
        <f t="shared" si="1"/>
        <v>266608.84869999991</v>
      </c>
      <c r="N23" s="8"/>
    </row>
    <row r="24" spans="1:16">
      <c r="A24" s="46">
        <v>21</v>
      </c>
      <c r="B24" s="218">
        <v>45798</v>
      </c>
      <c r="C24" s="67"/>
      <c r="D24" s="158"/>
      <c r="E24" s="255">
        <v>845.44</v>
      </c>
      <c r="F24" s="255">
        <v>100.69</v>
      </c>
      <c r="G24" s="8">
        <f t="shared" si="2"/>
        <v>85127.353600000002</v>
      </c>
      <c r="H24" s="65">
        <v>5</v>
      </c>
      <c r="I24" s="66">
        <v>112.69</v>
      </c>
      <c r="J24" s="8">
        <f t="shared" si="3"/>
        <v>563.45000000000005</v>
      </c>
      <c r="K24" s="8">
        <f t="shared" si="4"/>
        <v>85690.803599999999</v>
      </c>
      <c r="L24" s="68"/>
      <c r="M24" s="40">
        <f t="shared" si="1"/>
        <v>352299.6522999999</v>
      </c>
      <c r="N24" s="8"/>
    </row>
    <row r="25" spans="1:16">
      <c r="A25" s="46">
        <v>22</v>
      </c>
      <c r="B25" s="218">
        <v>45799</v>
      </c>
      <c r="C25" s="67"/>
      <c r="D25" s="158"/>
      <c r="E25" s="255"/>
      <c r="F25" s="255"/>
      <c r="G25" s="8">
        <f t="shared" si="2"/>
        <v>0</v>
      </c>
      <c r="H25" s="65">
        <v>43.39</v>
      </c>
      <c r="I25" s="66">
        <v>112.69</v>
      </c>
      <c r="J25" s="8">
        <f t="shared" si="3"/>
        <v>4889.6190999999999</v>
      </c>
      <c r="K25" s="8">
        <f t="shared" si="4"/>
        <v>4889.6190999999999</v>
      </c>
      <c r="L25" s="68"/>
      <c r="M25" s="40">
        <f t="shared" si="1"/>
        <v>357189.27139999991</v>
      </c>
      <c r="N25" s="8"/>
    </row>
    <row r="26" spans="1:16">
      <c r="A26" s="46">
        <v>23</v>
      </c>
      <c r="B26" s="218">
        <v>45800</v>
      </c>
      <c r="C26" s="67"/>
      <c r="D26" s="158"/>
      <c r="E26" s="255"/>
      <c r="F26" s="255"/>
      <c r="G26" s="8">
        <f t="shared" si="2"/>
        <v>0</v>
      </c>
      <c r="H26" s="65"/>
      <c r="I26" s="66"/>
      <c r="J26" s="8">
        <f t="shared" si="3"/>
        <v>0</v>
      </c>
      <c r="K26" s="8">
        <f t="shared" si="4"/>
        <v>0</v>
      </c>
      <c r="L26" s="68"/>
      <c r="M26" s="40">
        <f t="shared" si="1"/>
        <v>357189.27139999991</v>
      </c>
      <c r="N26" s="8"/>
    </row>
    <row r="27" spans="1:16">
      <c r="A27" s="46">
        <v>24</v>
      </c>
      <c r="B27" s="218">
        <v>45801</v>
      </c>
      <c r="C27" s="67"/>
      <c r="D27" s="158"/>
      <c r="E27" s="255"/>
      <c r="F27" s="255"/>
      <c r="G27" s="8">
        <f t="shared" si="2"/>
        <v>0</v>
      </c>
      <c r="H27" s="65">
        <v>10</v>
      </c>
      <c r="I27" s="66">
        <v>112.69</v>
      </c>
      <c r="J27" s="8">
        <f t="shared" si="3"/>
        <v>1126.9000000000001</v>
      </c>
      <c r="K27" s="8">
        <f t="shared" si="4"/>
        <v>1126.9000000000001</v>
      </c>
      <c r="L27" s="68"/>
      <c r="M27" s="40">
        <f t="shared" si="1"/>
        <v>358316.17139999993</v>
      </c>
      <c r="N27" s="8"/>
    </row>
    <row r="28" spans="1:16">
      <c r="A28" s="220">
        <v>25</v>
      </c>
      <c r="B28" s="218">
        <v>45802</v>
      </c>
      <c r="C28" s="67"/>
      <c r="D28" s="158"/>
      <c r="E28" s="255"/>
      <c r="F28" s="255"/>
      <c r="G28" s="8">
        <f t="shared" si="2"/>
        <v>0</v>
      </c>
      <c r="H28" s="65"/>
      <c r="I28" s="66"/>
      <c r="J28" s="8">
        <v>0</v>
      </c>
      <c r="K28" s="8">
        <f t="shared" si="4"/>
        <v>0</v>
      </c>
      <c r="L28" s="68">
        <v>250000</v>
      </c>
      <c r="M28" s="40">
        <f>M27+K28-L28</f>
        <v>108316.17139999993</v>
      </c>
      <c r="N28" s="8"/>
      <c r="P28" s="40"/>
    </row>
    <row r="29" spans="1:16">
      <c r="A29" s="220">
        <v>26</v>
      </c>
      <c r="B29" s="218">
        <v>45803</v>
      </c>
      <c r="C29" s="67"/>
      <c r="D29" s="158"/>
      <c r="E29" s="255"/>
      <c r="F29" s="255"/>
      <c r="G29" s="8">
        <f t="shared" si="2"/>
        <v>0</v>
      </c>
      <c r="H29" s="65"/>
      <c r="I29" s="66"/>
      <c r="J29" s="8">
        <f t="shared" si="3"/>
        <v>0</v>
      </c>
      <c r="K29" s="8">
        <f t="shared" si="4"/>
        <v>0</v>
      </c>
      <c r="L29" s="68"/>
      <c r="M29" s="40">
        <f t="shared" si="1"/>
        <v>108316.17139999993</v>
      </c>
      <c r="N29" s="8"/>
    </row>
    <row r="30" spans="1:16">
      <c r="A30" s="220">
        <v>27</v>
      </c>
      <c r="B30" s="218">
        <v>45804</v>
      </c>
      <c r="C30" s="67"/>
      <c r="D30" s="158"/>
      <c r="E30" s="255"/>
      <c r="F30" s="255"/>
      <c r="G30" s="8">
        <f t="shared" si="2"/>
        <v>0</v>
      </c>
      <c r="H30" s="65"/>
      <c r="I30" s="66"/>
      <c r="J30" s="8">
        <f t="shared" si="3"/>
        <v>0</v>
      </c>
      <c r="K30" s="8">
        <f t="shared" si="4"/>
        <v>0</v>
      </c>
      <c r="L30" s="68"/>
      <c r="M30" s="40">
        <f t="shared" si="1"/>
        <v>108316.17139999993</v>
      </c>
      <c r="N30" s="8"/>
    </row>
    <row r="31" spans="1:16">
      <c r="A31" s="220">
        <v>28</v>
      </c>
      <c r="B31" s="218">
        <v>45805</v>
      </c>
      <c r="C31" s="67"/>
      <c r="D31" s="158"/>
      <c r="E31" s="255"/>
      <c r="F31" s="255"/>
      <c r="G31" s="8">
        <f t="shared" si="2"/>
        <v>0</v>
      </c>
      <c r="H31" s="65"/>
      <c r="I31" s="66"/>
      <c r="J31" s="8">
        <f t="shared" si="3"/>
        <v>0</v>
      </c>
      <c r="K31" s="8">
        <f t="shared" si="4"/>
        <v>0</v>
      </c>
      <c r="L31" s="68"/>
      <c r="M31" s="40">
        <f t="shared" si="1"/>
        <v>108316.17139999993</v>
      </c>
      <c r="N31" s="8"/>
    </row>
    <row r="32" spans="1:16">
      <c r="A32" s="221">
        <v>29</v>
      </c>
      <c r="B32" s="218">
        <v>45806</v>
      </c>
      <c r="C32" s="67"/>
      <c r="D32" s="158"/>
      <c r="E32" s="255"/>
      <c r="F32" s="255"/>
      <c r="G32" s="8">
        <f t="shared" si="2"/>
        <v>0</v>
      </c>
      <c r="H32" s="65"/>
      <c r="I32" s="66"/>
      <c r="J32" s="8">
        <f t="shared" si="3"/>
        <v>0</v>
      </c>
      <c r="K32" s="8">
        <f t="shared" si="4"/>
        <v>0</v>
      </c>
      <c r="L32" s="68"/>
      <c r="M32" s="40">
        <f t="shared" si="1"/>
        <v>108316.17139999993</v>
      </c>
      <c r="N32" s="8"/>
    </row>
    <row r="33" spans="1:14">
      <c r="A33" s="221">
        <v>30</v>
      </c>
      <c r="B33" s="218">
        <v>45807</v>
      </c>
      <c r="C33" s="67"/>
      <c r="D33" s="158"/>
      <c r="E33" s="255"/>
      <c r="F33" s="255"/>
      <c r="G33" s="8">
        <f t="shared" si="2"/>
        <v>0</v>
      </c>
      <c r="H33" s="65"/>
      <c r="I33" s="66"/>
      <c r="J33" s="8">
        <f t="shared" si="3"/>
        <v>0</v>
      </c>
      <c r="K33" s="8">
        <f t="shared" si="4"/>
        <v>0</v>
      </c>
      <c r="L33" s="68">
        <v>0</v>
      </c>
      <c r="M33" s="40">
        <f t="shared" si="1"/>
        <v>108316.17139999993</v>
      </c>
      <c r="N33" s="8"/>
    </row>
    <row r="34" spans="1:14">
      <c r="A34" s="221">
        <v>31</v>
      </c>
      <c r="B34" s="218">
        <v>45808</v>
      </c>
      <c r="C34" s="67"/>
      <c r="D34" s="158"/>
      <c r="E34" s="255"/>
      <c r="F34" s="255"/>
      <c r="G34" s="8">
        <f t="shared" si="2"/>
        <v>0</v>
      </c>
      <c r="H34" s="65"/>
      <c r="I34" s="66"/>
      <c r="J34" s="8">
        <f t="shared" si="3"/>
        <v>0</v>
      </c>
      <c r="K34" s="8">
        <f t="shared" si="4"/>
        <v>0</v>
      </c>
      <c r="L34" s="68">
        <v>0</v>
      </c>
      <c r="M34" s="40">
        <f t="shared" si="1"/>
        <v>108316.17139999993</v>
      </c>
      <c r="N34" s="8"/>
    </row>
    <row r="35" spans="1:14">
      <c r="A35" s="62"/>
      <c r="B35" s="62"/>
      <c r="C35" s="62"/>
      <c r="D35" s="62"/>
      <c r="E35" s="256">
        <f>SUM(E4:E34)</f>
        <v>6343.6200000000008</v>
      </c>
      <c r="F35" s="256"/>
      <c r="G35" s="63">
        <f>SUM(G4:G34)</f>
        <v>620418.55359999998</v>
      </c>
      <c r="H35" s="63">
        <f>SUM(H4:H34)</f>
        <v>261.71999999999997</v>
      </c>
      <c r="I35" s="63"/>
      <c r="J35" s="63">
        <f>SUM(J4:J34)</f>
        <v>28902.223399999999</v>
      </c>
      <c r="K35" s="63">
        <f>SUM(K4:K34)</f>
        <v>649320.777</v>
      </c>
      <c r="L35" s="63">
        <f>SUM(L4:L34)</f>
        <v>800000</v>
      </c>
      <c r="M35" s="63"/>
      <c r="N35" s="63"/>
    </row>
  </sheetData>
  <mergeCells count="2">
    <mergeCell ref="A1:N1"/>
    <mergeCell ref="A3:L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7192-5352-4637-BAE5-2FBCF1C76B46}">
  <dimension ref="A1:N35"/>
  <sheetViews>
    <sheetView workbookViewId="0">
      <selection activeCell="K31" sqref="K31"/>
    </sheetView>
  </sheetViews>
  <sheetFormatPr defaultRowHeight="15"/>
  <cols>
    <col min="2" max="2" width="11.42578125" customWidth="1"/>
    <col min="5" max="5" width="15.42578125" customWidth="1"/>
    <col min="7" max="7" width="14.5703125" customWidth="1"/>
    <col min="11" max="11" width="13.5703125" bestFit="1" customWidth="1"/>
    <col min="12" max="12" width="12.5703125" customWidth="1"/>
    <col min="13" max="13" width="11.5703125" bestFit="1" customWidth="1"/>
  </cols>
  <sheetData>
    <row r="1" spans="1:14" ht="15.75">
      <c r="A1" s="546" t="s">
        <v>203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</row>
    <row r="2" spans="1:14" ht="30.75">
      <c r="A2" s="97" t="s">
        <v>0</v>
      </c>
      <c r="B2" s="98" t="s">
        <v>166</v>
      </c>
      <c r="C2" s="98" t="s">
        <v>167</v>
      </c>
      <c r="D2" s="98" t="s">
        <v>198</v>
      </c>
      <c r="E2" s="254" t="s">
        <v>169</v>
      </c>
      <c r="F2" s="254" t="s">
        <v>170</v>
      </c>
      <c r="G2" s="98" t="s">
        <v>171</v>
      </c>
      <c r="H2" s="98" t="s">
        <v>172</v>
      </c>
      <c r="I2" s="98" t="s">
        <v>170</v>
      </c>
      <c r="J2" s="137" t="s">
        <v>171</v>
      </c>
      <c r="K2" s="99" t="s">
        <v>173</v>
      </c>
      <c r="L2" s="138" t="s">
        <v>174</v>
      </c>
      <c r="M2" s="142" t="s">
        <v>199</v>
      </c>
      <c r="N2" s="100" t="s">
        <v>176</v>
      </c>
    </row>
    <row r="3" spans="1:14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9"/>
      <c r="M3" s="147">
        <v>163539.23910000004</v>
      </c>
      <c r="N3" s="155"/>
    </row>
    <row r="4" spans="1:14">
      <c r="A4" s="195">
        <v>1</v>
      </c>
      <c r="B4" s="218">
        <v>45778</v>
      </c>
      <c r="C4" s="67"/>
      <c r="D4" s="158"/>
      <c r="E4" s="264">
        <v>600</v>
      </c>
      <c r="F4" s="370">
        <v>96.23</v>
      </c>
      <c r="G4" s="8">
        <f t="shared" ref="G4:G34" si="0">E4*F4</f>
        <v>57738</v>
      </c>
      <c r="H4" s="264"/>
      <c r="I4" s="290"/>
      <c r="J4" s="8">
        <f>H4*I4</f>
        <v>0</v>
      </c>
      <c r="K4" s="8">
        <f>G4+J4</f>
        <v>57738</v>
      </c>
      <c r="L4" s="68">
        <v>0</v>
      </c>
      <c r="M4" s="40">
        <f>M3+K4-L4</f>
        <v>221277.23910000004</v>
      </c>
      <c r="N4" s="8"/>
    </row>
    <row r="5" spans="1:14">
      <c r="A5" s="46">
        <v>2</v>
      </c>
      <c r="B5" s="218">
        <v>45779</v>
      </c>
      <c r="C5" s="67"/>
      <c r="D5" s="158"/>
      <c r="E5" s="264">
        <v>690</v>
      </c>
      <c r="F5" s="370">
        <v>96.23</v>
      </c>
      <c r="G5" s="8">
        <f t="shared" si="0"/>
        <v>66398.7</v>
      </c>
      <c r="H5" s="264"/>
      <c r="I5" s="290"/>
      <c r="J5" s="8">
        <f t="shared" ref="J5:J34" si="1">H5*I5</f>
        <v>0</v>
      </c>
      <c r="K5" s="8">
        <f t="shared" ref="K5:K34" si="2">G5+J5</f>
        <v>66398.7</v>
      </c>
      <c r="L5" s="68">
        <v>0</v>
      </c>
      <c r="M5" s="40">
        <f t="shared" ref="M5:M34" si="3">M4+K5-L5</f>
        <v>287675.93910000002</v>
      </c>
      <c r="N5" s="8"/>
    </row>
    <row r="6" spans="1:14">
      <c r="A6" s="46">
        <v>3</v>
      </c>
      <c r="B6" s="218">
        <v>45780</v>
      </c>
      <c r="C6" s="67"/>
      <c r="D6" s="158"/>
      <c r="E6" s="264">
        <v>690</v>
      </c>
      <c r="F6" s="370">
        <v>96.23</v>
      </c>
      <c r="G6" s="8">
        <f t="shared" si="0"/>
        <v>66398.7</v>
      </c>
      <c r="H6" s="264"/>
      <c r="I6" s="290"/>
      <c r="J6" s="8">
        <f t="shared" si="1"/>
        <v>0</v>
      </c>
      <c r="K6" s="8">
        <f t="shared" si="2"/>
        <v>66398.7</v>
      </c>
      <c r="L6" s="68">
        <v>0</v>
      </c>
      <c r="M6" s="40">
        <f t="shared" si="3"/>
        <v>354074.63910000003</v>
      </c>
      <c r="N6" s="8"/>
    </row>
    <row r="7" spans="1:14">
      <c r="A7" s="46">
        <v>4</v>
      </c>
      <c r="B7" s="218">
        <v>45781</v>
      </c>
      <c r="C7" s="67"/>
      <c r="D7" s="158"/>
      <c r="E7" s="264">
        <v>690</v>
      </c>
      <c r="F7" s="370">
        <v>96.23</v>
      </c>
      <c r="G7" s="8">
        <f t="shared" si="0"/>
        <v>66398.7</v>
      </c>
      <c r="H7" s="264"/>
      <c r="I7" s="290"/>
      <c r="J7" s="8">
        <f t="shared" si="1"/>
        <v>0</v>
      </c>
      <c r="K7" s="8">
        <f t="shared" si="2"/>
        <v>66398.7</v>
      </c>
      <c r="L7" s="68">
        <v>0</v>
      </c>
      <c r="M7" s="40">
        <f t="shared" si="3"/>
        <v>420473.33910000004</v>
      </c>
      <c r="N7" s="8"/>
    </row>
    <row r="8" spans="1:14">
      <c r="A8" s="46">
        <v>5</v>
      </c>
      <c r="B8" s="218">
        <v>45782</v>
      </c>
      <c r="C8" s="67"/>
      <c r="D8" s="158"/>
      <c r="E8" s="264">
        <v>0</v>
      </c>
      <c r="F8" s="370">
        <v>96.23</v>
      </c>
      <c r="G8" s="8">
        <f t="shared" si="0"/>
        <v>0</v>
      </c>
      <c r="H8" s="264"/>
      <c r="I8" s="290"/>
      <c r="J8" s="8">
        <f t="shared" si="1"/>
        <v>0</v>
      </c>
      <c r="K8" s="8">
        <f t="shared" si="2"/>
        <v>0</v>
      </c>
      <c r="L8" s="68">
        <v>0</v>
      </c>
      <c r="M8" s="40">
        <f t="shared" si="3"/>
        <v>420473.33910000004</v>
      </c>
      <c r="N8" s="8"/>
    </row>
    <row r="9" spans="1:14">
      <c r="A9" s="46">
        <v>6</v>
      </c>
      <c r="B9" s="218">
        <v>45783</v>
      </c>
      <c r="C9" s="67"/>
      <c r="D9" s="158"/>
      <c r="E9" s="264">
        <v>655</v>
      </c>
      <c r="F9" s="370">
        <v>96.23</v>
      </c>
      <c r="G9" s="8">
        <f t="shared" si="0"/>
        <v>63030.65</v>
      </c>
      <c r="H9" s="264"/>
      <c r="I9" s="290"/>
      <c r="J9" s="8">
        <f t="shared" si="1"/>
        <v>0</v>
      </c>
      <c r="K9" s="8">
        <f t="shared" si="2"/>
        <v>63030.65</v>
      </c>
      <c r="L9" s="68">
        <v>0</v>
      </c>
      <c r="M9" s="40">
        <f t="shared" si="3"/>
        <v>483503.98910000006</v>
      </c>
      <c r="N9" s="8"/>
    </row>
    <row r="10" spans="1:14">
      <c r="A10" s="46">
        <v>7</v>
      </c>
      <c r="B10" s="218">
        <v>45784</v>
      </c>
      <c r="C10" s="67"/>
      <c r="D10" s="158"/>
      <c r="E10" s="264">
        <v>655</v>
      </c>
      <c r="F10" s="370">
        <v>96.23</v>
      </c>
      <c r="G10" s="8">
        <f t="shared" si="0"/>
        <v>63030.65</v>
      </c>
      <c r="H10" s="264"/>
      <c r="I10" s="290"/>
      <c r="J10" s="8">
        <f t="shared" si="1"/>
        <v>0</v>
      </c>
      <c r="K10" s="8">
        <f t="shared" si="2"/>
        <v>63030.65</v>
      </c>
      <c r="L10" s="68">
        <v>0</v>
      </c>
      <c r="M10" s="40">
        <f t="shared" si="3"/>
        <v>546534.63910000003</v>
      </c>
      <c r="N10" s="8"/>
    </row>
    <row r="11" spans="1:14">
      <c r="A11" s="46">
        <v>8</v>
      </c>
      <c r="B11" s="218">
        <v>45785</v>
      </c>
      <c r="C11" s="67"/>
      <c r="D11" s="158"/>
      <c r="E11" s="264">
        <v>690</v>
      </c>
      <c r="F11" s="370">
        <v>96.23</v>
      </c>
      <c r="G11" s="8">
        <f t="shared" si="0"/>
        <v>66398.7</v>
      </c>
      <c r="H11" s="264"/>
      <c r="I11" s="290"/>
      <c r="J11" s="8">
        <f t="shared" si="1"/>
        <v>0</v>
      </c>
      <c r="K11" s="8">
        <f t="shared" si="2"/>
        <v>66398.7</v>
      </c>
      <c r="L11" s="68">
        <v>0</v>
      </c>
      <c r="M11" s="40">
        <f t="shared" si="3"/>
        <v>612933.33909999998</v>
      </c>
      <c r="N11" s="8"/>
    </row>
    <row r="12" spans="1:14">
      <c r="A12" s="46">
        <v>9</v>
      </c>
      <c r="B12" s="218">
        <v>45786</v>
      </c>
      <c r="C12" s="67"/>
      <c r="D12" s="158"/>
      <c r="E12" s="264">
        <v>728.04</v>
      </c>
      <c r="F12" s="370">
        <v>96.23</v>
      </c>
      <c r="G12" s="8">
        <f t="shared" si="0"/>
        <v>70059.289199999999</v>
      </c>
      <c r="H12" s="264"/>
      <c r="I12" s="290"/>
      <c r="J12" s="8">
        <f t="shared" si="1"/>
        <v>0</v>
      </c>
      <c r="K12" s="8">
        <f t="shared" si="2"/>
        <v>70059.289199999999</v>
      </c>
      <c r="L12" s="68">
        <v>0</v>
      </c>
      <c r="M12" s="40">
        <f t="shared" si="3"/>
        <v>682992.62829999998</v>
      </c>
      <c r="N12" s="8"/>
    </row>
    <row r="13" spans="1:14">
      <c r="A13" s="46">
        <v>10</v>
      </c>
      <c r="B13" s="218">
        <v>45787</v>
      </c>
      <c r="C13" s="67"/>
      <c r="D13" s="158"/>
      <c r="E13" s="264">
        <v>670</v>
      </c>
      <c r="F13" s="370">
        <v>96.23</v>
      </c>
      <c r="G13" s="8">
        <f t="shared" si="0"/>
        <v>64474.100000000006</v>
      </c>
      <c r="H13" s="264"/>
      <c r="I13" s="290"/>
      <c r="J13" s="8">
        <f t="shared" si="1"/>
        <v>0</v>
      </c>
      <c r="K13" s="8">
        <f t="shared" si="2"/>
        <v>64474.100000000006</v>
      </c>
      <c r="L13" s="68">
        <v>0</v>
      </c>
      <c r="M13" s="40">
        <f t="shared" si="3"/>
        <v>747466.72829999996</v>
      </c>
      <c r="N13" s="8"/>
    </row>
    <row r="14" spans="1:14">
      <c r="A14" s="46">
        <v>11</v>
      </c>
      <c r="B14" s="218">
        <v>45788</v>
      </c>
      <c r="C14" s="67"/>
      <c r="D14" s="158"/>
      <c r="E14" s="264">
        <v>690</v>
      </c>
      <c r="F14" s="370">
        <v>96.23</v>
      </c>
      <c r="G14" s="8">
        <f t="shared" si="0"/>
        <v>66398.7</v>
      </c>
      <c r="H14" s="264"/>
      <c r="I14" s="290"/>
      <c r="J14" s="8">
        <f t="shared" si="1"/>
        <v>0</v>
      </c>
      <c r="K14" s="8">
        <f t="shared" si="2"/>
        <v>66398.7</v>
      </c>
      <c r="L14" s="68">
        <v>500000</v>
      </c>
      <c r="M14" s="40">
        <f t="shared" si="3"/>
        <v>313865.42829999991</v>
      </c>
      <c r="N14" s="8" t="s">
        <v>202</v>
      </c>
    </row>
    <row r="15" spans="1:14">
      <c r="A15" s="46">
        <v>12</v>
      </c>
      <c r="B15" s="218">
        <v>45789</v>
      </c>
      <c r="C15" s="67"/>
      <c r="D15" s="158"/>
      <c r="E15" s="264"/>
      <c r="F15" s="370"/>
      <c r="G15" s="8">
        <f t="shared" si="0"/>
        <v>0</v>
      </c>
      <c r="H15" s="264"/>
      <c r="I15" s="290"/>
      <c r="J15" s="8">
        <f t="shared" si="1"/>
        <v>0</v>
      </c>
      <c r="K15" s="8">
        <f t="shared" si="2"/>
        <v>0</v>
      </c>
      <c r="L15" s="68">
        <v>0</v>
      </c>
      <c r="M15" s="40">
        <f t="shared" si="3"/>
        <v>313865.42829999991</v>
      </c>
      <c r="N15" s="8"/>
    </row>
    <row r="16" spans="1:14">
      <c r="A16" s="46">
        <v>13</v>
      </c>
      <c r="B16" s="218">
        <v>45790</v>
      </c>
      <c r="C16" s="67"/>
      <c r="D16" s="158"/>
      <c r="E16" s="264"/>
      <c r="F16" s="370"/>
      <c r="G16" s="8">
        <f t="shared" si="0"/>
        <v>0</v>
      </c>
      <c r="H16" s="264"/>
      <c r="I16" s="290"/>
      <c r="J16" s="8">
        <f t="shared" si="1"/>
        <v>0</v>
      </c>
      <c r="K16" s="8">
        <f t="shared" si="2"/>
        <v>0</v>
      </c>
      <c r="L16" s="68">
        <v>0</v>
      </c>
      <c r="M16" s="40">
        <f t="shared" si="3"/>
        <v>313865.42829999991</v>
      </c>
      <c r="N16" s="8"/>
    </row>
    <row r="17" spans="1:14">
      <c r="A17" s="46">
        <v>14</v>
      </c>
      <c r="B17" s="218">
        <v>45791</v>
      </c>
      <c r="C17" s="67"/>
      <c r="D17" s="158"/>
      <c r="E17" s="264">
        <v>690</v>
      </c>
      <c r="F17" s="370">
        <v>96.23</v>
      </c>
      <c r="G17" s="8">
        <f t="shared" si="0"/>
        <v>66398.7</v>
      </c>
      <c r="H17" s="264"/>
      <c r="I17" s="290"/>
      <c r="J17" s="8">
        <f t="shared" si="1"/>
        <v>0</v>
      </c>
      <c r="K17" s="8">
        <f t="shared" si="2"/>
        <v>66398.7</v>
      </c>
      <c r="L17" s="68"/>
      <c r="M17" s="40">
        <f t="shared" si="3"/>
        <v>380264.12829999992</v>
      </c>
      <c r="N17" s="8"/>
    </row>
    <row r="18" spans="1:14">
      <c r="A18" s="46">
        <v>15</v>
      </c>
      <c r="B18" s="218">
        <v>45792</v>
      </c>
      <c r="C18" s="67"/>
      <c r="D18" s="158"/>
      <c r="E18" s="264"/>
      <c r="F18" s="370"/>
      <c r="G18" s="8">
        <f t="shared" si="0"/>
        <v>0</v>
      </c>
      <c r="H18" s="264"/>
      <c r="I18" s="290"/>
      <c r="J18" s="8">
        <f t="shared" si="1"/>
        <v>0</v>
      </c>
      <c r="K18" s="8">
        <f t="shared" si="2"/>
        <v>0</v>
      </c>
      <c r="L18" s="68"/>
      <c r="M18" s="40">
        <f t="shared" si="3"/>
        <v>380264.12829999992</v>
      </c>
      <c r="N18" s="8"/>
    </row>
    <row r="19" spans="1:14">
      <c r="A19" s="46">
        <v>16</v>
      </c>
      <c r="B19" s="218">
        <v>45793</v>
      </c>
      <c r="C19" s="67"/>
      <c r="D19" s="158"/>
      <c r="E19" s="264"/>
      <c r="F19" s="370"/>
      <c r="G19" s="8">
        <f t="shared" si="0"/>
        <v>0</v>
      </c>
      <c r="H19" s="264"/>
      <c r="I19" s="290"/>
      <c r="J19" s="8">
        <f t="shared" si="1"/>
        <v>0</v>
      </c>
      <c r="K19" s="8">
        <f t="shared" si="2"/>
        <v>0</v>
      </c>
      <c r="L19" s="68"/>
      <c r="M19" s="40">
        <f t="shared" si="3"/>
        <v>380264.12829999992</v>
      </c>
      <c r="N19" s="8"/>
    </row>
    <row r="20" spans="1:14">
      <c r="A20" s="46">
        <v>17</v>
      </c>
      <c r="B20" s="218">
        <v>45794</v>
      </c>
      <c r="C20" s="67"/>
      <c r="D20" s="158"/>
      <c r="E20" s="264">
        <v>690</v>
      </c>
      <c r="F20" s="370">
        <v>99.49</v>
      </c>
      <c r="G20" s="8">
        <f t="shared" si="0"/>
        <v>68648.099999999991</v>
      </c>
      <c r="H20" s="264"/>
      <c r="I20" s="290"/>
      <c r="J20" s="8">
        <f t="shared" si="1"/>
        <v>0</v>
      </c>
      <c r="K20" s="8">
        <f t="shared" si="2"/>
        <v>68648.099999999991</v>
      </c>
      <c r="L20" s="68"/>
      <c r="M20" s="40">
        <f t="shared" si="3"/>
        <v>448912.2282999999</v>
      </c>
      <c r="N20" s="8"/>
    </row>
    <row r="21" spans="1:14">
      <c r="A21" s="46">
        <v>18</v>
      </c>
      <c r="B21" s="218">
        <v>45795</v>
      </c>
      <c r="C21" s="67"/>
      <c r="D21" s="158"/>
      <c r="E21" s="264">
        <v>690</v>
      </c>
      <c r="F21" s="370">
        <v>99.49</v>
      </c>
      <c r="G21" s="8">
        <f t="shared" si="0"/>
        <v>68648.099999999991</v>
      </c>
      <c r="H21" s="264"/>
      <c r="I21" s="290"/>
      <c r="J21" s="8">
        <f t="shared" si="1"/>
        <v>0</v>
      </c>
      <c r="K21" s="8">
        <f t="shared" si="2"/>
        <v>68648.099999999991</v>
      </c>
      <c r="L21" s="68"/>
      <c r="M21" s="40">
        <f t="shared" si="3"/>
        <v>517560.32829999988</v>
      </c>
      <c r="N21" s="8"/>
    </row>
    <row r="22" spans="1:14">
      <c r="A22" s="46">
        <v>19</v>
      </c>
      <c r="B22" s="218">
        <v>45796</v>
      </c>
      <c r="C22" s="67"/>
      <c r="D22" s="158"/>
      <c r="E22" s="264">
        <v>690</v>
      </c>
      <c r="F22" s="370">
        <v>100.48</v>
      </c>
      <c r="G22" s="8">
        <f t="shared" si="0"/>
        <v>69331.199999999997</v>
      </c>
      <c r="H22" s="264"/>
      <c r="I22" s="290"/>
      <c r="J22" s="8">
        <f t="shared" si="1"/>
        <v>0</v>
      </c>
      <c r="K22" s="8">
        <f t="shared" si="2"/>
        <v>69331.199999999997</v>
      </c>
      <c r="L22" s="68"/>
      <c r="M22" s="40">
        <f t="shared" si="3"/>
        <v>586891.52829999989</v>
      </c>
      <c r="N22" s="8"/>
    </row>
    <row r="23" spans="1:14">
      <c r="A23" s="46">
        <v>20</v>
      </c>
      <c r="B23" s="218">
        <v>45797</v>
      </c>
      <c r="C23" s="67"/>
      <c r="D23" s="158"/>
      <c r="E23" s="264">
        <v>690</v>
      </c>
      <c r="F23" s="370">
        <v>100.48</v>
      </c>
      <c r="G23" s="8">
        <f t="shared" si="0"/>
        <v>69331.199999999997</v>
      </c>
      <c r="H23" s="264"/>
      <c r="I23" s="290"/>
      <c r="J23" s="8">
        <f t="shared" si="1"/>
        <v>0</v>
      </c>
      <c r="K23" s="8">
        <f t="shared" si="2"/>
        <v>69331.199999999997</v>
      </c>
      <c r="L23" s="68"/>
      <c r="M23" s="40">
        <f t="shared" si="3"/>
        <v>656222.72829999984</v>
      </c>
      <c r="N23" s="8"/>
    </row>
    <row r="24" spans="1:14">
      <c r="A24" s="46">
        <v>21</v>
      </c>
      <c r="B24" s="218">
        <v>45798</v>
      </c>
      <c r="C24" s="67"/>
      <c r="D24" s="158"/>
      <c r="E24" s="264">
        <v>690</v>
      </c>
      <c r="F24" s="370">
        <v>100.48</v>
      </c>
      <c r="G24" s="8">
        <f t="shared" si="0"/>
        <v>69331.199999999997</v>
      </c>
      <c r="H24" s="264"/>
      <c r="I24" s="290"/>
      <c r="J24" s="8">
        <f t="shared" si="1"/>
        <v>0</v>
      </c>
      <c r="K24" s="8">
        <f t="shared" si="2"/>
        <v>69331.199999999997</v>
      </c>
      <c r="L24" s="68">
        <v>500000</v>
      </c>
      <c r="M24" s="40">
        <f t="shared" si="3"/>
        <v>225553.9282999998</v>
      </c>
      <c r="N24" s="8"/>
    </row>
    <row r="25" spans="1:14">
      <c r="A25" s="46">
        <v>22</v>
      </c>
      <c r="B25" s="218">
        <v>45799</v>
      </c>
      <c r="C25" s="67"/>
      <c r="D25" s="158"/>
      <c r="E25" s="264"/>
      <c r="F25" s="370"/>
      <c r="G25" s="8">
        <f t="shared" si="0"/>
        <v>0</v>
      </c>
      <c r="H25" s="264"/>
      <c r="I25" s="290"/>
      <c r="J25" s="8">
        <f t="shared" si="1"/>
        <v>0</v>
      </c>
      <c r="K25" s="8">
        <f t="shared" si="2"/>
        <v>0</v>
      </c>
      <c r="L25" s="68"/>
      <c r="M25" s="40">
        <f t="shared" si="3"/>
        <v>225553.9282999998</v>
      </c>
      <c r="N25" s="8"/>
    </row>
    <row r="26" spans="1:14">
      <c r="A26" s="46">
        <v>23</v>
      </c>
      <c r="B26" s="218">
        <v>45800</v>
      </c>
      <c r="C26" s="67"/>
      <c r="D26" s="158"/>
      <c r="E26" s="264">
        <v>1310.68</v>
      </c>
      <c r="F26" s="370">
        <v>101.47</v>
      </c>
      <c r="G26" s="8">
        <f t="shared" si="0"/>
        <v>132994.69959999999</v>
      </c>
      <c r="H26" s="264"/>
      <c r="I26" s="290"/>
      <c r="J26" s="8">
        <f t="shared" si="1"/>
        <v>0</v>
      </c>
      <c r="K26" s="8">
        <f t="shared" si="2"/>
        <v>132994.69959999999</v>
      </c>
      <c r="L26" s="68"/>
      <c r="M26" s="40">
        <f t="shared" si="3"/>
        <v>358548.62789999979</v>
      </c>
      <c r="N26" s="8"/>
    </row>
    <row r="27" spans="1:14">
      <c r="A27" s="46">
        <v>24</v>
      </c>
      <c r="B27" s="218">
        <v>45801</v>
      </c>
      <c r="C27" s="67"/>
      <c r="D27" s="158"/>
      <c r="E27" s="264"/>
      <c r="F27" s="370"/>
      <c r="G27" s="8">
        <f t="shared" si="0"/>
        <v>0</v>
      </c>
      <c r="H27" s="264"/>
      <c r="I27" s="290"/>
      <c r="J27" s="8">
        <f t="shared" si="1"/>
        <v>0</v>
      </c>
      <c r="K27" s="8">
        <f t="shared" si="2"/>
        <v>0</v>
      </c>
      <c r="L27" s="68"/>
      <c r="M27" s="40">
        <f t="shared" si="3"/>
        <v>358548.62789999979</v>
      </c>
      <c r="N27" s="8"/>
    </row>
    <row r="28" spans="1:14">
      <c r="A28" s="220">
        <v>25</v>
      </c>
      <c r="B28" s="218">
        <v>45802</v>
      </c>
      <c r="C28" s="67"/>
      <c r="D28" s="158"/>
      <c r="E28" s="264">
        <v>690.9</v>
      </c>
      <c r="F28" s="370">
        <v>104.35</v>
      </c>
      <c r="G28" s="8">
        <f t="shared" si="0"/>
        <v>72095.414999999994</v>
      </c>
      <c r="H28" s="264"/>
      <c r="I28" s="290"/>
      <c r="J28" s="8">
        <f t="shared" si="1"/>
        <v>0</v>
      </c>
      <c r="K28" s="8">
        <f t="shared" si="2"/>
        <v>72095.414999999994</v>
      </c>
      <c r="L28" s="68"/>
      <c r="M28" s="40">
        <f t="shared" si="3"/>
        <v>430644.04289999977</v>
      </c>
      <c r="N28" s="8"/>
    </row>
    <row r="29" spans="1:14">
      <c r="A29" s="220">
        <v>26</v>
      </c>
      <c r="B29" s="218">
        <v>45803</v>
      </c>
      <c r="C29" s="67"/>
      <c r="D29" s="158"/>
      <c r="E29" s="264">
        <v>690</v>
      </c>
      <c r="F29" s="370">
        <v>104.35</v>
      </c>
      <c r="G29" s="8">
        <f t="shared" si="0"/>
        <v>72001.5</v>
      </c>
      <c r="H29" s="65"/>
      <c r="I29" s="66"/>
      <c r="J29" s="8">
        <f t="shared" si="1"/>
        <v>0</v>
      </c>
      <c r="K29" s="8">
        <f t="shared" si="2"/>
        <v>72001.5</v>
      </c>
      <c r="L29" s="68"/>
      <c r="M29" s="40">
        <f t="shared" si="3"/>
        <v>502645.54289999977</v>
      </c>
      <c r="N29" s="8"/>
    </row>
    <row r="30" spans="1:14">
      <c r="A30" s="220">
        <v>27</v>
      </c>
      <c r="B30" s="218">
        <v>45804</v>
      </c>
      <c r="C30" s="67"/>
      <c r="D30" s="158"/>
      <c r="E30" s="264">
        <v>1110</v>
      </c>
      <c r="F30" s="370">
        <v>104.35</v>
      </c>
      <c r="G30" s="8">
        <f t="shared" si="0"/>
        <v>115828.5</v>
      </c>
      <c r="H30" s="65"/>
      <c r="I30" s="66"/>
      <c r="J30" s="8">
        <f t="shared" si="1"/>
        <v>0</v>
      </c>
      <c r="K30" s="8">
        <f t="shared" si="2"/>
        <v>115828.5</v>
      </c>
      <c r="L30" s="68"/>
      <c r="M30" s="40">
        <f t="shared" si="3"/>
        <v>618474.04289999977</v>
      </c>
      <c r="N30" s="8"/>
    </row>
    <row r="31" spans="1:14">
      <c r="A31" s="220">
        <v>28</v>
      </c>
      <c r="B31" s="218">
        <v>45805</v>
      </c>
      <c r="C31" s="67"/>
      <c r="D31" s="158"/>
      <c r="E31" s="264">
        <v>690</v>
      </c>
      <c r="F31" s="370">
        <v>104.35</v>
      </c>
      <c r="G31" s="8">
        <f t="shared" si="0"/>
        <v>72001.5</v>
      </c>
      <c r="H31" s="65">
        <v>7.36</v>
      </c>
      <c r="I31" s="66">
        <v>116.25</v>
      </c>
      <c r="J31" s="8">
        <f t="shared" si="1"/>
        <v>855.6</v>
      </c>
      <c r="K31" s="8">
        <f t="shared" si="2"/>
        <v>72857.100000000006</v>
      </c>
      <c r="L31" s="68"/>
      <c r="M31" s="40">
        <f t="shared" si="3"/>
        <v>691331.14289999974</v>
      </c>
      <c r="N31" s="8"/>
    </row>
    <row r="32" spans="1:14">
      <c r="A32" s="221">
        <v>29</v>
      </c>
      <c r="B32" s="218">
        <v>45806</v>
      </c>
      <c r="C32" s="67"/>
      <c r="D32" s="158"/>
      <c r="E32" s="264">
        <v>770</v>
      </c>
      <c r="F32" s="370">
        <v>104.35</v>
      </c>
      <c r="G32" s="8">
        <f t="shared" si="0"/>
        <v>80349.5</v>
      </c>
      <c r="H32" s="65"/>
      <c r="I32" s="66"/>
      <c r="J32" s="8">
        <f t="shared" si="1"/>
        <v>0</v>
      </c>
      <c r="K32" s="8">
        <f t="shared" si="2"/>
        <v>80349.5</v>
      </c>
      <c r="L32" s="68"/>
      <c r="M32" s="40">
        <f t="shared" si="3"/>
        <v>771680.64289999974</v>
      </c>
      <c r="N32" s="8"/>
    </row>
    <row r="33" spans="1:14">
      <c r="A33" s="221">
        <v>30</v>
      </c>
      <c r="B33" s="218">
        <v>45807</v>
      </c>
      <c r="C33" s="67"/>
      <c r="D33" s="158"/>
      <c r="E33" s="264">
        <f>690+655</f>
        <v>1345</v>
      </c>
      <c r="F33" s="482">
        <v>104.35</v>
      </c>
      <c r="G33" s="8">
        <f t="shared" si="0"/>
        <v>140350.75</v>
      </c>
      <c r="H33" s="65">
        <v>18</v>
      </c>
      <c r="I33" s="66">
        <v>116.25</v>
      </c>
      <c r="J33" s="8">
        <f t="shared" si="1"/>
        <v>2092.5</v>
      </c>
      <c r="K33" s="8">
        <f t="shared" si="2"/>
        <v>142443.25</v>
      </c>
      <c r="L33" s="68"/>
      <c r="M33" s="40">
        <f t="shared" si="3"/>
        <v>914123.89289999974</v>
      </c>
      <c r="N33" s="8"/>
    </row>
    <row r="34" spans="1:14">
      <c r="A34" s="221">
        <v>31</v>
      </c>
      <c r="B34" s="218">
        <v>45808</v>
      </c>
      <c r="C34" s="67"/>
      <c r="D34" s="158"/>
      <c r="E34" s="483">
        <v>690</v>
      </c>
      <c r="F34" s="482">
        <v>104.35</v>
      </c>
      <c r="G34" s="8">
        <f t="shared" si="0"/>
        <v>72001.5</v>
      </c>
      <c r="H34" s="65"/>
      <c r="I34" s="66"/>
      <c r="J34" s="8">
        <f t="shared" si="1"/>
        <v>0</v>
      </c>
      <c r="K34" s="8">
        <f t="shared" si="2"/>
        <v>72001.5</v>
      </c>
      <c r="L34" s="68"/>
      <c r="M34" s="40">
        <f t="shared" si="3"/>
        <v>986125.39289999974</v>
      </c>
      <c r="N34" s="8"/>
    </row>
    <row r="35" spans="1:14">
      <c r="A35" s="62"/>
      <c r="B35" s="62"/>
      <c r="C35" s="62"/>
      <c r="D35" s="62"/>
      <c r="E35" s="256">
        <f>SUM(E4:E34)</f>
        <v>18194.620000000003</v>
      </c>
      <c r="F35" s="256"/>
      <c r="G35" s="63">
        <f>SUM(G4:G34)</f>
        <v>1819638.0537999999</v>
      </c>
      <c r="H35" s="63">
        <f>SUM(H4:H34)</f>
        <v>25.36</v>
      </c>
      <c r="I35" s="63"/>
      <c r="J35" s="63">
        <f>SUM(J4:J34)</f>
        <v>2948.1</v>
      </c>
      <c r="K35" s="63">
        <f>SUM(K4:K34)</f>
        <v>1822586.1538</v>
      </c>
      <c r="L35" s="63">
        <f>SUM(L4:L34)</f>
        <v>1000000</v>
      </c>
      <c r="M35" s="63"/>
      <c r="N35" s="63"/>
    </row>
  </sheetData>
  <mergeCells count="2">
    <mergeCell ref="A1:N1"/>
    <mergeCell ref="A3:L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993B-BBEE-4E4C-B551-5B5B42A84B3C}">
  <dimension ref="A1:N35"/>
  <sheetViews>
    <sheetView topLeftCell="A13" workbookViewId="0">
      <selection activeCell="R28" sqref="R28"/>
    </sheetView>
  </sheetViews>
  <sheetFormatPr defaultRowHeight="15"/>
  <cols>
    <col min="2" max="2" width="15" customWidth="1"/>
    <col min="4" max="4" width="13.28515625" bestFit="1" customWidth="1"/>
    <col min="7" max="7" width="10.85546875" bestFit="1" customWidth="1"/>
    <col min="11" max="12" width="13.5703125" bestFit="1" customWidth="1"/>
    <col min="14" max="14" width="11" bestFit="1" customWidth="1"/>
  </cols>
  <sheetData>
    <row r="1" spans="1:14" ht="15.75">
      <c r="A1" s="546" t="s">
        <v>204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</row>
    <row r="2" spans="1:14" ht="30.75">
      <c r="A2" s="97" t="s">
        <v>0</v>
      </c>
      <c r="B2" s="98" t="s">
        <v>166</v>
      </c>
      <c r="C2" s="98" t="s">
        <v>167</v>
      </c>
      <c r="D2" s="98" t="s">
        <v>198</v>
      </c>
      <c r="E2" s="254" t="s">
        <v>169</v>
      </c>
      <c r="F2" s="254" t="s">
        <v>170</v>
      </c>
      <c r="G2" s="98" t="s">
        <v>171</v>
      </c>
      <c r="H2" s="98" t="s">
        <v>172</v>
      </c>
      <c r="I2" s="98" t="s">
        <v>170</v>
      </c>
      <c r="J2" s="137" t="s">
        <v>171</v>
      </c>
      <c r="K2" s="99" t="s">
        <v>173</v>
      </c>
      <c r="L2" s="138" t="s">
        <v>174</v>
      </c>
      <c r="M2" s="142" t="s">
        <v>199</v>
      </c>
      <c r="N2" s="100" t="s">
        <v>176</v>
      </c>
    </row>
    <row r="3" spans="1:14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9"/>
      <c r="M3" s="147">
        <v>0</v>
      </c>
      <c r="N3" s="155"/>
    </row>
    <row r="4" spans="1:14">
      <c r="A4" s="195">
        <v>1</v>
      </c>
      <c r="B4" s="218">
        <v>45778</v>
      </c>
      <c r="C4" s="67"/>
      <c r="D4" s="158"/>
      <c r="E4" s="158">
        <v>100</v>
      </c>
      <c r="F4" s="370">
        <v>97</v>
      </c>
      <c r="G4" s="8">
        <f t="shared" ref="G4:G34" si="0">E4*F4</f>
        <v>9700</v>
      </c>
      <c r="H4" s="264"/>
      <c r="I4" s="290"/>
      <c r="J4" s="8">
        <f>H4*I4</f>
        <v>0</v>
      </c>
      <c r="K4" s="8">
        <f>G4+J4</f>
        <v>9700</v>
      </c>
      <c r="L4" s="8">
        <f>H4+K4</f>
        <v>9700</v>
      </c>
      <c r="M4" s="40">
        <f>M3+K4-L4</f>
        <v>0</v>
      </c>
      <c r="N4" s="8" t="s">
        <v>205</v>
      </c>
    </row>
    <row r="5" spans="1:14">
      <c r="A5" s="46">
        <v>2</v>
      </c>
      <c r="B5" s="218">
        <v>45779</v>
      </c>
      <c r="C5" s="67"/>
      <c r="D5" s="158"/>
      <c r="E5" s="264"/>
      <c r="F5" s="370"/>
      <c r="G5" s="8">
        <f t="shared" si="0"/>
        <v>0</v>
      </c>
      <c r="H5" s="264"/>
      <c r="I5" s="290"/>
      <c r="J5" s="8">
        <f t="shared" ref="J5:J34" si="1">H5*I5</f>
        <v>0</v>
      </c>
      <c r="K5" s="8">
        <f t="shared" ref="K5:L34" si="2">G5+J5</f>
        <v>0</v>
      </c>
      <c r="L5" s="8">
        <f t="shared" si="2"/>
        <v>0</v>
      </c>
      <c r="M5" s="40">
        <f t="shared" ref="M5:M33" si="3">M4+K5-L5</f>
        <v>0</v>
      </c>
      <c r="N5" s="8"/>
    </row>
    <row r="6" spans="1:14">
      <c r="A6" s="46">
        <v>3</v>
      </c>
      <c r="B6" s="218">
        <v>45780</v>
      </c>
      <c r="C6" s="67"/>
      <c r="D6" s="158"/>
      <c r="E6" s="264">
        <v>200</v>
      </c>
      <c r="F6" s="370">
        <v>97</v>
      </c>
      <c r="G6" s="8">
        <f t="shared" si="0"/>
        <v>19400</v>
      </c>
      <c r="H6" s="264"/>
      <c r="I6" s="290"/>
      <c r="J6" s="8">
        <f t="shared" si="1"/>
        <v>0</v>
      </c>
      <c r="K6" s="8">
        <f t="shared" si="2"/>
        <v>19400</v>
      </c>
      <c r="L6" s="8">
        <f t="shared" si="2"/>
        <v>19400</v>
      </c>
      <c r="M6" s="40">
        <f t="shared" si="3"/>
        <v>0</v>
      </c>
      <c r="N6" s="8" t="s">
        <v>205</v>
      </c>
    </row>
    <row r="7" spans="1:14">
      <c r="A7" s="46">
        <v>4</v>
      </c>
      <c r="B7" s="218">
        <v>45781</v>
      </c>
      <c r="C7" s="67"/>
      <c r="D7" s="158"/>
      <c r="E7" s="264"/>
      <c r="F7" s="370"/>
      <c r="G7" s="8">
        <f t="shared" si="0"/>
        <v>0</v>
      </c>
      <c r="H7" s="264"/>
      <c r="I7" s="290"/>
      <c r="J7" s="8">
        <f t="shared" si="1"/>
        <v>0</v>
      </c>
      <c r="K7" s="8">
        <f t="shared" si="2"/>
        <v>0</v>
      </c>
      <c r="L7" s="8">
        <f t="shared" si="2"/>
        <v>0</v>
      </c>
      <c r="M7" s="40">
        <f t="shared" si="3"/>
        <v>0</v>
      </c>
      <c r="N7" s="8"/>
    </row>
    <row r="8" spans="1:14">
      <c r="A8" s="46">
        <v>5</v>
      </c>
      <c r="B8" s="218">
        <v>45782</v>
      </c>
      <c r="C8" s="67"/>
      <c r="D8" s="158"/>
      <c r="E8" s="264">
        <v>200</v>
      </c>
      <c r="F8" s="370">
        <v>97</v>
      </c>
      <c r="G8" s="8">
        <f t="shared" si="0"/>
        <v>19400</v>
      </c>
      <c r="H8" s="264"/>
      <c r="I8" s="290"/>
      <c r="J8" s="8">
        <f t="shared" si="1"/>
        <v>0</v>
      </c>
      <c r="K8" s="8">
        <f t="shared" si="2"/>
        <v>19400</v>
      </c>
      <c r="L8" s="8">
        <f t="shared" si="2"/>
        <v>19400</v>
      </c>
      <c r="M8" s="40">
        <f t="shared" si="3"/>
        <v>0</v>
      </c>
      <c r="N8" s="8" t="s">
        <v>205</v>
      </c>
    </row>
    <row r="9" spans="1:14">
      <c r="A9" s="46">
        <v>6</v>
      </c>
      <c r="B9" s="218">
        <v>45783</v>
      </c>
      <c r="C9" s="67"/>
      <c r="D9" s="158"/>
      <c r="E9" s="264"/>
      <c r="F9" s="370"/>
      <c r="G9" s="8">
        <f t="shared" si="0"/>
        <v>0</v>
      </c>
      <c r="H9" s="264"/>
      <c r="I9" s="290"/>
      <c r="J9" s="8">
        <f t="shared" si="1"/>
        <v>0</v>
      </c>
      <c r="K9" s="8">
        <f t="shared" si="2"/>
        <v>0</v>
      </c>
      <c r="L9" s="68">
        <v>0</v>
      </c>
      <c r="M9" s="40">
        <f t="shared" si="3"/>
        <v>0</v>
      </c>
      <c r="N9" s="8"/>
    </row>
    <row r="10" spans="1:14">
      <c r="A10" s="46">
        <v>7</v>
      </c>
      <c r="B10" s="218">
        <v>45784</v>
      </c>
      <c r="C10" s="67"/>
      <c r="D10" s="158"/>
      <c r="E10" s="264"/>
      <c r="F10" s="370"/>
      <c r="G10" s="8">
        <f t="shared" si="0"/>
        <v>0</v>
      </c>
      <c r="H10" s="264"/>
      <c r="I10" s="290"/>
      <c r="J10" s="8">
        <f t="shared" si="1"/>
        <v>0</v>
      </c>
      <c r="K10" s="8">
        <f t="shared" si="2"/>
        <v>0</v>
      </c>
      <c r="L10" s="68">
        <v>0</v>
      </c>
      <c r="M10" s="40">
        <f t="shared" si="3"/>
        <v>0</v>
      </c>
      <c r="N10" s="8"/>
    </row>
    <row r="11" spans="1:14">
      <c r="A11" s="46">
        <v>8</v>
      </c>
      <c r="B11" s="218">
        <v>45785</v>
      </c>
      <c r="C11" s="67"/>
      <c r="D11" s="158"/>
      <c r="E11" s="264"/>
      <c r="F11" s="370"/>
      <c r="G11" s="8">
        <f t="shared" si="0"/>
        <v>0</v>
      </c>
      <c r="H11" s="264"/>
      <c r="I11" s="290"/>
      <c r="J11" s="8">
        <f t="shared" si="1"/>
        <v>0</v>
      </c>
      <c r="K11" s="8">
        <f t="shared" si="2"/>
        <v>0</v>
      </c>
      <c r="L11" s="68">
        <v>0</v>
      </c>
      <c r="M11" s="40">
        <f t="shared" si="3"/>
        <v>0</v>
      </c>
      <c r="N11" s="8"/>
    </row>
    <row r="12" spans="1:14">
      <c r="A12" s="46">
        <v>9</v>
      </c>
      <c r="B12" s="218">
        <v>45786</v>
      </c>
      <c r="C12" s="67"/>
      <c r="D12" s="158"/>
      <c r="E12" s="264"/>
      <c r="F12" s="370"/>
      <c r="G12" s="8">
        <f t="shared" si="0"/>
        <v>0</v>
      </c>
      <c r="H12" s="264"/>
      <c r="I12" s="290"/>
      <c r="J12" s="8">
        <f t="shared" si="1"/>
        <v>0</v>
      </c>
      <c r="K12" s="8">
        <f t="shared" si="2"/>
        <v>0</v>
      </c>
      <c r="L12" s="68">
        <v>0</v>
      </c>
      <c r="M12" s="40">
        <f t="shared" si="3"/>
        <v>0</v>
      </c>
      <c r="N12" s="8"/>
    </row>
    <row r="13" spans="1:14">
      <c r="A13" s="46">
        <v>10</v>
      </c>
      <c r="B13" s="218">
        <v>45787</v>
      </c>
      <c r="C13" s="67"/>
      <c r="D13" s="158"/>
      <c r="E13" s="264"/>
      <c r="F13" s="370"/>
      <c r="G13" s="8">
        <f t="shared" si="0"/>
        <v>0</v>
      </c>
      <c r="H13" s="264"/>
      <c r="I13" s="290"/>
      <c r="J13" s="8">
        <f t="shared" si="1"/>
        <v>0</v>
      </c>
      <c r="K13" s="8">
        <f t="shared" si="2"/>
        <v>0</v>
      </c>
      <c r="L13" s="68">
        <v>0</v>
      </c>
      <c r="M13" s="40">
        <f t="shared" si="3"/>
        <v>0</v>
      </c>
      <c r="N13" s="8"/>
    </row>
    <row r="14" spans="1:14">
      <c r="A14" s="46">
        <v>11</v>
      </c>
      <c r="B14" s="218">
        <v>45788</v>
      </c>
      <c r="C14" s="67"/>
      <c r="D14" s="158"/>
      <c r="E14" s="264">
        <v>200</v>
      </c>
      <c r="F14" s="370">
        <v>97</v>
      </c>
      <c r="G14" s="8">
        <f t="shared" si="0"/>
        <v>19400</v>
      </c>
      <c r="H14" s="264"/>
      <c r="I14" s="290"/>
      <c r="J14" s="8">
        <f t="shared" si="1"/>
        <v>0</v>
      </c>
      <c r="K14" s="8">
        <f t="shared" si="2"/>
        <v>19400</v>
      </c>
      <c r="L14" s="8">
        <f t="shared" si="2"/>
        <v>19400</v>
      </c>
      <c r="M14" s="40">
        <f t="shared" si="3"/>
        <v>0</v>
      </c>
      <c r="N14" s="8" t="s">
        <v>202</v>
      </c>
    </row>
    <row r="15" spans="1:14">
      <c r="A15" s="46">
        <v>12</v>
      </c>
      <c r="B15" s="218">
        <v>45789</v>
      </c>
      <c r="C15" s="67"/>
      <c r="D15" s="158"/>
      <c r="E15" s="264"/>
      <c r="F15" s="370"/>
      <c r="G15" s="8">
        <f t="shared" si="0"/>
        <v>0</v>
      </c>
      <c r="H15" s="264"/>
      <c r="I15" s="290"/>
      <c r="J15" s="8">
        <f t="shared" si="1"/>
        <v>0</v>
      </c>
      <c r="K15" s="8">
        <f t="shared" si="2"/>
        <v>0</v>
      </c>
      <c r="L15" s="68">
        <v>0</v>
      </c>
      <c r="M15" s="40">
        <f t="shared" si="3"/>
        <v>0</v>
      </c>
      <c r="N15" s="8"/>
    </row>
    <row r="16" spans="1:14">
      <c r="A16" s="46">
        <v>13</v>
      </c>
      <c r="B16" s="218">
        <v>45790</v>
      </c>
      <c r="C16" s="67"/>
      <c r="D16" s="158"/>
      <c r="E16" s="264">
        <v>200</v>
      </c>
      <c r="F16" s="370">
        <v>97</v>
      </c>
      <c r="G16" s="8">
        <f t="shared" si="0"/>
        <v>19400</v>
      </c>
      <c r="H16" s="264"/>
      <c r="I16" s="290"/>
      <c r="J16" s="8">
        <f t="shared" si="1"/>
        <v>0</v>
      </c>
      <c r="K16" s="8">
        <f t="shared" si="2"/>
        <v>19400</v>
      </c>
      <c r="L16" s="8">
        <f t="shared" si="2"/>
        <v>19400</v>
      </c>
      <c r="M16" s="40">
        <f t="shared" si="3"/>
        <v>0</v>
      </c>
      <c r="N16" s="8" t="s">
        <v>202</v>
      </c>
    </row>
    <row r="17" spans="1:14">
      <c r="A17" s="46">
        <v>14</v>
      </c>
      <c r="B17" s="218">
        <v>45791</v>
      </c>
      <c r="C17" s="67"/>
      <c r="D17" s="158"/>
      <c r="E17" s="264"/>
      <c r="F17" s="370"/>
      <c r="G17" s="8">
        <f t="shared" si="0"/>
        <v>0</v>
      </c>
      <c r="H17" s="264"/>
      <c r="I17" s="290"/>
      <c r="J17" s="8">
        <f t="shared" si="1"/>
        <v>0</v>
      </c>
      <c r="K17" s="8">
        <f t="shared" si="2"/>
        <v>0</v>
      </c>
      <c r="L17" s="8">
        <f t="shared" si="2"/>
        <v>0</v>
      </c>
      <c r="M17" s="40">
        <f t="shared" si="3"/>
        <v>0</v>
      </c>
      <c r="N17" s="8"/>
    </row>
    <row r="18" spans="1:14">
      <c r="A18" s="46">
        <v>15</v>
      </c>
      <c r="B18" s="218">
        <v>45792</v>
      </c>
      <c r="C18" s="67"/>
      <c r="D18" s="158"/>
      <c r="E18" s="264"/>
      <c r="F18" s="370"/>
      <c r="G18" s="8">
        <f t="shared" si="0"/>
        <v>0</v>
      </c>
      <c r="H18" s="264"/>
      <c r="I18" s="290"/>
      <c r="J18" s="8">
        <f t="shared" si="1"/>
        <v>0</v>
      </c>
      <c r="K18" s="8">
        <f t="shared" si="2"/>
        <v>0</v>
      </c>
      <c r="L18" s="8">
        <f t="shared" si="2"/>
        <v>0</v>
      </c>
      <c r="M18" s="40">
        <f t="shared" si="3"/>
        <v>0</v>
      </c>
      <c r="N18" s="8"/>
    </row>
    <row r="19" spans="1:14">
      <c r="A19" s="46">
        <v>16</v>
      </c>
      <c r="B19" s="218">
        <v>45793</v>
      </c>
      <c r="C19" s="67"/>
      <c r="D19" s="158"/>
      <c r="E19" s="264"/>
      <c r="F19" s="370"/>
      <c r="G19" s="8">
        <f t="shared" si="0"/>
        <v>0</v>
      </c>
      <c r="H19" s="264"/>
      <c r="I19" s="290"/>
      <c r="J19" s="8">
        <f t="shared" si="1"/>
        <v>0</v>
      </c>
      <c r="K19" s="8">
        <f t="shared" si="2"/>
        <v>0</v>
      </c>
      <c r="L19" s="8">
        <f t="shared" si="2"/>
        <v>0</v>
      </c>
      <c r="M19" s="40">
        <f t="shared" si="3"/>
        <v>0</v>
      </c>
      <c r="N19" s="8"/>
    </row>
    <row r="20" spans="1:14">
      <c r="A20" s="46">
        <v>17</v>
      </c>
      <c r="B20" s="218">
        <v>45794</v>
      </c>
      <c r="C20" s="67"/>
      <c r="D20" s="158"/>
      <c r="E20" s="264"/>
      <c r="F20" s="370"/>
      <c r="G20" s="8">
        <f t="shared" si="0"/>
        <v>0</v>
      </c>
      <c r="H20" s="264"/>
      <c r="I20" s="290"/>
      <c r="J20" s="8">
        <f t="shared" si="1"/>
        <v>0</v>
      </c>
      <c r="K20" s="8">
        <f t="shared" si="2"/>
        <v>0</v>
      </c>
      <c r="L20" s="8">
        <f t="shared" si="2"/>
        <v>0</v>
      </c>
      <c r="M20" s="40">
        <f t="shared" si="3"/>
        <v>0</v>
      </c>
      <c r="N20" s="8"/>
    </row>
    <row r="21" spans="1:14">
      <c r="A21" s="46">
        <v>18</v>
      </c>
      <c r="B21" s="218">
        <v>45795</v>
      </c>
      <c r="C21" s="67"/>
      <c r="D21" s="158"/>
      <c r="E21" s="264"/>
      <c r="F21" s="370"/>
      <c r="G21" s="8">
        <f t="shared" si="0"/>
        <v>0</v>
      </c>
      <c r="H21" s="264"/>
      <c r="I21" s="290"/>
      <c r="J21" s="8">
        <f t="shared" si="1"/>
        <v>0</v>
      </c>
      <c r="K21" s="8">
        <f t="shared" si="2"/>
        <v>0</v>
      </c>
      <c r="L21" s="8">
        <f t="shared" si="2"/>
        <v>0</v>
      </c>
      <c r="M21" s="40">
        <f t="shared" si="3"/>
        <v>0</v>
      </c>
      <c r="N21" s="8"/>
    </row>
    <row r="22" spans="1:14">
      <c r="A22" s="46">
        <v>19</v>
      </c>
      <c r="B22" s="218">
        <v>45796</v>
      </c>
      <c r="C22" s="67"/>
      <c r="D22" s="158"/>
      <c r="E22" s="264">
        <v>400</v>
      </c>
      <c r="F22" s="370">
        <v>101.25</v>
      </c>
      <c r="G22" s="8">
        <f t="shared" si="0"/>
        <v>40500</v>
      </c>
      <c r="H22" s="264"/>
      <c r="I22" s="290"/>
      <c r="J22" s="8">
        <f t="shared" si="1"/>
        <v>0</v>
      </c>
      <c r="K22" s="8">
        <f t="shared" si="2"/>
        <v>40500</v>
      </c>
      <c r="L22" s="8">
        <f t="shared" si="2"/>
        <v>40500</v>
      </c>
      <c r="M22" s="40">
        <f t="shared" si="3"/>
        <v>0</v>
      </c>
      <c r="N22" s="8" t="s">
        <v>202</v>
      </c>
    </row>
    <row r="23" spans="1:14">
      <c r="A23" s="46">
        <v>20</v>
      </c>
      <c r="B23" s="218">
        <v>45797</v>
      </c>
      <c r="C23" s="67"/>
      <c r="D23" s="158"/>
      <c r="E23" s="264"/>
      <c r="F23" s="370"/>
      <c r="G23" s="8">
        <f t="shared" si="0"/>
        <v>0</v>
      </c>
      <c r="H23" s="264"/>
      <c r="I23" s="290"/>
      <c r="J23" s="8">
        <f t="shared" si="1"/>
        <v>0</v>
      </c>
      <c r="K23" s="8"/>
      <c r="L23" s="8">
        <f t="shared" si="2"/>
        <v>0</v>
      </c>
      <c r="M23" s="40">
        <f t="shared" si="3"/>
        <v>0</v>
      </c>
      <c r="N23" s="8"/>
    </row>
    <row r="24" spans="1:14">
      <c r="A24" s="46">
        <v>21</v>
      </c>
      <c r="B24" s="218">
        <v>45798</v>
      </c>
      <c r="C24" s="67"/>
      <c r="D24" s="158"/>
      <c r="E24" s="264"/>
      <c r="F24" s="370"/>
      <c r="G24" s="8">
        <f t="shared" si="0"/>
        <v>0</v>
      </c>
      <c r="H24" s="264"/>
      <c r="I24" s="290"/>
      <c r="J24" s="8">
        <f t="shared" si="1"/>
        <v>0</v>
      </c>
      <c r="K24" s="8"/>
      <c r="L24" s="68"/>
      <c r="M24" s="40">
        <f t="shared" si="3"/>
        <v>0</v>
      </c>
      <c r="N24" s="8"/>
    </row>
    <row r="25" spans="1:14">
      <c r="A25" s="46">
        <v>22</v>
      </c>
      <c r="B25" s="218">
        <v>45799</v>
      </c>
      <c r="C25" s="67"/>
      <c r="D25" s="158"/>
      <c r="E25" s="264"/>
      <c r="F25" s="370"/>
      <c r="G25" s="8">
        <f t="shared" si="0"/>
        <v>0</v>
      </c>
      <c r="H25" s="264"/>
      <c r="I25" s="290"/>
      <c r="J25" s="8">
        <f t="shared" si="1"/>
        <v>0</v>
      </c>
      <c r="K25" s="8">
        <f t="shared" si="2"/>
        <v>0</v>
      </c>
      <c r="L25" s="68">
        <f t="shared" ref="L18:L35" si="4">+K25</f>
        <v>0</v>
      </c>
      <c r="M25" s="40">
        <f t="shared" si="3"/>
        <v>0</v>
      </c>
      <c r="N25" s="8"/>
    </row>
    <row r="26" spans="1:14">
      <c r="A26" s="46">
        <v>23</v>
      </c>
      <c r="B26" s="218">
        <v>45800</v>
      </c>
      <c r="C26" s="67"/>
      <c r="D26" s="158"/>
      <c r="E26" s="264"/>
      <c r="F26" s="370"/>
      <c r="G26" s="8">
        <f t="shared" si="0"/>
        <v>0</v>
      </c>
      <c r="H26" s="264"/>
      <c r="I26" s="290"/>
      <c r="J26" s="8">
        <f t="shared" si="1"/>
        <v>0</v>
      </c>
      <c r="K26" s="8">
        <f t="shared" si="2"/>
        <v>0</v>
      </c>
      <c r="L26" s="68">
        <f t="shared" si="4"/>
        <v>0</v>
      </c>
      <c r="M26" s="40">
        <f t="shared" si="3"/>
        <v>0</v>
      </c>
      <c r="N26" s="8"/>
    </row>
    <row r="27" spans="1:14">
      <c r="A27" s="46">
        <v>24</v>
      </c>
      <c r="B27" s="218">
        <v>45801</v>
      </c>
      <c r="C27" s="67"/>
      <c r="D27" s="158"/>
      <c r="E27" s="264"/>
      <c r="F27" s="370"/>
      <c r="G27" s="8">
        <f t="shared" si="0"/>
        <v>0</v>
      </c>
      <c r="H27" s="264"/>
      <c r="I27" s="290"/>
      <c r="J27" s="8">
        <f t="shared" si="1"/>
        <v>0</v>
      </c>
      <c r="K27" s="8">
        <f t="shared" si="2"/>
        <v>0</v>
      </c>
      <c r="L27" s="68">
        <f t="shared" si="4"/>
        <v>0</v>
      </c>
      <c r="M27" s="40">
        <f t="shared" si="3"/>
        <v>0</v>
      </c>
      <c r="N27" s="8"/>
    </row>
    <row r="28" spans="1:14">
      <c r="A28" s="220">
        <v>25</v>
      </c>
      <c r="B28" s="218">
        <v>45802</v>
      </c>
      <c r="C28" s="67"/>
      <c r="D28" s="158"/>
      <c r="E28" s="264">
        <v>237.82</v>
      </c>
      <c r="F28" s="370">
        <v>105.12</v>
      </c>
      <c r="G28" s="8">
        <f t="shared" si="0"/>
        <v>24999.6384</v>
      </c>
      <c r="H28" s="264"/>
      <c r="I28" s="290"/>
      <c r="J28" s="8">
        <f t="shared" si="1"/>
        <v>0</v>
      </c>
      <c r="K28" s="8">
        <f t="shared" si="2"/>
        <v>24999.6384</v>
      </c>
      <c r="L28" s="68">
        <f t="shared" si="4"/>
        <v>24999.6384</v>
      </c>
      <c r="M28" s="40">
        <f t="shared" si="3"/>
        <v>0</v>
      </c>
      <c r="N28" s="8" t="s">
        <v>202</v>
      </c>
    </row>
    <row r="29" spans="1:14">
      <c r="A29" s="220">
        <v>26</v>
      </c>
      <c r="B29" s="218">
        <v>45803</v>
      </c>
      <c r="C29" s="67"/>
      <c r="D29" s="158"/>
      <c r="E29" s="255"/>
      <c r="F29" s="255"/>
      <c r="G29" s="8">
        <f t="shared" si="0"/>
        <v>0</v>
      </c>
      <c r="H29" s="65"/>
      <c r="I29" s="66"/>
      <c r="J29" s="8">
        <f t="shared" si="1"/>
        <v>0</v>
      </c>
      <c r="K29" s="8">
        <f t="shared" si="2"/>
        <v>0</v>
      </c>
      <c r="L29" s="68">
        <f t="shared" si="4"/>
        <v>0</v>
      </c>
      <c r="M29" s="40">
        <f t="shared" si="3"/>
        <v>0</v>
      </c>
      <c r="N29" s="8"/>
    </row>
    <row r="30" spans="1:14">
      <c r="A30" s="220">
        <v>27</v>
      </c>
      <c r="B30" s="218">
        <v>45804</v>
      </c>
      <c r="C30" s="67"/>
      <c r="D30" s="158"/>
      <c r="E30" s="255"/>
      <c r="F30" s="255"/>
      <c r="G30" s="8">
        <f t="shared" si="0"/>
        <v>0</v>
      </c>
      <c r="H30" s="65"/>
      <c r="I30" s="66"/>
      <c r="J30" s="8">
        <f t="shared" si="1"/>
        <v>0</v>
      </c>
      <c r="K30" s="8">
        <f t="shared" si="2"/>
        <v>0</v>
      </c>
      <c r="L30" s="68">
        <f t="shared" si="4"/>
        <v>0</v>
      </c>
      <c r="M30" s="40">
        <f t="shared" si="3"/>
        <v>0</v>
      </c>
      <c r="N30" s="8"/>
    </row>
    <row r="31" spans="1:14">
      <c r="A31" s="220">
        <v>28</v>
      </c>
      <c r="B31" s="218">
        <v>45805</v>
      </c>
      <c r="C31" s="67"/>
      <c r="D31" s="158"/>
      <c r="E31" s="255"/>
      <c r="F31" s="255"/>
      <c r="G31" s="8">
        <f t="shared" si="0"/>
        <v>0</v>
      </c>
      <c r="H31" s="65"/>
      <c r="I31" s="66"/>
      <c r="J31" s="8">
        <f t="shared" si="1"/>
        <v>0</v>
      </c>
      <c r="K31" s="8">
        <f t="shared" si="2"/>
        <v>0</v>
      </c>
      <c r="L31" s="68">
        <f t="shared" si="4"/>
        <v>0</v>
      </c>
      <c r="M31" s="40">
        <f t="shared" si="3"/>
        <v>0</v>
      </c>
      <c r="N31" s="8"/>
    </row>
    <row r="32" spans="1:14">
      <c r="A32" s="221">
        <v>29</v>
      </c>
      <c r="B32" s="218">
        <v>45806</v>
      </c>
      <c r="C32" s="67"/>
      <c r="D32" s="158"/>
      <c r="E32" s="255"/>
      <c r="F32" s="255"/>
      <c r="G32" s="8">
        <f t="shared" si="0"/>
        <v>0</v>
      </c>
      <c r="H32" s="65"/>
      <c r="I32" s="66"/>
      <c r="J32" s="8">
        <f t="shared" si="1"/>
        <v>0</v>
      </c>
      <c r="K32" s="8">
        <f t="shared" si="2"/>
        <v>0</v>
      </c>
      <c r="L32" s="68">
        <f t="shared" si="4"/>
        <v>0</v>
      </c>
      <c r="M32" s="40">
        <f t="shared" si="3"/>
        <v>0</v>
      </c>
      <c r="N32" s="8"/>
    </row>
    <row r="33" spans="1:14">
      <c r="A33" s="221">
        <v>30</v>
      </c>
      <c r="B33" s="218">
        <v>45807</v>
      </c>
      <c r="C33" s="67"/>
      <c r="D33" s="158"/>
      <c r="E33" s="255"/>
      <c r="F33" s="255"/>
      <c r="G33" s="8">
        <f t="shared" si="0"/>
        <v>0</v>
      </c>
      <c r="H33" s="65"/>
      <c r="I33" s="66"/>
      <c r="J33" s="8">
        <f t="shared" si="1"/>
        <v>0</v>
      </c>
      <c r="K33" s="8">
        <f t="shared" si="2"/>
        <v>0</v>
      </c>
      <c r="L33" s="68">
        <f t="shared" si="4"/>
        <v>0</v>
      </c>
      <c r="M33" s="40">
        <f t="shared" si="3"/>
        <v>0</v>
      </c>
      <c r="N33" s="8"/>
    </row>
    <row r="34" spans="1:14">
      <c r="A34" s="221">
        <v>31</v>
      </c>
      <c r="B34" s="218"/>
      <c r="C34" s="67"/>
      <c r="D34" s="158"/>
      <c r="E34" s="255"/>
      <c r="F34" s="255"/>
      <c r="G34" s="8">
        <f t="shared" si="0"/>
        <v>0</v>
      </c>
      <c r="H34" s="65"/>
      <c r="I34" s="66"/>
      <c r="J34" s="8">
        <f t="shared" si="1"/>
        <v>0</v>
      </c>
      <c r="K34" s="8">
        <f t="shared" si="2"/>
        <v>0</v>
      </c>
      <c r="L34" s="68">
        <f t="shared" si="4"/>
        <v>0</v>
      </c>
      <c r="M34" s="68">
        <v>0</v>
      </c>
      <c r="N34" s="8"/>
    </row>
    <row r="35" spans="1:14">
      <c r="A35" s="62"/>
      <c r="B35" s="62"/>
      <c r="C35" s="62"/>
      <c r="D35" s="62"/>
      <c r="E35" s="256">
        <f>SUM(E4:E34)</f>
        <v>1537.82</v>
      </c>
      <c r="F35" s="256"/>
      <c r="G35" s="63">
        <f>SUM(G4:G34)</f>
        <v>152799.6384</v>
      </c>
      <c r="H35" s="63">
        <f>SUM(H4:H34)</f>
        <v>0</v>
      </c>
      <c r="I35" s="63"/>
      <c r="J35" s="63">
        <f>SUM(J4:J34)</f>
        <v>0</v>
      </c>
      <c r="K35" s="63">
        <f>SUM(K4:K34)</f>
        <v>152799.6384</v>
      </c>
      <c r="L35" s="63">
        <f>SUM(L4:L34)</f>
        <v>152799.6384</v>
      </c>
      <c r="M35" s="63"/>
      <c r="N35" s="63"/>
    </row>
  </sheetData>
  <mergeCells count="2">
    <mergeCell ref="A1:N1"/>
    <mergeCell ref="A3:L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topLeftCell="D1" workbookViewId="0">
      <selection activeCell="J33" sqref="J33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546" t="s">
        <v>87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82"/>
    </row>
    <row r="2" spans="1:18">
      <c r="A2" s="97" t="s">
        <v>0</v>
      </c>
      <c r="B2" s="98" t="s">
        <v>166</v>
      </c>
      <c r="C2" s="98" t="s">
        <v>167</v>
      </c>
      <c r="D2" s="98" t="s">
        <v>198</v>
      </c>
      <c r="E2" s="254" t="s">
        <v>169</v>
      </c>
      <c r="F2" s="254" t="s">
        <v>170</v>
      </c>
      <c r="G2" s="98" t="s">
        <v>171</v>
      </c>
      <c r="H2" s="98" t="s">
        <v>172</v>
      </c>
      <c r="I2" s="98" t="s">
        <v>170</v>
      </c>
      <c r="J2" s="137" t="s">
        <v>171</v>
      </c>
      <c r="K2" s="99" t="s">
        <v>173</v>
      </c>
      <c r="L2" s="138" t="s">
        <v>174</v>
      </c>
      <c r="M2" s="142" t="s">
        <v>199</v>
      </c>
      <c r="N2" s="100" t="s">
        <v>176</v>
      </c>
      <c r="O2" s="59"/>
    </row>
    <row r="3" spans="1:18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9"/>
      <c r="M3" s="147">
        <v>0</v>
      </c>
      <c r="N3" s="155"/>
      <c r="O3" s="59"/>
    </row>
    <row r="4" spans="1:18">
      <c r="A4" s="195">
        <v>1</v>
      </c>
      <c r="B4" s="218">
        <v>45748</v>
      </c>
      <c r="C4" s="67"/>
      <c r="D4" s="158"/>
      <c r="E4" s="255"/>
      <c r="F4" s="255"/>
      <c r="G4" s="8">
        <f t="shared" ref="G4" si="0">E4*F4</f>
        <v>0</v>
      </c>
      <c r="H4" s="65">
        <v>0</v>
      </c>
      <c r="I4" s="66">
        <v>0</v>
      </c>
      <c r="J4" s="8">
        <f>H4*I4</f>
        <v>0</v>
      </c>
      <c r="K4" s="8">
        <f>G4+J4</f>
        <v>0</v>
      </c>
      <c r="L4" s="68">
        <f>+K4</f>
        <v>0</v>
      </c>
      <c r="M4" s="68">
        <v>0</v>
      </c>
      <c r="N4" s="8"/>
    </row>
    <row r="5" spans="1:18">
      <c r="A5" s="46">
        <v>2</v>
      </c>
      <c r="B5" s="218">
        <v>45749</v>
      </c>
      <c r="C5" s="67"/>
      <c r="D5" s="158"/>
      <c r="E5" s="255"/>
      <c r="F5" s="255"/>
      <c r="G5" s="8">
        <f t="shared" ref="G5:G33" si="1">E5*F5</f>
        <v>0</v>
      </c>
      <c r="H5" s="65">
        <v>0</v>
      </c>
      <c r="I5" s="66">
        <v>0</v>
      </c>
      <c r="J5" s="8">
        <f t="shared" ref="J5:J33" si="2">H5*I5</f>
        <v>0</v>
      </c>
      <c r="K5" s="8">
        <f t="shared" ref="K5:K33" si="3">G5+J5</f>
        <v>0</v>
      </c>
      <c r="L5" s="68">
        <f t="shared" ref="L5:L33" si="4">+K5</f>
        <v>0</v>
      </c>
      <c r="M5" s="68">
        <v>0</v>
      </c>
      <c r="N5" s="8"/>
    </row>
    <row r="6" spans="1:18">
      <c r="A6" s="46">
        <v>3</v>
      </c>
      <c r="B6" s="218">
        <v>45750</v>
      </c>
      <c r="C6" s="67"/>
      <c r="D6" s="158"/>
      <c r="E6" s="255"/>
      <c r="F6" s="255"/>
      <c r="G6" s="8">
        <f t="shared" si="1"/>
        <v>0</v>
      </c>
      <c r="H6" s="65">
        <v>0</v>
      </c>
      <c r="I6" s="66">
        <v>0</v>
      </c>
      <c r="J6" s="8">
        <f t="shared" si="2"/>
        <v>0</v>
      </c>
      <c r="K6" s="8">
        <f t="shared" si="3"/>
        <v>0</v>
      </c>
      <c r="L6" s="68">
        <f t="shared" si="4"/>
        <v>0</v>
      </c>
      <c r="M6" s="68">
        <v>0</v>
      </c>
      <c r="N6" s="8"/>
    </row>
    <row r="7" spans="1:18">
      <c r="A7" s="46">
        <v>4</v>
      </c>
      <c r="B7" s="218">
        <v>45751</v>
      </c>
      <c r="C7" s="67"/>
      <c r="D7" s="158"/>
      <c r="E7" s="255"/>
      <c r="F7" s="255"/>
      <c r="G7" s="8">
        <f t="shared" si="1"/>
        <v>0</v>
      </c>
      <c r="H7" s="65">
        <v>0</v>
      </c>
      <c r="I7" s="66">
        <v>0</v>
      </c>
      <c r="J7" s="8">
        <f t="shared" si="2"/>
        <v>0</v>
      </c>
      <c r="K7" s="8">
        <f t="shared" si="3"/>
        <v>0</v>
      </c>
      <c r="L7" s="68">
        <f t="shared" si="4"/>
        <v>0</v>
      </c>
      <c r="M7" s="68">
        <v>0</v>
      </c>
      <c r="N7" s="8"/>
    </row>
    <row r="8" spans="1:18">
      <c r="A8" s="46">
        <v>5</v>
      </c>
      <c r="B8" s="218">
        <v>45752</v>
      </c>
      <c r="C8" s="67"/>
      <c r="D8" s="158"/>
      <c r="E8" s="255"/>
      <c r="F8" s="255"/>
      <c r="G8" s="8">
        <f t="shared" si="1"/>
        <v>0</v>
      </c>
      <c r="H8" s="65">
        <v>0</v>
      </c>
      <c r="I8" s="66">
        <v>0</v>
      </c>
      <c r="J8" s="8">
        <f t="shared" si="2"/>
        <v>0</v>
      </c>
      <c r="K8" s="8">
        <f t="shared" si="3"/>
        <v>0</v>
      </c>
      <c r="L8" s="68">
        <f t="shared" si="4"/>
        <v>0</v>
      </c>
      <c r="M8" s="68">
        <v>0</v>
      </c>
      <c r="N8" s="8"/>
      <c r="O8" s="69"/>
      <c r="R8" s="223"/>
    </row>
    <row r="9" spans="1:18">
      <c r="A9" s="46">
        <v>6</v>
      </c>
      <c r="B9" s="218">
        <v>45753</v>
      </c>
      <c r="C9" s="67"/>
      <c r="D9" s="158"/>
      <c r="E9" s="255"/>
      <c r="F9" s="255"/>
      <c r="G9" s="8">
        <f t="shared" si="1"/>
        <v>0</v>
      </c>
      <c r="H9" s="65">
        <v>0</v>
      </c>
      <c r="I9" s="66">
        <v>0</v>
      </c>
      <c r="J9" s="8">
        <f t="shared" si="2"/>
        <v>0</v>
      </c>
      <c r="K9" s="8">
        <f t="shared" si="3"/>
        <v>0</v>
      </c>
      <c r="L9" s="68">
        <f t="shared" si="4"/>
        <v>0</v>
      </c>
      <c r="M9" s="68">
        <v>0</v>
      </c>
      <c r="N9" s="8"/>
      <c r="O9" s="69"/>
    </row>
    <row r="10" spans="1:18">
      <c r="A10" s="46">
        <v>7</v>
      </c>
      <c r="B10" s="218">
        <v>45754</v>
      </c>
      <c r="C10" s="67"/>
      <c r="D10" s="158"/>
      <c r="E10" s="255"/>
      <c r="F10" s="255"/>
      <c r="G10" s="8">
        <f t="shared" si="1"/>
        <v>0</v>
      </c>
      <c r="H10" s="65">
        <v>0</v>
      </c>
      <c r="I10" s="66">
        <v>0</v>
      </c>
      <c r="J10" s="8">
        <f t="shared" si="2"/>
        <v>0</v>
      </c>
      <c r="K10" s="8">
        <f t="shared" si="3"/>
        <v>0</v>
      </c>
      <c r="L10" s="68">
        <f t="shared" si="4"/>
        <v>0</v>
      </c>
      <c r="M10" s="68">
        <v>0</v>
      </c>
      <c r="N10" s="8"/>
      <c r="O10" s="69"/>
    </row>
    <row r="11" spans="1:18">
      <c r="A11" s="46">
        <v>8</v>
      </c>
      <c r="B11" s="218">
        <v>45755</v>
      </c>
      <c r="C11" s="67"/>
      <c r="D11" s="158"/>
      <c r="E11" s="255"/>
      <c r="F11" s="255"/>
      <c r="G11" s="8">
        <f t="shared" si="1"/>
        <v>0</v>
      </c>
      <c r="H11" s="65">
        <v>0</v>
      </c>
      <c r="I11" s="66">
        <v>0</v>
      </c>
      <c r="J11" s="8">
        <f t="shared" si="2"/>
        <v>0</v>
      </c>
      <c r="K11" s="8">
        <f t="shared" si="3"/>
        <v>0</v>
      </c>
      <c r="L11" s="68">
        <f t="shared" si="4"/>
        <v>0</v>
      </c>
      <c r="M11" s="68">
        <v>0</v>
      </c>
      <c r="N11" s="8"/>
      <c r="O11" s="69"/>
    </row>
    <row r="12" spans="1:18">
      <c r="A12" s="46">
        <v>9</v>
      </c>
      <c r="B12" s="218">
        <v>45756</v>
      </c>
      <c r="C12" s="67"/>
      <c r="D12" s="158"/>
      <c r="E12" s="255"/>
      <c r="F12" s="255"/>
      <c r="G12" s="8">
        <f t="shared" si="1"/>
        <v>0</v>
      </c>
      <c r="H12" s="65">
        <v>0</v>
      </c>
      <c r="I12" s="66">
        <v>0</v>
      </c>
      <c r="J12" s="8">
        <f t="shared" si="2"/>
        <v>0</v>
      </c>
      <c r="K12" s="8">
        <f t="shared" ref="K12:K18" si="5">G12+J12</f>
        <v>0</v>
      </c>
      <c r="L12" s="68">
        <f t="shared" ref="L12:L18" si="6">+K12</f>
        <v>0</v>
      </c>
      <c r="M12" s="68">
        <v>0</v>
      </c>
      <c r="N12" s="8"/>
      <c r="O12" s="69"/>
    </row>
    <row r="13" spans="1:18">
      <c r="A13" s="46">
        <v>10</v>
      </c>
      <c r="B13" s="218">
        <v>45757</v>
      </c>
      <c r="C13" s="67"/>
      <c r="D13" s="158"/>
      <c r="E13" s="255"/>
      <c r="F13" s="255"/>
      <c r="G13" s="8">
        <f t="shared" si="1"/>
        <v>0</v>
      </c>
      <c r="H13" s="65">
        <v>0</v>
      </c>
      <c r="I13" s="66">
        <v>0</v>
      </c>
      <c r="J13" s="8">
        <f t="shared" si="2"/>
        <v>0</v>
      </c>
      <c r="K13" s="8">
        <f t="shared" si="5"/>
        <v>0</v>
      </c>
      <c r="L13" s="68">
        <f t="shared" si="6"/>
        <v>0</v>
      </c>
      <c r="M13" s="68">
        <v>0</v>
      </c>
      <c r="N13" s="8"/>
      <c r="O13" s="69"/>
    </row>
    <row r="14" spans="1:18">
      <c r="A14" s="46">
        <v>11</v>
      </c>
      <c r="B14" s="218">
        <v>45758</v>
      </c>
      <c r="C14" s="67"/>
      <c r="D14" s="158"/>
      <c r="E14" s="255"/>
      <c r="F14" s="255"/>
      <c r="G14" s="8">
        <f t="shared" si="1"/>
        <v>0</v>
      </c>
      <c r="H14" s="65">
        <v>0</v>
      </c>
      <c r="I14" s="66">
        <v>0</v>
      </c>
      <c r="J14" s="8">
        <f t="shared" si="2"/>
        <v>0</v>
      </c>
      <c r="K14" s="8">
        <f t="shared" si="5"/>
        <v>0</v>
      </c>
      <c r="L14" s="68">
        <f t="shared" si="6"/>
        <v>0</v>
      </c>
      <c r="M14" s="68">
        <v>0</v>
      </c>
      <c r="N14" s="8"/>
      <c r="O14" s="69"/>
    </row>
    <row r="15" spans="1:18">
      <c r="A15" s="46">
        <v>12</v>
      </c>
      <c r="B15" s="218">
        <v>45759</v>
      </c>
      <c r="C15" s="67"/>
      <c r="D15" s="158"/>
      <c r="E15" s="255"/>
      <c r="F15" s="255"/>
      <c r="G15" s="8">
        <f t="shared" si="1"/>
        <v>0</v>
      </c>
      <c r="H15" s="65">
        <v>0</v>
      </c>
      <c r="I15" s="66">
        <v>0</v>
      </c>
      <c r="J15" s="8">
        <f t="shared" si="2"/>
        <v>0</v>
      </c>
      <c r="K15" s="8">
        <f t="shared" si="5"/>
        <v>0</v>
      </c>
      <c r="L15" s="68">
        <f t="shared" si="6"/>
        <v>0</v>
      </c>
      <c r="M15" s="68">
        <v>0</v>
      </c>
      <c r="N15" s="8"/>
      <c r="O15" s="69"/>
    </row>
    <row r="16" spans="1:18">
      <c r="A16" s="46">
        <v>13</v>
      </c>
      <c r="B16" s="218">
        <v>45760</v>
      </c>
      <c r="C16" s="67"/>
      <c r="D16" s="158"/>
      <c r="E16" s="255"/>
      <c r="F16" s="255"/>
      <c r="G16" s="8">
        <f t="shared" si="1"/>
        <v>0</v>
      </c>
      <c r="H16" s="65">
        <v>0</v>
      </c>
      <c r="I16" s="66">
        <v>0</v>
      </c>
      <c r="J16" s="8">
        <f t="shared" si="2"/>
        <v>0</v>
      </c>
      <c r="K16" s="8">
        <f t="shared" si="5"/>
        <v>0</v>
      </c>
      <c r="L16" s="68">
        <f t="shared" si="6"/>
        <v>0</v>
      </c>
      <c r="M16" s="68">
        <v>0</v>
      </c>
      <c r="N16" s="8"/>
      <c r="O16" s="69"/>
    </row>
    <row r="17" spans="1:15">
      <c r="A17" s="46">
        <v>14</v>
      </c>
      <c r="B17" s="218">
        <v>45761</v>
      </c>
      <c r="C17" s="67"/>
      <c r="D17" s="158"/>
      <c r="E17" s="255"/>
      <c r="F17" s="255"/>
      <c r="G17" s="8">
        <f t="shared" si="1"/>
        <v>0</v>
      </c>
      <c r="H17" s="65">
        <v>0</v>
      </c>
      <c r="I17" s="66">
        <v>0</v>
      </c>
      <c r="J17" s="8">
        <f t="shared" si="2"/>
        <v>0</v>
      </c>
      <c r="K17" s="8">
        <f t="shared" si="5"/>
        <v>0</v>
      </c>
      <c r="L17" s="68">
        <f t="shared" si="6"/>
        <v>0</v>
      </c>
      <c r="M17" s="68">
        <v>0</v>
      </c>
      <c r="N17" s="8"/>
      <c r="O17" s="69"/>
    </row>
    <row r="18" spans="1:15">
      <c r="A18" s="46">
        <v>15</v>
      </c>
      <c r="B18" s="218">
        <v>45762</v>
      </c>
      <c r="C18" s="67"/>
      <c r="D18" s="158"/>
      <c r="E18" s="255"/>
      <c r="F18" s="255"/>
      <c r="G18" s="8">
        <f t="shared" si="1"/>
        <v>0</v>
      </c>
      <c r="H18" s="65">
        <v>0</v>
      </c>
      <c r="I18" s="66">
        <v>0</v>
      </c>
      <c r="J18" s="8">
        <f t="shared" si="2"/>
        <v>0</v>
      </c>
      <c r="K18" s="8">
        <f t="shared" si="5"/>
        <v>0</v>
      </c>
      <c r="L18" s="68">
        <f t="shared" si="6"/>
        <v>0</v>
      </c>
      <c r="M18" s="68">
        <v>0</v>
      </c>
      <c r="N18" s="8"/>
      <c r="O18" s="69"/>
    </row>
    <row r="19" spans="1:15">
      <c r="A19" s="46">
        <v>16</v>
      </c>
      <c r="B19" s="218">
        <v>45763</v>
      </c>
      <c r="C19" s="67"/>
      <c r="D19" s="158"/>
      <c r="E19" s="255"/>
      <c r="F19" s="255"/>
      <c r="G19" s="8">
        <f t="shared" si="1"/>
        <v>0</v>
      </c>
      <c r="H19" s="65">
        <v>0</v>
      </c>
      <c r="I19" s="66">
        <v>0</v>
      </c>
      <c r="J19" s="8">
        <f t="shared" si="2"/>
        <v>0</v>
      </c>
      <c r="K19" s="8">
        <f t="shared" si="3"/>
        <v>0</v>
      </c>
      <c r="L19" s="68">
        <f t="shared" si="4"/>
        <v>0</v>
      </c>
      <c r="M19" s="68">
        <v>0</v>
      </c>
      <c r="N19" s="8"/>
      <c r="O19" s="69"/>
    </row>
    <row r="20" spans="1:15">
      <c r="A20" s="46">
        <v>17</v>
      </c>
      <c r="B20" s="218">
        <v>45764</v>
      </c>
      <c r="C20" s="67"/>
      <c r="D20" s="158"/>
      <c r="E20" s="255"/>
      <c r="F20" s="255"/>
      <c r="G20" s="8">
        <f t="shared" si="1"/>
        <v>0</v>
      </c>
      <c r="H20" s="65">
        <v>0</v>
      </c>
      <c r="I20" s="66">
        <v>0</v>
      </c>
      <c r="J20" s="8">
        <f t="shared" si="2"/>
        <v>0</v>
      </c>
      <c r="K20" s="8">
        <f t="shared" si="3"/>
        <v>0</v>
      </c>
      <c r="L20" s="68">
        <f t="shared" si="4"/>
        <v>0</v>
      </c>
      <c r="M20" s="68">
        <v>0</v>
      </c>
      <c r="N20" s="8"/>
      <c r="O20" s="69"/>
    </row>
    <row r="21" spans="1:15">
      <c r="A21" s="46">
        <v>18</v>
      </c>
      <c r="B21" s="218">
        <v>45765</v>
      </c>
      <c r="C21" s="67"/>
      <c r="D21" s="158"/>
      <c r="E21" s="255"/>
      <c r="F21" s="255"/>
      <c r="G21" s="8">
        <f t="shared" si="1"/>
        <v>0</v>
      </c>
      <c r="H21" s="65">
        <v>0</v>
      </c>
      <c r="I21" s="66">
        <v>0</v>
      </c>
      <c r="J21" s="8">
        <f t="shared" si="2"/>
        <v>0</v>
      </c>
      <c r="K21" s="8">
        <f t="shared" si="3"/>
        <v>0</v>
      </c>
      <c r="L21" s="68">
        <f t="shared" si="4"/>
        <v>0</v>
      </c>
      <c r="M21" s="68">
        <v>0</v>
      </c>
      <c r="N21" s="8"/>
      <c r="O21" s="69"/>
    </row>
    <row r="22" spans="1:15">
      <c r="A22" s="46">
        <v>19</v>
      </c>
      <c r="B22" s="218">
        <v>45766</v>
      </c>
      <c r="C22" s="67"/>
      <c r="D22" s="158"/>
      <c r="E22" s="255"/>
      <c r="F22" s="255"/>
      <c r="G22" s="8">
        <f t="shared" si="1"/>
        <v>0</v>
      </c>
      <c r="H22" s="65">
        <v>0</v>
      </c>
      <c r="I22" s="66">
        <v>0</v>
      </c>
      <c r="J22" s="8">
        <f t="shared" si="2"/>
        <v>0</v>
      </c>
      <c r="K22" s="8">
        <f t="shared" si="3"/>
        <v>0</v>
      </c>
      <c r="L22" s="68">
        <f t="shared" si="4"/>
        <v>0</v>
      </c>
      <c r="M22" s="68">
        <v>0</v>
      </c>
      <c r="N22" s="8"/>
      <c r="O22" s="69"/>
    </row>
    <row r="23" spans="1:15">
      <c r="A23" s="46">
        <v>20</v>
      </c>
      <c r="B23" s="218">
        <v>45767</v>
      </c>
      <c r="C23" s="67"/>
      <c r="D23" s="158"/>
      <c r="E23" s="255"/>
      <c r="F23" s="255"/>
      <c r="G23" s="8">
        <f t="shared" si="1"/>
        <v>0</v>
      </c>
      <c r="H23" s="65">
        <v>0</v>
      </c>
      <c r="I23" s="66">
        <v>0</v>
      </c>
      <c r="J23" s="8">
        <f t="shared" si="2"/>
        <v>0</v>
      </c>
      <c r="K23" s="8">
        <f t="shared" si="3"/>
        <v>0</v>
      </c>
      <c r="L23" s="68">
        <f t="shared" si="4"/>
        <v>0</v>
      </c>
      <c r="M23" s="68">
        <v>0</v>
      </c>
      <c r="N23" s="8"/>
      <c r="O23" s="69"/>
    </row>
    <row r="24" spans="1:15">
      <c r="A24" s="46">
        <v>21</v>
      </c>
      <c r="B24" s="218">
        <v>45768</v>
      </c>
      <c r="C24" s="67"/>
      <c r="D24" s="158"/>
      <c r="E24" s="255"/>
      <c r="F24" s="255"/>
      <c r="G24" s="8">
        <f t="shared" si="1"/>
        <v>0</v>
      </c>
      <c r="H24" s="65">
        <v>0</v>
      </c>
      <c r="I24" s="66">
        <v>0</v>
      </c>
      <c r="J24" s="8">
        <f t="shared" si="2"/>
        <v>0</v>
      </c>
      <c r="K24" s="8">
        <f t="shared" si="3"/>
        <v>0</v>
      </c>
      <c r="L24" s="68">
        <f t="shared" si="4"/>
        <v>0</v>
      </c>
      <c r="M24" s="68">
        <v>0</v>
      </c>
      <c r="N24" s="8"/>
      <c r="O24" s="69"/>
    </row>
    <row r="25" spans="1:15">
      <c r="A25" s="46">
        <v>22</v>
      </c>
      <c r="B25" s="218">
        <v>45769</v>
      </c>
      <c r="C25" s="67"/>
      <c r="D25" s="158"/>
      <c r="E25" s="255"/>
      <c r="F25" s="255"/>
      <c r="G25" s="8">
        <f t="shared" si="1"/>
        <v>0</v>
      </c>
      <c r="H25" s="65">
        <v>0</v>
      </c>
      <c r="I25" s="66">
        <v>0</v>
      </c>
      <c r="J25" s="8">
        <f t="shared" si="2"/>
        <v>0</v>
      </c>
      <c r="K25" s="8">
        <f t="shared" si="3"/>
        <v>0</v>
      </c>
      <c r="L25" s="68">
        <f t="shared" si="4"/>
        <v>0</v>
      </c>
      <c r="M25" s="68">
        <v>0</v>
      </c>
      <c r="N25" s="8"/>
      <c r="O25" s="69"/>
    </row>
    <row r="26" spans="1:15">
      <c r="A26" s="46">
        <v>23</v>
      </c>
      <c r="B26" s="218">
        <v>45770</v>
      </c>
      <c r="C26" s="67"/>
      <c r="D26" s="158"/>
      <c r="E26" s="255"/>
      <c r="F26" s="8"/>
      <c r="G26" s="8">
        <f t="shared" si="1"/>
        <v>0</v>
      </c>
      <c r="H26" s="65">
        <v>0</v>
      </c>
      <c r="I26" s="66">
        <v>0</v>
      </c>
      <c r="J26" s="8">
        <f t="shared" si="2"/>
        <v>0</v>
      </c>
      <c r="K26" s="8">
        <f t="shared" si="3"/>
        <v>0</v>
      </c>
      <c r="L26" s="68">
        <f t="shared" si="4"/>
        <v>0</v>
      </c>
      <c r="M26" s="68">
        <v>0</v>
      </c>
      <c r="N26" s="8"/>
      <c r="O26" s="69"/>
    </row>
    <row r="27" spans="1:15">
      <c r="A27" s="46">
        <v>24</v>
      </c>
      <c r="B27" s="218">
        <v>45771</v>
      </c>
      <c r="C27" s="67"/>
      <c r="D27" s="158"/>
      <c r="E27" s="255"/>
      <c r="F27" s="255"/>
      <c r="G27" s="8">
        <f t="shared" si="1"/>
        <v>0</v>
      </c>
      <c r="H27" s="65">
        <v>0</v>
      </c>
      <c r="I27" s="66">
        <v>0</v>
      </c>
      <c r="J27" s="8">
        <f t="shared" si="2"/>
        <v>0</v>
      </c>
      <c r="K27" s="8">
        <f t="shared" si="3"/>
        <v>0</v>
      </c>
      <c r="L27" s="68">
        <f t="shared" si="4"/>
        <v>0</v>
      </c>
      <c r="M27" s="68">
        <v>0</v>
      </c>
      <c r="N27" s="8"/>
      <c r="O27" s="69"/>
    </row>
    <row r="28" spans="1:15">
      <c r="A28" s="220">
        <v>25</v>
      </c>
      <c r="B28" s="218">
        <v>45772</v>
      </c>
      <c r="C28" s="67"/>
      <c r="D28" s="158"/>
      <c r="E28" s="255"/>
      <c r="F28" s="255"/>
      <c r="G28" s="8"/>
      <c r="H28" s="65">
        <v>0</v>
      </c>
      <c r="I28" s="66">
        <v>0</v>
      </c>
      <c r="J28" s="8">
        <f t="shared" si="2"/>
        <v>0</v>
      </c>
      <c r="K28" s="8">
        <f t="shared" si="3"/>
        <v>0</v>
      </c>
      <c r="L28" s="68">
        <f t="shared" si="4"/>
        <v>0</v>
      </c>
      <c r="M28" s="68">
        <v>0</v>
      </c>
      <c r="N28" s="8"/>
      <c r="O28" s="69"/>
    </row>
    <row r="29" spans="1:15">
      <c r="A29" s="220">
        <v>26</v>
      </c>
      <c r="B29" s="218">
        <v>45773</v>
      </c>
      <c r="C29" s="67"/>
      <c r="D29" s="158"/>
      <c r="E29" s="255"/>
      <c r="F29" s="255"/>
      <c r="G29" s="8">
        <f t="shared" si="1"/>
        <v>0</v>
      </c>
      <c r="H29" s="65">
        <v>0</v>
      </c>
      <c r="I29" s="66">
        <v>0</v>
      </c>
      <c r="J29" s="8">
        <f t="shared" si="2"/>
        <v>0</v>
      </c>
      <c r="K29" s="8">
        <f t="shared" si="3"/>
        <v>0</v>
      </c>
      <c r="L29" s="68">
        <f t="shared" si="4"/>
        <v>0</v>
      </c>
      <c r="M29" s="68">
        <v>0</v>
      </c>
      <c r="N29" s="8"/>
      <c r="O29" s="69"/>
    </row>
    <row r="30" spans="1:15">
      <c r="A30" s="220">
        <v>27</v>
      </c>
      <c r="B30" s="218">
        <v>45774</v>
      </c>
      <c r="C30" s="67"/>
      <c r="D30" s="158"/>
      <c r="E30" s="255"/>
      <c r="F30" s="255"/>
      <c r="G30" s="8">
        <f t="shared" si="1"/>
        <v>0</v>
      </c>
      <c r="H30" s="65">
        <v>0</v>
      </c>
      <c r="I30" s="66">
        <v>0</v>
      </c>
      <c r="J30" s="8">
        <f t="shared" si="2"/>
        <v>0</v>
      </c>
      <c r="K30" s="8">
        <f t="shared" si="3"/>
        <v>0</v>
      </c>
      <c r="L30" s="68">
        <f t="shared" si="4"/>
        <v>0</v>
      </c>
      <c r="M30" s="68">
        <v>0</v>
      </c>
      <c r="N30" s="8"/>
      <c r="O30" s="69"/>
    </row>
    <row r="31" spans="1:15">
      <c r="A31" s="220">
        <v>28</v>
      </c>
      <c r="B31" s="218">
        <v>45775</v>
      </c>
      <c r="C31" s="67"/>
      <c r="D31" s="158"/>
      <c r="E31" s="255"/>
      <c r="F31" s="255"/>
      <c r="G31" s="8">
        <f t="shared" si="1"/>
        <v>0</v>
      </c>
      <c r="H31" s="65">
        <v>0</v>
      </c>
      <c r="I31" s="66">
        <v>0</v>
      </c>
      <c r="J31" s="8">
        <f t="shared" si="2"/>
        <v>0</v>
      </c>
      <c r="K31" s="8">
        <f t="shared" si="3"/>
        <v>0</v>
      </c>
      <c r="L31" s="68">
        <f t="shared" si="4"/>
        <v>0</v>
      </c>
      <c r="M31" s="68">
        <v>0</v>
      </c>
      <c r="N31" s="8"/>
      <c r="O31" s="69"/>
    </row>
    <row r="32" spans="1:15">
      <c r="A32" s="221">
        <v>29</v>
      </c>
      <c r="B32" s="218"/>
      <c r="C32" s="67"/>
      <c r="D32" s="158"/>
      <c r="E32" s="255"/>
      <c r="F32" s="255"/>
      <c r="G32" s="8">
        <f t="shared" si="1"/>
        <v>0</v>
      </c>
      <c r="H32" s="65">
        <v>0</v>
      </c>
      <c r="I32" s="66">
        <v>0</v>
      </c>
      <c r="J32" s="8">
        <f t="shared" si="2"/>
        <v>0</v>
      </c>
      <c r="K32" s="8">
        <f t="shared" si="3"/>
        <v>0</v>
      </c>
      <c r="L32" s="68">
        <f t="shared" si="4"/>
        <v>0</v>
      </c>
      <c r="M32" s="68">
        <v>0</v>
      </c>
      <c r="N32" s="8"/>
      <c r="O32" s="69"/>
    </row>
    <row r="33" spans="1:15">
      <c r="A33" s="221">
        <v>30</v>
      </c>
      <c r="B33" s="218"/>
      <c r="C33" s="67"/>
      <c r="D33" s="158"/>
      <c r="E33" s="255"/>
      <c r="F33" s="255"/>
      <c r="G33" s="8">
        <f t="shared" ref="G33" si="7">E33*F33</f>
        <v>0</v>
      </c>
      <c r="H33" s="65">
        <v>0</v>
      </c>
      <c r="I33" s="66">
        <v>0</v>
      </c>
      <c r="J33" s="8">
        <f t="shared" si="2"/>
        <v>0</v>
      </c>
      <c r="K33" s="8">
        <f t="shared" si="3"/>
        <v>0</v>
      </c>
      <c r="L33" s="68">
        <f t="shared" si="4"/>
        <v>0</v>
      </c>
      <c r="M33" s="68">
        <v>0</v>
      </c>
      <c r="N33" s="8"/>
      <c r="O33" s="69"/>
    </row>
    <row r="34" spans="1:15">
      <c r="A34" s="221">
        <v>31</v>
      </c>
      <c r="B34" s="218"/>
      <c r="C34" s="67"/>
      <c r="D34" s="158"/>
      <c r="E34" s="255"/>
      <c r="F34" s="255"/>
      <c r="G34" s="8">
        <f t="shared" ref="G34" si="8">E34*F34</f>
        <v>0</v>
      </c>
      <c r="H34" s="65">
        <v>0</v>
      </c>
      <c r="I34" s="66">
        <v>0</v>
      </c>
      <c r="J34" s="8">
        <f t="shared" ref="J34" si="9">H34*I34</f>
        <v>0</v>
      </c>
      <c r="K34" s="8">
        <f t="shared" ref="K34" si="10">G34+J34</f>
        <v>0</v>
      </c>
      <c r="L34" s="68">
        <f t="shared" ref="L34" si="11">+K34</f>
        <v>0</v>
      </c>
      <c r="M34" s="68">
        <v>0</v>
      </c>
      <c r="N34" s="8"/>
      <c r="O34" s="69"/>
    </row>
    <row r="35" spans="1:15">
      <c r="A35" s="62"/>
      <c r="B35" s="62"/>
      <c r="C35" s="62"/>
      <c r="D35" s="62"/>
      <c r="E35" s="256">
        <f>SUM(E4:E34)</f>
        <v>0</v>
      </c>
      <c r="F35" s="256"/>
      <c r="G35" s="63">
        <f>SUM(G4:G34)</f>
        <v>0</v>
      </c>
      <c r="H35" s="63">
        <f>SUM(H4:H34)</f>
        <v>0</v>
      </c>
      <c r="I35" s="63"/>
      <c r="J35" s="63">
        <f>SUM(J4:J34)</f>
        <v>0</v>
      </c>
      <c r="K35" s="63">
        <f>SUM(K4:K34)</f>
        <v>0</v>
      </c>
      <c r="L35" s="63">
        <f>SUM(L4:L34)</f>
        <v>0</v>
      </c>
      <c r="M35" s="63"/>
      <c r="N35" s="63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  <row r="37" spans="1:15"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A42" s="69"/>
      <c r="B42" s="59"/>
      <c r="C42" s="69"/>
      <c r="D42" s="69"/>
      <c r="E42" s="69"/>
      <c r="F42" s="69"/>
      <c r="G42" s="76"/>
      <c r="H42" s="69"/>
      <c r="I42" s="69"/>
      <c r="J42" s="59"/>
      <c r="K42" s="59"/>
      <c r="L42" s="59"/>
      <c r="M42" s="59"/>
      <c r="N42" s="69"/>
      <c r="O42" s="74"/>
    </row>
    <row r="43" spans="1:15">
      <c r="A43" s="69"/>
      <c r="B43" s="554"/>
      <c r="C43" s="554"/>
      <c r="D43" s="554"/>
      <c r="E43" s="554"/>
      <c r="F43" s="69"/>
      <c r="G43" s="69"/>
      <c r="H43" s="69"/>
      <c r="I43" s="554"/>
      <c r="J43" s="554"/>
      <c r="K43" s="554"/>
      <c r="L43" s="554"/>
      <c r="M43" s="554"/>
      <c r="N43" s="554"/>
      <c r="O43" s="74"/>
    </row>
    <row r="44" spans="1:15">
      <c r="A44" s="69"/>
      <c r="B44" s="59"/>
      <c r="C44" s="69"/>
      <c r="D44" s="69"/>
      <c r="E44" s="69"/>
      <c r="F44" s="69"/>
      <c r="G44" s="69"/>
      <c r="H44" s="69"/>
      <c r="I44" s="69"/>
      <c r="J44" s="59"/>
      <c r="K44" s="59"/>
      <c r="L44" s="59"/>
      <c r="M44" s="59"/>
      <c r="N44" s="69"/>
      <c r="O44" s="74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dimension ref="A1:R111"/>
  <sheetViews>
    <sheetView topLeftCell="D89" workbookViewId="0">
      <selection activeCell="M84" sqref="M84"/>
    </sheetView>
  </sheetViews>
  <sheetFormatPr defaultColWidth="18.28515625" defaultRowHeight="15"/>
  <cols>
    <col min="1" max="1" width="13.42578125" customWidth="1"/>
    <col min="3" max="3" width="49" customWidth="1"/>
    <col min="4" max="4" width="27.7109375" customWidth="1"/>
    <col min="5" max="5" width="11.5703125" customWidth="1"/>
    <col min="6" max="6" width="11.140625" customWidth="1"/>
    <col min="7" max="7" width="11.28515625" customWidth="1"/>
    <col min="8" max="8" width="9.85546875" customWidth="1"/>
    <col min="10" max="10" width="16.5703125" customWidth="1"/>
  </cols>
  <sheetData>
    <row r="1" spans="1:18" ht="15.75">
      <c r="A1" s="332"/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82"/>
    </row>
    <row r="2" spans="1:18" ht="30.75">
      <c r="A2" s="97" t="s">
        <v>0</v>
      </c>
      <c r="B2" s="98" t="s">
        <v>166</v>
      </c>
      <c r="C2" s="98" t="s">
        <v>167</v>
      </c>
      <c r="D2" s="98" t="s">
        <v>198</v>
      </c>
      <c r="E2" s="254" t="s">
        <v>169</v>
      </c>
      <c r="F2" s="254" t="s">
        <v>170</v>
      </c>
      <c r="G2" s="98" t="s">
        <v>171</v>
      </c>
      <c r="H2" s="98" t="s">
        <v>172</v>
      </c>
      <c r="I2" s="98" t="s">
        <v>170</v>
      </c>
      <c r="J2" s="137" t="s">
        <v>171</v>
      </c>
      <c r="K2" s="99" t="s">
        <v>173</v>
      </c>
      <c r="L2" s="138" t="s">
        <v>174</v>
      </c>
      <c r="M2" s="142" t="s">
        <v>199</v>
      </c>
      <c r="N2" s="100" t="s">
        <v>176</v>
      </c>
      <c r="O2" s="59"/>
    </row>
    <row r="3" spans="1:18">
      <c r="A3" s="547" t="s">
        <v>177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6"/>
      <c r="M3" s="374">
        <v>0</v>
      </c>
      <c r="N3" s="214"/>
      <c r="O3" s="59"/>
    </row>
    <row r="4" spans="1:18">
      <c r="A4" s="221">
        <v>1</v>
      </c>
      <c r="B4" s="316" t="s">
        <v>206</v>
      </c>
      <c r="C4" s="300" t="s">
        <v>207</v>
      </c>
      <c r="D4" s="300" t="s">
        <v>208</v>
      </c>
      <c r="E4" s="300">
        <v>50.98</v>
      </c>
      <c r="F4" s="300">
        <v>96.66</v>
      </c>
      <c r="G4" s="300">
        <f>E4*F4</f>
        <v>4927.7267999999995</v>
      </c>
      <c r="H4" s="300"/>
      <c r="I4" s="300"/>
      <c r="J4" s="300"/>
      <c r="K4" s="377">
        <f>G4+J4</f>
        <v>4927.7267999999995</v>
      </c>
      <c r="L4" s="377">
        <f>+K4</f>
        <v>4927.7267999999995</v>
      </c>
      <c r="M4" s="68">
        <f>+M3+K4-L4</f>
        <v>0</v>
      </c>
      <c r="N4" s="8" t="s">
        <v>209</v>
      </c>
    </row>
    <row r="5" spans="1:18">
      <c r="A5" s="220">
        <v>2</v>
      </c>
      <c r="B5" s="316" t="s">
        <v>186</v>
      </c>
      <c r="C5" s="311" t="s">
        <v>210</v>
      </c>
      <c r="D5" s="311"/>
      <c r="E5" s="311">
        <v>47.2</v>
      </c>
      <c r="F5" s="311">
        <v>97.71</v>
      </c>
      <c r="G5" s="300">
        <f>E5*F5</f>
        <v>4611.9120000000003</v>
      </c>
      <c r="H5" s="311"/>
      <c r="I5" s="311"/>
      <c r="J5" s="311"/>
      <c r="K5" s="377">
        <f t="shared" ref="K5:K11" si="0">G5+J5</f>
        <v>4611.9120000000003</v>
      </c>
      <c r="L5" s="377">
        <f t="shared" ref="L5:L11" si="1">+K5</f>
        <v>4611.9120000000003</v>
      </c>
      <c r="M5" s="68">
        <f t="shared" ref="M5:M68" si="2">+M4+K5-L5</f>
        <v>0</v>
      </c>
      <c r="N5" s="8" t="s">
        <v>209</v>
      </c>
    </row>
    <row r="6" spans="1:18">
      <c r="A6" s="220">
        <v>3</v>
      </c>
      <c r="B6" s="316" t="s">
        <v>186</v>
      </c>
      <c r="C6" s="103" t="s">
        <v>211</v>
      </c>
      <c r="D6" s="103"/>
      <c r="E6" s="103"/>
      <c r="F6" s="103"/>
      <c r="G6" s="300">
        <f t="shared" ref="G6:G10" si="3">E6*F6</f>
        <v>0</v>
      </c>
      <c r="H6" s="103">
        <v>5</v>
      </c>
      <c r="I6" s="103">
        <v>109.71</v>
      </c>
      <c r="J6" s="103">
        <f>H6*I6</f>
        <v>548.54999999999995</v>
      </c>
      <c r="K6" s="377">
        <f t="shared" si="0"/>
        <v>548.54999999999995</v>
      </c>
      <c r="L6" s="377">
        <f t="shared" si="1"/>
        <v>548.54999999999995</v>
      </c>
      <c r="M6" s="68">
        <f t="shared" si="2"/>
        <v>0</v>
      </c>
      <c r="N6" s="103"/>
    </row>
    <row r="7" spans="1:18">
      <c r="A7" s="221">
        <v>4</v>
      </c>
      <c r="B7" s="316" t="s">
        <v>188</v>
      </c>
      <c r="C7" s="311" t="s">
        <v>210</v>
      </c>
      <c r="D7" s="103"/>
      <c r="E7" s="103"/>
      <c r="F7" s="103"/>
      <c r="G7" s="300">
        <f t="shared" si="3"/>
        <v>0</v>
      </c>
      <c r="H7" s="103">
        <v>5</v>
      </c>
      <c r="I7" s="103">
        <v>109.71</v>
      </c>
      <c r="J7" s="103">
        <f>H7*I7</f>
        <v>548.54999999999995</v>
      </c>
      <c r="K7" s="377">
        <f t="shared" si="0"/>
        <v>548.54999999999995</v>
      </c>
      <c r="L7" s="377">
        <f t="shared" si="1"/>
        <v>548.54999999999995</v>
      </c>
      <c r="M7" s="68">
        <f t="shared" si="2"/>
        <v>0</v>
      </c>
      <c r="N7" s="103"/>
      <c r="O7" s="369"/>
    </row>
    <row r="8" spans="1:18">
      <c r="A8" s="220">
        <v>5</v>
      </c>
      <c r="B8" s="316" t="s">
        <v>190</v>
      </c>
      <c r="C8" s="380" t="s">
        <v>212</v>
      </c>
      <c r="D8" s="382" t="s">
        <v>90</v>
      </c>
      <c r="E8" s="382">
        <v>0</v>
      </c>
      <c r="F8" s="382" t="s">
        <v>213</v>
      </c>
      <c r="G8" s="382" t="s">
        <v>213</v>
      </c>
      <c r="H8" s="382">
        <v>5</v>
      </c>
      <c r="I8" s="382">
        <v>109.94</v>
      </c>
      <c r="J8" s="382">
        <v>549.70000000000005</v>
      </c>
      <c r="K8" s="382">
        <v>549.70000000000005</v>
      </c>
      <c r="L8" s="377">
        <f t="shared" si="1"/>
        <v>549.70000000000005</v>
      </c>
      <c r="M8" s="68">
        <f t="shared" si="2"/>
        <v>0</v>
      </c>
      <c r="N8" s="8"/>
      <c r="O8" s="69"/>
      <c r="R8" s="223"/>
    </row>
    <row r="9" spans="1:18">
      <c r="A9" s="220">
        <v>6</v>
      </c>
      <c r="B9" s="316" t="s">
        <v>190</v>
      </c>
      <c r="C9" s="383" t="s">
        <v>100</v>
      </c>
      <c r="D9" s="384" t="s">
        <v>90</v>
      </c>
      <c r="E9" s="384">
        <v>43.7</v>
      </c>
      <c r="F9" s="384">
        <v>97.71</v>
      </c>
      <c r="G9" s="384">
        <v>4269.93</v>
      </c>
      <c r="H9" s="384">
        <v>0</v>
      </c>
      <c r="I9" s="384" t="s">
        <v>213</v>
      </c>
      <c r="J9" s="384" t="s">
        <v>213</v>
      </c>
      <c r="K9" s="397">
        <v>4269.93</v>
      </c>
      <c r="L9" s="377">
        <f t="shared" si="1"/>
        <v>4269.93</v>
      </c>
      <c r="M9" s="68">
        <f t="shared" si="2"/>
        <v>0</v>
      </c>
      <c r="N9" s="8" t="s">
        <v>209</v>
      </c>
      <c r="O9" s="69"/>
    </row>
    <row r="10" spans="1:18">
      <c r="A10" s="221">
        <v>7</v>
      </c>
      <c r="B10" s="316" t="s">
        <v>190</v>
      </c>
      <c r="C10" s="383" t="s">
        <v>214</v>
      </c>
      <c r="D10" s="384" t="s">
        <v>215</v>
      </c>
      <c r="E10" s="384">
        <v>45.64</v>
      </c>
      <c r="F10" s="384">
        <v>96.66</v>
      </c>
      <c r="G10" s="384">
        <v>4411.5600000000004</v>
      </c>
      <c r="H10" s="384">
        <v>0</v>
      </c>
      <c r="I10" s="384" t="s">
        <v>213</v>
      </c>
      <c r="J10" s="384" t="s">
        <v>213</v>
      </c>
      <c r="K10" s="397">
        <v>4411.5600000000004</v>
      </c>
      <c r="L10" s="377">
        <f t="shared" si="1"/>
        <v>4411.5600000000004</v>
      </c>
      <c r="M10" s="68">
        <f t="shared" si="2"/>
        <v>0</v>
      </c>
      <c r="N10" s="8"/>
      <c r="O10" s="69"/>
    </row>
    <row r="11" spans="1:18">
      <c r="A11" s="220">
        <v>8</v>
      </c>
      <c r="B11" s="316" t="s">
        <v>190</v>
      </c>
      <c r="C11" s="383" t="s">
        <v>216</v>
      </c>
      <c r="D11" s="384" t="s">
        <v>217</v>
      </c>
      <c r="E11" s="384">
        <v>0</v>
      </c>
      <c r="F11" s="384" t="s">
        <v>213</v>
      </c>
      <c r="G11" s="384" t="s">
        <v>213</v>
      </c>
      <c r="H11" s="384">
        <v>5</v>
      </c>
      <c r="I11" s="384">
        <v>109.68</v>
      </c>
      <c r="J11" s="384">
        <v>548.4</v>
      </c>
      <c r="K11" s="384">
        <v>548.4</v>
      </c>
      <c r="L11" s="377">
        <f t="shared" si="1"/>
        <v>548.4</v>
      </c>
      <c r="M11" s="68">
        <f t="shared" si="2"/>
        <v>0</v>
      </c>
      <c r="N11" s="8" t="s">
        <v>209</v>
      </c>
      <c r="O11" s="69"/>
    </row>
    <row r="12" spans="1:18">
      <c r="A12" s="220">
        <v>9</v>
      </c>
      <c r="B12" s="316" t="s">
        <v>191</v>
      </c>
      <c r="C12" s="383" t="s">
        <v>218</v>
      </c>
      <c r="D12" s="384" t="s">
        <v>219</v>
      </c>
      <c r="E12" s="384">
        <v>0</v>
      </c>
      <c r="F12" s="384" t="s">
        <v>213</v>
      </c>
      <c r="G12" s="384" t="s">
        <v>213</v>
      </c>
      <c r="H12" s="384">
        <v>15</v>
      </c>
      <c r="I12" s="384">
        <v>108.86</v>
      </c>
      <c r="J12" s="384">
        <v>1632.9</v>
      </c>
      <c r="K12" s="397">
        <v>1632.9</v>
      </c>
      <c r="L12" s="397">
        <v>1632.9</v>
      </c>
      <c r="M12" s="68">
        <f t="shared" si="2"/>
        <v>0</v>
      </c>
      <c r="N12" s="8" t="s">
        <v>209</v>
      </c>
      <c r="O12" s="69"/>
    </row>
    <row r="13" spans="1:18">
      <c r="A13" s="221">
        <v>10</v>
      </c>
      <c r="B13" s="316" t="s">
        <v>192</v>
      </c>
      <c r="C13" s="103" t="s">
        <v>220</v>
      </c>
      <c r="D13" s="103" t="s">
        <v>221</v>
      </c>
      <c r="E13" s="103">
        <v>48.23</v>
      </c>
      <c r="F13" s="103">
        <v>97.34</v>
      </c>
      <c r="G13" s="103">
        <v>4694.71</v>
      </c>
      <c r="H13" s="103">
        <v>0</v>
      </c>
      <c r="I13" s="103"/>
      <c r="J13" s="103"/>
      <c r="K13" s="373">
        <v>4694.71</v>
      </c>
      <c r="L13" s="373">
        <v>4694.71</v>
      </c>
      <c r="M13" s="68">
        <f t="shared" si="2"/>
        <v>0</v>
      </c>
      <c r="N13" s="8"/>
      <c r="O13" s="69"/>
    </row>
    <row r="14" spans="1:18">
      <c r="A14" s="220">
        <v>11</v>
      </c>
      <c r="B14" s="316" t="s">
        <v>192</v>
      </c>
      <c r="C14" s="380" t="s">
        <v>222</v>
      </c>
      <c r="D14" s="382" t="s">
        <v>223</v>
      </c>
      <c r="E14" s="300">
        <v>46.87</v>
      </c>
      <c r="F14" s="300">
        <v>97.49</v>
      </c>
      <c r="G14" s="300">
        <v>4569.3599999999997</v>
      </c>
      <c r="H14" s="300">
        <v>0</v>
      </c>
      <c r="I14" s="300"/>
      <c r="J14" s="300"/>
      <c r="K14" s="377">
        <v>4569.3599999999997</v>
      </c>
      <c r="L14" s="377">
        <v>4569.3599999999997</v>
      </c>
      <c r="M14" s="68">
        <f t="shared" si="2"/>
        <v>0</v>
      </c>
      <c r="N14" s="8" t="s">
        <v>209</v>
      </c>
      <c r="O14" s="69"/>
    </row>
    <row r="15" spans="1:18">
      <c r="A15" s="220">
        <v>12</v>
      </c>
      <c r="B15" s="316" t="s">
        <v>192</v>
      </c>
      <c r="C15" s="383" t="s">
        <v>218</v>
      </c>
      <c r="D15" s="384" t="s">
        <v>219</v>
      </c>
      <c r="E15" s="311">
        <v>0</v>
      </c>
      <c r="F15" s="311"/>
      <c r="G15" s="311"/>
      <c r="H15" s="311">
        <v>5</v>
      </c>
      <c r="I15" s="311">
        <v>108.86</v>
      </c>
      <c r="J15" s="311">
        <v>544.29999999999995</v>
      </c>
      <c r="K15" s="385">
        <v>544.29999999999995</v>
      </c>
      <c r="L15" s="385">
        <v>544.29999999999995</v>
      </c>
      <c r="M15" s="68">
        <f t="shared" si="2"/>
        <v>0</v>
      </c>
      <c r="N15" s="8" t="s">
        <v>209</v>
      </c>
      <c r="O15" s="69"/>
    </row>
    <row r="16" spans="1:18">
      <c r="A16" s="221">
        <v>13</v>
      </c>
      <c r="B16" s="316" t="s">
        <v>224</v>
      </c>
      <c r="C16" s="380" t="s">
        <v>100</v>
      </c>
      <c r="D16" s="382" t="s">
        <v>90</v>
      </c>
      <c r="E16" s="382">
        <v>101.97</v>
      </c>
      <c r="F16" s="382">
        <v>97.71</v>
      </c>
      <c r="G16" s="382">
        <v>9963.49</v>
      </c>
      <c r="H16" s="382">
        <v>0</v>
      </c>
      <c r="I16" s="382" t="s">
        <v>213</v>
      </c>
      <c r="J16" s="382" t="s">
        <v>213</v>
      </c>
      <c r="K16" s="403">
        <v>9963.49</v>
      </c>
      <c r="L16" s="403">
        <v>9963.49</v>
      </c>
      <c r="M16" s="68">
        <f t="shared" si="2"/>
        <v>0</v>
      </c>
      <c r="N16" s="8"/>
      <c r="O16" s="69"/>
    </row>
    <row r="17" spans="1:17">
      <c r="A17" s="220">
        <v>14</v>
      </c>
      <c r="B17" s="316" t="s">
        <v>224</v>
      </c>
      <c r="C17" s="383" t="s">
        <v>225</v>
      </c>
      <c r="D17" s="384" t="s">
        <v>226</v>
      </c>
      <c r="E17" s="384">
        <v>46.45</v>
      </c>
      <c r="F17" s="384">
        <v>96.87</v>
      </c>
      <c r="G17" s="384">
        <v>4499.6099999999997</v>
      </c>
      <c r="H17" s="384">
        <v>0</v>
      </c>
      <c r="I17" s="384" t="s">
        <v>213</v>
      </c>
      <c r="J17" s="384" t="s">
        <v>213</v>
      </c>
      <c r="K17" s="397">
        <v>4499.6099999999997</v>
      </c>
      <c r="L17" s="397">
        <v>4499.6099999999997</v>
      </c>
      <c r="M17" s="68">
        <f t="shared" si="2"/>
        <v>0</v>
      </c>
      <c r="N17" s="8" t="s">
        <v>209</v>
      </c>
      <c r="O17" s="69"/>
    </row>
    <row r="18" spans="1:17">
      <c r="A18" s="220">
        <v>15</v>
      </c>
      <c r="B18" s="316" t="s">
        <v>224</v>
      </c>
      <c r="C18" s="383" t="s">
        <v>227</v>
      </c>
      <c r="D18" s="384" t="s">
        <v>228</v>
      </c>
      <c r="E18" s="384">
        <v>0</v>
      </c>
      <c r="F18" s="384" t="s">
        <v>213</v>
      </c>
      <c r="G18" s="384" t="s">
        <v>213</v>
      </c>
      <c r="H18" s="384">
        <v>5</v>
      </c>
      <c r="I18" s="384">
        <v>109.7</v>
      </c>
      <c r="J18" s="384">
        <v>550</v>
      </c>
      <c r="K18" s="384">
        <v>550</v>
      </c>
      <c r="L18" s="384">
        <v>550</v>
      </c>
      <c r="M18" s="68">
        <f>+M16+K18-L18</f>
        <v>0</v>
      </c>
      <c r="N18" s="8" t="s">
        <v>209</v>
      </c>
      <c r="O18" s="69"/>
    </row>
    <row r="19" spans="1:17">
      <c r="A19" s="221">
        <v>16</v>
      </c>
      <c r="B19" s="316" t="s">
        <v>193</v>
      </c>
      <c r="C19" s="380" t="s">
        <v>229</v>
      </c>
      <c r="D19" s="382" t="s">
        <v>230</v>
      </c>
      <c r="E19" s="300">
        <v>81.760000000000005</v>
      </c>
      <c r="F19" s="300">
        <v>86.75</v>
      </c>
      <c r="G19" s="300">
        <v>7092.68</v>
      </c>
      <c r="H19" s="300">
        <v>0</v>
      </c>
      <c r="I19" s="300"/>
      <c r="J19" s="300"/>
      <c r="K19" s="377">
        <v>7092.68</v>
      </c>
      <c r="L19" s="377">
        <v>7092.68</v>
      </c>
      <c r="M19" s="68">
        <f t="shared" si="2"/>
        <v>0</v>
      </c>
      <c r="N19" s="8" t="s">
        <v>209</v>
      </c>
      <c r="O19" s="69"/>
    </row>
    <row r="20" spans="1:17">
      <c r="A20" s="220">
        <v>17</v>
      </c>
      <c r="B20" s="316" t="s">
        <v>231</v>
      </c>
      <c r="C20" s="103" t="s">
        <v>212</v>
      </c>
      <c r="D20" s="103" t="s">
        <v>90</v>
      </c>
      <c r="E20" s="103">
        <v>0</v>
      </c>
      <c r="F20" s="103"/>
      <c r="G20" s="103"/>
      <c r="H20" s="103">
        <v>5</v>
      </c>
      <c r="I20" s="103">
        <v>109.94</v>
      </c>
      <c r="J20" s="103">
        <v>550</v>
      </c>
      <c r="K20" s="373">
        <v>550</v>
      </c>
      <c r="L20" s="373">
        <v>550</v>
      </c>
      <c r="M20" s="68">
        <f t="shared" si="2"/>
        <v>0</v>
      </c>
      <c r="N20" s="8" t="s">
        <v>209</v>
      </c>
      <c r="O20" s="69"/>
    </row>
    <row r="21" spans="1:17">
      <c r="A21" s="220">
        <v>18</v>
      </c>
      <c r="B21" s="316" t="s">
        <v>194</v>
      </c>
      <c r="C21" s="67" t="s">
        <v>212</v>
      </c>
      <c r="D21" s="158" t="s">
        <v>90</v>
      </c>
      <c r="E21" s="103">
        <v>51.84</v>
      </c>
      <c r="F21" s="255">
        <v>97.71</v>
      </c>
      <c r="G21" s="8">
        <v>5065.29</v>
      </c>
      <c r="H21" s="103">
        <v>0</v>
      </c>
      <c r="I21" s="255"/>
      <c r="J21" s="8"/>
      <c r="K21" s="373">
        <v>5065.29</v>
      </c>
      <c r="L21" s="373">
        <v>5065.29</v>
      </c>
      <c r="M21" s="68">
        <f t="shared" si="2"/>
        <v>0</v>
      </c>
      <c r="N21" s="8" t="s">
        <v>232</v>
      </c>
      <c r="O21" s="69"/>
    </row>
    <row r="22" spans="1:17">
      <c r="A22" s="221">
        <v>19</v>
      </c>
      <c r="B22" s="316" t="s">
        <v>233</v>
      </c>
      <c r="C22" s="380" t="s">
        <v>212</v>
      </c>
      <c r="D22" s="382" t="s">
        <v>90</v>
      </c>
      <c r="E22" s="382">
        <v>50</v>
      </c>
      <c r="F22" s="382">
        <v>97.71</v>
      </c>
      <c r="G22" s="382">
        <v>4885.5</v>
      </c>
      <c r="H22" s="382">
        <v>10</v>
      </c>
      <c r="I22" s="382">
        <v>109.94</v>
      </c>
      <c r="J22" s="382">
        <v>1099.4000000000001</v>
      </c>
      <c r="K22" s="403">
        <v>5984.9</v>
      </c>
      <c r="L22" s="403">
        <v>5984.9</v>
      </c>
      <c r="M22" s="68">
        <f t="shared" si="2"/>
        <v>0</v>
      </c>
      <c r="N22" s="8" t="s">
        <v>209</v>
      </c>
      <c r="O22" s="69"/>
    </row>
    <row r="23" spans="1:17">
      <c r="A23" s="220">
        <v>20</v>
      </c>
      <c r="B23" s="316" t="s">
        <v>233</v>
      </c>
      <c r="C23" s="383" t="s">
        <v>234</v>
      </c>
      <c r="D23" s="384" t="s">
        <v>235</v>
      </c>
      <c r="E23" s="384">
        <v>50.99</v>
      </c>
      <c r="F23" s="384">
        <v>96.88</v>
      </c>
      <c r="G23" s="384">
        <v>4939.91</v>
      </c>
      <c r="H23" s="384">
        <v>0</v>
      </c>
      <c r="I23" s="384" t="s">
        <v>213</v>
      </c>
      <c r="J23" s="384" t="s">
        <v>213</v>
      </c>
      <c r="K23" s="397">
        <v>4939.91</v>
      </c>
      <c r="L23" s="397">
        <v>4939.91</v>
      </c>
      <c r="M23" s="68">
        <f t="shared" si="2"/>
        <v>0</v>
      </c>
      <c r="N23" s="103"/>
      <c r="O23" s="69"/>
      <c r="Q23" s="22"/>
    </row>
    <row r="24" spans="1:17">
      <c r="A24" s="220">
        <v>21</v>
      </c>
      <c r="B24" s="316" t="s">
        <v>236</v>
      </c>
      <c r="C24" s="380" t="s">
        <v>237</v>
      </c>
      <c r="D24" s="382" t="s">
        <v>238</v>
      </c>
      <c r="E24" s="382">
        <v>45.31</v>
      </c>
      <c r="F24" s="382">
        <v>97.47</v>
      </c>
      <c r="G24" s="382">
        <v>4416.3599999999997</v>
      </c>
      <c r="H24" s="382">
        <v>0</v>
      </c>
      <c r="I24" s="382" t="s">
        <v>213</v>
      </c>
      <c r="J24" s="382" t="s">
        <v>213</v>
      </c>
      <c r="K24" s="403">
        <v>4416.3599999999997</v>
      </c>
      <c r="L24" s="403">
        <v>4416.3599999999997</v>
      </c>
      <c r="M24" s="68">
        <f t="shared" si="2"/>
        <v>0</v>
      </c>
      <c r="N24" s="8"/>
      <c r="O24" s="69"/>
    </row>
    <row r="25" spans="1:17">
      <c r="A25" s="221">
        <v>22</v>
      </c>
      <c r="B25" s="316" t="s">
        <v>239</v>
      </c>
      <c r="C25" s="449" t="s">
        <v>212</v>
      </c>
      <c r="D25" s="450" t="s">
        <v>90</v>
      </c>
      <c r="E25" s="450">
        <v>0</v>
      </c>
      <c r="F25" s="450" t="s">
        <v>213</v>
      </c>
      <c r="G25" s="450" t="s">
        <v>213</v>
      </c>
      <c r="H25" s="450">
        <v>5</v>
      </c>
      <c r="I25" s="450">
        <v>113.22</v>
      </c>
      <c r="J25" s="450">
        <f>H25*I25</f>
        <v>566.1</v>
      </c>
      <c r="K25" s="450">
        <v>566.1</v>
      </c>
      <c r="L25" s="450">
        <v>566.1</v>
      </c>
      <c r="M25" s="68">
        <f t="shared" si="2"/>
        <v>0</v>
      </c>
      <c r="N25" s="8"/>
      <c r="O25" s="69"/>
    </row>
    <row r="26" spans="1:17">
      <c r="A26" s="220">
        <v>23</v>
      </c>
      <c r="B26" s="316" t="s">
        <v>239</v>
      </c>
      <c r="C26" s="451" t="s">
        <v>216</v>
      </c>
      <c r="D26" s="452" t="s">
        <v>217</v>
      </c>
      <c r="E26" s="452">
        <v>0</v>
      </c>
      <c r="F26" s="452" t="s">
        <v>213</v>
      </c>
      <c r="G26" s="452" t="s">
        <v>213</v>
      </c>
      <c r="H26" s="452">
        <v>5</v>
      </c>
      <c r="I26" s="452">
        <v>112.96</v>
      </c>
      <c r="J26" s="450">
        <f t="shared" ref="J26:J37" si="4">H26*I26</f>
        <v>564.79999999999995</v>
      </c>
      <c r="K26" s="452">
        <v>564.79999999999995</v>
      </c>
      <c r="L26" s="452">
        <v>564.79999999999995</v>
      </c>
      <c r="M26" s="68">
        <f t="shared" si="2"/>
        <v>0</v>
      </c>
      <c r="N26" s="380" t="s">
        <v>232</v>
      </c>
      <c r="O26" s="69"/>
    </row>
    <row r="27" spans="1:17">
      <c r="A27" s="220">
        <v>24</v>
      </c>
      <c r="B27" s="316" t="s">
        <v>239</v>
      </c>
      <c r="C27" s="451" t="s">
        <v>229</v>
      </c>
      <c r="D27" s="452" t="s">
        <v>230</v>
      </c>
      <c r="E27" s="452">
        <v>51.37</v>
      </c>
      <c r="F27" s="452">
        <v>89.67</v>
      </c>
      <c r="G27" s="452">
        <v>4606.3500000000004</v>
      </c>
      <c r="H27" s="452">
        <v>0</v>
      </c>
      <c r="I27" s="452">
        <v>0</v>
      </c>
      <c r="J27" s="450">
        <f t="shared" si="4"/>
        <v>0</v>
      </c>
      <c r="K27" s="453">
        <v>4606.3500000000004</v>
      </c>
      <c r="L27" s="453">
        <v>4606.3500000000004</v>
      </c>
      <c r="M27" s="68">
        <f t="shared" si="2"/>
        <v>0</v>
      </c>
      <c r="N27" s="383" t="s">
        <v>209</v>
      </c>
      <c r="O27" s="69"/>
    </row>
    <row r="28" spans="1:17">
      <c r="A28" s="221">
        <v>25</v>
      </c>
      <c r="B28" s="316" t="s">
        <v>239</v>
      </c>
      <c r="C28" s="451" t="s">
        <v>100</v>
      </c>
      <c r="D28" s="452" t="s">
        <v>90</v>
      </c>
      <c r="E28" s="452">
        <v>48.42</v>
      </c>
      <c r="F28" s="452">
        <v>100.85</v>
      </c>
      <c r="G28" s="452">
        <v>4883.16</v>
      </c>
      <c r="H28" s="452">
        <v>0</v>
      </c>
      <c r="I28" s="452">
        <v>0</v>
      </c>
      <c r="J28" s="450">
        <f t="shared" si="4"/>
        <v>0</v>
      </c>
      <c r="K28" s="453">
        <v>4883.16</v>
      </c>
      <c r="L28" s="453">
        <v>4883.16</v>
      </c>
      <c r="M28" s="68">
        <f t="shared" si="2"/>
        <v>0</v>
      </c>
      <c r="N28" s="8"/>
      <c r="O28" s="69"/>
    </row>
    <row r="29" spans="1:17">
      <c r="A29" s="220">
        <v>26</v>
      </c>
      <c r="B29" s="316" t="s">
        <v>240</v>
      </c>
      <c r="C29" s="387" t="s">
        <v>222</v>
      </c>
      <c r="D29" s="311" t="s">
        <v>223</v>
      </c>
      <c r="E29" s="311">
        <v>46.1</v>
      </c>
      <c r="F29" s="311">
        <v>100.63</v>
      </c>
      <c r="G29" s="452">
        <v>4639.04</v>
      </c>
      <c r="H29" s="311">
        <v>0</v>
      </c>
      <c r="I29" s="452">
        <v>0</v>
      </c>
      <c r="J29" s="450">
        <f t="shared" si="4"/>
        <v>0</v>
      </c>
      <c r="K29" s="453">
        <v>4639.04</v>
      </c>
      <c r="L29" s="453">
        <v>4639.04</v>
      </c>
      <c r="M29" s="68">
        <f t="shared" si="2"/>
        <v>0</v>
      </c>
      <c r="N29" s="8"/>
      <c r="O29" s="69"/>
    </row>
    <row r="30" spans="1:17">
      <c r="A30" s="220">
        <v>27</v>
      </c>
      <c r="B30" s="316" t="s">
        <v>241</v>
      </c>
      <c r="C30" s="67" t="s">
        <v>212</v>
      </c>
      <c r="D30" s="158" t="s">
        <v>90</v>
      </c>
      <c r="E30" s="255">
        <v>51.87</v>
      </c>
      <c r="F30" s="255">
        <v>100.85</v>
      </c>
      <c r="G30" s="255">
        <v>5231.09</v>
      </c>
      <c r="H30" s="255">
        <v>0</v>
      </c>
      <c r="I30" s="452">
        <v>0</v>
      </c>
      <c r="J30" s="450">
        <f t="shared" si="4"/>
        <v>0</v>
      </c>
      <c r="K30" s="255">
        <v>5231.09</v>
      </c>
      <c r="L30" s="255">
        <v>5231.09</v>
      </c>
      <c r="M30" s="68">
        <f t="shared" si="2"/>
        <v>0</v>
      </c>
      <c r="N30" s="8"/>
      <c r="O30" s="69"/>
    </row>
    <row r="31" spans="1:17">
      <c r="A31" s="221">
        <v>28</v>
      </c>
      <c r="B31" s="316" t="s">
        <v>241</v>
      </c>
      <c r="C31" s="67" t="s">
        <v>242</v>
      </c>
      <c r="D31" s="158" t="s">
        <v>243</v>
      </c>
      <c r="E31" s="255">
        <v>10</v>
      </c>
      <c r="F31" s="255">
        <v>99.96</v>
      </c>
      <c r="G31" s="255">
        <v>999.6</v>
      </c>
      <c r="H31" s="255">
        <v>0</v>
      </c>
      <c r="I31" s="452">
        <v>0</v>
      </c>
      <c r="J31" s="450">
        <f t="shared" si="4"/>
        <v>0</v>
      </c>
      <c r="K31" s="255">
        <f>G31+J31</f>
        <v>999.6</v>
      </c>
      <c r="L31" s="255">
        <v>999.6</v>
      </c>
      <c r="M31" s="68">
        <f t="shared" si="2"/>
        <v>0</v>
      </c>
      <c r="N31" s="8"/>
      <c r="O31" s="69"/>
    </row>
    <row r="32" spans="1:17">
      <c r="A32" s="220">
        <v>29</v>
      </c>
      <c r="B32" s="316" t="s">
        <v>244</v>
      </c>
      <c r="C32" s="380" t="s">
        <v>100</v>
      </c>
      <c r="D32" s="382" t="s">
        <v>90</v>
      </c>
      <c r="E32" s="382">
        <v>0</v>
      </c>
      <c r="F32" s="382">
        <v>100.85</v>
      </c>
      <c r="G32" s="382">
        <v>0</v>
      </c>
      <c r="H32" s="382">
        <v>5</v>
      </c>
      <c r="I32" s="382">
        <v>113.22</v>
      </c>
      <c r="J32" s="450">
        <f t="shared" si="4"/>
        <v>566.1</v>
      </c>
      <c r="K32" s="255">
        <f t="shared" ref="K32:L37" si="5">G32+J32</f>
        <v>566.1</v>
      </c>
      <c r="L32" s="382">
        <v>566.1</v>
      </c>
      <c r="M32" s="68">
        <f t="shared" si="2"/>
        <v>0</v>
      </c>
      <c r="N32" s="8"/>
      <c r="O32" s="69"/>
    </row>
    <row r="33" spans="1:15">
      <c r="A33" s="220">
        <v>30</v>
      </c>
      <c r="B33" s="316" t="s">
        <v>244</v>
      </c>
      <c r="C33" s="383" t="s">
        <v>242</v>
      </c>
      <c r="D33" s="384" t="s">
        <v>243</v>
      </c>
      <c r="E33" s="384">
        <v>143.5</v>
      </c>
      <c r="F33" s="384">
        <v>99.96</v>
      </c>
      <c r="G33" s="384">
        <f>E33*F33</f>
        <v>14344.259999999998</v>
      </c>
      <c r="H33" s="384">
        <v>0</v>
      </c>
      <c r="I33" s="384">
        <v>0</v>
      </c>
      <c r="J33" s="450">
        <f t="shared" si="4"/>
        <v>0</v>
      </c>
      <c r="K33" s="255">
        <f t="shared" si="5"/>
        <v>14344.259999999998</v>
      </c>
      <c r="L33" s="397">
        <v>14344.26</v>
      </c>
      <c r="M33" s="68">
        <f t="shared" si="2"/>
        <v>0</v>
      </c>
      <c r="N33" s="8"/>
      <c r="O33" s="69"/>
    </row>
    <row r="34" spans="1:15">
      <c r="A34" s="220">
        <v>30</v>
      </c>
      <c r="B34" s="316" t="s">
        <v>244</v>
      </c>
      <c r="C34" s="383" t="s">
        <v>212</v>
      </c>
      <c r="D34" s="384" t="s">
        <v>90</v>
      </c>
      <c r="E34" s="384">
        <v>51.53</v>
      </c>
      <c r="F34" s="384">
        <v>100.85</v>
      </c>
      <c r="G34" s="384">
        <f t="shared" ref="G34:G38" si="6">E34*F34</f>
        <v>5196.8004999999994</v>
      </c>
      <c r="H34" s="384">
        <v>0</v>
      </c>
      <c r="I34" s="384">
        <v>0</v>
      </c>
      <c r="J34" s="450">
        <f t="shared" si="4"/>
        <v>0</v>
      </c>
      <c r="K34" s="255">
        <f t="shared" si="5"/>
        <v>5196.8004999999994</v>
      </c>
      <c r="L34" s="397">
        <v>5196.8</v>
      </c>
      <c r="M34" s="68">
        <f t="shared" si="2"/>
        <v>4.999999991923687E-4</v>
      </c>
      <c r="N34" s="8"/>
      <c r="O34" s="69"/>
    </row>
    <row r="35" spans="1:15">
      <c r="A35" s="221">
        <v>31</v>
      </c>
      <c r="B35" s="316" t="s">
        <v>244</v>
      </c>
      <c r="C35" s="383" t="s">
        <v>245</v>
      </c>
      <c r="D35" s="384" t="s">
        <v>246</v>
      </c>
      <c r="E35" s="384">
        <v>100</v>
      </c>
      <c r="F35" s="384">
        <v>100.47</v>
      </c>
      <c r="G35" s="384">
        <f t="shared" si="6"/>
        <v>10047</v>
      </c>
      <c r="H35" s="384">
        <v>0</v>
      </c>
      <c r="I35" s="384">
        <v>0</v>
      </c>
      <c r="J35" s="450">
        <f t="shared" si="4"/>
        <v>0</v>
      </c>
      <c r="K35" s="255">
        <f t="shared" si="5"/>
        <v>10047</v>
      </c>
      <c r="L35" s="397">
        <v>10047</v>
      </c>
      <c r="M35" s="68">
        <f t="shared" si="2"/>
        <v>4.99999998282874E-4</v>
      </c>
      <c r="N35" s="8"/>
      <c r="O35" s="69"/>
    </row>
    <row r="36" spans="1:15">
      <c r="A36" s="220">
        <v>32</v>
      </c>
      <c r="B36" s="316" t="s">
        <v>247</v>
      </c>
      <c r="C36" s="67" t="s">
        <v>248</v>
      </c>
      <c r="D36" s="158" t="s">
        <v>249</v>
      </c>
      <c r="E36" s="103">
        <v>49.48</v>
      </c>
      <c r="F36" s="255">
        <v>101.37</v>
      </c>
      <c r="G36" s="384">
        <f t="shared" si="6"/>
        <v>5015.7875999999997</v>
      </c>
      <c r="H36" s="103"/>
      <c r="I36" s="384">
        <v>0</v>
      </c>
      <c r="J36" s="450">
        <f t="shared" si="4"/>
        <v>0</v>
      </c>
      <c r="K36" s="255">
        <f t="shared" si="5"/>
        <v>5015.7875999999997</v>
      </c>
      <c r="L36" s="255">
        <f t="shared" si="5"/>
        <v>5015.7875999999997</v>
      </c>
      <c r="M36" s="68">
        <f t="shared" si="2"/>
        <v>4.99999998282874E-4</v>
      </c>
      <c r="N36" s="383"/>
      <c r="O36" s="69"/>
    </row>
    <row r="37" spans="1:15">
      <c r="A37" s="220">
        <v>33</v>
      </c>
      <c r="B37" s="316" t="s">
        <v>247</v>
      </c>
      <c r="C37" s="67" t="s">
        <v>250</v>
      </c>
      <c r="D37" s="158" t="s">
        <v>251</v>
      </c>
      <c r="E37" s="103"/>
      <c r="F37" s="255"/>
      <c r="G37" s="384">
        <f t="shared" si="6"/>
        <v>0</v>
      </c>
      <c r="H37" s="103">
        <v>5</v>
      </c>
      <c r="I37" s="382">
        <v>113.93</v>
      </c>
      <c r="J37" s="450">
        <f t="shared" si="4"/>
        <v>569.65000000000009</v>
      </c>
      <c r="K37" s="255">
        <f t="shared" ref="K37:L38" si="7">G37+J37</f>
        <v>569.65000000000009</v>
      </c>
      <c r="L37" s="255">
        <v>569.65</v>
      </c>
      <c r="M37" s="68">
        <f t="shared" si="2"/>
        <v>4.9999999839656084E-4</v>
      </c>
      <c r="N37" s="8"/>
      <c r="O37" s="69"/>
    </row>
    <row r="38" spans="1:15">
      <c r="A38" s="220"/>
      <c r="B38" s="316" t="s">
        <v>247</v>
      </c>
      <c r="C38" s="127" t="s">
        <v>252</v>
      </c>
      <c r="D38" s="158" t="s">
        <v>90</v>
      </c>
      <c r="E38" s="297">
        <v>36</v>
      </c>
      <c r="F38" s="392">
        <v>101.79</v>
      </c>
      <c r="G38" s="384">
        <f t="shared" si="6"/>
        <v>3664.44</v>
      </c>
      <c r="H38" s="297"/>
      <c r="I38" s="392"/>
      <c r="J38" s="19"/>
      <c r="K38" s="255">
        <f t="shared" si="7"/>
        <v>3664.44</v>
      </c>
      <c r="L38" s="19">
        <v>3664.44</v>
      </c>
      <c r="M38" s="68">
        <f t="shared" si="2"/>
        <v>4.99999998282874E-4</v>
      </c>
      <c r="N38" s="383"/>
      <c r="O38" s="69"/>
    </row>
    <row r="39" spans="1:15">
      <c r="A39" s="220"/>
      <c r="B39" s="316" t="s">
        <v>253</v>
      </c>
      <c r="C39" s="380" t="s">
        <v>216</v>
      </c>
      <c r="D39" s="382" t="s">
        <v>217</v>
      </c>
      <c r="E39" s="382">
        <v>49.04</v>
      </c>
      <c r="F39" s="382">
        <v>101.55</v>
      </c>
      <c r="G39" s="382">
        <v>4980.01</v>
      </c>
      <c r="H39" s="382">
        <v>0</v>
      </c>
      <c r="I39" s="382" t="s">
        <v>213</v>
      </c>
      <c r="J39" s="382" t="s">
        <v>213</v>
      </c>
      <c r="K39" s="403">
        <v>4980.01</v>
      </c>
      <c r="L39" s="403">
        <v>4980.01</v>
      </c>
      <c r="M39" s="68">
        <f t="shared" si="2"/>
        <v>4.99999998282874E-4</v>
      </c>
      <c r="N39" s="19"/>
      <c r="O39" s="69"/>
    </row>
    <row r="40" spans="1:15">
      <c r="A40" s="220"/>
      <c r="B40" s="316" t="s">
        <v>253</v>
      </c>
      <c r="C40" s="383" t="s">
        <v>100</v>
      </c>
      <c r="D40" s="384" t="s">
        <v>90</v>
      </c>
      <c r="E40" s="384">
        <v>0</v>
      </c>
      <c r="F40" s="384" t="s">
        <v>213</v>
      </c>
      <c r="G40" s="384" t="s">
        <v>213</v>
      </c>
      <c r="H40" s="384">
        <v>5</v>
      </c>
      <c r="I40" s="384">
        <v>114.18</v>
      </c>
      <c r="J40" s="384">
        <v>570.9</v>
      </c>
      <c r="K40" s="384">
        <v>570.9</v>
      </c>
      <c r="L40" s="384">
        <v>570.9</v>
      </c>
      <c r="M40" s="68">
        <f t="shared" si="2"/>
        <v>4.99999998282874E-4</v>
      </c>
      <c r="N40" s="19"/>
      <c r="O40" s="69"/>
    </row>
    <row r="41" spans="1:15">
      <c r="A41" s="220"/>
      <c r="B41" s="316" t="s">
        <v>253</v>
      </c>
      <c r="C41" s="475" t="s">
        <v>100</v>
      </c>
      <c r="D41" s="476" t="s">
        <v>90</v>
      </c>
      <c r="E41" s="476">
        <v>51.85</v>
      </c>
      <c r="F41" s="476">
        <v>100.85</v>
      </c>
      <c r="G41" s="476">
        <v>5229.07</v>
      </c>
      <c r="H41" s="476">
        <v>0</v>
      </c>
      <c r="I41" s="476" t="s">
        <v>213</v>
      </c>
      <c r="J41" s="476" t="s">
        <v>213</v>
      </c>
      <c r="K41" s="477">
        <v>5229.07</v>
      </c>
      <c r="L41" s="477">
        <v>5229.07</v>
      </c>
      <c r="M41" s="68">
        <f t="shared" si="2"/>
        <v>4.99999998282874E-4</v>
      </c>
      <c r="N41" s="19"/>
      <c r="O41" s="69"/>
    </row>
    <row r="42" spans="1:15">
      <c r="A42" s="220"/>
      <c r="B42" s="316" t="s">
        <v>253</v>
      </c>
      <c r="C42" s="383" t="s">
        <v>218</v>
      </c>
      <c r="D42" s="384" t="s">
        <v>219</v>
      </c>
      <c r="E42" s="384">
        <v>0</v>
      </c>
      <c r="F42" s="384" t="s">
        <v>213</v>
      </c>
      <c r="G42" s="384" t="s">
        <v>213</v>
      </c>
      <c r="H42" s="384">
        <v>8.11</v>
      </c>
      <c r="I42" s="384">
        <v>113.1</v>
      </c>
      <c r="J42" s="384">
        <v>917.24</v>
      </c>
      <c r="K42" s="384">
        <v>917.24</v>
      </c>
      <c r="L42" s="384">
        <v>917.24</v>
      </c>
      <c r="M42" s="68">
        <f t="shared" si="2"/>
        <v>4.99999998282874E-4</v>
      </c>
      <c r="N42" s="19"/>
      <c r="O42" s="69"/>
    </row>
    <row r="43" spans="1:15">
      <c r="A43" s="220"/>
      <c r="B43" s="316" t="s">
        <v>254</v>
      </c>
      <c r="C43" s="380" t="s">
        <v>100</v>
      </c>
      <c r="D43" s="382" t="s">
        <v>90</v>
      </c>
      <c r="E43" s="382">
        <v>25.44</v>
      </c>
      <c r="F43" s="382">
        <v>101.79</v>
      </c>
      <c r="G43" s="382">
        <v>2589.54</v>
      </c>
      <c r="H43" s="382">
        <v>0</v>
      </c>
      <c r="I43" s="382" t="s">
        <v>213</v>
      </c>
      <c r="J43" s="382">
        <v>0</v>
      </c>
      <c r="K43" s="403">
        <v>2589.54</v>
      </c>
      <c r="L43" s="403">
        <v>2589.54</v>
      </c>
      <c r="M43" s="68">
        <f t="shared" si="2"/>
        <v>4.99999998282874E-4</v>
      </c>
      <c r="N43" s="19"/>
      <c r="O43" s="69"/>
    </row>
    <row r="44" spans="1:15">
      <c r="A44" s="220"/>
      <c r="B44" s="316" t="s">
        <v>254</v>
      </c>
      <c r="C44" s="383" t="s">
        <v>242</v>
      </c>
      <c r="D44" s="384" t="s">
        <v>243</v>
      </c>
      <c r="E44" s="384">
        <v>95.19</v>
      </c>
      <c r="F44" s="384">
        <v>100.91</v>
      </c>
      <c r="G44" s="384">
        <v>9605.6200000000008</v>
      </c>
      <c r="H44" s="384">
        <v>30</v>
      </c>
      <c r="I44" s="384">
        <v>114.18</v>
      </c>
      <c r="J44" s="384">
        <v>3425.4</v>
      </c>
      <c r="K44" s="397">
        <v>13031.02</v>
      </c>
      <c r="L44" s="397">
        <v>13031.02</v>
      </c>
      <c r="M44" s="68">
        <f t="shared" si="2"/>
        <v>4.99999998282874E-4</v>
      </c>
      <c r="N44" s="19"/>
      <c r="O44" s="69"/>
    </row>
    <row r="45" spans="1:15">
      <c r="A45" s="220"/>
      <c r="B45" s="316" t="s">
        <v>254</v>
      </c>
      <c r="C45" s="383" t="s">
        <v>212</v>
      </c>
      <c r="D45" s="384" t="s">
        <v>90</v>
      </c>
      <c r="E45" s="384">
        <v>78.67</v>
      </c>
      <c r="F45" s="384">
        <v>101.79</v>
      </c>
      <c r="G45" s="384">
        <v>8007.82</v>
      </c>
      <c r="H45" s="384">
        <v>5</v>
      </c>
      <c r="I45" s="384">
        <v>114.18</v>
      </c>
      <c r="J45" s="384">
        <v>570.9</v>
      </c>
      <c r="K45" s="397">
        <v>8578.7199999999993</v>
      </c>
      <c r="L45" s="397">
        <v>8578.7199999999993</v>
      </c>
      <c r="M45" s="68">
        <f t="shared" si="2"/>
        <v>4.99999998282874E-4</v>
      </c>
      <c r="N45" s="19"/>
      <c r="O45" s="69"/>
    </row>
    <row r="46" spans="1:15">
      <c r="A46" s="220"/>
      <c r="B46" s="391" t="s">
        <v>255</v>
      </c>
      <c r="C46" s="383" t="s">
        <v>242</v>
      </c>
      <c r="D46" s="384" t="s">
        <v>90</v>
      </c>
      <c r="E46" s="297"/>
      <c r="F46" s="392"/>
      <c r="G46" s="19"/>
      <c r="H46" s="297">
        <v>10</v>
      </c>
      <c r="I46" s="392">
        <v>113.18</v>
      </c>
      <c r="J46" s="384">
        <v>1131.8</v>
      </c>
      <c r="K46" s="384">
        <v>1131.8</v>
      </c>
      <c r="L46" s="384">
        <v>1131.8</v>
      </c>
      <c r="M46" s="68">
        <f t="shared" si="2"/>
        <v>4.99999998282874E-4</v>
      </c>
      <c r="N46" s="19"/>
      <c r="O46" s="69"/>
    </row>
    <row r="47" spans="1:15">
      <c r="A47" s="220"/>
      <c r="B47" s="391" t="s">
        <v>255</v>
      </c>
      <c r="C47" s="380" t="s">
        <v>216</v>
      </c>
      <c r="D47" s="128" t="s">
        <v>217</v>
      </c>
      <c r="E47" s="297"/>
      <c r="F47" s="392"/>
      <c r="G47" s="19"/>
      <c r="H47" s="297">
        <v>10</v>
      </c>
      <c r="I47" s="392">
        <v>113.92</v>
      </c>
      <c r="J47" s="19">
        <v>1139.2</v>
      </c>
      <c r="K47" s="19">
        <v>1139.2</v>
      </c>
      <c r="L47" s="19">
        <v>1139.2</v>
      </c>
      <c r="M47" s="68">
        <f t="shared" si="2"/>
        <v>4.99999998282874E-4</v>
      </c>
      <c r="N47" s="19"/>
      <c r="O47" s="69"/>
    </row>
    <row r="48" spans="1:15">
      <c r="A48" s="220"/>
      <c r="B48" s="391" t="s">
        <v>256</v>
      </c>
      <c r="C48" s="380" t="s">
        <v>242</v>
      </c>
      <c r="D48" s="382" t="s">
        <v>243</v>
      </c>
      <c r="E48" s="382">
        <v>97.13</v>
      </c>
      <c r="F48" s="382">
        <v>101.86</v>
      </c>
      <c r="G48" s="382">
        <v>9893.66</v>
      </c>
      <c r="H48" s="382">
        <v>0</v>
      </c>
      <c r="I48" s="382" t="s">
        <v>213</v>
      </c>
      <c r="J48" s="382" t="s">
        <v>213</v>
      </c>
      <c r="K48" s="403">
        <v>9893.66</v>
      </c>
      <c r="L48" s="403">
        <v>9893.66</v>
      </c>
      <c r="M48" s="68">
        <f t="shared" si="2"/>
        <v>4.99999998282874E-4</v>
      </c>
      <c r="N48" s="19"/>
      <c r="O48" s="69"/>
    </row>
    <row r="49" spans="1:15">
      <c r="A49" s="220"/>
      <c r="B49" s="391" t="s">
        <v>256</v>
      </c>
      <c r="C49" s="383" t="s">
        <v>212</v>
      </c>
      <c r="D49" s="384" t="s">
        <v>90</v>
      </c>
      <c r="E49" s="384">
        <v>0</v>
      </c>
      <c r="F49" s="384" t="s">
        <v>213</v>
      </c>
      <c r="G49" s="384" t="s">
        <v>213</v>
      </c>
      <c r="H49" s="384">
        <v>10</v>
      </c>
      <c r="I49" s="384">
        <v>115.12</v>
      </c>
      <c r="J49" s="384">
        <v>1151.2</v>
      </c>
      <c r="K49" s="397">
        <v>1151.2</v>
      </c>
      <c r="L49" s="397">
        <v>1151.2</v>
      </c>
      <c r="M49" s="68">
        <f t="shared" si="2"/>
        <v>4.99999998282874E-4</v>
      </c>
      <c r="N49" s="19"/>
      <c r="O49" s="69"/>
    </row>
    <row r="50" spans="1:15">
      <c r="A50" s="220"/>
      <c r="B50" s="391" t="s">
        <v>256</v>
      </c>
      <c r="C50" s="383" t="s">
        <v>218</v>
      </c>
      <c r="D50" s="384" t="s">
        <v>219</v>
      </c>
      <c r="E50" s="384">
        <v>46.28</v>
      </c>
      <c r="F50" s="384">
        <v>101.78</v>
      </c>
      <c r="G50" s="384">
        <v>4710.38</v>
      </c>
      <c r="H50" s="384">
        <v>20</v>
      </c>
      <c r="I50" s="384">
        <v>114.04</v>
      </c>
      <c r="J50" s="384">
        <v>2280.8000000000002</v>
      </c>
      <c r="K50" s="397">
        <v>6991.18</v>
      </c>
      <c r="L50" s="397">
        <v>6991.18</v>
      </c>
      <c r="M50" s="68">
        <f t="shared" si="2"/>
        <v>4.99999998282874E-4</v>
      </c>
      <c r="N50" s="19"/>
      <c r="O50" s="69"/>
    </row>
    <row r="51" spans="1:15">
      <c r="A51" s="220"/>
      <c r="B51" s="391" t="s">
        <v>256</v>
      </c>
      <c r="C51" s="383" t="s">
        <v>245</v>
      </c>
      <c r="D51" s="384" t="s">
        <v>246</v>
      </c>
      <c r="E51" s="384">
        <v>52.11</v>
      </c>
      <c r="F51" s="384">
        <v>102.38</v>
      </c>
      <c r="G51" s="384">
        <v>5335.02</v>
      </c>
      <c r="H51" s="384">
        <v>0</v>
      </c>
      <c r="I51" s="384" t="s">
        <v>213</v>
      </c>
      <c r="J51" s="384" t="s">
        <v>213</v>
      </c>
      <c r="K51" s="397">
        <v>5335.02</v>
      </c>
      <c r="L51" s="397">
        <v>5335.02</v>
      </c>
      <c r="M51" s="68">
        <f t="shared" si="2"/>
        <v>4.99999998282874E-4</v>
      </c>
      <c r="N51" s="19"/>
      <c r="O51" s="69"/>
    </row>
    <row r="52" spans="1:15">
      <c r="A52" s="220"/>
      <c r="B52" s="391" t="s">
        <v>256</v>
      </c>
      <c r="C52" s="383" t="s">
        <v>257</v>
      </c>
      <c r="D52" s="384" t="s">
        <v>258</v>
      </c>
      <c r="E52" s="384">
        <v>46.07</v>
      </c>
      <c r="F52" s="384">
        <v>102.45</v>
      </c>
      <c r="G52" s="384">
        <v>4719.87</v>
      </c>
      <c r="H52" s="384">
        <v>0</v>
      </c>
      <c r="I52" s="384" t="s">
        <v>213</v>
      </c>
      <c r="J52" s="384" t="s">
        <v>213</v>
      </c>
      <c r="K52" s="397">
        <v>4719.87</v>
      </c>
      <c r="L52" s="397">
        <v>4719.87</v>
      </c>
      <c r="M52" s="68">
        <f t="shared" si="2"/>
        <v>4.99999998282874E-4</v>
      </c>
      <c r="N52" s="19"/>
      <c r="O52" s="69"/>
    </row>
    <row r="53" spans="1:15">
      <c r="A53" s="220"/>
      <c r="B53" s="391" t="s">
        <v>259</v>
      </c>
      <c r="C53" s="127" t="s">
        <v>229</v>
      </c>
      <c r="D53" s="128" t="s">
        <v>230</v>
      </c>
      <c r="E53" s="297">
        <v>49.8</v>
      </c>
      <c r="F53" s="392">
        <v>91.44</v>
      </c>
      <c r="G53" s="19">
        <v>4553.71</v>
      </c>
      <c r="H53" s="297">
        <v>0</v>
      </c>
      <c r="I53" s="392"/>
      <c r="J53" s="19"/>
      <c r="K53" s="19">
        <v>4553.71</v>
      </c>
      <c r="L53" s="19">
        <v>4553.71</v>
      </c>
      <c r="M53" s="68">
        <f t="shared" si="2"/>
        <v>4.99999998282874E-4</v>
      </c>
      <c r="N53" s="19"/>
      <c r="O53" s="69"/>
    </row>
    <row r="54" spans="1:15">
      <c r="A54" s="220"/>
      <c r="B54" s="391" t="s">
        <v>259</v>
      </c>
      <c r="C54" s="127" t="s">
        <v>100</v>
      </c>
      <c r="D54" s="128" t="s">
        <v>90</v>
      </c>
      <c r="E54" s="297">
        <v>46.44</v>
      </c>
      <c r="F54" s="392">
        <v>102.75</v>
      </c>
      <c r="G54" s="19">
        <v>4771.71</v>
      </c>
      <c r="H54" s="297">
        <v>0</v>
      </c>
      <c r="I54" s="392"/>
      <c r="J54" s="19"/>
      <c r="K54" s="19">
        <v>4771.71</v>
      </c>
      <c r="L54" s="19">
        <v>4771.71</v>
      </c>
      <c r="M54" s="68">
        <f t="shared" si="2"/>
        <v>4.99999998282874E-4</v>
      </c>
      <c r="N54" s="19"/>
      <c r="O54" s="69"/>
    </row>
    <row r="55" spans="1:15">
      <c r="A55" s="220"/>
      <c r="B55" s="391" t="s">
        <v>259</v>
      </c>
      <c r="C55" s="127" t="s">
        <v>260</v>
      </c>
      <c r="D55" s="128" t="s">
        <v>90</v>
      </c>
      <c r="E55" s="297">
        <v>0</v>
      </c>
      <c r="F55" s="392"/>
      <c r="G55" s="19"/>
      <c r="H55" s="297">
        <v>5</v>
      </c>
      <c r="I55" s="392">
        <v>115.12</v>
      </c>
      <c r="J55" s="19">
        <v>575.6</v>
      </c>
      <c r="K55" s="19">
        <v>575.6</v>
      </c>
      <c r="L55" s="19">
        <v>575.6</v>
      </c>
      <c r="M55" s="68">
        <f t="shared" si="2"/>
        <v>4.99999998282874E-4</v>
      </c>
      <c r="N55" s="19"/>
      <c r="O55" s="69"/>
    </row>
    <row r="56" spans="1:15">
      <c r="A56" s="220"/>
      <c r="B56" s="391" t="s">
        <v>261</v>
      </c>
      <c r="C56" s="127" t="s">
        <v>245</v>
      </c>
      <c r="D56" s="128" t="s">
        <v>246</v>
      </c>
      <c r="E56" s="297">
        <v>82.42</v>
      </c>
      <c r="F56" s="392">
        <v>105.21</v>
      </c>
      <c r="G56" s="19">
        <v>8671.41</v>
      </c>
      <c r="H56" s="297">
        <v>0</v>
      </c>
      <c r="I56" s="392"/>
      <c r="J56" s="19"/>
      <c r="K56" s="19">
        <v>8671.41</v>
      </c>
      <c r="L56" s="19">
        <v>8671.41</v>
      </c>
      <c r="M56" s="68">
        <f t="shared" si="2"/>
        <v>4.99999998282874E-4</v>
      </c>
      <c r="N56" s="19"/>
      <c r="O56" s="69"/>
    </row>
    <row r="57" spans="1:15">
      <c r="A57" s="220"/>
      <c r="B57" s="391" t="s">
        <v>261</v>
      </c>
      <c r="C57" s="127" t="s">
        <v>242</v>
      </c>
      <c r="D57" s="128" t="s">
        <v>243</v>
      </c>
      <c r="E57" s="297">
        <v>173.01</v>
      </c>
      <c r="F57" s="392">
        <v>104.7</v>
      </c>
      <c r="G57" s="19">
        <v>18114.150000000001</v>
      </c>
      <c r="H57" s="297">
        <v>0</v>
      </c>
      <c r="I57" s="392"/>
      <c r="J57" s="19"/>
      <c r="K57" s="19">
        <v>18114.150000000001</v>
      </c>
      <c r="L57" s="19">
        <v>18114.150000000001</v>
      </c>
      <c r="M57" s="68">
        <f t="shared" si="2"/>
        <v>4.99999998282874E-4</v>
      </c>
      <c r="N57" s="19"/>
      <c r="O57" s="69"/>
    </row>
    <row r="58" spans="1:15">
      <c r="A58" s="220"/>
      <c r="B58" s="391" t="s">
        <v>261</v>
      </c>
      <c r="C58" s="127" t="s">
        <v>262</v>
      </c>
      <c r="D58" s="128" t="s">
        <v>226</v>
      </c>
      <c r="E58" s="297">
        <v>53.13</v>
      </c>
      <c r="F58" s="392">
        <v>104.93</v>
      </c>
      <c r="G58" s="19">
        <v>5574.93</v>
      </c>
      <c r="H58" s="297">
        <v>0</v>
      </c>
      <c r="I58" s="392"/>
      <c r="J58" s="19"/>
      <c r="K58" s="19">
        <v>5574.93</v>
      </c>
      <c r="L58" s="19">
        <v>5574.93</v>
      </c>
      <c r="M58" s="68">
        <f t="shared" si="2"/>
        <v>4.99999998282874E-4</v>
      </c>
      <c r="N58" s="19"/>
      <c r="O58" s="69"/>
    </row>
    <row r="59" spans="1:15">
      <c r="A59" s="220"/>
      <c r="B59" s="391" t="s">
        <v>263</v>
      </c>
      <c r="C59" s="380" t="s">
        <v>216</v>
      </c>
      <c r="D59" s="382" t="s">
        <v>217</v>
      </c>
      <c r="E59" s="382">
        <v>46.36</v>
      </c>
      <c r="F59" s="382">
        <v>105.35</v>
      </c>
      <c r="G59" s="382">
        <v>4884.03</v>
      </c>
      <c r="H59" s="382">
        <v>5</v>
      </c>
      <c r="I59" s="382">
        <v>117.72</v>
      </c>
      <c r="J59" s="382">
        <v>588.6</v>
      </c>
      <c r="K59" s="403">
        <v>5472.63</v>
      </c>
      <c r="L59" s="403">
        <v>5472.63</v>
      </c>
      <c r="M59" s="68">
        <f t="shared" si="2"/>
        <v>4.99999998282874E-4</v>
      </c>
      <c r="N59" s="19"/>
      <c r="O59" s="69"/>
    </row>
    <row r="60" spans="1:15">
      <c r="A60" s="220"/>
      <c r="B60" s="391" t="s">
        <v>263</v>
      </c>
      <c r="C60" s="383" t="s">
        <v>218</v>
      </c>
      <c r="D60" s="384" t="s">
        <v>219</v>
      </c>
      <c r="E60" s="384">
        <v>68.900000000000006</v>
      </c>
      <c r="F60" s="384">
        <v>104.62</v>
      </c>
      <c r="G60" s="384">
        <v>7208.32</v>
      </c>
      <c r="H60" s="384">
        <v>0</v>
      </c>
      <c r="I60" s="384" t="s">
        <v>213</v>
      </c>
      <c r="J60" s="384" t="s">
        <v>213</v>
      </c>
      <c r="K60" s="397">
        <v>7208.32</v>
      </c>
      <c r="L60" s="397">
        <v>7208.32</v>
      </c>
      <c r="M60" s="68">
        <f t="shared" si="2"/>
        <v>4.99999998282874E-4</v>
      </c>
      <c r="N60" s="19"/>
      <c r="O60" s="69"/>
    </row>
    <row r="61" spans="1:15">
      <c r="A61" s="220"/>
      <c r="B61" s="391" t="s">
        <v>263</v>
      </c>
      <c r="C61" s="383" t="s">
        <v>242</v>
      </c>
      <c r="D61" s="384" t="s">
        <v>243</v>
      </c>
      <c r="E61" s="384">
        <v>10</v>
      </c>
      <c r="F61" s="384">
        <v>104.7</v>
      </c>
      <c r="G61" s="384">
        <v>1047</v>
      </c>
      <c r="H61" s="384">
        <v>0</v>
      </c>
      <c r="I61" s="384" t="s">
        <v>213</v>
      </c>
      <c r="J61" s="384" t="s">
        <v>213</v>
      </c>
      <c r="K61" s="397">
        <v>1047</v>
      </c>
      <c r="L61" s="397">
        <v>1047</v>
      </c>
      <c r="M61" s="68">
        <f t="shared" si="2"/>
        <v>4.99999998282874E-4</v>
      </c>
      <c r="N61" s="19"/>
      <c r="O61" s="69"/>
    </row>
    <row r="62" spans="1:15">
      <c r="A62" s="220"/>
      <c r="B62" s="391" t="s">
        <v>263</v>
      </c>
      <c r="C62" s="383" t="s">
        <v>212</v>
      </c>
      <c r="D62" s="384" t="s">
        <v>90</v>
      </c>
      <c r="E62" s="384">
        <v>0</v>
      </c>
      <c r="F62" s="384" t="s">
        <v>213</v>
      </c>
      <c r="G62" s="384" t="s">
        <v>213</v>
      </c>
      <c r="H62" s="384">
        <v>5</v>
      </c>
      <c r="I62" s="384">
        <v>117.98</v>
      </c>
      <c r="J62" s="384">
        <v>589.9</v>
      </c>
      <c r="K62" s="384">
        <v>589.9</v>
      </c>
      <c r="L62" s="384">
        <v>589.9</v>
      </c>
      <c r="M62" s="68">
        <f t="shared" si="2"/>
        <v>4.99999998282874E-4</v>
      </c>
      <c r="N62" s="19"/>
      <c r="O62" s="69"/>
    </row>
    <row r="63" spans="1:15">
      <c r="A63" s="220"/>
      <c r="B63" s="391" t="s">
        <v>263</v>
      </c>
      <c r="C63" s="383" t="s">
        <v>264</v>
      </c>
      <c r="D63" s="384" t="s">
        <v>265</v>
      </c>
      <c r="E63" s="384">
        <v>44.56</v>
      </c>
      <c r="F63" s="384">
        <v>105.33</v>
      </c>
      <c r="G63" s="384">
        <v>4693.5</v>
      </c>
      <c r="H63" s="384">
        <v>0</v>
      </c>
      <c r="I63" s="384" t="s">
        <v>213</v>
      </c>
      <c r="J63" s="384" t="s">
        <v>213</v>
      </c>
      <c r="K63" s="397">
        <v>4693.5</v>
      </c>
      <c r="L63" s="397">
        <v>4693.5</v>
      </c>
      <c r="M63" s="68">
        <f t="shared" si="2"/>
        <v>4.99999998282874E-4</v>
      </c>
      <c r="N63" s="19"/>
      <c r="O63" s="69"/>
    </row>
    <row r="64" spans="1:15">
      <c r="A64" s="220"/>
      <c r="B64" s="391" t="s">
        <v>266</v>
      </c>
      <c r="C64" s="383" t="s">
        <v>242</v>
      </c>
      <c r="D64" s="384" t="s">
        <v>243</v>
      </c>
      <c r="E64" s="384">
        <v>97.34</v>
      </c>
      <c r="F64" s="384">
        <v>104.7</v>
      </c>
      <c r="G64" s="384">
        <v>10191.5</v>
      </c>
      <c r="H64" s="384">
        <v>0</v>
      </c>
      <c r="I64" s="384" t="s">
        <v>213</v>
      </c>
      <c r="J64" s="384" t="s">
        <v>213</v>
      </c>
      <c r="K64" s="397">
        <v>10191.5</v>
      </c>
      <c r="L64" s="397">
        <v>10191.5</v>
      </c>
      <c r="M64" s="68">
        <f t="shared" si="2"/>
        <v>4.99999998282874E-4</v>
      </c>
      <c r="N64" s="19"/>
      <c r="O64" s="69"/>
    </row>
    <row r="65" spans="1:15">
      <c r="A65" s="220"/>
      <c r="B65" s="391" t="s">
        <v>266</v>
      </c>
      <c r="C65" s="383" t="s">
        <v>245</v>
      </c>
      <c r="D65" s="384" t="s">
        <v>246</v>
      </c>
      <c r="E65" s="384">
        <v>50</v>
      </c>
      <c r="F65" s="384">
        <v>105.21</v>
      </c>
      <c r="G65" s="384">
        <v>5260.5</v>
      </c>
      <c r="H65" s="384">
        <v>0</v>
      </c>
      <c r="I65" s="384" t="s">
        <v>213</v>
      </c>
      <c r="J65" s="384" t="s">
        <v>213</v>
      </c>
      <c r="K65" s="397">
        <v>5260.5</v>
      </c>
      <c r="L65" s="397">
        <v>5260.5</v>
      </c>
      <c r="M65" s="68">
        <f t="shared" si="2"/>
        <v>4.99999998282874E-4</v>
      </c>
      <c r="N65" s="19"/>
      <c r="O65" s="69"/>
    </row>
    <row r="66" spans="1:15">
      <c r="A66" s="220"/>
      <c r="B66" s="391" t="s">
        <v>266</v>
      </c>
      <c r="C66" s="383" t="s">
        <v>245</v>
      </c>
      <c r="D66" s="384" t="s">
        <v>246</v>
      </c>
      <c r="E66" s="384">
        <v>70</v>
      </c>
      <c r="F66" s="384">
        <v>105.21</v>
      </c>
      <c r="G66" s="384">
        <v>7364.7</v>
      </c>
      <c r="H66" s="384">
        <v>0</v>
      </c>
      <c r="I66" s="384" t="s">
        <v>213</v>
      </c>
      <c r="J66" s="384" t="s">
        <v>213</v>
      </c>
      <c r="K66" s="397">
        <v>7364.7</v>
      </c>
      <c r="L66" s="397">
        <v>7364.7</v>
      </c>
      <c r="M66" s="68">
        <f t="shared" si="2"/>
        <v>4.99999998282874E-4</v>
      </c>
      <c r="N66" s="19"/>
      <c r="O66" s="69"/>
    </row>
    <row r="67" spans="1:15">
      <c r="A67" s="220"/>
      <c r="B67" s="391" t="s">
        <v>266</v>
      </c>
      <c r="C67" s="383" t="s">
        <v>218</v>
      </c>
      <c r="D67" s="384" t="s">
        <v>219</v>
      </c>
      <c r="E67" s="384">
        <v>0</v>
      </c>
      <c r="F67" s="384">
        <v>0</v>
      </c>
      <c r="G67" s="384">
        <v>0</v>
      </c>
      <c r="H67" s="384">
        <v>15</v>
      </c>
      <c r="I67" s="384">
        <v>116.9</v>
      </c>
      <c r="J67" s="384">
        <v>1753.5</v>
      </c>
      <c r="K67" s="397">
        <v>1753.5</v>
      </c>
      <c r="L67" s="397">
        <v>1753.5</v>
      </c>
      <c r="M67" s="68">
        <f t="shared" si="2"/>
        <v>4.99999998282874E-4</v>
      </c>
      <c r="N67" s="19"/>
      <c r="O67" s="69"/>
    </row>
    <row r="68" spans="1:15">
      <c r="A68" s="220"/>
      <c r="B68" s="391" t="s">
        <v>266</v>
      </c>
      <c r="C68" s="383" t="s">
        <v>242</v>
      </c>
      <c r="D68" s="384" t="s">
        <v>243</v>
      </c>
      <c r="E68" s="384">
        <v>0</v>
      </c>
      <c r="F68" s="384">
        <v>0</v>
      </c>
      <c r="G68" s="384">
        <v>0</v>
      </c>
      <c r="H68" s="384">
        <v>5</v>
      </c>
      <c r="I68" s="384">
        <v>116.99</v>
      </c>
      <c r="J68" s="384">
        <v>584.95000000000005</v>
      </c>
      <c r="K68" s="384">
        <v>584.95000000000005</v>
      </c>
      <c r="L68" s="384">
        <v>584.95000000000005</v>
      </c>
      <c r="M68" s="68">
        <f t="shared" si="2"/>
        <v>4.99999998282874E-4</v>
      </c>
      <c r="N68" s="19"/>
      <c r="O68" s="69"/>
    </row>
    <row r="69" spans="1:15">
      <c r="A69" s="220"/>
      <c r="B69" s="391" t="s">
        <v>266</v>
      </c>
      <c r="C69" s="383" t="s">
        <v>257</v>
      </c>
      <c r="D69" s="384" t="s">
        <v>258</v>
      </c>
      <c r="E69" s="384">
        <v>48.06</v>
      </c>
      <c r="F69" s="384">
        <v>105.29</v>
      </c>
      <c r="G69" s="384">
        <v>5060.24</v>
      </c>
      <c r="H69" s="384">
        <v>0</v>
      </c>
      <c r="I69" s="384" t="s">
        <v>213</v>
      </c>
      <c r="J69" s="384" t="s">
        <v>213</v>
      </c>
      <c r="K69" s="397">
        <v>5060.24</v>
      </c>
      <c r="L69" s="397">
        <v>5060.24</v>
      </c>
      <c r="M69" s="68">
        <f t="shared" ref="M69:M76" si="8">+M68+K69-L69</f>
        <v>4.99999998282874E-4</v>
      </c>
      <c r="N69" s="19"/>
      <c r="O69" s="69"/>
    </row>
    <row r="70" spans="1:15">
      <c r="A70" s="220"/>
      <c r="B70" s="391" t="s">
        <v>266</v>
      </c>
      <c r="C70" s="383" t="s">
        <v>267</v>
      </c>
      <c r="D70" s="384" t="s">
        <v>230</v>
      </c>
      <c r="E70" s="384">
        <v>55.41</v>
      </c>
      <c r="F70" s="384">
        <v>94.03</v>
      </c>
      <c r="G70" s="384">
        <v>5210.2</v>
      </c>
      <c r="H70" s="384">
        <v>0</v>
      </c>
      <c r="I70" s="384" t="s">
        <v>213</v>
      </c>
      <c r="J70" s="384" t="s">
        <v>213</v>
      </c>
      <c r="K70" s="397">
        <v>5210.2</v>
      </c>
      <c r="L70" s="397">
        <v>5210.2</v>
      </c>
      <c r="M70" s="68">
        <f t="shared" si="8"/>
        <v>4.99999998282874E-4</v>
      </c>
      <c r="N70" s="19"/>
      <c r="O70" s="69"/>
    </row>
    <row r="71" spans="1:15">
      <c r="A71" s="220"/>
      <c r="B71" s="391" t="s">
        <v>268</v>
      </c>
      <c r="C71" s="383" t="s">
        <v>245</v>
      </c>
      <c r="D71" s="384" t="s">
        <v>246</v>
      </c>
      <c r="E71" s="384">
        <v>50</v>
      </c>
      <c r="F71" s="384">
        <v>105.21</v>
      </c>
      <c r="G71" s="384">
        <v>5260.5</v>
      </c>
      <c r="H71" s="384">
        <v>0</v>
      </c>
      <c r="I71" s="384" t="s">
        <v>213</v>
      </c>
      <c r="J71" s="384" t="s">
        <v>213</v>
      </c>
      <c r="K71" s="397">
        <v>5260.5</v>
      </c>
      <c r="L71" s="397">
        <v>5260.5</v>
      </c>
      <c r="M71" s="68">
        <f t="shared" si="8"/>
        <v>4.99999998282874E-4</v>
      </c>
      <c r="N71" s="19"/>
      <c r="O71" s="69"/>
    </row>
    <row r="72" spans="1:15">
      <c r="A72" s="220"/>
      <c r="B72" s="391" t="s">
        <v>269</v>
      </c>
      <c r="C72" s="380" t="s">
        <v>100</v>
      </c>
      <c r="D72" s="382" t="s">
        <v>90</v>
      </c>
      <c r="E72" s="382">
        <v>37.18</v>
      </c>
      <c r="F72" s="382">
        <v>105.59</v>
      </c>
      <c r="G72" s="382">
        <v>3925.84</v>
      </c>
      <c r="H72" s="382">
        <v>0</v>
      </c>
      <c r="I72" s="382" t="s">
        <v>213</v>
      </c>
      <c r="J72" s="382" t="s">
        <v>213</v>
      </c>
      <c r="K72" s="403">
        <v>3925.84</v>
      </c>
      <c r="L72" s="403">
        <v>3925.84</v>
      </c>
      <c r="M72" s="68">
        <f t="shared" si="8"/>
        <v>4.99999998282874E-4</v>
      </c>
      <c r="N72" s="19"/>
      <c r="O72" s="69"/>
    </row>
    <row r="73" spans="1:15">
      <c r="A73" s="220"/>
      <c r="B73" s="391" t="s">
        <v>269</v>
      </c>
      <c r="C73" s="383" t="s">
        <v>100</v>
      </c>
      <c r="D73" s="384" t="s">
        <v>90</v>
      </c>
      <c r="E73" s="384">
        <v>0</v>
      </c>
      <c r="F73" s="384">
        <v>0</v>
      </c>
      <c r="G73" s="384">
        <v>0</v>
      </c>
      <c r="H73" s="384">
        <v>5</v>
      </c>
      <c r="I73" s="384">
        <v>117.98</v>
      </c>
      <c r="J73" s="384">
        <v>589.9</v>
      </c>
      <c r="K73" s="384">
        <v>589.9</v>
      </c>
      <c r="L73" s="384">
        <v>589.9</v>
      </c>
      <c r="M73" s="68">
        <f t="shared" si="8"/>
        <v>4.99999998282874E-4</v>
      </c>
      <c r="N73" s="19"/>
      <c r="O73" s="69"/>
    </row>
    <row r="74" spans="1:15">
      <c r="A74" s="220"/>
      <c r="B74" s="391" t="s">
        <v>269</v>
      </c>
      <c r="C74" s="383" t="s">
        <v>245</v>
      </c>
      <c r="D74" s="384" t="s">
        <v>246</v>
      </c>
      <c r="E74" s="384">
        <v>50</v>
      </c>
      <c r="F74" s="384">
        <v>105.21</v>
      </c>
      <c r="G74" s="384">
        <v>5260.5</v>
      </c>
      <c r="H74" s="384">
        <v>0</v>
      </c>
      <c r="I74" s="384">
        <v>0</v>
      </c>
      <c r="J74" s="384">
        <v>0</v>
      </c>
      <c r="K74" s="397">
        <v>5260.5</v>
      </c>
      <c r="L74" s="397">
        <v>5260.5</v>
      </c>
      <c r="M74" s="68">
        <f t="shared" si="8"/>
        <v>4.99999998282874E-4</v>
      </c>
      <c r="N74" s="19"/>
      <c r="O74" s="69"/>
    </row>
    <row r="75" spans="1:15">
      <c r="A75" s="220"/>
      <c r="B75" s="391" t="s">
        <v>269</v>
      </c>
      <c r="C75" s="383" t="s">
        <v>245</v>
      </c>
      <c r="D75" s="384" t="s">
        <v>246</v>
      </c>
      <c r="E75" s="384">
        <v>50</v>
      </c>
      <c r="F75" s="384">
        <v>105.21</v>
      </c>
      <c r="G75" s="384">
        <v>5260.5</v>
      </c>
      <c r="H75" s="384">
        <v>0</v>
      </c>
      <c r="I75" s="384">
        <v>0</v>
      </c>
      <c r="J75" s="384">
        <v>0</v>
      </c>
      <c r="K75" s="397">
        <v>5260.5</v>
      </c>
      <c r="L75" s="397">
        <v>5260.5</v>
      </c>
      <c r="M75" s="68">
        <f t="shared" si="8"/>
        <v>4.99999998282874E-4</v>
      </c>
      <c r="N75" s="19"/>
      <c r="O75" s="69"/>
    </row>
    <row r="76" spans="1:15">
      <c r="A76" s="220"/>
      <c r="B76" s="391" t="s">
        <v>269</v>
      </c>
      <c r="C76" s="383" t="s">
        <v>212</v>
      </c>
      <c r="D76" s="384" t="s">
        <v>90</v>
      </c>
      <c r="E76" s="384">
        <v>45.19</v>
      </c>
      <c r="F76" s="384">
        <v>105.59</v>
      </c>
      <c r="G76" s="384">
        <v>4771.6099999999997</v>
      </c>
      <c r="H76" s="384">
        <v>0</v>
      </c>
      <c r="I76" s="384">
        <v>0</v>
      </c>
      <c r="J76" s="384">
        <v>0</v>
      </c>
      <c r="K76" s="397">
        <v>4771.6099999999997</v>
      </c>
      <c r="L76" s="397">
        <v>4771.6099999999997</v>
      </c>
      <c r="M76" s="68">
        <f t="shared" si="8"/>
        <v>4.99999998282874E-4</v>
      </c>
      <c r="N76" s="19"/>
      <c r="O76" s="69"/>
    </row>
    <row r="77" spans="1:15">
      <c r="A77" s="220"/>
      <c r="B77" s="391" t="s">
        <v>270</v>
      </c>
      <c r="C77" s="380" t="s">
        <v>242</v>
      </c>
      <c r="D77" s="382" t="s">
        <v>243</v>
      </c>
      <c r="E77" s="382">
        <v>96</v>
      </c>
      <c r="F77" s="382">
        <v>104.7</v>
      </c>
      <c r="G77" s="382">
        <v>10051.200000000001</v>
      </c>
      <c r="H77" s="382">
        <v>0</v>
      </c>
      <c r="I77" s="382" t="s">
        <v>213</v>
      </c>
      <c r="J77" s="382" t="s">
        <v>213</v>
      </c>
      <c r="K77" s="403">
        <v>10051.200000000001</v>
      </c>
      <c r="L77" s="403">
        <v>10051.200000000001</v>
      </c>
      <c r="M77" s="68"/>
      <c r="N77" s="19"/>
      <c r="O77" s="69"/>
    </row>
    <row r="78" spans="1:15">
      <c r="A78" s="220"/>
      <c r="B78" s="391" t="s">
        <v>270</v>
      </c>
      <c r="C78" s="383" t="s">
        <v>242</v>
      </c>
      <c r="D78" s="384" t="s">
        <v>243</v>
      </c>
      <c r="E78" s="384">
        <v>10</v>
      </c>
      <c r="F78" s="384">
        <v>104.7</v>
      </c>
      <c r="G78" s="384">
        <v>1047</v>
      </c>
      <c r="H78" s="384">
        <v>0</v>
      </c>
      <c r="I78" s="384" t="s">
        <v>213</v>
      </c>
      <c r="J78" s="384" t="s">
        <v>213</v>
      </c>
      <c r="K78" s="397">
        <v>1047</v>
      </c>
      <c r="L78" s="397">
        <v>1047</v>
      </c>
      <c r="M78" s="68">
        <f>+M58+K78-L78</f>
        <v>4.99999998282874E-4</v>
      </c>
      <c r="N78" s="19"/>
      <c r="O78" s="69"/>
    </row>
    <row r="79" spans="1:15">
      <c r="A79" s="220"/>
      <c r="B79" s="391" t="s">
        <v>270</v>
      </c>
      <c r="C79" s="383" t="s">
        <v>271</v>
      </c>
      <c r="D79" s="384" t="s">
        <v>272</v>
      </c>
      <c r="E79" s="384">
        <v>0</v>
      </c>
      <c r="F79" s="384" t="s">
        <v>213</v>
      </c>
      <c r="G79" s="384">
        <v>0</v>
      </c>
      <c r="H79" s="384">
        <v>5</v>
      </c>
      <c r="I79" s="384">
        <v>118.01</v>
      </c>
      <c r="J79" s="384">
        <v>590.04999999999995</v>
      </c>
      <c r="K79" s="384">
        <v>590.04999999999995</v>
      </c>
      <c r="L79" s="384">
        <v>590.04999999999995</v>
      </c>
      <c r="M79" s="129"/>
      <c r="N79" s="19"/>
      <c r="O79" s="69"/>
    </row>
    <row r="80" spans="1:15">
      <c r="A80" s="220"/>
      <c r="B80" s="391" t="s">
        <v>270</v>
      </c>
      <c r="C80" s="383" t="s">
        <v>273</v>
      </c>
      <c r="D80" s="384" t="s">
        <v>90</v>
      </c>
      <c r="E80" s="384">
        <v>0</v>
      </c>
      <c r="F80" s="384" t="s">
        <v>213</v>
      </c>
      <c r="G80" s="384">
        <v>0</v>
      </c>
      <c r="H80" s="384">
        <v>5</v>
      </c>
      <c r="I80" s="384">
        <v>117.98</v>
      </c>
      <c r="J80" s="384">
        <v>589.9</v>
      </c>
      <c r="K80" s="384">
        <v>589.9</v>
      </c>
      <c r="L80" s="384">
        <v>589.9</v>
      </c>
      <c r="M80" s="129"/>
      <c r="N80" s="19"/>
      <c r="O80" s="69"/>
    </row>
    <row r="81" spans="1:15">
      <c r="A81" s="220"/>
      <c r="B81" s="391" t="s">
        <v>270</v>
      </c>
      <c r="C81" s="383" t="s">
        <v>245</v>
      </c>
      <c r="D81" s="384" t="s">
        <v>246</v>
      </c>
      <c r="E81" s="384">
        <v>0</v>
      </c>
      <c r="F81" s="384" t="s">
        <v>213</v>
      </c>
      <c r="G81" s="384">
        <v>0</v>
      </c>
      <c r="H81" s="384">
        <v>5</v>
      </c>
      <c r="I81" s="384">
        <v>117.58</v>
      </c>
      <c r="J81" s="384">
        <v>587.9</v>
      </c>
      <c r="K81" s="384">
        <v>587.9</v>
      </c>
      <c r="L81" s="384">
        <v>587.9</v>
      </c>
      <c r="M81" s="129"/>
      <c r="N81" s="19"/>
      <c r="O81" s="69"/>
    </row>
    <row r="82" spans="1:15">
      <c r="A82" s="220"/>
      <c r="B82" s="391" t="s">
        <v>270</v>
      </c>
      <c r="C82" s="383" t="s">
        <v>245</v>
      </c>
      <c r="D82" s="384" t="s">
        <v>246</v>
      </c>
      <c r="E82" s="384">
        <v>70</v>
      </c>
      <c r="F82" s="384">
        <v>105.21</v>
      </c>
      <c r="G82" s="384">
        <v>7364.7</v>
      </c>
      <c r="H82" s="384">
        <v>0</v>
      </c>
      <c r="I82" s="384">
        <v>0</v>
      </c>
      <c r="J82" s="384">
        <v>0</v>
      </c>
      <c r="K82" s="397">
        <v>7364.7</v>
      </c>
      <c r="L82" s="397">
        <v>7364.7</v>
      </c>
      <c r="M82" s="129"/>
      <c r="N82" s="19"/>
      <c r="O82" s="69"/>
    </row>
    <row r="83" spans="1:15">
      <c r="A83" s="220"/>
      <c r="B83" s="391" t="s">
        <v>270</v>
      </c>
      <c r="C83" s="383" t="s">
        <v>245</v>
      </c>
      <c r="D83" s="384" t="s">
        <v>246</v>
      </c>
      <c r="E83" s="384">
        <v>20</v>
      </c>
      <c r="F83" s="384">
        <v>105.21</v>
      </c>
      <c r="G83" s="384">
        <v>2104.1999999999998</v>
      </c>
      <c r="H83" s="384">
        <v>0</v>
      </c>
      <c r="I83" s="384">
        <v>0</v>
      </c>
      <c r="J83" s="384">
        <v>0</v>
      </c>
      <c r="K83" s="397">
        <v>2104.1999999999998</v>
      </c>
      <c r="L83" s="397">
        <v>2104.1999999999998</v>
      </c>
      <c r="M83" s="129"/>
      <c r="N83" s="19"/>
      <c r="O83" s="69"/>
    </row>
    <row r="84" spans="1:15">
      <c r="A84" s="220"/>
      <c r="B84" s="391" t="s">
        <v>274</v>
      </c>
      <c r="C84" s="489" t="s">
        <v>242</v>
      </c>
      <c r="D84" s="490" t="s">
        <v>243</v>
      </c>
      <c r="E84" s="490">
        <v>0</v>
      </c>
      <c r="F84" s="490" t="s">
        <v>213</v>
      </c>
      <c r="G84" s="490">
        <v>0</v>
      </c>
      <c r="H84" s="490">
        <v>5</v>
      </c>
      <c r="I84" s="490">
        <v>116.99</v>
      </c>
      <c r="J84" s="490">
        <v>584.95000000000005</v>
      </c>
      <c r="K84" s="490">
        <v>584.95000000000005</v>
      </c>
      <c r="L84" s="490">
        <v>584.95000000000005</v>
      </c>
      <c r="M84" s="129"/>
      <c r="N84" s="19"/>
      <c r="O84" s="69"/>
    </row>
    <row r="85" spans="1:15">
      <c r="A85" s="220"/>
      <c r="B85" s="391" t="s">
        <v>274</v>
      </c>
      <c r="C85" s="491" t="s">
        <v>273</v>
      </c>
      <c r="D85" s="492" t="s">
        <v>90</v>
      </c>
      <c r="E85" s="492">
        <v>49.32</v>
      </c>
      <c r="F85" s="492">
        <v>105.59</v>
      </c>
      <c r="G85" s="492">
        <v>5207.7</v>
      </c>
      <c r="H85" s="492">
        <v>0</v>
      </c>
      <c r="I85" s="492" t="s">
        <v>213</v>
      </c>
      <c r="J85" s="492">
        <v>0</v>
      </c>
      <c r="K85" s="493">
        <v>5207.7</v>
      </c>
      <c r="L85" s="493">
        <v>5207.7</v>
      </c>
      <c r="M85" s="129"/>
      <c r="N85" s="19"/>
      <c r="O85" s="69"/>
    </row>
    <row r="86" spans="1:15">
      <c r="A86" s="220"/>
      <c r="B86" s="391" t="s">
        <v>274</v>
      </c>
      <c r="C86" s="491" t="s">
        <v>242</v>
      </c>
      <c r="D86" s="492" t="s">
        <v>243</v>
      </c>
      <c r="E86" s="492">
        <v>49.95</v>
      </c>
      <c r="F86" s="492">
        <v>104.7</v>
      </c>
      <c r="G86" s="492">
        <v>5229.7700000000004</v>
      </c>
      <c r="H86" s="492">
        <v>0</v>
      </c>
      <c r="I86" s="492" t="s">
        <v>213</v>
      </c>
      <c r="J86" s="492">
        <v>0</v>
      </c>
      <c r="K86" s="493">
        <v>5229.7700000000004</v>
      </c>
      <c r="L86" s="493">
        <v>5229.7700000000004</v>
      </c>
      <c r="M86" s="129"/>
      <c r="N86" s="19"/>
      <c r="O86" s="69"/>
    </row>
    <row r="87" spans="1:15">
      <c r="A87" s="220"/>
      <c r="B87" s="391" t="s">
        <v>274</v>
      </c>
      <c r="C87" s="491" t="s">
        <v>218</v>
      </c>
      <c r="D87" s="492" t="s">
        <v>219</v>
      </c>
      <c r="E87" s="492">
        <v>50.31</v>
      </c>
      <c r="F87" s="492">
        <v>104.62</v>
      </c>
      <c r="G87" s="492">
        <v>5263.43</v>
      </c>
      <c r="H87" s="492">
        <v>0</v>
      </c>
      <c r="I87" s="492" t="s">
        <v>213</v>
      </c>
      <c r="J87" s="492">
        <v>0</v>
      </c>
      <c r="K87" s="493">
        <v>5263.43</v>
      </c>
      <c r="L87" s="493">
        <v>5263.43</v>
      </c>
      <c r="M87" s="129"/>
      <c r="N87" s="19"/>
      <c r="O87" s="69"/>
    </row>
    <row r="88" spans="1:15">
      <c r="A88" s="220"/>
      <c r="B88" s="391" t="s">
        <v>274</v>
      </c>
      <c r="C88" s="491" t="s">
        <v>218</v>
      </c>
      <c r="D88" s="492" t="s">
        <v>219</v>
      </c>
      <c r="E88" s="492">
        <v>0</v>
      </c>
      <c r="F88" s="492" t="s">
        <v>213</v>
      </c>
      <c r="G88" s="492">
        <v>0</v>
      </c>
      <c r="H88" s="492">
        <v>20</v>
      </c>
      <c r="I88" s="492">
        <v>116.9</v>
      </c>
      <c r="J88" s="492">
        <v>2338</v>
      </c>
      <c r="K88" s="493">
        <v>2338</v>
      </c>
      <c r="L88" s="493">
        <v>2338</v>
      </c>
      <c r="M88" s="129"/>
      <c r="N88" s="19"/>
      <c r="O88" s="69"/>
    </row>
    <row r="89" spans="1:15">
      <c r="A89" s="220"/>
      <c r="B89" s="391" t="s">
        <v>274</v>
      </c>
      <c r="C89" s="491" t="s">
        <v>245</v>
      </c>
      <c r="D89" s="492" t="s">
        <v>246</v>
      </c>
      <c r="E89" s="492">
        <v>48.07</v>
      </c>
      <c r="F89" s="492">
        <v>105.21</v>
      </c>
      <c r="G89" s="492">
        <v>5057.4399999999996</v>
      </c>
      <c r="H89" s="492">
        <v>0</v>
      </c>
      <c r="I89" s="492" t="s">
        <v>213</v>
      </c>
      <c r="J89" s="492">
        <v>0</v>
      </c>
      <c r="K89" s="493">
        <v>5057.4399999999996</v>
      </c>
      <c r="L89" s="493">
        <v>5057.4399999999996</v>
      </c>
      <c r="M89" s="129"/>
      <c r="N89" s="19"/>
      <c r="O89" s="69"/>
    </row>
    <row r="90" spans="1:15">
      <c r="A90" s="220"/>
      <c r="B90" s="391"/>
      <c r="C90" s="127"/>
      <c r="D90" s="128"/>
      <c r="E90" s="297"/>
      <c r="F90" s="392"/>
      <c r="G90" s="19"/>
      <c r="H90" s="297"/>
      <c r="I90" s="392"/>
      <c r="J90" s="19"/>
      <c r="K90" s="19"/>
      <c r="L90" s="19"/>
      <c r="M90" s="129"/>
      <c r="N90" s="19"/>
      <c r="O90" s="69"/>
    </row>
    <row r="91" spans="1:15">
      <c r="A91" s="220"/>
      <c r="B91" s="391"/>
      <c r="C91" s="127"/>
      <c r="D91" s="128"/>
      <c r="E91" s="297"/>
      <c r="F91" s="392"/>
      <c r="G91" s="19"/>
      <c r="H91" s="297"/>
      <c r="I91" s="392"/>
      <c r="J91" s="19"/>
      <c r="K91" s="19"/>
      <c r="L91" s="129"/>
      <c r="M91" s="129"/>
      <c r="N91" s="19"/>
      <c r="O91" s="69"/>
    </row>
    <row r="92" spans="1:15">
      <c r="A92" s="220"/>
      <c r="B92" s="391"/>
      <c r="C92" s="127"/>
      <c r="D92" s="128"/>
      <c r="E92" s="297"/>
      <c r="F92" s="392"/>
      <c r="G92" s="19"/>
      <c r="H92" s="297"/>
      <c r="I92" s="392"/>
      <c r="J92" s="19"/>
      <c r="K92" s="19"/>
      <c r="L92" s="129"/>
      <c r="M92" s="129"/>
      <c r="N92" s="19"/>
      <c r="O92" s="69"/>
    </row>
    <row r="93" spans="1:15">
      <c r="A93" s="220"/>
      <c r="B93" s="391"/>
      <c r="C93" s="127"/>
      <c r="D93" s="128"/>
      <c r="E93" s="297"/>
      <c r="F93" s="392"/>
      <c r="G93" s="19"/>
      <c r="H93" s="297"/>
      <c r="I93" s="392"/>
      <c r="J93" s="19"/>
      <c r="K93" s="19"/>
      <c r="L93" s="129"/>
      <c r="M93" s="129"/>
      <c r="N93" s="19"/>
      <c r="O93" s="69"/>
    </row>
    <row r="94" spans="1:15">
      <c r="A94" s="220"/>
      <c r="B94" s="391"/>
      <c r="C94" s="127"/>
      <c r="D94" s="128"/>
      <c r="E94" s="297"/>
      <c r="F94" s="392"/>
      <c r="G94" s="19"/>
      <c r="H94" s="297"/>
      <c r="I94" s="392"/>
      <c r="J94" s="19"/>
      <c r="K94" s="19"/>
      <c r="L94" s="129"/>
      <c r="M94" s="129"/>
      <c r="N94" s="19"/>
      <c r="O94" s="69"/>
    </row>
    <row r="95" spans="1:15">
      <c r="A95" s="220"/>
      <c r="B95" s="391"/>
      <c r="C95" s="127"/>
      <c r="D95" s="128"/>
      <c r="E95" s="297"/>
      <c r="F95" s="392"/>
      <c r="G95" s="19"/>
      <c r="H95" s="297"/>
      <c r="I95" s="392"/>
      <c r="J95" s="19"/>
      <c r="K95" s="19"/>
      <c r="L95" s="129"/>
      <c r="M95" s="129"/>
      <c r="N95" s="19"/>
      <c r="O95" s="69"/>
    </row>
    <row r="96" spans="1:15">
      <c r="A96" s="220"/>
      <c r="B96" s="391"/>
      <c r="C96" s="127"/>
      <c r="D96" s="128"/>
      <c r="E96" s="297"/>
      <c r="F96" s="392"/>
      <c r="G96" s="19"/>
      <c r="H96" s="297"/>
      <c r="I96" s="392"/>
      <c r="J96" s="19"/>
      <c r="K96" s="19"/>
      <c r="L96" s="129"/>
      <c r="M96" s="129"/>
      <c r="N96" s="19"/>
      <c r="O96" s="69"/>
    </row>
    <row r="97" spans="1:15">
      <c r="A97" s="220"/>
      <c r="B97" s="391"/>
      <c r="C97" s="127"/>
      <c r="D97" s="128"/>
      <c r="E97" s="297"/>
      <c r="F97" s="392"/>
      <c r="G97" s="19"/>
      <c r="H97" s="297"/>
      <c r="I97" s="392"/>
      <c r="J97" s="19"/>
      <c r="K97" s="19"/>
      <c r="L97" s="129"/>
      <c r="M97" s="129"/>
      <c r="N97" s="19"/>
      <c r="O97" s="69"/>
    </row>
    <row r="98" spans="1:15">
      <c r="A98" s="220"/>
      <c r="B98" s="391"/>
      <c r="C98" s="127"/>
      <c r="D98" s="128"/>
      <c r="E98" s="297"/>
      <c r="F98" s="392"/>
      <c r="G98" s="19"/>
      <c r="H98" s="297"/>
      <c r="I98" s="392"/>
      <c r="J98" s="19"/>
      <c r="K98" s="19"/>
      <c r="L98" s="129"/>
      <c r="M98" s="129"/>
      <c r="N98" s="19"/>
      <c r="O98" s="69"/>
    </row>
    <row r="99" spans="1:15">
      <c r="A99" s="220"/>
      <c r="B99" s="391"/>
      <c r="C99" s="127"/>
      <c r="D99" s="128"/>
      <c r="E99" s="297"/>
      <c r="F99" s="392"/>
      <c r="G99" s="19"/>
      <c r="H99" s="297"/>
      <c r="I99" s="392"/>
      <c r="J99" s="19"/>
      <c r="K99" s="19"/>
      <c r="L99" s="129"/>
      <c r="M99" s="129"/>
      <c r="N99" s="19"/>
      <c r="O99" s="69"/>
    </row>
    <row r="100" spans="1:15">
      <c r="A100" s="220"/>
      <c r="B100" s="391"/>
      <c r="C100" s="127"/>
      <c r="D100" s="128"/>
      <c r="E100" s="297"/>
      <c r="F100" s="392"/>
      <c r="G100" s="19"/>
      <c r="H100" s="297"/>
      <c r="I100" s="392"/>
      <c r="J100" s="19"/>
      <c r="K100" s="19"/>
      <c r="L100" s="129"/>
      <c r="M100" s="129"/>
      <c r="N100" s="19"/>
      <c r="O100" s="69"/>
    </row>
    <row r="101" spans="1:15">
      <c r="A101" s="220"/>
      <c r="B101" s="391"/>
      <c r="C101" s="127"/>
      <c r="D101" s="128"/>
      <c r="E101" s="297"/>
      <c r="F101" s="392"/>
      <c r="G101" s="19"/>
      <c r="H101" s="297"/>
      <c r="I101" s="392"/>
      <c r="J101" s="19"/>
      <c r="K101" s="19"/>
      <c r="L101" s="129"/>
      <c r="M101" s="129"/>
      <c r="N101" s="19"/>
      <c r="O101" s="69"/>
    </row>
    <row r="102" spans="1:15">
      <c r="A102" s="62"/>
      <c r="B102" s="159"/>
      <c r="C102" s="159"/>
      <c r="D102" s="159"/>
      <c r="E102" s="375">
        <f>SUM(E4:E101)</f>
        <v>3362.44</v>
      </c>
      <c r="F102" s="375"/>
      <c r="G102" s="160">
        <f>SUM(G4:G101)</f>
        <v>340456.84690000006</v>
      </c>
      <c r="H102" s="160">
        <f>SUM(H4:H101)</f>
        <v>258.11</v>
      </c>
      <c r="I102" s="160"/>
      <c r="J102" s="160">
        <f>SUM(J4:J101)</f>
        <v>29399.14</v>
      </c>
      <c r="K102" s="160">
        <f>SUM(K4:K101)</f>
        <v>369855.98690000013</v>
      </c>
      <c r="L102" s="160">
        <f>SUM(L4:L101)</f>
        <v>369855.98640000017</v>
      </c>
      <c r="M102" s="160"/>
      <c r="N102" s="160"/>
      <c r="O102" s="59"/>
    </row>
    <row r="103" spans="1:15">
      <c r="A103" s="72"/>
      <c r="B103" s="73"/>
      <c r="C103" s="72"/>
      <c r="D103" s="72"/>
      <c r="E103" s="74"/>
      <c r="F103" s="74"/>
      <c r="G103" s="74"/>
      <c r="H103" s="74"/>
      <c r="I103" s="74"/>
      <c r="J103" s="75"/>
      <c r="K103" s="75"/>
      <c r="L103" s="75"/>
      <c r="M103" s="75"/>
      <c r="N103" s="74"/>
      <c r="O103" s="69"/>
    </row>
    <row r="104" spans="1:15">
      <c r="O104" s="69"/>
    </row>
    <row r="105" spans="1:15">
      <c r="O105" s="69"/>
    </row>
    <row r="106" spans="1:15">
      <c r="O106" s="69"/>
    </row>
    <row r="107" spans="1:15">
      <c r="O107" s="69"/>
    </row>
    <row r="108" spans="1:15">
      <c r="O108" s="69"/>
    </row>
    <row r="109" spans="1:15">
      <c r="A109" s="69"/>
      <c r="B109" s="59"/>
      <c r="C109" s="69"/>
      <c r="D109" s="69"/>
      <c r="E109" s="69"/>
      <c r="F109" s="69"/>
      <c r="G109" s="76"/>
      <c r="H109" s="69"/>
      <c r="I109" s="69"/>
      <c r="J109" s="59"/>
      <c r="K109" s="59"/>
      <c r="L109" s="59"/>
      <c r="M109" s="59"/>
      <c r="N109" s="69"/>
      <c r="O109" s="74"/>
    </row>
    <row r="110" spans="1:15">
      <c r="A110" s="69"/>
      <c r="B110" s="554"/>
      <c r="C110" s="554"/>
      <c r="D110" s="554"/>
      <c r="E110" s="554"/>
      <c r="F110" s="69"/>
      <c r="G110" s="69"/>
      <c r="H110" s="69"/>
      <c r="I110" s="554"/>
      <c r="J110" s="554"/>
      <c r="K110" s="554"/>
      <c r="L110" s="554"/>
      <c r="M110" s="554"/>
      <c r="N110" s="554"/>
      <c r="O110" s="74"/>
    </row>
    <row r="111" spans="1:15">
      <c r="A111" s="69"/>
      <c r="B111" s="59"/>
      <c r="C111" s="69"/>
      <c r="D111" s="69"/>
      <c r="E111" s="69"/>
      <c r="F111" s="69"/>
      <c r="G111" s="69"/>
      <c r="H111" s="69"/>
      <c r="I111" s="69"/>
      <c r="J111" s="59"/>
      <c r="K111" s="59"/>
      <c r="L111" s="59"/>
      <c r="M111" s="59"/>
      <c r="N111" s="69"/>
      <c r="O111" s="74"/>
    </row>
  </sheetData>
  <mergeCells count="3">
    <mergeCell ref="A3:L3"/>
    <mergeCell ref="B110:E110"/>
    <mergeCell ref="I110:N1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2E-2155-45C4-A3B6-7C5C764249F4}">
  <dimension ref="A1:R45"/>
  <sheetViews>
    <sheetView topLeftCell="A18" workbookViewId="0">
      <selection activeCell="E32" sqref="E32"/>
    </sheetView>
  </sheetViews>
  <sheetFormatPr defaultColWidth="22.5703125" defaultRowHeight="15"/>
  <cols>
    <col min="1" max="1" width="10.5703125" customWidth="1"/>
    <col min="2" max="2" width="16.5703125" customWidth="1"/>
    <col min="3" max="3" width="11.85546875" customWidth="1"/>
    <col min="4" max="4" width="15.28515625" customWidth="1"/>
    <col min="5" max="5" width="12.7109375" customWidth="1"/>
    <col min="6" max="6" width="14.42578125" customWidth="1"/>
    <col min="7" max="7" width="10.85546875" bestFit="1" customWidth="1"/>
    <col min="8" max="8" width="16.140625" customWidth="1"/>
    <col min="9" max="9" width="15.140625" customWidth="1"/>
    <col min="10" max="10" width="9.7109375" bestFit="1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546" t="s">
        <v>204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82"/>
    </row>
    <row r="2" spans="1:18" ht="30.75">
      <c r="A2" s="97" t="s">
        <v>0</v>
      </c>
      <c r="B2" s="98" t="s">
        <v>166</v>
      </c>
      <c r="C2" s="98" t="s">
        <v>167</v>
      </c>
      <c r="D2" s="98" t="s">
        <v>198</v>
      </c>
      <c r="E2" s="254" t="s">
        <v>169</v>
      </c>
      <c r="F2" s="254" t="s">
        <v>170</v>
      </c>
      <c r="G2" s="98" t="s">
        <v>171</v>
      </c>
      <c r="H2" s="98" t="s">
        <v>172</v>
      </c>
      <c r="I2" s="98" t="s">
        <v>170</v>
      </c>
      <c r="J2" s="137" t="s">
        <v>171</v>
      </c>
      <c r="K2" s="99" t="s">
        <v>173</v>
      </c>
      <c r="L2" s="138" t="s">
        <v>174</v>
      </c>
      <c r="M2" s="142" t="s">
        <v>199</v>
      </c>
      <c r="N2" s="100" t="s">
        <v>176</v>
      </c>
      <c r="O2" s="59"/>
    </row>
    <row r="3" spans="1:18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9"/>
      <c r="M3" s="147">
        <v>0</v>
      </c>
      <c r="N3" s="155"/>
      <c r="O3" s="59"/>
    </row>
    <row r="4" spans="1:18">
      <c r="A4" s="195">
        <v>1</v>
      </c>
      <c r="B4" s="218">
        <v>46143</v>
      </c>
      <c r="C4" s="67"/>
      <c r="D4" s="158"/>
      <c r="E4" s="255"/>
      <c r="F4" s="255"/>
      <c r="G4" s="8">
        <f t="shared" ref="G4:G35" si="0">E4*F4</f>
        <v>0</v>
      </c>
      <c r="H4" s="65"/>
      <c r="I4" s="66"/>
      <c r="J4" s="8">
        <f>H4*I4</f>
        <v>0</v>
      </c>
      <c r="K4" s="8">
        <f>G4+J4</f>
        <v>0</v>
      </c>
      <c r="L4" s="68">
        <f>+K4</f>
        <v>0</v>
      </c>
      <c r="M4" s="68">
        <v>0</v>
      </c>
      <c r="N4" s="8"/>
    </row>
    <row r="5" spans="1:18">
      <c r="A5" s="46">
        <v>2</v>
      </c>
      <c r="B5" s="218">
        <v>46144</v>
      </c>
      <c r="C5" s="67"/>
      <c r="E5" s="255"/>
      <c r="F5" s="255"/>
      <c r="G5" s="8">
        <f t="shared" si="0"/>
        <v>0</v>
      </c>
      <c r="H5" s="65"/>
      <c r="I5" s="66"/>
      <c r="J5" s="8">
        <f t="shared" ref="J5:J35" si="1">H5*I5</f>
        <v>0</v>
      </c>
      <c r="K5" s="8">
        <f t="shared" ref="K5:K35" si="2">G5+J5</f>
        <v>0</v>
      </c>
      <c r="L5" s="68">
        <f t="shared" ref="L5:L35" si="3">+K5</f>
        <v>0</v>
      </c>
      <c r="M5" s="68">
        <v>0</v>
      </c>
      <c r="N5" s="181" t="s">
        <v>232</v>
      </c>
    </row>
    <row r="6" spans="1:18">
      <c r="A6" s="46">
        <v>3</v>
      </c>
      <c r="B6" s="218">
        <v>46145</v>
      </c>
      <c r="C6" s="67"/>
      <c r="D6" s="158"/>
      <c r="E6" s="255"/>
      <c r="F6" s="255"/>
      <c r="G6" s="8">
        <f t="shared" si="0"/>
        <v>0</v>
      </c>
      <c r="H6" s="65"/>
      <c r="I6" s="66"/>
      <c r="J6" s="8">
        <f t="shared" si="1"/>
        <v>0</v>
      </c>
      <c r="K6" s="8">
        <f t="shared" si="2"/>
        <v>0</v>
      </c>
      <c r="L6" s="68">
        <f t="shared" si="3"/>
        <v>0</v>
      </c>
      <c r="M6" s="366">
        <v>0</v>
      </c>
      <c r="N6" s="17"/>
    </row>
    <row r="7" spans="1:18">
      <c r="A7" s="46">
        <v>4</v>
      </c>
      <c r="B7" s="218">
        <v>46146</v>
      </c>
      <c r="C7" s="67"/>
      <c r="D7" s="158"/>
      <c r="E7" s="255"/>
      <c r="F7" s="255"/>
      <c r="G7" s="8">
        <f t="shared" si="0"/>
        <v>0</v>
      </c>
      <c r="H7" s="65"/>
      <c r="I7" s="66"/>
      <c r="J7" s="8">
        <f t="shared" si="1"/>
        <v>0</v>
      </c>
      <c r="K7" s="8">
        <f t="shared" si="2"/>
        <v>0</v>
      </c>
      <c r="L7" s="68">
        <f t="shared" si="3"/>
        <v>0</v>
      </c>
      <c r="M7" s="366">
        <v>0</v>
      </c>
      <c r="N7" s="8"/>
    </row>
    <row r="8" spans="1:18">
      <c r="A8" s="46">
        <v>5</v>
      </c>
      <c r="B8" s="218">
        <v>46147</v>
      </c>
      <c r="C8" s="67"/>
      <c r="D8" s="158"/>
      <c r="E8" s="255"/>
      <c r="F8" s="255"/>
      <c r="G8" s="8">
        <f t="shared" si="0"/>
        <v>0</v>
      </c>
      <c r="H8" s="65"/>
      <c r="I8" s="66"/>
      <c r="J8" s="8">
        <f t="shared" si="1"/>
        <v>0</v>
      </c>
      <c r="K8" s="8">
        <f t="shared" si="2"/>
        <v>0</v>
      </c>
      <c r="L8" s="68">
        <f t="shared" si="3"/>
        <v>0</v>
      </c>
      <c r="M8" s="366">
        <v>0</v>
      </c>
      <c r="N8" s="8"/>
      <c r="O8" s="69"/>
      <c r="R8" s="223"/>
    </row>
    <row r="9" spans="1:18">
      <c r="A9" s="46">
        <v>6</v>
      </c>
      <c r="B9" s="218">
        <v>46148</v>
      </c>
      <c r="C9" s="67"/>
      <c r="D9" s="158"/>
      <c r="E9" s="255"/>
      <c r="F9" s="255"/>
      <c r="G9" s="8">
        <f t="shared" si="0"/>
        <v>0</v>
      </c>
      <c r="H9" s="65"/>
      <c r="I9" s="66"/>
      <c r="J9" s="8">
        <f t="shared" si="1"/>
        <v>0</v>
      </c>
      <c r="K9" s="8">
        <f t="shared" si="2"/>
        <v>0</v>
      </c>
      <c r="L9" s="68">
        <f t="shared" si="3"/>
        <v>0</v>
      </c>
      <c r="M9" s="68">
        <v>0</v>
      </c>
      <c r="N9" s="19" t="s">
        <v>180</v>
      </c>
      <c r="O9" s="69"/>
    </row>
    <row r="10" spans="1:18">
      <c r="A10" s="46">
        <v>7</v>
      </c>
      <c r="B10" s="218">
        <v>46149</v>
      </c>
      <c r="C10" s="67"/>
      <c r="D10" s="158"/>
      <c r="E10" s="255"/>
      <c r="F10" s="255"/>
      <c r="G10" s="8">
        <f t="shared" si="0"/>
        <v>0</v>
      </c>
      <c r="H10" s="65"/>
      <c r="I10" s="66"/>
      <c r="J10" s="8">
        <f t="shared" si="1"/>
        <v>0</v>
      </c>
      <c r="K10" s="8">
        <f t="shared" si="2"/>
        <v>0</v>
      </c>
      <c r="L10" s="68">
        <f t="shared" si="3"/>
        <v>0</v>
      </c>
      <c r="M10" s="68">
        <v>0</v>
      </c>
      <c r="N10" s="8"/>
      <c r="O10" s="69">
        <v>169.99</v>
      </c>
    </row>
    <row r="11" spans="1:18">
      <c r="A11" s="46">
        <v>8</v>
      </c>
      <c r="B11" s="218">
        <v>46150</v>
      </c>
      <c r="C11" s="67"/>
      <c r="D11" s="158"/>
      <c r="E11" s="255"/>
      <c r="F11" s="255"/>
      <c r="G11" s="8">
        <f t="shared" si="0"/>
        <v>0</v>
      </c>
      <c r="H11" s="65"/>
      <c r="I11" s="66"/>
      <c r="J11" s="8">
        <f t="shared" si="1"/>
        <v>0</v>
      </c>
      <c r="K11" s="8">
        <f t="shared" si="2"/>
        <v>0</v>
      </c>
      <c r="L11" s="68">
        <f t="shared" si="3"/>
        <v>0</v>
      </c>
      <c r="M11" s="68">
        <v>0</v>
      </c>
      <c r="N11" s="8"/>
      <c r="O11" s="69">
        <v>80</v>
      </c>
    </row>
    <row r="12" spans="1:18">
      <c r="A12" s="46">
        <v>9</v>
      </c>
      <c r="B12" s="218">
        <v>46151</v>
      </c>
      <c r="C12" s="67"/>
      <c r="D12" s="158"/>
      <c r="E12" s="255"/>
      <c r="F12" s="255"/>
      <c r="G12" s="8">
        <f t="shared" si="0"/>
        <v>0</v>
      </c>
      <c r="H12" s="65"/>
      <c r="I12" s="66"/>
      <c r="J12" s="8">
        <f t="shared" si="1"/>
        <v>0</v>
      </c>
      <c r="K12" s="8">
        <f t="shared" si="2"/>
        <v>0</v>
      </c>
      <c r="L12" s="68">
        <f t="shared" si="3"/>
        <v>0</v>
      </c>
      <c r="M12" s="68">
        <v>0</v>
      </c>
      <c r="N12" s="8"/>
      <c r="O12" s="69">
        <f>SUM(O10:O11)</f>
        <v>249.99</v>
      </c>
      <c r="P12">
        <v>97.76</v>
      </c>
      <c r="Q12">
        <f>O12*P12</f>
        <v>24439.022400000002</v>
      </c>
    </row>
    <row r="13" spans="1:18">
      <c r="A13" s="46">
        <v>10</v>
      </c>
      <c r="B13" s="218">
        <v>46152</v>
      </c>
      <c r="C13" s="67"/>
      <c r="D13" s="158"/>
      <c r="E13" s="255"/>
      <c r="F13" s="255"/>
      <c r="G13" s="8">
        <f t="shared" si="0"/>
        <v>0</v>
      </c>
      <c r="H13" s="65"/>
      <c r="I13" s="66"/>
      <c r="J13" s="8">
        <f t="shared" si="1"/>
        <v>0</v>
      </c>
      <c r="K13" s="8">
        <f t="shared" si="2"/>
        <v>0</v>
      </c>
      <c r="L13" s="68">
        <f t="shared" si="3"/>
        <v>0</v>
      </c>
      <c r="M13" s="68">
        <v>0</v>
      </c>
      <c r="N13" s="8"/>
      <c r="O13" s="69"/>
    </row>
    <row r="14" spans="1:18">
      <c r="A14" s="46">
        <v>11</v>
      </c>
      <c r="B14" s="218">
        <v>46153</v>
      </c>
      <c r="C14" s="67"/>
      <c r="D14" s="158"/>
      <c r="E14" s="255"/>
      <c r="F14" s="255"/>
      <c r="G14" s="8">
        <f t="shared" si="0"/>
        <v>0</v>
      </c>
      <c r="H14" s="65"/>
      <c r="I14" s="66"/>
      <c r="J14" s="8">
        <f t="shared" si="1"/>
        <v>0</v>
      </c>
      <c r="K14" s="8">
        <f>G14+J14</f>
        <v>0</v>
      </c>
      <c r="L14" s="68">
        <f>+K14</f>
        <v>0</v>
      </c>
      <c r="M14" s="68">
        <v>0</v>
      </c>
      <c r="N14" s="8"/>
      <c r="O14" s="69"/>
    </row>
    <row r="15" spans="1:18">
      <c r="A15" s="46">
        <v>12</v>
      </c>
      <c r="B15" s="218">
        <v>46154</v>
      </c>
      <c r="C15" s="67"/>
      <c r="D15" s="158"/>
      <c r="E15" s="255"/>
      <c r="F15" s="255"/>
      <c r="G15" s="8">
        <f t="shared" si="0"/>
        <v>0</v>
      </c>
      <c r="H15" s="65"/>
      <c r="I15" s="66"/>
      <c r="J15" s="8">
        <f t="shared" si="1"/>
        <v>0</v>
      </c>
      <c r="K15" s="8">
        <f t="shared" si="2"/>
        <v>0</v>
      </c>
      <c r="L15" s="68">
        <f t="shared" si="3"/>
        <v>0</v>
      </c>
      <c r="M15" s="68">
        <v>0</v>
      </c>
      <c r="N15" s="8"/>
      <c r="O15" s="69"/>
      <c r="P15">
        <v>7820.8</v>
      </c>
    </row>
    <row r="16" spans="1:18">
      <c r="A16" s="46">
        <v>13</v>
      </c>
      <c r="B16" s="218">
        <v>46155</v>
      </c>
      <c r="C16" s="67"/>
      <c r="D16" s="158"/>
      <c r="E16" s="255"/>
      <c r="F16" s="255"/>
      <c r="G16" s="8">
        <f t="shared" si="0"/>
        <v>0</v>
      </c>
      <c r="H16" s="65"/>
      <c r="I16" s="66"/>
      <c r="J16" s="8">
        <f t="shared" si="1"/>
        <v>0</v>
      </c>
      <c r="K16" s="8">
        <f t="shared" si="2"/>
        <v>0</v>
      </c>
      <c r="L16" s="68">
        <f t="shared" si="3"/>
        <v>0</v>
      </c>
      <c r="M16" s="68">
        <v>0</v>
      </c>
      <c r="N16" s="8"/>
      <c r="O16" s="69"/>
      <c r="P16">
        <v>16619.2</v>
      </c>
    </row>
    <row r="17" spans="1:16">
      <c r="A17" s="46">
        <v>14</v>
      </c>
      <c r="B17" s="218">
        <v>46156</v>
      </c>
      <c r="C17" s="67"/>
      <c r="D17" s="158"/>
      <c r="E17" s="255"/>
      <c r="F17" s="255"/>
      <c r="G17" s="8">
        <f t="shared" si="0"/>
        <v>0</v>
      </c>
      <c r="H17" s="65"/>
      <c r="I17" s="66"/>
      <c r="J17" s="8">
        <f t="shared" si="1"/>
        <v>0</v>
      </c>
      <c r="K17" s="8">
        <f t="shared" si="2"/>
        <v>0</v>
      </c>
      <c r="L17" s="68">
        <f t="shared" si="3"/>
        <v>0</v>
      </c>
      <c r="M17" s="68">
        <v>0</v>
      </c>
      <c r="N17" s="8"/>
      <c r="O17" s="69"/>
      <c r="P17">
        <f>SUM(P15:P16)</f>
        <v>24440</v>
      </c>
    </row>
    <row r="18" spans="1:16">
      <c r="A18" s="46">
        <v>15</v>
      </c>
      <c r="B18" s="218">
        <v>46157</v>
      </c>
      <c r="C18" s="67"/>
      <c r="D18" s="158"/>
      <c r="E18" s="313"/>
      <c r="F18" s="313"/>
      <c r="G18" s="181">
        <f t="shared" si="0"/>
        <v>0</v>
      </c>
      <c r="H18" s="65"/>
      <c r="I18" s="66"/>
      <c r="J18" s="181">
        <f t="shared" si="1"/>
        <v>0</v>
      </c>
      <c r="K18" s="181">
        <f t="shared" si="2"/>
        <v>0</v>
      </c>
      <c r="L18" s="314">
        <f t="shared" si="3"/>
        <v>0</v>
      </c>
      <c r="M18" s="314">
        <v>0</v>
      </c>
      <c r="N18" s="8"/>
      <c r="O18" s="69"/>
    </row>
    <row r="19" spans="1:16">
      <c r="A19" s="46">
        <v>16</v>
      </c>
      <c r="B19" s="218">
        <v>46158</v>
      </c>
      <c r="C19" s="67"/>
      <c r="D19" s="312"/>
      <c r="E19" s="255"/>
      <c r="F19" s="255"/>
      <c r="G19" s="8">
        <f t="shared" si="0"/>
        <v>0</v>
      </c>
      <c r="H19" s="65"/>
      <c r="I19" s="66"/>
      <c r="J19" s="8">
        <f t="shared" si="1"/>
        <v>0</v>
      </c>
      <c r="K19" s="8">
        <f t="shared" si="2"/>
        <v>0</v>
      </c>
      <c r="L19" s="68">
        <f>+K19</f>
        <v>0</v>
      </c>
      <c r="M19" s="68">
        <v>0</v>
      </c>
      <c r="N19" s="192"/>
      <c r="O19" s="69"/>
    </row>
    <row r="20" spans="1:16">
      <c r="A20" s="46">
        <v>17</v>
      </c>
      <c r="B20" s="218">
        <v>46159</v>
      </c>
      <c r="C20" s="67"/>
      <c r="D20" s="312"/>
      <c r="E20" s="255"/>
      <c r="F20" s="255"/>
      <c r="G20" s="8">
        <f t="shared" si="0"/>
        <v>0</v>
      </c>
      <c r="H20" s="65"/>
      <c r="I20" s="66"/>
      <c r="J20" s="8">
        <f t="shared" si="1"/>
        <v>0</v>
      </c>
      <c r="K20" s="8">
        <f t="shared" si="2"/>
        <v>0</v>
      </c>
      <c r="L20" s="68">
        <f t="shared" si="3"/>
        <v>0</v>
      </c>
      <c r="M20" s="68">
        <v>0</v>
      </c>
      <c r="N20" s="192"/>
      <c r="O20" s="69"/>
    </row>
    <row r="21" spans="1:16">
      <c r="A21" s="46">
        <v>18</v>
      </c>
      <c r="B21" s="218">
        <v>46160</v>
      </c>
      <c r="C21" s="67"/>
      <c r="D21" s="312"/>
      <c r="E21" s="17"/>
      <c r="F21" s="17"/>
      <c r="G21" s="8">
        <f t="shared" si="0"/>
        <v>0</v>
      </c>
      <c r="H21" s="65"/>
      <c r="I21" s="66"/>
      <c r="J21" s="8">
        <f t="shared" si="1"/>
        <v>0</v>
      </c>
      <c r="K21" s="8">
        <f t="shared" si="2"/>
        <v>0</v>
      </c>
      <c r="L21" s="68">
        <f t="shared" si="3"/>
        <v>0</v>
      </c>
      <c r="M21" s="68">
        <v>0</v>
      </c>
      <c r="N21" s="192"/>
      <c r="O21" s="69"/>
    </row>
    <row r="22" spans="1:16">
      <c r="A22" s="46">
        <v>19</v>
      </c>
      <c r="B22" s="218">
        <v>46161</v>
      </c>
      <c r="C22" s="67"/>
      <c r="D22" s="312"/>
      <c r="E22" s="17"/>
      <c r="F22" s="17"/>
      <c r="G22" s="8">
        <f t="shared" si="0"/>
        <v>0</v>
      </c>
      <c r="H22" s="65"/>
      <c r="I22" s="66"/>
      <c r="J22" s="8">
        <f t="shared" si="1"/>
        <v>0</v>
      </c>
      <c r="K22" s="8">
        <f t="shared" si="2"/>
        <v>0</v>
      </c>
      <c r="L22" s="68">
        <f t="shared" si="3"/>
        <v>0</v>
      </c>
      <c r="M22" s="68">
        <v>0</v>
      </c>
      <c r="N22" s="192"/>
      <c r="O22" s="69"/>
    </row>
    <row r="23" spans="1:16">
      <c r="A23" s="46">
        <v>20</v>
      </c>
      <c r="B23" s="218">
        <v>46162</v>
      </c>
      <c r="C23" s="67"/>
      <c r="D23" s="312"/>
      <c r="E23" s="17"/>
      <c r="F23" s="17"/>
      <c r="G23" s="8">
        <f t="shared" si="0"/>
        <v>0</v>
      </c>
      <c r="H23" s="65"/>
      <c r="I23" s="66"/>
      <c r="J23" s="8">
        <f t="shared" si="1"/>
        <v>0</v>
      </c>
      <c r="K23" s="8">
        <f t="shared" si="2"/>
        <v>0</v>
      </c>
      <c r="L23" s="68">
        <f t="shared" si="3"/>
        <v>0</v>
      </c>
      <c r="M23" s="68">
        <v>0</v>
      </c>
      <c r="N23" s="192"/>
      <c r="O23" s="69"/>
    </row>
    <row r="24" spans="1:16">
      <c r="A24" s="46">
        <v>21</v>
      </c>
      <c r="B24" s="218">
        <v>46163</v>
      </c>
      <c r="C24" s="67"/>
      <c r="D24" s="312"/>
      <c r="E24" s="17"/>
      <c r="F24" s="17"/>
      <c r="G24" s="8">
        <f t="shared" si="0"/>
        <v>0</v>
      </c>
      <c r="H24" s="65"/>
      <c r="I24" s="66"/>
      <c r="J24" s="8">
        <f t="shared" si="1"/>
        <v>0</v>
      </c>
      <c r="K24" s="8">
        <f t="shared" si="2"/>
        <v>0</v>
      </c>
      <c r="L24" s="68">
        <f t="shared" si="3"/>
        <v>0</v>
      </c>
      <c r="M24" s="68">
        <v>0</v>
      </c>
      <c r="N24" s="192"/>
      <c r="O24" s="69"/>
    </row>
    <row r="25" spans="1:16">
      <c r="A25" s="46">
        <v>22</v>
      </c>
      <c r="B25" s="218">
        <v>46164</v>
      </c>
      <c r="C25" s="67"/>
      <c r="D25" s="312"/>
      <c r="E25" s="17"/>
      <c r="F25" s="17"/>
      <c r="G25" s="8">
        <f t="shared" si="0"/>
        <v>0</v>
      </c>
      <c r="H25" s="65"/>
      <c r="I25" s="66"/>
      <c r="J25" s="8">
        <f t="shared" si="1"/>
        <v>0</v>
      </c>
      <c r="K25" s="8">
        <f t="shared" si="2"/>
        <v>0</v>
      </c>
      <c r="L25" s="68">
        <f t="shared" si="3"/>
        <v>0</v>
      </c>
      <c r="M25" s="68">
        <v>0</v>
      </c>
      <c r="N25" s="192"/>
      <c r="O25" s="69"/>
    </row>
    <row r="26" spans="1:16">
      <c r="A26" s="46">
        <v>23</v>
      </c>
      <c r="B26" s="218">
        <v>46165</v>
      </c>
      <c r="C26" s="67"/>
      <c r="D26" s="312"/>
      <c r="E26" s="17"/>
      <c r="F26" s="17"/>
      <c r="G26" s="8">
        <f t="shared" si="0"/>
        <v>0</v>
      </c>
      <c r="H26" s="65"/>
      <c r="I26" s="66"/>
      <c r="J26" s="8">
        <f t="shared" si="1"/>
        <v>0</v>
      </c>
      <c r="K26" s="8">
        <f t="shared" si="2"/>
        <v>0</v>
      </c>
      <c r="L26" s="68">
        <f t="shared" si="3"/>
        <v>0</v>
      </c>
      <c r="M26" s="68">
        <v>0</v>
      </c>
      <c r="N26" s="192"/>
      <c r="O26" s="69"/>
    </row>
    <row r="27" spans="1:16">
      <c r="A27" s="46">
        <v>24</v>
      </c>
      <c r="B27" s="218">
        <v>46166</v>
      </c>
      <c r="C27" s="67"/>
      <c r="D27" s="312"/>
      <c r="E27" s="17"/>
      <c r="F27" s="17"/>
      <c r="G27" s="8">
        <f t="shared" si="0"/>
        <v>0</v>
      </c>
      <c r="H27" s="65"/>
      <c r="I27" s="66"/>
      <c r="J27" s="8">
        <f t="shared" si="1"/>
        <v>0</v>
      </c>
      <c r="K27" s="8">
        <f t="shared" si="2"/>
        <v>0</v>
      </c>
      <c r="L27" s="68">
        <f t="shared" si="3"/>
        <v>0</v>
      </c>
      <c r="M27" s="68">
        <v>0</v>
      </c>
      <c r="N27" s="192"/>
      <c r="O27" s="69"/>
    </row>
    <row r="28" spans="1:16">
      <c r="A28" s="220">
        <v>25</v>
      </c>
      <c r="B28" s="218">
        <v>46167</v>
      </c>
      <c r="C28" s="67"/>
      <c r="D28" s="312"/>
      <c r="E28" s="17"/>
      <c r="F28" s="17"/>
      <c r="G28" s="8">
        <f t="shared" si="0"/>
        <v>0</v>
      </c>
      <c r="H28" s="65"/>
      <c r="I28" s="66"/>
      <c r="J28" s="8">
        <f t="shared" si="1"/>
        <v>0</v>
      </c>
      <c r="K28" s="8">
        <f t="shared" si="2"/>
        <v>0</v>
      </c>
      <c r="L28" s="68">
        <f t="shared" si="3"/>
        <v>0</v>
      </c>
      <c r="M28" s="68">
        <v>0</v>
      </c>
      <c r="N28" s="192"/>
      <c r="O28" s="69"/>
    </row>
    <row r="29" spans="1:16">
      <c r="A29" s="220"/>
      <c r="B29" s="218">
        <v>46168</v>
      </c>
      <c r="C29" s="67"/>
      <c r="D29" s="312"/>
      <c r="E29" s="17"/>
      <c r="F29" s="17"/>
      <c r="G29" s="19"/>
      <c r="H29" s="65"/>
      <c r="I29" s="66"/>
      <c r="J29" s="8">
        <f t="shared" si="1"/>
        <v>0</v>
      </c>
      <c r="K29" s="8">
        <f t="shared" si="2"/>
        <v>0</v>
      </c>
      <c r="L29" s="68">
        <f t="shared" si="3"/>
        <v>0</v>
      </c>
      <c r="M29" s="129"/>
      <c r="N29" s="192"/>
      <c r="O29" s="69"/>
    </row>
    <row r="30" spans="1:16">
      <c r="A30" s="220">
        <v>26</v>
      </c>
      <c r="B30" s="218">
        <v>46169</v>
      </c>
      <c r="C30" s="67"/>
      <c r="D30" s="158"/>
      <c r="E30" s="17"/>
      <c r="F30" s="17"/>
      <c r="G30" s="19">
        <f t="shared" si="0"/>
        <v>0</v>
      </c>
      <c r="H30" s="65"/>
      <c r="I30" s="66"/>
      <c r="J30" s="19">
        <f t="shared" si="1"/>
        <v>0</v>
      </c>
      <c r="K30" s="19">
        <f t="shared" si="2"/>
        <v>0</v>
      </c>
      <c r="L30" s="129">
        <f t="shared" si="3"/>
        <v>0</v>
      </c>
      <c r="M30" s="129">
        <v>0</v>
      </c>
      <c r="N30" s="8"/>
      <c r="O30" s="69"/>
    </row>
    <row r="31" spans="1:16">
      <c r="A31" s="220">
        <v>27</v>
      </c>
      <c r="B31" s="218">
        <v>46170</v>
      </c>
      <c r="C31" s="67"/>
      <c r="D31" s="158"/>
      <c r="E31" s="17"/>
      <c r="F31" s="17"/>
      <c r="G31" s="8">
        <f t="shared" si="0"/>
        <v>0</v>
      </c>
      <c r="H31" s="65"/>
      <c r="I31" s="66"/>
      <c r="J31" s="8">
        <f t="shared" si="1"/>
        <v>0</v>
      </c>
      <c r="K31" s="8">
        <f t="shared" si="2"/>
        <v>0</v>
      </c>
      <c r="L31" s="68">
        <f t="shared" si="3"/>
        <v>0</v>
      </c>
      <c r="M31" s="68">
        <v>0</v>
      </c>
      <c r="N31" s="8"/>
      <c r="O31" s="69"/>
    </row>
    <row r="32" spans="1:16">
      <c r="A32" s="220">
        <v>28</v>
      </c>
      <c r="B32" s="218">
        <v>46171</v>
      </c>
      <c r="C32" s="67"/>
      <c r="D32" s="158"/>
      <c r="E32" s="158">
        <v>18.98</v>
      </c>
      <c r="F32" s="17">
        <v>105.32</v>
      </c>
      <c r="G32" s="8">
        <f t="shared" si="0"/>
        <v>1998.9735999999998</v>
      </c>
      <c r="H32" s="65">
        <v>4.25</v>
      </c>
      <c r="I32" s="66">
        <v>117.66</v>
      </c>
      <c r="J32" s="8">
        <f t="shared" si="1"/>
        <v>500.05500000000001</v>
      </c>
      <c r="K32" s="8">
        <f t="shared" si="2"/>
        <v>2499.0285999999996</v>
      </c>
      <c r="L32" s="68">
        <f t="shared" si="3"/>
        <v>2499.0285999999996</v>
      </c>
      <c r="M32" s="68">
        <v>0</v>
      </c>
      <c r="N32" s="8"/>
      <c r="O32" s="69"/>
    </row>
    <row r="33" spans="1:15">
      <c r="A33" s="221">
        <v>29</v>
      </c>
      <c r="B33" s="218">
        <v>46172</v>
      </c>
      <c r="C33" s="67"/>
      <c r="D33" s="158"/>
      <c r="E33" s="17"/>
      <c r="F33" s="17"/>
      <c r="G33" s="8">
        <f t="shared" si="0"/>
        <v>0</v>
      </c>
      <c r="H33" s="65"/>
      <c r="I33" s="66"/>
      <c r="J33" s="8">
        <f t="shared" si="1"/>
        <v>0</v>
      </c>
      <c r="K33" s="8">
        <f t="shared" si="2"/>
        <v>0</v>
      </c>
      <c r="L33" s="68">
        <f t="shared" si="3"/>
        <v>0</v>
      </c>
      <c r="M33" s="68">
        <v>0</v>
      </c>
      <c r="N33" s="8"/>
      <c r="O33" s="69"/>
    </row>
    <row r="34" spans="1:15">
      <c r="A34" s="221">
        <v>30</v>
      </c>
      <c r="B34" s="218"/>
      <c r="C34" s="67"/>
      <c r="D34" s="158"/>
      <c r="E34" s="17"/>
      <c r="F34" s="17"/>
      <c r="G34" s="8">
        <f t="shared" si="0"/>
        <v>0</v>
      </c>
      <c r="H34" s="65"/>
      <c r="I34" s="66"/>
      <c r="J34" s="8">
        <f t="shared" si="1"/>
        <v>0</v>
      </c>
      <c r="K34" s="8">
        <f t="shared" si="2"/>
        <v>0</v>
      </c>
      <c r="L34" s="68">
        <f t="shared" si="3"/>
        <v>0</v>
      </c>
      <c r="M34" s="68">
        <v>0</v>
      </c>
      <c r="N34" s="8"/>
      <c r="O34" s="69"/>
    </row>
    <row r="35" spans="1:15">
      <c r="A35" s="221">
        <v>31</v>
      </c>
      <c r="B35" s="218"/>
      <c r="C35" s="67"/>
      <c r="D35" s="158"/>
      <c r="E35" s="255"/>
      <c r="F35" s="17"/>
      <c r="G35" s="8">
        <f t="shared" si="0"/>
        <v>0</v>
      </c>
      <c r="H35" s="65"/>
      <c r="I35" s="66"/>
      <c r="J35" s="8">
        <f t="shared" si="1"/>
        <v>0</v>
      </c>
      <c r="K35" s="8">
        <f t="shared" si="2"/>
        <v>0</v>
      </c>
      <c r="L35" s="68">
        <f t="shared" si="3"/>
        <v>0</v>
      </c>
      <c r="M35" s="68">
        <v>0</v>
      </c>
      <c r="N35" s="8"/>
      <c r="O35" s="69"/>
    </row>
    <row r="36" spans="1:15">
      <c r="A36" s="62"/>
      <c r="B36" s="62"/>
      <c r="C36" s="62"/>
      <c r="D36" s="62"/>
      <c r="E36" s="256">
        <f>SUM(E4:E35)</f>
        <v>18.98</v>
      </c>
      <c r="F36" s="256"/>
      <c r="G36" s="63">
        <f>SUM(G4:G35)</f>
        <v>1998.9735999999998</v>
      </c>
      <c r="H36" s="63">
        <f>SUM(H4:H35)</f>
        <v>4.25</v>
      </c>
      <c r="I36" s="63"/>
      <c r="J36" s="63">
        <f>SUM(J4:J35)</f>
        <v>500.05500000000001</v>
      </c>
      <c r="K36" s="63">
        <f>SUM(K4:K35)</f>
        <v>2499.0285999999996</v>
      </c>
      <c r="L36" s="63">
        <f>SUM(L4:L35)</f>
        <v>2499.0285999999996</v>
      </c>
      <c r="M36" s="63"/>
      <c r="N36" s="63"/>
      <c r="O36" s="59"/>
    </row>
    <row r="37" spans="1:15">
      <c r="A37" s="72"/>
      <c r="B37" s="73"/>
      <c r="C37" s="72"/>
      <c r="D37" s="72"/>
      <c r="E37" s="74"/>
      <c r="F37" s="74"/>
      <c r="G37" s="74"/>
      <c r="H37" s="74"/>
      <c r="I37" s="74"/>
      <c r="J37" s="75"/>
      <c r="K37" s="75"/>
      <c r="L37" s="75"/>
      <c r="M37" s="75"/>
      <c r="N37" s="74"/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O42" s="69"/>
    </row>
    <row r="43" spans="1:15">
      <c r="A43" s="69"/>
      <c r="B43" s="59"/>
      <c r="C43" s="69"/>
      <c r="D43" s="69"/>
      <c r="E43" s="69"/>
      <c r="F43" s="69"/>
      <c r="G43" s="76"/>
      <c r="H43" s="69"/>
      <c r="I43" s="69"/>
      <c r="J43" s="59"/>
      <c r="K43" s="59"/>
      <c r="L43" s="59"/>
      <c r="M43" s="59"/>
      <c r="N43" s="69"/>
      <c r="O43" s="74"/>
    </row>
    <row r="44" spans="1:15">
      <c r="A44" s="69"/>
      <c r="B44" s="554"/>
      <c r="C44" s="554"/>
      <c r="D44" s="554"/>
      <c r="E44" s="554"/>
      <c r="F44" s="69"/>
      <c r="G44" s="69"/>
      <c r="H44" s="69"/>
      <c r="I44" s="554"/>
      <c r="J44" s="554"/>
      <c r="K44" s="554"/>
      <c r="L44" s="554"/>
      <c r="M44" s="554"/>
      <c r="N44" s="554"/>
      <c r="O44" s="74"/>
    </row>
    <row r="45" spans="1:15">
      <c r="A45" s="69"/>
      <c r="B45" s="59"/>
      <c r="C45" s="69"/>
      <c r="D45" s="69"/>
      <c r="E45" s="69"/>
      <c r="F45" s="69"/>
      <c r="G45" s="69"/>
      <c r="H45" s="69"/>
      <c r="I45" s="69"/>
      <c r="J45" s="59"/>
      <c r="K45" s="59"/>
      <c r="L45" s="59"/>
      <c r="M45" s="59"/>
      <c r="N45" s="69"/>
      <c r="O45" s="74"/>
    </row>
  </sheetData>
  <mergeCells count="4">
    <mergeCell ref="A1:N1"/>
    <mergeCell ref="A3:L3"/>
    <mergeCell ref="B44:E44"/>
    <mergeCell ref="I44:N4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2" topLeftCell="A3" activePane="bottomLeft" state="frozen"/>
      <selection pane="bottomLeft" activeCell="M5" sqref="M5"/>
    </sheetView>
  </sheetViews>
  <sheetFormatPr defaultColWidth="12.28515625" defaultRowHeight="12.75"/>
  <cols>
    <col min="1" max="1" width="8.42578125" style="61" customWidth="1"/>
    <col min="2" max="3" width="12.28515625" style="61"/>
    <col min="4" max="4" width="13.5703125" style="61" customWidth="1"/>
    <col min="5" max="5" width="12.28515625" style="61"/>
    <col min="6" max="6" width="13.7109375" style="61" bestFit="1" customWidth="1"/>
    <col min="7" max="16384" width="12.28515625" style="61"/>
  </cols>
  <sheetData>
    <row r="1" spans="1:15" ht="15.75" customHeight="1">
      <c r="A1" s="538" t="s">
        <v>98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60"/>
    </row>
    <row r="2" spans="1:15" ht="15.75" customHeight="1">
      <c r="A2" s="87" t="s">
        <v>0</v>
      </c>
      <c r="B2" s="88" t="s">
        <v>166</v>
      </c>
      <c r="C2" s="88" t="s">
        <v>167</v>
      </c>
      <c r="D2" s="88" t="s">
        <v>168</v>
      </c>
      <c r="E2" s="88" t="s">
        <v>169</v>
      </c>
      <c r="F2" s="88" t="s">
        <v>170</v>
      </c>
      <c r="G2" s="88" t="s">
        <v>171</v>
      </c>
      <c r="H2" s="88" t="s">
        <v>172</v>
      </c>
      <c r="I2" s="88" t="s">
        <v>170</v>
      </c>
      <c r="J2" s="111" t="s">
        <v>171</v>
      </c>
      <c r="K2" s="113" t="s">
        <v>173</v>
      </c>
      <c r="L2" s="114" t="s">
        <v>174</v>
      </c>
      <c r="M2" s="115" t="s">
        <v>199</v>
      </c>
      <c r="N2" s="89" t="s">
        <v>176</v>
      </c>
      <c r="O2" s="33"/>
    </row>
    <row r="3" spans="1:15" ht="15.75" customHeight="1">
      <c r="A3" s="547" t="s">
        <v>177</v>
      </c>
      <c r="B3" s="548"/>
      <c r="C3" s="553"/>
      <c r="D3" s="553"/>
      <c r="E3" s="553"/>
      <c r="F3" s="553"/>
      <c r="G3" s="553"/>
      <c r="H3" s="553"/>
      <c r="I3" s="553"/>
      <c r="J3" s="556"/>
      <c r="K3" s="199">
        <v>0</v>
      </c>
      <c r="L3" s="202">
        <v>0</v>
      </c>
      <c r="M3" s="199">
        <v>0</v>
      </c>
      <c r="N3" s="202"/>
      <c r="O3" s="33">
        <v>207239.43099999998</v>
      </c>
    </row>
    <row r="4" spans="1:15" ht="15">
      <c r="A4" s="26">
        <v>1</v>
      </c>
      <c r="B4" s="27">
        <v>45778</v>
      </c>
      <c r="C4" s="106"/>
      <c r="D4" s="106"/>
      <c r="E4" s="36"/>
      <c r="F4" s="36">
        <v>0</v>
      </c>
      <c r="G4" s="36">
        <f>E4*F4</f>
        <v>0</v>
      </c>
      <c r="H4" s="198">
        <v>0</v>
      </c>
      <c r="I4" s="198">
        <v>0</v>
      </c>
      <c r="J4" s="36">
        <f>H4*I4</f>
        <v>0</v>
      </c>
      <c r="K4" s="36">
        <f>G4+J4</f>
        <v>0</v>
      </c>
      <c r="L4" s="202"/>
      <c r="M4" s="199">
        <f>M3+K4-L4</f>
        <v>0</v>
      </c>
      <c r="N4" s="36"/>
      <c r="O4" s="28"/>
    </row>
    <row r="5" spans="1:15" ht="15">
      <c r="A5" s="26">
        <v>2</v>
      </c>
      <c r="B5" s="27">
        <v>45779</v>
      </c>
      <c r="C5" s="106"/>
      <c r="D5" s="106"/>
      <c r="E5" s="36">
        <v>1600</v>
      </c>
      <c r="F5" s="36">
        <v>95.15</v>
      </c>
      <c r="G5" s="36">
        <f t="shared" ref="G5:G33" si="0">E5*F5</f>
        <v>152240</v>
      </c>
      <c r="H5" s="198">
        <v>70</v>
      </c>
      <c r="I5" s="198">
        <v>109.27</v>
      </c>
      <c r="J5" s="36">
        <f t="shared" ref="J5:J33" si="1">H5*I5</f>
        <v>7648.9</v>
      </c>
      <c r="K5" s="36">
        <f t="shared" ref="K5:K33" si="2">G5+J5</f>
        <v>159888.9</v>
      </c>
      <c r="L5" s="202"/>
      <c r="M5" s="199">
        <f>M4+K5-L5</f>
        <v>159888.9</v>
      </c>
      <c r="N5" s="36"/>
      <c r="O5" s="28"/>
    </row>
    <row r="6" spans="1:15" ht="15">
      <c r="A6" s="26">
        <v>3</v>
      </c>
      <c r="B6" s="27">
        <v>45780</v>
      </c>
      <c r="C6" s="106"/>
      <c r="D6" s="106"/>
      <c r="E6" s="36"/>
      <c r="F6" s="36">
        <v>0</v>
      </c>
      <c r="G6" s="36">
        <f t="shared" si="0"/>
        <v>0</v>
      </c>
      <c r="H6" s="198">
        <v>0</v>
      </c>
      <c r="I6" s="198">
        <v>0</v>
      </c>
      <c r="J6" s="36">
        <f t="shared" si="1"/>
        <v>0</v>
      </c>
      <c r="K6" s="36">
        <f t="shared" si="2"/>
        <v>0</v>
      </c>
      <c r="L6" s="202"/>
      <c r="M6" s="199">
        <f>M5+K6-L6</f>
        <v>159888.9</v>
      </c>
      <c r="N6" s="36"/>
      <c r="O6" s="28"/>
    </row>
    <row r="7" spans="1:15" ht="15">
      <c r="A7" s="26">
        <v>4</v>
      </c>
      <c r="B7" s="27">
        <v>45781</v>
      </c>
      <c r="C7" s="106"/>
      <c r="D7" s="106"/>
      <c r="E7" s="36"/>
      <c r="F7" s="36">
        <v>0</v>
      </c>
      <c r="G7" s="36">
        <f t="shared" si="0"/>
        <v>0</v>
      </c>
      <c r="H7" s="198">
        <v>0</v>
      </c>
      <c r="I7" s="198">
        <v>0</v>
      </c>
      <c r="J7" s="36">
        <f t="shared" si="1"/>
        <v>0</v>
      </c>
      <c r="K7" s="36">
        <f t="shared" si="2"/>
        <v>0</v>
      </c>
      <c r="L7" s="202"/>
      <c r="M7" s="199">
        <f>M6+K7-L7</f>
        <v>159888.9</v>
      </c>
      <c r="N7" s="36"/>
      <c r="O7" s="28"/>
    </row>
    <row r="8" spans="1:15" ht="15">
      <c r="A8" s="26">
        <v>5</v>
      </c>
      <c r="B8" s="27">
        <v>45782</v>
      </c>
      <c r="C8" s="106"/>
      <c r="D8" s="106"/>
      <c r="E8" s="36"/>
      <c r="F8" s="36">
        <v>0</v>
      </c>
      <c r="G8" s="36">
        <f t="shared" si="0"/>
        <v>0</v>
      </c>
      <c r="H8" s="198">
        <v>0</v>
      </c>
      <c r="I8" s="198">
        <v>0</v>
      </c>
      <c r="J8" s="36">
        <f t="shared" si="1"/>
        <v>0</v>
      </c>
      <c r="K8" s="36">
        <f t="shared" si="2"/>
        <v>0</v>
      </c>
      <c r="L8" s="202"/>
      <c r="M8" s="199">
        <f>M7+K8-L8</f>
        <v>159888.9</v>
      </c>
      <c r="N8" s="36"/>
      <c r="O8" s="28"/>
    </row>
    <row r="9" spans="1:15" ht="15">
      <c r="A9" s="26">
        <v>6</v>
      </c>
      <c r="B9" s="27">
        <v>45783</v>
      </c>
      <c r="C9" s="106"/>
      <c r="D9" s="106"/>
      <c r="E9" s="36"/>
      <c r="F9" s="36">
        <v>0</v>
      </c>
      <c r="G9" s="36">
        <f t="shared" ref="G9:G18" si="3">E9*F9</f>
        <v>0</v>
      </c>
      <c r="H9" s="198">
        <v>0</v>
      </c>
      <c r="I9" s="198">
        <v>0</v>
      </c>
      <c r="J9" s="36">
        <f t="shared" si="1"/>
        <v>0</v>
      </c>
      <c r="K9" s="36">
        <f t="shared" si="2"/>
        <v>0</v>
      </c>
      <c r="L9" s="202"/>
      <c r="M9" s="199">
        <f t="shared" ref="M9:M33" si="4">M8+K9-L9</f>
        <v>159888.9</v>
      </c>
      <c r="N9" s="36"/>
      <c r="O9" s="28"/>
    </row>
    <row r="10" spans="1:15" ht="15">
      <c r="A10" s="26">
        <v>7</v>
      </c>
      <c r="B10" s="27">
        <v>45784</v>
      </c>
      <c r="C10" s="106"/>
      <c r="D10" s="106"/>
      <c r="E10" s="36"/>
      <c r="F10" s="36">
        <v>0</v>
      </c>
      <c r="G10" s="36">
        <f t="shared" si="3"/>
        <v>0</v>
      </c>
      <c r="H10" s="198">
        <v>0</v>
      </c>
      <c r="I10" s="198">
        <v>0</v>
      </c>
      <c r="J10" s="36">
        <f t="shared" ref="J10:J17" si="5">H10*I10</f>
        <v>0</v>
      </c>
      <c r="K10" s="36">
        <f t="shared" ref="K10:K17" si="6">G10+J10</f>
        <v>0</v>
      </c>
      <c r="L10" s="202"/>
      <c r="M10" s="199">
        <f t="shared" si="4"/>
        <v>159888.9</v>
      </c>
      <c r="N10" s="36"/>
      <c r="O10" s="28"/>
    </row>
    <row r="11" spans="1:15" ht="15">
      <c r="A11" s="26">
        <v>8</v>
      </c>
      <c r="B11" s="27">
        <v>45785</v>
      </c>
      <c r="C11" s="106"/>
      <c r="D11" s="106"/>
      <c r="E11" s="36"/>
      <c r="F11" s="36">
        <v>0</v>
      </c>
      <c r="G11" s="36">
        <f t="shared" si="3"/>
        <v>0</v>
      </c>
      <c r="H11" s="198">
        <v>0</v>
      </c>
      <c r="I11" s="198">
        <v>0</v>
      </c>
      <c r="J11" s="36">
        <f t="shared" si="5"/>
        <v>0</v>
      </c>
      <c r="K11" s="36">
        <f t="shared" si="6"/>
        <v>0</v>
      </c>
      <c r="L11" s="202"/>
      <c r="M11" s="199">
        <f t="shared" si="4"/>
        <v>159888.9</v>
      </c>
      <c r="N11" s="36"/>
      <c r="O11" s="28"/>
    </row>
    <row r="12" spans="1:15" ht="15">
      <c r="A12" s="26">
        <v>9</v>
      </c>
      <c r="B12" s="27">
        <v>45786</v>
      </c>
      <c r="C12" s="106"/>
      <c r="D12" s="106"/>
      <c r="E12" s="36"/>
      <c r="F12" s="36">
        <v>0</v>
      </c>
      <c r="G12" s="36">
        <f t="shared" si="3"/>
        <v>0</v>
      </c>
      <c r="H12" s="198">
        <v>0</v>
      </c>
      <c r="I12" s="198">
        <v>0</v>
      </c>
      <c r="J12" s="36">
        <f t="shared" si="5"/>
        <v>0</v>
      </c>
      <c r="K12" s="36">
        <f t="shared" si="6"/>
        <v>0</v>
      </c>
      <c r="L12" s="202"/>
      <c r="M12" s="199">
        <f t="shared" si="4"/>
        <v>159888.9</v>
      </c>
      <c r="N12" s="36"/>
      <c r="O12" s="28"/>
    </row>
    <row r="13" spans="1:15" ht="15">
      <c r="A13" s="26">
        <v>10</v>
      </c>
      <c r="B13" s="27">
        <v>45787</v>
      </c>
      <c r="C13" s="106"/>
      <c r="D13" s="106"/>
      <c r="E13" s="36"/>
      <c r="F13" s="36">
        <v>0</v>
      </c>
      <c r="G13" s="36">
        <f t="shared" si="3"/>
        <v>0</v>
      </c>
      <c r="H13" s="198">
        <v>0</v>
      </c>
      <c r="I13" s="198">
        <v>0</v>
      </c>
      <c r="J13" s="36">
        <f t="shared" si="5"/>
        <v>0</v>
      </c>
      <c r="K13" s="36">
        <f t="shared" si="6"/>
        <v>0</v>
      </c>
      <c r="L13" s="202"/>
      <c r="M13" s="199">
        <f t="shared" si="4"/>
        <v>159888.9</v>
      </c>
      <c r="N13" s="36"/>
      <c r="O13" s="28"/>
    </row>
    <row r="14" spans="1:15" ht="15">
      <c r="A14" s="26">
        <v>11</v>
      </c>
      <c r="B14" s="27">
        <v>45788</v>
      </c>
      <c r="C14" s="106"/>
      <c r="D14" s="106"/>
      <c r="E14" s="36"/>
      <c r="F14" s="36">
        <v>0</v>
      </c>
      <c r="G14" s="36">
        <f t="shared" si="3"/>
        <v>0</v>
      </c>
      <c r="H14" s="198">
        <v>0</v>
      </c>
      <c r="I14" s="198">
        <v>0</v>
      </c>
      <c r="J14" s="36">
        <f t="shared" si="5"/>
        <v>0</v>
      </c>
      <c r="K14" s="36">
        <f t="shared" si="6"/>
        <v>0</v>
      </c>
      <c r="L14" s="202"/>
      <c r="M14" s="199">
        <f t="shared" si="4"/>
        <v>159888.9</v>
      </c>
      <c r="N14" s="36"/>
      <c r="O14" s="28"/>
    </row>
    <row r="15" spans="1:15" ht="15">
      <c r="A15" s="26">
        <v>12</v>
      </c>
      <c r="B15" s="27">
        <v>45789</v>
      </c>
      <c r="C15" s="106"/>
      <c r="D15" s="106"/>
      <c r="E15" s="36"/>
      <c r="F15" s="36">
        <v>0</v>
      </c>
      <c r="G15" s="36">
        <f t="shared" si="3"/>
        <v>0</v>
      </c>
      <c r="H15" s="198">
        <v>0</v>
      </c>
      <c r="I15" s="198">
        <v>0</v>
      </c>
      <c r="J15" s="36">
        <f t="shared" si="5"/>
        <v>0</v>
      </c>
      <c r="K15" s="36">
        <f t="shared" si="6"/>
        <v>0</v>
      </c>
      <c r="L15" s="202"/>
      <c r="M15" s="199">
        <f t="shared" si="4"/>
        <v>159888.9</v>
      </c>
      <c r="N15" s="36"/>
      <c r="O15" s="28"/>
    </row>
    <row r="16" spans="1:15" ht="15">
      <c r="A16" s="26">
        <v>13</v>
      </c>
      <c r="B16" s="27">
        <v>45790</v>
      </c>
      <c r="C16" s="106"/>
      <c r="D16" s="106"/>
      <c r="E16" s="36"/>
      <c r="F16" s="36">
        <v>0</v>
      </c>
      <c r="G16" s="36">
        <f t="shared" si="3"/>
        <v>0</v>
      </c>
      <c r="H16" s="198">
        <v>0</v>
      </c>
      <c r="I16" s="198">
        <v>0</v>
      </c>
      <c r="J16" s="36">
        <f t="shared" si="5"/>
        <v>0</v>
      </c>
      <c r="K16" s="36">
        <f t="shared" si="6"/>
        <v>0</v>
      </c>
      <c r="L16" s="202"/>
      <c r="M16" s="199">
        <f t="shared" si="4"/>
        <v>159888.9</v>
      </c>
      <c r="N16" s="36"/>
      <c r="O16" s="28"/>
    </row>
    <row r="17" spans="1:15" ht="15">
      <c r="A17" s="26">
        <v>14</v>
      </c>
      <c r="B17" s="27">
        <v>45791</v>
      </c>
      <c r="C17" s="106"/>
      <c r="D17" s="106"/>
      <c r="E17" s="36"/>
      <c r="F17" s="36">
        <v>0</v>
      </c>
      <c r="G17" s="36">
        <f t="shared" si="3"/>
        <v>0</v>
      </c>
      <c r="H17" s="198">
        <v>0</v>
      </c>
      <c r="I17" s="198">
        <v>0</v>
      </c>
      <c r="J17" s="36">
        <f t="shared" si="5"/>
        <v>0</v>
      </c>
      <c r="K17" s="36">
        <f t="shared" si="6"/>
        <v>0</v>
      </c>
      <c r="L17" s="202"/>
      <c r="M17" s="199">
        <f t="shared" si="4"/>
        <v>159888.9</v>
      </c>
      <c r="N17" s="36"/>
      <c r="O17" s="28"/>
    </row>
    <row r="18" spans="1:15" ht="15">
      <c r="A18" s="26">
        <v>15</v>
      </c>
      <c r="B18" s="27">
        <v>45792</v>
      </c>
      <c r="C18" s="106"/>
      <c r="D18" s="106"/>
      <c r="E18" s="36"/>
      <c r="F18" s="36">
        <v>0</v>
      </c>
      <c r="G18" s="36">
        <f t="shared" si="3"/>
        <v>0</v>
      </c>
      <c r="H18" s="198">
        <v>0</v>
      </c>
      <c r="I18" s="198">
        <v>0</v>
      </c>
      <c r="J18" s="36">
        <f t="shared" si="1"/>
        <v>0</v>
      </c>
      <c r="K18" s="36">
        <f t="shared" si="2"/>
        <v>0</v>
      </c>
      <c r="L18" s="202"/>
      <c r="M18" s="199">
        <f t="shared" si="4"/>
        <v>159888.9</v>
      </c>
      <c r="N18" s="36"/>
      <c r="O18" s="28"/>
    </row>
    <row r="19" spans="1:15" ht="15">
      <c r="A19" s="26">
        <v>16</v>
      </c>
      <c r="B19" s="27">
        <v>45793</v>
      </c>
      <c r="C19" s="106"/>
      <c r="D19" s="106"/>
      <c r="E19" s="36"/>
      <c r="F19" s="36">
        <v>0</v>
      </c>
      <c r="G19" s="36">
        <f t="shared" si="0"/>
        <v>0</v>
      </c>
      <c r="H19" s="198">
        <v>0</v>
      </c>
      <c r="I19" s="198">
        <v>0</v>
      </c>
      <c r="J19" s="36">
        <f t="shared" si="1"/>
        <v>0</v>
      </c>
      <c r="K19" s="36">
        <f t="shared" si="2"/>
        <v>0</v>
      </c>
      <c r="L19" s="202"/>
      <c r="M19" s="199">
        <f t="shared" si="4"/>
        <v>159888.9</v>
      </c>
      <c r="N19" s="36"/>
      <c r="O19" s="28"/>
    </row>
    <row r="20" spans="1:15" ht="15">
      <c r="A20" s="26">
        <v>17</v>
      </c>
      <c r="B20" s="27">
        <v>45794</v>
      </c>
      <c r="C20" s="106"/>
      <c r="D20" s="106"/>
      <c r="E20" s="36"/>
      <c r="F20" s="36">
        <v>0</v>
      </c>
      <c r="G20" s="36">
        <f t="shared" si="0"/>
        <v>0</v>
      </c>
      <c r="H20" s="198">
        <v>0</v>
      </c>
      <c r="I20" s="198">
        <v>0</v>
      </c>
      <c r="J20" s="36">
        <f t="shared" si="1"/>
        <v>0</v>
      </c>
      <c r="K20" s="36">
        <f t="shared" si="2"/>
        <v>0</v>
      </c>
      <c r="L20" s="202"/>
      <c r="M20" s="199">
        <f t="shared" si="4"/>
        <v>159888.9</v>
      </c>
      <c r="N20" s="36"/>
      <c r="O20" s="28"/>
    </row>
    <row r="21" spans="1:15" ht="15">
      <c r="A21" s="26">
        <v>18</v>
      </c>
      <c r="B21" s="27">
        <v>45795</v>
      </c>
      <c r="C21" s="106"/>
      <c r="D21" s="106"/>
      <c r="E21" s="36"/>
      <c r="F21" s="36">
        <v>0</v>
      </c>
      <c r="G21" s="36">
        <f t="shared" si="0"/>
        <v>0</v>
      </c>
      <c r="H21" s="198">
        <v>0</v>
      </c>
      <c r="I21" s="198">
        <v>0</v>
      </c>
      <c r="J21" s="36">
        <f t="shared" si="1"/>
        <v>0</v>
      </c>
      <c r="K21" s="36">
        <f t="shared" si="2"/>
        <v>0</v>
      </c>
      <c r="L21" s="202"/>
      <c r="M21" s="199">
        <f t="shared" si="4"/>
        <v>159888.9</v>
      </c>
      <c r="N21" s="36"/>
      <c r="O21" s="28"/>
    </row>
    <row r="22" spans="1:15" ht="15">
      <c r="A22" s="26">
        <v>19</v>
      </c>
      <c r="B22" s="27">
        <v>45796</v>
      </c>
      <c r="C22" s="106"/>
      <c r="D22" s="106"/>
      <c r="E22" s="36"/>
      <c r="F22" s="36">
        <v>0</v>
      </c>
      <c r="G22" s="36"/>
      <c r="H22" s="198">
        <v>0</v>
      </c>
      <c r="I22" s="198">
        <v>0</v>
      </c>
      <c r="J22" s="36">
        <f t="shared" si="1"/>
        <v>0</v>
      </c>
      <c r="K22" s="36">
        <f t="shared" si="2"/>
        <v>0</v>
      </c>
      <c r="L22" s="202"/>
      <c r="M22" s="199">
        <f t="shared" si="4"/>
        <v>159888.9</v>
      </c>
      <c r="N22" s="36"/>
      <c r="O22" s="28"/>
    </row>
    <row r="23" spans="1:15" ht="15">
      <c r="A23" s="26">
        <v>20</v>
      </c>
      <c r="B23" s="27">
        <v>45797</v>
      </c>
      <c r="C23" s="106"/>
      <c r="D23" s="106"/>
      <c r="E23" s="36"/>
      <c r="F23" s="36">
        <v>0</v>
      </c>
      <c r="G23" s="36"/>
      <c r="H23" s="198">
        <v>0</v>
      </c>
      <c r="I23" s="198">
        <v>0</v>
      </c>
      <c r="J23" s="36">
        <f t="shared" ref="J23:J32" si="7">H23*I23</f>
        <v>0</v>
      </c>
      <c r="K23" s="36">
        <f t="shared" ref="K23:K32" si="8">G23+J23</f>
        <v>0</v>
      </c>
      <c r="L23" s="202"/>
      <c r="M23" s="199">
        <f t="shared" si="4"/>
        <v>159888.9</v>
      </c>
      <c r="N23" s="36"/>
      <c r="O23" s="28"/>
    </row>
    <row r="24" spans="1:15" ht="15">
      <c r="A24" s="26">
        <v>21</v>
      </c>
      <c r="B24" s="27">
        <v>45798</v>
      </c>
      <c r="C24" s="106"/>
      <c r="D24" s="106"/>
      <c r="E24" s="36"/>
      <c r="F24" s="36">
        <v>0</v>
      </c>
      <c r="G24" s="36"/>
      <c r="H24" s="198"/>
      <c r="I24" s="198"/>
      <c r="J24" s="36">
        <f t="shared" si="7"/>
        <v>0</v>
      </c>
      <c r="K24" s="36">
        <f t="shared" si="8"/>
        <v>0</v>
      </c>
      <c r="L24" s="202"/>
      <c r="M24" s="199">
        <f t="shared" si="4"/>
        <v>159888.9</v>
      </c>
      <c r="N24" s="36"/>
      <c r="O24" s="28"/>
    </row>
    <row r="25" spans="1:15" ht="15">
      <c r="A25" s="26">
        <v>22</v>
      </c>
      <c r="B25" s="27">
        <v>45799</v>
      </c>
      <c r="C25" s="106"/>
      <c r="D25" s="106"/>
      <c r="E25" s="36"/>
      <c r="F25" s="36">
        <v>0</v>
      </c>
      <c r="G25" s="36"/>
      <c r="H25" s="198"/>
      <c r="I25" s="198"/>
      <c r="J25" s="36">
        <f t="shared" si="7"/>
        <v>0</v>
      </c>
      <c r="K25" s="36">
        <f t="shared" si="8"/>
        <v>0</v>
      </c>
      <c r="L25" s="202"/>
      <c r="M25" s="199">
        <f t="shared" si="4"/>
        <v>159888.9</v>
      </c>
      <c r="N25" s="36"/>
      <c r="O25" s="28"/>
    </row>
    <row r="26" spans="1:15" ht="15">
      <c r="A26" s="26">
        <v>23</v>
      </c>
      <c r="B26" s="27">
        <v>45800</v>
      </c>
      <c r="C26" s="106"/>
      <c r="D26" s="106"/>
      <c r="E26" s="36"/>
      <c r="F26" s="36">
        <v>0</v>
      </c>
      <c r="G26" s="36"/>
      <c r="H26" s="198"/>
      <c r="I26" s="198"/>
      <c r="J26" s="36">
        <f t="shared" si="7"/>
        <v>0</v>
      </c>
      <c r="K26" s="36">
        <f t="shared" si="8"/>
        <v>0</v>
      </c>
      <c r="L26" s="202"/>
      <c r="M26" s="199">
        <f t="shared" si="4"/>
        <v>159888.9</v>
      </c>
      <c r="N26" s="36"/>
      <c r="O26" s="28"/>
    </row>
    <row r="27" spans="1:15" ht="15">
      <c r="A27" s="26">
        <v>24</v>
      </c>
      <c r="B27" s="27">
        <v>45801</v>
      </c>
      <c r="C27" s="106"/>
      <c r="D27" s="106"/>
      <c r="E27" s="36"/>
      <c r="F27" s="36">
        <v>0</v>
      </c>
      <c r="G27" s="36"/>
      <c r="H27" s="198"/>
      <c r="I27" s="198"/>
      <c r="J27" s="36">
        <f t="shared" si="7"/>
        <v>0</v>
      </c>
      <c r="K27" s="36">
        <f t="shared" si="8"/>
        <v>0</v>
      </c>
      <c r="L27" s="202"/>
      <c r="M27" s="199">
        <f t="shared" si="4"/>
        <v>159888.9</v>
      </c>
      <c r="N27" s="36"/>
      <c r="O27" s="28"/>
    </row>
    <row r="28" spans="1:15" ht="15">
      <c r="A28" s="26">
        <v>25</v>
      </c>
      <c r="B28" s="27">
        <v>45802</v>
      </c>
      <c r="C28" s="106"/>
      <c r="D28" s="106"/>
      <c r="E28" s="36"/>
      <c r="F28" s="36">
        <v>0</v>
      </c>
      <c r="G28" s="36"/>
      <c r="H28" s="198"/>
      <c r="I28" s="198"/>
      <c r="J28" s="36">
        <f t="shared" si="7"/>
        <v>0</v>
      </c>
      <c r="K28" s="36">
        <f t="shared" si="8"/>
        <v>0</v>
      </c>
      <c r="L28" s="202"/>
      <c r="M28" s="199">
        <f>M27+K28-L28</f>
        <v>159888.9</v>
      </c>
      <c r="N28" s="36"/>
      <c r="O28" s="28"/>
    </row>
    <row r="29" spans="1:15" ht="15">
      <c r="A29" s="26">
        <v>26</v>
      </c>
      <c r="B29" s="27">
        <v>45803</v>
      </c>
      <c r="C29" s="106"/>
      <c r="D29" s="106"/>
      <c r="E29" s="36"/>
      <c r="F29" s="36">
        <v>0</v>
      </c>
      <c r="G29" s="36"/>
      <c r="H29" s="198"/>
      <c r="I29" s="198"/>
      <c r="J29" s="36">
        <f t="shared" si="7"/>
        <v>0</v>
      </c>
      <c r="K29" s="36">
        <f t="shared" si="8"/>
        <v>0</v>
      </c>
      <c r="L29" s="202"/>
      <c r="M29" s="199">
        <f t="shared" si="4"/>
        <v>159888.9</v>
      </c>
      <c r="N29" s="36"/>
      <c r="O29" s="28"/>
    </row>
    <row r="30" spans="1:15" ht="15">
      <c r="A30" s="26">
        <v>27</v>
      </c>
      <c r="B30" s="27">
        <v>45804</v>
      </c>
      <c r="C30" s="106"/>
      <c r="D30" s="106"/>
      <c r="E30" s="36"/>
      <c r="F30" s="36">
        <v>0</v>
      </c>
      <c r="G30" s="36"/>
      <c r="H30" s="198"/>
      <c r="I30" s="198"/>
      <c r="J30" s="36">
        <f t="shared" si="7"/>
        <v>0</v>
      </c>
      <c r="K30" s="36">
        <f t="shared" si="8"/>
        <v>0</v>
      </c>
      <c r="L30" s="202"/>
      <c r="M30" s="199">
        <f t="shared" si="4"/>
        <v>159888.9</v>
      </c>
      <c r="N30" s="36"/>
      <c r="O30" s="28"/>
    </row>
    <row r="31" spans="1:15" ht="15">
      <c r="A31" s="26">
        <v>28</v>
      </c>
      <c r="B31" s="27">
        <v>45805</v>
      </c>
      <c r="C31" s="106"/>
      <c r="D31" s="106"/>
      <c r="E31" s="36"/>
      <c r="F31" s="36">
        <v>0</v>
      </c>
      <c r="G31" s="36"/>
      <c r="H31" s="198"/>
      <c r="I31" s="198"/>
      <c r="J31" s="36">
        <f t="shared" si="7"/>
        <v>0</v>
      </c>
      <c r="K31" s="36">
        <f t="shared" si="8"/>
        <v>0</v>
      </c>
      <c r="L31" s="202"/>
      <c r="M31" s="199">
        <f t="shared" si="4"/>
        <v>159888.9</v>
      </c>
      <c r="N31" s="36"/>
      <c r="O31" s="28"/>
    </row>
    <row r="32" spans="1:15" ht="15">
      <c r="A32" s="26">
        <v>29</v>
      </c>
      <c r="B32" s="27">
        <v>45806</v>
      </c>
      <c r="C32" s="106"/>
      <c r="D32" s="106"/>
      <c r="E32" s="36"/>
      <c r="F32" s="36">
        <v>0</v>
      </c>
      <c r="G32" s="36">
        <f t="shared" ref="G32" si="9">E32*F32</f>
        <v>0</v>
      </c>
      <c r="H32" s="198">
        <v>0</v>
      </c>
      <c r="I32" s="198">
        <v>0</v>
      </c>
      <c r="J32" s="36">
        <f t="shared" si="7"/>
        <v>0</v>
      </c>
      <c r="K32" s="36">
        <f t="shared" si="8"/>
        <v>0</v>
      </c>
      <c r="L32" s="202"/>
      <c r="M32" s="199">
        <f t="shared" si="4"/>
        <v>159888.9</v>
      </c>
      <c r="N32" s="215"/>
      <c r="O32" s="28"/>
    </row>
    <row r="33" spans="1:15" ht="15">
      <c r="A33" s="26">
        <v>30</v>
      </c>
      <c r="B33" s="27">
        <v>45807</v>
      </c>
      <c r="C33" s="106"/>
      <c r="D33" s="106"/>
      <c r="E33" s="36"/>
      <c r="F33" s="36">
        <v>0</v>
      </c>
      <c r="G33" s="36">
        <f t="shared" si="0"/>
        <v>0</v>
      </c>
      <c r="H33" s="198">
        <v>0</v>
      </c>
      <c r="I33" s="198">
        <v>0</v>
      </c>
      <c r="J33" s="36">
        <f t="shared" si="1"/>
        <v>0</v>
      </c>
      <c r="K33" s="36">
        <f t="shared" si="2"/>
        <v>0</v>
      </c>
      <c r="L33" s="202"/>
      <c r="M33" s="199">
        <f t="shared" si="4"/>
        <v>159888.9</v>
      </c>
      <c r="N33" s="215"/>
      <c r="O33" s="28"/>
    </row>
    <row r="34" spans="1:15" ht="15">
      <c r="A34" s="26">
        <v>31</v>
      </c>
      <c r="B34" s="27"/>
      <c r="C34" s="106"/>
      <c r="D34" s="106"/>
      <c r="E34" s="36"/>
      <c r="F34" s="36">
        <v>0</v>
      </c>
      <c r="G34" s="36">
        <f t="shared" ref="G34" si="10">E34*F34</f>
        <v>0</v>
      </c>
      <c r="H34" s="198"/>
      <c r="I34" s="198"/>
      <c r="J34" s="36">
        <f t="shared" ref="J34" si="11">H34*I34</f>
        <v>0</v>
      </c>
      <c r="K34" s="36">
        <f t="shared" ref="K34" si="12">G34+J34</f>
        <v>0</v>
      </c>
      <c r="L34" s="202"/>
      <c r="M34" s="215"/>
      <c r="N34" s="215"/>
      <c r="O34" s="28"/>
    </row>
    <row r="35" spans="1:15">
      <c r="A35" s="42"/>
      <c r="B35" s="42"/>
      <c r="C35" s="203"/>
      <c r="D35" s="203"/>
      <c r="E35" s="204">
        <f>SUM(E4:E34)</f>
        <v>1600</v>
      </c>
      <c r="F35" s="204"/>
      <c r="G35" s="204">
        <f>SUM(G4:G34)</f>
        <v>152240</v>
      </c>
      <c r="H35" s="204">
        <f>SUM(H4:H34)</f>
        <v>70</v>
      </c>
      <c r="I35" s="204"/>
      <c r="J35" s="204">
        <f>SUM(J4:J34)</f>
        <v>7648.9</v>
      </c>
      <c r="K35" s="204">
        <f>SUM(K4:K34)</f>
        <v>159888.9</v>
      </c>
      <c r="L35" s="204">
        <f>SUM(L4:L31)</f>
        <v>0</v>
      </c>
      <c r="M35" s="204"/>
      <c r="N35" s="204"/>
      <c r="O35" s="33"/>
    </row>
    <row r="36" spans="1:15">
      <c r="A36" s="30"/>
      <c r="B36" s="30"/>
      <c r="C36" s="30"/>
      <c r="D36" s="30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8"/>
    </row>
    <row r="37" spans="1:15">
      <c r="A37" s="28"/>
      <c r="B37" s="28"/>
      <c r="C37" s="28"/>
      <c r="D37" s="28"/>
      <c r="E37" s="28"/>
      <c r="F37" s="28"/>
      <c r="G37" s="31"/>
      <c r="H37" s="28"/>
      <c r="I37" s="28"/>
      <c r="J37" s="28"/>
      <c r="K37" s="28"/>
      <c r="L37" s="28"/>
      <c r="M37" s="28"/>
      <c r="N37" s="28"/>
      <c r="O37" s="32"/>
    </row>
    <row r="38" spans="1:15">
      <c r="A38" s="28"/>
      <c r="B38" s="557"/>
      <c r="C38" s="557"/>
      <c r="D38" s="557"/>
      <c r="E38" s="557"/>
      <c r="F38" s="28"/>
      <c r="G38" s="28"/>
      <c r="H38" s="28"/>
      <c r="I38" s="557"/>
      <c r="J38" s="557"/>
      <c r="K38" s="557"/>
      <c r="L38" s="557"/>
      <c r="M38" s="557"/>
      <c r="N38" s="557"/>
      <c r="O38" s="32"/>
    </row>
    <row r="39" spans="1:1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32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H40"/>
  <sheetViews>
    <sheetView topLeftCell="A15" workbookViewId="0">
      <selection activeCell="M35" sqref="M35"/>
    </sheetView>
  </sheetViews>
  <sheetFormatPr defaultRowHeight="15"/>
  <cols>
    <col min="2" max="2" width="10.28515625" customWidth="1"/>
    <col min="5" max="5" width="12.5703125" bestFit="1" customWidth="1"/>
    <col min="10" max="10" width="10.85546875" bestFit="1" customWidth="1"/>
    <col min="11" max="11" width="10.42578125" bestFit="1" customWidth="1"/>
    <col min="12" max="13" width="11.85546875" bestFit="1" customWidth="1"/>
    <col min="14" max="14" width="25.28515625" bestFit="1" customWidth="1"/>
  </cols>
  <sheetData>
    <row r="1" spans="1:34">
      <c r="A1" s="558" t="s">
        <v>92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</row>
    <row r="2" spans="1:34" ht="25.5">
      <c r="A2" s="87" t="s">
        <v>0</v>
      </c>
      <c r="B2" s="88" t="s">
        <v>166</v>
      </c>
      <c r="C2" s="88" t="s">
        <v>167</v>
      </c>
      <c r="D2" s="88" t="s">
        <v>168</v>
      </c>
      <c r="E2" s="88" t="s">
        <v>169</v>
      </c>
      <c r="F2" s="88" t="s">
        <v>170</v>
      </c>
      <c r="G2" s="88" t="s">
        <v>171</v>
      </c>
      <c r="H2" s="88" t="s">
        <v>172</v>
      </c>
      <c r="I2" s="88" t="s">
        <v>170</v>
      </c>
      <c r="J2" s="111" t="s">
        <v>171</v>
      </c>
      <c r="K2" s="88" t="s">
        <v>173</v>
      </c>
      <c r="L2" s="111" t="s">
        <v>174</v>
      </c>
      <c r="M2" s="110" t="s">
        <v>199</v>
      </c>
      <c r="N2" s="89" t="s">
        <v>176</v>
      </c>
      <c r="O2" s="33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</row>
    <row r="3" spans="1:34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59"/>
      <c r="K3" s="29">
        <v>194105.95990299998</v>
      </c>
      <c r="L3" s="46"/>
      <c r="M3" s="112">
        <v>194105.95990299998</v>
      </c>
      <c r="N3" s="46"/>
      <c r="O3" s="33"/>
      <c r="P3" s="49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</row>
    <row r="4" spans="1:34">
      <c r="A4" s="26">
        <v>1</v>
      </c>
      <c r="B4" s="27">
        <v>46143</v>
      </c>
      <c r="C4" s="47" t="s">
        <v>213</v>
      </c>
      <c r="D4" s="48" t="s">
        <v>213</v>
      </c>
      <c r="E4" s="47">
        <v>600</v>
      </c>
      <c r="F4" s="47">
        <v>91.33</v>
      </c>
      <c r="G4" s="46">
        <f t="shared" ref="G4" si="0">E4*F4</f>
        <v>54798</v>
      </c>
      <c r="H4" s="47">
        <v>35</v>
      </c>
      <c r="I4" s="47">
        <v>103.27</v>
      </c>
      <c r="J4" s="49">
        <f t="shared" ref="J4" si="1">H4*I4</f>
        <v>3614.45</v>
      </c>
      <c r="K4" s="46">
        <f t="shared" ref="K4" si="2">G4+J4</f>
        <v>58412.45</v>
      </c>
      <c r="L4" s="46"/>
      <c r="M4" s="49">
        <f>M3+K4-L4</f>
        <v>252518.40990299999</v>
      </c>
      <c r="N4" s="103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</row>
    <row r="5" spans="1:34">
      <c r="A5" s="26">
        <v>2</v>
      </c>
      <c r="B5" s="27">
        <v>46144</v>
      </c>
      <c r="C5" s="47" t="s">
        <v>213</v>
      </c>
      <c r="D5" s="48" t="s">
        <v>213</v>
      </c>
      <c r="E5" s="47"/>
      <c r="F5" s="47"/>
      <c r="G5" s="46">
        <f t="shared" ref="G5:G35" si="3">E5*F5</f>
        <v>0</v>
      </c>
      <c r="H5" s="47"/>
      <c r="I5" s="47"/>
      <c r="J5" s="49">
        <f t="shared" ref="J5:J35" si="4">H5*I5</f>
        <v>0</v>
      </c>
      <c r="K5" s="46">
        <f t="shared" ref="K5:L35" si="5">G5+J5</f>
        <v>0</v>
      </c>
      <c r="L5" s="46"/>
      <c r="M5" s="49">
        <f t="shared" ref="M5:M37" si="6">M4+K5-L5</f>
        <v>252518.40990299999</v>
      </c>
      <c r="N5" s="103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</row>
    <row r="6" spans="1:34">
      <c r="A6" s="26">
        <v>3</v>
      </c>
      <c r="B6" s="27">
        <v>46145</v>
      </c>
      <c r="C6" s="47" t="s">
        <v>213</v>
      </c>
      <c r="D6" s="48" t="s">
        <v>213</v>
      </c>
      <c r="E6" s="47"/>
      <c r="F6" s="47"/>
      <c r="G6" s="46">
        <f t="shared" si="3"/>
        <v>0</v>
      </c>
      <c r="H6" s="47"/>
      <c r="I6" s="47"/>
      <c r="J6" s="49">
        <f t="shared" si="4"/>
        <v>0</v>
      </c>
      <c r="K6" s="46">
        <f t="shared" si="5"/>
        <v>0</v>
      </c>
      <c r="L6" s="46"/>
      <c r="M6" s="49">
        <f t="shared" si="6"/>
        <v>252518.40990299999</v>
      </c>
      <c r="N6" s="109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</row>
    <row r="7" spans="1:34">
      <c r="A7" s="26">
        <v>4</v>
      </c>
      <c r="B7" s="27">
        <v>46146</v>
      </c>
      <c r="C7" s="47" t="s">
        <v>213</v>
      </c>
      <c r="D7" s="48" t="s">
        <v>213</v>
      </c>
      <c r="E7" s="47"/>
      <c r="F7" s="47"/>
      <c r="G7" s="46">
        <f t="shared" ref="G7:G16" si="7">E7*F7</f>
        <v>0</v>
      </c>
      <c r="H7" s="47"/>
      <c r="I7" s="47"/>
      <c r="J7" s="49">
        <f t="shared" si="4"/>
        <v>0</v>
      </c>
      <c r="K7" s="46">
        <f t="shared" si="5"/>
        <v>0</v>
      </c>
      <c r="L7" s="46">
        <v>200000</v>
      </c>
      <c r="M7" s="49">
        <f t="shared" si="6"/>
        <v>52518.409902999992</v>
      </c>
      <c r="N7" s="109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</row>
    <row r="8" spans="1:34">
      <c r="A8" s="26">
        <v>5</v>
      </c>
      <c r="B8" s="27">
        <v>46147</v>
      </c>
      <c r="C8" s="47" t="s">
        <v>213</v>
      </c>
      <c r="D8" s="48" t="s">
        <v>213</v>
      </c>
      <c r="E8" s="47">
        <v>600</v>
      </c>
      <c r="F8" s="47">
        <v>91.33</v>
      </c>
      <c r="G8" s="46">
        <f t="shared" ref="G8:G36" si="8">E8*F8</f>
        <v>54798</v>
      </c>
      <c r="H8" s="47">
        <v>70</v>
      </c>
      <c r="I8" s="47">
        <v>103.27</v>
      </c>
      <c r="J8" s="49">
        <f t="shared" si="4"/>
        <v>7228.9</v>
      </c>
      <c r="K8" s="46">
        <f t="shared" si="5"/>
        <v>62026.9</v>
      </c>
      <c r="L8" s="46"/>
      <c r="M8" s="49">
        <f t="shared" si="6"/>
        <v>114545.30990299999</v>
      </c>
      <c r="N8" s="103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</row>
    <row r="9" spans="1:34">
      <c r="A9" s="26">
        <v>6</v>
      </c>
      <c r="B9" s="27">
        <v>46148</v>
      </c>
      <c r="C9" s="47" t="s">
        <v>213</v>
      </c>
      <c r="D9" s="48" t="s">
        <v>213</v>
      </c>
      <c r="E9" s="47">
        <v>600</v>
      </c>
      <c r="F9" s="47">
        <v>91.33</v>
      </c>
      <c r="G9" s="46">
        <f t="shared" si="8"/>
        <v>54798</v>
      </c>
      <c r="H9" s="47"/>
      <c r="I9" s="47"/>
      <c r="J9" s="49">
        <f t="shared" si="4"/>
        <v>0</v>
      </c>
      <c r="K9" s="46">
        <f t="shared" si="5"/>
        <v>54798</v>
      </c>
      <c r="L9" s="46"/>
      <c r="M9" s="49">
        <f t="shared" si="6"/>
        <v>169343.30990299999</v>
      </c>
      <c r="N9" s="109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</row>
    <row r="10" spans="1:34">
      <c r="A10" s="26">
        <v>7</v>
      </c>
      <c r="B10" s="27">
        <v>46149</v>
      </c>
      <c r="C10" s="47" t="s">
        <v>213</v>
      </c>
      <c r="D10" s="48" t="s">
        <v>213</v>
      </c>
      <c r="E10" s="47"/>
      <c r="F10" s="47"/>
      <c r="G10" s="46">
        <f t="shared" si="8"/>
        <v>0</v>
      </c>
      <c r="H10" s="47"/>
      <c r="I10" s="47"/>
      <c r="J10" s="49">
        <f t="shared" si="4"/>
        <v>0</v>
      </c>
      <c r="K10" s="46">
        <f t="shared" si="5"/>
        <v>0</v>
      </c>
      <c r="L10" s="46"/>
      <c r="M10" s="49">
        <f t="shared" si="6"/>
        <v>169343.30990299999</v>
      </c>
      <c r="N10" s="103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</row>
    <row r="11" spans="1:34">
      <c r="A11" s="26">
        <v>8</v>
      </c>
      <c r="B11" s="27">
        <v>46150</v>
      </c>
      <c r="C11" s="47" t="s">
        <v>213</v>
      </c>
      <c r="D11" s="48" t="s">
        <v>213</v>
      </c>
      <c r="E11" s="47"/>
      <c r="F11" s="47"/>
      <c r="G11" s="46">
        <f t="shared" si="8"/>
        <v>0</v>
      </c>
      <c r="H11" s="47"/>
      <c r="I11" s="47"/>
      <c r="J11" s="49">
        <f t="shared" si="4"/>
        <v>0</v>
      </c>
      <c r="K11" s="46">
        <f t="shared" si="5"/>
        <v>0</v>
      </c>
      <c r="L11" s="46"/>
      <c r="M11" s="49">
        <f t="shared" si="6"/>
        <v>169343.30990299999</v>
      </c>
      <c r="N11" s="108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</row>
    <row r="12" spans="1:34">
      <c r="A12" s="26">
        <v>9</v>
      </c>
      <c r="B12" s="27">
        <v>46151</v>
      </c>
      <c r="C12" s="47" t="s">
        <v>213</v>
      </c>
      <c r="D12" s="48" t="s">
        <v>213</v>
      </c>
      <c r="E12" s="47">
        <v>600</v>
      </c>
      <c r="F12" s="47">
        <v>91.33</v>
      </c>
      <c r="G12" s="46">
        <f t="shared" si="8"/>
        <v>54798</v>
      </c>
      <c r="H12" s="47">
        <v>35</v>
      </c>
      <c r="I12" s="47">
        <v>103.27</v>
      </c>
      <c r="J12" s="49">
        <f t="shared" si="4"/>
        <v>3614.45</v>
      </c>
      <c r="K12" s="46">
        <f t="shared" si="5"/>
        <v>58412.45</v>
      </c>
      <c r="L12" s="46"/>
      <c r="M12" s="49">
        <f t="shared" si="6"/>
        <v>227755.75990299997</v>
      </c>
      <c r="N12" s="103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</row>
    <row r="13" spans="1:34">
      <c r="A13" s="26">
        <v>10</v>
      </c>
      <c r="B13" s="27">
        <v>46152</v>
      </c>
      <c r="C13" s="47" t="s">
        <v>213</v>
      </c>
      <c r="D13" s="48" t="s">
        <v>213</v>
      </c>
      <c r="E13" s="47"/>
      <c r="F13" s="47"/>
      <c r="G13" s="46">
        <f t="shared" si="8"/>
        <v>0</v>
      </c>
      <c r="H13" s="47"/>
      <c r="I13" s="47"/>
      <c r="J13" s="49">
        <f t="shared" si="4"/>
        <v>0</v>
      </c>
      <c r="K13" s="46">
        <f t="shared" si="5"/>
        <v>0</v>
      </c>
      <c r="L13" s="46"/>
      <c r="M13" s="49">
        <f t="shared" si="6"/>
        <v>227755.75990299997</v>
      </c>
      <c r="N13" s="103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</row>
    <row r="14" spans="1:34">
      <c r="A14" s="26">
        <v>11</v>
      </c>
      <c r="B14" s="27">
        <v>46153</v>
      </c>
      <c r="C14" s="47" t="s">
        <v>213</v>
      </c>
      <c r="D14" s="48" t="s">
        <v>213</v>
      </c>
      <c r="E14" s="47">
        <v>300</v>
      </c>
      <c r="F14" s="47">
        <v>91.39</v>
      </c>
      <c r="G14" s="46">
        <f t="shared" si="8"/>
        <v>27417</v>
      </c>
      <c r="H14" s="47"/>
      <c r="I14" s="47"/>
      <c r="J14" s="49">
        <f t="shared" si="4"/>
        <v>0</v>
      </c>
      <c r="K14" s="46">
        <f t="shared" si="5"/>
        <v>27417</v>
      </c>
      <c r="L14" s="46">
        <v>27417</v>
      </c>
      <c r="M14" s="49">
        <f t="shared" si="6"/>
        <v>227755.75990299997</v>
      </c>
      <c r="N14" s="103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</row>
    <row r="15" spans="1:34">
      <c r="A15" s="26">
        <v>12</v>
      </c>
      <c r="B15" s="27">
        <v>46153</v>
      </c>
      <c r="C15" s="47"/>
      <c r="D15" s="48"/>
      <c r="E15" s="47"/>
      <c r="F15" s="47"/>
      <c r="G15" s="46"/>
      <c r="H15" s="47"/>
      <c r="I15" s="47"/>
      <c r="J15" s="49"/>
      <c r="K15" s="46"/>
      <c r="L15" s="46">
        <v>180000</v>
      </c>
      <c r="M15" s="49">
        <f t="shared" si="6"/>
        <v>47755.759902999969</v>
      </c>
      <c r="N15" s="103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</row>
    <row r="16" spans="1:34">
      <c r="A16" s="26">
        <v>13</v>
      </c>
      <c r="B16" s="27">
        <v>46154</v>
      </c>
      <c r="C16" s="47" t="s">
        <v>213</v>
      </c>
      <c r="D16" s="48" t="s">
        <v>213</v>
      </c>
      <c r="E16" s="47"/>
      <c r="F16" s="47"/>
      <c r="G16" s="46">
        <f t="shared" si="8"/>
        <v>0</v>
      </c>
      <c r="H16" s="47"/>
      <c r="I16" s="47"/>
      <c r="J16" s="49">
        <f t="shared" si="4"/>
        <v>0</v>
      </c>
      <c r="K16" s="46">
        <f t="shared" si="5"/>
        <v>0</v>
      </c>
      <c r="L16" s="46">
        <v>0</v>
      </c>
      <c r="M16" s="49">
        <f t="shared" si="6"/>
        <v>47755.759902999969</v>
      </c>
      <c r="N16" s="103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</row>
    <row r="17" spans="1:34">
      <c r="A17" s="26">
        <v>14</v>
      </c>
      <c r="B17" s="27">
        <v>46155</v>
      </c>
      <c r="C17" s="47" t="s">
        <v>213</v>
      </c>
      <c r="D17" s="48" t="s">
        <v>213</v>
      </c>
      <c r="E17" s="47">
        <v>600</v>
      </c>
      <c r="F17" s="47">
        <v>91.33</v>
      </c>
      <c r="G17" s="46">
        <f t="shared" si="8"/>
        <v>54798</v>
      </c>
      <c r="H17" s="47">
        <v>35</v>
      </c>
      <c r="I17" s="47">
        <v>103.27</v>
      </c>
      <c r="J17" s="49">
        <f t="shared" si="4"/>
        <v>3614.45</v>
      </c>
      <c r="K17" s="46">
        <f t="shared" si="5"/>
        <v>58412.45</v>
      </c>
      <c r="L17" s="46"/>
      <c r="M17" s="49">
        <f t="shared" si="6"/>
        <v>106168.20990299997</v>
      </c>
      <c r="N17" s="103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</row>
    <row r="18" spans="1:34">
      <c r="A18" s="26">
        <v>15</v>
      </c>
      <c r="B18" s="27">
        <v>46156</v>
      </c>
      <c r="C18" s="47" t="s">
        <v>213</v>
      </c>
      <c r="D18" s="48" t="s">
        <v>213</v>
      </c>
      <c r="E18" s="47">
        <v>500</v>
      </c>
      <c r="F18" s="47">
        <v>91.33</v>
      </c>
      <c r="G18" s="46">
        <f t="shared" si="8"/>
        <v>45665</v>
      </c>
      <c r="H18" s="47"/>
      <c r="I18" s="47"/>
      <c r="J18" s="49">
        <f t="shared" si="4"/>
        <v>0</v>
      </c>
      <c r="K18" s="46">
        <f t="shared" si="5"/>
        <v>45665</v>
      </c>
      <c r="L18" s="46"/>
      <c r="M18" s="49">
        <f t="shared" si="6"/>
        <v>151833.20990299998</v>
      </c>
      <c r="N18" s="49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</row>
    <row r="19" spans="1:34">
      <c r="A19" s="26">
        <v>16</v>
      </c>
      <c r="B19" s="27">
        <v>46157</v>
      </c>
      <c r="C19" s="47" t="s">
        <v>213</v>
      </c>
      <c r="D19" s="48" t="s">
        <v>213</v>
      </c>
      <c r="E19" s="47">
        <v>500</v>
      </c>
      <c r="F19" s="47">
        <v>94.41</v>
      </c>
      <c r="G19" s="46">
        <f t="shared" si="8"/>
        <v>47205</v>
      </c>
      <c r="H19" s="47"/>
      <c r="I19" s="47"/>
      <c r="J19" s="49">
        <f t="shared" si="4"/>
        <v>0</v>
      </c>
      <c r="K19" s="46">
        <f t="shared" si="5"/>
        <v>47205</v>
      </c>
      <c r="L19" s="448">
        <f>H19+K19</f>
        <v>47205</v>
      </c>
      <c r="M19" s="49">
        <f t="shared" si="6"/>
        <v>151833.20990299998</v>
      </c>
      <c r="N19" s="103" t="s">
        <v>275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</row>
    <row r="20" spans="1:34">
      <c r="A20" s="26">
        <v>17</v>
      </c>
      <c r="B20" s="27">
        <v>46158</v>
      </c>
      <c r="C20" s="47" t="s">
        <v>213</v>
      </c>
      <c r="D20" s="48" t="s">
        <v>213</v>
      </c>
      <c r="E20" s="47"/>
      <c r="F20" s="47"/>
      <c r="G20" s="46">
        <f t="shared" si="8"/>
        <v>0</v>
      </c>
      <c r="H20" s="47"/>
      <c r="I20" s="47"/>
      <c r="J20" s="49">
        <f t="shared" si="4"/>
        <v>0</v>
      </c>
      <c r="K20" s="46">
        <f t="shared" si="5"/>
        <v>0</v>
      </c>
      <c r="L20" s="46">
        <v>150000</v>
      </c>
      <c r="M20" s="49">
        <f t="shared" si="6"/>
        <v>1833.2099029999808</v>
      </c>
      <c r="N20" s="103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</row>
    <row r="21" spans="1:34">
      <c r="A21" s="26">
        <v>18</v>
      </c>
      <c r="B21" s="27">
        <v>46159</v>
      </c>
      <c r="C21" s="47" t="s">
        <v>213</v>
      </c>
      <c r="D21" s="48" t="s">
        <v>213</v>
      </c>
      <c r="E21" s="47">
        <v>800</v>
      </c>
      <c r="F21" s="47">
        <v>94.44</v>
      </c>
      <c r="G21" s="46">
        <f t="shared" si="8"/>
        <v>75552</v>
      </c>
      <c r="H21" s="47">
        <v>35</v>
      </c>
      <c r="I21" s="47">
        <v>106.53</v>
      </c>
      <c r="J21" s="49">
        <f t="shared" si="4"/>
        <v>3728.55</v>
      </c>
      <c r="K21" s="46">
        <f t="shared" si="5"/>
        <v>79280.55</v>
      </c>
      <c r="L21" s="46"/>
      <c r="M21" s="49">
        <f t="shared" si="6"/>
        <v>81113.759902999984</v>
      </c>
      <c r="N21" s="103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</row>
    <row r="22" spans="1:34">
      <c r="A22" s="26">
        <v>19</v>
      </c>
      <c r="B22" s="27">
        <v>46160</v>
      </c>
      <c r="C22" s="47" t="s">
        <v>213</v>
      </c>
      <c r="D22" s="48" t="s">
        <v>213</v>
      </c>
      <c r="E22" s="47"/>
      <c r="F22" s="47"/>
      <c r="G22" s="46">
        <f t="shared" si="8"/>
        <v>0</v>
      </c>
      <c r="H22" s="47"/>
      <c r="I22" s="47"/>
      <c r="J22" s="49">
        <f t="shared" si="4"/>
        <v>0</v>
      </c>
      <c r="K22" s="46">
        <f t="shared" si="5"/>
        <v>0</v>
      </c>
      <c r="L22" s="46"/>
      <c r="M22" s="49">
        <f t="shared" si="6"/>
        <v>81113.759902999984</v>
      </c>
      <c r="N22" s="103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</row>
    <row r="23" spans="1:34">
      <c r="A23" s="26">
        <v>20</v>
      </c>
      <c r="B23" s="27">
        <v>46161</v>
      </c>
      <c r="C23" s="47" t="s">
        <v>213</v>
      </c>
      <c r="D23" s="48" t="s">
        <v>213</v>
      </c>
      <c r="E23" s="47">
        <v>400</v>
      </c>
      <c r="F23" s="47">
        <v>95.44</v>
      </c>
      <c r="G23" s="46">
        <f t="shared" si="8"/>
        <v>38176</v>
      </c>
      <c r="H23" s="47">
        <v>0</v>
      </c>
      <c r="I23" s="47">
        <v>0</v>
      </c>
      <c r="J23" s="49">
        <f t="shared" si="4"/>
        <v>0</v>
      </c>
      <c r="K23" s="46">
        <f t="shared" si="5"/>
        <v>38176</v>
      </c>
      <c r="L23" s="46">
        <v>38176</v>
      </c>
      <c r="M23" s="49">
        <f t="shared" si="6"/>
        <v>81113.759902999984</v>
      </c>
      <c r="N23" s="103" t="s">
        <v>276</v>
      </c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</row>
    <row r="24" spans="1:34">
      <c r="A24" s="26">
        <v>21</v>
      </c>
      <c r="B24" s="27">
        <v>46162</v>
      </c>
      <c r="C24" s="47" t="s">
        <v>213</v>
      </c>
      <c r="D24" s="48" t="s">
        <v>213</v>
      </c>
      <c r="E24" s="47"/>
      <c r="F24" s="47"/>
      <c r="G24" s="46">
        <f t="shared" si="8"/>
        <v>0</v>
      </c>
      <c r="H24" s="47"/>
      <c r="I24" s="47"/>
      <c r="J24" s="49">
        <f t="shared" si="4"/>
        <v>0</v>
      </c>
      <c r="K24" s="46">
        <f t="shared" si="5"/>
        <v>0</v>
      </c>
      <c r="L24" s="46"/>
      <c r="M24" s="49">
        <f t="shared" si="6"/>
        <v>81113.759902999984</v>
      </c>
      <c r="N24" s="103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</row>
    <row r="25" spans="1:34">
      <c r="A25" s="26">
        <v>22</v>
      </c>
      <c r="B25" s="27">
        <v>46163</v>
      </c>
      <c r="C25" s="47" t="s">
        <v>213</v>
      </c>
      <c r="D25" s="48" t="s">
        <v>213</v>
      </c>
      <c r="E25" s="47">
        <v>800</v>
      </c>
      <c r="F25" s="47">
        <v>95.48</v>
      </c>
      <c r="G25" s="46">
        <f t="shared" si="8"/>
        <v>76384</v>
      </c>
      <c r="H25" s="47">
        <v>35</v>
      </c>
      <c r="I25" s="47">
        <v>107.48</v>
      </c>
      <c r="J25" s="49">
        <f t="shared" si="4"/>
        <v>3761.8</v>
      </c>
      <c r="K25" s="46">
        <f t="shared" si="5"/>
        <v>80145.8</v>
      </c>
      <c r="L25" s="46">
        <v>140000</v>
      </c>
      <c r="M25" s="49">
        <f t="shared" si="6"/>
        <v>21259.559902999987</v>
      </c>
      <c r="N25" s="103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</row>
    <row r="26" spans="1:34">
      <c r="A26" s="26">
        <v>23</v>
      </c>
      <c r="B26" s="27">
        <v>46164</v>
      </c>
      <c r="C26" s="47" t="s">
        <v>213</v>
      </c>
      <c r="D26" s="48" t="s">
        <v>213</v>
      </c>
      <c r="E26" s="47">
        <v>400</v>
      </c>
      <c r="F26" s="47">
        <v>95.48</v>
      </c>
      <c r="G26" s="46">
        <f t="shared" si="8"/>
        <v>38192</v>
      </c>
      <c r="H26" s="47"/>
      <c r="I26" s="47"/>
      <c r="J26" s="49">
        <f t="shared" si="4"/>
        <v>0</v>
      </c>
      <c r="K26" s="46">
        <f t="shared" si="5"/>
        <v>38192</v>
      </c>
      <c r="L26" s="46"/>
      <c r="M26" s="49">
        <f t="shared" si="6"/>
        <v>59451.559902999987</v>
      </c>
      <c r="N26" s="103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</row>
    <row r="27" spans="1:34">
      <c r="A27" s="26">
        <v>24</v>
      </c>
      <c r="B27" s="27">
        <v>46165</v>
      </c>
      <c r="C27" s="47" t="s">
        <v>213</v>
      </c>
      <c r="D27" s="48" t="s">
        <v>213</v>
      </c>
      <c r="E27" s="47">
        <v>800</v>
      </c>
      <c r="F27" s="47">
        <v>96.33</v>
      </c>
      <c r="G27" s="46">
        <f t="shared" si="8"/>
        <v>77064</v>
      </c>
      <c r="H27" s="47"/>
      <c r="I27" s="47"/>
      <c r="J27" s="49">
        <f t="shared" si="4"/>
        <v>0</v>
      </c>
      <c r="K27" s="46">
        <f t="shared" si="5"/>
        <v>77064</v>
      </c>
      <c r="L27" s="46"/>
      <c r="M27" s="49">
        <f t="shared" si="6"/>
        <v>136515.55990299999</v>
      </c>
      <c r="N27" s="103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</row>
    <row r="28" spans="1:34">
      <c r="A28" s="26">
        <v>25</v>
      </c>
      <c r="B28" s="27">
        <v>46166</v>
      </c>
      <c r="C28" s="47" t="s">
        <v>213</v>
      </c>
      <c r="D28" s="48" t="s">
        <v>213</v>
      </c>
      <c r="E28" s="47"/>
      <c r="F28" s="47"/>
      <c r="G28" s="46">
        <f t="shared" si="8"/>
        <v>0</v>
      </c>
      <c r="H28" s="47"/>
      <c r="I28" s="47"/>
      <c r="J28" s="49">
        <f t="shared" si="4"/>
        <v>0</v>
      </c>
      <c r="K28" s="46">
        <f t="shared" si="5"/>
        <v>0</v>
      </c>
      <c r="L28" s="46"/>
      <c r="M28" s="49">
        <f t="shared" si="6"/>
        <v>136515.55990299999</v>
      </c>
      <c r="N28" s="103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</row>
    <row r="29" spans="1:34">
      <c r="A29" s="26">
        <v>26</v>
      </c>
      <c r="B29" s="27">
        <v>46167</v>
      </c>
      <c r="C29" s="47"/>
      <c r="D29" s="48"/>
      <c r="E29" s="47"/>
      <c r="F29" s="47"/>
      <c r="G29" s="46">
        <f t="shared" si="8"/>
        <v>0</v>
      </c>
      <c r="H29" s="47"/>
      <c r="I29" s="47"/>
      <c r="J29" s="49">
        <f t="shared" si="4"/>
        <v>0</v>
      </c>
      <c r="K29" s="46">
        <f t="shared" si="5"/>
        <v>0</v>
      </c>
      <c r="L29" s="46">
        <v>100000</v>
      </c>
      <c r="M29" s="49">
        <f t="shared" si="6"/>
        <v>36515.559902999987</v>
      </c>
      <c r="N29" s="103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</row>
    <row r="30" spans="1:34">
      <c r="A30" s="26">
        <v>27</v>
      </c>
      <c r="B30" s="27">
        <v>46168</v>
      </c>
      <c r="C30" s="47"/>
      <c r="D30" s="48"/>
      <c r="E30" s="47"/>
      <c r="F30" s="47"/>
      <c r="G30" s="46">
        <f t="shared" si="8"/>
        <v>0</v>
      </c>
      <c r="H30" s="47"/>
      <c r="I30" s="47"/>
      <c r="J30" s="49">
        <f t="shared" si="4"/>
        <v>0</v>
      </c>
      <c r="K30" s="46">
        <f t="shared" si="5"/>
        <v>0</v>
      </c>
      <c r="L30" s="46"/>
      <c r="M30" s="49">
        <f t="shared" si="6"/>
        <v>36515.559902999987</v>
      </c>
      <c r="N30" s="103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</row>
    <row r="31" spans="1:34">
      <c r="A31" s="26">
        <v>28</v>
      </c>
      <c r="B31" s="27">
        <v>46169</v>
      </c>
      <c r="C31" s="47" t="s">
        <v>213</v>
      </c>
      <c r="D31" s="48" t="s">
        <v>213</v>
      </c>
      <c r="E31" s="47">
        <v>1200</v>
      </c>
      <c r="F31" s="47">
        <v>99.14</v>
      </c>
      <c r="G31" s="46">
        <f t="shared" si="8"/>
        <v>118968</v>
      </c>
      <c r="H31" s="47">
        <v>35</v>
      </c>
      <c r="I31" s="47">
        <v>111.24</v>
      </c>
      <c r="J31" s="49">
        <f t="shared" si="4"/>
        <v>3893.3999999999996</v>
      </c>
      <c r="K31" s="46">
        <f t="shared" si="5"/>
        <v>122861.4</v>
      </c>
      <c r="L31" s="46"/>
      <c r="M31" s="49">
        <f t="shared" si="6"/>
        <v>159376.95990299998</v>
      </c>
      <c r="N31" s="103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</row>
    <row r="32" spans="1:34">
      <c r="A32" s="26">
        <v>29</v>
      </c>
      <c r="B32" s="27">
        <v>46170</v>
      </c>
      <c r="C32" s="47" t="s">
        <v>213</v>
      </c>
      <c r="D32" s="48" t="s">
        <v>213</v>
      </c>
      <c r="E32" s="47"/>
      <c r="F32" s="47"/>
      <c r="G32" s="46">
        <f t="shared" si="8"/>
        <v>0</v>
      </c>
      <c r="H32" s="47"/>
      <c r="I32" s="47"/>
      <c r="J32" s="49">
        <f t="shared" si="4"/>
        <v>0</v>
      </c>
      <c r="K32" s="46">
        <f t="shared" si="5"/>
        <v>0</v>
      </c>
      <c r="L32" s="46"/>
      <c r="M32" s="49">
        <f t="shared" si="6"/>
        <v>159376.95990299998</v>
      </c>
      <c r="N32" s="103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</row>
    <row r="33" spans="1:34">
      <c r="A33" s="26">
        <v>30</v>
      </c>
      <c r="B33" s="27">
        <v>46171</v>
      </c>
      <c r="C33" s="47" t="s">
        <v>213</v>
      </c>
      <c r="D33" s="48" t="s">
        <v>213</v>
      </c>
      <c r="E33" s="47"/>
      <c r="F33" s="47"/>
      <c r="G33" s="46">
        <f t="shared" si="8"/>
        <v>0</v>
      </c>
      <c r="H33" s="47"/>
      <c r="I33" s="47"/>
      <c r="J33" s="49">
        <f t="shared" si="4"/>
        <v>0</v>
      </c>
      <c r="K33" s="46">
        <f t="shared" si="5"/>
        <v>0</v>
      </c>
      <c r="L33" s="46"/>
      <c r="M33" s="49">
        <f t="shared" si="6"/>
        <v>159376.95990299998</v>
      </c>
      <c r="N33" s="103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</row>
    <row r="34" spans="1:34">
      <c r="A34" s="26">
        <v>31</v>
      </c>
      <c r="B34" s="27">
        <v>46172</v>
      </c>
      <c r="C34" s="46"/>
      <c r="D34" s="48" t="s">
        <v>213</v>
      </c>
      <c r="E34" s="47">
        <v>300</v>
      </c>
      <c r="F34" s="47">
        <v>99.14</v>
      </c>
      <c r="G34" s="46">
        <f t="shared" si="8"/>
        <v>29742</v>
      </c>
      <c r="H34" s="47"/>
      <c r="I34" s="47"/>
      <c r="J34" s="49">
        <f t="shared" si="4"/>
        <v>0</v>
      </c>
      <c r="K34" s="46">
        <f t="shared" si="5"/>
        <v>29742</v>
      </c>
      <c r="L34" s="46"/>
      <c r="M34" s="49">
        <f t="shared" si="6"/>
        <v>189118.95990299998</v>
      </c>
      <c r="N34" s="103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</row>
    <row r="35" spans="1:34">
      <c r="A35" s="26">
        <v>32</v>
      </c>
      <c r="B35" s="27"/>
      <c r="C35" s="46"/>
      <c r="D35" s="48" t="s">
        <v>213</v>
      </c>
      <c r="E35" s="47"/>
      <c r="F35" s="47"/>
      <c r="G35" s="46">
        <f t="shared" si="8"/>
        <v>0</v>
      </c>
      <c r="H35" s="47"/>
      <c r="I35" s="47"/>
      <c r="J35" s="49">
        <f t="shared" si="4"/>
        <v>0</v>
      </c>
      <c r="K35" s="46">
        <f t="shared" si="5"/>
        <v>0</v>
      </c>
      <c r="L35" s="46"/>
      <c r="M35" s="49">
        <f t="shared" si="6"/>
        <v>189118.95990299998</v>
      </c>
      <c r="N35" s="103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</row>
    <row r="36" spans="1:34">
      <c r="A36" s="26">
        <v>33</v>
      </c>
      <c r="B36" s="27"/>
      <c r="C36" s="46"/>
      <c r="D36" s="48" t="s">
        <v>213</v>
      </c>
      <c r="E36" s="47"/>
      <c r="F36" s="47"/>
      <c r="G36" s="46">
        <f t="shared" si="8"/>
        <v>0</v>
      </c>
      <c r="H36" s="47"/>
      <c r="I36" s="47"/>
      <c r="J36" s="49">
        <f t="shared" ref="J5:J36" si="9">H36*I36</f>
        <v>0</v>
      </c>
      <c r="K36" s="46">
        <f t="shared" ref="K5:K37" si="10">G36+J36</f>
        <v>0</v>
      </c>
      <c r="L36" s="46"/>
      <c r="M36" s="49">
        <f t="shared" si="6"/>
        <v>189118.95990299998</v>
      </c>
      <c r="N36" s="103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</row>
    <row r="37" spans="1:34">
      <c r="A37" s="26">
        <v>34</v>
      </c>
      <c r="B37" s="27"/>
      <c r="C37" s="46"/>
      <c r="D37" s="48" t="s">
        <v>213</v>
      </c>
      <c r="E37" s="47"/>
      <c r="F37" s="47"/>
      <c r="G37" s="46">
        <f t="shared" ref="G5:G37" si="11">E37*F37</f>
        <v>0</v>
      </c>
      <c r="H37" s="47">
        <v>0</v>
      </c>
      <c r="I37" s="47">
        <v>0</v>
      </c>
      <c r="J37" s="49">
        <f t="shared" ref="J5:J37" si="12">H37*I37</f>
        <v>0</v>
      </c>
      <c r="K37" s="46">
        <f t="shared" si="10"/>
        <v>0</v>
      </c>
      <c r="L37" s="107"/>
      <c r="M37" s="49">
        <f t="shared" si="6"/>
        <v>189118.95990299998</v>
      </c>
      <c r="N37" s="103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</row>
    <row r="38" spans="1:34">
      <c r="A38" s="42"/>
      <c r="B38" s="42"/>
      <c r="C38" s="42"/>
      <c r="D38" s="42"/>
      <c r="E38" s="43">
        <f>SUM(E4:E37)</f>
        <v>9000</v>
      </c>
      <c r="F38" s="43"/>
      <c r="G38" s="43">
        <f>SUM(G4:G37)</f>
        <v>848355</v>
      </c>
      <c r="H38" s="43">
        <f>SUM(H4:H37)</f>
        <v>280</v>
      </c>
      <c r="I38" s="43"/>
      <c r="J38" s="43">
        <f>SUM(J4:J37)</f>
        <v>29456</v>
      </c>
      <c r="K38" s="43">
        <f>SUM(K4:K37)</f>
        <v>877811.00000000012</v>
      </c>
      <c r="L38" s="43">
        <f>SUM(L4:L37)</f>
        <v>882798</v>
      </c>
      <c r="M38" s="43"/>
      <c r="N38" s="43"/>
      <c r="O38" s="33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</row>
    <row r="39" spans="1:34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</row>
    <row r="40" spans="1:34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</row>
  </sheetData>
  <mergeCells count="2">
    <mergeCell ref="A1:N1"/>
    <mergeCell ref="A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workbookViewId="0">
      <selection activeCell="Q14" sqref="Q14"/>
    </sheetView>
  </sheetViews>
  <sheetFormatPr defaultRowHeight="15"/>
  <cols>
    <col min="2" max="2" width="10.1406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6" max="16" width="10" customWidth="1"/>
  </cols>
  <sheetData>
    <row r="1" spans="1:14" ht="15.75" customHeight="1">
      <c r="A1" s="560" t="s">
        <v>94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4" ht="25.5">
      <c r="A2" s="102" t="s">
        <v>0</v>
      </c>
      <c r="B2" s="105" t="s">
        <v>166</v>
      </c>
      <c r="C2" s="105" t="s">
        <v>167</v>
      </c>
      <c r="D2" s="105" t="s">
        <v>168</v>
      </c>
      <c r="E2" s="105" t="s">
        <v>169</v>
      </c>
      <c r="F2" s="105" t="s">
        <v>170</v>
      </c>
      <c r="G2" s="105" t="s">
        <v>171</v>
      </c>
      <c r="H2" s="105" t="s">
        <v>172</v>
      </c>
      <c r="I2" s="105" t="s">
        <v>170</v>
      </c>
      <c r="J2" s="105" t="s">
        <v>171</v>
      </c>
      <c r="K2" s="105" t="s">
        <v>173</v>
      </c>
      <c r="L2" s="105" t="s">
        <v>174</v>
      </c>
      <c r="M2" s="105" t="s">
        <v>199</v>
      </c>
      <c r="N2" s="105" t="s">
        <v>176</v>
      </c>
    </row>
    <row r="3" spans="1:14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9"/>
      <c r="K3">
        <v>248489.27649999977</v>
      </c>
      <c r="L3" s="149"/>
      <c r="M3" s="149">
        <v>248489.27649999977</v>
      </c>
      <c r="N3" s="106"/>
    </row>
    <row r="4" spans="1:14">
      <c r="A4" s="26">
        <v>1</v>
      </c>
      <c r="B4" s="27">
        <v>46143</v>
      </c>
      <c r="C4" s="106">
        <v>0</v>
      </c>
      <c r="D4" s="120"/>
      <c r="E4" s="36">
        <v>0</v>
      </c>
      <c r="F4" s="36">
        <v>0</v>
      </c>
      <c r="G4" s="36">
        <f>E4*F4</f>
        <v>0</v>
      </c>
      <c r="H4" s="121">
        <v>0</v>
      </c>
      <c r="I4" s="121">
        <v>0</v>
      </c>
      <c r="J4" s="36">
        <f>H4*I4</f>
        <v>0</v>
      </c>
      <c r="K4" s="36">
        <f>G4+J4</f>
        <v>0</v>
      </c>
      <c r="L4" s="36"/>
      <c r="M4" s="36">
        <f t="shared" ref="M4:M33" si="0">M3+K4-L4</f>
        <v>248489.27649999977</v>
      </c>
      <c r="N4" s="44"/>
    </row>
    <row r="5" spans="1:14">
      <c r="A5" s="26">
        <v>2</v>
      </c>
      <c r="B5" s="27">
        <v>46144</v>
      </c>
      <c r="C5" s="106">
        <v>0</v>
      </c>
      <c r="D5" s="120"/>
      <c r="E5" s="36"/>
      <c r="F5" s="36"/>
      <c r="G5" s="36">
        <f t="shared" ref="G5:G31" si="1">E5*F5</f>
        <v>0</v>
      </c>
      <c r="H5" s="121"/>
      <c r="I5" s="121"/>
      <c r="J5" s="36">
        <f t="shared" ref="J5:J31" si="2">H5*I5</f>
        <v>0</v>
      </c>
      <c r="K5" s="36">
        <f t="shared" ref="K5:K31" si="3">G5+J5</f>
        <v>0</v>
      </c>
      <c r="L5" s="36"/>
      <c r="M5" s="36">
        <f t="shared" si="0"/>
        <v>248489.27649999977</v>
      </c>
      <c r="N5" s="44"/>
    </row>
    <row r="6" spans="1:14">
      <c r="A6" s="26">
        <v>3</v>
      </c>
      <c r="B6" s="27">
        <v>46145</v>
      </c>
      <c r="C6" s="106">
        <v>0</v>
      </c>
      <c r="D6" s="120"/>
      <c r="E6" s="36"/>
      <c r="F6" s="36"/>
      <c r="G6" s="36">
        <f t="shared" si="1"/>
        <v>0</v>
      </c>
      <c r="H6" s="121"/>
      <c r="I6" s="121"/>
      <c r="J6" s="36">
        <f t="shared" si="2"/>
        <v>0</v>
      </c>
      <c r="K6" s="36">
        <f t="shared" si="3"/>
        <v>0</v>
      </c>
      <c r="L6" s="36"/>
      <c r="M6" s="36">
        <f t="shared" si="0"/>
        <v>248489.27649999977</v>
      </c>
      <c r="N6" s="44"/>
    </row>
    <row r="7" spans="1:14">
      <c r="A7" s="26">
        <v>4</v>
      </c>
      <c r="B7" s="27">
        <v>46146</v>
      </c>
      <c r="C7" s="106">
        <v>0</v>
      </c>
      <c r="D7" s="120"/>
      <c r="E7" s="36"/>
      <c r="F7" s="36"/>
      <c r="G7" s="36">
        <f t="shared" si="1"/>
        <v>0</v>
      </c>
      <c r="H7" s="121"/>
      <c r="I7" s="121"/>
      <c r="J7" s="36">
        <f t="shared" si="2"/>
        <v>0</v>
      </c>
      <c r="K7" s="36">
        <f t="shared" si="3"/>
        <v>0</v>
      </c>
      <c r="L7" s="36"/>
      <c r="M7" s="36">
        <f t="shared" si="0"/>
        <v>248489.27649999977</v>
      </c>
      <c r="N7" s="44"/>
    </row>
    <row r="8" spans="1:14">
      <c r="A8" s="26">
        <v>5</v>
      </c>
      <c r="B8" s="27">
        <v>46147</v>
      </c>
      <c r="C8" s="106">
        <v>0</v>
      </c>
      <c r="D8" s="120"/>
      <c r="E8" s="36"/>
      <c r="F8" s="36"/>
      <c r="G8" s="36">
        <f t="shared" ref="G8:G20" si="4">E8*F8</f>
        <v>0</v>
      </c>
      <c r="H8" s="121"/>
      <c r="I8" s="121"/>
      <c r="J8" s="36">
        <f t="shared" ref="J8:J20" si="5">H8*I8</f>
        <v>0</v>
      </c>
      <c r="K8" s="36">
        <f t="shared" ref="K8:K34" si="6">G8+J8</f>
        <v>0</v>
      </c>
      <c r="L8" s="36"/>
      <c r="M8" s="36">
        <f t="shared" si="0"/>
        <v>248489.27649999977</v>
      </c>
      <c r="N8" s="44"/>
    </row>
    <row r="9" spans="1:14">
      <c r="A9" s="26">
        <v>6</v>
      </c>
      <c r="B9" s="27">
        <v>46148</v>
      </c>
      <c r="C9" s="106">
        <v>0</v>
      </c>
      <c r="D9" s="120"/>
      <c r="E9" s="36"/>
      <c r="F9" s="36"/>
      <c r="G9" s="36">
        <f t="shared" si="4"/>
        <v>0</v>
      </c>
      <c r="H9" s="121"/>
      <c r="I9" s="121"/>
      <c r="J9" s="36">
        <f t="shared" si="5"/>
        <v>0</v>
      </c>
      <c r="K9" s="36">
        <f t="shared" si="6"/>
        <v>0</v>
      </c>
      <c r="L9" s="36"/>
      <c r="M9" s="36">
        <f t="shared" si="0"/>
        <v>248489.27649999977</v>
      </c>
      <c r="N9" s="44"/>
    </row>
    <row r="10" spans="1:14">
      <c r="A10" s="26">
        <v>7</v>
      </c>
      <c r="B10" s="27">
        <v>46149</v>
      </c>
      <c r="C10" s="106">
        <v>0</v>
      </c>
      <c r="D10" s="120"/>
      <c r="E10" s="36"/>
      <c r="F10" s="36"/>
      <c r="G10" s="36">
        <f t="shared" si="4"/>
        <v>0</v>
      </c>
      <c r="H10" s="121"/>
      <c r="I10" s="121"/>
      <c r="J10" s="36">
        <f t="shared" si="5"/>
        <v>0</v>
      </c>
      <c r="K10" s="36">
        <f t="shared" si="6"/>
        <v>0</v>
      </c>
      <c r="L10" s="36"/>
      <c r="M10" s="36">
        <f t="shared" si="0"/>
        <v>248489.27649999977</v>
      </c>
      <c r="N10" s="44"/>
    </row>
    <row r="11" spans="1:14">
      <c r="A11" s="26">
        <v>8</v>
      </c>
      <c r="B11" s="27">
        <v>46150</v>
      </c>
      <c r="C11" s="106">
        <v>0</v>
      </c>
      <c r="D11" s="120"/>
      <c r="E11" s="36"/>
      <c r="F11" s="36"/>
      <c r="G11" s="36">
        <f t="shared" si="4"/>
        <v>0</v>
      </c>
      <c r="H11" s="121"/>
      <c r="I11" s="121"/>
      <c r="J11" s="36">
        <f t="shared" si="5"/>
        <v>0</v>
      </c>
      <c r="K11" s="36">
        <f t="shared" si="6"/>
        <v>0</v>
      </c>
      <c r="L11" s="36"/>
      <c r="M11" s="36">
        <f t="shared" si="0"/>
        <v>248489.27649999977</v>
      </c>
      <c r="N11" s="44"/>
    </row>
    <row r="12" spans="1:14">
      <c r="A12" s="26">
        <v>9</v>
      </c>
      <c r="B12" s="27">
        <v>46151</v>
      </c>
      <c r="C12" s="106">
        <v>0</v>
      </c>
      <c r="D12" s="120"/>
      <c r="E12" s="36"/>
      <c r="F12" s="36"/>
      <c r="G12" s="36">
        <f t="shared" si="4"/>
        <v>0</v>
      </c>
      <c r="H12" s="121"/>
      <c r="I12" s="121"/>
      <c r="J12" s="36">
        <f t="shared" si="5"/>
        <v>0</v>
      </c>
      <c r="K12" s="36">
        <f t="shared" si="6"/>
        <v>0</v>
      </c>
      <c r="L12" s="36"/>
      <c r="M12" s="36">
        <f t="shared" si="0"/>
        <v>248489.27649999977</v>
      </c>
      <c r="N12" s="44"/>
    </row>
    <row r="13" spans="1:14">
      <c r="A13" s="26">
        <v>10</v>
      </c>
      <c r="B13" s="27">
        <v>46152</v>
      </c>
      <c r="C13" s="106">
        <v>0</v>
      </c>
      <c r="D13" s="120"/>
      <c r="E13" s="36"/>
      <c r="F13" s="36"/>
      <c r="G13" s="36">
        <f t="shared" si="4"/>
        <v>0</v>
      </c>
      <c r="H13" s="121"/>
      <c r="I13" s="121"/>
      <c r="J13" s="36">
        <f t="shared" si="5"/>
        <v>0</v>
      </c>
      <c r="K13" s="36">
        <f t="shared" si="6"/>
        <v>0</v>
      </c>
      <c r="L13" s="36"/>
      <c r="M13" s="36">
        <f t="shared" si="0"/>
        <v>248489.27649999977</v>
      </c>
      <c r="N13" s="44"/>
    </row>
    <row r="14" spans="1:14">
      <c r="A14" s="26">
        <v>11</v>
      </c>
      <c r="B14" s="27">
        <v>46153</v>
      </c>
      <c r="C14" s="106">
        <v>0</v>
      </c>
      <c r="D14" s="120"/>
      <c r="E14" s="36"/>
      <c r="F14" s="36"/>
      <c r="G14" s="36">
        <f t="shared" si="4"/>
        <v>0</v>
      </c>
      <c r="H14" s="121"/>
      <c r="I14" s="121"/>
      <c r="J14" s="36">
        <f t="shared" si="5"/>
        <v>0</v>
      </c>
      <c r="K14" s="36">
        <f t="shared" si="6"/>
        <v>0</v>
      </c>
      <c r="L14" s="36"/>
      <c r="M14" s="36">
        <f t="shared" si="0"/>
        <v>248489.27649999977</v>
      </c>
      <c r="N14" s="44"/>
    </row>
    <row r="15" spans="1:14">
      <c r="A15" s="26">
        <v>12</v>
      </c>
      <c r="B15" s="27">
        <v>46154</v>
      </c>
      <c r="C15" s="106">
        <v>0</v>
      </c>
      <c r="D15" s="120"/>
      <c r="E15" s="36"/>
      <c r="F15" s="36"/>
      <c r="G15" s="36">
        <f t="shared" si="4"/>
        <v>0</v>
      </c>
      <c r="H15" s="121"/>
      <c r="I15" s="121"/>
      <c r="J15" s="36">
        <f t="shared" si="5"/>
        <v>0</v>
      </c>
      <c r="K15" s="36">
        <f t="shared" si="6"/>
        <v>0</v>
      </c>
      <c r="L15" s="36"/>
      <c r="M15" s="36">
        <f t="shared" si="0"/>
        <v>248489.27649999977</v>
      </c>
      <c r="N15" s="44"/>
    </row>
    <row r="16" spans="1:14">
      <c r="A16" s="26">
        <v>13</v>
      </c>
      <c r="B16" s="27">
        <v>46155</v>
      </c>
      <c r="C16" s="106">
        <v>0</v>
      </c>
      <c r="D16" s="120"/>
      <c r="E16" s="36"/>
      <c r="F16" s="36"/>
      <c r="G16" s="36">
        <f t="shared" si="4"/>
        <v>0</v>
      </c>
      <c r="H16" s="121"/>
      <c r="I16" s="121"/>
      <c r="J16" s="36">
        <f t="shared" si="5"/>
        <v>0</v>
      </c>
      <c r="K16" s="36">
        <f t="shared" si="6"/>
        <v>0</v>
      </c>
      <c r="L16" s="36"/>
      <c r="M16" s="36">
        <f t="shared" si="0"/>
        <v>248489.27649999977</v>
      </c>
      <c r="N16" s="44"/>
    </row>
    <row r="17" spans="1:14">
      <c r="A17" s="26">
        <v>14</v>
      </c>
      <c r="B17" s="27">
        <v>46156</v>
      </c>
      <c r="C17" s="106">
        <v>0</v>
      </c>
      <c r="D17" s="120"/>
      <c r="E17" s="36"/>
      <c r="F17" s="36"/>
      <c r="G17" s="36">
        <f t="shared" si="4"/>
        <v>0</v>
      </c>
      <c r="H17" s="121"/>
      <c r="I17" s="121"/>
      <c r="J17" s="36">
        <f t="shared" si="5"/>
        <v>0</v>
      </c>
      <c r="K17" s="36">
        <f t="shared" si="6"/>
        <v>0</v>
      </c>
      <c r="L17" s="36"/>
      <c r="M17" s="36">
        <f t="shared" si="0"/>
        <v>248489.27649999977</v>
      </c>
      <c r="N17" s="44"/>
    </row>
    <row r="18" spans="1:14">
      <c r="A18" s="26">
        <v>15</v>
      </c>
      <c r="B18" s="27">
        <v>46157</v>
      </c>
      <c r="C18" s="106">
        <v>0</v>
      </c>
      <c r="D18" s="120"/>
      <c r="E18" s="36">
        <v>300</v>
      </c>
      <c r="F18" s="36">
        <v>94.51</v>
      </c>
      <c r="G18" s="36">
        <f t="shared" si="4"/>
        <v>28353</v>
      </c>
      <c r="H18" s="121">
        <v>15.43</v>
      </c>
      <c r="I18" s="121">
        <v>106.72</v>
      </c>
      <c r="J18" s="36">
        <f t="shared" si="5"/>
        <v>1646.6895999999999</v>
      </c>
      <c r="K18" s="36">
        <f t="shared" si="6"/>
        <v>29999.689600000002</v>
      </c>
      <c r="L18" s="36">
        <v>29999.689600000002</v>
      </c>
      <c r="M18" s="36">
        <f t="shared" si="0"/>
        <v>248489.27649999977</v>
      </c>
      <c r="N18" s="44"/>
    </row>
    <row r="19" spans="1:14">
      <c r="A19" s="26">
        <v>16</v>
      </c>
      <c r="B19" s="27">
        <v>46158</v>
      </c>
      <c r="C19" s="106">
        <v>0</v>
      </c>
      <c r="D19" s="120"/>
      <c r="E19" s="36">
        <v>1400</v>
      </c>
      <c r="F19" s="36">
        <v>94.51</v>
      </c>
      <c r="G19" s="36">
        <f t="shared" si="4"/>
        <v>132314</v>
      </c>
      <c r="H19" s="121">
        <v>70</v>
      </c>
      <c r="I19" s="121">
        <v>106.72</v>
      </c>
      <c r="J19" s="36">
        <f t="shared" si="5"/>
        <v>7470.4</v>
      </c>
      <c r="K19" s="36">
        <f t="shared" si="6"/>
        <v>139784.4</v>
      </c>
      <c r="L19" s="36"/>
      <c r="M19" s="36">
        <f t="shared" si="0"/>
        <v>388273.67649999977</v>
      </c>
      <c r="N19" s="44"/>
    </row>
    <row r="20" spans="1:14">
      <c r="A20" s="26">
        <v>17</v>
      </c>
      <c r="B20" s="27">
        <v>46159</v>
      </c>
      <c r="C20" s="106">
        <v>0</v>
      </c>
      <c r="D20" s="120"/>
      <c r="E20" s="36"/>
      <c r="F20" s="36"/>
      <c r="G20" s="36">
        <f t="shared" si="4"/>
        <v>0</v>
      </c>
      <c r="H20" s="121"/>
      <c r="I20" s="121"/>
      <c r="J20" s="36">
        <f t="shared" si="5"/>
        <v>0</v>
      </c>
      <c r="K20" s="36">
        <f t="shared" si="6"/>
        <v>0</v>
      </c>
      <c r="L20" s="36"/>
      <c r="M20" s="36">
        <f t="shared" si="0"/>
        <v>388273.67649999977</v>
      </c>
      <c r="N20" s="44"/>
    </row>
    <row r="21" spans="1:14">
      <c r="A21" s="26">
        <v>18</v>
      </c>
      <c r="B21" s="27">
        <v>46160</v>
      </c>
      <c r="C21" s="106">
        <v>0</v>
      </c>
      <c r="D21" s="120"/>
      <c r="E21" s="36"/>
      <c r="F21" s="36"/>
      <c r="G21" s="36">
        <f t="shared" si="1"/>
        <v>0</v>
      </c>
      <c r="H21" s="121"/>
      <c r="I21" s="121"/>
      <c r="J21" s="36">
        <f t="shared" si="2"/>
        <v>0</v>
      </c>
      <c r="K21" s="36">
        <f t="shared" si="6"/>
        <v>0</v>
      </c>
      <c r="L21" s="36">
        <v>248000</v>
      </c>
      <c r="M21" s="36">
        <f t="shared" si="0"/>
        <v>140273.67649999977</v>
      </c>
      <c r="N21" s="44"/>
    </row>
    <row r="22" spans="1:14">
      <c r="A22" s="26">
        <v>19</v>
      </c>
      <c r="B22" s="27">
        <v>46161</v>
      </c>
      <c r="C22" s="106">
        <v>0</v>
      </c>
      <c r="D22" s="120"/>
      <c r="E22" s="36"/>
      <c r="F22" s="36"/>
      <c r="G22" s="36">
        <f t="shared" si="1"/>
        <v>0</v>
      </c>
      <c r="H22" s="121"/>
      <c r="I22" s="121"/>
      <c r="J22" s="36">
        <f t="shared" si="2"/>
        <v>0</v>
      </c>
      <c r="K22" s="36">
        <f t="shared" si="6"/>
        <v>0</v>
      </c>
      <c r="L22" s="36"/>
      <c r="M22" s="36">
        <f t="shared" si="0"/>
        <v>140273.67649999977</v>
      </c>
      <c r="N22" s="44"/>
    </row>
    <row r="23" spans="1:14">
      <c r="A23" s="26">
        <v>20</v>
      </c>
      <c r="B23" s="27">
        <v>46162</v>
      </c>
      <c r="C23" s="106">
        <v>0</v>
      </c>
      <c r="D23" s="120"/>
      <c r="E23" s="36"/>
      <c r="F23" s="36"/>
      <c r="G23" s="36">
        <f t="shared" si="1"/>
        <v>0</v>
      </c>
      <c r="H23" s="121"/>
      <c r="I23" s="121"/>
      <c r="J23" s="36">
        <f t="shared" si="2"/>
        <v>0</v>
      </c>
      <c r="K23" s="36">
        <f t="shared" si="6"/>
        <v>0</v>
      </c>
      <c r="L23" s="36"/>
      <c r="M23" s="36">
        <f t="shared" si="0"/>
        <v>140273.67649999977</v>
      </c>
      <c r="N23" s="44"/>
    </row>
    <row r="24" spans="1:14">
      <c r="A24" s="26">
        <v>21</v>
      </c>
      <c r="B24" s="27">
        <v>46163</v>
      </c>
      <c r="C24" s="106">
        <v>0</v>
      </c>
      <c r="D24" s="120"/>
      <c r="E24" s="36"/>
      <c r="F24" s="36"/>
      <c r="G24" s="36">
        <f t="shared" si="1"/>
        <v>0</v>
      </c>
      <c r="H24" s="121"/>
      <c r="I24" s="121"/>
      <c r="J24" s="36">
        <f t="shared" si="2"/>
        <v>0</v>
      </c>
      <c r="K24" s="36">
        <f t="shared" si="6"/>
        <v>0</v>
      </c>
      <c r="L24" s="36"/>
      <c r="M24" s="36">
        <f t="shared" si="0"/>
        <v>140273.67649999977</v>
      </c>
      <c r="N24" s="44"/>
    </row>
    <row r="25" spans="1:14">
      <c r="A25" s="26">
        <v>22</v>
      </c>
      <c r="B25" s="27">
        <v>46164</v>
      </c>
      <c r="C25" s="106">
        <v>0</v>
      </c>
      <c r="D25" s="120"/>
      <c r="E25" s="36"/>
      <c r="F25" s="36"/>
      <c r="G25" s="36">
        <f t="shared" ref="G25:G33" si="7">E25*F25</f>
        <v>0</v>
      </c>
      <c r="H25" s="121"/>
      <c r="I25" s="121"/>
      <c r="J25" s="36">
        <f t="shared" ref="J25:J33" si="8">H25*I25</f>
        <v>0</v>
      </c>
      <c r="K25" s="36">
        <f t="shared" si="6"/>
        <v>0</v>
      </c>
      <c r="L25" s="36"/>
      <c r="M25" s="36">
        <f t="shared" si="0"/>
        <v>140273.67649999977</v>
      </c>
      <c r="N25" s="44"/>
    </row>
    <row r="26" spans="1:14">
      <c r="A26" s="26">
        <v>23</v>
      </c>
      <c r="B26" s="27">
        <v>46165</v>
      </c>
      <c r="C26" s="106">
        <v>0</v>
      </c>
      <c r="D26" s="120"/>
      <c r="E26" s="36"/>
      <c r="F26" s="36"/>
      <c r="G26" s="36">
        <f t="shared" si="7"/>
        <v>0</v>
      </c>
      <c r="H26" s="121"/>
      <c r="I26" s="121"/>
      <c r="J26" s="36">
        <f t="shared" si="8"/>
        <v>0</v>
      </c>
      <c r="K26" s="36">
        <f t="shared" si="6"/>
        <v>0</v>
      </c>
      <c r="L26" s="36"/>
      <c r="M26" s="36">
        <f t="shared" si="0"/>
        <v>140273.67649999977</v>
      </c>
      <c r="N26" s="44"/>
    </row>
    <row r="27" spans="1:14">
      <c r="A27" s="26">
        <v>24</v>
      </c>
      <c r="B27" s="27">
        <v>46166</v>
      </c>
      <c r="C27" s="106">
        <v>0</v>
      </c>
      <c r="D27" s="120"/>
      <c r="E27" s="36"/>
      <c r="F27" s="36"/>
      <c r="G27" s="36">
        <f t="shared" si="7"/>
        <v>0</v>
      </c>
      <c r="H27" s="121"/>
      <c r="I27" s="121"/>
      <c r="J27" s="36">
        <f t="shared" si="8"/>
        <v>0</v>
      </c>
      <c r="K27" s="36">
        <f t="shared" si="6"/>
        <v>0</v>
      </c>
      <c r="L27" s="36"/>
      <c r="M27" s="36">
        <f t="shared" si="0"/>
        <v>140273.67649999977</v>
      </c>
      <c r="N27" s="44"/>
    </row>
    <row r="28" spans="1:14">
      <c r="A28" s="26">
        <v>25</v>
      </c>
      <c r="B28" s="27">
        <v>46167</v>
      </c>
      <c r="C28" s="106">
        <v>0</v>
      </c>
      <c r="D28" s="120"/>
      <c r="E28" s="36"/>
      <c r="F28" s="36"/>
      <c r="G28" s="36">
        <f t="shared" si="7"/>
        <v>0</v>
      </c>
      <c r="H28" s="121"/>
      <c r="I28" s="121"/>
      <c r="J28" s="36">
        <f t="shared" si="8"/>
        <v>0</v>
      </c>
      <c r="K28" s="36">
        <f t="shared" si="6"/>
        <v>0</v>
      </c>
      <c r="L28" s="36">
        <v>100000</v>
      </c>
      <c r="M28" s="36">
        <f t="shared" si="0"/>
        <v>40273.676499999769</v>
      </c>
      <c r="N28" s="44"/>
    </row>
    <row r="29" spans="1:14">
      <c r="A29" s="26">
        <v>26</v>
      </c>
      <c r="B29" s="27">
        <v>46168</v>
      </c>
      <c r="C29" s="106">
        <v>0</v>
      </c>
      <c r="D29" s="120"/>
      <c r="E29" s="36">
        <v>200</v>
      </c>
      <c r="F29" s="36">
        <v>100.04</v>
      </c>
      <c r="G29" s="36">
        <f t="shared" si="7"/>
        <v>20008</v>
      </c>
      <c r="H29" s="121"/>
      <c r="I29" s="121"/>
      <c r="J29" s="36">
        <f t="shared" si="8"/>
        <v>0</v>
      </c>
      <c r="K29" s="36">
        <f t="shared" si="6"/>
        <v>20008</v>
      </c>
      <c r="L29" s="36"/>
      <c r="M29" s="36">
        <f t="shared" si="0"/>
        <v>60281.676499999769</v>
      </c>
      <c r="N29" s="44"/>
    </row>
    <row r="30" spans="1:14">
      <c r="A30" s="26">
        <v>27</v>
      </c>
      <c r="B30" s="27">
        <v>46169</v>
      </c>
      <c r="C30" s="106">
        <v>0</v>
      </c>
      <c r="D30" s="120"/>
      <c r="E30" s="36"/>
      <c r="F30" s="36"/>
      <c r="G30" s="36">
        <f t="shared" si="7"/>
        <v>0</v>
      </c>
      <c r="H30" s="121"/>
      <c r="I30" s="121"/>
      <c r="J30" s="36">
        <f t="shared" si="8"/>
        <v>0</v>
      </c>
      <c r="K30" s="36">
        <f t="shared" si="6"/>
        <v>0</v>
      </c>
      <c r="L30" s="36"/>
      <c r="M30" s="36">
        <f t="shared" si="0"/>
        <v>60281.676499999769</v>
      </c>
      <c r="N30" s="44"/>
    </row>
    <row r="31" spans="1:14">
      <c r="A31" s="26">
        <v>28</v>
      </c>
      <c r="B31" s="27">
        <v>46170</v>
      </c>
      <c r="C31" s="106">
        <v>0</v>
      </c>
      <c r="D31" s="120"/>
      <c r="E31" s="36">
        <v>800.44</v>
      </c>
      <c r="F31" s="36">
        <v>100.04</v>
      </c>
      <c r="G31" s="36">
        <f t="shared" si="7"/>
        <v>80076.017600000006</v>
      </c>
      <c r="H31" s="121">
        <v>70</v>
      </c>
      <c r="I31" s="121">
        <v>112.05</v>
      </c>
      <c r="J31" s="36">
        <f t="shared" si="8"/>
        <v>7843.5</v>
      </c>
      <c r="K31" s="36">
        <f t="shared" si="6"/>
        <v>87919.517600000006</v>
      </c>
      <c r="L31" s="36"/>
      <c r="M31" s="36">
        <f t="shared" si="0"/>
        <v>148201.19409999979</v>
      </c>
      <c r="N31" s="44"/>
    </row>
    <row r="32" spans="1:14">
      <c r="A32" s="26">
        <v>29</v>
      </c>
      <c r="B32" s="27">
        <v>46171</v>
      </c>
      <c r="C32" s="106">
        <v>0</v>
      </c>
      <c r="D32" s="120"/>
      <c r="E32" s="36"/>
      <c r="F32" s="36"/>
      <c r="G32" s="36">
        <f t="shared" si="7"/>
        <v>0</v>
      </c>
      <c r="H32" s="121"/>
      <c r="I32" s="121"/>
      <c r="J32" s="36">
        <f t="shared" si="8"/>
        <v>0</v>
      </c>
      <c r="K32" s="36">
        <f t="shared" si="6"/>
        <v>0</v>
      </c>
      <c r="L32" s="36"/>
      <c r="M32" s="36">
        <f t="shared" si="0"/>
        <v>148201.19409999979</v>
      </c>
      <c r="N32" s="44"/>
    </row>
    <row r="33" spans="1:14">
      <c r="A33" s="26">
        <v>30</v>
      </c>
      <c r="B33" s="27">
        <v>46172</v>
      </c>
      <c r="C33" s="106">
        <v>0</v>
      </c>
      <c r="D33" s="120"/>
      <c r="E33" s="36"/>
      <c r="F33" s="36"/>
      <c r="G33" s="36">
        <f t="shared" si="7"/>
        <v>0</v>
      </c>
      <c r="H33" s="121"/>
      <c r="I33" s="121"/>
      <c r="J33" s="36">
        <f t="shared" si="8"/>
        <v>0</v>
      </c>
      <c r="K33" s="36">
        <f t="shared" si="6"/>
        <v>0</v>
      </c>
      <c r="L33" s="36"/>
      <c r="M33" s="36">
        <f t="shared" si="0"/>
        <v>148201.19409999979</v>
      </c>
      <c r="N33" s="44"/>
    </row>
    <row r="34" spans="1:14">
      <c r="A34" s="26">
        <v>31</v>
      </c>
      <c r="B34" s="27"/>
      <c r="C34" s="106"/>
      <c r="D34" s="120"/>
      <c r="E34" s="36"/>
      <c r="F34" s="36"/>
      <c r="G34" s="36"/>
      <c r="H34" s="121"/>
      <c r="I34" s="121"/>
      <c r="J34" s="36"/>
      <c r="K34" s="36">
        <f t="shared" si="6"/>
        <v>0</v>
      </c>
      <c r="L34" s="36"/>
      <c r="M34" s="36"/>
      <c r="N34" s="44"/>
    </row>
    <row r="35" spans="1:14">
      <c r="A35" s="42"/>
      <c r="B35" s="42"/>
      <c r="C35" s="42"/>
      <c r="D35" s="42"/>
      <c r="E35" s="43">
        <f>SUM(E4:E34)</f>
        <v>2700.44</v>
      </c>
      <c r="F35" s="43"/>
      <c r="G35" s="43">
        <f>SUM(G4:G34)</f>
        <v>260751.01760000002</v>
      </c>
      <c r="H35" s="43">
        <f>SUM(H4:H34)</f>
        <v>155.43</v>
      </c>
      <c r="I35" s="43"/>
      <c r="J35" s="43">
        <f>SUM(J4:J34)</f>
        <v>16960.589599999999</v>
      </c>
      <c r="K35" s="43">
        <f>SUM(K4:K34)</f>
        <v>277711.60720000003</v>
      </c>
      <c r="L35" s="43">
        <f>SUM(L4:L34)</f>
        <v>377999.68959999998</v>
      </c>
      <c r="M35" s="43"/>
      <c r="N35" s="43"/>
    </row>
  </sheetData>
  <mergeCells count="2">
    <mergeCell ref="A1:N1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20" activePane="bottomLeft" state="frozen"/>
      <selection pane="bottomLeft" activeCell="Q21" sqref="Q21"/>
    </sheetView>
  </sheetViews>
  <sheetFormatPr defaultColWidth="9.28515625" defaultRowHeight="15"/>
  <cols>
    <col min="1" max="1" width="5.42578125" style="51" bestFit="1" customWidth="1"/>
    <col min="2" max="2" width="11" style="51" bestFit="1" customWidth="1"/>
    <col min="3" max="3" width="7.140625" style="51" bestFit="1" customWidth="1"/>
    <col min="4" max="4" width="15.140625" style="51" bestFit="1" customWidth="1"/>
    <col min="5" max="5" width="9.28515625" style="51"/>
    <col min="6" max="6" width="9.85546875" style="51" bestFit="1" customWidth="1"/>
    <col min="7" max="7" width="10.42578125" style="51" bestFit="1" customWidth="1"/>
    <col min="8" max="8" width="9.28515625" style="51"/>
    <col min="9" max="9" width="11.7109375" style="51" customWidth="1"/>
    <col min="10" max="10" width="9.5703125" style="51" bestFit="1" customWidth="1"/>
    <col min="11" max="11" width="12.28515625" style="51" customWidth="1"/>
    <col min="12" max="12" width="11.7109375" style="51" bestFit="1" customWidth="1"/>
    <col min="13" max="13" width="11.7109375" style="51" customWidth="1"/>
    <col min="14" max="14" width="17.7109375" style="51" bestFit="1" customWidth="1"/>
    <col min="15" max="16384" width="9.28515625" style="51"/>
  </cols>
  <sheetData>
    <row r="1" spans="1:15" ht="15.75">
      <c r="A1" s="561" t="s">
        <v>100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</row>
    <row r="2" spans="1:15" ht="25.5">
      <c r="A2" s="87" t="s">
        <v>0</v>
      </c>
      <c r="B2" s="88" t="s">
        <v>166</v>
      </c>
      <c r="C2" s="88" t="s">
        <v>167</v>
      </c>
      <c r="D2" s="88" t="s">
        <v>168</v>
      </c>
      <c r="E2" s="88" t="s">
        <v>169</v>
      </c>
      <c r="F2" s="88" t="s">
        <v>170</v>
      </c>
      <c r="G2" s="88" t="s">
        <v>171</v>
      </c>
      <c r="H2" s="88" t="s">
        <v>172</v>
      </c>
      <c r="I2" s="88" t="s">
        <v>170</v>
      </c>
      <c r="J2" s="111" t="s">
        <v>171</v>
      </c>
      <c r="K2" s="113" t="s">
        <v>173</v>
      </c>
      <c r="L2" s="114" t="s">
        <v>174</v>
      </c>
      <c r="M2" s="115" t="s">
        <v>199</v>
      </c>
      <c r="N2" s="89" t="s">
        <v>176</v>
      </c>
      <c r="O2" s="33"/>
    </row>
    <row r="3" spans="1:15" ht="15.75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9"/>
      <c r="K3" s="52">
        <v>278745.30000000005</v>
      </c>
      <c r="L3" s="122"/>
      <c r="M3" s="119">
        <v>278745.30000000005</v>
      </c>
      <c r="N3" s="50"/>
    </row>
    <row r="4" spans="1:15" ht="15.75">
      <c r="A4" s="26">
        <v>1</v>
      </c>
      <c r="B4" s="27">
        <v>46143</v>
      </c>
      <c r="C4" s="117"/>
      <c r="D4" s="118"/>
      <c r="E4" s="79"/>
      <c r="F4" s="116"/>
      <c r="G4" s="116">
        <f>E4*F4</f>
        <v>0</v>
      </c>
      <c r="H4" s="116"/>
      <c r="I4" s="116"/>
      <c r="J4" s="116">
        <f>H4*I4</f>
        <v>0</v>
      </c>
      <c r="K4" s="116">
        <f>G4+J4</f>
        <v>0</v>
      </c>
      <c r="L4" s="116"/>
      <c r="M4" s="122">
        <f>M3+K4-L4</f>
        <v>278745.30000000005</v>
      </c>
      <c r="N4" s="116"/>
    </row>
    <row r="5" spans="1:15" ht="15.75">
      <c r="A5" s="26">
        <v>2</v>
      </c>
      <c r="B5" s="27">
        <v>46144</v>
      </c>
      <c r="C5" s="23"/>
      <c r="D5" s="24"/>
      <c r="E5" s="79"/>
      <c r="F5" s="116"/>
      <c r="G5" s="116">
        <f t="shared" ref="G5:G33" si="0">E5*F5</f>
        <v>0</v>
      </c>
      <c r="H5" s="116"/>
      <c r="I5" s="116"/>
      <c r="J5" s="116">
        <f t="shared" ref="J5:J33" si="1">H5*I5</f>
        <v>0</v>
      </c>
      <c r="K5" s="116">
        <f t="shared" ref="K5:K33" si="2">G5+J5</f>
        <v>0</v>
      </c>
      <c r="L5" s="116"/>
      <c r="M5" s="122">
        <f>M4+K5-L5</f>
        <v>278745.30000000005</v>
      </c>
      <c r="N5" s="44"/>
    </row>
    <row r="6" spans="1:15" ht="18.75" customHeight="1">
      <c r="A6" s="26">
        <v>3</v>
      </c>
      <c r="B6" s="27">
        <v>46145</v>
      </c>
      <c r="C6" s="207"/>
      <c r="D6" s="188"/>
      <c r="E6" s="79"/>
      <c r="F6" s="116"/>
      <c r="G6" s="116">
        <f t="shared" si="0"/>
        <v>0</v>
      </c>
      <c r="H6" s="116"/>
      <c r="I6" s="116"/>
      <c r="J6" s="116">
        <f t="shared" si="1"/>
        <v>0</v>
      </c>
      <c r="K6" s="116">
        <f t="shared" si="2"/>
        <v>0</v>
      </c>
      <c r="L6" s="116"/>
      <c r="M6" s="122">
        <f>M5+K6-L6</f>
        <v>278745.30000000005</v>
      </c>
      <c r="N6" s="50"/>
    </row>
    <row r="7" spans="1:15" ht="15.75">
      <c r="A7" s="26">
        <v>4</v>
      </c>
      <c r="B7" s="27">
        <v>46146</v>
      </c>
      <c r="C7" s="205"/>
      <c r="D7" s="206"/>
      <c r="E7" s="79"/>
      <c r="F7" s="116"/>
      <c r="G7" s="116">
        <f t="shared" si="0"/>
        <v>0</v>
      </c>
      <c r="H7" s="116">
        <v>70</v>
      </c>
      <c r="I7" s="116">
        <v>103.86</v>
      </c>
      <c r="J7" s="116">
        <f t="shared" si="1"/>
        <v>7270.2</v>
      </c>
      <c r="K7" s="116">
        <f t="shared" si="2"/>
        <v>7270.2</v>
      </c>
      <c r="L7" s="116">
        <v>250000</v>
      </c>
      <c r="M7" s="122">
        <f>M6+K7-L7</f>
        <v>36015.500000000058</v>
      </c>
      <c r="N7" s="44"/>
    </row>
    <row r="8" spans="1:15" ht="15.75" customHeight="1">
      <c r="A8" s="26">
        <v>5</v>
      </c>
      <c r="B8" s="27">
        <v>46147</v>
      </c>
      <c r="C8" s="116"/>
      <c r="D8" s="116"/>
      <c r="E8" s="79"/>
      <c r="F8" s="116"/>
      <c r="G8" s="116">
        <f t="shared" si="0"/>
        <v>0</v>
      </c>
      <c r="H8" s="116"/>
      <c r="I8" s="116"/>
      <c r="J8" s="116">
        <f t="shared" si="1"/>
        <v>0</v>
      </c>
      <c r="K8" s="116">
        <f t="shared" si="2"/>
        <v>0</v>
      </c>
      <c r="L8" s="116"/>
      <c r="M8" s="122">
        <f t="shared" ref="M8:M34" si="3">M7+K8-L8</f>
        <v>36015.500000000058</v>
      </c>
      <c r="N8" s="50"/>
    </row>
    <row r="9" spans="1:15" ht="15.75" customHeight="1">
      <c r="A9" s="26">
        <v>6</v>
      </c>
      <c r="B9" s="27">
        <v>46148</v>
      </c>
      <c r="C9" s="50"/>
      <c r="D9" s="116"/>
      <c r="E9" s="79"/>
      <c r="F9" s="116"/>
      <c r="G9" s="116">
        <f t="shared" si="0"/>
        <v>0</v>
      </c>
      <c r="H9" s="116"/>
      <c r="I9" s="116"/>
      <c r="J9" s="116">
        <f t="shared" si="1"/>
        <v>0</v>
      </c>
      <c r="K9" s="116">
        <f t="shared" si="2"/>
        <v>0</v>
      </c>
      <c r="L9" s="116"/>
      <c r="M9" s="122">
        <f t="shared" si="3"/>
        <v>36015.500000000058</v>
      </c>
      <c r="N9" s="50"/>
    </row>
    <row r="10" spans="1:15" ht="15.75" customHeight="1">
      <c r="A10" s="26">
        <v>7</v>
      </c>
      <c r="B10" s="27">
        <v>46149</v>
      </c>
      <c r="C10" s="50"/>
      <c r="D10" s="116"/>
      <c r="E10" s="79">
        <v>2000</v>
      </c>
      <c r="F10" s="116">
        <v>92.1</v>
      </c>
      <c r="G10" s="116">
        <f t="shared" si="0"/>
        <v>184200</v>
      </c>
      <c r="H10" s="116">
        <v>35</v>
      </c>
      <c r="I10" s="116">
        <v>103.86</v>
      </c>
      <c r="J10" s="116">
        <f t="shared" si="1"/>
        <v>3635.1</v>
      </c>
      <c r="K10" s="116">
        <f t="shared" si="2"/>
        <v>187835.1</v>
      </c>
      <c r="L10" s="116"/>
      <c r="M10" s="122">
        <f t="shared" si="3"/>
        <v>223850.60000000006</v>
      </c>
      <c r="N10" s="50"/>
    </row>
    <row r="11" spans="1:15" ht="15.75" customHeight="1">
      <c r="A11" s="26">
        <v>8</v>
      </c>
      <c r="B11" s="27">
        <v>46150</v>
      </c>
      <c r="C11" s="50"/>
      <c r="D11" s="116"/>
      <c r="E11" s="79"/>
      <c r="F11" s="116"/>
      <c r="G11" s="116">
        <f t="shared" si="0"/>
        <v>0</v>
      </c>
      <c r="H11" s="116"/>
      <c r="I11" s="116"/>
      <c r="J11" s="116">
        <f t="shared" si="1"/>
        <v>0</v>
      </c>
      <c r="K11" s="116">
        <f t="shared" si="2"/>
        <v>0</v>
      </c>
      <c r="L11" s="116"/>
      <c r="M11" s="122">
        <f t="shared" si="3"/>
        <v>223850.60000000006</v>
      </c>
      <c r="N11" s="50"/>
    </row>
    <row r="12" spans="1:15" ht="15.75" customHeight="1">
      <c r="A12" s="26">
        <v>9</v>
      </c>
      <c r="B12" s="27">
        <v>46151</v>
      </c>
      <c r="C12" s="50"/>
      <c r="D12" s="116"/>
      <c r="E12" s="79"/>
      <c r="F12" s="116"/>
      <c r="G12" s="116">
        <f t="shared" si="0"/>
        <v>0</v>
      </c>
      <c r="H12" s="116"/>
      <c r="I12" s="116"/>
      <c r="J12" s="116">
        <f t="shared" si="1"/>
        <v>0</v>
      </c>
      <c r="K12" s="116">
        <f t="shared" si="2"/>
        <v>0</v>
      </c>
      <c r="L12" s="116"/>
      <c r="M12" s="122">
        <f t="shared" si="3"/>
        <v>223850.60000000006</v>
      </c>
      <c r="N12" s="50"/>
    </row>
    <row r="13" spans="1:15" ht="15.75" customHeight="1">
      <c r="A13" s="26">
        <v>10</v>
      </c>
      <c r="B13" s="27">
        <v>46152</v>
      </c>
      <c r="C13" s="50"/>
      <c r="D13" s="116"/>
      <c r="E13" s="79"/>
      <c r="F13" s="116"/>
      <c r="G13" s="116">
        <f t="shared" si="0"/>
        <v>0</v>
      </c>
      <c r="H13" s="116"/>
      <c r="I13" s="116"/>
      <c r="J13" s="116">
        <f t="shared" si="1"/>
        <v>0</v>
      </c>
      <c r="K13" s="116">
        <f t="shared" si="2"/>
        <v>0</v>
      </c>
      <c r="L13" s="116"/>
      <c r="M13" s="122">
        <f t="shared" si="3"/>
        <v>223850.60000000006</v>
      </c>
      <c r="N13" s="50"/>
    </row>
    <row r="14" spans="1:15" ht="15.75" customHeight="1">
      <c r="A14" s="26">
        <v>11</v>
      </c>
      <c r="B14" s="27">
        <v>46153</v>
      </c>
      <c r="C14" s="50"/>
      <c r="D14" s="116"/>
      <c r="E14" s="79"/>
      <c r="F14" s="116"/>
      <c r="G14" s="116">
        <f t="shared" si="0"/>
        <v>0</v>
      </c>
      <c r="H14" s="116"/>
      <c r="I14" s="116"/>
      <c r="J14" s="116">
        <f t="shared" si="1"/>
        <v>0</v>
      </c>
      <c r="K14" s="116">
        <f t="shared" si="2"/>
        <v>0</v>
      </c>
      <c r="L14" s="116"/>
      <c r="M14" s="122">
        <f t="shared" si="3"/>
        <v>223850.60000000006</v>
      </c>
      <c r="N14" s="50"/>
    </row>
    <row r="15" spans="1:15" ht="15.75" customHeight="1">
      <c r="A15" s="26">
        <v>12</v>
      </c>
      <c r="B15" s="27">
        <v>46154</v>
      </c>
      <c r="C15" s="50"/>
      <c r="D15" s="116"/>
      <c r="E15" s="79"/>
      <c r="F15" s="116"/>
      <c r="G15" s="116">
        <f t="shared" si="0"/>
        <v>0</v>
      </c>
      <c r="H15" s="116"/>
      <c r="I15" s="116"/>
      <c r="J15" s="116">
        <f t="shared" si="1"/>
        <v>0</v>
      </c>
      <c r="K15" s="116">
        <f t="shared" si="2"/>
        <v>0</v>
      </c>
      <c r="L15" s="116"/>
      <c r="M15" s="122">
        <f t="shared" si="3"/>
        <v>223850.60000000006</v>
      </c>
      <c r="N15" s="50"/>
    </row>
    <row r="16" spans="1:15" ht="15.75" customHeight="1">
      <c r="A16" s="26">
        <v>13</v>
      </c>
      <c r="B16" s="27">
        <v>46155</v>
      </c>
      <c r="C16" s="50"/>
      <c r="D16" s="116"/>
      <c r="E16" s="79"/>
      <c r="F16" s="116"/>
      <c r="G16" s="116">
        <f t="shared" si="0"/>
        <v>0</v>
      </c>
      <c r="H16" s="116">
        <v>70</v>
      </c>
      <c r="I16" s="116">
        <v>103.86</v>
      </c>
      <c r="J16" s="116">
        <f t="shared" si="1"/>
        <v>7270.2</v>
      </c>
      <c r="K16" s="116">
        <f t="shared" si="2"/>
        <v>7270.2</v>
      </c>
      <c r="L16" s="116"/>
      <c r="M16" s="122">
        <f t="shared" si="3"/>
        <v>231120.80000000008</v>
      </c>
      <c r="N16" s="50"/>
    </row>
    <row r="17" spans="1:14" ht="15.75" customHeight="1">
      <c r="A17" s="26">
        <v>14</v>
      </c>
      <c r="B17" s="27">
        <v>46156</v>
      </c>
      <c r="C17" s="50"/>
      <c r="D17" s="116"/>
      <c r="E17" s="79"/>
      <c r="F17" s="116"/>
      <c r="G17" s="116">
        <f t="shared" si="0"/>
        <v>0</v>
      </c>
      <c r="H17" s="116"/>
      <c r="I17" s="116"/>
      <c r="J17" s="116">
        <f t="shared" si="1"/>
        <v>0</v>
      </c>
      <c r="K17" s="116">
        <f t="shared" si="2"/>
        <v>0</v>
      </c>
      <c r="L17" s="116"/>
      <c r="M17" s="122">
        <f t="shared" si="3"/>
        <v>231120.80000000008</v>
      </c>
      <c r="N17" s="50"/>
    </row>
    <row r="18" spans="1:14" ht="15.75" customHeight="1">
      <c r="A18" s="26">
        <v>15</v>
      </c>
      <c r="B18" s="27">
        <v>46157</v>
      </c>
      <c r="C18" s="50"/>
      <c r="D18" s="116"/>
      <c r="E18" s="79"/>
      <c r="F18" s="116"/>
      <c r="G18" s="116">
        <f t="shared" si="0"/>
        <v>0</v>
      </c>
      <c r="H18" s="116"/>
      <c r="I18" s="116"/>
      <c r="J18" s="116">
        <f t="shared" si="1"/>
        <v>0</v>
      </c>
      <c r="K18" s="116">
        <f t="shared" si="2"/>
        <v>0</v>
      </c>
      <c r="L18" s="116"/>
      <c r="M18" s="122">
        <f t="shared" si="3"/>
        <v>231120.80000000008</v>
      </c>
      <c r="N18" s="50"/>
    </row>
    <row r="19" spans="1:14" ht="15.75" customHeight="1">
      <c r="A19" s="26">
        <v>16</v>
      </c>
      <c r="B19" s="27">
        <v>46158</v>
      </c>
      <c r="C19" s="50"/>
      <c r="D19" s="116"/>
      <c r="E19" s="79"/>
      <c r="F19" s="116"/>
      <c r="G19" s="116">
        <f t="shared" si="0"/>
        <v>0</v>
      </c>
      <c r="H19" s="116"/>
      <c r="I19" s="116"/>
      <c r="J19" s="116">
        <f t="shared" si="1"/>
        <v>0</v>
      </c>
      <c r="K19" s="116">
        <f t="shared" si="2"/>
        <v>0</v>
      </c>
      <c r="L19" s="116"/>
      <c r="M19" s="122">
        <f t="shared" si="3"/>
        <v>231120.80000000008</v>
      </c>
      <c r="N19" s="50"/>
    </row>
    <row r="20" spans="1:14" ht="15.75" customHeight="1">
      <c r="A20" s="26">
        <v>17</v>
      </c>
      <c r="B20" s="27">
        <v>46159</v>
      </c>
      <c r="C20" s="50"/>
      <c r="D20" s="116"/>
      <c r="E20" s="79"/>
      <c r="F20" s="116"/>
      <c r="G20" s="116">
        <f t="shared" si="0"/>
        <v>0</v>
      </c>
      <c r="H20" s="116"/>
      <c r="I20" s="116"/>
      <c r="J20" s="116">
        <f t="shared" si="1"/>
        <v>0</v>
      </c>
      <c r="K20" s="116">
        <f t="shared" si="2"/>
        <v>0</v>
      </c>
      <c r="L20" s="116"/>
      <c r="M20" s="122">
        <f t="shared" si="3"/>
        <v>231120.80000000008</v>
      </c>
      <c r="N20" s="50"/>
    </row>
    <row r="21" spans="1:14" ht="15.75" customHeight="1">
      <c r="A21" s="26">
        <v>18</v>
      </c>
      <c r="B21" s="27">
        <v>46160</v>
      </c>
      <c r="C21" s="50"/>
      <c r="D21" s="116"/>
      <c r="E21" s="116"/>
      <c r="F21" s="116"/>
      <c r="G21" s="116">
        <f t="shared" si="0"/>
        <v>0</v>
      </c>
      <c r="H21" s="116"/>
      <c r="I21" s="116"/>
      <c r="J21" s="116">
        <f t="shared" si="1"/>
        <v>0</v>
      </c>
      <c r="K21" s="116">
        <f t="shared" si="2"/>
        <v>0</v>
      </c>
      <c r="L21" s="116"/>
      <c r="M21" s="122">
        <f t="shared" si="3"/>
        <v>231120.80000000008</v>
      </c>
      <c r="N21" s="50"/>
    </row>
    <row r="22" spans="1:14" ht="15.75" customHeight="1">
      <c r="A22" s="26">
        <v>19</v>
      </c>
      <c r="B22" s="27">
        <v>46161</v>
      </c>
      <c r="C22" s="50"/>
      <c r="D22" s="116"/>
      <c r="E22" s="79"/>
      <c r="F22" s="116"/>
      <c r="G22" s="116">
        <f t="shared" si="0"/>
        <v>0</v>
      </c>
      <c r="H22" s="116"/>
      <c r="I22" s="116"/>
      <c r="J22" s="116">
        <f t="shared" si="1"/>
        <v>0</v>
      </c>
      <c r="K22" s="116">
        <f t="shared" si="2"/>
        <v>0</v>
      </c>
      <c r="L22" s="116"/>
      <c r="M22" s="122">
        <f t="shared" si="3"/>
        <v>231120.80000000008</v>
      </c>
      <c r="N22" s="50"/>
    </row>
    <row r="23" spans="1:14" ht="15.75" customHeight="1">
      <c r="A23" s="26">
        <v>20</v>
      </c>
      <c r="B23" s="27">
        <v>46162</v>
      </c>
      <c r="C23" s="50"/>
      <c r="D23" s="116"/>
      <c r="E23" s="79"/>
      <c r="F23" s="116"/>
      <c r="G23" s="116">
        <f t="shared" si="0"/>
        <v>0</v>
      </c>
      <c r="H23" s="116"/>
      <c r="I23" s="116"/>
      <c r="J23" s="116">
        <f t="shared" si="1"/>
        <v>0</v>
      </c>
      <c r="K23" s="116">
        <f t="shared" si="2"/>
        <v>0</v>
      </c>
      <c r="L23" s="116"/>
      <c r="M23" s="122">
        <f t="shared" si="3"/>
        <v>231120.80000000008</v>
      </c>
      <c r="N23" s="50"/>
    </row>
    <row r="24" spans="1:14" ht="15.75" customHeight="1">
      <c r="A24" s="26">
        <v>21</v>
      </c>
      <c r="B24" s="27">
        <v>46163</v>
      </c>
      <c r="C24" s="50"/>
      <c r="D24" s="116"/>
      <c r="E24" s="116">
        <v>1500</v>
      </c>
      <c r="F24" s="116">
        <v>96.16</v>
      </c>
      <c r="G24" s="116">
        <f t="shared" si="0"/>
        <v>144240</v>
      </c>
      <c r="H24" s="116">
        <v>70</v>
      </c>
      <c r="I24" s="116">
        <v>108.07</v>
      </c>
      <c r="J24" s="116">
        <f t="shared" si="1"/>
        <v>7564.9</v>
      </c>
      <c r="K24" s="116">
        <f t="shared" si="2"/>
        <v>151804.9</v>
      </c>
      <c r="L24" s="116">
        <v>200000</v>
      </c>
      <c r="M24" s="122">
        <f t="shared" si="3"/>
        <v>182925.70000000007</v>
      </c>
      <c r="N24" s="50"/>
    </row>
    <row r="25" spans="1:14" ht="15.75" customHeight="1">
      <c r="A25" s="26">
        <v>22</v>
      </c>
      <c r="B25" s="27">
        <v>46164</v>
      </c>
      <c r="C25" s="50"/>
      <c r="D25" s="116"/>
      <c r="E25" s="79"/>
      <c r="F25" s="116"/>
      <c r="G25" s="116">
        <f t="shared" si="0"/>
        <v>0</v>
      </c>
      <c r="H25" s="116"/>
      <c r="I25" s="116"/>
      <c r="J25" s="116">
        <f t="shared" si="1"/>
        <v>0</v>
      </c>
      <c r="K25" s="116">
        <f t="shared" si="2"/>
        <v>0</v>
      </c>
      <c r="L25" s="116"/>
      <c r="M25" s="122">
        <f t="shared" si="3"/>
        <v>182925.70000000007</v>
      </c>
      <c r="N25" s="50"/>
    </row>
    <row r="26" spans="1:14" ht="15.75" customHeight="1">
      <c r="A26" s="26">
        <v>23</v>
      </c>
      <c r="B26" s="27">
        <v>46165</v>
      </c>
      <c r="C26" s="50"/>
      <c r="D26" s="116"/>
      <c r="E26" s="79"/>
      <c r="F26" s="116"/>
      <c r="G26" s="116">
        <f t="shared" si="0"/>
        <v>0</v>
      </c>
      <c r="H26" s="116"/>
      <c r="I26" s="116"/>
      <c r="J26" s="116">
        <f t="shared" si="1"/>
        <v>0</v>
      </c>
      <c r="K26" s="116">
        <f t="shared" si="2"/>
        <v>0</v>
      </c>
      <c r="L26" s="116"/>
      <c r="M26" s="122">
        <f t="shared" si="3"/>
        <v>182925.70000000007</v>
      </c>
      <c r="N26" s="50"/>
    </row>
    <row r="27" spans="1:14" ht="15.75" customHeight="1">
      <c r="A27" s="26">
        <v>24</v>
      </c>
      <c r="B27" s="27">
        <v>46166</v>
      </c>
      <c r="C27" s="50"/>
      <c r="D27" s="116"/>
      <c r="E27" s="79"/>
      <c r="F27" s="116"/>
      <c r="G27" s="116">
        <f t="shared" si="0"/>
        <v>0</v>
      </c>
      <c r="H27" s="116"/>
      <c r="I27" s="116"/>
      <c r="J27" s="116">
        <f t="shared" si="1"/>
        <v>0</v>
      </c>
      <c r="K27" s="116">
        <f t="shared" si="2"/>
        <v>0</v>
      </c>
      <c r="L27" s="116"/>
      <c r="M27" s="122">
        <f t="shared" si="3"/>
        <v>182925.70000000007</v>
      </c>
      <c r="N27" s="50"/>
    </row>
    <row r="28" spans="1:14" ht="15.75" customHeight="1">
      <c r="A28" s="26">
        <v>25</v>
      </c>
      <c r="B28" s="27">
        <v>46167</v>
      </c>
      <c r="C28" s="50"/>
      <c r="D28" s="116"/>
      <c r="E28" s="79"/>
      <c r="F28" s="116"/>
      <c r="G28" s="116">
        <f t="shared" si="0"/>
        <v>0</v>
      </c>
      <c r="H28" s="116"/>
      <c r="I28" s="116"/>
      <c r="J28" s="116">
        <f t="shared" si="1"/>
        <v>0</v>
      </c>
      <c r="K28" s="116">
        <f t="shared" si="2"/>
        <v>0</v>
      </c>
      <c r="L28" s="116"/>
      <c r="M28" s="122">
        <f t="shared" si="3"/>
        <v>182925.70000000007</v>
      </c>
      <c r="N28" s="50"/>
    </row>
    <row r="29" spans="1:14" ht="15.75" customHeight="1">
      <c r="A29" s="26">
        <v>26</v>
      </c>
      <c r="B29" s="27">
        <v>46168</v>
      </c>
      <c r="C29" s="50"/>
      <c r="D29" s="116"/>
      <c r="E29" s="79"/>
      <c r="F29" s="116"/>
      <c r="G29" s="116">
        <f t="shared" si="0"/>
        <v>0</v>
      </c>
      <c r="H29" s="116"/>
      <c r="I29" s="116"/>
      <c r="J29" s="116">
        <f t="shared" si="1"/>
        <v>0</v>
      </c>
      <c r="K29" s="116">
        <f t="shared" si="2"/>
        <v>0</v>
      </c>
      <c r="L29" s="116"/>
      <c r="M29" s="122">
        <f t="shared" si="3"/>
        <v>182925.70000000007</v>
      </c>
      <c r="N29" s="50"/>
    </row>
    <row r="30" spans="1:14" ht="15.75" customHeight="1">
      <c r="A30" s="26">
        <v>27</v>
      </c>
      <c r="B30" s="27">
        <v>46169</v>
      </c>
      <c r="C30" s="50"/>
      <c r="D30" s="116"/>
      <c r="E30" s="79"/>
      <c r="F30" s="116"/>
      <c r="G30" s="116">
        <f t="shared" si="0"/>
        <v>0</v>
      </c>
      <c r="H30" s="116"/>
      <c r="I30" s="116"/>
      <c r="J30" s="116">
        <f t="shared" si="1"/>
        <v>0</v>
      </c>
      <c r="K30" s="116">
        <f t="shared" si="2"/>
        <v>0</v>
      </c>
      <c r="L30" s="116"/>
      <c r="M30" s="122">
        <f t="shared" si="3"/>
        <v>182925.70000000007</v>
      </c>
      <c r="N30" s="50"/>
    </row>
    <row r="31" spans="1:14" ht="15.75" customHeight="1">
      <c r="A31" s="26">
        <v>28</v>
      </c>
      <c r="B31" s="27">
        <v>46170</v>
      </c>
      <c r="C31" s="50"/>
      <c r="D31" s="116"/>
      <c r="E31" s="79"/>
      <c r="F31" s="116"/>
      <c r="G31" s="116">
        <f t="shared" si="0"/>
        <v>0</v>
      </c>
      <c r="H31" s="116"/>
      <c r="I31" s="116"/>
      <c r="J31" s="116">
        <f t="shared" si="1"/>
        <v>0</v>
      </c>
      <c r="K31" s="116">
        <f t="shared" si="2"/>
        <v>0</v>
      </c>
      <c r="L31" s="116"/>
      <c r="M31" s="122">
        <f t="shared" si="3"/>
        <v>182925.70000000007</v>
      </c>
      <c r="N31" s="50"/>
    </row>
    <row r="32" spans="1:14" ht="15.75" customHeight="1">
      <c r="A32" s="26">
        <v>29</v>
      </c>
      <c r="B32" s="27">
        <v>46171</v>
      </c>
      <c r="C32" s="50"/>
      <c r="D32" s="116"/>
      <c r="E32" s="79"/>
      <c r="F32" s="116"/>
      <c r="G32" s="116">
        <f t="shared" si="0"/>
        <v>0</v>
      </c>
      <c r="H32" s="116"/>
      <c r="I32" s="116"/>
      <c r="J32" s="116">
        <f t="shared" si="1"/>
        <v>0</v>
      </c>
      <c r="K32" s="116">
        <f t="shared" si="2"/>
        <v>0</v>
      </c>
      <c r="L32" s="116"/>
      <c r="M32" s="122">
        <f t="shared" si="3"/>
        <v>182925.70000000007</v>
      </c>
      <c r="N32" s="50"/>
    </row>
    <row r="33" spans="1:15" ht="15.75" customHeight="1">
      <c r="A33" s="26">
        <v>30</v>
      </c>
      <c r="B33" s="27">
        <v>46172</v>
      </c>
      <c r="C33" s="50"/>
      <c r="D33" s="116"/>
      <c r="E33" s="79"/>
      <c r="F33" s="116"/>
      <c r="G33" s="116">
        <f t="shared" si="0"/>
        <v>0</v>
      </c>
      <c r="H33" s="116"/>
      <c r="I33" s="116"/>
      <c r="J33" s="116">
        <f t="shared" si="1"/>
        <v>0</v>
      </c>
      <c r="K33" s="116">
        <f t="shared" si="2"/>
        <v>0</v>
      </c>
      <c r="L33" s="116"/>
      <c r="M33" s="122">
        <f t="shared" si="3"/>
        <v>182925.70000000007</v>
      </c>
      <c r="N33" s="50"/>
    </row>
    <row r="34" spans="1:15" ht="15.75" customHeight="1">
      <c r="A34" s="26">
        <v>31</v>
      </c>
      <c r="B34" s="27"/>
      <c r="C34" s="50"/>
      <c r="D34" s="116"/>
      <c r="E34" s="79"/>
      <c r="F34" s="116"/>
      <c r="G34" s="116">
        <f t="shared" ref="G34" si="4">E34*F34</f>
        <v>0</v>
      </c>
      <c r="H34" s="116"/>
      <c r="I34" s="116"/>
      <c r="J34" s="116">
        <f t="shared" ref="J34" si="5">H34*I34</f>
        <v>0</v>
      </c>
      <c r="K34" s="116">
        <f t="shared" ref="K34" si="6">G34+J34</f>
        <v>0</v>
      </c>
      <c r="L34" s="116"/>
      <c r="M34" s="122">
        <f t="shared" si="3"/>
        <v>182925.70000000007</v>
      </c>
      <c r="N34" s="50"/>
    </row>
    <row r="35" spans="1:15">
      <c r="A35" s="42"/>
      <c r="B35" s="42"/>
      <c r="C35" s="42"/>
      <c r="D35" s="42"/>
      <c r="E35" s="43">
        <f>SUM(E4:E34)</f>
        <v>3500</v>
      </c>
      <c r="F35" s="43"/>
      <c r="G35" s="43">
        <f>SUM(G4:G34)</f>
        <v>328440</v>
      </c>
      <c r="H35" s="43">
        <f>SUM(H4:H34)</f>
        <v>245</v>
      </c>
      <c r="I35" s="43"/>
      <c r="J35" s="43">
        <f>SUM(J4:J34)</f>
        <v>25740.400000000001</v>
      </c>
      <c r="K35" s="43">
        <f>SUM(K4:K34)</f>
        <v>354180.4</v>
      </c>
      <c r="L35" s="43">
        <f>SUM(L4:L34)</f>
        <v>450000</v>
      </c>
      <c r="M35" s="43"/>
      <c r="N35" s="43"/>
      <c r="O35" s="33"/>
    </row>
    <row r="37" spans="1:15">
      <c r="D37" s="45"/>
      <c r="E37" s="45"/>
    </row>
  </sheetData>
  <mergeCells count="2">
    <mergeCell ref="A1:N1"/>
    <mergeCell ref="A3:J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S46"/>
  <sheetViews>
    <sheetView workbookViewId="0">
      <pane ySplit="2" topLeftCell="A19" activePane="bottomLeft" state="frozen"/>
      <selection pane="bottomLeft" activeCell="L39" sqref="L39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3.5703125" bestFit="1" customWidth="1"/>
    <col min="13" max="13" width="12.7109375" customWidth="1"/>
    <col min="14" max="14" width="19.28515625" bestFit="1" customWidth="1"/>
    <col min="16" max="16" width="12" bestFit="1" customWidth="1"/>
    <col min="19" max="19" width="12" bestFit="1" customWidth="1"/>
  </cols>
  <sheetData>
    <row r="1" spans="1:15">
      <c r="A1" s="562" t="s">
        <v>277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82"/>
    </row>
    <row r="2" spans="1:15">
      <c r="A2" s="123" t="s">
        <v>0</v>
      </c>
      <c r="B2" s="124" t="s">
        <v>166</v>
      </c>
      <c r="C2" s="124" t="s">
        <v>167</v>
      </c>
      <c r="D2" s="124" t="s">
        <v>168</v>
      </c>
      <c r="E2" s="124" t="s">
        <v>169</v>
      </c>
      <c r="F2" s="124" t="s">
        <v>170</v>
      </c>
      <c r="G2" s="124" t="s">
        <v>171</v>
      </c>
      <c r="H2" s="124" t="s">
        <v>172</v>
      </c>
      <c r="I2" s="124" t="s">
        <v>170</v>
      </c>
      <c r="J2" s="125" t="s">
        <v>171</v>
      </c>
      <c r="K2" s="123" t="s">
        <v>173</v>
      </c>
      <c r="L2" s="126" t="s">
        <v>174</v>
      </c>
      <c r="M2" s="126" t="s">
        <v>199</v>
      </c>
      <c r="N2" s="124" t="s">
        <v>176</v>
      </c>
      <c r="O2" s="59"/>
    </row>
    <row r="3" spans="1:15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9"/>
      <c r="K3" s="96">
        <v>193649.20969999995</v>
      </c>
      <c r="L3" s="40"/>
      <c r="M3" s="40">
        <f>+K3</f>
        <v>193649.20969999995</v>
      </c>
      <c r="N3" s="17"/>
      <c r="O3" s="59">
        <v>46138.763999999966</v>
      </c>
    </row>
    <row r="4" spans="1:15">
      <c r="A4" s="26">
        <v>1</v>
      </c>
      <c r="B4" s="27">
        <v>45778</v>
      </c>
      <c r="C4" s="127"/>
      <c r="D4" s="128"/>
      <c r="E4" s="93">
        <v>0</v>
      </c>
      <c r="F4" s="93">
        <v>0</v>
      </c>
      <c r="G4" s="19">
        <f>E4*F4</f>
        <v>0</v>
      </c>
      <c r="H4" s="93">
        <v>0</v>
      </c>
      <c r="I4" s="322">
        <v>0</v>
      </c>
      <c r="J4" s="19">
        <f>H4*I4</f>
        <v>0</v>
      </c>
      <c r="K4" s="19">
        <f>G4+J4</f>
        <v>0</v>
      </c>
      <c r="L4" s="129">
        <v>0</v>
      </c>
      <c r="M4" s="129">
        <f>M3+K4-L4</f>
        <v>193649.20969999995</v>
      </c>
      <c r="N4" s="44"/>
    </row>
    <row r="5" spans="1:15">
      <c r="A5" s="26">
        <v>2</v>
      </c>
      <c r="B5" s="27">
        <v>45779</v>
      </c>
      <c r="C5" s="127"/>
      <c r="D5" s="128"/>
      <c r="E5" s="93">
        <v>0</v>
      </c>
      <c r="F5" s="93">
        <v>0</v>
      </c>
      <c r="G5" s="19">
        <f t="shared" ref="G5:G35" si="0">E5*F5</f>
        <v>0</v>
      </c>
      <c r="H5" s="93">
        <v>0</v>
      </c>
      <c r="I5" s="322">
        <v>0</v>
      </c>
      <c r="J5" s="19">
        <f t="shared" ref="J5:J35" si="1">H5*I5</f>
        <v>0</v>
      </c>
      <c r="K5" s="19">
        <f t="shared" ref="K5:K35" si="2">G5+J5</f>
        <v>0</v>
      </c>
      <c r="L5" s="129">
        <v>0</v>
      </c>
      <c r="M5" s="129">
        <f>M4+K5-L5</f>
        <v>193649.20969999995</v>
      </c>
      <c r="N5" s="44"/>
    </row>
    <row r="6" spans="1:15">
      <c r="A6" s="26">
        <v>3</v>
      </c>
      <c r="B6" s="27">
        <v>45780</v>
      </c>
      <c r="C6" s="127"/>
      <c r="D6" s="128"/>
      <c r="E6" s="93">
        <v>600</v>
      </c>
      <c r="F6" s="93">
        <v>92.01</v>
      </c>
      <c r="G6" s="19">
        <f t="shared" si="0"/>
        <v>55206</v>
      </c>
      <c r="H6" s="93">
        <v>0</v>
      </c>
      <c r="I6" s="322">
        <v>0</v>
      </c>
      <c r="J6" s="19">
        <f t="shared" si="1"/>
        <v>0</v>
      </c>
      <c r="K6" s="19">
        <f t="shared" si="2"/>
        <v>55206</v>
      </c>
      <c r="L6" s="129">
        <v>0</v>
      </c>
      <c r="M6" s="129">
        <f>M5+K6-L6</f>
        <v>248855.20969999995</v>
      </c>
      <c r="N6" s="44"/>
    </row>
    <row r="7" spans="1:15">
      <c r="A7" s="26">
        <v>4</v>
      </c>
      <c r="B7" s="27">
        <v>45781</v>
      </c>
      <c r="C7" s="127"/>
      <c r="D7" s="128"/>
      <c r="E7" s="93">
        <v>0</v>
      </c>
      <c r="F7" s="93">
        <v>0</v>
      </c>
      <c r="G7" s="19">
        <f t="shared" si="0"/>
        <v>0</v>
      </c>
      <c r="H7" s="93">
        <v>0</v>
      </c>
      <c r="I7" s="322">
        <v>0</v>
      </c>
      <c r="J7" s="19">
        <f t="shared" si="1"/>
        <v>0</v>
      </c>
      <c r="K7" s="19">
        <f t="shared" si="2"/>
        <v>0</v>
      </c>
      <c r="L7" s="129">
        <v>198000</v>
      </c>
      <c r="M7" s="129">
        <f>M6+K7-L7</f>
        <v>50855.209699999948</v>
      </c>
      <c r="N7" s="44"/>
    </row>
    <row r="8" spans="1:15">
      <c r="A8" s="26">
        <v>5</v>
      </c>
      <c r="B8" s="27">
        <v>45782</v>
      </c>
      <c r="C8" s="127"/>
      <c r="D8" s="128"/>
      <c r="E8" s="93">
        <v>0</v>
      </c>
      <c r="F8" s="93">
        <v>0</v>
      </c>
      <c r="G8" s="19">
        <f t="shared" si="0"/>
        <v>0</v>
      </c>
      <c r="H8" s="93">
        <v>0</v>
      </c>
      <c r="I8" s="322">
        <v>0</v>
      </c>
      <c r="J8" s="19">
        <f t="shared" si="1"/>
        <v>0</v>
      </c>
      <c r="K8" s="19">
        <f t="shared" si="2"/>
        <v>0</v>
      </c>
      <c r="L8" s="129">
        <v>0</v>
      </c>
      <c r="M8" s="129">
        <f t="shared" ref="M8:M36" si="3">M7+K8-L8</f>
        <v>50855.209699999948</v>
      </c>
      <c r="N8" s="44"/>
      <c r="O8" s="69"/>
    </row>
    <row r="9" spans="1:15">
      <c r="A9" s="26">
        <v>6</v>
      </c>
      <c r="B9" s="27">
        <v>45783</v>
      </c>
      <c r="C9" s="127"/>
      <c r="D9" s="128"/>
      <c r="E9" s="93">
        <v>0</v>
      </c>
      <c r="F9" s="93">
        <v>0</v>
      </c>
      <c r="G9" s="19">
        <f t="shared" si="0"/>
        <v>0</v>
      </c>
      <c r="H9" s="93">
        <v>0</v>
      </c>
      <c r="I9" s="322">
        <v>0</v>
      </c>
      <c r="J9" s="19">
        <f t="shared" si="1"/>
        <v>0</v>
      </c>
      <c r="K9" s="19">
        <f t="shared" si="2"/>
        <v>0</v>
      </c>
      <c r="L9" s="129">
        <v>0</v>
      </c>
      <c r="M9" s="129">
        <f t="shared" si="3"/>
        <v>50855.209699999948</v>
      </c>
      <c r="N9" s="44"/>
      <c r="O9" s="69"/>
    </row>
    <row r="10" spans="1:15">
      <c r="A10" s="26">
        <v>7</v>
      </c>
      <c r="B10" s="27">
        <v>45784</v>
      </c>
      <c r="C10" s="127"/>
      <c r="D10" s="128"/>
      <c r="E10" s="93">
        <v>0</v>
      </c>
      <c r="F10" s="93">
        <v>0</v>
      </c>
      <c r="G10" s="19">
        <f t="shared" si="0"/>
        <v>0</v>
      </c>
      <c r="H10" s="93">
        <v>35</v>
      </c>
      <c r="I10" s="322">
        <v>103.76</v>
      </c>
      <c r="J10" s="19">
        <f t="shared" si="1"/>
        <v>3631.6000000000004</v>
      </c>
      <c r="K10" s="19">
        <f t="shared" si="2"/>
        <v>3631.6000000000004</v>
      </c>
      <c r="L10" s="129">
        <v>0</v>
      </c>
      <c r="M10" s="129">
        <f t="shared" si="3"/>
        <v>54486.809699999947</v>
      </c>
      <c r="N10" s="44"/>
      <c r="O10" s="69"/>
    </row>
    <row r="11" spans="1:15">
      <c r="A11" s="26">
        <v>8</v>
      </c>
      <c r="B11" s="27">
        <v>45785</v>
      </c>
      <c r="C11" s="127"/>
      <c r="D11" s="128"/>
      <c r="E11" s="93">
        <v>600</v>
      </c>
      <c r="F11" s="93">
        <v>92.01</v>
      </c>
      <c r="G11" s="19">
        <f t="shared" si="0"/>
        <v>55206</v>
      </c>
      <c r="H11" s="93">
        <v>0</v>
      </c>
      <c r="I11" s="322">
        <v>0</v>
      </c>
      <c r="J11" s="19">
        <f t="shared" si="1"/>
        <v>0</v>
      </c>
      <c r="K11" s="19">
        <f t="shared" si="2"/>
        <v>55206</v>
      </c>
      <c r="L11" s="129">
        <v>0</v>
      </c>
      <c r="M11" s="129">
        <f t="shared" si="3"/>
        <v>109692.80969999995</v>
      </c>
      <c r="N11" s="44"/>
      <c r="O11" s="69"/>
    </row>
    <row r="12" spans="1:15">
      <c r="A12" s="26">
        <v>9</v>
      </c>
      <c r="B12" s="27">
        <v>45786</v>
      </c>
      <c r="C12" s="127"/>
      <c r="D12" s="128"/>
      <c r="E12" s="93">
        <v>0</v>
      </c>
      <c r="F12" s="93">
        <v>0</v>
      </c>
      <c r="G12" s="19">
        <f t="shared" si="0"/>
        <v>0</v>
      </c>
      <c r="H12" s="93">
        <v>0</v>
      </c>
      <c r="I12" s="322">
        <v>0</v>
      </c>
      <c r="J12" s="19">
        <f t="shared" si="1"/>
        <v>0</v>
      </c>
      <c r="K12" s="19">
        <f t="shared" si="2"/>
        <v>0</v>
      </c>
      <c r="L12" s="129">
        <v>0</v>
      </c>
      <c r="M12" s="129">
        <f t="shared" si="3"/>
        <v>109692.80969999995</v>
      </c>
      <c r="N12" s="44"/>
      <c r="O12" s="69"/>
    </row>
    <row r="13" spans="1:15">
      <c r="A13" s="26">
        <v>10</v>
      </c>
      <c r="B13" s="27">
        <v>45787</v>
      </c>
      <c r="C13" s="127"/>
      <c r="D13" s="128"/>
      <c r="E13" s="93">
        <v>0</v>
      </c>
      <c r="F13" s="93">
        <v>0</v>
      </c>
      <c r="G13" s="19">
        <f t="shared" si="0"/>
        <v>0</v>
      </c>
      <c r="H13" s="93">
        <v>0</v>
      </c>
      <c r="I13" s="322">
        <v>0</v>
      </c>
      <c r="J13" s="19">
        <f t="shared" si="1"/>
        <v>0</v>
      </c>
      <c r="K13" s="19">
        <f t="shared" si="2"/>
        <v>0</v>
      </c>
      <c r="L13" s="129">
        <v>0</v>
      </c>
      <c r="M13" s="129">
        <f t="shared" si="3"/>
        <v>109692.80969999995</v>
      </c>
      <c r="N13" s="44"/>
      <c r="O13" s="69"/>
    </row>
    <row r="14" spans="1:15">
      <c r="A14" s="26">
        <v>11</v>
      </c>
      <c r="B14" s="27">
        <v>45788</v>
      </c>
      <c r="C14" s="127"/>
      <c r="D14" s="128"/>
      <c r="E14" s="93">
        <v>0</v>
      </c>
      <c r="F14" s="93">
        <v>0</v>
      </c>
      <c r="G14" s="19">
        <f t="shared" si="0"/>
        <v>0</v>
      </c>
      <c r="H14" s="93">
        <v>0</v>
      </c>
      <c r="I14" s="322">
        <v>0</v>
      </c>
      <c r="J14" s="19">
        <f t="shared" si="1"/>
        <v>0</v>
      </c>
      <c r="K14" s="19">
        <f t="shared" si="2"/>
        <v>0</v>
      </c>
      <c r="L14" s="129">
        <v>0</v>
      </c>
      <c r="M14" s="129">
        <f t="shared" si="3"/>
        <v>109692.80969999995</v>
      </c>
      <c r="N14" s="44"/>
      <c r="O14" s="69"/>
    </row>
    <row r="15" spans="1:15">
      <c r="A15" s="26">
        <v>12</v>
      </c>
      <c r="B15" s="27">
        <v>45789</v>
      </c>
      <c r="C15" s="127"/>
      <c r="D15" s="128"/>
      <c r="E15" s="93">
        <v>600</v>
      </c>
      <c r="F15" s="93">
        <v>92.01</v>
      </c>
      <c r="G15" s="19">
        <v>55206</v>
      </c>
      <c r="H15" s="93">
        <v>35</v>
      </c>
      <c r="I15" s="322">
        <v>103.76</v>
      </c>
      <c r="J15" s="19">
        <f t="shared" si="1"/>
        <v>3631.6000000000004</v>
      </c>
      <c r="K15" s="19">
        <f t="shared" si="2"/>
        <v>58837.599999999999</v>
      </c>
      <c r="L15" s="129">
        <v>0</v>
      </c>
      <c r="M15" s="129">
        <f t="shared" si="3"/>
        <v>168530.40969999996</v>
      </c>
      <c r="N15" s="44"/>
      <c r="O15" s="69"/>
    </row>
    <row r="16" spans="1:15">
      <c r="A16" s="26">
        <v>13</v>
      </c>
      <c r="B16" s="27">
        <v>45790</v>
      </c>
      <c r="C16" s="127"/>
      <c r="D16" s="128"/>
      <c r="E16" s="93">
        <v>400</v>
      </c>
      <c r="F16" s="93">
        <v>92.01</v>
      </c>
      <c r="G16" s="19">
        <f t="shared" si="0"/>
        <v>36804</v>
      </c>
      <c r="H16" s="93">
        <v>0</v>
      </c>
      <c r="I16" s="322">
        <v>0</v>
      </c>
      <c r="J16" s="19">
        <f t="shared" si="1"/>
        <v>0</v>
      </c>
      <c r="K16" s="19">
        <f t="shared" si="2"/>
        <v>36804</v>
      </c>
      <c r="L16" s="129">
        <v>0</v>
      </c>
      <c r="M16" s="129">
        <f t="shared" si="3"/>
        <v>205334.40969999996</v>
      </c>
      <c r="N16" s="44"/>
      <c r="O16" s="69"/>
    </row>
    <row r="17" spans="1:19">
      <c r="A17" s="26">
        <v>14</v>
      </c>
      <c r="B17" s="27">
        <v>45791</v>
      </c>
      <c r="C17" s="127"/>
      <c r="D17" s="128"/>
      <c r="E17" s="93">
        <v>0</v>
      </c>
      <c r="F17" s="93">
        <v>0</v>
      </c>
      <c r="G17" s="19">
        <f t="shared" si="0"/>
        <v>0</v>
      </c>
      <c r="H17" s="93">
        <v>0</v>
      </c>
      <c r="I17" s="322">
        <v>0</v>
      </c>
      <c r="J17" s="19">
        <f t="shared" si="1"/>
        <v>0</v>
      </c>
      <c r="K17" s="19">
        <f t="shared" si="2"/>
        <v>0</v>
      </c>
      <c r="L17" s="129">
        <v>0</v>
      </c>
      <c r="M17" s="129">
        <f t="shared" si="3"/>
        <v>205334.40969999996</v>
      </c>
      <c r="N17" s="44"/>
      <c r="O17" s="69"/>
    </row>
    <row r="18" spans="1:19">
      <c r="A18" s="26">
        <v>15</v>
      </c>
      <c r="B18" s="27">
        <v>45792</v>
      </c>
      <c r="C18" s="127"/>
      <c r="D18" s="128"/>
      <c r="E18" s="93">
        <v>0</v>
      </c>
      <c r="F18" s="93">
        <v>0</v>
      </c>
      <c r="G18" s="19">
        <f t="shared" si="0"/>
        <v>0</v>
      </c>
      <c r="H18" s="93">
        <v>0</v>
      </c>
      <c r="I18" s="322">
        <v>0</v>
      </c>
      <c r="J18" s="19">
        <f t="shared" si="1"/>
        <v>0</v>
      </c>
      <c r="K18" s="19">
        <f t="shared" si="2"/>
        <v>0</v>
      </c>
      <c r="L18" s="129">
        <v>200000</v>
      </c>
      <c r="M18" s="129">
        <f t="shared" si="3"/>
        <v>5334.4096999999601</v>
      </c>
      <c r="N18" s="44" t="s">
        <v>202</v>
      </c>
      <c r="O18" s="69"/>
      <c r="Q18" s="239"/>
      <c r="S18" s="173"/>
    </row>
    <row r="19" spans="1:19">
      <c r="A19" s="26">
        <v>16</v>
      </c>
      <c r="B19" s="27">
        <v>45793</v>
      </c>
      <c r="C19" s="127"/>
      <c r="D19" s="128"/>
      <c r="E19" s="93">
        <v>600</v>
      </c>
      <c r="F19" s="93">
        <v>95.12</v>
      </c>
      <c r="G19" s="19">
        <f t="shared" si="0"/>
        <v>57072</v>
      </c>
      <c r="H19" s="93">
        <v>0</v>
      </c>
      <c r="I19" s="322">
        <v>0</v>
      </c>
      <c r="J19" s="19">
        <f t="shared" si="1"/>
        <v>0</v>
      </c>
      <c r="K19" s="19">
        <f t="shared" si="2"/>
        <v>57072</v>
      </c>
      <c r="L19" s="129">
        <v>0</v>
      </c>
      <c r="M19" s="129">
        <f t="shared" si="3"/>
        <v>62406.40969999996</v>
      </c>
      <c r="N19" s="44"/>
      <c r="O19" s="69"/>
    </row>
    <row r="20" spans="1:19">
      <c r="A20" s="26">
        <v>17</v>
      </c>
      <c r="B20" s="27">
        <v>45794</v>
      </c>
      <c r="C20" s="127"/>
      <c r="D20" s="128"/>
      <c r="E20" s="93">
        <v>0</v>
      </c>
      <c r="F20" s="93">
        <v>0</v>
      </c>
      <c r="G20" s="19">
        <f t="shared" si="0"/>
        <v>0</v>
      </c>
      <c r="H20" s="93">
        <v>0</v>
      </c>
      <c r="I20" s="322">
        <v>0</v>
      </c>
      <c r="J20" s="19">
        <f t="shared" si="1"/>
        <v>0</v>
      </c>
      <c r="K20" s="19">
        <f t="shared" si="2"/>
        <v>0</v>
      </c>
      <c r="L20" s="129">
        <v>0</v>
      </c>
      <c r="M20" s="129">
        <f t="shared" si="3"/>
        <v>62406.40969999996</v>
      </c>
      <c r="N20" s="44"/>
      <c r="O20" s="69"/>
    </row>
    <row r="21" spans="1:19">
      <c r="A21" s="26">
        <v>18</v>
      </c>
      <c r="B21" s="27">
        <v>45795</v>
      </c>
      <c r="C21" s="127"/>
      <c r="D21" s="128"/>
      <c r="E21" s="93">
        <v>600</v>
      </c>
      <c r="F21" s="93">
        <v>95.12</v>
      </c>
      <c r="G21" s="19">
        <f t="shared" si="0"/>
        <v>57072</v>
      </c>
      <c r="H21" s="93">
        <v>25</v>
      </c>
      <c r="I21" s="322">
        <v>107.02</v>
      </c>
      <c r="J21" s="19">
        <f t="shared" si="1"/>
        <v>2675.5</v>
      </c>
      <c r="K21" s="19">
        <f t="shared" si="2"/>
        <v>59747.5</v>
      </c>
      <c r="L21" s="129">
        <v>0</v>
      </c>
      <c r="M21" s="129">
        <f t="shared" si="3"/>
        <v>122153.90969999996</v>
      </c>
      <c r="N21" s="44"/>
      <c r="O21" s="69"/>
    </row>
    <row r="22" spans="1:19">
      <c r="A22" s="26">
        <v>19</v>
      </c>
      <c r="B22" s="27">
        <v>45796</v>
      </c>
      <c r="C22" s="127"/>
      <c r="D22" s="128"/>
      <c r="E22" s="93">
        <v>0</v>
      </c>
      <c r="F22" s="93">
        <v>0</v>
      </c>
      <c r="G22" s="19">
        <f t="shared" si="0"/>
        <v>0</v>
      </c>
      <c r="H22" s="93">
        <v>0</v>
      </c>
      <c r="I22" s="322">
        <v>0</v>
      </c>
      <c r="J22" s="19">
        <f t="shared" si="1"/>
        <v>0</v>
      </c>
      <c r="K22" s="19">
        <f t="shared" si="2"/>
        <v>0</v>
      </c>
      <c r="L22" s="129">
        <v>0</v>
      </c>
      <c r="M22" s="129">
        <f t="shared" si="3"/>
        <v>122153.90969999996</v>
      </c>
      <c r="N22" s="44"/>
      <c r="O22" s="69"/>
    </row>
    <row r="23" spans="1:19">
      <c r="A23" s="26">
        <v>20</v>
      </c>
      <c r="B23" s="27">
        <v>45797</v>
      </c>
      <c r="C23" s="127"/>
      <c r="D23" s="128"/>
      <c r="E23" s="93">
        <v>0</v>
      </c>
      <c r="F23" s="93">
        <v>0</v>
      </c>
      <c r="G23" s="19">
        <f t="shared" si="0"/>
        <v>0</v>
      </c>
      <c r="H23" s="93">
        <v>0</v>
      </c>
      <c r="I23" s="322">
        <v>0</v>
      </c>
      <c r="J23" s="19">
        <f t="shared" si="1"/>
        <v>0</v>
      </c>
      <c r="K23" s="19">
        <f t="shared" si="2"/>
        <v>0</v>
      </c>
      <c r="L23" s="129">
        <v>0</v>
      </c>
      <c r="M23" s="129">
        <f t="shared" si="3"/>
        <v>122153.90969999996</v>
      </c>
      <c r="N23" s="44"/>
      <c r="O23" s="69"/>
    </row>
    <row r="24" spans="1:19">
      <c r="A24" s="26">
        <v>21</v>
      </c>
      <c r="B24" s="27">
        <v>45798</v>
      </c>
      <c r="C24" s="127"/>
      <c r="D24" s="128"/>
      <c r="E24" s="93">
        <v>0</v>
      </c>
      <c r="F24" s="93">
        <v>0</v>
      </c>
      <c r="G24" s="19">
        <f t="shared" si="0"/>
        <v>0</v>
      </c>
      <c r="H24" s="93">
        <v>0</v>
      </c>
      <c r="I24" s="322">
        <v>0</v>
      </c>
      <c r="J24" s="19">
        <f t="shared" si="1"/>
        <v>0</v>
      </c>
      <c r="K24" s="19">
        <f t="shared" si="2"/>
        <v>0</v>
      </c>
      <c r="L24" s="129">
        <v>0</v>
      </c>
      <c r="M24" s="129">
        <f t="shared" si="3"/>
        <v>122153.90969999996</v>
      </c>
      <c r="N24" s="252"/>
      <c r="O24" s="238"/>
    </row>
    <row r="25" spans="1:19">
      <c r="A25" s="26">
        <v>22</v>
      </c>
      <c r="B25" s="27">
        <v>45799</v>
      </c>
      <c r="C25" s="127"/>
      <c r="D25" s="128"/>
      <c r="E25" s="93">
        <v>0</v>
      </c>
      <c r="F25" s="93">
        <v>0</v>
      </c>
      <c r="G25" s="19">
        <f t="shared" si="0"/>
        <v>0</v>
      </c>
      <c r="H25" s="93">
        <v>0</v>
      </c>
      <c r="I25" s="322">
        <v>0</v>
      </c>
      <c r="J25" s="19">
        <f t="shared" si="1"/>
        <v>0</v>
      </c>
      <c r="K25" s="19">
        <f t="shared" si="2"/>
        <v>0</v>
      </c>
      <c r="L25" s="129">
        <v>0</v>
      </c>
      <c r="M25" s="129">
        <f t="shared" si="3"/>
        <v>122153.90969999996</v>
      </c>
      <c r="N25" s="44"/>
      <c r="O25" s="69"/>
    </row>
    <row r="26" spans="1:19">
      <c r="A26" s="26">
        <v>23</v>
      </c>
      <c r="B26" s="27">
        <v>45800</v>
      </c>
      <c r="C26" s="127"/>
      <c r="D26" s="128"/>
      <c r="E26" s="93">
        <v>0</v>
      </c>
      <c r="F26" s="93">
        <v>0</v>
      </c>
      <c r="G26" s="19">
        <f t="shared" si="0"/>
        <v>0</v>
      </c>
      <c r="H26" s="93">
        <v>0</v>
      </c>
      <c r="I26" s="322">
        <v>0</v>
      </c>
      <c r="J26" s="19">
        <f t="shared" si="1"/>
        <v>0</v>
      </c>
      <c r="K26" s="19">
        <f t="shared" si="2"/>
        <v>0</v>
      </c>
      <c r="L26" s="129">
        <v>0</v>
      </c>
      <c r="M26" s="129">
        <f t="shared" si="3"/>
        <v>122153.90969999996</v>
      </c>
      <c r="N26" s="44"/>
      <c r="O26" s="69"/>
    </row>
    <row r="27" spans="1:19">
      <c r="A27" s="26">
        <v>24</v>
      </c>
      <c r="B27" s="27">
        <v>45801</v>
      </c>
      <c r="C27" s="127"/>
      <c r="D27" s="128"/>
      <c r="E27" s="93">
        <v>600</v>
      </c>
      <c r="F27" s="93">
        <v>97.01</v>
      </c>
      <c r="G27" s="19">
        <f t="shared" si="0"/>
        <v>58206</v>
      </c>
      <c r="H27" s="93">
        <v>30</v>
      </c>
      <c r="I27" s="322">
        <v>108.9</v>
      </c>
      <c r="J27" s="19">
        <f t="shared" si="1"/>
        <v>3267</v>
      </c>
      <c r="K27" s="19">
        <f t="shared" si="2"/>
        <v>61473</v>
      </c>
      <c r="L27" s="129">
        <v>0</v>
      </c>
      <c r="M27" s="129">
        <f t="shared" si="3"/>
        <v>183626.90969999996</v>
      </c>
      <c r="N27" s="44"/>
      <c r="O27" s="69"/>
    </row>
    <row r="28" spans="1:19">
      <c r="A28" s="26">
        <v>25</v>
      </c>
      <c r="B28" s="27">
        <v>45802</v>
      </c>
      <c r="C28" s="127"/>
      <c r="D28" s="128"/>
      <c r="E28" s="93">
        <v>0</v>
      </c>
      <c r="F28" s="93">
        <v>0</v>
      </c>
      <c r="G28" s="19">
        <f t="shared" si="0"/>
        <v>0</v>
      </c>
      <c r="H28" s="93">
        <v>0</v>
      </c>
      <c r="I28" s="322">
        <v>0</v>
      </c>
      <c r="J28" s="19">
        <f t="shared" si="1"/>
        <v>0</v>
      </c>
      <c r="K28" s="19">
        <f t="shared" si="2"/>
        <v>0</v>
      </c>
      <c r="L28" s="129">
        <v>150000</v>
      </c>
      <c r="M28" s="129">
        <f t="shared" si="3"/>
        <v>33626.90969999996</v>
      </c>
      <c r="N28" s="44"/>
      <c r="O28" s="69"/>
    </row>
    <row r="29" spans="1:19">
      <c r="A29" s="26">
        <v>26</v>
      </c>
      <c r="B29" s="27">
        <v>45803</v>
      </c>
      <c r="C29" s="127"/>
      <c r="D29" s="128"/>
      <c r="E29" s="93">
        <v>0</v>
      </c>
      <c r="F29" s="93">
        <v>0</v>
      </c>
      <c r="G29" s="19">
        <f t="shared" si="0"/>
        <v>0</v>
      </c>
      <c r="H29" s="93">
        <v>0</v>
      </c>
      <c r="I29" s="322">
        <v>0</v>
      </c>
      <c r="J29" s="19">
        <f t="shared" si="1"/>
        <v>0</v>
      </c>
      <c r="K29" s="19">
        <f t="shared" si="2"/>
        <v>0</v>
      </c>
      <c r="L29" s="129">
        <v>0</v>
      </c>
      <c r="M29" s="129">
        <f>M28+K29-L29</f>
        <v>33626.90969999996</v>
      </c>
      <c r="N29" s="44"/>
      <c r="O29" s="69"/>
    </row>
    <row r="30" spans="1:19">
      <c r="A30" s="26">
        <v>27</v>
      </c>
      <c r="B30" s="27">
        <v>45804</v>
      </c>
      <c r="C30" s="127"/>
      <c r="D30" s="128"/>
      <c r="E30" s="93">
        <v>0</v>
      </c>
      <c r="F30" s="93">
        <v>0</v>
      </c>
      <c r="G30" s="19">
        <f t="shared" si="0"/>
        <v>0</v>
      </c>
      <c r="H30" s="93">
        <v>0</v>
      </c>
      <c r="I30" s="322">
        <v>0</v>
      </c>
      <c r="J30" s="19">
        <f t="shared" si="1"/>
        <v>0</v>
      </c>
      <c r="K30" s="19">
        <f t="shared" si="2"/>
        <v>0</v>
      </c>
      <c r="L30" s="129">
        <v>0</v>
      </c>
      <c r="M30" s="129">
        <f t="shared" si="3"/>
        <v>33626.90969999996</v>
      </c>
      <c r="N30" s="44"/>
      <c r="O30" s="69"/>
    </row>
    <row r="31" spans="1:19">
      <c r="A31" s="26">
        <v>28</v>
      </c>
      <c r="B31" s="27">
        <v>45805</v>
      </c>
      <c r="C31" s="127"/>
      <c r="D31" s="128"/>
      <c r="E31" s="93">
        <v>600</v>
      </c>
      <c r="F31" s="93">
        <v>99.82</v>
      </c>
      <c r="G31" s="19">
        <f t="shared" si="0"/>
        <v>59891.999999999993</v>
      </c>
      <c r="H31" s="93">
        <v>20</v>
      </c>
      <c r="I31" s="322">
        <v>111.73</v>
      </c>
      <c r="J31" s="19">
        <f t="shared" si="1"/>
        <v>2234.6</v>
      </c>
      <c r="K31" s="19">
        <f t="shared" si="2"/>
        <v>62126.599999999991</v>
      </c>
      <c r="L31" s="129">
        <v>0</v>
      </c>
      <c r="M31" s="129">
        <f t="shared" si="3"/>
        <v>95753.509699999951</v>
      </c>
      <c r="N31" s="44"/>
      <c r="O31" s="69"/>
      <c r="P31" s="239"/>
    </row>
    <row r="32" spans="1:19">
      <c r="A32" s="26">
        <v>29</v>
      </c>
      <c r="B32" s="27">
        <v>45806</v>
      </c>
      <c r="C32" s="127"/>
      <c r="D32" s="128"/>
      <c r="E32" s="93">
        <v>0</v>
      </c>
      <c r="F32" s="93">
        <v>0</v>
      </c>
      <c r="G32" s="19">
        <f t="shared" si="0"/>
        <v>0</v>
      </c>
      <c r="H32" s="93">
        <v>0</v>
      </c>
      <c r="I32" s="322">
        <v>0</v>
      </c>
      <c r="J32" s="19">
        <f t="shared" si="1"/>
        <v>0</v>
      </c>
      <c r="K32" s="19">
        <f t="shared" si="2"/>
        <v>0</v>
      </c>
      <c r="L32" s="129">
        <v>0</v>
      </c>
      <c r="M32" s="129">
        <f t="shared" si="3"/>
        <v>95753.509699999951</v>
      </c>
      <c r="N32" s="44"/>
      <c r="O32" s="69"/>
    </row>
    <row r="33" spans="1:19">
      <c r="A33" s="26">
        <v>30</v>
      </c>
      <c r="B33" s="27">
        <v>45807</v>
      </c>
      <c r="C33" s="127"/>
      <c r="D33" s="128"/>
      <c r="E33" s="93">
        <v>0</v>
      </c>
      <c r="F33" s="93">
        <v>0</v>
      </c>
      <c r="G33" s="19">
        <f t="shared" si="0"/>
        <v>0</v>
      </c>
      <c r="H33" s="93">
        <v>0</v>
      </c>
      <c r="I33" s="322">
        <v>0</v>
      </c>
      <c r="J33" s="19">
        <f t="shared" si="1"/>
        <v>0</v>
      </c>
      <c r="K33" s="19">
        <f t="shared" si="2"/>
        <v>0</v>
      </c>
      <c r="L33" s="129">
        <v>0</v>
      </c>
      <c r="M33" s="129">
        <f t="shared" si="3"/>
        <v>95753.509699999951</v>
      </c>
      <c r="N33" s="44"/>
      <c r="O33" s="69"/>
      <c r="P33" s="239"/>
    </row>
    <row r="34" spans="1:19">
      <c r="A34" s="26">
        <v>31</v>
      </c>
      <c r="B34" s="27">
        <v>45808</v>
      </c>
      <c r="C34" s="127"/>
      <c r="D34" s="128"/>
      <c r="E34" s="93">
        <v>0</v>
      </c>
      <c r="F34" s="93">
        <v>0</v>
      </c>
      <c r="G34" s="19">
        <f t="shared" si="0"/>
        <v>0</v>
      </c>
      <c r="H34" s="93">
        <v>0</v>
      </c>
      <c r="I34" s="322">
        <v>0</v>
      </c>
      <c r="J34" s="19">
        <f t="shared" si="1"/>
        <v>0</v>
      </c>
      <c r="K34" s="19">
        <f t="shared" si="2"/>
        <v>0</v>
      </c>
      <c r="L34" s="129">
        <v>0</v>
      </c>
      <c r="M34" s="129">
        <f t="shared" si="3"/>
        <v>95753.509699999951</v>
      </c>
      <c r="N34" s="44"/>
      <c r="O34" s="69"/>
    </row>
    <row r="35" spans="1:19">
      <c r="A35" s="26"/>
      <c r="B35" s="27"/>
      <c r="C35" s="127"/>
      <c r="D35" s="128"/>
      <c r="E35" s="93">
        <v>0</v>
      </c>
      <c r="F35" s="93">
        <v>0</v>
      </c>
      <c r="G35" s="19">
        <f t="shared" si="0"/>
        <v>0</v>
      </c>
      <c r="H35" s="93">
        <v>0</v>
      </c>
      <c r="I35" s="322">
        <v>0</v>
      </c>
      <c r="J35" s="19">
        <f t="shared" si="1"/>
        <v>0</v>
      </c>
      <c r="K35" s="19">
        <f t="shared" si="2"/>
        <v>0</v>
      </c>
      <c r="L35" s="129">
        <v>0</v>
      </c>
      <c r="M35" s="129">
        <f t="shared" si="3"/>
        <v>95753.509699999951</v>
      </c>
      <c r="N35" s="44"/>
      <c r="O35" s="69"/>
    </row>
    <row r="36" spans="1:19">
      <c r="A36" s="26"/>
      <c r="B36" s="27"/>
      <c r="C36" s="127"/>
      <c r="D36" s="128"/>
      <c r="E36" s="93">
        <v>0</v>
      </c>
      <c r="F36" s="93">
        <v>0</v>
      </c>
      <c r="G36" s="19">
        <f t="shared" ref="G36" si="4">E36*F36</f>
        <v>0</v>
      </c>
      <c r="H36" s="93">
        <v>0</v>
      </c>
      <c r="I36" s="322">
        <v>0</v>
      </c>
      <c r="J36" s="19">
        <f t="shared" ref="J36" si="5">H36*I36</f>
        <v>0</v>
      </c>
      <c r="K36" s="19">
        <f t="shared" ref="K36" si="6">G36+J36</f>
        <v>0</v>
      </c>
      <c r="L36" s="129">
        <v>0</v>
      </c>
      <c r="M36" s="129">
        <f t="shared" si="3"/>
        <v>95753.509699999951</v>
      </c>
      <c r="N36" s="44"/>
      <c r="O36" s="69"/>
    </row>
    <row r="37" spans="1:19">
      <c r="A37" s="42"/>
      <c r="B37" s="42"/>
      <c r="C37" s="42"/>
      <c r="D37" s="42"/>
      <c r="E37" s="43">
        <f>SUM(E4:E35)</f>
        <v>4600</v>
      </c>
      <c r="F37" s="43"/>
      <c r="G37" s="43">
        <f>SUM(G4:G35)</f>
        <v>434664</v>
      </c>
      <c r="H37" s="43">
        <f>SUM(H4:H35)</f>
        <v>145</v>
      </c>
      <c r="I37" s="43"/>
      <c r="J37" s="43">
        <f>SUM(J4:J35)</f>
        <v>15440.300000000001</v>
      </c>
      <c r="K37" s="43">
        <f>SUM(K4:K35)</f>
        <v>450104.3</v>
      </c>
      <c r="L37" s="43">
        <f>SUM(L4:L35)</f>
        <v>548000</v>
      </c>
      <c r="M37" s="43"/>
      <c r="N37" s="43"/>
      <c r="O37" s="33"/>
    </row>
    <row r="38" spans="1:19">
      <c r="A38" s="72"/>
      <c r="B38" s="73"/>
      <c r="C38" s="72"/>
      <c r="D38" s="72"/>
      <c r="E38" s="74">
        <v>0</v>
      </c>
      <c r="F38" s="74"/>
      <c r="G38" s="74">
        <v>0</v>
      </c>
      <c r="H38" s="74">
        <v>0</v>
      </c>
      <c r="I38" s="74"/>
      <c r="J38" s="75">
        <v>0</v>
      </c>
      <c r="K38" s="75">
        <f>G38+J38</f>
        <v>0</v>
      </c>
      <c r="L38" s="75">
        <v>0</v>
      </c>
      <c r="M38" s="75"/>
      <c r="N38" s="74"/>
      <c r="O38" s="69"/>
    </row>
    <row r="39" spans="1:19">
      <c r="E39" s="134"/>
      <c r="F39" s="134"/>
      <c r="G39" s="134"/>
      <c r="H39" s="134"/>
      <c r="I39" s="134"/>
      <c r="J39" s="134"/>
      <c r="K39" s="134"/>
      <c r="L39" s="134"/>
      <c r="M39" s="239"/>
      <c r="O39" s="69"/>
    </row>
    <row r="40" spans="1:19">
      <c r="O40" s="69"/>
    </row>
    <row r="41" spans="1:19">
      <c r="M41" s="173"/>
      <c r="O41" s="69"/>
    </row>
    <row r="42" spans="1:19">
      <c r="O42" s="69"/>
    </row>
    <row r="43" spans="1:19">
      <c r="O43" s="69"/>
      <c r="S43">
        <v>9052944708</v>
      </c>
    </row>
    <row r="44" spans="1:19">
      <c r="A44" s="69"/>
      <c r="B44" s="59"/>
      <c r="C44" s="69"/>
      <c r="D44" s="69"/>
      <c r="E44" s="69"/>
      <c r="F44" s="69"/>
      <c r="G44" s="76"/>
      <c r="H44" s="69"/>
      <c r="I44" s="69"/>
      <c r="J44" s="59"/>
      <c r="K44" s="59"/>
      <c r="L44" s="59"/>
      <c r="M44" s="59"/>
      <c r="N44" s="69"/>
      <c r="O44" s="74"/>
    </row>
    <row r="45" spans="1:19">
      <c r="A45" s="69"/>
      <c r="B45" s="554"/>
      <c r="C45" s="554"/>
      <c r="D45" s="554"/>
      <c r="E45" s="554"/>
      <c r="F45" s="69"/>
      <c r="G45" s="69"/>
      <c r="H45" s="69"/>
      <c r="I45" s="554"/>
      <c r="J45" s="554"/>
      <c r="K45" s="554"/>
      <c r="L45" s="554"/>
      <c r="M45" s="554"/>
      <c r="N45" s="554"/>
      <c r="O45" s="74"/>
    </row>
    <row r="46" spans="1:19">
      <c r="A46" s="69"/>
      <c r="B46" s="59"/>
      <c r="C46" s="69"/>
      <c r="D46" s="69"/>
      <c r="E46" s="69"/>
      <c r="F46" s="69"/>
      <c r="G46" s="69"/>
      <c r="H46" s="69"/>
      <c r="I46" s="69"/>
      <c r="J46" s="59"/>
      <c r="K46" s="59"/>
      <c r="L46" s="59"/>
      <c r="M46" s="59"/>
      <c r="N46" s="69"/>
      <c r="O46" s="74"/>
    </row>
  </sheetData>
  <mergeCells count="4">
    <mergeCell ref="A1:N1"/>
    <mergeCell ref="B45:E45"/>
    <mergeCell ref="I45:N45"/>
    <mergeCell ref="A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N35"/>
  <sheetViews>
    <sheetView topLeftCell="A22" workbookViewId="0">
      <selection activeCell="M34" sqref="M34"/>
    </sheetView>
  </sheetViews>
  <sheetFormatPr defaultRowHeight="15"/>
  <cols>
    <col min="2" max="2" width="10.140625" bestFit="1" customWidth="1"/>
    <col min="4" max="4" width="24.85546875" bestFit="1" customWidth="1"/>
    <col min="12" max="12" width="9.28515625" bestFit="1" customWidth="1"/>
  </cols>
  <sheetData>
    <row r="1" spans="1:14" ht="15.75">
      <c r="A1" s="560" t="s">
        <v>278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4" ht="25.5">
      <c r="A2" s="102" t="s">
        <v>0</v>
      </c>
      <c r="B2" s="105" t="s">
        <v>166</v>
      </c>
      <c r="C2" s="105" t="s">
        <v>167</v>
      </c>
      <c r="D2" s="105" t="s">
        <v>168</v>
      </c>
      <c r="E2" s="105" t="s">
        <v>169</v>
      </c>
      <c r="F2" s="105" t="s">
        <v>170</v>
      </c>
      <c r="G2" s="105" t="s">
        <v>171</v>
      </c>
      <c r="H2" s="105" t="s">
        <v>172</v>
      </c>
      <c r="I2" s="105" t="s">
        <v>170</v>
      </c>
      <c r="J2" s="105" t="s">
        <v>171</v>
      </c>
      <c r="K2" s="105" t="s">
        <v>173</v>
      </c>
      <c r="L2" s="105" t="s">
        <v>174</v>
      </c>
      <c r="M2" s="105" t="s">
        <v>199</v>
      </c>
      <c r="N2" s="105" t="s">
        <v>176</v>
      </c>
    </row>
    <row r="3" spans="1:14">
      <c r="A3" s="563" t="s">
        <v>177</v>
      </c>
      <c r="B3" s="563"/>
      <c r="C3" s="563"/>
      <c r="D3" s="563"/>
      <c r="E3" s="563"/>
      <c r="F3" s="563"/>
      <c r="G3" s="563"/>
      <c r="H3" s="563"/>
      <c r="I3" s="563"/>
      <c r="J3" s="563"/>
      <c r="K3" s="95">
        <v>56291.815199999975</v>
      </c>
      <c r="L3" s="95">
        <v>0</v>
      </c>
      <c r="M3" s="95">
        <v>56291.815199999975</v>
      </c>
      <c r="N3" s="17"/>
    </row>
    <row r="4" spans="1:14">
      <c r="A4" s="26">
        <v>1</v>
      </c>
      <c r="B4" s="27">
        <v>46143</v>
      </c>
      <c r="C4" s="17"/>
      <c r="D4" s="17"/>
      <c r="E4" s="86"/>
      <c r="F4" s="86"/>
      <c r="G4" s="17">
        <f>E4*F4</f>
        <v>0</v>
      </c>
      <c r="H4" s="86"/>
      <c r="I4" s="86"/>
      <c r="J4" s="17">
        <f>H4*I4</f>
        <v>0</v>
      </c>
      <c r="K4" s="17">
        <f>G4+J4</f>
        <v>0</v>
      </c>
      <c r="L4" s="17"/>
      <c r="M4" s="17">
        <f>M3+K4-L4</f>
        <v>56291.815199999975</v>
      </c>
      <c r="N4" s="44"/>
    </row>
    <row r="5" spans="1:14">
      <c r="A5" s="26">
        <v>2</v>
      </c>
      <c r="B5" s="27">
        <v>46144</v>
      </c>
      <c r="C5" s="17"/>
      <c r="D5" s="17"/>
      <c r="E5" s="86"/>
      <c r="F5" s="86"/>
      <c r="G5" s="17">
        <f t="shared" ref="G5" si="0">E5*F5</f>
        <v>0</v>
      </c>
      <c r="H5" s="86"/>
      <c r="I5" s="86"/>
      <c r="J5" s="17">
        <f t="shared" ref="J5" si="1">H5*I5</f>
        <v>0</v>
      </c>
      <c r="K5" s="17">
        <f t="shared" ref="K5" si="2">G5+J5</f>
        <v>0</v>
      </c>
      <c r="L5" s="17"/>
      <c r="M5" s="17">
        <f t="shared" ref="M5:M34" si="3">M4+K5-L5</f>
        <v>56291.815199999975</v>
      </c>
      <c r="N5" s="44"/>
    </row>
    <row r="6" spans="1:14">
      <c r="A6" s="26">
        <v>3</v>
      </c>
      <c r="B6" s="27">
        <v>46145</v>
      </c>
      <c r="C6" s="17"/>
      <c r="D6" s="17"/>
      <c r="E6" s="86"/>
      <c r="F6" s="86"/>
      <c r="G6" s="17">
        <f t="shared" ref="G6:G33" si="4">E6*F6</f>
        <v>0</v>
      </c>
      <c r="H6" s="86"/>
      <c r="I6" s="86"/>
      <c r="J6" s="17">
        <f t="shared" ref="J6:J33" si="5">H6*I6</f>
        <v>0</v>
      </c>
      <c r="K6" s="17">
        <f t="shared" ref="K6:K33" si="6">G6+J6</f>
        <v>0</v>
      </c>
      <c r="L6" s="17"/>
      <c r="M6" s="17">
        <f t="shared" si="3"/>
        <v>56291.815199999975</v>
      </c>
      <c r="N6" s="44"/>
    </row>
    <row r="7" spans="1:14">
      <c r="A7" s="26">
        <v>4</v>
      </c>
      <c r="B7" s="27">
        <v>46146</v>
      </c>
      <c r="C7" s="17"/>
      <c r="D7" s="17"/>
      <c r="E7" s="86"/>
      <c r="F7" s="86"/>
      <c r="G7" s="17">
        <f t="shared" si="4"/>
        <v>0</v>
      </c>
      <c r="H7" s="86"/>
      <c r="I7" s="86"/>
      <c r="J7" s="17">
        <f t="shared" si="5"/>
        <v>0</v>
      </c>
      <c r="K7" s="17">
        <f t="shared" si="6"/>
        <v>0</v>
      </c>
      <c r="L7" s="17">
        <v>56274</v>
      </c>
      <c r="M7" s="40">
        <f t="shared" si="3"/>
        <v>17.815199999975448</v>
      </c>
    </row>
    <row r="8" spans="1:14">
      <c r="A8" s="26">
        <v>5</v>
      </c>
      <c r="B8" s="27">
        <v>46147</v>
      </c>
      <c r="C8" s="17"/>
      <c r="D8" s="17"/>
      <c r="E8" s="86"/>
      <c r="F8" s="86"/>
      <c r="G8" s="17">
        <f t="shared" si="4"/>
        <v>0</v>
      </c>
      <c r="H8" s="86"/>
      <c r="I8" s="86"/>
      <c r="J8" s="17">
        <f t="shared" si="5"/>
        <v>0</v>
      </c>
      <c r="K8" s="17">
        <f t="shared" si="6"/>
        <v>0</v>
      </c>
      <c r="L8" s="17"/>
      <c r="M8" s="40">
        <f t="shared" si="3"/>
        <v>17.815199999975448</v>
      </c>
      <c r="N8" s="44"/>
    </row>
    <row r="9" spans="1:14">
      <c r="A9" s="26">
        <v>6</v>
      </c>
      <c r="B9" s="27">
        <v>46148</v>
      </c>
      <c r="C9" s="17"/>
      <c r="D9" s="17"/>
      <c r="E9" s="86"/>
      <c r="F9" s="86"/>
      <c r="G9" s="17">
        <f t="shared" si="4"/>
        <v>0</v>
      </c>
      <c r="H9" s="86"/>
      <c r="I9" s="86"/>
      <c r="J9" s="17">
        <f t="shared" si="5"/>
        <v>0</v>
      </c>
      <c r="K9" s="17">
        <f t="shared" si="6"/>
        <v>0</v>
      </c>
      <c r="L9" s="17"/>
      <c r="M9" s="40">
        <f t="shared" si="3"/>
        <v>17.815199999975448</v>
      </c>
      <c r="N9" s="44"/>
    </row>
    <row r="10" spans="1:14">
      <c r="A10" s="26">
        <v>7</v>
      </c>
      <c r="B10" s="27">
        <v>46149</v>
      </c>
      <c r="C10" s="17"/>
      <c r="D10" s="17"/>
      <c r="E10" s="86">
        <v>300</v>
      </c>
      <c r="F10" s="86">
        <v>92.06</v>
      </c>
      <c r="G10" s="17">
        <f t="shared" si="4"/>
        <v>27618</v>
      </c>
      <c r="H10" s="86">
        <v>10</v>
      </c>
      <c r="I10" s="86">
        <v>103.81</v>
      </c>
      <c r="J10" s="17">
        <f t="shared" si="5"/>
        <v>1038.0999999999999</v>
      </c>
      <c r="K10" s="17">
        <f t="shared" si="6"/>
        <v>28656.1</v>
      </c>
      <c r="L10" s="17"/>
      <c r="M10" s="40">
        <f t="shared" si="3"/>
        <v>28673.915199999974</v>
      </c>
      <c r="N10" s="44"/>
    </row>
    <row r="11" spans="1:14">
      <c r="A11" s="26">
        <v>8</v>
      </c>
      <c r="B11" s="27">
        <v>46150</v>
      </c>
      <c r="C11" s="17"/>
      <c r="D11" s="17"/>
      <c r="E11" s="86"/>
      <c r="F11" s="86"/>
      <c r="G11" s="17">
        <f t="shared" si="4"/>
        <v>0</v>
      </c>
      <c r="H11" s="86"/>
      <c r="I11" s="86"/>
      <c r="J11" s="17">
        <f t="shared" si="5"/>
        <v>0</v>
      </c>
      <c r="K11" s="17">
        <f t="shared" si="6"/>
        <v>0</v>
      </c>
      <c r="L11" s="17"/>
      <c r="M11" s="40">
        <f t="shared" si="3"/>
        <v>28673.915199999974</v>
      </c>
      <c r="N11" s="44"/>
    </row>
    <row r="12" spans="1:14">
      <c r="A12" s="26">
        <v>9</v>
      </c>
      <c r="B12" s="27">
        <v>46151</v>
      </c>
      <c r="C12" s="17"/>
      <c r="D12" s="17"/>
      <c r="E12" s="86"/>
      <c r="F12" s="86"/>
      <c r="G12" s="17">
        <f t="shared" si="4"/>
        <v>0</v>
      </c>
      <c r="H12" s="86"/>
      <c r="I12" s="86"/>
      <c r="J12" s="17">
        <f t="shared" si="5"/>
        <v>0</v>
      </c>
      <c r="K12" s="17">
        <f t="shared" si="6"/>
        <v>0</v>
      </c>
      <c r="L12" s="17"/>
      <c r="M12" s="40">
        <f t="shared" si="3"/>
        <v>28673.915199999974</v>
      </c>
      <c r="N12" s="44"/>
    </row>
    <row r="13" spans="1:14">
      <c r="A13" s="26">
        <v>10</v>
      </c>
      <c r="B13" s="27">
        <v>46152</v>
      </c>
      <c r="C13" s="17"/>
      <c r="D13" s="17"/>
      <c r="E13" s="86"/>
      <c r="F13" s="86"/>
      <c r="G13" s="17">
        <f t="shared" si="4"/>
        <v>0</v>
      </c>
      <c r="H13" s="86"/>
      <c r="I13" s="86"/>
      <c r="J13" s="17">
        <f t="shared" si="5"/>
        <v>0</v>
      </c>
      <c r="K13" s="17">
        <f t="shared" si="6"/>
        <v>0</v>
      </c>
      <c r="L13" s="17"/>
      <c r="M13" s="40">
        <f t="shared" si="3"/>
        <v>28673.915199999974</v>
      </c>
      <c r="N13" s="44"/>
    </row>
    <row r="14" spans="1:14">
      <c r="A14" s="26">
        <v>11</v>
      </c>
      <c r="B14" s="27">
        <v>46153</v>
      </c>
      <c r="C14" s="17"/>
      <c r="D14" s="17"/>
      <c r="E14" s="86"/>
      <c r="F14" s="86"/>
      <c r="G14" s="17">
        <f t="shared" si="4"/>
        <v>0</v>
      </c>
      <c r="H14" s="86"/>
      <c r="I14" s="86"/>
      <c r="J14" s="17">
        <f t="shared" si="5"/>
        <v>0</v>
      </c>
      <c r="K14" s="17">
        <f t="shared" si="6"/>
        <v>0</v>
      </c>
      <c r="L14" s="17"/>
      <c r="M14" s="40">
        <f t="shared" si="3"/>
        <v>28673.915199999974</v>
      </c>
      <c r="N14" s="44"/>
    </row>
    <row r="15" spans="1:14">
      <c r="A15" s="26">
        <v>12</v>
      </c>
      <c r="B15" s="27">
        <v>46154</v>
      </c>
      <c r="C15" s="17"/>
      <c r="D15" s="17"/>
      <c r="E15" s="86"/>
      <c r="F15" s="86"/>
      <c r="G15" s="17">
        <f t="shared" si="4"/>
        <v>0</v>
      </c>
      <c r="H15" s="86"/>
      <c r="I15" s="86"/>
      <c r="J15" s="17">
        <f t="shared" si="5"/>
        <v>0</v>
      </c>
      <c r="K15" s="17">
        <f t="shared" si="6"/>
        <v>0</v>
      </c>
      <c r="L15" s="17"/>
      <c r="M15" s="40">
        <f t="shared" si="3"/>
        <v>28673.915199999974</v>
      </c>
      <c r="N15" s="44"/>
    </row>
    <row r="16" spans="1:14">
      <c r="A16" s="26">
        <v>13</v>
      </c>
      <c r="B16" s="27">
        <v>46155</v>
      </c>
      <c r="C16" s="17"/>
      <c r="D16" s="17"/>
      <c r="E16" s="86">
        <v>300</v>
      </c>
      <c r="F16" s="86">
        <v>92.06</v>
      </c>
      <c r="G16" s="17">
        <f t="shared" si="4"/>
        <v>27618</v>
      </c>
      <c r="H16" s="86"/>
      <c r="I16" s="86"/>
      <c r="J16" s="17">
        <f t="shared" si="5"/>
        <v>0</v>
      </c>
      <c r="K16" s="17">
        <f t="shared" si="6"/>
        <v>27618</v>
      </c>
      <c r="L16" s="17"/>
      <c r="M16" s="40">
        <f t="shared" si="3"/>
        <v>56291.915199999974</v>
      </c>
      <c r="N16" s="44"/>
    </row>
    <row r="17" spans="1:14">
      <c r="A17" s="26">
        <v>14</v>
      </c>
      <c r="B17" s="27">
        <v>46156</v>
      </c>
      <c r="C17" s="17"/>
      <c r="D17" s="17"/>
      <c r="E17" s="86"/>
      <c r="F17" s="86"/>
      <c r="G17" s="17">
        <f t="shared" si="4"/>
        <v>0</v>
      </c>
      <c r="H17" s="86"/>
      <c r="I17" s="86"/>
      <c r="J17" s="17">
        <f t="shared" si="5"/>
        <v>0</v>
      </c>
      <c r="K17" s="17">
        <f t="shared" si="6"/>
        <v>0</v>
      </c>
      <c r="L17" s="17"/>
      <c r="M17" s="40">
        <f t="shared" si="3"/>
        <v>56291.915199999974</v>
      </c>
      <c r="N17" s="44"/>
    </row>
    <row r="18" spans="1:14">
      <c r="A18" s="26">
        <v>15</v>
      </c>
      <c r="B18" s="27">
        <v>46157</v>
      </c>
      <c r="C18" s="17"/>
      <c r="D18" s="17"/>
      <c r="E18" s="86"/>
      <c r="F18" s="86"/>
      <c r="G18" s="17">
        <f t="shared" si="4"/>
        <v>0</v>
      </c>
      <c r="H18" s="86"/>
      <c r="I18" s="86"/>
      <c r="J18" s="17">
        <f t="shared" si="5"/>
        <v>0</v>
      </c>
      <c r="K18" s="17">
        <f t="shared" si="6"/>
        <v>0</v>
      </c>
      <c r="L18" s="17"/>
      <c r="M18" s="40">
        <f t="shared" si="3"/>
        <v>56291.915199999974</v>
      </c>
      <c r="N18" s="44"/>
    </row>
    <row r="19" spans="1:14">
      <c r="A19" s="26">
        <v>16</v>
      </c>
      <c r="B19" s="27">
        <v>46158</v>
      </c>
      <c r="C19" s="17"/>
      <c r="D19" s="17"/>
      <c r="E19" s="86"/>
      <c r="F19" s="86"/>
      <c r="G19" s="17">
        <f t="shared" si="4"/>
        <v>0</v>
      </c>
      <c r="H19" s="86"/>
      <c r="I19" s="86"/>
      <c r="J19" s="17">
        <f t="shared" si="5"/>
        <v>0</v>
      </c>
      <c r="K19" s="17">
        <f t="shared" si="6"/>
        <v>0</v>
      </c>
      <c r="L19" s="17"/>
      <c r="M19" s="40">
        <f t="shared" si="3"/>
        <v>56291.915199999974</v>
      </c>
      <c r="N19" s="44"/>
    </row>
    <row r="20" spans="1:14">
      <c r="A20" s="26">
        <v>17</v>
      </c>
      <c r="B20" s="27">
        <v>46159</v>
      </c>
      <c r="C20" s="17"/>
      <c r="D20" s="17"/>
      <c r="E20" s="86"/>
      <c r="F20" s="86"/>
      <c r="G20" s="17">
        <f t="shared" si="4"/>
        <v>0</v>
      </c>
      <c r="H20" s="86"/>
      <c r="I20" s="86"/>
      <c r="J20" s="17">
        <f t="shared" si="5"/>
        <v>0</v>
      </c>
      <c r="K20" s="17">
        <f t="shared" si="6"/>
        <v>0</v>
      </c>
      <c r="L20" s="17"/>
      <c r="M20" s="40">
        <f t="shared" si="3"/>
        <v>56291.915199999974</v>
      </c>
      <c r="N20" s="44"/>
    </row>
    <row r="21" spans="1:14">
      <c r="A21" s="26">
        <v>18</v>
      </c>
      <c r="B21" s="27">
        <v>46160</v>
      </c>
      <c r="C21" s="17"/>
      <c r="D21" s="17"/>
      <c r="E21" s="86"/>
      <c r="F21" s="86"/>
      <c r="G21" s="17">
        <f t="shared" si="4"/>
        <v>0</v>
      </c>
      <c r="H21" s="86"/>
      <c r="I21" s="86"/>
      <c r="J21" s="17">
        <f t="shared" si="5"/>
        <v>0</v>
      </c>
      <c r="K21" s="17">
        <f t="shared" si="6"/>
        <v>0</v>
      </c>
      <c r="L21" s="17"/>
      <c r="M21" s="40">
        <f t="shared" si="3"/>
        <v>56291.915199999974</v>
      </c>
      <c r="N21" s="44"/>
    </row>
    <row r="22" spans="1:14">
      <c r="A22" s="26">
        <v>19</v>
      </c>
      <c r="B22" s="27">
        <v>46161</v>
      </c>
      <c r="C22" s="17"/>
      <c r="D22" s="17"/>
      <c r="E22" s="86"/>
      <c r="F22" s="86"/>
      <c r="G22" s="17">
        <f t="shared" si="4"/>
        <v>0</v>
      </c>
      <c r="H22" s="86"/>
      <c r="I22" s="86"/>
      <c r="J22" s="17">
        <f t="shared" si="5"/>
        <v>0</v>
      </c>
      <c r="K22" s="17">
        <f t="shared" si="6"/>
        <v>0</v>
      </c>
      <c r="L22" s="17"/>
      <c r="M22" s="40">
        <f t="shared" si="3"/>
        <v>56291.915199999974</v>
      </c>
      <c r="N22" s="44"/>
    </row>
    <row r="23" spans="1:14">
      <c r="A23" s="26">
        <v>20</v>
      </c>
      <c r="B23" s="27">
        <v>46162</v>
      </c>
      <c r="C23" s="17"/>
      <c r="D23" s="17"/>
      <c r="E23" s="86"/>
      <c r="F23" s="86"/>
      <c r="G23" s="17">
        <f t="shared" si="4"/>
        <v>0</v>
      </c>
      <c r="H23" s="86"/>
      <c r="I23" s="86"/>
      <c r="J23" s="17">
        <f t="shared" si="5"/>
        <v>0</v>
      </c>
      <c r="K23" s="17">
        <f t="shared" si="6"/>
        <v>0</v>
      </c>
      <c r="L23" s="17">
        <v>20952.939999999999</v>
      </c>
      <c r="M23" s="40">
        <f t="shared" si="3"/>
        <v>35338.975199999972</v>
      </c>
      <c r="N23" s="44"/>
    </row>
    <row r="24" spans="1:14">
      <c r="A24" s="26">
        <v>21</v>
      </c>
      <c r="B24" s="27">
        <v>46163</v>
      </c>
      <c r="C24" s="17"/>
      <c r="D24" s="17"/>
      <c r="E24" s="86"/>
      <c r="F24" s="86"/>
      <c r="G24" s="17">
        <f t="shared" si="4"/>
        <v>0</v>
      </c>
      <c r="H24" s="86"/>
      <c r="I24" s="86"/>
      <c r="J24" s="17">
        <f t="shared" si="5"/>
        <v>0</v>
      </c>
      <c r="K24" s="17">
        <f t="shared" si="6"/>
        <v>0</v>
      </c>
      <c r="L24" s="17"/>
      <c r="M24" s="40">
        <f t="shared" si="3"/>
        <v>35338.975199999972</v>
      </c>
      <c r="N24" s="44"/>
    </row>
    <row r="25" spans="1:14">
      <c r="A25" s="26">
        <v>22</v>
      </c>
      <c r="B25" s="27">
        <v>46164</v>
      </c>
      <c r="C25" s="17"/>
      <c r="D25" s="17"/>
      <c r="E25" s="86">
        <v>300</v>
      </c>
      <c r="F25" s="86">
        <v>96.11</v>
      </c>
      <c r="G25" s="17">
        <f t="shared" si="4"/>
        <v>28833</v>
      </c>
      <c r="H25" s="86">
        <v>20</v>
      </c>
      <c r="I25" s="86">
        <v>108.1</v>
      </c>
      <c r="J25" s="17">
        <f t="shared" si="5"/>
        <v>2162</v>
      </c>
      <c r="K25" s="17">
        <f t="shared" si="6"/>
        <v>30995</v>
      </c>
      <c r="L25" s="17">
        <v>35151</v>
      </c>
      <c r="M25" s="40">
        <f>M24+K25-L25</f>
        <v>31182.975199999972</v>
      </c>
      <c r="N25" s="44"/>
    </row>
    <row r="26" spans="1:14">
      <c r="A26" s="26">
        <v>23</v>
      </c>
      <c r="B26" s="27">
        <v>46165</v>
      </c>
      <c r="C26" s="17"/>
      <c r="D26" s="17"/>
      <c r="E26" s="86"/>
      <c r="F26" s="86"/>
      <c r="G26" s="17">
        <f t="shared" si="4"/>
        <v>0</v>
      </c>
      <c r="H26" s="86"/>
      <c r="I26" s="86"/>
      <c r="J26" s="17">
        <f t="shared" si="5"/>
        <v>0</v>
      </c>
      <c r="K26" s="17">
        <f t="shared" si="6"/>
        <v>0</v>
      </c>
      <c r="L26" s="17"/>
      <c r="M26" s="40">
        <f t="shared" si="3"/>
        <v>31182.975199999972</v>
      </c>
      <c r="N26" s="44"/>
    </row>
    <row r="27" spans="1:14">
      <c r="A27" s="26">
        <v>24</v>
      </c>
      <c r="B27" s="27">
        <v>46166</v>
      </c>
      <c r="C27" s="17"/>
      <c r="D27" s="17"/>
      <c r="E27" s="86"/>
      <c r="F27" s="86"/>
      <c r="G27" s="17">
        <f t="shared" si="4"/>
        <v>0</v>
      </c>
      <c r="H27" s="86"/>
      <c r="I27" s="86"/>
      <c r="J27" s="17">
        <f t="shared" si="5"/>
        <v>0</v>
      </c>
      <c r="K27" s="17">
        <f t="shared" si="6"/>
        <v>0</v>
      </c>
      <c r="L27" s="17"/>
      <c r="M27" s="40">
        <f t="shared" si="3"/>
        <v>31182.975199999972</v>
      </c>
      <c r="N27" s="44"/>
    </row>
    <row r="28" spans="1:14">
      <c r="A28" s="26">
        <v>25</v>
      </c>
      <c r="B28" s="27">
        <v>46167</v>
      </c>
      <c r="C28" s="17"/>
      <c r="D28" s="17"/>
      <c r="E28" s="86"/>
      <c r="F28" s="86"/>
      <c r="G28" s="17">
        <f t="shared" si="4"/>
        <v>0</v>
      </c>
      <c r="H28" s="86"/>
      <c r="I28" s="86"/>
      <c r="J28" s="17">
        <f t="shared" si="5"/>
        <v>0</v>
      </c>
      <c r="K28" s="17">
        <f t="shared" si="6"/>
        <v>0</v>
      </c>
      <c r="L28" s="17"/>
      <c r="M28" s="40">
        <f t="shared" si="3"/>
        <v>31182.975199999972</v>
      </c>
      <c r="N28" s="44"/>
    </row>
    <row r="29" spans="1:14">
      <c r="A29" s="26">
        <v>26</v>
      </c>
      <c r="B29" s="27">
        <v>46168</v>
      </c>
      <c r="C29" s="17"/>
      <c r="D29" s="17"/>
      <c r="E29" s="86"/>
      <c r="F29" s="86"/>
      <c r="G29" s="17">
        <f t="shared" si="4"/>
        <v>0</v>
      </c>
      <c r="H29" s="86"/>
      <c r="I29" s="86"/>
      <c r="J29" s="17">
        <f t="shared" si="5"/>
        <v>0</v>
      </c>
      <c r="K29" s="17">
        <f t="shared" si="6"/>
        <v>0</v>
      </c>
      <c r="L29" s="17"/>
      <c r="M29" s="40">
        <f t="shared" si="3"/>
        <v>31182.975199999972</v>
      </c>
      <c r="N29" s="44"/>
    </row>
    <row r="30" spans="1:14">
      <c r="A30" s="26">
        <v>27</v>
      </c>
      <c r="B30" s="27">
        <v>46169</v>
      </c>
      <c r="C30" s="17"/>
      <c r="D30" s="17"/>
      <c r="E30" s="86">
        <v>300</v>
      </c>
      <c r="F30" s="86">
        <v>99.87</v>
      </c>
      <c r="G30" s="17">
        <f t="shared" si="4"/>
        <v>29961</v>
      </c>
      <c r="H30" s="86">
        <v>15</v>
      </c>
      <c r="I30" s="86">
        <v>111.78</v>
      </c>
      <c r="J30" s="17">
        <f t="shared" si="5"/>
        <v>1676.7</v>
      </c>
      <c r="K30" s="17">
        <f t="shared" si="6"/>
        <v>31637.7</v>
      </c>
      <c r="L30" s="17"/>
      <c r="M30" s="40">
        <f t="shared" si="3"/>
        <v>62820.675199999969</v>
      </c>
      <c r="N30" s="44"/>
    </row>
    <row r="31" spans="1:14">
      <c r="A31" s="26">
        <v>28</v>
      </c>
      <c r="B31" s="27">
        <v>46170</v>
      </c>
      <c r="C31" s="17"/>
      <c r="D31" s="17"/>
      <c r="E31" s="86"/>
      <c r="F31" s="86"/>
      <c r="G31" s="17">
        <f t="shared" si="4"/>
        <v>0</v>
      </c>
      <c r="H31" s="86"/>
      <c r="I31" s="86"/>
      <c r="J31" s="17">
        <f t="shared" si="5"/>
        <v>0</v>
      </c>
      <c r="K31" s="17">
        <f t="shared" si="6"/>
        <v>0</v>
      </c>
      <c r="L31" s="17"/>
      <c r="M31" s="40">
        <f t="shared" si="3"/>
        <v>62820.675199999969</v>
      </c>
      <c r="N31" s="44"/>
    </row>
    <row r="32" spans="1:14">
      <c r="A32" s="26">
        <v>29</v>
      </c>
      <c r="B32" s="27">
        <v>46171</v>
      </c>
      <c r="C32" s="17"/>
      <c r="D32" s="17"/>
      <c r="E32" s="86"/>
      <c r="F32" s="86"/>
      <c r="G32" s="17">
        <f t="shared" si="4"/>
        <v>0</v>
      </c>
      <c r="H32" s="86"/>
      <c r="I32" s="86"/>
      <c r="J32" s="17">
        <f t="shared" si="5"/>
        <v>0</v>
      </c>
      <c r="K32" s="17">
        <f t="shared" si="6"/>
        <v>0</v>
      </c>
      <c r="L32" s="17"/>
      <c r="M32" s="40">
        <f t="shared" si="3"/>
        <v>62820.675199999969</v>
      </c>
      <c r="N32" s="44"/>
    </row>
    <row r="33" spans="1:14">
      <c r="A33" s="26">
        <v>30</v>
      </c>
      <c r="B33" s="27">
        <v>46172</v>
      </c>
      <c r="C33" s="17"/>
      <c r="D33" s="17"/>
      <c r="E33" s="86"/>
      <c r="F33" s="86"/>
      <c r="G33" s="17">
        <f t="shared" si="4"/>
        <v>0</v>
      </c>
      <c r="H33" s="86"/>
      <c r="I33" s="86"/>
      <c r="J33" s="17">
        <f t="shared" si="5"/>
        <v>0</v>
      </c>
      <c r="K33" s="17">
        <f t="shared" si="6"/>
        <v>0</v>
      </c>
      <c r="L33" s="17"/>
      <c r="M33" s="40">
        <f t="shared" si="3"/>
        <v>62820.675199999969</v>
      </c>
      <c r="N33" s="44"/>
    </row>
    <row r="34" spans="1:14">
      <c r="A34" s="26">
        <v>31</v>
      </c>
      <c r="B34" s="27">
        <v>46173</v>
      </c>
      <c r="C34" s="17"/>
      <c r="D34" s="17"/>
      <c r="E34" s="86"/>
      <c r="F34" s="86"/>
      <c r="G34" s="17">
        <f t="shared" ref="G34" si="7">E34*F34</f>
        <v>0</v>
      </c>
      <c r="H34" s="86"/>
      <c r="I34" s="86"/>
      <c r="J34" s="17"/>
      <c r="K34" s="17">
        <f>G34+J34</f>
        <v>0</v>
      </c>
      <c r="L34" s="17">
        <v>0</v>
      </c>
      <c r="M34" s="40">
        <f t="shared" si="3"/>
        <v>62820.675199999969</v>
      </c>
      <c r="N34" s="44"/>
    </row>
    <row r="35" spans="1:14">
      <c r="A35" s="42"/>
      <c r="B35" s="42"/>
      <c r="C35" s="42"/>
      <c r="D35" s="42"/>
      <c r="E35" s="42">
        <f>SUM(E4:E34)</f>
        <v>1200</v>
      </c>
      <c r="F35" s="42"/>
      <c r="G35" s="42">
        <f>SUM(G4:G34)</f>
        <v>114030</v>
      </c>
      <c r="H35" s="42">
        <f>SUM(H4:H34)</f>
        <v>45</v>
      </c>
      <c r="I35" s="42"/>
      <c r="J35" s="42">
        <f>SUM(J4:J34)</f>
        <v>4876.8</v>
      </c>
      <c r="K35" s="42">
        <f>SUM(K4:K34)</f>
        <v>118906.8</v>
      </c>
      <c r="L35" s="42">
        <f>SUM(L4:L34)</f>
        <v>112377.94</v>
      </c>
      <c r="M35" s="42"/>
      <c r="N35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EDE9-F31F-4F91-B0A6-7048B469F70C}">
  <dimension ref="A1:S38"/>
  <sheetViews>
    <sheetView topLeftCell="A24" workbookViewId="0">
      <selection activeCell="E35" sqref="E35"/>
    </sheetView>
  </sheetViews>
  <sheetFormatPr defaultRowHeight="15"/>
  <cols>
    <col min="2" max="2" width="18.42578125" customWidth="1"/>
    <col min="5" max="5" width="9.28515625" bestFit="1" customWidth="1"/>
    <col min="7" max="7" width="9.28515625" bestFit="1" customWidth="1"/>
    <col min="12" max="12" width="16.85546875" customWidth="1"/>
    <col min="14" max="14" width="24.7109375" bestFit="1" customWidth="1"/>
    <col min="19" max="19" width="9.28515625" bestFit="1" customWidth="1"/>
  </cols>
  <sheetData>
    <row r="1" spans="1:19" ht="15.75">
      <c r="A1" s="560" t="s">
        <v>279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9" ht="25.5">
      <c r="A2" s="102" t="s">
        <v>0</v>
      </c>
      <c r="B2" s="105" t="s">
        <v>166</v>
      </c>
      <c r="C2" s="105" t="s">
        <v>167</v>
      </c>
      <c r="D2" s="105" t="s">
        <v>168</v>
      </c>
      <c r="E2" s="105" t="s">
        <v>169</v>
      </c>
      <c r="F2" s="105" t="s">
        <v>170</v>
      </c>
      <c r="G2" s="105" t="s">
        <v>171</v>
      </c>
      <c r="H2" s="105" t="s">
        <v>172</v>
      </c>
      <c r="I2" s="105" t="s">
        <v>170</v>
      </c>
      <c r="J2" s="105" t="s">
        <v>171</v>
      </c>
      <c r="K2" s="105" t="s">
        <v>173</v>
      </c>
      <c r="L2" s="105" t="s">
        <v>174</v>
      </c>
      <c r="M2" s="105" t="s">
        <v>199</v>
      </c>
      <c r="N2" s="105" t="s">
        <v>176</v>
      </c>
    </row>
    <row r="3" spans="1:19">
      <c r="A3" s="563" t="s">
        <v>177</v>
      </c>
      <c r="B3" s="563"/>
      <c r="C3" s="563"/>
      <c r="D3" s="563"/>
      <c r="E3" s="563"/>
      <c r="F3" s="563"/>
      <c r="G3" s="563"/>
      <c r="H3" s="563"/>
      <c r="I3" s="563"/>
      <c r="J3" s="563"/>
      <c r="K3" s="95">
        <v>249803.3744</v>
      </c>
      <c r="L3" s="95">
        <v>249803.3744</v>
      </c>
      <c r="M3" s="95">
        <v>249803.3744</v>
      </c>
      <c r="N3" s="17"/>
    </row>
    <row r="4" spans="1:19">
      <c r="A4" s="26">
        <v>1</v>
      </c>
      <c r="B4" s="27">
        <v>46143</v>
      </c>
      <c r="C4" s="17"/>
      <c r="D4" s="17"/>
      <c r="E4" s="376"/>
      <c r="F4" s="376"/>
      <c r="G4" s="17">
        <f>E4*F4</f>
        <v>0</v>
      </c>
      <c r="H4" s="86"/>
      <c r="I4" s="86"/>
      <c r="J4" s="17">
        <f>H4*I4</f>
        <v>0</v>
      </c>
      <c r="K4" s="17">
        <f>G4+J4</f>
        <v>0</v>
      </c>
      <c r="L4" s="17"/>
      <c r="M4" s="17">
        <f>M3+K4-L4</f>
        <v>249803.3744</v>
      </c>
      <c r="N4" s="44"/>
    </row>
    <row r="5" spans="1:19">
      <c r="A5" s="26">
        <v>2</v>
      </c>
      <c r="B5" s="27">
        <v>46144</v>
      </c>
      <c r="C5" s="17"/>
      <c r="D5" s="17"/>
      <c r="E5" s="86"/>
      <c r="F5" s="86"/>
      <c r="G5" s="17">
        <f t="shared" ref="G5:G35" si="0">E5*F5</f>
        <v>0</v>
      </c>
      <c r="H5" s="86"/>
      <c r="I5" s="86"/>
      <c r="J5" s="17">
        <f t="shared" ref="J5:J35" si="1">H5*I5</f>
        <v>0</v>
      </c>
      <c r="K5" s="17">
        <f t="shared" ref="K5:L35" si="2">G5+J5</f>
        <v>0</v>
      </c>
      <c r="L5" s="17"/>
      <c r="M5" s="17">
        <f t="shared" ref="M5:M35" si="3">M4+K5-L5</f>
        <v>249803.3744</v>
      </c>
      <c r="N5" s="44"/>
    </row>
    <row r="6" spans="1:19">
      <c r="A6" s="26">
        <v>3</v>
      </c>
      <c r="B6" s="27">
        <v>46145</v>
      </c>
      <c r="C6" s="17"/>
      <c r="D6" s="17"/>
      <c r="E6" s="86"/>
      <c r="F6" s="86"/>
      <c r="G6" s="17">
        <f t="shared" si="0"/>
        <v>0</v>
      </c>
      <c r="H6" s="86"/>
      <c r="I6" s="86"/>
      <c r="J6" s="17">
        <f t="shared" si="1"/>
        <v>0</v>
      </c>
      <c r="K6" s="17">
        <f t="shared" si="2"/>
        <v>0</v>
      </c>
      <c r="L6" s="17"/>
      <c r="M6" s="17">
        <f t="shared" si="3"/>
        <v>249803.3744</v>
      </c>
      <c r="N6" s="44"/>
      <c r="R6">
        <f>L7+L8</f>
        <v>250340.56</v>
      </c>
    </row>
    <row r="7" spans="1:19">
      <c r="A7" s="26">
        <v>4</v>
      </c>
      <c r="B7" s="27">
        <v>46146</v>
      </c>
      <c r="C7" s="17"/>
      <c r="D7" s="17"/>
      <c r="E7" s="86"/>
      <c r="F7" s="86"/>
      <c r="G7" s="17">
        <f t="shared" si="0"/>
        <v>0</v>
      </c>
      <c r="H7" s="86"/>
      <c r="I7" s="86"/>
      <c r="J7" s="17">
        <f t="shared" si="1"/>
        <v>0</v>
      </c>
      <c r="K7" s="17">
        <f t="shared" si="2"/>
        <v>0</v>
      </c>
      <c r="L7" s="17">
        <v>115094.86</v>
      </c>
      <c r="M7" s="17">
        <f t="shared" si="3"/>
        <v>134708.51439999999</v>
      </c>
      <c r="N7" s="44"/>
    </row>
    <row r="8" spans="1:19">
      <c r="A8" s="26">
        <v>5</v>
      </c>
      <c r="B8" s="27">
        <v>46147</v>
      </c>
      <c r="C8" s="17"/>
      <c r="D8" s="17"/>
      <c r="E8" s="86"/>
      <c r="F8" s="86"/>
      <c r="G8" s="17">
        <f t="shared" si="0"/>
        <v>0</v>
      </c>
      <c r="H8" s="86"/>
      <c r="I8" s="86"/>
      <c r="J8" s="17">
        <f t="shared" si="1"/>
        <v>0</v>
      </c>
      <c r="K8" s="17">
        <f t="shared" si="2"/>
        <v>0</v>
      </c>
      <c r="L8" s="17">
        <v>135245.70000000001</v>
      </c>
      <c r="M8" s="17">
        <f t="shared" si="3"/>
        <v>-537.18560000002617</v>
      </c>
      <c r="N8" s="44"/>
    </row>
    <row r="9" spans="1:19">
      <c r="A9" s="26">
        <v>6</v>
      </c>
      <c r="B9" s="27">
        <v>46148</v>
      </c>
      <c r="C9" s="17"/>
      <c r="D9" s="17"/>
      <c r="E9" s="86">
        <v>600.04</v>
      </c>
      <c r="F9" s="86">
        <v>92.07</v>
      </c>
      <c r="G9" s="17">
        <f t="shared" si="0"/>
        <v>55245.682799999995</v>
      </c>
      <c r="H9" s="86">
        <v>35</v>
      </c>
      <c r="I9" s="86">
        <v>103.82</v>
      </c>
      <c r="J9" s="17">
        <f t="shared" si="1"/>
        <v>3633.7</v>
      </c>
      <c r="K9" s="17">
        <f t="shared" si="2"/>
        <v>58879.382799999992</v>
      </c>
      <c r="L9" s="17"/>
      <c r="M9" s="17">
        <f t="shared" si="3"/>
        <v>58342.197199999966</v>
      </c>
      <c r="N9" s="44"/>
      <c r="Q9">
        <v>54242</v>
      </c>
    </row>
    <row r="10" spans="1:19">
      <c r="A10" s="26">
        <v>7</v>
      </c>
      <c r="B10" s="27">
        <v>46149</v>
      </c>
      <c r="C10" s="17"/>
      <c r="D10" s="17"/>
      <c r="E10" s="86"/>
      <c r="F10" s="86"/>
      <c r="G10" s="17">
        <f t="shared" si="0"/>
        <v>0</v>
      </c>
      <c r="H10" s="86"/>
      <c r="I10" s="86"/>
      <c r="J10" s="17">
        <f t="shared" si="1"/>
        <v>0</v>
      </c>
      <c r="K10" s="17">
        <f t="shared" si="2"/>
        <v>0</v>
      </c>
      <c r="L10" s="17"/>
      <c r="M10" s="17">
        <f>M9+K10-L10</f>
        <v>58342.197199999966</v>
      </c>
      <c r="N10" s="44"/>
      <c r="S10">
        <v>80000</v>
      </c>
    </row>
    <row r="11" spans="1:19">
      <c r="A11" s="26">
        <v>8</v>
      </c>
      <c r="B11" s="27">
        <v>46150</v>
      </c>
      <c r="C11" s="17"/>
      <c r="D11" s="17"/>
      <c r="E11" s="86"/>
      <c r="F11" s="86"/>
      <c r="G11" s="17">
        <f t="shared" si="0"/>
        <v>0</v>
      </c>
      <c r="H11" s="86"/>
      <c r="I11" s="86"/>
      <c r="J11" s="17">
        <f t="shared" si="1"/>
        <v>0</v>
      </c>
      <c r="K11" s="17">
        <f t="shared" si="2"/>
        <v>0</v>
      </c>
      <c r="L11" s="17"/>
      <c r="M11" s="17">
        <f t="shared" si="3"/>
        <v>58342.197199999966</v>
      </c>
      <c r="N11" s="44"/>
      <c r="S11">
        <v>18414</v>
      </c>
    </row>
    <row r="12" spans="1:19">
      <c r="A12" s="26">
        <v>9</v>
      </c>
      <c r="B12" s="27">
        <v>46151</v>
      </c>
      <c r="C12" s="17"/>
      <c r="D12" s="17"/>
      <c r="E12" s="86"/>
      <c r="F12" s="86"/>
      <c r="G12" s="17">
        <f t="shared" si="0"/>
        <v>0</v>
      </c>
      <c r="H12" s="86"/>
      <c r="I12" s="86"/>
      <c r="J12" s="17">
        <f t="shared" si="1"/>
        <v>0</v>
      </c>
      <c r="K12" s="17">
        <f t="shared" si="2"/>
        <v>0</v>
      </c>
      <c r="L12" s="17"/>
      <c r="M12" s="17">
        <f t="shared" si="3"/>
        <v>58342.197199999966</v>
      </c>
      <c r="N12" s="44"/>
      <c r="S12">
        <v>18414</v>
      </c>
    </row>
    <row r="13" spans="1:19">
      <c r="A13" s="26">
        <v>10</v>
      </c>
      <c r="B13" s="27">
        <v>46152</v>
      </c>
      <c r="C13" s="17"/>
      <c r="D13" s="17"/>
      <c r="E13" s="86"/>
      <c r="F13" s="86"/>
      <c r="G13" s="17">
        <f t="shared" si="0"/>
        <v>0</v>
      </c>
      <c r="H13" s="86"/>
      <c r="I13" s="86"/>
      <c r="J13" s="17">
        <f t="shared" si="1"/>
        <v>0</v>
      </c>
      <c r="K13" s="17">
        <f t="shared" si="2"/>
        <v>0</v>
      </c>
      <c r="L13" s="17"/>
      <c r="M13" s="17">
        <f t="shared" si="3"/>
        <v>58342.197199999966</v>
      </c>
      <c r="N13" s="44"/>
      <c r="S13">
        <v>18417.68</v>
      </c>
    </row>
    <row r="14" spans="1:19">
      <c r="A14" s="26">
        <v>11</v>
      </c>
      <c r="B14" s="27">
        <v>46153</v>
      </c>
      <c r="C14" s="17"/>
      <c r="D14" s="17"/>
      <c r="E14" s="86">
        <v>599.95000000000005</v>
      </c>
      <c r="F14" s="86">
        <v>92.07</v>
      </c>
      <c r="G14" s="17">
        <f t="shared" ref="G14" si="4">E14*F14</f>
        <v>55237.396500000003</v>
      </c>
      <c r="H14" s="86">
        <v>35</v>
      </c>
      <c r="I14" s="86">
        <v>103.82</v>
      </c>
      <c r="J14" s="17">
        <f t="shared" si="1"/>
        <v>3633.7</v>
      </c>
      <c r="K14" s="17">
        <f t="shared" si="2"/>
        <v>58871.0965</v>
      </c>
      <c r="L14" s="17"/>
      <c r="M14" s="17">
        <f t="shared" si="3"/>
        <v>117213.29369999997</v>
      </c>
      <c r="N14" s="44"/>
      <c r="S14">
        <f>SUM(S10:S13)</f>
        <v>135245.68</v>
      </c>
    </row>
    <row r="15" spans="1:19">
      <c r="A15" s="26">
        <v>12</v>
      </c>
      <c r="B15" s="27">
        <v>46154</v>
      </c>
      <c r="C15" s="17"/>
      <c r="D15" s="17"/>
      <c r="E15" s="86"/>
      <c r="F15" s="86"/>
      <c r="G15" s="17">
        <f t="shared" si="0"/>
        <v>0</v>
      </c>
      <c r="H15" s="86"/>
      <c r="I15" s="86"/>
      <c r="J15" s="17">
        <f t="shared" si="1"/>
        <v>0</v>
      </c>
      <c r="K15" s="17">
        <f t="shared" si="2"/>
        <v>0</v>
      </c>
      <c r="L15" s="17"/>
      <c r="M15" s="17">
        <f t="shared" si="3"/>
        <v>117213.29369999997</v>
      </c>
      <c r="N15" s="44"/>
    </row>
    <row r="16" spans="1:19">
      <c r="A16" s="26">
        <v>13</v>
      </c>
      <c r="B16" s="27">
        <v>46155</v>
      </c>
      <c r="C16" s="17"/>
      <c r="D16" s="17"/>
      <c r="E16" s="86"/>
      <c r="F16" s="86"/>
      <c r="G16" s="17">
        <f t="shared" si="0"/>
        <v>0</v>
      </c>
      <c r="H16" s="86"/>
      <c r="I16" s="86"/>
      <c r="J16" s="17">
        <f t="shared" si="1"/>
        <v>0</v>
      </c>
      <c r="K16" s="17">
        <f t="shared" si="2"/>
        <v>0</v>
      </c>
      <c r="L16" s="17"/>
      <c r="M16" s="17">
        <f t="shared" si="3"/>
        <v>117213.29369999997</v>
      </c>
      <c r="N16" s="44"/>
    </row>
    <row r="17" spans="1:14">
      <c r="A17" s="26">
        <v>14</v>
      </c>
      <c r="B17" s="27">
        <v>46156</v>
      </c>
      <c r="C17" s="17"/>
      <c r="D17" s="17"/>
      <c r="E17" s="86"/>
      <c r="F17" s="86"/>
      <c r="G17" s="17">
        <f t="shared" si="0"/>
        <v>0</v>
      </c>
      <c r="H17" s="86"/>
      <c r="I17" s="86"/>
      <c r="J17" s="17">
        <f t="shared" si="1"/>
        <v>0</v>
      </c>
      <c r="K17" s="17">
        <f t="shared" si="2"/>
        <v>0</v>
      </c>
      <c r="L17" s="17"/>
      <c r="M17" s="17">
        <f t="shared" si="3"/>
        <v>117213.29369999997</v>
      </c>
      <c r="N17" s="44"/>
    </row>
    <row r="18" spans="1:14">
      <c r="A18" s="26">
        <v>15</v>
      </c>
      <c r="B18" s="27">
        <v>46157</v>
      </c>
      <c r="C18" s="17"/>
      <c r="D18" s="17"/>
      <c r="E18" s="86"/>
      <c r="F18" s="86"/>
      <c r="G18" s="17">
        <f t="shared" si="0"/>
        <v>0</v>
      </c>
      <c r="H18" s="86"/>
      <c r="I18" s="86"/>
      <c r="J18" s="17">
        <f t="shared" si="1"/>
        <v>0</v>
      </c>
      <c r="K18" s="17">
        <f t="shared" si="2"/>
        <v>0</v>
      </c>
      <c r="L18" s="17"/>
      <c r="M18" s="17">
        <f t="shared" si="3"/>
        <v>117213.29369999997</v>
      </c>
      <c r="N18" s="44"/>
    </row>
    <row r="19" spans="1:14">
      <c r="A19" s="26">
        <v>16</v>
      </c>
      <c r="B19" s="27">
        <v>46158</v>
      </c>
      <c r="C19" s="17"/>
      <c r="D19" s="17"/>
      <c r="E19" s="86"/>
      <c r="F19" s="86"/>
      <c r="G19" s="17">
        <f t="shared" si="0"/>
        <v>0</v>
      </c>
      <c r="H19" s="86"/>
      <c r="I19" s="86"/>
      <c r="J19" s="17">
        <f t="shared" si="1"/>
        <v>0</v>
      </c>
      <c r="K19" s="17">
        <f t="shared" si="2"/>
        <v>0</v>
      </c>
      <c r="L19" s="17"/>
      <c r="M19" s="17">
        <f t="shared" si="3"/>
        <v>117213.29369999997</v>
      </c>
      <c r="N19" s="44"/>
    </row>
    <row r="20" spans="1:14">
      <c r="A20" s="26">
        <v>17</v>
      </c>
      <c r="B20" s="27">
        <v>46159</v>
      </c>
      <c r="C20" s="17"/>
      <c r="D20" s="17"/>
      <c r="E20" s="86"/>
      <c r="F20" s="86"/>
      <c r="G20" s="17">
        <f t="shared" si="0"/>
        <v>0</v>
      </c>
      <c r="H20" s="86"/>
      <c r="I20" s="86"/>
      <c r="J20" s="17">
        <f t="shared" si="1"/>
        <v>0</v>
      </c>
      <c r="K20" s="17">
        <f t="shared" si="2"/>
        <v>0</v>
      </c>
      <c r="L20" s="17"/>
      <c r="M20" s="17">
        <f t="shared" si="3"/>
        <v>117213.29369999997</v>
      </c>
      <c r="N20" s="44"/>
    </row>
    <row r="21" spans="1:14">
      <c r="A21" s="26">
        <v>18</v>
      </c>
      <c r="B21" s="27">
        <v>46160</v>
      </c>
      <c r="C21" s="17"/>
      <c r="D21" s="17"/>
      <c r="E21" s="86">
        <v>600</v>
      </c>
      <c r="F21" s="86">
        <v>95.18</v>
      </c>
      <c r="G21" s="17">
        <f t="shared" si="0"/>
        <v>57108.000000000007</v>
      </c>
      <c r="H21" s="86">
        <v>35</v>
      </c>
      <c r="I21" s="86">
        <v>107.07</v>
      </c>
      <c r="J21" s="17">
        <f t="shared" si="1"/>
        <v>3747.45</v>
      </c>
      <c r="K21" s="17">
        <f t="shared" si="2"/>
        <v>60855.450000000004</v>
      </c>
      <c r="L21" s="17"/>
      <c r="M21" s="17">
        <f t="shared" si="3"/>
        <v>178068.74369999996</v>
      </c>
      <c r="N21" s="44"/>
    </row>
    <row r="22" spans="1:14">
      <c r="A22" s="26">
        <v>19</v>
      </c>
      <c r="B22" s="27">
        <v>46161</v>
      </c>
      <c r="C22" s="17"/>
      <c r="D22" s="17"/>
      <c r="E22" s="86"/>
      <c r="F22" s="86"/>
      <c r="G22" s="17">
        <f t="shared" si="0"/>
        <v>0</v>
      </c>
      <c r="H22" s="86"/>
      <c r="I22" s="86"/>
      <c r="J22" s="17">
        <f t="shared" si="1"/>
        <v>0</v>
      </c>
      <c r="K22" s="17">
        <f t="shared" si="2"/>
        <v>0</v>
      </c>
      <c r="L22" s="17"/>
      <c r="M22" s="17">
        <f t="shared" si="3"/>
        <v>178068.74369999996</v>
      </c>
      <c r="N22" s="44"/>
    </row>
    <row r="23" spans="1:14">
      <c r="A23" s="26">
        <v>20</v>
      </c>
      <c r="B23" s="27">
        <v>46162</v>
      </c>
      <c r="C23" s="17"/>
      <c r="D23" s="17"/>
      <c r="E23" s="86"/>
      <c r="F23" s="86"/>
      <c r="G23" s="17">
        <f t="shared" si="0"/>
        <v>0</v>
      </c>
      <c r="H23" s="86">
        <v>35</v>
      </c>
      <c r="I23" s="86">
        <v>108.02</v>
      </c>
      <c r="J23" s="17">
        <f t="shared" si="1"/>
        <v>3780.7</v>
      </c>
      <c r="K23" s="17">
        <f t="shared" si="2"/>
        <v>3780.7</v>
      </c>
      <c r="L23" s="17"/>
      <c r="M23" s="17">
        <f t="shared" si="3"/>
        <v>181849.44369999997</v>
      </c>
      <c r="N23" s="44"/>
    </row>
    <row r="24" spans="1:14">
      <c r="A24" s="26"/>
      <c r="B24" s="27">
        <v>46163</v>
      </c>
      <c r="C24" s="17"/>
      <c r="D24" s="17"/>
      <c r="E24" s="86"/>
      <c r="F24" s="86"/>
      <c r="G24" s="17"/>
      <c r="H24" s="86"/>
      <c r="I24" s="86"/>
      <c r="J24" s="17"/>
      <c r="K24" s="17"/>
      <c r="L24" s="17">
        <v>178000</v>
      </c>
      <c r="M24" s="17">
        <f t="shared" si="3"/>
        <v>3849.4436999999743</v>
      </c>
      <c r="N24" s="44"/>
    </row>
    <row r="25" spans="1:14">
      <c r="A25" s="26">
        <v>21</v>
      </c>
      <c r="B25" s="27">
        <v>46163</v>
      </c>
      <c r="C25" s="17"/>
      <c r="D25" s="17"/>
      <c r="E25" s="86">
        <v>300</v>
      </c>
      <c r="F25" s="86">
        <v>96.15</v>
      </c>
      <c r="G25" s="17">
        <f t="shared" si="0"/>
        <v>28845</v>
      </c>
      <c r="H25" s="86"/>
      <c r="I25" s="86"/>
      <c r="J25" s="17">
        <f t="shared" si="1"/>
        <v>0</v>
      </c>
      <c r="K25" s="17">
        <f t="shared" si="2"/>
        <v>28845</v>
      </c>
      <c r="L25" s="17">
        <f t="shared" si="2"/>
        <v>28845</v>
      </c>
      <c r="M25" s="17">
        <f t="shared" si="3"/>
        <v>3849.4436999999743</v>
      </c>
      <c r="N25" s="44" t="s">
        <v>280</v>
      </c>
    </row>
    <row r="26" spans="1:14">
      <c r="A26" s="26">
        <v>22</v>
      </c>
      <c r="B26" s="27">
        <v>46164</v>
      </c>
      <c r="C26" s="17"/>
      <c r="D26" s="17"/>
      <c r="E26" s="86">
        <v>300</v>
      </c>
      <c r="F26" s="86">
        <v>96.15</v>
      </c>
      <c r="G26" s="17">
        <f t="shared" si="0"/>
        <v>28845</v>
      </c>
      <c r="H26" s="86"/>
      <c r="I26" s="86"/>
      <c r="J26" s="17">
        <f t="shared" si="1"/>
        <v>0</v>
      </c>
      <c r="K26" s="17">
        <f t="shared" si="2"/>
        <v>28845</v>
      </c>
      <c r="L26" s="17">
        <f t="shared" si="2"/>
        <v>28845</v>
      </c>
      <c r="M26" s="17">
        <f t="shared" si="3"/>
        <v>3849.4436999999743</v>
      </c>
      <c r="N26" s="44"/>
    </row>
    <row r="27" spans="1:14">
      <c r="A27" s="26">
        <v>23</v>
      </c>
      <c r="B27" s="27">
        <v>46165</v>
      </c>
      <c r="C27" s="17"/>
      <c r="D27" s="17"/>
      <c r="E27" s="86"/>
      <c r="F27" s="86"/>
      <c r="G27" s="17">
        <f t="shared" si="0"/>
        <v>0</v>
      </c>
      <c r="H27" s="86"/>
      <c r="I27" s="86"/>
      <c r="J27" s="17">
        <f t="shared" si="1"/>
        <v>0</v>
      </c>
      <c r="K27" s="17">
        <f t="shared" si="2"/>
        <v>0</v>
      </c>
      <c r="L27" s="17"/>
      <c r="M27" s="17">
        <f t="shared" si="3"/>
        <v>3849.4436999999743</v>
      </c>
      <c r="N27" s="44"/>
    </row>
    <row r="28" spans="1:14">
      <c r="A28" s="26">
        <v>24</v>
      </c>
      <c r="B28" s="27">
        <v>46166</v>
      </c>
      <c r="C28" s="17"/>
      <c r="D28" s="17"/>
      <c r="E28" s="86"/>
      <c r="F28" s="86"/>
      <c r="G28" s="17">
        <f t="shared" si="0"/>
        <v>0</v>
      </c>
      <c r="H28" s="86"/>
      <c r="I28" s="86"/>
      <c r="J28" s="17">
        <f t="shared" si="1"/>
        <v>0</v>
      </c>
      <c r="K28" s="17">
        <f t="shared" si="2"/>
        <v>0</v>
      </c>
      <c r="L28" s="17"/>
      <c r="M28" s="17">
        <f t="shared" si="3"/>
        <v>3849.4436999999743</v>
      </c>
      <c r="N28" s="44"/>
    </row>
    <row r="29" spans="1:14">
      <c r="A29" s="26">
        <v>25</v>
      </c>
      <c r="B29" s="27">
        <v>46167</v>
      </c>
      <c r="C29" s="17"/>
      <c r="D29" s="17"/>
      <c r="E29" s="86">
        <v>600.09</v>
      </c>
      <c r="F29" s="478">
        <v>99.88</v>
      </c>
      <c r="G29" s="17">
        <f t="shared" si="0"/>
        <v>59936.989200000004</v>
      </c>
      <c r="H29" s="86">
        <v>35</v>
      </c>
      <c r="I29" s="478">
        <v>111.79</v>
      </c>
      <c r="J29" s="17">
        <f t="shared" si="1"/>
        <v>3912.65</v>
      </c>
      <c r="K29" s="17">
        <f t="shared" si="2"/>
        <v>63849.639200000005</v>
      </c>
      <c r="L29" s="17"/>
      <c r="M29" s="17">
        <f t="shared" si="3"/>
        <v>67699.082899999979</v>
      </c>
      <c r="N29" s="44"/>
    </row>
    <row r="30" spans="1:14">
      <c r="A30" s="26">
        <v>26</v>
      </c>
      <c r="B30" s="27">
        <v>46168</v>
      </c>
      <c r="C30" s="17"/>
      <c r="D30" s="17"/>
      <c r="E30" s="86"/>
      <c r="F30" s="86"/>
      <c r="G30" s="17">
        <f t="shared" si="0"/>
        <v>0</v>
      </c>
      <c r="H30" s="86"/>
      <c r="I30" s="86"/>
      <c r="J30" s="17">
        <f t="shared" si="1"/>
        <v>0</v>
      </c>
      <c r="K30" s="17">
        <f t="shared" si="2"/>
        <v>0</v>
      </c>
      <c r="L30" s="17"/>
      <c r="M30" s="17">
        <f t="shared" si="3"/>
        <v>67699.082899999979</v>
      </c>
      <c r="N30" s="44"/>
    </row>
    <row r="31" spans="1:14">
      <c r="A31" s="26">
        <v>27</v>
      </c>
      <c r="B31" s="27">
        <v>46169</v>
      </c>
      <c r="C31" s="17"/>
      <c r="D31" s="17"/>
      <c r="E31" s="86"/>
      <c r="F31" s="86"/>
      <c r="G31" s="17">
        <f t="shared" si="0"/>
        <v>0</v>
      </c>
      <c r="H31" s="86"/>
      <c r="I31" s="86"/>
      <c r="J31" s="17">
        <f t="shared" si="1"/>
        <v>0</v>
      </c>
      <c r="K31" s="17">
        <f t="shared" si="2"/>
        <v>0</v>
      </c>
      <c r="L31" s="17"/>
      <c r="M31" s="17">
        <f t="shared" si="3"/>
        <v>67699.082899999979</v>
      </c>
      <c r="N31" s="44"/>
    </row>
    <row r="32" spans="1:14">
      <c r="A32" s="26">
        <v>28</v>
      </c>
      <c r="B32" s="27">
        <v>46170</v>
      </c>
      <c r="C32" s="17"/>
      <c r="D32" s="17"/>
      <c r="E32" s="86"/>
      <c r="F32" s="86"/>
      <c r="G32" s="17">
        <f t="shared" si="0"/>
        <v>0</v>
      </c>
      <c r="H32" s="86"/>
      <c r="I32" s="86"/>
      <c r="J32" s="17">
        <f t="shared" si="1"/>
        <v>0</v>
      </c>
      <c r="K32" s="17">
        <f t="shared" si="2"/>
        <v>0</v>
      </c>
      <c r="L32" s="17"/>
      <c r="M32" s="17">
        <f t="shared" si="3"/>
        <v>67699.082899999979</v>
      </c>
      <c r="N32" s="44"/>
    </row>
    <row r="33" spans="1:14">
      <c r="A33" s="26">
        <v>29</v>
      </c>
      <c r="B33" s="27">
        <v>46171</v>
      </c>
      <c r="C33" s="17"/>
      <c r="D33" s="17"/>
      <c r="E33" s="86"/>
      <c r="F33" s="86"/>
      <c r="G33" s="17">
        <f t="shared" si="0"/>
        <v>0</v>
      </c>
      <c r="H33" s="86"/>
      <c r="I33" s="86"/>
      <c r="J33" s="17">
        <f t="shared" si="1"/>
        <v>0</v>
      </c>
      <c r="K33" s="17">
        <f t="shared" si="2"/>
        <v>0</v>
      </c>
      <c r="L33" s="17"/>
      <c r="M33" s="17">
        <f t="shared" si="3"/>
        <v>67699.082899999979</v>
      </c>
      <c r="N33" s="44"/>
    </row>
    <row r="34" spans="1:14">
      <c r="A34" s="26">
        <v>30</v>
      </c>
      <c r="B34" s="27">
        <v>46172</v>
      </c>
      <c r="C34" s="17"/>
      <c r="D34" s="17"/>
      <c r="E34" s="86">
        <v>200</v>
      </c>
      <c r="F34" s="86">
        <v>99.91</v>
      </c>
      <c r="G34" s="17">
        <f t="shared" si="0"/>
        <v>19982</v>
      </c>
      <c r="H34" s="86"/>
      <c r="I34" s="86"/>
      <c r="J34" s="17">
        <f t="shared" si="1"/>
        <v>0</v>
      </c>
      <c r="K34" s="17">
        <f t="shared" si="2"/>
        <v>19982</v>
      </c>
      <c r="L34" s="17">
        <f t="shared" si="2"/>
        <v>19982</v>
      </c>
      <c r="M34" s="17">
        <f t="shared" si="3"/>
        <v>67699.082899999979</v>
      </c>
      <c r="N34" s="44" t="s">
        <v>281</v>
      </c>
    </row>
    <row r="35" spans="1:14">
      <c r="A35" s="26">
        <v>31</v>
      </c>
      <c r="B35" s="27">
        <v>46172</v>
      </c>
      <c r="C35" s="17"/>
      <c r="D35" s="17"/>
      <c r="E35" s="86"/>
      <c r="F35" s="86"/>
      <c r="G35" s="17">
        <f t="shared" si="0"/>
        <v>0</v>
      </c>
      <c r="H35" s="86">
        <v>35.03</v>
      </c>
      <c r="I35" s="86">
        <v>111.79</v>
      </c>
      <c r="J35" s="17">
        <f t="shared" si="1"/>
        <v>3916.0037000000002</v>
      </c>
      <c r="K35" s="17">
        <f t="shared" si="2"/>
        <v>3916.0037000000002</v>
      </c>
      <c r="L35" s="17"/>
      <c r="M35" s="17">
        <f t="shared" si="3"/>
        <v>71615.086599999981</v>
      </c>
      <c r="N35" s="44"/>
    </row>
    <row r="36" spans="1:14">
      <c r="A36" s="26"/>
      <c r="B36" s="27"/>
      <c r="C36" s="17"/>
      <c r="D36" s="17"/>
      <c r="E36" s="86"/>
      <c r="F36" s="86"/>
      <c r="G36" s="17"/>
      <c r="H36" s="86"/>
      <c r="I36" s="86"/>
      <c r="J36" s="17"/>
      <c r="K36" s="17"/>
      <c r="L36" s="17"/>
      <c r="M36" s="17"/>
      <c r="N36" s="44"/>
    </row>
    <row r="37" spans="1:14">
      <c r="A37" s="26"/>
      <c r="B37" s="27"/>
      <c r="C37" s="17"/>
      <c r="D37" s="17"/>
      <c r="E37" s="86"/>
      <c r="F37" s="86"/>
      <c r="G37" s="17"/>
      <c r="H37" s="86"/>
      <c r="I37" s="86"/>
      <c r="J37" s="17"/>
      <c r="K37" s="17"/>
      <c r="L37" s="17"/>
      <c r="M37" s="17"/>
      <c r="N37" s="44"/>
    </row>
    <row r="38" spans="1:14">
      <c r="A38" s="42"/>
      <c r="B38" s="42"/>
      <c r="C38" s="42"/>
      <c r="D38" s="42"/>
      <c r="E38" s="42">
        <f>SUM(E4:E35)</f>
        <v>3200.08</v>
      </c>
      <c r="F38" s="42"/>
      <c r="G38" s="42">
        <f>SUM(G4:G35)</f>
        <v>305200.06849999999</v>
      </c>
      <c r="H38" s="42">
        <f>SUM(H4:H35)</f>
        <v>210.03</v>
      </c>
      <c r="I38" s="42"/>
      <c r="J38" s="42">
        <f>SUM(J4:J35)</f>
        <v>22624.203700000002</v>
      </c>
      <c r="K38" s="42">
        <f>SUM(K4:K35)</f>
        <v>327824.27220000001</v>
      </c>
      <c r="L38" s="42">
        <f>SUM(L4:L35)</f>
        <v>506012.56</v>
      </c>
      <c r="M38" s="42"/>
      <c r="N38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6C1B-2052-4EFC-AB89-74369C91C58E}">
  <dimension ref="A1:T36"/>
  <sheetViews>
    <sheetView topLeftCell="A18" workbookViewId="0">
      <selection activeCell="L35" sqref="L35"/>
    </sheetView>
  </sheetViews>
  <sheetFormatPr defaultRowHeight="15"/>
  <cols>
    <col min="2" max="2" width="10.5703125" bestFit="1" customWidth="1"/>
    <col min="3" max="3" width="15.42578125" customWidth="1"/>
    <col min="4" max="4" width="19.140625" customWidth="1"/>
  </cols>
  <sheetData>
    <row r="1" spans="1:14" ht="15.75">
      <c r="A1" s="560" t="s">
        <v>282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4" ht="27">
      <c r="A2" s="102" t="s">
        <v>0</v>
      </c>
      <c r="B2" s="105" t="s">
        <v>166</v>
      </c>
      <c r="C2" s="105" t="s">
        <v>167</v>
      </c>
      <c r="D2" s="105" t="s">
        <v>168</v>
      </c>
      <c r="E2" s="105" t="s">
        <v>169</v>
      </c>
      <c r="F2" s="105" t="s">
        <v>170</v>
      </c>
      <c r="G2" s="105" t="s">
        <v>171</v>
      </c>
      <c r="H2" s="105" t="s">
        <v>172</v>
      </c>
      <c r="I2" s="105" t="s">
        <v>170</v>
      </c>
      <c r="J2" s="105" t="s">
        <v>171</v>
      </c>
      <c r="K2" s="105" t="s">
        <v>173</v>
      </c>
      <c r="L2" s="105" t="s">
        <v>174</v>
      </c>
      <c r="M2" s="105" t="s">
        <v>199</v>
      </c>
      <c r="N2" s="105" t="s">
        <v>176</v>
      </c>
    </row>
    <row r="3" spans="1:14">
      <c r="A3" s="563" t="s">
        <v>177</v>
      </c>
      <c r="B3" s="563"/>
      <c r="C3" s="563"/>
      <c r="D3" s="563"/>
      <c r="E3" s="563"/>
      <c r="F3" s="563"/>
      <c r="G3" s="563"/>
      <c r="H3" s="563"/>
      <c r="I3" s="563"/>
      <c r="J3" s="563"/>
      <c r="K3" s="95">
        <v>0</v>
      </c>
      <c r="L3" s="95">
        <v>0</v>
      </c>
      <c r="M3" s="95">
        <v>0</v>
      </c>
      <c r="N3" s="17"/>
    </row>
    <row r="4" spans="1:14">
      <c r="A4" s="26">
        <v>1</v>
      </c>
      <c r="B4" s="27">
        <v>46143</v>
      </c>
      <c r="C4" s="17"/>
      <c r="D4" s="17"/>
      <c r="E4" s="86">
        <v>30</v>
      </c>
      <c r="F4" s="86">
        <v>92.07</v>
      </c>
      <c r="G4" s="17">
        <f>E4*F4</f>
        <v>2762.1</v>
      </c>
      <c r="H4" s="86"/>
      <c r="I4" s="86"/>
      <c r="J4" s="17">
        <f>H4*I4</f>
        <v>0</v>
      </c>
      <c r="K4" s="17">
        <f>G4+J4</f>
        <v>2762.1</v>
      </c>
      <c r="L4" s="17">
        <f>K4</f>
        <v>2762.1</v>
      </c>
      <c r="M4" s="17">
        <f>M3+K4-L4</f>
        <v>0</v>
      </c>
      <c r="N4" s="44"/>
    </row>
    <row r="5" spans="1:14">
      <c r="A5" s="26">
        <v>2</v>
      </c>
      <c r="B5" s="27">
        <v>46144</v>
      </c>
      <c r="C5" s="17"/>
      <c r="D5" s="17"/>
      <c r="E5" s="86"/>
      <c r="F5" s="86"/>
      <c r="G5" s="17">
        <f t="shared" ref="G5:G34" si="0">E5*F5</f>
        <v>0</v>
      </c>
      <c r="H5" s="86">
        <v>3</v>
      </c>
      <c r="I5" s="86">
        <v>103.82</v>
      </c>
      <c r="J5" s="17">
        <f t="shared" ref="J5:J34" si="1">H5*I5</f>
        <v>311.45999999999998</v>
      </c>
      <c r="K5" s="17">
        <f>G5+J5</f>
        <v>311.45999999999998</v>
      </c>
      <c r="L5" s="17">
        <f t="shared" ref="L5:L35" si="2">K5</f>
        <v>311.45999999999998</v>
      </c>
      <c r="M5" s="17">
        <f t="shared" ref="M5:M28" si="3">M4+K5-L5</f>
        <v>0</v>
      </c>
      <c r="N5" s="44"/>
    </row>
    <row r="6" spans="1:14">
      <c r="A6" s="26">
        <v>3</v>
      </c>
      <c r="B6" s="27">
        <v>46145</v>
      </c>
      <c r="C6" s="17"/>
      <c r="D6" s="17"/>
      <c r="E6" s="86"/>
      <c r="F6" s="86"/>
      <c r="G6" s="17">
        <f t="shared" si="0"/>
        <v>0</v>
      </c>
      <c r="H6" s="86"/>
      <c r="I6" s="86"/>
      <c r="J6" s="17">
        <f t="shared" si="1"/>
        <v>0</v>
      </c>
      <c r="K6" s="17">
        <f t="shared" ref="K6:K35" si="4">G6+J6</f>
        <v>0</v>
      </c>
      <c r="L6" s="17">
        <f t="shared" si="2"/>
        <v>0</v>
      </c>
      <c r="M6" s="17">
        <f t="shared" si="3"/>
        <v>0</v>
      </c>
      <c r="N6" s="44"/>
    </row>
    <row r="7" spans="1:14">
      <c r="A7" s="26">
        <v>4</v>
      </c>
      <c r="B7" s="27">
        <v>46146</v>
      </c>
      <c r="C7" s="17"/>
      <c r="D7" s="17"/>
      <c r="E7" s="86">
        <v>30</v>
      </c>
      <c r="F7" s="86">
        <v>92.07</v>
      </c>
      <c r="G7" s="17">
        <f t="shared" si="0"/>
        <v>2762.1</v>
      </c>
      <c r="H7" s="86"/>
      <c r="I7" s="86"/>
      <c r="J7" s="17">
        <f t="shared" si="1"/>
        <v>0</v>
      </c>
      <c r="K7" s="17">
        <f t="shared" si="4"/>
        <v>2762.1</v>
      </c>
      <c r="L7" s="17">
        <f t="shared" si="2"/>
        <v>2762.1</v>
      </c>
      <c r="M7" s="17">
        <f t="shared" si="3"/>
        <v>0</v>
      </c>
      <c r="N7" s="44"/>
    </row>
    <row r="8" spans="1:14">
      <c r="A8" s="26">
        <v>5</v>
      </c>
      <c r="B8" s="27">
        <v>46147</v>
      </c>
      <c r="C8" s="17"/>
      <c r="D8" s="17"/>
      <c r="E8" s="86">
        <v>70</v>
      </c>
      <c r="F8" s="86">
        <v>92.07</v>
      </c>
      <c r="G8" s="17">
        <f t="shared" si="0"/>
        <v>6444.9</v>
      </c>
      <c r="H8" s="86">
        <v>5</v>
      </c>
      <c r="I8" s="86">
        <v>103.82</v>
      </c>
      <c r="J8" s="17">
        <f t="shared" si="1"/>
        <v>519.09999999999991</v>
      </c>
      <c r="K8" s="17">
        <f t="shared" si="4"/>
        <v>6964</v>
      </c>
      <c r="L8" s="17">
        <f t="shared" si="2"/>
        <v>6964</v>
      </c>
      <c r="M8" s="17">
        <f t="shared" si="3"/>
        <v>0</v>
      </c>
      <c r="N8" s="44"/>
    </row>
    <row r="9" spans="1:14">
      <c r="A9" s="26">
        <v>6</v>
      </c>
      <c r="B9" s="27">
        <v>46148</v>
      </c>
      <c r="C9" s="17"/>
      <c r="D9" s="17"/>
      <c r="E9" s="86"/>
      <c r="F9" s="86"/>
      <c r="G9" s="17">
        <f t="shared" si="0"/>
        <v>0</v>
      </c>
      <c r="H9" s="86"/>
      <c r="I9" s="86"/>
      <c r="J9" s="17">
        <f t="shared" si="1"/>
        <v>0</v>
      </c>
      <c r="K9" s="17">
        <f t="shared" si="4"/>
        <v>0</v>
      </c>
      <c r="L9" s="17">
        <f t="shared" si="2"/>
        <v>0</v>
      </c>
      <c r="M9" s="17">
        <f t="shared" si="3"/>
        <v>0</v>
      </c>
      <c r="N9" s="44"/>
    </row>
    <row r="10" spans="1:14">
      <c r="A10" s="26">
        <v>7</v>
      </c>
      <c r="B10" s="27">
        <v>46149</v>
      </c>
      <c r="C10" s="17"/>
      <c r="D10" s="17"/>
      <c r="E10" s="86"/>
      <c r="F10" s="86"/>
      <c r="G10" s="17">
        <f t="shared" si="0"/>
        <v>0</v>
      </c>
      <c r="H10" s="86"/>
      <c r="I10" s="86"/>
      <c r="J10" s="17">
        <f t="shared" si="1"/>
        <v>0</v>
      </c>
      <c r="K10" s="17">
        <f t="shared" si="4"/>
        <v>0</v>
      </c>
      <c r="L10" s="17">
        <f t="shared" si="2"/>
        <v>0</v>
      </c>
      <c r="M10" s="17">
        <f t="shared" si="3"/>
        <v>0</v>
      </c>
      <c r="N10" s="44"/>
    </row>
    <row r="11" spans="1:14">
      <c r="A11" s="26">
        <v>8</v>
      </c>
      <c r="B11" s="27">
        <v>46150</v>
      </c>
      <c r="C11" s="17"/>
      <c r="D11" s="17"/>
      <c r="E11" s="86">
        <v>60</v>
      </c>
      <c r="F11" s="86">
        <v>92.07</v>
      </c>
      <c r="G11" s="17">
        <f t="shared" si="0"/>
        <v>5524.2</v>
      </c>
      <c r="H11" s="86"/>
      <c r="I11" s="86"/>
      <c r="J11" s="17">
        <f t="shared" si="1"/>
        <v>0</v>
      </c>
      <c r="K11" s="17">
        <f t="shared" si="4"/>
        <v>5524.2</v>
      </c>
      <c r="L11" s="17">
        <f t="shared" si="2"/>
        <v>5524.2</v>
      </c>
      <c r="M11" s="17">
        <f t="shared" si="3"/>
        <v>0</v>
      </c>
      <c r="N11" s="44"/>
    </row>
    <row r="12" spans="1:14">
      <c r="A12" s="26">
        <v>9</v>
      </c>
      <c r="B12" s="27">
        <v>46151</v>
      </c>
      <c r="C12" s="17"/>
      <c r="D12" s="17"/>
      <c r="E12" s="86"/>
      <c r="F12" s="86"/>
      <c r="G12" s="17">
        <f t="shared" si="0"/>
        <v>0</v>
      </c>
      <c r="H12" s="86"/>
      <c r="I12" s="381"/>
      <c r="J12" s="17">
        <f t="shared" si="1"/>
        <v>0</v>
      </c>
      <c r="K12" s="17">
        <f t="shared" si="4"/>
        <v>0</v>
      </c>
      <c r="L12" s="17">
        <f t="shared" si="2"/>
        <v>0</v>
      </c>
      <c r="M12" s="17">
        <f t="shared" si="3"/>
        <v>0</v>
      </c>
      <c r="N12" s="44"/>
    </row>
    <row r="13" spans="1:14">
      <c r="A13" s="26">
        <v>10</v>
      </c>
      <c r="B13" s="27">
        <v>46152</v>
      </c>
      <c r="C13" s="17"/>
      <c r="D13" s="17"/>
      <c r="E13" s="86"/>
      <c r="F13" s="86"/>
      <c r="G13" s="17">
        <f t="shared" si="0"/>
        <v>0</v>
      </c>
      <c r="H13" s="86"/>
      <c r="I13" s="86"/>
      <c r="J13" s="17">
        <f t="shared" si="1"/>
        <v>0</v>
      </c>
      <c r="K13" s="17">
        <f t="shared" si="4"/>
        <v>0</v>
      </c>
      <c r="L13" s="17">
        <f t="shared" si="2"/>
        <v>0</v>
      </c>
      <c r="M13" s="17">
        <f t="shared" si="3"/>
        <v>0</v>
      </c>
      <c r="N13" s="44"/>
    </row>
    <row r="14" spans="1:14">
      <c r="A14" s="26">
        <v>11</v>
      </c>
      <c r="B14" s="27">
        <v>46153</v>
      </c>
      <c r="C14" s="17"/>
      <c r="D14" s="17"/>
      <c r="E14" s="86">
        <v>30</v>
      </c>
      <c r="F14" s="86">
        <v>92.07</v>
      </c>
      <c r="G14" s="17">
        <f t="shared" si="0"/>
        <v>2762.1</v>
      </c>
      <c r="H14" s="86">
        <v>6</v>
      </c>
      <c r="I14" s="86">
        <v>103.82</v>
      </c>
      <c r="J14" s="17">
        <f t="shared" si="1"/>
        <v>622.91999999999996</v>
      </c>
      <c r="K14" s="17">
        <f t="shared" si="4"/>
        <v>3385.02</v>
      </c>
      <c r="L14" s="17">
        <f t="shared" si="2"/>
        <v>3385.02</v>
      </c>
      <c r="M14" s="17">
        <f t="shared" si="3"/>
        <v>0</v>
      </c>
      <c r="N14" s="44"/>
    </row>
    <row r="15" spans="1:14">
      <c r="A15" s="26">
        <v>12</v>
      </c>
      <c r="B15" s="27">
        <v>46154</v>
      </c>
      <c r="C15" s="17"/>
      <c r="D15" s="17"/>
      <c r="E15" s="86"/>
      <c r="F15" s="86"/>
      <c r="G15" s="17">
        <f t="shared" si="0"/>
        <v>0</v>
      </c>
      <c r="H15" s="86"/>
      <c r="I15" s="86"/>
      <c r="J15" s="17">
        <f t="shared" si="1"/>
        <v>0</v>
      </c>
      <c r="K15" s="17">
        <f t="shared" si="4"/>
        <v>0</v>
      </c>
      <c r="L15" s="17">
        <f t="shared" si="2"/>
        <v>0</v>
      </c>
      <c r="M15" s="17">
        <f t="shared" si="3"/>
        <v>0</v>
      </c>
      <c r="N15" s="44"/>
    </row>
    <row r="16" spans="1:14">
      <c r="A16" s="26">
        <v>13</v>
      </c>
      <c r="B16" s="27">
        <v>46155</v>
      </c>
      <c r="C16" s="17"/>
      <c r="D16" s="17"/>
      <c r="E16" s="86"/>
      <c r="F16" s="86"/>
      <c r="G16" s="17">
        <f t="shared" si="0"/>
        <v>0</v>
      </c>
      <c r="H16" s="86"/>
      <c r="I16" s="86"/>
      <c r="J16" s="17">
        <f t="shared" si="1"/>
        <v>0</v>
      </c>
      <c r="K16" s="17">
        <f t="shared" si="4"/>
        <v>0</v>
      </c>
      <c r="L16" s="17">
        <f t="shared" si="2"/>
        <v>0</v>
      </c>
      <c r="M16" s="17">
        <f t="shared" si="3"/>
        <v>0</v>
      </c>
      <c r="N16" s="44"/>
    </row>
    <row r="17" spans="1:20">
      <c r="A17" s="26">
        <v>14</v>
      </c>
      <c r="B17" s="27">
        <v>46156</v>
      </c>
      <c r="C17" s="17"/>
      <c r="D17" s="17"/>
      <c r="E17" s="86">
        <v>40</v>
      </c>
      <c r="F17" s="86">
        <v>92.07</v>
      </c>
      <c r="G17" s="17">
        <f t="shared" si="0"/>
        <v>3682.7999999999997</v>
      </c>
      <c r="H17" s="86"/>
      <c r="I17" s="86"/>
      <c r="J17" s="17">
        <f t="shared" si="1"/>
        <v>0</v>
      </c>
      <c r="K17" s="17">
        <f t="shared" si="4"/>
        <v>3682.7999999999997</v>
      </c>
      <c r="L17" s="17">
        <f t="shared" si="2"/>
        <v>3682.7999999999997</v>
      </c>
      <c r="M17" s="17">
        <f t="shared" si="3"/>
        <v>0</v>
      </c>
      <c r="N17" s="44"/>
    </row>
    <row r="18" spans="1:20">
      <c r="A18" s="26">
        <v>15</v>
      </c>
      <c r="B18" s="27">
        <v>46157</v>
      </c>
      <c r="C18" s="17"/>
      <c r="D18" s="17"/>
      <c r="E18" s="86">
        <v>37.99</v>
      </c>
      <c r="F18" s="86">
        <v>95.18</v>
      </c>
      <c r="G18" s="17">
        <f t="shared" si="0"/>
        <v>3615.8882000000003</v>
      </c>
      <c r="H18" s="86">
        <v>5</v>
      </c>
      <c r="I18" s="86">
        <v>107.07</v>
      </c>
      <c r="J18" s="17">
        <f t="shared" si="1"/>
        <v>535.34999999999991</v>
      </c>
      <c r="K18" s="17">
        <f t="shared" si="4"/>
        <v>4151.2381999999998</v>
      </c>
      <c r="L18" s="17">
        <f t="shared" si="2"/>
        <v>4151.2381999999998</v>
      </c>
      <c r="M18" s="17">
        <f t="shared" si="3"/>
        <v>0</v>
      </c>
      <c r="N18" s="44"/>
    </row>
    <row r="19" spans="1:20">
      <c r="A19" s="26">
        <v>16</v>
      </c>
      <c r="B19" s="27">
        <v>46158</v>
      </c>
      <c r="C19" s="17"/>
      <c r="D19" s="17"/>
      <c r="E19" s="86">
        <v>35</v>
      </c>
      <c r="F19" s="86">
        <v>95.18</v>
      </c>
      <c r="G19" s="17">
        <f t="shared" si="0"/>
        <v>3331.3</v>
      </c>
      <c r="H19" s="86">
        <v>5</v>
      </c>
      <c r="I19" s="86">
        <v>107.07</v>
      </c>
      <c r="J19" s="17">
        <f t="shared" si="1"/>
        <v>535.34999999999991</v>
      </c>
      <c r="K19" s="17">
        <f t="shared" si="4"/>
        <v>3866.65</v>
      </c>
      <c r="L19" s="17">
        <f t="shared" si="2"/>
        <v>3866.65</v>
      </c>
      <c r="M19" s="17">
        <f t="shared" si="3"/>
        <v>0</v>
      </c>
      <c r="N19" s="44"/>
    </row>
    <row r="20" spans="1:20">
      <c r="A20" s="26">
        <v>17</v>
      </c>
      <c r="B20" s="27">
        <v>46159</v>
      </c>
      <c r="C20" s="17"/>
      <c r="D20" s="17"/>
      <c r="E20" s="86">
        <v>25</v>
      </c>
      <c r="F20" s="86">
        <v>95.18</v>
      </c>
      <c r="G20" s="17">
        <f t="shared" si="0"/>
        <v>2379.5</v>
      </c>
      <c r="H20" s="86"/>
      <c r="I20" s="86"/>
      <c r="J20" s="17">
        <f t="shared" si="1"/>
        <v>0</v>
      </c>
      <c r="K20" s="17">
        <f t="shared" si="4"/>
        <v>2379.5</v>
      </c>
      <c r="L20" s="17">
        <f t="shared" si="2"/>
        <v>2379.5</v>
      </c>
      <c r="M20" s="17">
        <f t="shared" si="3"/>
        <v>0</v>
      </c>
      <c r="N20" s="44"/>
      <c r="T20">
        <v>54.83</v>
      </c>
    </row>
    <row r="21" spans="1:20">
      <c r="A21" s="26">
        <v>18</v>
      </c>
      <c r="B21" s="27">
        <v>46160</v>
      </c>
      <c r="C21" s="17"/>
      <c r="D21" s="17"/>
      <c r="E21" s="86"/>
      <c r="F21" s="86"/>
      <c r="G21" s="17">
        <f t="shared" si="0"/>
        <v>0</v>
      </c>
      <c r="H21" s="86"/>
      <c r="I21" s="86"/>
      <c r="J21" s="17">
        <f t="shared" si="1"/>
        <v>0</v>
      </c>
      <c r="K21" s="17">
        <f t="shared" si="4"/>
        <v>0</v>
      </c>
      <c r="L21" s="17">
        <f t="shared" si="2"/>
        <v>0</v>
      </c>
      <c r="M21" s="17">
        <f t="shared" si="3"/>
        <v>0</v>
      </c>
      <c r="N21" s="44"/>
      <c r="T21">
        <v>0.55000000000000004</v>
      </c>
    </row>
    <row r="22" spans="1:20">
      <c r="A22" s="26">
        <v>19</v>
      </c>
      <c r="B22" s="27">
        <v>46161</v>
      </c>
      <c r="C22" s="17"/>
      <c r="D22" s="17"/>
      <c r="E22" s="86">
        <v>30</v>
      </c>
      <c r="F22" s="86">
        <v>96.11</v>
      </c>
      <c r="G22" s="17">
        <f t="shared" si="0"/>
        <v>2883.3</v>
      </c>
      <c r="H22" s="86"/>
      <c r="I22" s="86"/>
      <c r="J22" s="17">
        <f t="shared" si="1"/>
        <v>0</v>
      </c>
      <c r="K22" s="17">
        <f t="shared" si="4"/>
        <v>2883.3</v>
      </c>
      <c r="L22" s="17">
        <f t="shared" si="2"/>
        <v>2883.3</v>
      </c>
      <c r="M22" s="17">
        <f t="shared" si="3"/>
        <v>0</v>
      </c>
      <c r="N22" s="44"/>
    </row>
    <row r="23" spans="1:20">
      <c r="A23" s="26"/>
      <c r="B23" s="27">
        <v>46161</v>
      </c>
      <c r="C23" s="17"/>
      <c r="D23" s="17"/>
      <c r="E23" s="86">
        <v>30</v>
      </c>
      <c r="F23" s="86">
        <v>96.12</v>
      </c>
      <c r="G23" s="17">
        <f t="shared" si="0"/>
        <v>2883.6000000000004</v>
      </c>
      <c r="H23" s="86"/>
      <c r="I23" s="86"/>
      <c r="J23" s="17"/>
      <c r="K23" s="17">
        <f t="shared" si="4"/>
        <v>2883.6000000000004</v>
      </c>
      <c r="L23" s="17">
        <f t="shared" si="2"/>
        <v>2883.6000000000004</v>
      </c>
      <c r="M23" s="17"/>
      <c r="N23" s="44"/>
    </row>
    <row r="24" spans="1:20">
      <c r="A24" s="26">
        <v>20</v>
      </c>
      <c r="B24" s="27">
        <v>46162</v>
      </c>
      <c r="C24" s="17"/>
      <c r="D24" s="17"/>
      <c r="E24" s="86"/>
      <c r="F24" s="86"/>
      <c r="G24" s="17">
        <f t="shared" si="0"/>
        <v>0</v>
      </c>
      <c r="H24" s="86"/>
      <c r="I24" s="86"/>
      <c r="J24" s="17">
        <f t="shared" si="1"/>
        <v>0</v>
      </c>
      <c r="K24" s="17">
        <f t="shared" si="4"/>
        <v>0</v>
      </c>
      <c r="L24" s="17">
        <f t="shared" si="2"/>
        <v>0</v>
      </c>
      <c r="M24" s="17">
        <f>M22+K24-L24</f>
        <v>0</v>
      </c>
      <c r="N24" s="44"/>
    </row>
    <row r="25" spans="1:20">
      <c r="A25" s="26">
        <v>21</v>
      </c>
      <c r="B25" s="27">
        <v>46163</v>
      </c>
      <c r="C25" s="17"/>
      <c r="D25" s="17"/>
      <c r="E25" s="86">
        <v>42</v>
      </c>
      <c r="F25" s="86">
        <v>96.12</v>
      </c>
      <c r="G25" s="17">
        <f t="shared" si="0"/>
        <v>4037.04</v>
      </c>
      <c r="H25" s="86">
        <v>6</v>
      </c>
      <c r="I25" s="86">
        <v>108.02</v>
      </c>
      <c r="J25" s="17">
        <f t="shared" si="1"/>
        <v>648.12</v>
      </c>
      <c r="K25" s="17">
        <f t="shared" si="4"/>
        <v>4685.16</v>
      </c>
      <c r="L25" s="17">
        <f t="shared" si="2"/>
        <v>4685.16</v>
      </c>
      <c r="M25" s="17">
        <f t="shared" si="3"/>
        <v>0</v>
      </c>
      <c r="N25" s="44"/>
    </row>
    <row r="26" spans="1:20">
      <c r="A26" s="26">
        <v>22</v>
      </c>
      <c r="B26" s="27">
        <v>46164</v>
      </c>
      <c r="C26" s="17"/>
      <c r="D26" s="17"/>
      <c r="E26" s="86"/>
      <c r="F26" s="86"/>
      <c r="G26" s="17">
        <f t="shared" si="0"/>
        <v>0</v>
      </c>
      <c r="H26" s="86"/>
      <c r="I26" s="86"/>
      <c r="J26" s="17">
        <f t="shared" si="1"/>
        <v>0</v>
      </c>
      <c r="K26" s="17">
        <f t="shared" si="4"/>
        <v>0</v>
      </c>
      <c r="L26" s="17">
        <f t="shared" si="2"/>
        <v>0</v>
      </c>
      <c r="M26" s="17">
        <f t="shared" si="3"/>
        <v>0</v>
      </c>
      <c r="N26" s="44"/>
    </row>
    <row r="27" spans="1:20">
      <c r="A27" s="26">
        <v>23</v>
      </c>
      <c r="B27" s="27">
        <v>46165</v>
      </c>
      <c r="C27" s="17"/>
      <c r="D27" s="17"/>
      <c r="E27" s="86"/>
      <c r="F27" s="86"/>
      <c r="G27" s="17">
        <f t="shared" si="0"/>
        <v>0</v>
      </c>
      <c r="H27" s="86"/>
      <c r="I27" s="86"/>
      <c r="J27" s="17">
        <f t="shared" si="1"/>
        <v>0</v>
      </c>
      <c r="K27" s="17">
        <f t="shared" si="4"/>
        <v>0</v>
      </c>
      <c r="L27" s="17">
        <f t="shared" si="2"/>
        <v>0</v>
      </c>
      <c r="M27" s="17">
        <f t="shared" si="3"/>
        <v>0</v>
      </c>
      <c r="N27" s="44"/>
    </row>
    <row r="28" spans="1:20">
      <c r="A28" s="26">
        <v>24</v>
      </c>
      <c r="B28" s="27">
        <v>46166</v>
      </c>
      <c r="C28" s="17"/>
      <c r="D28" s="17"/>
      <c r="E28" s="86"/>
      <c r="F28" s="86"/>
      <c r="G28" s="17">
        <f t="shared" si="0"/>
        <v>0</v>
      </c>
      <c r="H28" s="86"/>
      <c r="I28" s="86"/>
      <c r="J28" s="17">
        <f t="shared" si="1"/>
        <v>0</v>
      </c>
      <c r="K28" s="17">
        <f t="shared" si="4"/>
        <v>0</v>
      </c>
      <c r="L28" s="17">
        <f t="shared" si="2"/>
        <v>0</v>
      </c>
      <c r="M28" s="17">
        <f t="shared" si="3"/>
        <v>0</v>
      </c>
      <c r="N28" s="44"/>
    </row>
    <row r="29" spans="1:20">
      <c r="A29" s="26">
        <v>25</v>
      </c>
      <c r="B29" s="27">
        <v>46167</v>
      </c>
      <c r="C29" s="17"/>
      <c r="D29" s="17"/>
      <c r="E29" s="86">
        <v>35</v>
      </c>
      <c r="F29" s="86">
        <v>99.88</v>
      </c>
      <c r="G29" s="17">
        <f t="shared" si="0"/>
        <v>3495.7999999999997</v>
      </c>
      <c r="H29" s="86">
        <v>5</v>
      </c>
      <c r="I29" s="86">
        <v>111.79</v>
      </c>
      <c r="J29" s="17">
        <f t="shared" si="1"/>
        <v>558.95000000000005</v>
      </c>
      <c r="K29" s="17">
        <f>G29+J29</f>
        <v>4054.75</v>
      </c>
      <c r="L29" s="17">
        <f t="shared" si="2"/>
        <v>4054.75</v>
      </c>
      <c r="M29" s="17">
        <v>0</v>
      </c>
      <c r="N29" s="44"/>
    </row>
    <row r="30" spans="1:20">
      <c r="A30" s="26">
        <v>26</v>
      </c>
      <c r="B30" s="27">
        <v>46168</v>
      </c>
      <c r="C30" s="17"/>
      <c r="D30" s="17"/>
      <c r="E30" s="86"/>
      <c r="F30" s="86"/>
      <c r="G30" s="17">
        <f t="shared" si="0"/>
        <v>0</v>
      </c>
      <c r="H30" s="86"/>
      <c r="I30" s="86"/>
      <c r="J30" s="17">
        <f t="shared" si="1"/>
        <v>0</v>
      </c>
      <c r="K30" s="17">
        <f t="shared" si="4"/>
        <v>0</v>
      </c>
      <c r="L30" s="17">
        <f t="shared" si="2"/>
        <v>0</v>
      </c>
      <c r="M30" s="17">
        <v>0</v>
      </c>
      <c r="N30" s="44"/>
    </row>
    <row r="31" spans="1:20">
      <c r="A31" s="26">
        <v>27</v>
      </c>
      <c r="B31" s="27">
        <v>46169</v>
      </c>
      <c r="C31" s="17"/>
      <c r="D31" s="17"/>
      <c r="E31" s="86">
        <v>40</v>
      </c>
      <c r="F31" s="86">
        <v>99.88</v>
      </c>
      <c r="G31" s="17">
        <f t="shared" si="0"/>
        <v>3995.2</v>
      </c>
      <c r="H31" s="86"/>
      <c r="I31" s="86"/>
      <c r="J31" s="17">
        <f t="shared" si="1"/>
        <v>0</v>
      </c>
      <c r="K31" s="17">
        <f t="shared" si="4"/>
        <v>3995.2</v>
      </c>
      <c r="L31" s="17">
        <f t="shared" si="2"/>
        <v>3995.2</v>
      </c>
      <c r="M31" s="17">
        <v>0</v>
      </c>
      <c r="N31" s="44"/>
    </row>
    <row r="32" spans="1:20">
      <c r="A32" s="26">
        <v>28</v>
      </c>
      <c r="B32" s="27">
        <v>46170</v>
      </c>
      <c r="C32" s="17"/>
      <c r="D32" s="17"/>
      <c r="E32" s="86"/>
      <c r="F32" s="86"/>
      <c r="G32" s="17">
        <f t="shared" si="0"/>
        <v>0</v>
      </c>
      <c r="H32" s="86"/>
      <c r="I32" s="86"/>
      <c r="J32" s="17">
        <f t="shared" si="1"/>
        <v>0</v>
      </c>
      <c r="K32" s="17">
        <f t="shared" si="4"/>
        <v>0</v>
      </c>
      <c r="L32" s="17">
        <f t="shared" si="2"/>
        <v>0</v>
      </c>
      <c r="M32" s="17">
        <v>0</v>
      </c>
      <c r="N32" s="44"/>
    </row>
    <row r="33" spans="1:14">
      <c r="A33" s="26">
        <v>29</v>
      </c>
      <c r="B33" s="27">
        <v>46171</v>
      </c>
      <c r="C33" s="17"/>
      <c r="D33" s="17"/>
      <c r="E33" s="86">
        <v>30.66</v>
      </c>
      <c r="F33" s="86">
        <v>99.88</v>
      </c>
      <c r="G33" s="17">
        <v>3062.3208</v>
      </c>
      <c r="H33" s="86">
        <v>5</v>
      </c>
      <c r="I33" s="86">
        <v>111.79</v>
      </c>
      <c r="J33" s="17">
        <v>558.95000000000005</v>
      </c>
      <c r="K33" s="17">
        <f t="shared" si="4"/>
        <v>3621.2708000000002</v>
      </c>
      <c r="L33" s="17">
        <f t="shared" si="2"/>
        <v>3621.2708000000002</v>
      </c>
      <c r="M33" s="17"/>
      <c r="N33" s="44"/>
    </row>
    <row r="34" spans="1:14">
      <c r="A34" s="26">
        <v>30</v>
      </c>
      <c r="B34" s="27">
        <v>46172</v>
      </c>
      <c r="C34" s="17"/>
      <c r="D34" s="17"/>
      <c r="E34" s="86"/>
      <c r="F34" s="86"/>
      <c r="G34" s="17">
        <f t="shared" si="0"/>
        <v>0</v>
      </c>
      <c r="H34" s="86">
        <v>6</v>
      </c>
      <c r="I34" s="86">
        <v>111.79</v>
      </c>
      <c r="J34" s="17">
        <f t="shared" si="1"/>
        <v>670.74</v>
      </c>
      <c r="K34" s="17">
        <f t="shared" si="4"/>
        <v>670.74</v>
      </c>
      <c r="L34" s="17">
        <f t="shared" si="2"/>
        <v>670.74</v>
      </c>
      <c r="M34" s="17"/>
      <c r="N34" s="44"/>
    </row>
    <row r="35" spans="1:14">
      <c r="A35" s="26">
        <v>31</v>
      </c>
      <c r="B35" s="27">
        <v>46173</v>
      </c>
      <c r="C35" s="17"/>
      <c r="D35" s="17"/>
      <c r="E35" s="86">
        <v>35</v>
      </c>
      <c r="F35" s="86">
        <v>99.88</v>
      </c>
      <c r="G35" s="17">
        <f t="shared" ref="G5:G35" si="5">E35*F35</f>
        <v>3495.7999999999997</v>
      </c>
      <c r="H35" s="86"/>
      <c r="I35" s="86"/>
      <c r="J35" s="17">
        <f t="shared" ref="J5:J35" si="6">H35*I35</f>
        <v>0</v>
      </c>
      <c r="K35" s="17">
        <f t="shared" si="4"/>
        <v>3495.7999999999997</v>
      </c>
      <c r="L35" s="17">
        <f t="shared" si="2"/>
        <v>3495.7999999999997</v>
      </c>
      <c r="M35" s="17"/>
      <c r="N35" s="44"/>
    </row>
    <row r="36" spans="1:14">
      <c r="A36" s="42"/>
      <c r="B36" s="42"/>
      <c r="C36" s="42"/>
      <c r="D36" s="42"/>
      <c r="E36" s="42">
        <f>SUM(E4:E35)</f>
        <v>600.65</v>
      </c>
      <c r="F36" s="42"/>
      <c r="G36" s="42">
        <f>SUM(G4:G35)</f>
        <v>57117.949000000008</v>
      </c>
      <c r="H36" s="42">
        <f>SUM(H4:H35)</f>
        <v>46</v>
      </c>
      <c r="I36" s="42"/>
      <c r="J36" s="42">
        <f>SUM(J4:J35)</f>
        <v>4960.9399999999996</v>
      </c>
      <c r="K36" s="42">
        <f>SUM(K4:K35)</f>
        <v>62078.889000000003</v>
      </c>
      <c r="L36" s="42">
        <f>SUM(L4:L35)</f>
        <v>62078.889000000003</v>
      </c>
      <c r="M36" s="42"/>
      <c r="N36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46A-CC6F-4EF6-BB30-60E9EE9B0804}">
  <dimension ref="A1:N35"/>
  <sheetViews>
    <sheetView topLeftCell="A15" workbookViewId="0">
      <selection activeCell="L33" sqref="L33"/>
    </sheetView>
  </sheetViews>
  <sheetFormatPr defaultRowHeight="15"/>
  <cols>
    <col min="2" max="2" width="10.140625" bestFit="1" customWidth="1"/>
  </cols>
  <sheetData>
    <row r="1" spans="1:14" ht="15.75">
      <c r="A1" s="560" t="s">
        <v>106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4" ht="27">
      <c r="A2" s="102" t="s">
        <v>0</v>
      </c>
      <c r="B2" s="105" t="s">
        <v>166</v>
      </c>
      <c r="C2" s="105" t="s">
        <v>167</v>
      </c>
      <c r="D2" s="105" t="s">
        <v>168</v>
      </c>
      <c r="E2" s="105" t="s">
        <v>169</v>
      </c>
      <c r="F2" s="105" t="s">
        <v>170</v>
      </c>
      <c r="G2" s="105" t="s">
        <v>171</v>
      </c>
      <c r="H2" s="105" t="s">
        <v>172</v>
      </c>
      <c r="I2" s="105" t="s">
        <v>170</v>
      </c>
      <c r="J2" s="105" t="s">
        <v>171</v>
      </c>
      <c r="K2" s="105" t="s">
        <v>173</v>
      </c>
      <c r="L2" s="105" t="s">
        <v>174</v>
      </c>
      <c r="M2" s="105" t="s">
        <v>199</v>
      </c>
      <c r="N2" s="105" t="s">
        <v>176</v>
      </c>
    </row>
    <row r="3" spans="1:14">
      <c r="A3" s="563" t="s">
        <v>177</v>
      </c>
      <c r="B3" s="563"/>
      <c r="C3" s="563"/>
      <c r="D3" s="563"/>
      <c r="E3" s="563"/>
      <c r="F3" s="563"/>
      <c r="G3" s="563"/>
      <c r="H3" s="563"/>
      <c r="I3" s="563"/>
      <c r="J3" s="563"/>
      <c r="K3" s="95">
        <v>0</v>
      </c>
      <c r="L3" s="95">
        <v>0</v>
      </c>
      <c r="M3" s="95">
        <f>+K3</f>
        <v>0</v>
      </c>
      <c r="N3" s="17"/>
    </row>
    <row r="4" spans="1:14">
      <c r="A4" s="26">
        <v>1</v>
      </c>
      <c r="B4" s="27">
        <v>46143</v>
      </c>
      <c r="C4" s="17"/>
      <c r="D4" s="17"/>
      <c r="E4" s="86"/>
      <c r="F4" s="86"/>
      <c r="G4" s="17">
        <f>E4*F4</f>
        <v>0</v>
      </c>
      <c r="H4" s="86"/>
      <c r="I4" s="86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4"/>
    </row>
    <row r="5" spans="1:14">
      <c r="A5" s="26">
        <v>2</v>
      </c>
      <c r="B5" s="27">
        <v>46144</v>
      </c>
      <c r="C5" s="17"/>
      <c r="D5" s="17"/>
      <c r="E5" s="86"/>
      <c r="F5" s="86"/>
      <c r="G5" s="17">
        <f t="shared" ref="G5:G34" si="0">E5*F5</f>
        <v>0</v>
      </c>
      <c r="H5" s="86"/>
      <c r="I5" s="86"/>
      <c r="J5" s="17">
        <f t="shared" ref="J5:J33" si="1">H5*I5</f>
        <v>0</v>
      </c>
      <c r="K5" s="17">
        <f>G5+J5</f>
        <v>0</v>
      </c>
      <c r="L5" s="17">
        <f t="shared" ref="L5:L34" si="2">K5</f>
        <v>0</v>
      </c>
      <c r="M5" s="17">
        <f t="shared" ref="M5:M27" si="3">M4+K5-L5</f>
        <v>0</v>
      </c>
      <c r="N5" s="44"/>
    </row>
    <row r="6" spans="1:14">
      <c r="A6" s="26">
        <v>3</v>
      </c>
      <c r="B6" s="27">
        <v>46145</v>
      </c>
      <c r="C6" s="17"/>
      <c r="D6" s="17"/>
      <c r="E6" s="86"/>
      <c r="F6" s="86"/>
      <c r="G6" s="17">
        <f t="shared" ref="G6:G33" si="4">E6*F6</f>
        <v>0</v>
      </c>
      <c r="H6" s="86"/>
      <c r="I6" s="86"/>
      <c r="J6" s="17">
        <f t="shared" ref="J6:J33" si="5">H6*I6</f>
        <v>0</v>
      </c>
      <c r="K6" s="17">
        <f t="shared" ref="K6:K34" si="6">G6+J6</f>
        <v>0</v>
      </c>
      <c r="L6" s="17">
        <f t="shared" si="2"/>
        <v>0</v>
      </c>
      <c r="M6" s="17">
        <f t="shared" si="3"/>
        <v>0</v>
      </c>
      <c r="N6" s="44"/>
    </row>
    <row r="7" spans="1:14">
      <c r="A7" s="26">
        <v>4</v>
      </c>
      <c r="B7" s="27">
        <v>46146</v>
      </c>
      <c r="C7" s="17"/>
      <c r="D7" s="17"/>
      <c r="E7" s="86"/>
      <c r="F7" s="86"/>
      <c r="G7" s="17">
        <f t="shared" si="4"/>
        <v>0</v>
      </c>
      <c r="H7" s="86"/>
      <c r="I7" s="86"/>
      <c r="J7" s="17">
        <f t="shared" si="5"/>
        <v>0</v>
      </c>
      <c r="K7" s="17">
        <f t="shared" si="6"/>
        <v>0</v>
      </c>
      <c r="L7" s="17">
        <f t="shared" si="2"/>
        <v>0</v>
      </c>
      <c r="M7" s="17">
        <f t="shared" si="3"/>
        <v>0</v>
      </c>
      <c r="N7" s="44"/>
    </row>
    <row r="8" spans="1:14">
      <c r="A8" s="26">
        <v>5</v>
      </c>
      <c r="B8" s="27">
        <v>46147</v>
      </c>
      <c r="C8" s="17"/>
      <c r="D8" s="17"/>
      <c r="E8" s="86">
        <v>200</v>
      </c>
      <c r="F8" s="86">
        <v>91.89</v>
      </c>
      <c r="G8" s="17">
        <f t="shared" si="4"/>
        <v>18378</v>
      </c>
      <c r="H8" s="86"/>
      <c r="I8" s="86"/>
      <c r="J8" s="17">
        <f t="shared" si="5"/>
        <v>0</v>
      </c>
      <c r="K8" s="17">
        <f t="shared" si="6"/>
        <v>18378</v>
      </c>
      <c r="L8" s="17">
        <f t="shared" si="2"/>
        <v>18378</v>
      </c>
      <c r="M8" s="17">
        <f t="shared" si="3"/>
        <v>0</v>
      </c>
      <c r="N8" s="44"/>
    </row>
    <row r="9" spans="1:14">
      <c r="A9" s="26">
        <v>6</v>
      </c>
      <c r="B9" s="27">
        <v>46148</v>
      </c>
      <c r="C9" s="17"/>
      <c r="D9" s="17"/>
      <c r="E9" s="86"/>
      <c r="F9" s="86"/>
      <c r="G9" s="17">
        <f t="shared" si="4"/>
        <v>0</v>
      </c>
      <c r="H9" s="86"/>
      <c r="I9" s="86"/>
      <c r="J9" s="17">
        <f t="shared" si="5"/>
        <v>0</v>
      </c>
      <c r="K9" s="17">
        <f t="shared" si="6"/>
        <v>0</v>
      </c>
      <c r="L9" s="17">
        <f t="shared" si="2"/>
        <v>0</v>
      </c>
      <c r="M9" s="17">
        <f t="shared" si="3"/>
        <v>0</v>
      </c>
      <c r="N9" s="44"/>
    </row>
    <row r="10" spans="1:14">
      <c r="A10" s="26">
        <v>7</v>
      </c>
      <c r="B10" s="27">
        <v>46149</v>
      </c>
      <c r="C10" s="17"/>
      <c r="D10" s="17"/>
      <c r="E10" s="86"/>
      <c r="F10" s="86"/>
      <c r="G10" s="17">
        <f t="shared" si="4"/>
        <v>0</v>
      </c>
      <c r="H10" s="86"/>
      <c r="I10" s="86"/>
      <c r="J10" s="17">
        <f t="shared" si="5"/>
        <v>0</v>
      </c>
      <c r="K10" s="17">
        <f t="shared" si="6"/>
        <v>0</v>
      </c>
      <c r="L10" s="17">
        <f t="shared" si="2"/>
        <v>0</v>
      </c>
      <c r="M10" s="17">
        <f t="shared" si="3"/>
        <v>0</v>
      </c>
      <c r="N10" s="44"/>
    </row>
    <row r="11" spans="1:14">
      <c r="A11" s="26">
        <v>8</v>
      </c>
      <c r="B11" s="27">
        <v>46150</v>
      </c>
      <c r="C11" s="17"/>
      <c r="D11" s="17"/>
      <c r="E11" s="86"/>
      <c r="F11" s="86"/>
      <c r="G11" s="17">
        <f t="shared" si="4"/>
        <v>0</v>
      </c>
      <c r="H11" s="86"/>
      <c r="I11" s="86"/>
      <c r="J11" s="17">
        <f t="shared" si="5"/>
        <v>0</v>
      </c>
      <c r="K11" s="17">
        <f t="shared" si="6"/>
        <v>0</v>
      </c>
      <c r="L11" s="17">
        <f t="shared" si="2"/>
        <v>0</v>
      </c>
      <c r="M11" s="17">
        <f t="shared" si="3"/>
        <v>0</v>
      </c>
      <c r="N11" s="44"/>
    </row>
    <row r="12" spans="1:14">
      <c r="A12" s="26">
        <v>9</v>
      </c>
      <c r="B12" s="27">
        <v>46151</v>
      </c>
      <c r="C12" s="17"/>
      <c r="D12" s="17"/>
      <c r="E12" s="86"/>
      <c r="F12" s="86"/>
      <c r="G12" s="17">
        <f t="shared" si="4"/>
        <v>0</v>
      </c>
      <c r="H12" s="86"/>
      <c r="I12" s="86"/>
      <c r="J12" s="17">
        <f t="shared" si="5"/>
        <v>0</v>
      </c>
      <c r="K12" s="17">
        <f t="shared" si="6"/>
        <v>0</v>
      </c>
      <c r="L12" s="17">
        <f t="shared" si="2"/>
        <v>0</v>
      </c>
      <c r="M12" s="17">
        <f t="shared" si="3"/>
        <v>0</v>
      </c>
      <c r="N12" s="44"/>
    </row>
    <row r="13" spans="1:14">
      <c r="A13" s="26">
        <v>10</v>
      </c>
      <c r="B13" s="27">
        <v>46152</v>
      </c>
      <c r="C13" s="17"/>
      <c r="D13" s="17"/>
      <c r="E13" s="86"/>
      <c r="F13" s="86"/>
      <c r="G13" s="17">
        <f t="shared" si="4"/>
        <v>0</v>
      </c>
      <c r="H13" s="86"/>
      <c r="I13" s="86"/>
      <c r="J13" s="17">
        <f t="shared" si="5"/>
        <v>0</v>
      </c>
      <c r="K13" s="17">
        <f t="shared" si="6"/>
        <v>0</v>
      </c>
      <c r="L13" s="17">
        <f t="shared" si="2"/>
        <v>0</v>
      </c>
      <c r="M13" s="17">
        <f t="shared" si="3"/>
        <v>0</v>
      </c>
      <c r="N13" s="44"/>
    </row>
    <row r="14" spans="1:14">
      <c r="A14" s="26">
        <v>11</v>
      </c>
      <c r="B14" s="27">
        <v>46153</v>
      </c>
      <c r="C14" s="17"/>
      <c r="D14" s="17"/>
      <c r="E14" s="86"/>
      <c r="F14" s="86"/>
      <c r="G14" s="17">
        <f t="shared" si="4"/>
        <v>0</v>
      </c>
      <c r="H14" s="86"/>
      <c r="I14" s="86"/>
      <c r="J14" s="17">
        <f t="shared" si="5"/>
        <v>0</v>
      </c>
      <c r="K14" s="17">
        <f t="shared" si="6"/>
        <v>0</v>
      </c>
      <c r="L14" s="17">
        <f t="shared" si="2"/>
        <v>0</v>
      </c>
      <c r="M14" s="17">
        <f t="shared" si="3"/>
        <v>0</v>
      </c>
      <c r="N14" s="44"/>
    </row>
    <row r="15" spans="1:14">
      <c r="A15" s="26">
        <v>12</v>
      </c>
      <c r="B15" s="27">
        <v>46154</v>
      </c>
      <c r="C15" s="17"/>
      <c r="D15" s="17"/>
      <c r="E15" s="86"/>
      <c r="F15" s="86"/>
      <c r="G15" s="17">
        <f t="shared" si="4"/>
        <v>0</v>
      </c>
      <c r="H15" s="86"/>
      <c r="I15" s="86"/>
      <c r="J15" s="17">
        <f t="shared" si="5"/>
        <v>0</v>
      </c>
      <c r="K15" s="17">
        <f t="shared" si="6"/>
        <v>0</v>
      </c>
      <c r="L15" s="17">
        <f t="shared" si="2"/>
        <v>0</v>
      </c>
      <c r="M15" s="17">
        <f t="shared" si="3"/>
        <v>0</v>
      </c>
      <c r="N15" s="44"/>
    </row>
    <row r="16" spans="1:14">
      <c r="A16" s="26">
        <v>13</v>
      </c>
      <c r="B16" s="27">
        <v>46155</v>
      </c>
      <c r="C16" s="17"/>
      <c r="D16" s="17"/>
      <c r="E16" s="86"/>
      <c r="F16" s="86"/>
      <c r="G16" s="17">
        <f t="shared" si="4"/>
        <v>0</v>
      </c>
      <c r="H16" s="86"/>
      <c r="I16" s="86"/>
      <c r="J16" s="17">
        <f t="shared" si="5"/>
        <v>0</v>
      </c>
      <c r="K16" s="17">
        <f t="shared" si="6"/>
        <v>0</v>
      </c>
      <c r="L16" s="17">
        <f t="shared" si="2"/>
        <v>0</v>
      </c>
      <c r="M16" s="17">
        <f t="shared" si="3"/>
        <v>0</v>
      </c>
      <c r="N16" s="44"/>
    </row>
    <row r="17" spans="1:14">
      <c r="A17" s="26">
        <v>14</v>
      </c>
      <c r="B17" s="27">
        <v>46156</v>
      </c>
      <c r="C17" s="17"/>
      <c r="D17" s="17"/>
      <c r="E17" s="86"/>
      <c r="F17" s="86"/>
      <c r="G17" s="17">
        <f t="shared" si="4"/>
        <v>0</v>
      </c>
      <c r="H17" s="86"/>
      <c r="I17" s="86"/>
      <c r="J17" s="17">
        <f t="shared" si="5"/>
        <v>0</v>
      </c>
      <c r="K17" s="17">
        <f t="shared" si="6"/>
        <v>0</v>
      </c>
      <c r="L17" s="17">
        <f t="shared" si="2"/>
        <v>0</v>
      </c>
      <c r="M17" s="17">
        <f t="shared" si="3"/>
        <v>0</v>
      </c>
      <c r="N17" s="44"/>
    </row>
    <row r="18" spans="1:14">
      <c r="A18" s="26">
        <v>15</v>
      </c>
      <c r="B18" s="27">
        <v>46157</v>
      </c>
      <c r="C18" s="17"/>
      <c r="D18" s="17"/>
      <c r="E18" s="86">
        <v>100</v>
      </c>
      <c r="F18" s="86">
        <v>91.91</v>
      </c>
      <c r="G18" s="17">
        <f t="shared" si="4"/>
        <v>9191</v>
      </c>
      <c r="H18" s="86"/>
      <c r="I18" s="86"/>
      <c r="J18" s="17">
        <f t="shared" si="5"/>
        <v>0</v>
      </c>
      <c r="K18" s="17">
        <f t="shared" si="6"/>
        <v>9191</v>
      </c>
      <c r="L18" s="17">
        <f t="shared" si="2"/>
        <v>9191</v>
      </c>
      <c r="M18" s="17">
        <f t="shared" si="3"/>
        <v>0</v>
      </c>
      <c r="N18" s="44"/>
    </row>
    <row r="19" spans="1:14">
      <c r="A19" s="26">
        <v>16</v>
      </c>
      <c r="B19" s="27">
        <v>46158</v>
      </c>
      <c r="C19" s="17"/>
      <c r="D19" s="17"/>
      <c r="E19" s="86"/>
      <c r="F19" s="86"/>
      <c r="G19" s="17">
        <f t="shared" si="4"/>
        <v>0</v>
      </c>
      <c r="H19" s="86"/>
      <c r="I19" s="86"/>
      <c r="J19" s="17">
        <f t="shared" si="5"/>
        <v>0</v>
      </c>
      <c r="K19" s="17">
        <f t="shared" si="6"/>
        <v>0</v>
      </c>
      <c r="L19" s="17">
        <f t="shared" si="2"/>
        <v>0</v>
      </c>
      <c r="M19" s="17">
        <f t="shared" si="3"/>
        <v>0</v>
      </c>
      <c r="N19" s="44"/>
    </row>
    <row r="20" spans="1:14">
      <c r="A20" s="26">
        <v>17</v>
      </c>
      <c r="B20" s="27">
        <v>46159</v>
      </c>
      <c r="C20" s="17"/>
      <c r="D20" s="17"/>
      <c r="E20" s="86">
        <v>100</v>
      </c>
      <c r="F20" s="86">
        <v>95.03</v>
      </c>
      <c r="G20" s="17">
        <f t="shared" si="4"/>
        <v>9503</v>
      </c>
      <c r="H20" s="86"/>
      <c r="I20" s="86"/>
      <c r="J20" s="17">
        <f t="shared" si="5"/>
        <v>0</v>
      </c>
      <c r="K20" s="17">
        <f t="shared" si="6"/>
        <v>9503</v>
      </c>
      <c r="L20" s="17">
        <f t="shared" si="2"/>
        <v>9503</v>
      </c>
      <c r="M20" s="17">
        <f t="shared" si="3"/>
        <v>0</v>
      </c>
      <c r="N20" s="44" t="s">
        <v>180</v>
      </c>
    </row>
    <row r="21" spans="1:14">
      <c r="A21" s="26">
        <v>18</v>
      </c>
      <c r="B21" s="27">
        <v>46160</v>
      </c>
      <c r="C21" s="17"/>
      <c r="D21" s="17"/>
      <c r="E21" s="86">
        <v>105</v>
      </c>
      <c r="F21" s="86">
        <v>95</v>
      </c>
      <c r="G21" s="17">
        <f t="shared" si="4"/>
        <v>9975</v>
      </c>
      <c r="H21" s="86"/>
      <c r="I21" s="86"/>
      <c r="J21" s="17">
        <f t="shared" si="5"/>
        <v>0</v>
      </c>
      <c r="K21" s="17">
        <f t="shared" si="6"/>
        <v>9975</v>
      </c>
      <c r="L21" s="17">
        <f t="shared" si="2"/>
        <v>9975</v>
      </c>
      <c r="M21" s="17">
        <f t="shared" si="3"/>
        <v>0</v>
      </c>
      <c r="N21" s="44" t="s">
        <v>180</v>
      </c>
    </row>
    <row r="22" spans="1:14">
      <c r="A22" s="26">
        <v>19</v>
      </c>
      <c r="B22" s="27">
        <v>46161</v>
      </c>
      <c r="C22" s="17"/>
      <c r="D22" s="17"/>
      <c r="E22" s="86"/>
      <c r="F22" s="86"/>
      <c r="G22" s="17">
        <f t="shared" si="4"/>
        <v>0</v>
      </c>
      <c r="H22" s="86"/>
      <c r="I22" s="86"/>
      <c r="J22" s="17">
        <f t="shared" si="5"/>
        <v>0</v>
      </c>
      <c r="K22" s="17">
        <f t="shared" si="6"/>
        <v>0</v>
      </c>
      <c r="L22" s="17">
        <f t="shared" si="2"/>
        <v>0</v>
      </c>
      <c r="M22" s="17">
        <f t="shared" si="3"/>
        <v>0</v>
      </c>
      <c r="N22" s="44"/>
    </row>
    <row r="23" spans="1:14">
      <c r="A23" s="26">
        <v>20</v>
      </c>
      <c r="B23" s="27">
        <v>46162</v>
      </c>
      <c r="C23" s="17"/>
      <c r="D23" s="17"/>
      <c r="E23" s="86"/>
      <c r="F23" s="86"/>
      <c r="G23" s="17">
        <f t="shared" si="4"/>
        <v>0</v>
      </c>
      <c r="H23" s="86"/>
      <c r="I23" s="86"/>
      <c r="J23" s="17">
        <f t="shared" si="5"/>
        <v>0</v>
      </c>
      <c r="K23" s="17">
        <f t="shared" si="6"/>
        <v>0</v>
      </c>
      <c r="L23" s="17">
        <f t="shared" si="2"/>
        <v>0</v>
      </c>
      <c r="M23" s="17">
        <f t="shared" si="3"/>
        <v>0</v>
      </c>
      <c r="N23" s="44"/>
    </row>
    <row r="24" spans="1:14">
      <c r="A24" s="26">
        <v>21</v>
      </c>
      <c r="B24" s="27">
        <v>46163</v>
      </c>
      <c r="C24" s="17"/>
      <c r="D24" s="17"/>
      <c r="E24" s="86"/>
      <c r="F24" s="86"/>
      <c r="G24" s="17">
        <f t="shared" si="4"/>
        <v>0</v>
      </c>
      <c r="H24" s="86"/>
      <c r="I24" s="86"/>
      <c r="J24" s="17">
        <f t="shared" si="5"/>
        <v>0</v>
      </c>
      <c r="K24" s="17">
        <f t="shared" si="6"/>
        <v>0</v>
      </c>
      <c r="L24" s="17">
        <f t="shared" si="2"/>
        <v>0</v>
      </c>
      <c r="M24" s="17">
        <f t="shared" si="3"/>
        <v>0</v>
      </c>
      <c r="N24" s="44"/>
    </row>
    <row r="25" spans="1:14">
      <c r="A25" s="26">
        <v>22</v>
      </c>
      <c r="B25" s="27">
        <v>46164</v>
      </c>
      <c r="C25" s="17"/>
      <c r="D25" s="17"/>
      <c r="E25" s="86"/>
      <c r="F25" s="86"/>
      <c r="G25" s="17">
        <f t="shared" si="4"/>
        <v>0</v>
      </c>
      <c r="H25" s="86"/>
      <c r="I25" s="86"/>
      <c r="J25" s="17">
        <f t="shared" si="5"/>
        <v>0</v>
      </c>
      <c r="K25" s="17">
        <f t="shared" si="6"/>
        <v>0</v>
      </c>
      <c r="L25" s="17">
        <f t="shared" si="2"/>
        <v>0</v>
      </c>
      <c r="M25" s="17">
        <f t="shared" si="3"/>
        <v>0</v>
      </c>
      <c r="N25" s="44"/>
    </row>
    <row r="26" spans="1:14">
      <c r="A26" s="26">
        <v>23</v>
      </c>
      <c r="B26" s="27">
        <v>46165</v>
      </c>
      <c r="C26" s="17"/>
      <c r="D26" s="17"/>
      <c r="E26" s="86">
        <v>100</v>
      </c>
      <c r="F26" s="86">
        <v>96.92</v>
      </c>
      <c r="G26" s="17">
        <f t="shared" si="4"/>
        <v>9692</v>
      </c>
      <c r="H26" s="86"/>
      <c r="I26" s="86"/>
      <c r="J26" s="17">
        <f t="shared" si="5"/>
        <v>0</v>
      </c>
      <c r="K26" s="17">
        <f t="shared" si="6"/>
        <v>9692</v>
      </c>
      <c r="L26" s="17">
        <f t="shared" si="2"/>
        <v>9692</v>
      </c>
      <c r="M26" s="17">
        <f t="shared" si="3"/>
        <v>0</v>
      </c>
      <c r="N26" s="44"/>
    </row>
    <row r="27" spans="1:14">
      <c r="A27" s="26">
        <v>24</v>
      </c>
      <c r="B27" s="27">
        <v>46166</v>
      </c>
      <c r="C27" s="17"/>
      <c r="D27" s="17"/>
      <c r="E27" s="86"/>
      <c r="F27" s="86"/>
      <c r="G27" s="17">
        <f t="shared" si="4"/>
        <v>0</v>
      </c>
      <c r="H27" s="86"/>
      <c r="I27" s="86"/>
      <c r="J27" s="17">
        <f t="shared" si="5"/>
        <v>0</v>
      </c>
      <c r="K27" s="17">
        <f t="shared" si="6"/>
        <v>0</v>
      </c>
      <c r="L27" s="17">
        <f t="shared" si="2"/>
        <v>0</v>
      </c>
      <c r="M27" s="17">
        <f t="shared" si="3"/>
        <v>0</v>
      </c>
      <c r="N27" s="44"/>
    </row>
    <row r="28" spans="1:14">
      <c r="A28" s="26">
        <v>25</v>
      </c>
      <c r="B28" s="27">
        <v>46167</v>
      </c>
      <c r="C28" s="17"/>
      <c r="D28" s="17"/>
      <c r="E28" s="86">
        <v>200</v>
      </c>
      <c r="F28" s="478">
        <v>99.7</v>
      </c>
      <c r="G28" s="17">
        <f t="shared" si="4"/>
        <v>19940</v>
      </c>
      <c r="H28" s="86">
        <v>44.73</v>
      </c>
      <c r="I28" s="478">
        <v>111.78</v>
      </c>
      <c r="J28" s="17">
        <f t="shared" si="5"/>
        <v>4999.9193999999998</v>
      </c>
      <c r="K28" s="17">
        <f>G28+J28</f>
        <v>24939.919399999999</v>
      </c>
      <c r="L28" s="17">
        <f t="shared" si="2"/>
        <v>24939.919399999999</v>
      </c>
      <c r="M28" s="17">
        <v>0</v>
      </c>
      <c r="N28" s="44"/>
    </row>
    <row r="29" spans="1:14">
      <c r="A29" s="26">
        <v>26</v>
      </c>
      <c r="B29" s="27">
        <v>46168</v>
      </c>
      <c r="C29" s="17"/>
      <c r="D29" s="17"/>
      <c r="E29" s="86"/>
      <c r="F29" s="86"/>
      <c r="G29" s="17">
        <f t="shared" si="4"/>
        <v>0</v>
      </c>
      <c r="H29" s="86"/>
      <c r="I29" s="86"/>
      <c r="J29" s="17">
        <f t="shared" si="5"/>
        <v>0</v>
      </c>
      <c r="K29" s="17">
        <f t="shared" si="6"/>
        <v>0</v>
      </c>
      <c r="L29" s="17">
        <f t="shared" si="2"/>
        <v>0</v>
      </c>
      <c r="M29" s="17">
        <v>0</v>
      </c>
      <c r="N29" s="44"/>
    </row>
    <row r="30" spans="1:14">
      <c r="A30" s="26">
        <v>27</v>
      </c>
      <c r="B30" s="27">
        <v>46169</v>
      </c>
      <c r="C30" s="17"/>
      <c r="D30" s="17"/>
      <c r="E30" s="86"/>
      <c r="F30" s="86"/>
      <c r="G30" s="17">
        <f t="shared" si="4"/>
        <v>0</v>
      </c>
      <c r="H30" s="86"/>
      <c r="I30" s="86"/>
      <c r="J30" s="17">
        <f t="shared" si="5"/>
        <v>0</v>
      </c>
      <c r="K30" s="17">
        <f t="shared" si="6"/>
        <v>0</v>
      </c>
      <c r="L30" s="17">
        <f t="shared" si="2"/>
        <v>0</v>
      </c>
      <c r="M30" s="17">
        <v>0</v>
      </c>
      <c r="N30" s="44" t="s">
        <v>180</v>
      </c>
    </row>
    <row r="31" spans="1:14">
      <c r="A31" s="26">
        <v>28</v>
      </c>
      <c r="B31" s="27">
        <v>46170</v>
      </c>
      <c r="C31" s="17"/>
      <c r="D31" s="17"/>
      <c r="E31" s="86"/>
      <c r="F31" s="86"/>
      <c r="G31" s="17">
        <f t="shared" si="4"/>
        <v>0</v>
      </c>
      <c r="H31" s="86"/>
      <c r="I31" s="86"/>
      <c r="J31" s="17">
        <f t="shared" si="5"/>
        <v>0</v>
      </c>
      <c r="K31" s="17">
        <f t="shared" si="6"/>
        <v>0</v>
      </c>
      <c r="L31" s="17">
        <f t="shared" si="2"/>
        <v>0</v>
      </c>
      <c r="M31" s="17">
        <v>0</v>
      </c>
      <c r="N31" s="44"/>
    </row>
    <row r="32" spans="1:14">
      <c r="A32" s="26">
        <v>29</v>
      </c>
      <c r="B32" s="27">
        <v>46171</v>
      </c>
      <c r="C32" s="17"/>
      <c r="D32" s="17"/>
      <c r="E32" s="86"/>
      <c r="F32" s="86"/>
      <c r="G32" s="17">
        <f t="shared" si="4"/>
        <v>0</v>
      </c>
      <c r="H32" s="86"/>
      <c r="I32" s="86"/>
      <c r="J32" s="17">
        <f t="shared" si="5"/>
        <v>0</v>
      </c>
      <c r="K32" s="17">
        <f t="shared" si="6"/>
        <v>0</v>
      </c>
      <c r="L32" s="17">
        <f t="shared" si="2"/>
        <v>0</v>
      </c>
      <c r="M32" s="17"/>
      <c r="N32" s="44"/>
    </row>
    <row r="33" spans="1:14">
      <c r="A33" s="26">
        <v>30</v>
      </c>
      <c r="B33" s="27">
        <v>46172</v>
      </c>
      <c r="C33" s="17"/>
      <c r="D33" s="17"/>
      <c r="E33" s="86">
        <v>160</v>
      </c>
      <c r="F33" s="86">
        <v>99.73</v>
      </c>
      <c r="G33" s="17">
        <f t="shared" si="4"/>
        <v>15956.800000000001</v>
      </c>
      <c r="H33" s="86"/>
      <c r="I33" s="86"/>
      <c r="J33" s="17">
        <f t="shared" si="5"/>
        <v>0</v>
      </c>
      <c r="K33" s="17">
        <f t="shared" si="6"/>
        <v>15956.800000000001</v>
      </c>
      <c r="L33" s="17">
        <f t="shared" si="2"/>
        <v>15956.800000000001</v>
      </c>
      <c r="M33" s="17"/>
      <c r="N33" s="44"/>
    </row>
    <row r="34" spans="1:14">
      <c r="A34" s="26">
        <v>31</v>
      </c>
      <c r="B34" s="27">
        <v>46173</v>
      </c>
      <c r="C34" s="17"/>
      <c r="D34" s="17"/>
      <c r="E34" s="86"/>
      <c r="F34" s="86"/>
      <c r="G34" s="17">
        <f t="shared" si="0"/>
        <v>0</v>
      </c>
      <c r="H34" s="86"/>
      <c r="I34" s="86"/>
      <c r="J34" s="17"/>
      <c r="K34" s="17">
        <f t="shared" si="6"/>
        <v>0</v>
      </c>
      <c r="L34" s="17">
        <f t="shared" si="2"/>
        <v>0</v>
      </c>
      <c r="M34" s="17"/>
      <c r="N34" s="44"/>
    </row>
    <row r="35" spans="1:14">
      <c r="A35" s="42"/>
      <c r="B35" s="42"/>
      <c r="C35" s="42"/>
      <c r="D35" s="42"/>
      <c r="E35" s="42">
        <f>SUM(E4:E34)</f>
        <v>965</v>
      </c>
      <c r="F35" s="42"/>
      <c r="G35" s="42">
        <f>SUM(G4:G34)</f>
        <v>92635.8</v>
      </c>
      <c r="H35" s="42">
        <f>SUM(H4:H34)</f>
        <v>44.73</v>
      </c>
      <c r="I35" s="42"/>
      <c r="J35" s="42">
        <f>SUM(J4:J34)</f>
        <v>4999.9193999999998</v>
      </c>
      <c r="K35" s="42">
        <f>SUM(K4:K34)</f>
        <v>97635.719400000002</v>
      </c>
      <c r="L35" s="42">
        <f>SUM(L4:L34)</f>
        <v>97635.719400000002</v>
      </c>
      <c r="M35" s="42"/>
      <c r="N35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T37"/>
  <sheetViews>
    <sheetView topLeftCell="A19" workbookViewId="0">
      <selection activeCell="H38" sqref="H38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9.28515625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20" ht="15.75" customHeight="1">
      <c r="A1" s="564" t="s">
        <v>108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</row>
    <row r="2" spans="1:20">
      <c r="A2" s="123" t="s">
        <v>0</v>
      </c>
      <c r="B2" s="123" t="s">
        <v>166</v>
      </c>
      <c r="C2" s="123" t="s">
        <v>167</v>
      </c>
      <c r="D2" s="123" t="s">
        <v>168</v>
      </c>
      <c r="E2" s="174" t="s">
        <v>169</v>
      </c>
      <c r="F2" s="174" t="s">
        <v>170</v>
      </c>
      <c r="G2" s="174" t="s">
        <v>171</v>
      </c>
      <c r="H2" s="174" t="s">
        <v>172</v>
      </c>
      <c r="I2" s="174" t="s">
        <v>170</v>
      </c>
      <c r="J2" s="174" t="s">
        <v>171</v>
      </c>
      <c r="K2" s="174" t="s">
        <v>173</v>
      </c>
      <c r="L2" s="123" t="s">
        <v>283</v>
      </c>
      <c r="M2" s="126" t="s">
        <v>174</v>
      </c>
      <c r="N2" s="123" t="s">
        <v>176</v>
      </c>
    </row>
    <row r="3" spans="1:20">
      <c r="A3" s="17"/>
      <c r="B3" s="17"/>
      <c r="C3" s="17"/>
      <c r="D3" s="17" t="s">
        <v>177</v>
      </c>
      <c r="E3" s="17"/>
      <c r="F3" s="17"/>
      <c r="G3" s="17"/>
      <c r="H3" s="17"/>
      <c r="I3" s="17"/>
      <c r="J3" s="17"/>
      <c r="K3" s="178">
        <v>114295.13099999998</v>
      </c>
      <c r="L3" s="17"/>
      <c r="M3" s="178">
        <v>114295.13099999998</v>
      </c>
      <c r="N3" s="17"/>
    </row>
    <row r="4" spans="1:20">
      <c r="A4" s="26">
        <v>1</v>
      </c>
      <c r="B4" s="27">
        <v>46143</v>
      </c>
      <c r="C4" s="136"/>
      <c r="D4" s="136"/>
      <c r="E4" s="93">
        <v>70</v>
      </c>
      <c r="F4" s="93">
        <v>90.88</v>
      </c>
      <c r="G4" s="178">
        <f>E4*F4</f>
        <v>6361.5999999999995</v>
      </c>
      <c r="H4" s="93"/>
      <c r="I4" s="93"/>
      <c r="J4" s="178"/>
      <c r="K4" s="178">
        <f>G4+J4</f>
        <v>6361.5999999999995</v>
      </c>
      <c r="L4" s="178"/>
      <c r="M4" s="178">
        <f>M3+K4-L4</f>
        <v>120656.73099999999</v>
      </c>
      <c r="N4" s="136"/>
    </row>
    <row r="5" spans="1:20">
      <c r="A5" s="26">
        <v>2</v>
      </c>
      <c r="B5" s="27">
        <v>46144</v>
      </c>
      <c r="C5" s="17"/>
      <c r="D5" s="136"/>
      <c r="E5" s="93"/>
      <c r="F5" s="93"/>
      <c r="G5" s="178">
        <f t="shared" ref="G5:G28" si="0">E5*F5</f>
        <v>0</v>
      </c>
      <c r="H5" s="93"/>
      <c r="I5" s="93"/>
      <c r="J5" s="178"/>
      <c r="K5" s="178">
        <f t="shared" ref="K5:K13" si="1">G5+J5</f>
        <v>0</v>
      </c>
      <c r="L5" s="178"/>
      <c r="M5" s="178">
        <f t="shared" ref="M5:M34" si="2">M4+K5-L5</f>
        <v>120656.73099999999</v>
      </c>
      <c r="N5" s="17"/>
      <c r="S5">
        <v>90.88</v>
      </c>
      <c r="T5">
        <v>102.77</v>
      </c>
    </row>
    <row r="6" spans="1:20">
      <c r="A6" s="26">
        <v>3</v>
      </c>
      <c r="B6" s="27">
        <v>46145</v>
      </c>
      <c r="C6" s="17"/>
      <c r="D6" s="136"/>
      <c r="E6" s="93">
        <v>100</v>
      </c>
      <c r="F6" s="93">
        <v>90.88</v>
      </c>
      <c r="G6" s="178">
        <f t="shared" si="0"/>
        <v>9088</v>
      </c>
      <c r="H6" s="93"/>
      <c r="I6" s="93"/>
      <c r="J6" s="178"/>
      <c r="K6" s="178">
        <f t="shared" si="1"/>
        <v>9088</v>
      </c>
      <c r="L6" s="178"/>
      <c r="M6" s="178">
        <f t="shared" si="2"/>
        <v>129744.73099999999</v>
      </c>
      <c r="N6" s="17"/>
    </row>
    <row r="7" spans="1:20">
      <c r="A7" s="26">
        <v>4</v>
      </c>
      <c r="B7" s="27">
        <v>46146</v>
      </c>
      <c r="C7" s="17"/>
      <c r="D7" s="136"/>
      <c r="E7" s="93">
        <v>272.20999999999998</v>
      </c>
      <c r="F7" s="93">
        <v>90.88</v>
      </c>
      <c r="G7" s="178">
        <f t="shared" si="0"/>
        <v>24738.444799999997</v>
      </c>
      <c r="H7" s="93"/>
      <c r="I7" s="93"/>
      <c r="J7" s="178"/>
      <c r="K7" s="178">
        <f t="shared" si="1"/>
        <v>24738.444799999997</v>
      </c>
      <c r="L7" s="178"/>
      <c r="M7" s="178">
        <f t="shared" si="2"/>
        <v>154483.17579999997</v>
      </c>
      <c r="N7" s="17"/>
    </row>
    <row r="8" spans="1:20">
      <c r="A8" s="26">
        <v>5</v>
      </c>
      <c r="B8" s="27">
        <v>46147</v>
      </c>
      <c r="C8" s="17"/>
      <c r="D8" s="136"/>
      <c r="E8" s="93"/>
      <c r="F8" s="93"/>
      <c r="G8" s="178">
        <f t="shared" si="0"/>
        <v>0</v>
      </c>
      <c r="H8" s="93">
        <v>5</v>
      </c>
      <c r="I8" s="93">
        <v>102.77</v>
      </c>
      <c r="J8" s="178">
        <f>H8*I8</f>
        <v>513.85</v>
      </c>
      <c r="K8" s="178">
        <f t="shared" si="1"/>
        <v>513.85</v>
      </c>
      <c r="L8" s="178"/>
      <c r="M8" s="178">
        <f t="shared" si="2"/>
        <v>154997.02579999997</v>
      </c>
      <c r="N8" s="17"/>
    </row>
    <row r="9" spans="1:20">
      <c r="A9" s="26">
        <v>6</v>
      </c>
      <c r="B9" s="27">
        <v>46148</v>
      </c>
      <c r="C9" s="17"/>
      <c r="D9" s="136"/>
      <c r="E9" s="93"/>
      <c r="F9" s="93"/>
      <c r="G9" s="178">
        <f t="shared" si="0"/>
        <v>0</v>
      </c>
      <c r="H9" s="93">
        <v>5</v>
      </c>
      <c r="I9" s="93">
        <v>102.77</v>
      </c>
      <c r="J9" s="178">
        <f>H9*I9</f>
        <v>513.85</v>
      </c>
      <c r="K9" s="178">
        <f t="shared" si="1"/>
        <v>513.85</v>
      </c>
      <c r="L9" s="178">
        <v>100000</v>
      </c>
      <c r="M9" s="178">
        <f t="shared" si="2"/>
        <v>55510.87579999998</v>
      </c>
      <c r="N9" s="17"/>
    </row>
    <row r="10" spans="1:20">
      <c r="A10" s="26">
        <v>7</v>
      </c>
      <c r="B10" s="27">
        <v>46149</v>
      </c>
      <c r="C10" s="17"/>
      <c r="D10" s="136"/>
      <c r="E10" s="93">
        <v>47</v>
      </c>
      <c r="F10" s="93">
        <v>90.88</v>
      </c>
      <c r="G10" s="178">
        <f t="shared" si="0"/>
        <v>4271.3599999999997</v>
      </c>
      <c r="H10" s="93"/>
      <c r="I10" s="93"/>
      <c r="J10" s="178">
        <f t="shared" ref="J10:J16" si="3">H10*I10</f>
        <v>0</v>
      </c>
      <c r="K10" s="178">
        <f t="shared" si="1"/>
        <v>4271.3599999999997</v>
      </c>
      <c r="L10" s="178"/>
      <c r="M10" s="178">
        <f t="shared" si="2"/>
        <v>59782.23579999998</v>
      </c>
      <c r="N10" s="17"/>
    </row>
    <row r="11" spans="1:20">
      <c r="A11" s="26">
        <v>8</v>
      </c>
      <c r="B11" s="27">
        <v>46150</v>
      </c>
      <c r="C11" s="17"/>
      <c r="D11" s="136"/>
      <c r="E11" s="93">
        <v>120</v>
      </c>
      <c r="F11" s="93">
        <v>90.88</v>
      </c>
      <c r="G11" s="178">
        <f t="shared" si="0"/>
        <v>10905.599999999999</v>
      </c>
      <c r="H11" s="93"/>
      <c r="I11" s="93"/>
      <c r="J11" s="178">
        <f t="shared" si="3"/>
        <v>0</v>
      </c>
      <c r="K11" s="178">
        <f t="shared" si="1"/>
        <v>10905.599999999999</v>
      </c>
      <c r="L11" s="178"/>
      <c r="M11" s="178">
        <f t="shared" si="2"/>
        <v>70687.835799999972</v>
      </c>
      <c r="N11" s="17"/>
    </row>
    <row r="12" spans="1:20">
      <c r="A12" s="26">
        <v>9</v>
      </c>
      <c r="B12" s="27">
        <v>46151</v>
      </c>
      <c r="C12" s="17"/>
      <c r="D12" s="136"/>
      <c r="E12" s="93"/>
      <c r="F12" s="93"/>
      <c r="G12" s="178">
        <f t="shared" si="0"/>
        <v>0</v>
      </c>
      <c r="H12" s="93">
        <v>0</v>
      </c>
      <c r="I12" s="93">
        <v>102.77</v>
      </c>
      <c r="J12" s="178">
        <f t="shared" si="3"/>
        <v>0</v>
      </c>
      <c r="K12" s="178">
        <f t="shared" si="1"/>
        <v>0</v>
      </c>
      <c r="L12" s="178"/>
      <c r="M12" s="178">
        <f t="shared" si="2"/>
        <v>70687.835799999972</v>
      </c>
      <c r="N12" s="17"/>
    </row>
    <row r="13" spans="1:20">
      <c r="A13" s="26">
        <v>10</v>
      </c>
      <c r="B13" s="27">
        <v>46152</v>
      </c>
      <c r="C13" s="17"/>
      <c r="D13" s="136"/>
      <c r="E13" s="93"/>
      <c r="F13" s="93"/>
      <c r="G13" s="178">
        <f t="shared" si="0"/>
        <v>0</v>
      </c>
      <c r="H13" s="93"/>
      <c r="I13" s="93"/>
      <c r="J13" s="178">
        <f t="shared" si="3"/>
        <v>0</v>
      </c>
      <c r="K13" s="178">
        <f t="shared" si="1"/>
        <v>0</v>
      </c>
      <c r="L13" s="178"/>
      <c r="M13" s="178">
        <f>M12+K13-L13</f>
        <v>70687.835799999972</v>
      </c>
      <c r="N13" s="17"/>
    </row>
    <row r="14" spans="1:20">
      <c r="A14" s="26">
        <v>11</v>
      </c>
      <c r="B14" s="27">
        <v>46153</v>
      </c>
      <c r="C14" s="17"/>
      <c r="D14" s="136"/>
      <c r="E14" s="93">
        <v>34</v>
      </c>
      <c r="F14" s="93">
        <v>90.88</v>
      </c>
      <c r="G14" s="178">
        <f t="shared" si="0"/>
        <v>3089.92</v>
      </c>
      <c r="H14" s="93">
        <v>10</v>
      </c>
      <c r="I14" s="93">
        <v>102.77</v>
      </c>
      <c r="J14" s="178">
        <f t="shared" si="3"/>
        <v>1027.7</v>
      </c>
      <c r="K14" s="178">
        <f t="shared" ref="K5:K34" si="4">G14+J14</f>
        <v>4117.62</v>
      </c>
      <c r="L14" s="178"/>
      <c r="M14" s="178">
        <f t="shared" si="2"/>
        <v>74805.455799999967</v>
      </c>
      <c r="N14" s="17"/>
    </row>
    <row r="15" spans="1:20">
      <c r="A15" s="26">
        <v>12</v>
      </c>
      <c r="B15" s="27">
        <v>46154</v>
      </c>
      <c r="C15" s="17"/>
      <c r="D15" s="136"/>
      <c r="E15" s="93">
        <v>48.4</v>
      </c>
      <c r="F15" s="93">
        <v>90.88</v>
      </c>
      <c r="G15" s="178">
        <f t="shared" si="0"/>
        <v>4398.5919999999996</v>
      </c>
      <c r="H15" s="93"/>
      <c r="I15" s="93"/>
      <c r="J15" s="178">
        <f t="shared" si="3"/>
        <v>0</v>
      </c>
      <c r="K15" s="178">
        <f t="shared" si="4"/>
        <v>4398.5919999999996</v>
      </c>
      <c r="L15" s="178"/>
      <c r="M15" s="178">
        <f t="shared" si="2"/>
        <v>79204.047799999971</v>
      </c>
      <c r="N15" s="17"/>
    </row>
    <row r="16" spans="1:20">
      <c r="A16" s="26">
        <v>13</v>
      </c>
      <c r="B16" s="27">
        <v>46155</v>
      </c>
      <c r="C16" s="17"/>
      <c r="D16" s="136"/>
      <c r="E16" s="93">
        <v>123.46</v>
      </c>
      <c r="F16" s="93">
        <v>90.88</v>
      </c>
      <c r="G16" s="178">
        <f t="shared" si="0"/>
        <v>11220.0448</v>
      </c>
      <c r="H16" s="93">
        <v>20</v>
      </c>
      <c r="I16" s="93">
        <v>102.77</v>
      </c>
      <c r="J16" s="178">
        <f t="shared" si="3"/>
        <v>2055.4</v>
      </c>
      <c r="K16" s="178">
        <f t="shared" si="4"/>
        <v>13275.444799999999</v>
      </c>
      <c r="L16" s="178"/>
      <c r="M16" s="178">
        <f t="shared" si="2"/>
        <v>92479.492599999969</v>
      </c>
      <c r="N16" s="17"/>
    </row>
    <row r="17" spans="1:15">
      <c r="A17" s="26">
        <v>14</v>
      </c>
      <c r="B17" s="27">
        <v>46156</v>
      </c>
      <c r="C17" s="17"/>
      <c r="D17" s="136"/>
      <c r="E17" s="93">
        <v>40</v>
      </c>
      <c r="F17" s="93">
        <v>90.88</v>
      </c>
      <c r="G17" s="178">
        <f t="shared" si="0"/>
        <v>3635.2</v>
      </c>
      <c r="H17" s="93"/>
      <c r="I17" s="93"/>
      <c r="J17" s="178"/>
      <c r="K17" s="178">
        <f t="shared" si="4"/>
        <v>3635.2</v>
      </c>
      <c r="L17" s="178"/>
      <c r="M17" s="178">
        <f t="shared" si="2"/>
        <v>96114.692599999966</v>
      </c>
      <c r="N17" s="17"/>
    </row>
    <row r="18" spans="1:15">
      <c r="A18" s="26">
        <v>15</v>
      </c>
      <c r="B18" s="27">
        <v>46157</v>
      </c>
      <c r="C18" s="17"/>
      <c r="D18" s="136"/>
      <c r="E18" s="93"/>
      <c r="F18" s="93"/>
      <c r="G18" s="178"/>
      <c r="H18" s="93"/>
      <c r="I18" s="93"/>
      <c r="J18" s="178"/>
      <c r="K18" s="178">
        <f t="shared" si="4"/>
        <v>0</v>
      </c>
      <c r="L18" s="178"/>
      <c r="M18" s="178">
        <f>M17+K18-L18</f>
        <v>96114.692599999966</v>
      </c>
      <c r="N18" s="17"/>
    </row>
    <row r="19" spans="1:15">
      <c r="A19" s="26">
        <v>16</v>
      </c>
      <c r="B19" s="27">
        <v>46158</v>
      </c>
      <c r="C19" s="17"/>
      <c r="D19" s="136"/>
      <c r="E19" s="93">
        <v>58</v>
      </c>
      <c r="F19" s="93">
        <v>94</v>
      </c>
      <c r="G19" s="178">
        <f t="shared" si="0"/>
        <v>5452</v>
      </c>
      <c r="H19" s="93">
        <v>5</v>
      </c>
      <c r="I19" s="93">
        <v>106.02</v>
      </c>
      <c r="J19" s="178">
        <f t="shared" ref="J5:J34" si="5">H19*I19</f>
        <v>530.1</v>
      </c>
      <c r="K19" s="178">
        <f t="shared" si="4"/>
        <v>5982.1</v>
      </c>
      <c r="L19" s="178"/>
      <c r="M19" s="178">
        <f t="shared" si="2"/>
        <v>102096.79259999997</v>
      </c>
      <c r="N19" s="17"/>
    </row>
    <row r="20" spans="1:15">
      <c r="A20" s="26">
        <v>17</v>
      </c>
      <c r="B20" s="27">
        <v>46159</v>
      </c>
      <c r="C20" s="17"/>
      <c r="D20" s="136"/>
      <c r="E20" s="93">
        <v>30</v>
      </c>
      <c r="F20" s="93">
        <v>94</v>
      </c>
      <c r="G20" s="178">
        <f t="shared" si="0"/>
        <v>2820</v>
      </c>
      <c r="H20" s="93">
        <v>5</v>
      </c>
      <c r="I20" s="93">
        <v>106.02</v>
      </c>
      <c r="J20" s="178">
        <f t="shared" si="5"/>
        <v>530.1</v>
      </c>
      <c r="K20" s="178">
        <f t="shared" si="4"/>
        <v>3350.1</v>
      </c>
      <c r="L20" s="178"/>
      <c r="M20" s="178">
        <f t="shared" si="2"/>
        <v>105446.89259999998</v>
      </c>
      <c r="N20" s="17"/>
      <c r="O20">
        <v>16.68</v>
      </c>
    </row>
    <row r="21" spans="1:15">
      <c r="A21" s="26">
        <v>18</v>
      </c>
      <c r="B21" s="27">
        <v>46160</v>
      </c>
      <c r="C21" s="17"/>
      <c r="D21" s="136"/>
      <c r="E21" s="93">
        <v>50</v>
      </c>
      <c r="F21" s="93">
        <v>94</v>
      </c>
      <c r="G21" s="178">
        <f t="shared" si="0"/>
        <v>4700</v>
      </c>
      <c r="H21" s="93"/>
      <c r="I21" s="93"/>
      <c r="J21" s="178">
        <f t="shared" si="5"/>
        <v>0</v>
      </c>
      <c r="K21" s="178">
        <f t="shared" si="4"/>
        <v>4700</v>
      </c>
      <c r="L21" s="178"/>
      <c r="M21" s="178">
        <f>M20+K21-L21</f>
        <v>110146.89259999998</v>
      </c>
      <c r="N21" s="17"/>
    </row>
    <row r="22" spans="1:15">
      <c r="A22" s="26">
        <v>19</v>
      </c>
      <c r="B22" s="27">
        <v>46161</v>
      </c>
      <c r="C22" s="17"/>
      <c r="D22" s="136"/>
      <c r="E22" s="93">
        <v>20</v>
      </c>
      <c r="F22" s="93">
        <v>94.94</v>
      </c>
      <c r="G22" s="178">
        <f t="shared" si="0"/>
        <v>1898.8</v>
      </c>
      <c r="H22" s="93">
        <v>10</v>
      </c>
      <c r="I22" s="93">
        <v>106.97</v>
      </c>
      <c r="J22" s="178">
        <f t="shared" si="5"/>
        <v>1069.7</v>
      </c>
      <c r="K22" s="178">
        <f t="shared" si="4"/>
        <v>2968.5</v>
      </c>
      <c r="L22" s="178"/>
      <c r="M22" s="178">
        <f t="shared" si="2"/>
        <v>113115.39259999998</v>
      </c>
      <c r="N22" s="17"/>
    </row>
    <row r="23" spans="1:15">
      <c r="A23" s="26">
        <v>20</v>
      </c>
      <c r="B23" s="27">
        <v>46162</v>
      </c>
      <c r="C23" s="17"/>
      <c r="D23" s="136"/>
      <c r="E23" s="93">
        <v>145.80000000000001</v>
      </c>
      <c r="F23" s="93">
        <v>94.94</v>
      </c>
      <c r="G23" s="178">
        <f t="shared" si="0"/>
        <v>13842.252</v>
      </c>
      <c r="H23" s="93"/>
      <c r="I23" s="93"/>
      <c r="J23" s="178">
        <f t="shared" si="5"/>
        <v>0</v>
      </c>
      <c r="K23" s="178">
        <f t="shared" si="4"/>
        <v>13842.252</v>
      </c>
      <c r="L23" s="178"/>
      <c r="M23" s="178">
        <f t="shared" si="2"/>
        <v>126957.64459999997</v>
      </c>
      <c r="N23" s="17">
        <v>0</v>
      </c>
    </row>
    <row r="24" spans="1:15">
      <c r="A24" s="26">
        <v>21</v>
      </c>
      <c r="B24" s="27">
        <v>46163</v>
      </c>
      <c r="C24" s="17"/>
      <c r="D24" s="136"/>
      <c r="E24" s="93">
        <v>21.06</v>
      </c>
      <c r="F24" s="93">
        <v>94.94</v>
      </c>
      <c r="G24" s="178">
        <f t="shared" si="0"/>
        <v>1999.4363999999998</v>
      </c>
      <c r="H24" s="93"/>
      <c r="I24" s="93"/>
      <c r="J24" s="178">
        <f t="shared" si="5"/>
        <v>0</v>
      </c>
      <c r="K24" s="178">
        <f t="shared" si="4"/>
        <v>1999.4363999999998</v>
      </c>
      <c r="L24" s="178">
        <v>2000</v>
      </c>
      <c r="M24" s="178">
        <f t="shared" si="2"/>
        <v>126957.08099999998</v>
      </c>
      <c r="N24" s="17"/>
    </row>
    <row r="25" spans="1:15">
      <c r="A25" s="26">
        <v>22</v>
      </c>
      <c r="B25" s="27">
        <v>46164</v>
      </c>
      <c r="C25" s="17"/>
      <c r="D25" s="136"/>
      <c r="E25" s="93">
        <v>30</v>
      </c>
      <c r="F25" s="93">
        <v>94.94</v>
      </c>
      <c r="G25" s="178">
        <f t="shared" si="0"/>
        <v>2848.2</v>
      </c>
      <c r="H25" s="93">
        <v>10</v>
      </c>
      <c r="I25" s="93">
        <v>106.97</v>
      </c>
      <c r="J25" s="178">
        <f t="shared" si="5"/>
        <v>1069.7</v>
      </c>
      <c r="K25" s="178">
        <f t="shared" si="4"/>
        <v>3917.8999999999996</v>
      </c>
      <c r="L25" s="178"/>
      <c r="M25" s="178">
        <f t="shared" si="2"/>
        <v>130874.98099999997</v>
      </c>
      <c r="N25" s="17"/>
    </row>
    <row r="26" spans="1:15">
      <c r="A26" s="26">
        <v>23</v>
      </c>
      <c r="B26" s="27">
        <v>46165</v>
      </c>
      <c r="C26" s="17"/>
      <c r="D26" s="136"/>
      <c r="E26" s="93">
        <v>314.08</v>
      </c>
      <c r="F26" s="93">
        <v>95.88</v>
      </c>
      <c r="G26" s="178">
        <f t="shared" si="0"/>
        <v>30113.990399999999</v>
      </c>
      <c r="H26" s="93"/>
      <c r="I26" s="93"/>
      <c r="J26" s="178">
        <f t="shared" si="5"/>
        <v>0</v>
      </c>
      <c r="K26" s="178">
        <f t="shared" si="4"/>
        <v>30113.990399999999</v>
      </c>
      <c r="L26" s="178"/>
      <c r="M26" s="178">
        <f t="shared" si="2"/>
        <v>160988.97139999998</v>
      </c>
      <c r="N26" s="17"/>
    </row>
    <row r="27" spans="1:15">
      <c r="A27" s="26">
        <v>24</v>
      </c>
      <c r="B27" s="27">
        <v>46166</v>
      </c>
      <c r="C27" s="17"/>
      <c r="D27" s="136"/>
      <c r="E27" s="93"/>
      <c r="F27" s="93"/>
      <c r="G27" s="178">
        <f t="shared" si="0"/>
        <v>0</v>
      </c>
      <c r="H27" s="93"/>
      <c r="I27" s="93"/>
      <c r="J27" s="178">
        <f t="shared" si="5"/>
        <v>0</v>
      </c>
      <c r="K27" s="178">
        <f t="shared" si="4"/>
        <v>0</v>
      </c>
      <c r="L27" s="178"/>
      <c r="M27" s="178">
        <f t="shared" si="2"/>
        <v>160988.97139999998</v>
      </c>
      <c r="N27" s="17"/>
    </row>
    <row r="28" spans="1:15">
      <c r="A28" s="26">
        <v>25</v>
      </c>
      <c r="B28" s="27">
        <v>46167</v>
      </c>
      <c r="C28" s="17"/>
      <c r="D28" s="136"/>
      <c r="E28" s="93">
        <v>35.520000000000003</v>
      </c>
      <c r="F28" s="93">
        <v>98.69</v>
      </c>
      <c r="G28" s="178">
        <f t="shared" si="0"/>
        <v>3505.4688000000001</v>
      </c>
      <c r="H28" s="93">
        <v>10</v>
      </c>
      <c r="I28" s="93">
        <v>110.74</v>
      </c>
      <c r="J28" s="178">
        <f t="shared" si="5"/>
        <v>1107.3999999999999</v>
      </c>
      <c r="K28" s="178">
        <f t="shared" si="4"/>
        <v>4612.8688000000002</v>
      </c>
      <c r="L28" s="178">
        <v>120000</v>
      </c>
      <c r="M28" s="178">
        <f t="shared" si="2"/>
        <v>45601.840199999977</v>
      </c>
      <c r="N28" s="17"/>
    </row>
    <row r="29" spans="1:15">
      <c r="A29" s="26">
        <v>26</v>
      </c>
      <c r="B29" s="27">
        <v>46168</v>
      </c>
      <c r="C29" s="17"/>
      <c r="D29" s="136"/>
      <c r="E29" s="93">
        <v>60.4</v>
      </c>
      <c r="F29" s="93">
        <v>98.69</v>
      </c>
      <c r="G29" s="178">
        <f t="shared" ref="G5:G34" si="6">F29*E29</f>
        <v>5960.8759999999993</v>
      </c>
      <c r="H29" s="93">
        <v>5</v>
      </c>
      <c r="I29" s="93">
        <v>110.74</v>
      </c>
      <c r="J29" s="178">
        <f t="shared" si="5"/>
        <v>553.69999999999993</v>
      </c>
      <c r="K29" s="178">
        <f t="shared" si="4"/>
        <v>6514.5759999999991</v>
      </c>
      <c r="L29" s="178">
        <v>6514.5759999999991</v>
      </c>
      <c r="M29" s="178">
        <f t="shared" si="2"/>
        <v>45601.840199999977</v>
      </c>
      <c r="N29" s="17"/>
    </row>
    <row r="30" spans="1:15">
      <c r="A30" s="26">
        <v>27</v>
      </c>
      <c r="B30" s="27">
        <v>46169</v>
      </c>
      <c r="C30" s="17"/>
      <c r="D30" s="136"/>
      <c r="E30" s="93">
        <v>106.02</v>
      </c>
      <c r="F30" s="93">
        <v>98.69</v>
      </c>
      <c r="G30" s="178">
        <f t="shared" si="6"/>
        <v>10463.113799999999</v>
      </c>
      <c r="H30" s="93"/>
      <c r="I30" s="93"/>
      <c r="J30" s="178">
        <f t="shared" si="5"/>
        <v>0</v>
      </c>
      <c r="K30" s="178">
        <f t="shared" si="4"/>
        <v>10463.113799999999</v>
      </c>
      <c r="L30" s="178"/>
      <c r="M30" s="178">
        <f t="shared" si="2"/>
        <v>56064.953999999976</v>
      </c>
      <c r="N30" s="17"/>
    </row>
    <row r="31" spans="1:15">
      <c r="A31" s="26">
        <v>28</v>
      </c>
      <c r="B31" s="27">
        <v>46170</v>
      </c>
      <c r="C31" s="17"/>
      <c r="D31" s="136"/>
      <c r="E31" s="93"/>
      <c r="F31" s="93"/>
      <c r="G31" s="178">
        <f t="shared" si="6"/>
        <v>0</v>
      </c>
      <c r="H31" s="93"/>
      <c r="I31" s="93"/>
      <c r="J31" s="178">
        <f t="shared" si="5"/>
        <v>0</v>
      </c>
      <c r="K31" s="178">
        <f t="shared" si="4"/>
        <v>0</v>
      </c>
      <c r="L31" s="178"/>
      <c r="M31" s="178">
        <f>M30+K31-L31</f>
        <v>56064.953999999976</v>
      </c>
      <c r="N31" s="17"/>
    </row>
    <row r="32" spans="1:15">
      <c r="A32" s="26">
        <v>29</v>
      </c>
      <c r="B32" s="27">
        <v>46171</v>
      </c>
      <c r="C32" s="17"/>
      <c r="D32" s="136"/>
      <c r="E32" s="93">
        <v>30</v>
      </c>
      <c r="F32" s="93">
        <v>98.69</v>
      </c>
      <c r="G32" s="178">
        <f t="shared" si="6"/>
        <v>2960.7</v>
      </c>
      <c r="H32" s="93"/>
      <c r="I32" s="93"/>
      <c r="J32" s="178">
        <f t="shared" si="5"/>
        <v>0</v>
      </c>
      <c r="K32" s="178">
        <f t="shared" si="4"/>
        <v>2960.7</v>
      </c>
      <c r="L32" s="178"/>
      <c r="M32" s="178">
        <f t="shared" si="2"/>
        <v>59025.653999999973</v>
      </c>
      <c r="N32" s="17"/>
    </row>
    <row r="33" spans="1:14">
      <c r="A33" s="26">
        <v>30</v>
      </c>
      <c r="B33" s="27">
        <v>46172</v>
      </c>
      <c r="C33" s="17"/>
      <c r="D33" s="136"/>
      <c r="E33" s="93"/>
      <c r="F33" s="93"/>
      <c r="G33" s="178">
        <f t="shared" si="6"/>
        <v>0</v>
      </c>
      <c r="H33" s="93"/>
      <c r="I33" s="93"/>
      <c r="J33" s="178">
        <f t="shared" si="5"/>
        <v>0</v>
      </c>
      <c r="K33" s="178">
        <f t="shared" si="4"/>
        <v>0</v>
      </c>
      <c r="L33" s="178"/>
      <c r="M33" s="178">
        <f t="shared" si="2"/>
        <v>59025.653999999973</v>
      </c>
      <c r="N33" s="17"/>
    </row>
    <row r="34" spans="1:14">
      <c r="A34" s="26">
        <v>31</v>
      </c>
      <c r="B34" s="27">
        <v>46173</v>
      </c>
      <c r="C34" s="17"/>
      <c r="D34" s="17"/>
      <c r="E34" s="93"/>
      <c r="F34" s="93"/>
      <c r="G34" s="178">
        <f t="shared" si="6"/>
        <v>0</v>
      </c>
      <c r="H34" s="93"/>
      <c r="I34" s="93"/>
      <c r="J34" s="178">
        <f t="shared" si="5"/>
        <v>0</v>
      </c>
      <c r="K34" s="178">
        <f t="shared" si="4"/>
        <v>0</v>
      </c>
      <c r="L34" s="136"/>
      <c r="M34" s="178">
        <f t="shared" si="2"/>
        <v>59025.653999999973</v>
      </c>
      <c r="N34" s="17"/>
    </row>
    <row r="35" spans="1:14">
      <c r="A35" s="42"/>
      <c r="B35" s="42"/>
      <c r="C35" s="42"/>
      <c r="D35" s="42"/>
      <c r="E35" s="42">
        <f>SUM(E4:E34)</f>
        <v>1755.95</v>
      </c>
      <c r="F35" s="42"/>
      <c r="G35" s="42">
        <f>SUM(G4:G34)</f>
        <v>164273.59899999999</v>
      </c>
      <c r="H35" s="42">
        <f>SUM(H4:H34)</f>
        <v>85</v>
      </c>
      <c r="I35" s="42"/>
      <c r="J35" s="42">
        <f>SUM(J4:J34)</f>
        <v>8971.5000000000018</v>
      </c>
      <c r="K35" s="42">
        <f>SUM(K4:K34)</f>
        <v>173245.09900000002</v>
      </c>
      <c r="L35" s="42">
        <f>SUM(L4:L34)</f>
        <v>228514.576</v>
      </c>
      <c r="M35" s="42">
        <f>SUM(M4:M34)</f>
        <v>2964597.5652000001</v>
      </c>
      <c r="N35" s="42"/>
    </row>
    <row r="37" spans="1:14">
      <c r="K37" s="22"/>
    </row>
  </sheetData>
  <mergeCells count="1">
    <mergeCell ref="A1:N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425B-F20E-4178-950E-FB51E0DEDA4F}">
  <dimension ref="A1:R40"/>
  <sheetViews>
    <sheetView workbookViewId="0">
      <selection activeCell="M36" sqref="M36"/>
    </sheetView>
  </sheetViews>
  <sheetFormatPr defaultRowHeight="15"/>
  <cols>
    <col min="2" max="2" width="14.42578125" customWidth="1"/>
    <col min="5" max="5" width="10.7109375" bestFit="1" customWidth="1"/>
    <col min="7" max="7" width="10.42578125" bestFit="1" customWidth="1"/>
    <col min="11" max="12" width="13.5703125" bestFit="1" customWidth="1"/>
    <col min="13" max="13" width="11.28515625" bestFit="1" customWidth="1"/>
  </cols>
  <sheetData>
    <row r="1" spans="1:18" ht="15.75">
      <c r="A1" s="564" t="s">
        <v>284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92"/>
      <c r="P1" s="92"/>
      <c r="Q1" s="92"/>
    </row>
    <row r="2" spans="1:18">
      <c r="A2" s="64" t="s">
        <v>0</v>
      </c>
      <c r="B2" s="64" t="s">
        <v>166</v>
      </c>
      <c r="C2" s="64" t="s">
        <v>167</v>
      </c>
      <c r="D2" s="64" t="s">
        <v>168</v>
      </c>
      <c r="E2" s="91" t="s">
        <v>169</v>
      </c>
      <c r="F2" s="91" t="s">
        <v>170</v>
      </c>
      <c r="G2" s="91" t="s">
        <v>171</v>
      </c>
      <c r="H2" s="91" t="s">
        <v>172</v>
      </c>
      <c r="I2" s="91" t="s">
        <v>170</v>
      </c>
      <c r="J2" s="91" t="s">
        <v>171</v>
      </c>
      <c r="K2" s="91" t="s">
        <v>173</v>
      </c>
      <c r="L2" s="85" t="s">
        <v>174</v>
      </c>
      <c r="M2" s="85" t="s">
        <v>175</v>
      </c>
      <c r="N2" s="64" t="s">
        <v>176</v>
      </c>
    </row>
    <row r="3" spans="1:18">
      <c r="A3" s="17"/>
      <c r="B3" s="17"/>
      <c r="C3" s="17"/>
      <c r="D3" s="17" t="s">
        <v>177</v>
      </c>
      <c r="E3" s="17"/>
      <c r="F3" s="17"/>
      <c r="G3" s="17"/>
      <c r="H3" s="17"/>
      <c r="I3" s="17"/>
      <c r="J3" s="17"/>
      <c r="K3" s="40">
        <v>567608.00526000012</v>
      </c>
      <c r="L3" s="17"/>
      <c r="M3" s="40">
        <v>567608.00526000012</v>
      </c>
      <c r="N3" s="17"/>
      <c r="O3" s="40">
        <v>26506.399999999994</v>
      </c>
    </row>
    <row r="4" spans="1:18">
      <c r="A4" s="26">
        <v>1</v>
      </c>
      <c r="B4" s="27">
        <v>46143</v>
      </c>
      <c r="C4" s="17"/>
      <c r="D4" s="17"/>
      <c r="E4" s="364"/>
      <c r="F4" s="93"/>
      <c r="G4" s="40">
        <f t="shared" ref="G4" si="0">E4*F4</f>
        <v>0</v>
      </c>
      <c r="H4" s="44"/>
      <c r="I4" s="44"/>
      <c r="J4" s="40">
        <f t="shared" ref="J4" si="1">H4*I4</f>
        <v>0</v>
      </c>
      <c r="K4" s="40">
        <f>G4+J4</f>
        <v>0</v>
      </c>
      <c r="L4" s="40"/>
      <c r="M4" s="40">
        <f>M3+K4-L4</f>
        <v>567608.00526000012</v>
      </c>
      <c r="N4" s="17"/>
    </row>
    <row r="5" spans="1:18">
      <c r="A5" s="26">
        <v>2</v>
      </c>
      <c r="B5" s="27">
        <v>46144</v>
      </c>
      <c r="C5" s="331"/>
      <c r="D5" s="17"/>
      <c r="E5" s="364">
        <v>500</v>
      </c>
      <c r="F5" s="93">
        <v>91.51</v>
      </c>
      <c r="G5" s="40">
        <f t="shared" ref="G5:G38" si="2">E5*F5</f>
        <v>45755</v>
      </c>
      <c r="H5" s="44">
        <v>4.83</v>
      </c>
      <c r="I5" s="44">
        <v>103.44</v>
      </c>
      <c r="J5" s="40">
        <f t="shared" ref="J5:J38" si="3">H5*I5</f>
        <v>499.61520000000002</v>
      </c>
      <c r="K5" s="40">
        <f t="shared" ref="K5:L39" si="4">G5+J5</f>
        <v>46254.6152</v>
      </c>
      <c r="L5" s="40">
        <v>46254.6152</v>
      </c>
      <c r="M5" s="40">
        <f>M4+K5-L5</f>
        <v>567608.00526000012</v>
      </c>
      <c r="N5" s="17" t="s">
        <v>285</v>
      </c>
    </row>
    <row r="6" spans="1:18">
      <c r="A6" s="26">
        <v>3</v>
      </c>
      <c r="B6" s="27">
        <v>46145</v>
      </c>
      <c r="C6" s="17"/>
      <c r="D6" s="17"/>
      <c r="E6" s="364">
        <v>300</v>
      </c>
      <c r="F6" s="93">
        <v>91.54</v>
      </c>
      <c r="G6" s="40">
        <f t="shared" si="2"/>
        <v>27462.000000000004</v>
      </c>
      <c r="H6" s="44"/>
      <c r="I6" s="44"/>
      <c r="J6" s="40">
        <f t="shared" si="3"/>
        <v>0</v>
      </c>
      <c r="K6" s="40">
        <f t="shared" si="4"/>
        <v>27462.000000000004</v>
      </c>
      <c r="L6" s="40"/>
      <c r="M6" s="40">
        <f>M5+K6-L6</f>
        <v>595070.00526000012</v>
      </c>
      <c r="N6" s="17"/>
    </row>
    <row r="7" spans="1:18">
      <c r="A7" s="26">
        <v>4</v>
      </c>
      <c r="B7" s="27">
        <v>46146</v>
      </c>
      <c r="C7" s="17"/>
      <c r="D7" s="17"/>
      <c r="E7" s="364">
        <v>300</v>
      </c>
      <c r="F7" s="93">
        <v>91.54</v>
      </c>
      <c r="G7" s="40">
        <f t="shared" si="2"/>
        <v>27462.000000000004</v>
      </c>
      <c r="H7" s="44">
        <v>4.83</v>
      </c>
      <c r="I7" s="44">
        <v>103.44</v>
      </c>
      <c r="J7" s="40">
        <f t="shared" si="3"/>
        <v>499.61520000000002</v>
      </c>
      <c r="K7" s="40">
        <f t="shared" si="4"/>
        <v>27961.615200000004</v>
      </c>
      <c r="L7" s="40">
        <v>567499</v>
      </c>
      <c r="M7" s="40">
        <f>M6+K7-L7</f>
        <v>55532.620460000122</v>
      </c>
      <c r="N7" s="17"/>
    </row>
    <row r="8" spans="1:18">
      <c r="A8" s="26">
        <v>5</v>
      </c>
      <c r="B8" s="27">
        <v>46147</v>
      </c>
      <c r="C8" s="17"/>
      <c r="D8" s="17"/>
      <c r="E8" s="364">
        <v>300</v>
      </c>
      <c r="F8" s="93">
        <v>91.54</v>
      </c>
      <c r="G8" s="40">
        <f t="shared" si="2"/>
        <v>27462.000000000004</v>
      </c>
      <c r="H8" s="44">
        <v>4.83</v>
      </c>
      <c r="I8" s="44">
        <v>103.44</v>
      </c>
      <c r="J8" s="40">
        <f t="shared" si="3"/>
        <v>499.61520000000002</v>
      </c>
      <c r="K8" s="40">
        <f t="shared" si="4"/>
        <v>27961.615200000004</v>
      </c>
      <c r="L8" s="40">
        <v>499.61520000000002</v>
      </c>
      <c r="M8" s="40">
        <f>M7+K8-L8</f>
        <v>82994.620460000122</v>
      </c>
      <c r="N8" s="17"/>
      <c r="R8" t="s">
        <v>286</v>
      </c>
    </row>
    <row r="9" spans="1:18">
      <c r="A9" s="26">
        <v>6</v>
      </c>
      <c r="B9" s="27">
        <v>46148</v>
      </c>
      <c r="C9" s="17"/>
      <c r="D9" s="17"/>
      <c r="E9" s="364">
        <v>300</v>
      </c>
      <c r="F9" s="93">
        <v>91.54</v>
      </c>
      <c r="G9" s="40">
        <f t="shared" si="2"/>
        <v>27462.000000000004</v>
      </c>
      <c r="H9" s="44">
        <v>24.15</v>
      </c>
      <c r="I9" s="44">
        <v>103.44</v>
      </c>
      <c r="J9" s="40">
        <f t="shared" si="3"/>
        <v>2498.076</v>
      </c>
      <c r="K9" s="40">
        <f t="shared" si="4"/>
        <v>29960.076000000005</v>
      </c>
      <c r="L9" s="40">
        <v>2498.076</v>
      </c>
      <c r="M9" s="40">
        <f t="shared" ref="M9:M39" si="5">M8+K9-L9</f>
        <v>110456.62046000012</v>
      </c>
      <c r="N9" s="17"/>
    </row>
    <row r="10" spans="1:18">
      <c r="A10" s="26">
        <v>7</v>
      </c>
      <c r="B10" s="27">
        <v>46149</v>
      </c>
      <c r="C10" s="17"/>
      <c r="D10" s="17"/>
      <c r="E10" s="364">
        <v>300</v>
      </c>
      <c r="F10" s="93">
        <v>91.54</v>
      </c>
      <c r="G10" s="40">
        <f t="shared" si="2"/>
        <v>27462.000000000004</v>
      </c>
      <c r="H10" s="44"/>
      <c r="I10" s="44"/>
      <c r="J10" s="40">
        <f t="shared" si="3"/>
        <v>0</v>
      </c>
      <c r="K10" s="40">
        <f t="shared" si="4"/>
        <v>27462.000000000004</v>
      </c>
      <c r="L10" s="40"/>
      <c r="M10" s="40">
        <f t="shared" si="5"/>
        <v>137918.62046000012</v>
      </c>
      <c r="N10" s="17"/>
      <c r="R10" t="str">
        <f>PROPER(R8)</f>
        <v xml:space="preserve">Sai Shiva Filling Station </v>
      </c>
    </row>
    <row r="11" spans="1:18">
      <c r="A11" s="26"/>
      <c r="B11" s="27">
        <v>46150</v>
      </c>
      <c r="C11" s="17"/>
      <c r="D11" s="17"/>
      <c r="E11" s="364">
        <v>300</v>
      </c>
      <c r="F11" s="93">
        <v>91.54</v>
      </c>
      <c r="G11" s="40">
        <f t="shared" si="2"/>
        <v>27462.000000000004</v>
      </c>
      <c r="H11" s="44">
        <v>14.49</v>
      </c>
      <c r="I11" s="44">
        <v>103.44</v>
      </c>
      <c r="J11" s="40">
        <f t="shared" si="3"/>
        <v>1498.8455999999999</v>
      </c>
      <c r="K11" s="40">
        <f t="shared" si="4"/>
        <v>28960.845600000004</v>
      </c>
      <c r="L11" s="40">
        <v>1498.8455999999999</v>
      </c>
      <c r="M11" s="40">
        <f t="shared" si="5"/>
        <v>165380.62046000012</v>
      </c>
      <c r="N11" s="17"/>
    </row>
    <row r="12" spans="1:18">
      <c r="A12" s="26">
        <v>8</v>
      </c>
      <c r="B12" s="27">
        <v>46151</v>
      </c>
      <c r="C12" s="17"/>
      <c r="D12" s="17"/>
      <c r="E12" s="405">
        <v>575</v>
      </c>
      <c r="F12" s="405">
        <v>91.54</v>
      </c>
      <c r="G12" s="40">
        <f t="shared" si="2"/>
        <v>52635.5</v>
      </c>
      <c r="H12" s="44">
        <v>4.83</v>
      </c>
      <c r="I12" s="44">
        <v>103.44</v>
      </c>
      <c r="J12" s="40">
        <f t="shared" si="3"/>
        <v>499.61520000000002</v>
      </c>
      <c r="K12" s="40">
        <f t="shared" si="4"/>
        <v>53135.1152</v>
      </c>
      <c r="L12" s="40">
        <v>499.61520000000002</v>
      </c>
      <c r="M12" s="40">
        <f t="shared" si="5"/>
        <v>218016.12046000012</v>
      </c>
      <c r="N12" s="17"/>
    </row>
    <row r="13" spans="1:18">
      <c r="A13" s="26">
        <v>9</v>
      </c>
      <c r="B13" s="27">
        <v>46152</v>
      </c>
      <c r="C13" s="17"/>
      <c r="D13" s="17"/>
      <c r="E13" s="405">
        <v>300</v>
      </c>
      <c r="F13" s="405">
        <v>91.54</v>
      </c>
      <c r="G13" s="40">
        <f t="shared" si="2"/>
        <v>27462.000000000004</v>
      </c>
      <c r="H13" s="44">
        <v>4.83</v>
      </c>
      <c r="I13" s="44">
        <v>103.44</v>
      </c>
      <c r="J13" s="40">
        <f t="shared" si="3"/>
        <v>499.61520000000002</v>
      </c>
      <c r="K13" s="40">
        <f t="shared" si="4"/>
        <v>27961.615200000004</v>
      </c>
      <c r="L13" s="40">
        <v>499.61520000000002</v>
      </c>
      <c r="M13" s="40">
        <f t="shared" si="5"/>
        <v>245478.12046000012</v>
      </c>
      <c r="N13" s="17"/>
    </row>
    <row r="14" spans="1:18">
      <c r="A14" s="26">
        <v>10</v>
      </c>
      <c r="B14" s="27">
        <v>46153</v>
      </c>
      <c r="C14" s="17"/>
      <c r="D14" s="17"/>
      <c r="E14" s="364">
        <v>375</v>
      </c>
      <c r="F14" s="93">
        <v>91.54</v>
      </c>
      <c r="G14" s="40">
        <f t="shared" si="2"/>
        <v>34327.5</v>
      </c>
      <c r="H14" s="44">
        <v>4.83</v>
      </c>
      <c r="I14" s="44">
        <v>103.44</v>
      </c>
      <c r="J14" s="40">
        <f t="shared" si="3"/>
        <v>499.61520000000002</v>
      </c>
      <c r="K14" s="40">
        <f t="shared" si="4"/>
        <v>34827.1152</v>
      </c>
      <c r="L14" s="40">
        <v>499.61520000000002</v>
      </c>
      <c r="M14" s="40">
        <f t="shared" si="5"/>
        <v>279805.62046000012</v>
      </c>
      <c r="N14" s="17"/>
    </row>
    <row r="15" spans="1:18">
      <c r="A15" s="26">
        <v>11</v>
      </c>
      <c r="B15" s="27">
        <v>46154</v>
      </c>
      <c r="C15" s="17"/>
      <c r="D15" s="17"/>
      <c r="E15" s="364">
        <v>500</v>
      </c>
      <c r="F15" s="93">
        <v>91.54</v>
      </c>
      <c r="G15" s="40">
        <f t="shared" si="2"/>
        <v>45770</v>
      </c>
      <c r="H15" s="44">
        <v>14.49</v>
      </c>
      <c r="I15" s="44">
        <v>103.44</v>
      </c>
      <c r="J15" s="40">
        <f t="shared" si="3"/>
        <v>1498.8455999999999</v>
      </c>
      <c r="K15" s="40">
        <f t="shared" si="4"/>
        <v>47268.845600000001</v>
      </c>
      <c r="L15" s="40">
        <v>1498.8455999999999</v>
      </c>
      <c r="M15" s="40">
        <f t="shared" si="5"/>
        <v>325575.62046000012</v>
      </c>
      <c r="N15" s="17"/>
    </row>
    <row r="16" spans="1:18">
      <c r="A16" s="26">
        <v>12</v>
      </c>
      <c r="B16" s="27">
        <v>46155</v>
      </c>
      <c r="C16" s="17"/>
      <c r="D16" s="93"/>
      <c r="E16" s="364">
        <v>300</v>
      </c>
      <c r="F16" s="93">
        <v>91.54</v>
      </c>
      <c r="G16" s="40">
        <f t="shared" si="2"/>
        <v>27462.000000000004</v>
      </c>
      <c r="H16" s="44">
        <v>4.83</v>
      </c>
      <c r="I16" s="44">
        <v>103.44</v>
      </c>
      <c r="J16" s="40">
        <f t="shared" si="3"/>
        <v>499.61520000000002</v>
      </c>
      <c r="K16" s="40">
        <f t="shared" si="4"/>
        <v>27961.615200000004</v>
      </c>
      <c r="L16" s="40">
        <v>499.61520000000002</v>
      </c>
      <c r="M16" s="40">
        <f t="shared" si="5"/>
        <v>353037.62046000012</v>
      </c>
      <c r="N16" s="17"/>
    </row>
    <row r="17" spans="1:17">
      <c r="A17" s="26"/>
      <c r="B17" s="27">
        <v>46155</v>
      </c>
      <c r="C17" s="17"/>
      <c r="D17" s="93"/>
      <c r="E17" s="364">
        <v>100</v>
      </c>
      <c r="F17" s="93">
        <v>91.19</v>
      </c>
      <c r="G17" s="40">
        <f t="shared" si="2"/>
        <v>9119</v>
      </c>
      <c r="H17" s="44"/>
      <c r="I17" s="44"/>
      <c r="J17" s="40"/>
      <c r="K17" s="40">
        <f t="shared" si="4"/>
        <v>9119</v>
      </c>
      <c r="L17" s="40">
        <v>9119</v>
      </c>
      <c r="M17" s="40">
        <f t="shared" si="5"/>
        <v>353037.62046000012</v>
      </c>
      <c r="N17" s="17"/>
    </row>
    <row r="18" spans="1:17">
      <c r="A18" s="26">
        <v>13</v>
      </c>
      <c r="B18" s="27">
        <v>46156</v>
      </c>
      <c r="C18" s="17"/>
      <c r="D18" s="17">
        <v>0</v>
      </c>
      <c r="E18" s="364">
        <v>300</v>
      </c>
      <c r="F18" s="93">
        <v>91.54</v>
      </c>
      <c r="G18" s="40">
        <f t="shared" si="2"/>
        <v>27462.000000000004</v>
      </c>
      <c r="H18" s="44">
        <v>24.15</v>
      </c>
      <c r="I18" s="44">
        <v>103.44</v>
      </c>
      <c r="J18" s="40">
        <f t="shared" si="3"/>
        <v>2498.076</v>
      </c>
      <c r="K18" s="40">
        <f t="shared" si="4"/>
        <v>29960.076000000005</v>
      </c>
      <c r="L18" s="40">
        <v>2498.076</v>
      </c>
      <c r="M18" s="40">
        <f t="shared" si="5"/>
        <v>380499.62046000012</v>
      </c>
      <c r="N18" s="17"/>
      <c r="Q18" s="319"/>
    </row>
    <row r="19" spans="1:17">
      <c r="A19" s="26">
        <v>14</v>
      </c>
      <c r="B19" s="27">
        <v>46157</v>
      </c>
      <c r="C19" s="17"/>
      <c r="D19" s="17"/>
      <c r="E19" s="364">
        <v>300</v>
      </c>
      <c r="F19" s="93">
        <v>94.66</v>
      </c>
      <c r="G19" s="40">
        <f t="shared" si="2"/>
        <v>28398</v>
      </c>
      <c r="H19" s="44">
        <v>9.3800000000000008</v>
      </c>
      <c r="I19" s="44">
        <v>106.7</v>
      </c>
      <c r="J19" s="40">
        <f t="shared" si="3"/>
        <v>1000.8460000000001</v>
      </c>
      <c r="K19" s="40">
        <f t="shared" si="4"/>
        <v>29398.846000000001</v>
      </c>
      <c r="L19" s="40">
        <v>1000.8460000000001</v>
      </c>
      <c r="M19" s="40">
        <f t="shared" si="5"/>
        <v>408897.62046000012</v>
      </c>
      <c r="N19" s="17"/>
    </row>
    <row r="20" spans="1:17">
      <c r="A20" s="26">
        <v>15</v>
      </c>
      <c r="B20" s="27">
        <v>46158</v>
      </c>
      <c r="C20" s="17"/>
      <c r="D20" s="17"/>
      <c r="E20" s="364">
        <v>300</v>
      </c>
      <c r="F20" s="93">
        <v>94.66</v>
      </c>
      <c r="G20" s="40">
        <f t="shared" si="2"/>
        <v>28398</v>
      </c>
      <c r="H20" s="44">
        <v>9.69</v>
      </c>
      <c r="I20" s="44">
        <v>106.7</v>
      </c>
      <c r="J20" s="40">
        <f t="shared" si="3"/>
        <v>1033.923</v>
      </c>
      <c r="K20" s="40">
        <f t="shared" si="4"/>
        <v>29431.922999999999</v>
      </c>
      <c r="L20" s="40">
        <v>1033.923</v>
      </c>
      <c r="M20" s="40">
        <f t="shared" si="5"/>
        <v>437295.62046000012</v>
      </c>
      <c r="N20" s="17"/>
    </row>
    <row r="21" spans="1:17">
      <c r="A21" s="26">
        <v>16</v>
      </c>
      <c r="B21" s="27">
        <v>46159</v>
      </c>
      <c r="C21" s="17"/>
      <c r="D21" s="17"/>
      <c r="E21" s="364">
        <v>300</v>
      </c>
      <c r="F21" s="93">
        <v>94.66</v>
      </c>
      <c r="G21" s="40">
        <f t="shared" si="2"/>
        <v>28398</v>
      </c>
      <c r="H21" s="44"/>
      <c r="I21" s="44"/>
      <c r="J21" s="40">
        <f t="shared" si="3"/>
        <v>0</v>
      </c>
      <c r="K21" s="40">
        <f t="shared" si="4"/>
        <v>28398</v>
      </c>
      <c r="L21" s="40"/>
      <c r="M21" s="40">
        <f t="shared" si="5"/>
        <v>465693.62046000012</v>
      </c>
      <c r="N21" s="17"/>
    </row>
    <row r="22" spans="1:17">
      <c r="A22" s="26">
        <v>17</v>
      </c>
      <c r="B22" s="27">
        <v>46160</v>
      </c>
      <c r="C22" s="17"/>
      <c r="D22" s="17"/>
      <c r="E22" s="364">
        <v>300</v>
      </c>
      <c r="F22" s="93">
        <v>94.66</v>
      </c>
      <c r="G22" s="40">
        <f t="shared" si="2"/>
        <v>28398</v>
      </c>
      <c r="H22" s="44">
        <v>4.6900000000000004</v>
      </c>
      <c r="I22" s="44">
        <v>106.7</v>
      </c>
      <c r="J22" s="40">
        <f t="shared" si="3"/>
        <v>500.42300000000006</v>
      </c>
      <c r="K22" s="40">
        <f t="shared" si="4"/>
        <v>28898.422999999999</v>
      </c>
      <c r="L22" s="40">
        <v>500.42300000000006</v>
      </c>
      <c r="M22" s="40">
        <f t="shared" si="5"/>
        <v>494091.62046000012</v>
      </c>
      <c r="N22" s="17"/>
    </row>
    <row r="23" spans="1:17">
      <c r="A23" s="26"/>
      <c r="B23" s="27">
        <v>46160</v>
      </c>
      <c r="C23" s="17"/>
      <c r="D23" s="17"/>
      <c r="E23" s="364">
        <v>0</v>
      </c>
      <c r="F23" s="93">
        <v>0</v>
      </c>
      <c r="G23" s="40">
        <v>0</v>
      </c>
      <c r="H23" s="44">
        <v>0</v>
      </c>
      <c r="I23" s="44">
        <v>0</v>
      </c>
      <c r="J23" s="40">
        <v>0</v>
      </c>
      <c r="K23" s="40">
        <v>0</v>
      </c>
      <c r="L23" s="40">
        <v>300000</v>
      </c>
      <c r="M23" s="40">
        <f t="shared" si="5"/>
        <v>194091.62046000012</v>
      </c>
      <c r="N23" s="17"/>
    </row>
    <row r="24" spans="1:17">
      <c r="A24" s="26">
        <v>18</v>
      </c>
      <c r="B24" s="27">
        <v>46161</v>
      </c>
      <c r="C24" s="17"/>
      <c r="D24" s="17"/>
      <c r="E24" s="364">
        <v>300</v>
      </c>
      <c r="F24" s="93">
        <v>95.6</v>
      </c>
      <c r="G24" s="40">
        <f t="shared" si="2"/>
        <v>28680</v>
      </c>
      <c r="H24" s="44">
        <v>9.3000000000000007</v>
      </c>
      <c r="I24" s="44">
        <v>107.64</v>
      </c>
      <c r="J24" s="40">
        <f t="shared" si="3"/>
        <v>1001.0520000000001</v>
      </c>
      <c r="K24" s="40">
        <f t="shared" si="4"/>
        <v>29681.052</v>
      </c>
      <c r="L24" s="40">
        <v>1001.0520000000001</v>
      </c>
      <c r="M24" s="40">
        <f t="shared" si="5"/>
        <v>222771.62046000012</v>
      </c>
      <c r="N24" s="17"/>
      <c r="P24" s="22"/>
    </row>
    <row r="25" spans="1:17">
      <c r="A25" s="26">
        <v>19</v>
      </c>
      <c r="B25" s="27">
        <v>46162</v>
      </c>
      <c r="C25" s="17"/>
      <c r="D25" s="17"/>
      <c r="E25" s="364">
        <v>300</v>
      </c>
      <c r="F25" s="93">
        <v>95.6</v>
      </c>
      <c r="G25" s="40">
        <f t="shared" si="2"/>
        <v>28680</v>
      </c>
      <c r="H25" s="44">
        <v>18.600000000000001</v>
      </c>
      <c r="I25" s="44">
        <v>107.64</v>
      </c>
      <c r="J25" s="40">
        <f t="shared" si="3"/>
        <v>2002.1040000000003</v>
      </c>
      <c r="K25" s="40">
        <f t="shared" si="4"/>
        <v>30682.103999999999</v>
      </c>
      <c r="L25" s="40">
        <v>2002.1040000000003</v>
      </c>
      <c r="M25" s="40">
        <f t="shared" si="5"/>
        <v>251451.62046000012</v>
      </c>
      <c r="N25" s="17"/>
    </row>
    <row r="26" spans="1:17">
      <c r="A26" s="26">
        <v>20</v>
      </c>
      <c r="B26" s="27">
        <v>46163</v>
      </c>
      <c r="C26" s="17"/>
      <c r="D26" s="17"/>
      <c r="E26" s="364">
        <v>300</v>
      </c>
      <c r="F26" s="93">
        <v>95.6</v>
      </c>
      <c r="G26" s="40">
        <f t="shared" si="2"/>
        <v>28680</v>
      </c>
      <c r="H26" s="44"/>
      <c r="I26" s="44"/>
      <c r="J26" s="40">
        <f t="shared" si="3"/>
        <v>0</v>
      </c>
      <c r="K26" s="40">
        <f t="shared" si="4"/>
        <v>28680</v>
      </c>
      <c r="L26" s="40"/>
      <c r="M26" s="40">
        <f t="shared" si="5"/>
        <v>280131.62046000012</v>
      </c>
      <c r="N26" s="17"/>
    </row>
    <row r="27" spans="1:17">
      <c r="A27" s="26">
        <v>21</v>
      </c>
      <c r="B27" s="27">
        <v>46164</v>
      </c>
      <c r="C27" s="17"/>
      <c r="D27" s="17"/>
      <c r="E27" s="364">
        <v>300</v>
      </c>
      <c r="F27" s="93">
        <v>95.6</v>
      </c>
      <c r="G27" s="40">
        <f t="shared" si="2"/>
        <v>28680</v>
      </c>
      <c r="H27" s="44"/>
      <c r="I27" s="44"/>
      <c r="J27" s="40">
        <f t="shared" si="3"/>
        <v>0</v>
      </c>
      <c r="K27" s="40">
        <f t="shared" si="4"/>
        <v>28680</v>
      </c>
      <c r="L27" s="40">
        <v>100000</v>
      </c>
      <c r="M27" s="40">
        <f t="shared" si="5"/>
        <v>208811.62046000012</v>
      </c>
      <c r="N27" s="17"/>
    </row>
    <row r="28" spans="1:17">
      <c r="A28" s="26">
        <v>22</v>
      </c>
      <c r="B28" s="27">
        <v>46165</v>
      </c>
      <c r="C28" s="17"/>
      <c r="D28" s="17"/>
      <c r="E28" s="364">
        <v>300</v>
      </c>
      <c r="F28" s="93">
        <v>95.6</v>
      </c>
      <c r="G28" s="40">
        <f t="shared" si="2"/>
        <v>28680</v>
      </c>
      <c r="H28" s="44"/>
      <c r="I28" s="44"/>
      <c r="J28" s="40">
        <f t="shared" si="3"/>
        <v>0</v>
      </c>
      <c r="K28" s="40">
        <f t="shared" si="4"/>
        <v>28680</v>
      </c>
      <c r="L28" s="40"/>
      <c r="M28" s="40">
        <f t="shared" si="5"/>
        <v>237491.62046000012</v>
      </c>
      <c r="N28" s="17"/>
    </row>
    <row r="29" spans="1:17">
      <c r="A29" s="26">
        <v>23</v>
      </c>
      <c r="B29" s="27">
        <v>46166</v>
      </c>
      <c r="C29" s="17"/>
      <c r="D29" s="17"/>
      <c r="E29" s="364">
        <v>300</v>
      </c>
      <c r="F29" s="93">
        <v>95.6</v>
      </c>
      <c r="G29" s="40">
        <f t="shared" si="2"/>
        <v>28680</v>
      </c>
      <c r="H29" s="44"/>
      <c r="I29" s="44"/>
      <c r="J29" s="40">
        <f t="shared" si="3"/>
        <v>0</v>
      </c>
      <c r="K29" s="40">
        <f t="shared" si="4"/>
        <v>28680</v>
      </c>
      <c r="L29" s="40"/>
      <c r="M29" s="40">
        <f t="shared" si="5"/>
        <v>266171.62046000012</v>
      </c>
      <c r="N29" s="17"/>
    </row>
    <row r="30" spans="1:17">
      <c r="A30" s="26">
        <v>24</v>
      </c>
      <c r="B30" s="27">
        <v>46167</v>
      </c>
      <c r="C30" s="17"/>
      <c r="D30" s="17"/>
      <c r="E30" s="364">
        <v>300</v>
      </c>
      <c r="F30" s="93">
        <v>99.35</v>
      </c>
      <c r="G30" s="40">
        <f t="shared" si="2"/>
        <v>29805</v>
      </c>
      <c r="H30" s="44"/>
      <c r="I30" s="44"/>
      <c r="J30" s="40">
        <f t="shared" si="3"/>
        <v>0</v>
      </c>
      <c r="K30" s="40">
        <f t="shared" si="4"/>
        <v>29805</v>
      </c>
      <c r="L30" s="40"/>
      <c r="M30" s="40">
        <f t="shared" si="5"/>
        <v>295976.62046000012</v>
      </c>
      <c r="N30" s="17"/>
      <c r="P30" s="22"/>
    </row>
    <row r="31" spans="1:17">
      <c r="A31" s="26">
        <v>25</v>
      </c>
      <c r="B31" s="27">
        <v>46168</v>
      </c>
      <c r="C31" s="17"/>
      <c r="D31" s="17"/>
      <c r="E31" s="364">
        <v>300</v>
      </c>
      <c r="F31" s="93">
        <v>99.35</v>
      </c>
      <c r="G31" s="40">
        <f t="shared" si="2"/>
        <v>29805</v>
      </c>
      <c r="H31" s="44"/>
      <c r="I31" s="44"/>
      <c r="J31" s="40">
        <f t="shared" si="3"/>
        <v>0</v>
      </c>
      <c r="K31" s="40">
        <f t="shared" si="4"/>
        <v>29805</v>
      </c>
      <c r="L31" s="40"/>
      <c r="M31" s="40">
        <f t="shared" si="5"/>
        <v>325781.62046000012</v>
      </c>
      <c r="N31" s="17"/>
    </row>
    <row r="32" spans="1:17">
      <c r="A32" s="26">
        <v>26</v>
      </c>
      <c r="B32" s="27">
        <v>46169</v>
      </c>
      <c r="C32" s="17"/>
      <c r="D32" s="228"/>
      <c r="E32" s="364">
        <v>300</v>
      </c>
      <c r="F32" s="93">
        <v>99.35</v>
      </c>
      <c r="G32" s="40">
        <f t="shared" si="2"/>
        <v>29805</v>
      </c>
      <c r="H32" s="44"/>
      <c r="I32" s="44"/>
      <c r="J32" s="40">
        <f t="shared" si="3"/>
        <v>0</v>
      </c>
      <c r="K32" s="40">
        <f t="shared" si="4"/>
        <v>29805</v>
      </c>
      <c r="L32" s="40"/>
      <c r="M32" s="40">
        <f t="shared" si="5"/>
        <v>355586.62046000012</v>
      </c>
      <c r="N32" s="17"/>
      <c r="Q32">
        <v>166834</v>
      </c>
    </row>
    <row r="33" spans="1:17">
      <c r="A33" s="26">
        <v>27</v>
      </c>
      <c r="B33" s="27">
        <v>46170</v>
      </c>
      <c r="C33" s="17"/>
      <c r="D33" s="17"/>
      <c r="E33" s="364">
        <v>300</v>
      </c>
      <c r="F33" s="93">
        <v>99.35</v>
      </c>
      <c r="G33" s="40">
        <f t="shared" si="2"/>
        <v>29805</v>
      </c>
      <c r="H33" s="44"/>
      <c r="I33" s="44"/>
      <c r="J33" s="40">
        <f t="shared" si="3"/>
        <v>0</v>
      </c>
      <c r="K33" s="40">
        <f t="shared" si="4"/>
        <v>29805</v>
      </c>
      <c r="L33" s="40"/>
      <c r="M33" s="40">
        <f t="shared" si="5"/>
        <v>385391.62046000012</v>
      </c>
      <c r="N33" s="17"/>
    </row>
    <row r="34" spans="1:17">
      <c r="A34" s="26">
        <v>28</v>
      </c>
      <c r="B34" s="27">
        <v>46171</v>
      </c>
      <c r="C34" s="17"/>
      <c r="D34" s="17"/>
      <c r="E34" s="364">
        <v>300</v>
      </c>
      <c r="F34" s="93">
        <v>99.35</v>
      </c>
      <c r="G34" s="40">
        <f t="shared" si="2"/>
        <v>29805</v>
      </c>
      <c r="H34" s="44"/>
      <c r="I34" s="44"/>
      <c r="J34" s="40">
        <f t="shared" si="3"/>
        <v>0</v>
      </c>
      <c r="K34" s="40">
        <f t="shared" si="4"/>
        <v>29805</v>
      </c>
      <c r="L34" s="40"/>
      <c r="M34" s="40">
        <f t="shared" si="5"/>
        <v>415196.62046000012</v>
      </c>
      <c r="N34" s="17"/>
    </row>
    <row r="35" spans="1:17">
      <c r="A35" s="26">
        <v>29</v>
      </c>
      <c r="B35" s="27">
        <v>46172</v>
      </c>
      <c r="C35" s="17"/>
      <c r="D35" s="17"/>
      <c r="E35" s="364"/>
      <c r="F35" s="93"/>
      <c r="G35" s="40">
        <f t="shared" si="2"/>
        <v>0</v>
      </c>
      <c r="H35" s="44"/>
      <c r="I35" s="44"/>
      <c r="J35" s="40">
        <f t="shared" si="3"/>
        <v>0</v>
      </c>
      <c r="K35" s="40">
        <f t="shared" si="4"/>
        <v>0</v>
      </c>
      <c r="L35" s="40"/>
      <c r="M35" s="40">
        <f t="shared" si="5"/>
        <v>415196.62046000012</v>
      </c>
      <c r="N35" s="17"/>
    </row>
    <row r="36" spans="1:17">
      <c r="A36" s="26">
        <v>30</v>
      </c>
      <c r="B36" s="27">
        <v>46173</v>
      </c>
      <c r="C36" s="17"/>
      <c r="D36" s="17"/>
      <c r="E36" s="364">
        <v>300</v>
      </c>
      <c r="F36" s="93">
        <v>99.35</v>
      </c>
      <c r="G36" s="40">
        <f t="shared" si="2"/>
        <v>29805</v>
      </c>
      <c r="H36" s="44"/>
      <c r="I36" s="44"/>
      <c r="J36" s="40">
        <f t="shared" si="3"/>
        <v>0</v>
      </c>
      <c r="K36" s="40">
        <f t="shared" si="4"/>
        <v>29805</v>
      </c>
      <c r="L36" s="40"/>
      <c r="M36" s="40">
        <f t="shared" si="5"/>
        <v>445001.62046000012</v>
      </c>
      <c r="N36" s="17"/>
    </row>
    <row r="37" spans="1:17">
      <c r="A37" s="26">
        <v>31</v>
      </c>
      <c r="B37" s="27">
        <v>46174</v>
      </c>
      <c r="C37" s="17"/>
      <c r="D37" s="17"/>
      <c r="E37" s="364"/>
      <c r="F37" s="93"/>
      <c r="G37" s="40">
        <f t="shared" si="2"/>
        <v>0</v>
      </c>
      <c r="H37" s="44"/>
      <c r="I37" s="44"/>
      <c r="J37" s="40">
        <f t="shared" si="3"/>
        <v>0</v>
      </c>
      <c r="K37" s="40">
        <f t="shared" si="4"/>
        <v>0</v>
      </c>
      <c r="L37" s="40"/>
      <c r="M37" s="40">
        <f t="shared" si="5"/>
        <v>445001.62046000012</v>
      </c>
      <c r="N37" s="17"/>
      <c r="Q37" s="239"/>
    </row>
    <row r="38" spans="1:17">
      <c r="A38" s="26">
        <v>32</v>
      </c>
      <c r="B38" s="27"/>
      <c r="C38" s="17"/>
      <c r="D38" s="17"/>
      <c r="E38" s="364"/>
      <c r="F38" s="93"/>
      <c r="G38" s="40">
        <f t="shared" si="2"/>
        <v>0</v>
      </c>
      <c r="H38" s="44"/>
      <c r="I38" s="44"/>
      <c r="J38" s="40">
        <f t="shared" si="3"/>
        <v>0</v>
      </c>
      <c r="K38" s="40">
        <f t="shared" si="4"/>
        <v>0</v>
      </c>
      <c r="L38" s="40"/>
      <c r="M38" s="40">
        <f t="shared" si="5"/>
        <v>445001.62046000012</v>
      </c>
      <c r="N38" s="17"/>
      <c r="Q38" s="239"/>
    </row>
    <row r="39" spans="1:17">
      <c r="A39" s="26">
        <v>33</v>
      </c>
      <c r="B39" s="27"/>
      <c r="C39" s="17"/>
      <c r="D39" s="17"/>
      <c r="E39" s="93"/>
      <c r="F39" s="93"/>
      <c r="G39" s="40">
        <f t="shared" ref="G5:G39" si="6">E39*F39</f>
        <v>0</v>
      </c>
      <c r="H39" s="44"/>
      <c r="I39" s="44"/>
      <c r="J39" s="40">
        <f t="shared" ref="J5:J39" si="7">H39*I39</f>
        <v>0</v>
      </c>
      <c r="K39" s="40">
        <f t="shared" si="4"/>
        <v>0</v>
      </c>
      <c r="L39" s="40"/>
      <c r="M39" s="40">
        <f t="shared" si="5"/>
        <v>445001.62046000012</v>
      </c>
      <c r="N39" s="17"/>
      <c r="Q39" s="239"/>
    </row>
    <row r="40" spans="1:17">
      <c r="A40" s="42"/>
      <c r="B40" s="42"/>
      <c r="C40" s="42"/>
      <c r="D40" s="42"/>
      <c r="E40" s="42">
        <f>SUM(E4:E39)</f>
        <v>9550</v>
      </c>
      <c r="F40" s="42"/>
      <c r="G40" s="42">
        <f>SUM(G4:G39)</f>
        <v>899267</v>
      </c>
      <c r="H40" s="42">
        <f>SUM(H4:H39)</f>
        <v>162.75</v>
      </c>
      <c r="I40" s="42"/>
      <c r="J40" s="42">
        <f>SUM(J4:J39)</f>
        <v>17029.497600000002</v>
      </c>
      <c r="K40" s="42">
        <f>SUM(K4:K39)</f>
        <v>916296.4976</v>
      </c>
      <c r="L40" s="42">
        <f>SUM(L4:L39)</f>
        <v>1038902.8824</v>
      </c>
      <c r="M40" s="42"/>
      <c r="N40" s="42"/>
    </row>
  </sheetData>
  <mergeCells count="1">
    <mergeCell ref="A1:N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86DD-CD71-4150-9FE7-AC077EDC0FB9}">
  <dimension ref="A1:R39"/>
  <sheetViews>
    <sheetView topLeftCell="A14" workbookViewId="0">
      <selection activeCell="M38" sqref="M38"/>
    </sheetView>
  </sheetViews>
  <sheetFormatPr defaultRowHeight="15"/>
  <cols>
    <col min="1" max="1" width="5.140625" bestFit="1" customWidth="1"/>
    <col min="2" max="2" width="10.5703125" bestFit="1" customWidth="1"/>
    <col min="12" max="12" width="10.42578125" bestFit="1" customWidth="1"/>
    <col min="13" max="13" width="11.28515625" bestFit="1" customWidth="1"/>
  </cols>
  <sheetData>
    <row r="1" spans="1:18" ht="15.75">
      <c r="A1" s="564" t="s">
        <v>287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92"/>
      <c r="P1" s="92"/>
      <c r="Q1" s="92"/>
    </row>
    <row r="2" spans="1:18">
      <c r="A2" s="64" t="s">
        <v>0</v>
      </c>
      <c r="B2" s="64" t="s">
        <v>166</v>
      </c>
      <c r="C2" s="64" t="s">
        <v>167</v>
      </c>
      <c r="D2" s="64" t="s">
        <v>168</v>
      </c>
      <c r="E2" s="91" t="s">
        <v>169</v>
      </c>
      <c r="F2" s="91" t="s">
        <v>170</v>
      </c>
      <c r="G2" s="91" t="s">
        <v>171</v>
      </c>
      <c r="H2" s="91" t="s">
        <v>172</v>
      </c>
      <c r="I2" s="91" t="s">
        <v>170</v>
      </c>
      <c r="J2" s="91" t="s">
        <v>171</v>
      </c>
      <c r="K2" s="91" t="s">
        <v>173</v>
      </c>
      <c r="L2" s="85" t="s">
        <v>174</v>
      </c>
      <c r="M2" s="85" t="s">
        <v>175</v>
      </c>
      <c r="N2" s="64" t="s">
        <v>176</v>
      </c>
    </row>
    <row r="3" spans="1:18">
      <c r="A3" s="17"/>
      <c r="B3" s="17"/>
      <c r="C3" s="17"/>
      <c r="D3" s="17" t="s">
        <v>177</v>
      </c>
      <c r="E3" s="17"/>
      <c r="F3" s="17"/>
      <c r="G3" s="17"/>
      <c r="H3" s="17"/>
      <c r="I3" s="17"/>
      <c r="J3" s="17"/>
      <c r="K3" s="40">
        <v>0</v>
      </c>
      <c r="L3" s="17"/>
      <c r="M3" s="40">
        <v>0</v>
      </c>
      <c r="N3" s="17"/>
      <c r="O3" s="40">
        <v>26506.399999999994</v>
      </c>
    </row>
    <row r="4" spans="1:18">
      <c r="A4" s="26">
        <v>1</v>
      </c>
      <c r="B4" s="27">
        <v>46143</v>
      </c>
      <c r="C4" s="17"/>
      <c r="D4" s="17"/>
      <c r="E4" s="364"/>
      <c r="F4" s="93"/>
      <c r="G4" s="40">
        <f t="shared" ref="G4:G38" si="0">E4*F4</f>
        <v>0</v>
      </c>
      <c r="H4" s="44"/>
      <c r="I4" s="44"/>
      <c r="J4" s="40">
        <f t="shared" ref="J4:J38" si="1">H4*I4</f>
        <v>0</v>
      </c>
      <c r="K4" s="40">
        <f>G4+J4</f>
        <v>0</v>
      </c>
      <c r="L4" s="40"/>
      <c r="M4" s="40">
        <f>M3+K4-L4</f>
        <v>0</v>
      </c>
      <c r="N4" s="17"/>
    </row>
    <row r="5" spans="1:18">
      <c r="A5" s="26">
        <v>2</v>
      </c>
      <c r="B5" s="27">
        <v>46144</v>
      </c>
      <c r="C5" s="331"/>
      <c r="D5" s="17"/>
      <c r="E5" s="364"/>
      <c r="F5" s="93"/>
      <c r="G5" s="40">
        <f t="shared" si="0"/>
        <v>0</v>
      </c>
      <c r="H5" s="44"/>
      <c r="I5" s="44"/>
      <c r="J5" s="40">
        <f t="shared" si="1"/>
        <v>0</v>
      </c>
      <c r="K5" s="40">
        <f t="shared" ref="K5:K38" si="2">G5+J5</f>
        <v>0</v>
      </c>
      <c r="L5" s="40"/>
      <c r="M5" s="40">
        <f>M4+K5-L5</f>
        <v>0</v>
      </c>
      <c r="N5" s="17" t="s">
        <v>285</v>
      </c>
    </row>
    <row r="6" spans="1:18">
      <c r="A6" s="26">
        <v>3</v>
      </c>
      <c r="B6" s="27">
        <v>46145</v>
      </c>
      <c r="C6" s="17"/>
      <c r="D6" s="17"/>
      <c r="E6" s="364"/>
      <c r="F6" s="93"/>
      <c r="G6" s="40">
        <f t="shared" si="0"/>
        <v>0</v>
      </c>
      <c r="H6" s="44"/>
      <c r="I6" s="44"/>
      <c r="J6" s="40">
        <f t="shared" si="1"/>
        <v>0</v>
      </c>
      <c r="K6" s="40">
        <f t="shared" si="2"/>
        <v>0</v>
      </c>
      <c r="L6" s="40"/>
      <c r="M6" s="40">
        <f>M5+K6-L6</f>
        <v>0</v>
      </c>
      <c r="N6" s="17"/>
    </row>
    <row r="7" spans="1:18">
      <c r="A7" s="26">
        <v>4</v>
      </c>
      <c r="B7" s="27">
        <v>46146</v>
      </c>
      <c r="C7" s="17"/>
      <c r="D7" s="17"/>
      <c r="E7" s="364"/>
      <c r="F7" s="93"/>
      <c r="G7" s="40">
        <f t="shared" si="0"/>
        <v>0</v>
      </c>
      <c r="H7" s="44"/>
      <c r="I7" s="44"/>
      <c r="J7" s="40">
        <f t="shared" si="1"/>
        <v>0</v>
      </c>
      <c r="K7" s="40">
        <f t="shared" si="2"/>
        <v>0</v>
      </c>
      <c r="L7" s="40"/>
      <c r="M7" s="40">
        <f>M6+K7-L7</f>
        <v>0</v>
      </c>
      <c r="N7" s="17"/>
    </row>
    <row r="8" spans="1:18">
      <c r="A8" s="26">
        <v>5</v>
      </c>
      <c r="B8" s="27">
        <v>46147</v>
      </c>
      <c r="C8" s="17"/>
      <c r="D8" s="17"/>
      <c r="E8" s="364"/>
      <c r="F8" s="93"/>
      <c r="G8" s="40">
        <f t="shared" si="0"/>
        <v>0</v>
      </c>
      <c r="H8" s="44"/>
      <c r="I8" s="44"/>
      <c r="J8" s="40">
        <f t="shared" si="1"/>
        <v>0</v>
      </c>
      <c r="K8" s="40">
        <f t="shared" si="2"/>
        <v>0</v>
      </c>
      <c r="L8" s="40"/>
      <c r="M8" s="40">
        <f>M7+K8-L8</f>
        <v>0</v>
      </c>
      <c r="N8" s="17"/>
      <c r="R8" t="s">
        <v>286</v>
      </c>
    </row>
    <row r="9" spans="1:18">
      <c r="A9" s="26">
        <v>6</v>
      </c>
      <c r="B9" s="27">
        <v>46148</v>
      </c>
      <c r="C9" s="17"/>
      <c r="D9" s="17"/>
      <c r="E9" s="364"/>
      <c r="F9" s="93"/>
      <c r="G9" s="40">
        <f t="shared" si="0"/>
        <v>0</v>
      </c>
      <c r="H9" s="44"/>
      <c r="I9" s="44"/>
      <c r="J9" s="40">
        <f t="shared" si="1"/>
        <v>0</v>
      </c>
      <c r="K9" s="40">
        <f t="shared" si="2"/>
        <v>0</v>
      </c>
      <c r="L9" s="40"/>
      <c r="M9" s="40">
        <f t="shared" ref="M9:M38" si="3">M8+K9-L9</f>
        <v>0</v>
      </c>
      <c r="N9" s="17"/>
    </row>
    <row r="10" spans="1:18">
      <c r="A10" s="26">
        <v>7</v>
      </c>
      <c r="B10" s="27">
        <v>46149</v>
      </c>
      <c r="C10" s="17"/>
      <c r="D10" s="17"/>
      <c r="E10" s="364"/>
      <c r="F10" s="93"/>
      <c r="G10" s="40">
        <f t="shared" si="0"/>
        <v>0</v>
      </c>
      <c r="H10" s="44"/>
      <c r="I10" s="44"/>
      <c r="J10" s="40">
        <f t="shared" si="1"/>
        <v>0</v>
      </c>
      <c r="K10" s="40">
        <f t="shared" si="2"/>
        <v>0</v>
      </c>
      <c r="L10" s="40"/>
      <c r="M10" s="40">
        <f t="shared" si="3"/>
        <v>0</v>
      </c>
      <c r="N10" s="17"/>
      <c r="R10" t="str">
        <f>PROPER(R8)</f>
        <v xml:space="preserve">Sai Shiva Filling Station </v>
      </c>
    </row>
    <row r="11" spans="1:18">
      <c r="A11" s="26">
        <v>8</v>
      </c>
      <c r="B11" s="27">
        <v>46150</v>
      </c>
      <c r="C11" s="17"/>
      <c r="D11" s="17"/>
      <c r="E11" s="364"/>
      <c r="F11" s="93"/>
      <c r="G11" s="40">
        <f t="shared" si="0"/>
        <v>0</v>
      </c>
      <c r="H11" s="44"/>
      <c r="I11" s="44"/>
      <c r="J11" s="40">
        <f t="shared" si="1"/>
        <v>0</v>
      </c>
      <c r="K11" s="40">
        <f t="shared" si="2"/>
        <v>0</v>
      </c>
      <c r="L11" s="40"/>
      <c r="M11" s="40">
        <f t="shared" si="3"/>
        <v>0</v>
      </c>
      <c r="N11" s="17"/>
    </row>
    <row r="12" spans="1:18">
      <c r="A12" s="26">
        <v>9</v>
      </c>
      <c r="B12" s="27">
        <v>46151</v>
      </c>
      <c r="C12" s="17"/>
      <c r="D12" s="17"/>
      <c r="E12" s="405"/>
      <c r="F12" s="405"/>
      <c r="G12" s="40">
        <f t="shared" si="0"/>
        <v>0</v>
      </c>
      <c r="H12" s="44"/>
      <c r="I12" s="44"/>
      <c r="J12" s="40">
        <f t="shared" si="1"/>
        <v>0</v>
      </c>
      <c r="K12" s="40">
        <f t="shared" si="2"/>
        <v>0</v>
      </c>
      <c r="L12" s="40"/>
      <c r="M12" s="40">
        <f t="shared" si="3"/>
        <v>0</v>
      </c>
      <c r="N12" s="17"/>
    </row>
    <row r="13" spans="1:18">
      <c r="A13" s="26">
        <v>10</v>
      </c>
      <c r="B13" s="27">
        <v>46152</v>
      </c>
      <c r="C13" s="17"/>
      <c r="D13" s="17"/>
      <c r="E13" s="405"/>
      <c r="F13" s="405"/>
      <c r="G13" s="40">
        <f t="shared" si="0"/>
        <v>0</v>
      </c>
      <c r="H13" s="44"/>
      <c r="I13" s="44"/>
      <c r="J13" s="40">
        <f t="shared" si="1"/>
        <v>0</v>
      </c>
      <c r="K13" s="40">
        <f t="shared" si="2"/>
        <v>0</v>
      </c>
      <c r="L13" s="40"/>
      <c r="M13" s="40">
        <f t="shared" si="3"/>
        <v>0</v>
      </c>
      <c r="N13" s="17"/>
    </row>
    <row r="14" spans="1:18">
      <c r="A14" s="26">
        <v>11</v>
      </c>
      <c r="B14" s="27">
        <v>46153</v>
      </c>
      <c r="C14" s="17"/>
      <c r="D14" s="17"/>
      <c r="E14" s="364"/>
      <c r="F14" s="93"/>
      <c r="G14" s="40">
        <f t="shared" si="0"/>
        <v>0</v>
      </c>
      <c r="H14" s="44"/>
      <c r="I14" s="44"/>
      <c r="J14" s="40">
        <f t="shared" si="1"/>
        <v>0</v>
      </c>
      <c r="K14" s="40">
        <f t="shared" si="2"/>
        <v>0</v>
      </c>
      <c r="L14" s="40"/>
      <c r="M14" s="40">
        <f t="shared" si="3"/>
        <v>0</v>
      </c>
      <c r="N14" s="17"/>
    </row>
    <row r="15" spans="1:18">
      <c r="A15" s="26">
        <v>12</v>
      </c>
      <c r="B15" s="27">
        <v>46154</v>
      </c>
      <c r="C15" s="17"/>
      <c r="D15" s="17"/>
      <c r="E15" s="364"/>
      <c r="F15" s="93"/>
      <c r="G15" s="40">
        <f t="shared" si="0"/>
        <v>0</v>
      </c>
      <c r="H15" s="44"/>
      <c r="I15" s="44"/>
      <c r="J15" s="40">
        <f t="shared" si="1"/>
        <v>0</v>
      </c>
      <c r="K15" s="40">
        <f t="shared" si="2"/>
        <v>0</v>
      </c>
      <c r="L15" s="40"/>
      <c r="M15" s="40">
        <f t="shared" si="3"/>
        <v>0</v>
      </c>
      <c r="N15" s="17"/>
    </row>
    <row r="16" spans="1:18">
      <c r="A16" s="26">
        <v>13</v>
      </c>
      <c r="B16" s="27">
        <v>46155</v>
      </c>
      <c r="C16" s="17"/>
      <c r="D16" s="93"/>
      <c r="E16" s="364"/>
      <c r="F16" s="93"/>
      <c r="G16" s="40">
        <f t="shared" si="0"/>
        <v>0</v>
      </c>
      <c r="H16" s="44"/>
      <c r="I16" s="44"/>
      <c r="J16" s="40">
        <f t="shared" si="1"/>
        <v>0</v>
      </c>
      <c r="K16" s="40">
        <f t="shared" si="2"/>
        <v>0</v>
      </c>
      <c r="L16" s="40"/>
      <c r="M16" s="40">
        <f t="shared" si="3"/>
        <v>0</v>
      </c>
      <c r="N16" s="17"/>
    </row>
    <row r="17" spans="1:17">
      <c r="A17" s="26">
        <v>14</v>
      </c>
      <c r="B17" s="27">
        <v>46155</v>
      </c>
      <c r="C17" s="17"/>
      <c r="D17" s="93"/>
      <c r="E17" s="364"/>
      <c r="F17" s="93"/>
      <c r="G17" s="40">
        <f t="shared" si="0"/>
        <v>0</v>
      </c>
      <c r="H17" s="44"/>
      <c r="I17" s="44"/>
      <c r="J17" s="40">
        <f t="shared" si="1"/>
        <v>0</v>
      </c>
      <c r="K17" s="40">
        <f t="shared" si="2"/>
        <v>0</v>
      </c>
      <c r="L17" s="40"/>
      <c r="M17" s="40">
        <f t="shared" si="3"/>
        <v>0</v>
      </c>
      <c r="N17" s="17"/>
    </row>
    <row r="18" spans="1:17">
      <c r="A18" s="26">
        <v>15</v>
      </c>
      <c r="B18" s="27">
        <v>46156</v>
      </c>
      <c r="C18" s="17"/>
      <c r="D18" s="17">
        <v>0</v>
      </c>
      <c r="E18" s="364"/>
      <c r="F18" s="93"/>
      <c r="G18" s="40">
        <f t="shared" si="0"/>
        <v>0</v>
      </c>
      <c r="H18" s="44"/>
      <c r="I18" s="44"/>
      <c r="J18" s="40">
        <f t="shared" si="1"/>
        <v>0</v>
      </c>
      <c r="K18" s="40">
        <f t="shared" si="2"/>
        <v>0</v>
      </c>
      <c r="L18" s="40"/>
      <c r="M18" s="40">
        <f t="shared" si="3"/>
        <v>0</v>
      </c>
      <c r="N18" s="17"/>
      <c r="Q18" s="319"/>
    </row>
    <row r="19" spans="1:17">
      <c r="A19" s="26">
        <v>16</v>
      </c>
      <c r="B19" s="27">
        <v>46157</v>
      </c>
      <c r="C19" s="17"/>
      <c r="D19" s="17"/>
      <c r="E19" s="364"/>
      <c r="F19" s="93"/>
      <c r="G19" s="40">
        <f t="shared" si="0"/>
        <v>0</v>
      </c>
      <c r="H19" s="44"/>
      <c r="I19" s="44"/>
      <c r="J19" s="40">
        <f t="shared" si="1"/>
        <v>0</v>
      </c>
      <c r="K19" s="40">
        <f t="shared" si="2"/>
        <v>0</v>
      </c>
      <c r="L19" s="40"/>
      <c r="M19" s="40">
        <f t="shared" si="3"/>
        <v>0</v>
      </c>
      <c r="N19" s="17"/>
    </row>
    <row r="20" spans="1:17">
      <c r="A20" s="26">
        <v>17</v>
      </c>
      <c r="B20" s="27">
        <v>46158</v>
      </c>
      <c r="C20" s="17"/>
      <c r="D20" s="17"/>
      <c r="E20" s="405">
        <v>600</v>
      </c>
      <c r="F20" s="405">
        <v>94.43</v>
      </c>
      <c r="G20" s="40">
        <f t="shared" si="0"/>
        <v>56658.000000000007</v>
      </c>
      <c r="H20" s="44"/>
      <c r="I20" s="44"/>
      <c r="J20" s="40">
        <f t="shared" si="1"/>
        <v>0</v>
      </c>
      <c r="K20" s="40">
        <f t="shared" si="2"/>
        <v>56658.000000000007</v>
      </c>
      <c r="L20" s="40"/>
      <c r="M20" s="40">
        <f t="shared" si="3"/>
        <v>56658.000000000007</v>
      </c>
      <c r="N20" s="17"/>
    </row>
    <row r="21" spans="1:17">
      <c r="A21" s="26">
        <v>18</v>
      </c>
      <c r="B21" s="27">
        <v>46159</v>
      </c>
      <c r="C21" s="17"/>
      <c r="D21" s="17"/>
      <c r="E21" s="405">
        <v>400</v>
      </c>
      <c r="F21" s="405">
        <v>94.43</v>
      </c>
      <c r="G21" s="40">
        <f t="shared" si="0"/>
        <v>37772</v>
      </c>
      <c r="H21" s="44"/>
      <c r="I21" s="44"/>
      <c r="J21" s="40">
        <f t="shared" si="1"/>
        <v>0</v>
      </c>
      <c r="K21" s="40">
        <f t="shared" si="2"/>
        <v>37772</v>
      </c>
      <c r="L21" s="40"/>
      <c r="M21" s="40">
        <f t="shared" si="3"/>
        <v>94430</v>
      </c>
      <c r="N21" s="17"/>
    </row>
    <row r="22" spans="1:17">
      <c r="A22" s="26">
        <v>19</v>
      </c>
      <c r="B22" s="27">
        <v>46160</v>
      </c>
      <c r="C22" s="17"/>
      <c r="D22" s="17"/>
      <c r="E22" s="405">
        <v>400</v>
      </c>
      <c r="F22" s="405">
        <v>94.43</v>
      </c>
      <c r="G22" s="40">
        <f t="shared" si="0"/>
        <v>37772</v>
      </c>
      <c r="H22" s="44"/>
      <c r="I22" s="44"/>
      <c r="J22" s="40">
        <f t="shared" si="1"/>
        <v>0</v>
      </c>
      <c r="K22" s="40">
        <f t="shared" si="2"/>
        <v>37772</v>
      </c>
      <c r="L22" s="40"/>
      <c r="M22" s="40">
        <f t="shared" si="3"/>
        <v>132202</v>
      </c>
      <c r="N22" s="17"/>
    </row>
    <row r="23" spans="1:17">
      <c r="A23" s="26">
        <v>20</v>
      </c>
      <c r="B23" s="27">
        <v>46161</v>
      </c>
      <c r="C23" s="17"/>
      <c r="D23" s="17"/>
      <c r="E23" s="405">
        <v>500</v>
      </c>
      <c r="F23" s="405">
        <v>95.37</v>
      </c>
      <c r="G23" s="40">
        <f t="shared" si="0"/>
        <v>47685</v>
      </c>
      <c r="H23" s="44"/>
      <c r="I23" s="44"/>
      <c r="J23" s="40">
        <v>0</v>
      </c>
      <c r="K23" s="40">
        <f t="shared" si="2"/>
        <v>47685</v>
      </c>
      <c r="L23" s="40"/>
      <c r="M23" s="40">
        <f t="shared" si="3"/>
        <v>179887</v>
      </c>
      <c r="N23" s="17"/>
    </row>
    <row r="24" spans="1:17">
      <c r="A24" s="26">
        <v>22</v>
      </c>
      <c r="B24" s="27">
        <v>46162</v>
      </c>
      <c r="C24" s="17"/>
      <c r="D24" s="17"/>
      <c r="E24" s="364">
        <v>300</v>
      </c>
      <c r="F24" s="93">
        <v>95.37</v>
      </c>
      <c r="G24" s="40">
        <f t="shared" si="0"/>
        <v>28611</v>
      </c>
      <c r="H24" s="44">
        <v>20</v>
      </c>
      <c r="I24" s="44">
        <v>107.44</v>
      </c>
      <c r="J24" s="40">
        <f t="shared" si="1"/>
        <v>2148.8000000000002</v>
      </c>
      <c r="K24" s="40">
        <f t="shared" si="2"/>
        <v>30759.8</v>
      </c>
      <c r="L24" s="40"/>
      <c r="M24" s="40">
        <f t="shared" si="3"/>
        <v>210646.8</v>
      </c>
      <c r="N24" s="17"/>
    </row>
    <row r="25" spans="1:17">
      <c r="A25" s="26">
        <v>23</v>
      </c>
      <c r="B25" s="27">
        <v>46163</v>
      </c>
      <c r="C25" s="17"/>
      <c r="D25" s="17"/>
      <c r="E25" s="364">
        <v>200</v>
      </c>
      <c r="F25" s="93">
        <v>95.37</v>
      </c>
      <c r="G25" s="40">
        <f t="shared" si="0"/>
        <v>19074</v>
      </c>
      <c r="H25" s="44"/>
      <c r="I25" s="44"/>
      <c r="J25" s="40">
        <f t="shared" si="1"/>
        <v>0</v>
      </c>
      <c r="K25" s="40">
        <f t="shared" si="2"/>
        <v>19074</v>
      </c>
      <c r="L25" s="40"/>
      <c r="M25" s="40">
        <f t="shared" si="3"/>
        <v>229720.8</v>
      </c>
      <c r="N25" s="17"/>
    </row>
    <row r="26" spans="1:17">
      <c r="A26" s="26">
        <v>24</v>
      </c>
      <c r="B26" s="27">
        <v>46164</v>
      </c>
      <c r="C26" s="17"/>
      <c r="D26" s="17"/>
      <c r="E26" s="364">
        <v>600</v>
      </c>
      <c r="F26" s="93">
        <v>95.37</v>
      </c>
      <c r="G26" s="40">
        <f t="shared" si="0"/>
        <v>57222</v>
      </c>
      <c r="H26" s="44"/>
      <c r="I26" s="44"/>
      <c r="J26" s="40">
        <f t="shared" si="1"/>
        <v>0</v>
      </c>
      <c r="K26" s="40">
        <f t="shared" si="2"/>
        <v>57222</v>
      </c>
      <c r="L26" s="40"/>
      <c r="M26" s="40">
        <f t="shared" si="3"/>
        <v>286942.8</v>
      </c>
      <c r="N26" s="17"/>
    </row>
    <row r="27" spans="1:17">
      <c r="A27" s="26">
        <v>25</v>
      </c>
      <c r="B27" s="27">
        <v>46165</v>
      </c>
      <c r="C27" s="17"/>
      <c r="D27" s="17"/>
      <c r="E27" s="364">
        <v>500</v>
      </c>
      <c r="F27" s="535">
        <v>96.32</v>
      </c>
      <c r="G27" s="40">
        <f t="shared" si="0"/>
        <v>48160</v>
      </c>
      <c r="H27" s="44">
        <v>20</v>
      </c>
      <c r="I27" s="44">
        <v>107.44</v>
      </c>
      <c r="J27" s="40">
        <f t="shared" si="1"/>
        <v>2148.8000000000002</v>
      </c>
      <c r="K27" s="40">
        <f t="shared" si="2"/>
        <v>50308.800000000003</v>
      </c>
      <c r="L27" s="40"/>
      <c r="M27" s="40">
        <f t="shared" si="3"/>
        <v>337251.6</v>
      </c>
      <c r="N27" s="17"/>
    </row>
    <row r="28" spans="1:17">
      <c r="A28" s="26">
        <v>26</v>
      </c>
      <c r="B28" s="27">
        <v>46166</v>
      </c>
      <c r="C28" s="17"/>
      <c r="D28" s="17"/>
      <c r="E28" s="364">
        <v>200</v>
      </c>
      <c r="F28" s="535">
        <v>96.32</v>
      </c>
      <c r="G28" s="40">
        <f t="shared" si="0"/>
        <v>19264</v>
      </c>
      <c r="H28" s="44"/>
      <c r="I28" s="44"/>
      <c r="J28" s="40">
        <f t="shared" si="1"/>
        <v>0</v>
      </c>
      <c r="K28" s="40">
        <f t="shared" si="2"/>
        <v>19264</v>
      </c>
      <c r="L28" s="40">
        <v>0</v>
      </c>
      <c r="M28" s="40">
        <f t="shared" si="3"/>
        <v>356515.6</v>
      </c>
      <c r="N28" s="17"/>
    </row>
    <row r="29" spans="1:17">
      <c r="A29" s="26">
        <v>27</v>
      </c>
      <c r="B29" s="27">
        <v>46167</v>
      </c>
      <c r="C29" s="17"/>
      <c r="D29" s="17"/>
      <c r="E29" s="364">
        <v>141.66999999999999</v>
      </c>
      <c r="F29" s="93">
        <v>99.13</v>
      </c>
      <c r="G29" s="40">
        <f t="shared" si="0"/>
        <v>14043.747099999999</v>
      </c>
      <c r="H29" s="44">
        <v>20</v>
      </c>
      <c r="I29" s="44">
        <v>111.21</v>
      </c>
      <c r="J29" s="40">
        <f t="shared" si="1"/>
        <v>2224.1999999999998</v>
      </c>
      <c r="K29" s="40">
        <f t="shared" si="2"/>
        <v>16267.947099999998</v>
      </c>
      <c r="L29" s="40">
        <v>300000</v>
      </c>
      <c r="M29" s="40">
        <f t="shared" si="3"/>
        <v>72783.547099999967</v>
      </c>
      <c r="N29" s="17"/>
      <c r="P29" s="22"/>
    </row>
    <row r="30" spans="1:17">
      <c r="A30" s="26">
        <v>28</v>
      </c>
      <c r="B30" s="27">
        <v>46168</v>
      </c>
      <c r="C30" s="17"/>
      <c r="D30" s="17"/>
      <c r="E30" s="364"/>
      <c r="F30" s="93"/>
      <c r="G30" s="40">
        <f t="shared" si="0"/>
        <v>0</v>
      </c>
      <c r="H30" s="44">
        <v>20</v>
      </c>
      <c r="I30" s="44">
        <v>111.21</v>
      </c>
      <c r="J30" s="40">
        <f t="shared" si="1"/>
        <v>2224.1999999999998</v>
      </c>
      <c r="K30" s="40">
        <f t="shared" si="2"/>
        <v>2224.1999999999998</v>
      </c>
      <c r="L30" s="40"/>
      <c r="M30" s="40">
        <f t="shared" si="3"/>
        <v>75007.747099999964</v>
      </c>
      <c r="N30" s="17"/>
    </row>
    <row r="31" spans="1:17">
      <c r="A31" s="26">
        <v>29</v>
      </c>
      <c r="B31" s="27">
        <v>46169</v>
      </c>
      <c r="C31" s="17"/>
      <c r="D31" s="228"/>
      <c r="E31" s="364">
        <v>400</v>
      </c>
      <c r="F31" s="93">
        <v>99.13</v>
      </c>
      <c r="G31" s="40">
        <f t="shared" si="0"/>
        <v>39652</v>
      </c>
      <c r="H31" s="44"/>
      <c r="I31" s="44"/>
      <c r="J31" s="40">
        <f t="shared" si="1"/>
        <v>0</v>
      </c>
      <c r="K31" s="40">
        <f t="shared" si="2"/>
        <v>39652</v>
      </c>
      <c r="L31" s="40"/>
      <c r="M31" s="40">
        <f t="shared" si="3"/>
        <v>114659.74709999996</v>
      </c>
      <c r="N31" s="17"/>
      <c r="Q31">
        <v>166834</v>
      </c>
    </row>
    <row r="32" spans="1:17">
      <c r="A32" s="26">
        <v>30</v>
      </c>
      <c r="B32" s="27">
        <v>46170</v>
      </c>
      <c r="C32" s="17"/>
      <c r="D32" s="17"/>
      <c r="E32" s="364">
        <v>200</v>
      </c>
      <c r="F32" s="93">
        <v>99.13</v>
      </c>
      <c r="G32" s="40">
        <f t="shared" si="0"/>
        <v>19826</v>
      </c>
      <c r="H32" s="44"/>
      <c r="I32" s="44"/>
      <c r="J32" s="40">
        <f t="shared" si="1"/>
        <v>0</v>
      </c>
      <c r="K32" s="40">
        <f t="shared" si="2"/>
        <v>19826</v>
      </c>
      <c r="L32" s="40"/>
      <c r="M32" s="40">
        <f t="shared" si="3"/>
        <v>134485.74709999998</v>
      </c>
      <c r="N32" s="17"/>
    </row>
    <row r="33" spans="1:17">
      <c r="A33" s="26">
        <v>31</v>
      </c>
      <c r="B33" s="27">
        <v>46171</v>
      </c>
      <c r="C33" s="17"/>
      <c r="D33" s="17"/>
      <c r="E33" s="364">
        <v>500</v>
      </c>
      <c r="F33" s="93">
        <v>99.13</v>
      </c>
      <c r="G33" s="40">
        <f t="shared" si="0"/>
        <v>49565</v>
      </c>
      <c r="H33" s="44">
        <v>20</v>
      </c>
      <c r="I33" s="44">
        <v>111.21</v>
      </c>
      <c r="J33" s="40">
        <f t="shared" si="1"/>
        <v>2224.1999999999998</v>
      </c>
      <c r="K33" s="40">
        <f t="shared" si="2"/>
        <v>51789.2</v>
      </c>
      <c r="L33" s="40"/>
      <c r="M33" s="40">
        <f t="shared" si="3"/>
        <v>186274.94709999999</v>
      </c>
      <c r="N33" s="17"/>
    </row>
    <row r="34" spans="1:17">
      <c r="A34" s="26">
        <v>32</v>
      </c>
      <c r="B34" s="27">
        <v>46172</v>
      </c>
      <c r="C34" s="17"/>
      <c r="D34" s="17"/>
      <c r="E34" s="364">
        <v>600</v>
      </c>
      <c r="F34" s="93">
        <v>99.13</v>
      </c>
      <c r="G34" s="40">
        <f t="shared" si="0"/>
        <v>59478</v>
      </c>
      <c r="H34" s="44">
        <v>20</v>
      </c>
      <c r="I34" s="44">
        <v>111.21</v>
      </c>
      <c r="J34" s="40">
        <f t="shared" si="1"/>
        <v>2224.1999999999998</v>
      </c>
      <c r="K34" s="40">
        <f t="shared" si="2"/>
        <v>61702.2</v>
      </c>
      <c r="L34" s="40"/>
      <c r="M34" s="40">
        <f t="shared" si="3"/>
        <v>247977.1471</v>
      </c>
      <c r="N34" s="17"/>
    </row>
    <row r="35" spans="1:17">
      <c r="A35" s="26">
        <v>33</v>
      </c>
      <c r="B35" s="27">
        <v>46173</v>
      </c>
      <c r="C35" s="17"/>
      <c r="D35" s="17"/>
      <c r="E35" s="364">
        <v>300</v>
      </c>
      <c r="F35" s="93">
        <v>99.13</v>
      </c>
      <c r="G35" s="40">
        <f t="shared" si="0"/>
        <v>29739</v>
      </c>
      <c r="H35" s="44"/>
      <c r="I35" s="44"/>
      <c r="J35" s="40">
        <f t="shared" si="1"/>
        <v>0</v>
      </c>
      <c r="K35" s="40">
        <f t="shared" si="2"/>
        <v>29739</v>
      </c>
      <c r="L35" s="40"/>
      <c r="M35" s="40">
        <f t="shared" si="3"/>
        <v>277716.1471</v>
      </c>
      <c r="N35" s="17"/>
    </row>
    <row r="36" spans="1:17">
      <c r="A36" s="26">
        <v>34</v>
      </c>
      <c r="B36" s="27">
        <v>46174</v>
      </c>
      <c r="C36" s="17"/>
      <c r="D36" s="17"/>
      <c r="E36" s="364"/>
      <c r="F36" s="93"/>
      <c r="G36" s="40">
        <f t="shared" si="0"/>
        <v>0</v>
      </c>
      <c r="H36" s="44"/>
      <c r="I36" s="44"/>
      <c r="J36" s="40">
        <f t="shared" si="1"/>
        <v>0</v>
      </c>
      <c r="K36" s="40">
        <f t="shared" si="2"/>
        <v>0</v>
      </c>
      <c r="L36" s="40"/>
      <c r="M36" s="40">
        <f t="shared" si="3"/>
        <v>277716.1471</v>
      </c>
      <c r="N36" s="17"/>
      <c r="Q36" s="239"/>
    </row>
    <row r="37" spans="1:17">
      <c r="A37" s="26">
        <v>35</v>
      </c>
      <c r="B37" s="27"/>
      <c r="C37" s="17"/>
      <c r="D37" s="17"/>
      <c r="E37" s="364"/>
      <c r="F37" s="93"/>
      <c r="G37" s="40">
        <f t="shared" si="0"/>
        <v>0</v>
      </c>
      <c r="H37" s="44"/>
      <c r="I37" s="44"/>
      <c r="J37" s="40">
        <f t="shared" si="1"/>
        <v>0</v>
      </c>
      <c r="K37" s="40">
        <f t="shared" si="2"/>
        <v>0</v>
      </c>
      <c r="L37" s="40"/>
      <c r="M37" s="40">
        <f t="shared" si="3"/>
        <v>277716.1471</v>
      </c>
      <c r="N37" s="17"/>
      <c r="Q37" s="239"/>
    </row>
    <row r="38" spans="1:17">
      <c r="A38" s="26">
        <v>36</v>
      </c>
      <c r="B38" s="27"/>
      <c r="C38" s="17"/>
      <c r="D38" s="17"/>
      <c r="E38" s="93"/>
      <c r="F38" s="93"/>
      <c r="G38" s="40">
        <f t="shared" si="0"/>
        <v>0</v>
      </c>
      <c r="H38" s="44"/>
      <c r="I38" s="44"/>
      <c r="J38" s="40">
        <f t="shared" si="1"/>
        <v>0</v>
      </c>
      <c r="K38" s="40">
        <f t="shared" si="2"/>
        <v>0</v>
      </c>
      <c r="L38" s="40"/>
      <c r="M38" s="40">
        <f t="shared" si="3"/>
        <v>277716.1471</v>
      </c>
      <c r="N38" s="17"/>
      <c r="Q38" s="239"/>
    </row>
    <row r="39" spans="1:17">
      <c r="A39" s="42"/>
      <c r="B39" s="42"/>
      <c r="C39" s="42"/>
      <c r="D39" s="42"/>
      <c r="E39" s="42">
        <f>SUM(E4:E38)</f>
        <v>5841.67</v>
      </c>
      <c r="F39" s="42"/>
      <c r="G39" s="42">
        <f>SUM(G4:G38)</f>
        <v>564521.74710000004</v>
      </c>
      <c r="H39" s="42">
        <f>SUM(H4:H38)</f>
        <v>120</v>
      </c>
      <c r="I39" s="42"/>
      <c r="J39" s="42">
        <f>SUM(J4:J38)</f>
        <v>13194.400000000001</v>
      </c>
      <c r="K39" s="42">
        <f>SUM(K4:K38)</f>
        <v>577716.14709999994</v>
      </c>
      <c r="L39" s="42">
        <f>SUM(L4:L38)</f>
        <v>300000</v>
      </c>
      <c r="M39" s="42"/>
      <c r="N39" s="42"/>
    </row>
  </sheetData>
  <mergeCells count="1">
    <mergeCell ref="A1:N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R44"/>
  <sheetViews>
    <sheetView workbookViewId="0">
      <pane ySplit="2" topLeftCell="A3" activePane="bottomLeft" state="frozen"/>
      <selection pane="bottomLeft" sqref="A1:XFD1048576"/>
    </sheetView>
  </sheetViews>
  <sheetFormatPr defaultRowHeight="15"/>
  <cols>
    <col min="1" max="1" width="5.140625" style="77" bestFit="1" customWidth="1"/>
    <col min="2" max="2" width="10.85546875" style="77" bestFit="1" customWidth="1"/>
    <col min="3" max="3" width="16" style="77" bestFit="1" customWidth="1"/>
    <col min="4" max="4" width="13.28515625" style="77" bestFit="1" customWidth="1"/>
    <col min="5" max="6" width="10.7109375" style="77" bestFit="1" customWidth="1"/>
    <col min="7" max="7" width="11.5703125" style="77" bestFit="1" customWidth="1"/>
    <col min="8" max="8" width="10.7109375" style="77" bestFit="1" customWidth="1"/>
    <col min="9" max="9" width="7.140625" style="77" bestFit="1" customWidth="1"/>
    <col min="10" max="10" width="9.7109375" style="77" bestFit="1" customWidth="1"/>
    <col min="11" max="11" width="13.5703125" style="77" bestFit="1" customWidth="1"/>
    <col min="12" max="12" width="13.5703125" style="250" bestFit="1" customWidth="1"/>
    <col min="13" max="13" width="15" style="77" customWidth="1"/>
    <col min="14" max="14" width="14.28515625" style="77" bestFit="1" customWidth="1"/>
    <col min="15" max="15" width="16.7109375" style="77" customWidth="1"/>
    <col min="16" max="16384" width="9.140625" style="77"/>
  </cols>
  <sheetData>
    <row r="1" spans="1:15" ht="15.75">
      <c r="A1" s="538" t="s">
        <v>113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"/>
    </row>
    <row r="2" spans="1:15" ht="30">
      <c r="A2" s="97" t="s">
        <v>0</v>
      </c>
      <c r="B2" s="98" t="s">
        <v>166</v>
      </c>
      <c r="C2" s="98" t="s">
        <v>167</v>
      </c>
      <c r="D2" s="98" t="s">
        <v>198</v>
      </c>
      <c r="E2" s="98" t="s">
        <v>169</v>
      </c>
      <c r="F2" s="98" t="s">
        <v>170</v>
      </c>
      <c r="G2" s="98" t="s">
        <v>171</v>
      </c>
      <c r="H2" s="98" t="s">
        <v>172</v>
      </c>
      <c r="I2" s="98" t="s">
        <v>170</v>
      </c>
      <c r="J2" s="137" t="s">
        <v>171</v>
      </c>
      <c r="K2" s="99" t="s">
        <v>173</v>
      </c>
      <c r="L2" s="225" t="s">
        <v>174</v>
      </c>
      <c r="M2" s="142" t="s">
        <v>199</v>
      </c>
      <c r="N2" s="100" t="s">
        <v>176</v>
      </c>
      <c r="O2" s="59"/>
    </row>
    <row r="3" spans="1:15">
      <c r="A3" s="566" t="s">
        <v>177</v>
      </c>
      <c r="B3" s="567"/>
      <c r="C3" s="567"/>
      <c r="D3" s="567"/>
      <c r="E3" s="567"/>
      <c r="F3" s="567"/>
      <c r="G3" s="567"/>
      <c r="H3" s="567"/>
      <c r="I3" s="567"/>
      <c r="J3" s="568"/>
      <c r="K3" s="208">
        <v>106655.38839999995</v>
      </c>
      <c r="L3" s="208"/>
      <c r="M3" s="208">
        <v>106655.38839999995</v>
      </c>
      <c r="N3" s="155"/>
      <c r="O3" s="8"/>
    </row>
    <row r="4" spans="1:15">
      <c r="A4" s="26">
        <v>1</v>
      </c>
      <c r="B4" s="27">
        <v>46143</v>
      </c>
      <c r="C4" s="25"/>
      <c r="D4" s="18"/>
      <c r="E4" s="47">
        <v>70</v>
      </c>
      <c r="F4" s="47">
        <v>91.77</v>
      </c>
      <c r="G4" s="8">
        <f>E4*F4</f>
        <v>6423.9</v>
      </c>
      <c r="H4" s="47"/>
      <c r="I4" s="47"/>
      <c r="J4" s="8">
        <f>H4*I4</f>
        <v>0</v>
      </c>
      <c r="K4" s="8">
        <f>G4+J4</f>
        <v>6423.9</v>
      </c>
      <c r="L4" s="248"/>
      <c r="M4" s="8">
        <f>M3+K4-L4</f>
        <v>113079.28839999995</v>
      </c>
      <c r="N4" s="8"/>
      <c r="O4" s="59"/>
    </row>
    <row r="5" spans="1:15">
      <c r="A5" s="26">
        <v>2</v>
      </c>
      <c r="B5" s="27">
        <v>46144</v>
      </c>
      <c r="C5" s="25"/>
      <c r="D5" s="18"/>
      <c r="E5" s="47">
        <v>299.06</v>
      </c>
      <c r="F5" s="47">
        <v>91.77</v>
      </c>
      <c r="G5" s="8">
        <f t="shared" ref="G5:G33" si="0">E5*F5</f>
        <v>27444.736199999999</v>
      </c>
      <c r="H5" s="47"/>
      <c r="I5" s="47"/>
      <c r="J5" s="8">
        <f t="shared" ref="J5:J33" si="1">H5*I5</f>
        <v>0</v>
      </c>
      <c r="K5" s="8">
        <f t="shared" ref="K5:K34" si="2">G5+J5</f>
        <v>27444.736199999999</v>
      </c>
      <c r="L5" s="248"/>
      <c r="M5" s="8">
        <f t="shared" ref="M5:M15" si="3">M4+K5-L5</f>
        <v>140524.02459999995</v>
      </c>
      <c r="N5" s="8"/>
      <c r="O5" s="59"/>
    </row>
    <row r="6" spans="1:15">
      <c r="A6" s="26">
        <v>3</v>
      </c>
      <c r="B6" s="27">
        <v>46145</v>
      </c>
      <c r="C6" s="25"/>
      <c r="D6" s="18"/>
      <c r="E6" s="47">
        <v>170</v>
      </c>
      <c r="F6" s="47">
        <v>91.77</v>
      </c>
      <c r="G6" s="8">
        <f t="shared" si="0"/>
        <v>15600.9</v>
      </c>
      <c r="H6" s="47">
        <v>10</v>
      </c>
      <c r="I6" s="47">
        <v>103.73</v>
      </c>
      <c r="J6" s="8">
        <f t="shared" si="1"/>
        <v>1037.3</v>
      </c>
      <c r="K6" s="8">
        <f t="shared" ref="K6:K33" si="4">G6+J6</f>
        <v>16638.2</v>
      </c>
      <c r="L6" s="248"/>
      <c r="M6" s="8">
        <f t="shared" si="3"/>
        <v>157162.22459999996</v>
      </c>
      <c r="N6" s="8"/>
      <c r="O6" s="59"/>
    </row>
    <row r="7" spans="1:15">
      <c r="A7" s="26">
        <v>4</v>
      </c>
      <c r="B7" s="27">
        <v>46146</v>
      </c>
      <c r="C7" s="25"/>
      <c r="D7" s="18"/>
      <c r="E7" s="47"/>
      <c r="F7" s="47"/>
      <c r="G7" s="8">
        <f t="shared" si="0"/>
        <v>0</v>
      </c>
      <c r="H7" s="47"/>
      <c r="I7" s="47"/>
      <c r="J7" s="8">
        <f t="shared" si="1"/>
        <v>0</v>
      </c>
      <c r="K7" s="8">
        <f t="shared" si="4"/>
        <v>0</v>
      </c>
      <c r="L7" s="248">
        <v>150000</v>
      </c>
      <c r="M7" s="8">
        <f t="shared" si="3"/>
        <v>7162.2245999999577</v>
      </c>
      <c r="N7" s="8"/>
      <c r="O7" s="59"/>
    </row>
    <row r="8" spans="1:15">
      <c r="A8" s="26">
        <v>5</v>
      </c>
      <c r="B8" s="27">
        <v>46147</v>
      </c>
      <c r="C8" s="25"/>
      <c r="D8" s="18"/>
      <c r="E8" s="47">
        <v>187.33</v>
      </c>
      <c r="F8" s="47">
        <v>91.77</v>
      </c>
      <c r="G8" s="8">
        <f t="shared" si="0"/>
        <v>17191.274099999999</v>
      </c>
      <c r="H8" s="47"/>
      <c r="I8" s="47"/>
      <c r="J8" s="8">
        <f t="shared" si="1"/>
        <v>0</v>
      </c>
      <c r="K8" s="8">
        <f t="shared" si="4"/>
        <v>17191.274099999999</v>
      </c>
      <c r="L8" s="248"/>
      <c r="M8" s="8">
        <f t="shared" si="3"/>
        <v>24353.498699999956</v>
      </c>
      <c r="N8" s="8"/>
      <c r="O8" s="59"/>
    </row>
    <row r="9" spans="1:15">
      <c r="A9" s="26">
        <v>6</v>
      </c>
      <c r="B9" s="27">
        <v>46148</v>
      </c>
      <c r="C9" s="25"/>
      <c r="D9" s="18"/>
      <c r="E9" s="47">
        <v>105</v>
      </c>
      <c r="F9" s="47">
        <v>91.77</v>
      </c>
      <c r="G9" s="8">
        <f t="shared" si="0"/>
        <v>9635.85</v>
      </c>
      <c r="H9" s="47"/>
      <c r="I9" s="47"/>
      <c r="J9" s="8">
        <f t="shared" si="1"/>
        <v>0</v>
      </c>
      <c r="K9" s="8">
        <f t="shared" si="4"/>
        <v>9635.85</v>
      </c>
      <c r="L9" s="248"/>
      <c r="M9" s="8">
        <f t="shared" si="3"/>
        <v>33989.348699999959</v>
      </c>
      <c r="N9" s="8"/>
      <c r="O9" s="59"/>
    </row>
    <row r="10" spans="1:15">
      <c r="A10" s="26">
        <v>7</v>
      </c>
      <c r="B10" s="27">
        <v>46149</v>
      </c>
      <c r="C10" s="25"/>
      <c r="D10" s="18"/>
      <c r="E10" s="47">
        <v>170</v>
      </c>
      <c r="F10" s="47">
        <v>91.77</v>
      </c>
      <c r="G10" s="8">
        <f t="shared" si="0"/>
        <v>15600.9</v>
      </c>
      <c r="H10" s="47"/>
      <c r="I10" s="47"/>
      <c r="J10" s="8">
        <f t="shared" si="1"/>
        <v>0</v>
      </c>
      <c r="K10" s="8">
        <f t="shared" si="4"/>
        <v>15600.9</v>
      </c>
      <c r="L10" s="248"/>
      <c r="M10" s="8">
        <f t="shared" si="3"/>
        <v>49590.24869999996</v>
      </c>
      <c r="N10" s="8"/>
      <c r="O10" s="59"/>
    </row>
    <row r="11" spans="1:15">
      <c r="A11" s="26">
        <v>8</v>
      </c>
      <c r="B11" s="27">
        <v>46150</v>
      </c>
      <c r="C11" s="25"/>
      <c r="D11" s="18"/>
      <c r="E11" s="47">
        <v>50</v>
      </c>
      <c r="F11" s="47">
        <v>91.77</v>
      </c>
      <c r="G11" s="8">
        <f t="shared" si="0"/>
        <v>4588.5</v>
      </c>
      <c r="H11" s="47"/>
      <c r="I11" s="47"/>
      <c r="J11" s="8">
        <f t="shared" si="1"/>
        <v>0</v>
      </c>
      <c r="K11" s="8">
        <f t="shared" si="4"/>
        <v>4588.5</v>
      </c>
      <c r="L11" s="248"/>
      <c r="M11" s="8">
        <f t="shared" si="3"/>
        <v>54178.74869999996</v>
      </c>
      <c r="N11" s="8"/>
      <c r="O11" s="59"/>
    </row>
    <row r="12" spans="1:15">
      <c r="A12" s="26">
        <v>9</v>
      </c>
      <c r="B12" s="27">
        <v>46151</v>
      </c>
      <c r="C12" s="25"/>
      <c r="D12" s="18"/>
      <c r="E12" s="264">
        <v>140</v>
      </c>
      <c r="F12" s="290">
        <v>91.77</v>
      </c>
      <c r="G12" s="8">
        <f t="shared" si="0"/>
        <v>12847.8</v>
      </c>
      <c r="H12" s="264">
        <v>6</v>
      </c>
      <c r="I12" s="290">
        <v>103.73</v>
      </c>
      <c r="J12" s="8">
        <f t="shared" si="1"/>
        <v>622.38</v>
      </c>
      <c r="K12" s="8">
        <f t="shared" si="4"/>
        <v>13470.179999999998</v>
      </c>
      <c r="L12" s="248"/>
      <c r="M12" s="8">
        <f t="shared" si="3"/>
        <v>67648.92869999996</v>
      </c>
      <c r="N12" s="8"/>
      <c r="O12" s="59"/>
    </row>
    <row r="13" spans="1:15">
      <c r="A13" s="26">
        <v>10</v>
      </c>
      <c r="B13" s="27">
        <v>46152</v>
      </c>
      <c r="C13" s="25"/>
      <c r="D13" s="18"/>
      <c r="E13" s="264">
        <v>90</v>
      </c>
      <c r="F13" s="290">
        <v>91.77</v>
      </c>
      <c r="G13" s="8">
        <f t="shared" si="0"/>
        <v>8259.2999999999993</v>
      </c>
      <c r="H13" s="264">
        <v>10</v>
      </c>
      <c r="I13" s="290">
        <v>103.73</v>
      </c>
      <c r="J13" s="8">
        <f t="shared" si="1"/>
        <v>1037.3</v>
      </c>
      <c r="K13" s="8">
        <f t="shared" si="4"/>
        <v>9296.5999999999985</v>
      </c>
      <c r="L13" s="248"/>
      <c r="M13" s="8">
        <f>M12+K13-L13</f>
        <v>76945.528699999966</v>
      </c>
      <c r="N13" s="19"/>
      <c r="O13" s="59"/>
    </row>
    <row r="14" spans="1:15">
      <c r="A14" s="26">
        <v>11</v>
      </c>
      <c r="B14" s="27">
        <v>46153</v>
      </c>
      <c r="C14" s="25"/>
      <c r="D14" s="18"/>
      <c r="E14" s="47">
        <v>125</v>
      </c>
      <c r="F14" s="47">
        <v>91.77</v>
      </c>
      <c r="G14" s="8">
        <f t="shared" si="0"/>
        <v>11471.25</v>
      </c>
      <c r="H14" s="47">
        <v>0</v>
      </c>
      <c r="I14" s="290">
        <v>103.73</v>
      </c>
      <c r="J14" s="8">
        <f t="shared" si="1"/>
        <v>0</v>
      </c>
      <c r="K14" s="8">
        <f t="shared" si="4"/>
        <v>11471.25</v>
      </c>
      <c r="L14" s="248"/>
      <c r="M14" s="8">
        <f>M13+K14-L14</f>
        <v>88416.778699999966</v>
      </c>
      <c r="N14" s="19"/>
      <c r="O14" s="59"/>
    </row>
    <row r="15" spans="1:15">
      <c r="A15" s="26">
        <v>12</v>
      </c>
      <c r="B15" s="27">
        <v>46154</v>
      </c>
      <c r="C15" s="25"/>
      <c r="D15" s="18"/>
      <c r="E15" s="47">
        <v>180</v>
      </c>
      <c r="F15" s="47">
        <v>91.77</v>
      </c>
      <c r="G15" s="8">
        <f t="shared" si="0"/>
        <v>16518.599999999999</v>
      </c>
      <c r="H15" s="47"/>
      <c r="I15" s="47"/>
      <c r="J15" s="8">
        <f t="shared" si="1"/>
        <v>0</v>
      </c>
      <c r="K15" s="8">
        <f t="shared" si="4"/>
        <v>16518.599999999999</v>
      </c>
      <c r="L15" s="248"/>
      <c r="M15" s="8">
        <f t="shared" si="3"/>
        <v>104935.37869999997</v>
      </c>
      <c r="N15" s="19"/>
      <c r="O15" s="59"/>
    </row>
    <row r="16" spans="1:15">
      <c r="A16" s="26">
        <v>13</v>
      </c>
      <c r="B16" s="27">
        <v>46155</v>
      </c>
      <c r="C16" s="25"/>
      <c r="D16" s="18"/>
      <c r="E16" s="47">
        <v>140</v>
      </c>
      <c r="F16" s="47">
        <v>91.77</v>
      </c>
      <c r="G16" s="8">
        <f t="shared" si="0"/>
        <v>12847.8</v>
      </c>
      <c r="H16" s="47"/>
      <c r="I16" s="47"/>
      <c r="J16" s="8">
        <f t="shared" si="1"/>
        <v>0</v>
      </c>
      <c r="K16" s="8">
        <f t="shared" si="4"/>
        <v>12847.8</v>
      </c>
      <c r="L16" s="248">
        <v>100000</v>
      </c>
      <c r="M16" s="8">
        <f t="shared" ref="M16:M24" si="5">M15+K16-L16</f>
        <v>17783.178699999975</v>
      </c>
      <c r="N16" s="19"/>
      <c r="O16" s="59"/>
    </row>
    <row r="17" spans="1:18">
      <c r="A17" s="26">
        <v>14</v>
      </c>
      <c r="B17" s="27">
        <v>46156</v>
      </c>
      <c r="C17" s="25"/>
      <c r="D17" s="18"/>
      <c r="E17" s="47">
        <v>230</v>
      </c>
      <c r="F17" s="47">
        <v>91.77</v>
      </c>
      <c r="G17" s="8">
        <f t="shared" si="0"/>
        <v>21107.1</v>
      </c>
      <c r="H17" s="47">
        <v>6</v>
      </c>
      <c r="I17" s="290">
        <v>103.73</v>
      </c>
      <c r="J17" s="8">
        <f t="shared" si="1"/>
        <v>622.38</v>
      </c>
      <c r="K17" s="8">
        <f t="shared" si="4"/>
        <v>21729.48</v>
      </c>
      <c r="L17" s="248"/>
      <c r="M17" s="8">
        <f t="shared" si="5"/>
        <v>39512.658699999971</v>
      </c>
      <c r="N17" s="19"/>
      <c r="O17" s="59"/>
    </row>
    <row r="18" spans="1:18">
      <c r="A18" s="26">
        <v>15</v>
      </c>
      <c r="B18" s="27">
        <v>46157</v>
      </c>
      <c r="C18" s="25"/>
      <c r="D18" s="18"/>
      <c r="E18" s="47">
        <v>190</v>
      </c>
      <c r="F18" s="47">
        <v>94.89</v>
      </c>
      <c r="G18" s="8">
        <f t="shared" si="0"/>
        <v>18029.099999999999</v>
      </c>
      <c r="H18" s="47">
        <v>10</v>
      </c>
      <c r="I18" s="47">
        <v>106.99</v>
      </c>
      <c r="J18" s="8">
        <f t="shared" si="1"/>
        <v>1069.8999999999999</v>
      </c>
      <c r="K18" s="8">
        <f t="shared" si="4"/>
        <v>19099</v>
      </c>
      <c r="L18" s="248"/>
      <c r="M18" s="8">
        <f t="shared" si="5"/>
        <v>58611.658699999971</v>
      </c>
      <c r="N18" s="19"/>
      <c r="O18" s="59"/>
    </row>
    <row r="19" spans="1:18">
      <c r="A19" s="26">
        <v>16</v>
      </c>
      <c r="B19" s="27">
        <v>46158</v>
      </c>
      <c r="C19" s="25"/>
      <c r="D19" s="18"/>
      <c r="E19" s="47">
        <v>305</v>
      </c>
      <c r="F19" s="47">
        <v>94.89</v>
      </c>
      <c r="G19" s="8">
        <f t="shared" si="0"/>
        <v>28941.45</v>
      </c>
      <c r="H19" s="47"/>
      <c r="I19" s="47"/>
      <c r="J19" s="8">
        <f t="shared" si="1"/>
        <v>0</v>
      </c>
      <c r="K19" s="8">
        <f t="shared" si="4"/>
        <v>28941.45</v>
      </c>
      <c r="L19" s="248"/>
      <c r="M19" s="8">
        <f t="shared" si="5"/>
        <v>87553.108699999968</v>
      </c>
      <c r="N19" s="19"/>
      <c r="O19" s="59"/>
    </row>
    <row r="20" spans="1:18">
      <c r="A20" s="26">
        <v>17</v>
      </c>
      <c r="B20" s="27">
        <v>46159</v>
      </c>
      <c r="C20" s="25"/>
      <c r="D20" s="18"/>
      <c r="E20" s="47">
        <v>10</v>
      </c>
      <c r="F20" s="47">
        <v>94.89</v>
      </c>
      <c r="G20" s="8">
        <f t="shared" si="0"/>
        <v>948.9</v>
      </c>
      <c r="H20" s="47">
        <v>5</v>
      </c>
      <c r="I20" s="47">
        <v>106.99</v>
      </c>
      <c r="J20" s="8">
        <f t="shared" si="1"/>
        <v>534.94999999999993</v>
      </c>
      <c r="K20" s="8">
        <f t="shared" si="4"/>
        <v>1483.85</v>
      </c>
      <c r="L20" s="248"/>
      <c r="M20" s="8">
        <f t="shared" si="5"/>
        <v>89036.958699999974</v>
      </c>
      <c r="N20" s="19"/>
      <c r="O20" s="59"/>
    </row>
    <row r="21" spans="1:18">
      <c r="A21" s="26">
        <v>18</v>
      </c>
      <c r="B21" s="27">
        <v>46160</v>
      </c>
      <c r="C21" s="25"/>
      <c r="D21" s="18"/>
      <c r="E21" s="47">
        <v>71.540000000000006</v>
      </c>
      <c r="F21" s="47">
        <v>94.89</v>
      </c>
      <c r="G21" s="8">
        <f t="shared" si="0"/>
        <v>6788.4306000000006</v>
      </c>
      <c r="H21" s="47"/>
      <c r="I21" s="47"/>
      <c r="J21" s="8">
        <f t="shared" si="1"/>
        <v>0</v>
      </c>
      <c r="K21" s="8">
        <f t="shared" si="4"/>
        <v>6788.4306000000006</v>
      </c>
      <c r="L21" s="248"/>
      <c r="M21" s="8">
        <f t="shared" si="5"/>
        <v>95825.389299999981</v>
      </c>
      <c r="N21" s="19"/>
      <c r="O21" s="59"/>
    </row>
    <row r="22" spans="1:18">
      <c r="A22" s="26">
        <v>19</v>
      </c>
      <c r="B22" s="27">
        <v>46161</v>
      </c>
      <c r="C22" s="25"/>
      <c r="D22" s="18"/>
      <c r="E22" s="47">
        <v>95</v>
      </c>
      <c r="F22" s="47">
        <v>95.83</v>
      </c>
      <c r="G22" s="8">
        <f t="shared" si="0"/>
        <v>9103.85</v>
      </c>
      <c r="H22" s="47">
        <v>6</v>
      </c>
      <c r="I22" s="47">
        <v>107.93</v>
      </c>
      <c r="J22" s="8">
        <f t="shared" si="1"/>
        <v>647.58000000000004</v>
      </c>
      <c r="K22" s="8">
        <f t="shared" si="4"/>
        <v>9751.43</v>
      </c>
      <c r="L22" s="248"/>
      <c r="M22" s="8">
        <f t="shared" si="5"/>
        <v>105576.81929999997</v>
      </c>
      <c r="N22" s="19"/>
      <c r="O22" s="59"/>
    </row>
    <row r="23" spans="1:18">
      <c r="A23" s="26">
        <v>20</v>
      </c>
      <c r="B23" s="27">
        <v>46162</v>
      </c>
      <c r="C23" s="25"/>
      <c r="D23" s="18"/>
      <c r="E23" s="47">
        <v>439.5</v>
      </c>
      <c r="F23" s="47">
        <v>95.83</v>
      </c>
      <c r="G23" s="8">
        <f t="shared" si="0"/>
        <v>42117.284999999996</v>
      </c>
      <c r="H23" s="47"/>
      <c r="I23" s="47"/>
      <c r="J23" s="8">
        <f t="shared" si="1"/>
        <v>0</v>
      </c>
      <c r="K23" s="8">
        <f t="shared" si="4"/>
        <v>42117.284999999996</v>
      </c>
      <c r="L23" s="248"/>
      <c r="M23" s="8">
        <f t="shared" si="5"/>
        <v>147694.10429999998</v>
      </c>
      <c r="N23" s="19"/>
      <c r="O23" s="59"/>
    </row>
    <row r="24" spans="1:18">
      <c r="A24" s="26">
        <v>21</v>
      </c>
      <c r="B24" s="27">
        <v>46163</v>
      </c>
      <c r="C24" s="25"/>
      <c r="D24" s="18"/>
      <c r="E24" s="47"/>
      <c r="F24" s="47"/>
      <c r="G24" s="8">
        <f t="shared" si="0"/>
        <v>0</v>
      </c>
      <c r="H24" s="47"/>
      <c r="I24" s="47"/>
      <c r="J24" s="8">
        <f t="shared" si="1"/>
        <v>0</v>
      </c>
      <c r="K24" s="8">
        <f t="shared" si="4"/>
        <v>0</v>
      </c>
      <c r="L24" s="248">
        <v>95000</v>
      </c>
      <c r="M24" s="8">
        <f t="shared" si="5"/>
        <v>52694.104299999977</v>
      </c>
      <c r="N24" s="19"/>
      <c r="O24" s="59"/>
    </row>
    <row r="25" spans="1:18">
      <c r="A25" s="26">
        <v>22</v>
      </c>
      <c r="B25" s="27">
        <v>46164</v>
      </c>
      <c r="C25" s="25"/>
      <c r="D25" s="18"/>
      <c r="E25" s="47">
        <v>270.8</v>
      </c>
      <c r="F25" s="47">
        <v>95.83</v>
      </c>
      <c r="G25" s="8">
        <f t="shared" si="0"/>
        <v>25950.763999999999</v>
      </c>
      <c r="H25" s="47">
        <v>6</v>
      </c>
      <c r="I25" s="47">
        <v>107.93</v>
      </c>
      <c r="J25" s="8">
        <f t="shared" si="1"/>
        <v>647.58000000000004</v>
      </c>
      <c r="K25" s="8">
        <f t="shared" si="4"/>
        <v>26598.344000000001</v>
      </c>
      <c r="L25" s="248"/>
      <c r="M25" s="8">
        <f t="shared" ref="M25:M34" si="6">M24+K25-L25</f>
        <v>79292.448299999975</v>
      </c>
      <c r="N25" s="19"/>
      <c r="O25" s="59"/>
    </row>
    <row r="26" spans="1:18">
      <c r="A26" s="26">
        <v>23</v>
      </c>
      <c r="B26" s="27">
        <v>46165</v>
      </c>
      <c r="C26" s="25"/>
      <c r="D26" s="18"/>
      <c r="E26" s="47">
        <v>255.72</v>
      </c>
      <c r="F26" s="47">
        <v>96.77</v>
      </c>
      <c r="G26" s="8">
        <f t="shared" si="0"/>
        <v>24746.024399999998</v>
      </c>
      <c r="H26" s="47"/>
      <c r="I26" s="47"/>
      <c r="J26" s="8">
        <f t="shared" si="1"/>
        <v>0</v>
      </c>
      <c r="K26" s="8">
        <f t="shared" si="4"/>
        <v>24746.024399999998</v>
      </c>
      <c r="L26" s="248"/>
      <c r="M26" s="8">
        <f t="shared" si="6"/>
        <v>104038.47269999997</v>
      </c>
      <c r="N26" s="19"/>
      <c r="O26" s="59"/>
      <c r="Q26" s="77" t="s">
        <v>288</v>
      </c>
    </row>
    <row r="27" spans="1:18">
      <c r="A27" s="26">
        <v>24</v>
      </c>
      <c r="B27" s="27">
        <v>46166</v>
      </c>
      <c r="C27" s="25"/>
      <c r="D27" s="18"/>
      <c r="E27" s="47">
        <v>190</v>
      </c>
      <c r="F27" s="47">
        <v>96.77</v>
      </c>
      <c r="G27" s="8">
        <f t="shared" si="0"/>
        <v>18386.3</v>
      </c>
      <c r="H27" s="47">
        <v>11</v>
      </c>
      <c r="I27" s="47">
        <v>108.87</v>
      </c>
      <c r="J27" s="8">
        <f t="shared" si="1"/>
        <v>1197.5700000000002</v>
      </c>
      <c r="K27" s="8">
        <f t="shared" si="4"/>
        <v>19583.87</v>
      </c>
      <c r="L27" s="248"/>
      <c r="M27" s="8">
        <f t="shared" si="6"/>
        <v>123622.34269999996</v>
      </c>
      <c r="N27" s="19"/>
      <c r="O27" s="59"/>
      <c r="Q27" s="77">
        <v>30</v>
      </c>
      <c r="R27" s="77">
        <v>50</v>
      </c>
    </row>
    <row r="28" spans="1:18">
      <c r="A28" s="26">
        <v>25</v>
      </c>
      <c r="B28" s="27">
        <v>46167</v>
      </c>
      <c r="C28" s="25"/>
      <c r="D28" s="18"/>
      <c r="E28" s="47">
        <v>363.75</v>
      </c>
      <c r="F28" s="47">
        <v>99.58</v>
      </c>
      <c r="G28" s="8">
        <f t="shared" si="0"/>
        <v>36222.224999999999</v>
      </c>
      <c r="H28" s="47"/>
      <c r="I28" s="47"/>
      <c r="J28" s="8">
        <f t="shared" si="1"/>
        <v>0</v>
      </c>
      <c r="K28" s="8">
        <f t="shared" si="4"/>
        <v>36222.224999999999</v>
      </c>
      <c r="L28" s="248">
        <v>40000</v>
      </c>
      <c r="M28" s="8">
        <f t="shared" si="6"/>
        <v>119844.56769999996</v>
      </c>
      <c r="N28" s="19"/>
      <c r="O28" s="59"/>
      <c r="Q28" s="77">
        <v>50</v>
      </c>
      <c r="R28" s="77">
        <v>4.51</v>
      </c>
    </row>
    <row r="29" spans="1:18">
      <c r="A29" s="26">
        <v>26</v>
      </c>
      <c r="B29" s="27">
        <v>46168</v>
      </c>
      <c r="C29" s="25"/>
      <c r="D29" s="18"/>
      <c r="E29" s="47">
        <v>312.85000000000002</v>
      </c>
      <c r="F29" s="47">
        <v>99.58</v>
      </c>
      <c r="G29" s="8">
        <f t="shared" si="0"/>
        <v>31153.603000000003</v>
      </c>
      <c r="H29" s="47"/>
      <c r="I29" s="47"/>
      <c r="J29" s="8">
        <f t="shared" si="1"/>
        <v>0</v>
      </c>
      <c r="K29" s="8">
        <f t="shared" si="4"/>
        <v>31153.603000000003</v>
      </c>
      <c r="L29" s="248"/>
      <c r="M29" s="8">
        <f t="shared" si="6"/>
        <v>150998.17069999996</v>
      </c>
      <c r="N29" s="19"/>
      <c r="O29" s="59"/>
    </row>
    <row r="30" spans="1:18">
      <c r="A30" s="26">
        <v>27</v>
      </c>
      <c r="B30" s="27">
        <v>46169</v>
      </c>
      <c r="C30" s="25"/>
      <c r="D30" s="18"/>
      <c r="E30" s="47">
        <v>250</v>
      </c>
      <c r="F30" s="47">
        <v>99.58</v>
      </c>
      <c r="G30" s="8">
        <f t="shared" si="0"/>
        <v>24895</v>
      </c>
      <c r="H30" s="47">
        <v>6</v>
      </c>
      <c r="I30" s="47">
        <v>108.87</v>
      </c>
      <c r="J30" s="8">
        <f t="shared" si="1"/>
        <v>653.22</v>
      </c>
      <c r="K30" s="8">
        <f t="shared" si="4"/>
        <v>25548.22</v>
      </c>
      <c r="L30" s="248"/>
      <c r="M30" s="8">
        <f t="shared" si="6"/>
        <v>176546.39069999996</v>
      </c>
      <c r="N30" s="19"/>
      <c r="O30" s="59"/>
    </row>
    <row r="31" spans="1:18">
      <c r="A31" s="216">
        <v>28</v>
      </c>
      <c r="B31" s="27">
        <v>46170</v>
      </c>
      <c r="C31" s="25"/>
      <c r="D31" s="18"/>
      <c r="E31" s="47">
        <v>250</v>
      </c>
      <c r="F31" s="47">
        <v>99.58</v>
      </c>
      <c r="G31" s="8">
        <f t="shared" si="0"/>
        <v>24895</v>
      </c>
      <c r="H31" s="47"/>
      <c r="I31" s="47"/>
      <c r="J31" s="8">
        <f t="shared" si="1"/>
        <v>0</v>
      </c>
      <c r="K31" s="8">
        <f t="shared" si="4"/>
        <v>24895</v>
      </c>
      <c r="L31" s="248"/>
      <c r="M31" s="8">
        <f t="shared" si="6"/>
        <v>201441.39069999996</v>
      </c>
      <c r="N31" s="19"/>
      <c r="O31" s="59"/>
    </row>
    <row r="32" spans="1:18">
      <c r="A32" s="26">
        <v>29</v>
      </c>
      <c r="B32" s="27">
        <v>46171</v>
      </c>
      <c r="C32" s="25"/>
      <c r="D32" s="18"/>
      <c r="E32" s="47">
        <v>500</v>
      </c>
      <c r="F32" s="47">
        <v>99.58</v>
      </c>
      <c r="G32" s="8">
        <f t="shared" si="0"/>
        <v>49790</v>
      </c>
      <c r="H32" s="47"/>
      <c r="I32" s="47"/>
      <c r="J32" s="8">
        <f t="shared" si="1"/>
        <v>0</v>
      </c>
      <c r="K32" s="8">
        <f t="shared" si="4"/>
        <v>49790</v>
      </c>
      <c r="L32" s="248"/>
      <c r="M32" s="8">
        <f t="shared" si="6"/>
        <v>251231.39069999996</v>
      </c>
      <c r="N32" s="19"/>
      <c r="O32" s="59"/>
    </row>
    <row r="33" spans="1:15">
      <c r="A33" s="26">
        <v>30</v>
      </c>
      <c r="B33" s="27">
        <v>46172</v>
      </c>
      <c r="C33" s="25"/>
      <c r="D33" s="18"/>
      <c r="E33" s="47">
        <v>250</v>
      </c>
      <c r="F33" s="47">
        <v>99.58</v>
      </c>
      <c r="G33" s="8">
        <f t="shared" si="0"/>
        <v>24895</v>
      </c>
      <c r="H33" s="47"/>
      <c r="I33" s="47"/>
      <c r="J33" s="8">
        <f t="shared" si="1"/>
        <v>0</v>
      </c>
      <c r="K33" s="8">
        <f t="shared" si="4"/>
        <v>24895</v>
      </c>
      <c r="L33" s="248"/>
      <c r="M33" s="8">
        <f t="shared" si="6"/>
        <v>276126.39069999999</v>
      </c>
      <c r="N33" s="19"/>
      <c r="O33" s="59"/>
    </row>
    <row r="34" spans="1:15">
      <c r="A34" s="26">
        <v>31</v>
      </c>
      <c r="B34" s="27">
        <v>46173</v>
      </c>
      <c r="C34" s="25"/>
      <c r="D34" s="18"/>
      <c r="E34" s="47"/>
      <c r="F34" s="47"/>
      <c r="G34" s="8">
        <f t="shared" ref="G5:G34" si="7">E34*F34</f>
        <v>0</v>
      </c>
      <c r="H34" s="47"/>
      <c r="I34" s="47"/>
      <c r="J34" s="8">
        <f t="shared" ref="J5:J34" si="8">H34*I34</f>
        <v>0</v>
      </c>
      <c r="K34" s="8">
        <f t="shared" si="2"/>
        <v>0</v>
      </c>
      <c r="L34" s="248"/>
      <c r="M34" s="8">
        <f>M33+K34-L34</f>
        <v>276126.39069999999</v>
      </c>
      <c r="N34" s="19"/>
      <c r="O34" s="59"/>
    </row>
    <row r="35" spans="1:15">
      <c r="A35" s="159"/>
      <c r="B35" s="159"/>
      <c r="C35" s="159"/>
      <c r="D35" s="159"/>
      <c r="E35" s="160">
        <f>SUM(E4:E34)</f>
        <v>5710.55</v>
      </c>
      <c r="F35" s="160"/>
      <c r="G35" s="160">
        <f>SUM(G4:G34)</f>
        <v>546400.8422999999</v>
      </c>
      <c r="H35" s="160">
        <f>SUM(H4:H34)</f>
        <v>76</v>
      </c>
      <c r="I35" s="160"/>
      <c r="J35" s="160">
        <f>SUM(J4:J34)</f>
        <v>8070.1599999999989</v>
      </c>
      <c r="K35" s="160">
        <f>SUM(K4:K34)</f>
        <v>554471.00229999993</v>
      </c>
      <c r="L35" s="160">
        <f>SUM(L4:L34)</f>
        <v>385000</v>
      </c>
      <c r="M35" s="160"/>
      <c r="N35" s="160"/>
      <c r="O35" s="59"/>
    </row>
    <row r="36" spans="1:15">
      <c r="A36" s="73"/>
      <c r="B36" s="73"/>
      <c r="C36" s="73"/>
      <c r="D36" s="73"/>
      <c r="E36" s="75"/>
      <c r="F36" s="75"/>
      <c r="G36" s="75"/>
      <c r="H36" s="75"/>
      <c r="I36" s="75"/>
      <c r="J36" s="75"/>
      <c r="K36" s="75"/>
      <c r="L36" s="249"/>
      <c r="M36" s="75"/>
      <c r="N36" s="75"/>
      <c r="O36" s="59"/>
    </row>
    <row r="37" spans="1:15">
      <c r="E37" s="253"/>
      <c r="F37" s="253"/>
      <c r="G37" s="253"/>
      <c r="H37" s="253"/>
      <c r="I37" s="253"/>
      <c r="J37" s="253"/>
      <c r="K37" s="253"/>
      <c r="L37" s="253"/>
      <c r="O37" s="59"/>
    </row>
    <row r="38" spans="1:15">
      <c r="O38" s="59"/>
    </row>
    <row r="39" spans="1:15">
      <c r="O39" s="59"/>
    </row>
    <row r="40" spans="1:15">
      <c r="O40" s="59"/>
    </row>
    <row r="41" spans="1:15">
      <c r="O41" s="59"/>
    </row>
    <row r="42" spans="1:15">
      <c r="A42" s="59"/>
      <c r="B42" s="59"/>
      <c r="C42" s="59"/>
      <c r="D42" s="59"/>
      <c r="E42" s="59"/>
      <c r="F42" s="59"/>
      <c r="G42" s="81"/>
      <c r="H42" s="59"/>
      <c r="I42" s="59"/>
      <c r="J42" s="59"/>
      <c r="K42" s="59"/>
      <c r="L42" s="73"/>
      <c r="M42" s="59"/>
      <c r="N42" s="59"/>
      <c r="O42" s="75"/>
    </row>
    <row r="43" spans="1:15">
      <c r="A43" s="59"/>
      <c r="B43" s="565"/>
      <c r="C43" s="565"/>
      <c r="D43" s="565"/>
      <c r="E43" s="565"/>
      <c r="F43" s="59"/>
      <c r="G43" s="59"/>
      <c r="H43" s="59"/>
      <c r="I43" s="565"/>
      <c r="J43" s="565"/>
      <c r="K43" s="565"/>
      <c r="L43" s="565"/>
      <c r="M43" s="565"/>
      <c r="N43" s="565"/>
      <c r="O43" s="75"/>
    </row>
    <row r="44" spans="1:1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73"/>
      <c r="M44" s="59"/>
      <c r="N44" s="59"/>
      <c r="O44" s="75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6"/>
  <sheetViews>
    <sheetView workbookViewId="0">
      <pane ySplit="2" topLeftCell="A3" activePane="bottomLeft" state="frozen"/>
      <selection pane="bottomLeft" activeCell="F20" sqref="F20"/>
    </sheetView>
  </sheetViews>
  <sheetFormatPr defaultRowHeight="15"/>
  <cols>
    <col min="1" max="1" width="5.140625" style="69" bestFit="1" customWidth="1"/>
    <col min="2" max="2" width="10.85546875" style="69" bestFit="1" customWidth="1"/>
    <col min="3" max="3" width="8" style="69" bestFit="1" customWidth="1"/>
    <col min="4" max="4" width="16" style="69" bestFit="1" customWidth="1"/>
    <col min="5" max="5" width="10.7109375" style="69" bestFit="1" customWidth="1"/>
    <col min="6" max="6" width="14.5703125" style="69" bestFit="1" customWidth="1"/>
    <col min="7" max="7" width="18.28515625" style="69" customWidth="1"/>
    <col min="8" max="8" width="10.7109375" style="69" bestFit="1" customWidth="1"/>
    <col min="9" max="9" width="7.28515625" style="69" bestFit="1" customWidth="1"/>
    <col min="10" max="10" width="10.85546875" style="69" bestFit="1" customWidth="1"/>
    <col min="11" max="11" width="14.5703125" style="69" bestFit="1" customWidth="1"/>
    <col min="12" max="12" width="13.5703125" style="69" bestFit="1" customWidth="1"/>
    <col min="13" max="13" width="13.5703125" style="69" customWidth="1"/>
    <col min="14" max="14" width="14.140625" style="69" bestFit="1" customWidth="1"/>
    <col min="15" max="15" width="11.28515625" style="69" customWidth="1"/>
    <col min="16" max="16" width="11.5703125" style="69" bestFit="1" customWidth="1"/>
    <col min="17" max="16384" width="9.140625" style="69"/>
  </cols>
  <sheetData>
    <row r="1" spans="1:17" ht="15.75">
      <c r="A1" s="560" t="s">
        <v>115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82"/>
    </row>
    <row r="2" spans="1:17">
      <c r="A2" s="64" t="s">
        <v>0</v>
      </c>
      <c r="B2" s="83" t="s">
        <v>166</v>
      </c>
      <c r="C2" s="83" t="s">
        <v>167</v>
      </c>
      <c r="D2" s="83" t="s">
        <v>168</v>
      </c>
      <c r="E2" s="83" t="s">
        <v>169</v>
      </c>
      <c r="F2" s="83" t="s">
        <v>170</v>
      </c>
      <c r="G2" s="83" t="s">
        <v>171</v>
      </c>
      <c r="H2" s="83" t="s">
        <v>172</v>
      </c>
      <c r="I2" s="83" t="s">
        <v>170</v>
      </c>
      <c r="J2" s="84" t="s">
        <v>171</v>
      </c>
      <c r="K2" s="64" t="s">
        <v>173</v>
      </c>
      <c r="L2" s="85" t="s">
        <v>174</v>
      </c>
      <c r="M2" s="85" t="s">
        <v>199</v>
      </c>
      <c r="N2" s="83" t="s">
        <v>176</v>
      </c>
      <c r="O2" s="59"/>
    </row>
    <row r="3" spans="1:17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9"/>
      <c r="K3" s="162">
        <v>584214.75130000012</v>
      </c>
      <c r="L3" s="67">
        <v>0</v>
      </c>
      <c r="M3" s="162">
        <v>584214.75130000012</v>
      </c>
      <c r="N3" s="67"/>
      <c r="O3" s="59"/>
      <c r="P3" s="238"/>
    </row>
    <row r="4" spans="1:17">
      <c r="A4" s="26">
        <v>1</v>
      </c>
      <c r="B4" s="27">
        <v>46143</v>
      </c>
      <c r="C4" s="67"/>
      <c r="D4" s="158"/>
      <c r="E4" s="163">
        <v>35</v>
      </c>
      <c r="F4" s="163">
        <v>91.93</v>
      </c>
      <c r="G4" s="8">
        <f>E4*F4</f>
        <v>3217.55</v>
      </c>
      <c r="H4" s="163"/>
      <c r="I4" s="163"/>
      <c r="J4" s="8">
        <f>H4*I4</f>
        <v>0</v>
      </c>
      <c r="K4" s="8">
        <f>G4+J4</f>
        <v>3217.55</v>
      </c>
      <c r="L4" s="164">
        <v>0</v>
      </c>
      <c r="M4" s="164">
        <f t="shared" ref="M4:M35" si="0">M3+K4-L4</f>
        <v>587432.30130000017</v>
      </c>
      <c r="N4" s="41"/>
    </row>
    <row r="5" spans="1:17">
      <c r="A5" s="26">
        <v>2</v>
      </c>
      <c r="B5" s="27">
        <v>46144</v>
      </c>
      <c r="C5" s="67"/>
      <c r="D5" s="158"/>
      <c r="E5" s="163">
        <v>440</v>
      </c>
      <c r="F5" s="163">
        <v>91.93</v>
      </c>
      <c r="G5" s="8">
        <f t="shared" ref="G5:G36" si="1">E5*F5</f>
        <v>40449.200000000004</v>
      </c>
      <c r="H5" s="163">
        <v>25</v>
      </c>
      <c r="I5" s="163">
        <v>103.89</v>
      </c>
      <c r="J5" s="8">
        <f t="shared" ref="J5:J36" si="2">H5*I5</f>
        <v>2597.25</v>
      </c>
      <c r="K5" s="8">
        <f t="shared" ref="K5:K36" si="3">G5+J5</f>
        <v>43046.450000000004</v>
      </c>
      <c r="L5" s="164">
        <v>0</v>
      </c>
      <c r="M5" s="164">
        <f t="shared" si="0"/>
        <v>630478.75130000012</v>
      </c>
      <c r="N5" s="41"/>
    </row>
    <row r="6" spans="1:17">
      <c r="A6" s="26">
        <v>3</v>
      </c>
      <c r="B6" s="27">
        <v>46145</v>
      </c>
      <c r="C6" s="67"/>
      <c r="D6" s="158"/>
      <c r="E6" s="163">
        <v>310</v>
      </c>
      <c r="F6" s="163">
        <v>91.93</v>
      </c>
      <c r="G6" s="8">
        <f t="shared" si="1"/>
        <v>28498.300000000003</v>
      </c>
      <c r="H6" s="163">
        <v>5</v>
      </c>
      <c r="I6" s="163">
        <v>103.89</v>
      </c>
      <c r="J6" s="8">
        <f t="shared" si="2"/>
        <v>519.45000000000005</v>
      </c>
      <c r="K6" s="8">
        <f t="shared" si="3"/>
        <v>29017.750000000004</v>
      </c>
      <c r="L6" s="164">
        <v>0</v>
      </c>
      <c r="M6" s="164">
        <f t="shared" si="0"/>
        <v>659496.50130000012</v>
      </c>
      <c r="N6" s="41"/>
    </row>
    <row r="7" spans="1:17">
      <c r="A7" s="26">
        <v>4</v>
      </c>
      <c r="B7" s="27">
        <v>46146</v>
      </c>
      <c r="C7" s="67"/>
      <c r="D7" s="158"/>
      <c r="E7" s="163">
        <v>285</v>
      </c>
      <c r="F7" s="163">
        <v>91.93</v>
      </c>
      <c r="G7" s="8">
        <f t="shared" si="1"/>
        <v>26200.050000000003</v>
      </c>
      <c r="H7" s="163"/>
      <c r="I7" s="163"/>
      <c r="J7" s="8">
        <f t="shared" si="2"/>
        <v>0</v>
      </c>
      <c r="K7" s="8">
        <f t="shared" si="3"/>
        <v>26200.050000000003</v>
      </c>
      <c r="L7" s="164">
        <v>573975</v>
      </c>
      <c r="M7" s="164">
        <f t="shared" si="0"/>
        <v>111721.55130000017</v>
      </c>
      <c r="N7" s="41"/>
    </row>
    <row r="8" spans="1:17">
      <c r="A8" s="26">
        <v>5</v>
      </c>
      <c r="B8" s="27">
        <v>46147</v>
      </c>
      <c r="C8" s="67"/>
      <c r="D8" s="158"/>
      <c r="E8" s="163">
        <v>770</v>
      </c>
      <c r="F8" s="163">
        <v>91.93</v>
      </c>
      <c r="G8" s="8">
        <f t="shared" si="1"/>
        <v>70786.100000000006</v>
      </c>
      <c r="H8" s="163">
        <v>10</v>
      </c>
      <c r="I8" s="163">
        <v>103.89</v>
      </c>
      <c r="J8" s="8">
        <f t="shared" si="2"/>
        <v>1038.9000000000001</v>
      </c>
      <c r="K8" s="8">
        <f t="shared" si="3"/>
        <v>71825</v>
      </c>
      <c r="L8" s="164">
        <v>0</v>
      </c>
      <c r="M8" s="164">
        <f t="shared" si="0"/>
        <v>183546.55130000017</v>
      </c>
      <c r="N8" s="41"/>
      <c r="P8" s="238"/>
    </row>
    <row r="9" spans="1:17">
      <c r="A9" s="26">
        <v>6</v>
      </c>
      <c r="B9" s="27">
        <v>46148</v>
      </c>
      <c r="C9" s="67"/>
      <c r="D9" s="158"/>
      <c r="E9" s="163">
        <v>305</v>
      </c>
      <c r="F9" s="163">
        <v>91.93</v>
      </c>
      <c r="G9" s="8">
        <f t="shared" si="1"/>
        <v>28038.65</v>
      </c>
      <c r="H9" s="163">
        <v>5</v>
      </c>
      <c r="I9" s="163">
        <v>103.89</v>
      </c>
      <c r="J9" s="8">
        <f t="shared" si="2"/>
        <v>519.45000000000005</v>
      </c>
      <c r="K9" s="8">
        <f t="shared" si="3"/>
        <v>28558.100000000002</v>
      </c>
      <c r="L9" s="164">
        <v>0</v>
      </c>
      <c r="M9" s="164">
        <f t="shared" si="0"/>
        <v>212104.65130000017</v>
      </c>
      <c r="N9" s="41"/>
    </row>
    <row r="10" spans="1:17">
      <c r="A10" s="26">
        <v>7</v>
      </c>
      <c r="B10" s="27">
        <v>46149</v>
      </c>
      <c r="C10" s="67"/>
      <c r="D10" s="158"/>
      <c r="E10" s="163">
        <v>290</v>
      </c>
      <c r="F10" s="163">
        <v>91.93</v>
      </c>
      <c r="G10" s="8">
        <f t="shared" si="1"/>
        <v>26659.7</v>
      </c>
      <c r="H10" s="163"/>
      <c r="I10" s="163"/>
      <c r="J10" s="8">
        <f t="shared" si="2"/>
        <v>0</v>
      </c>
      <c r="K10" s="8">
        <f t="shared" si="3"/>
        <v>26659.7</v>
      </c>
      <c r="L10" s="164">
        <v>0</v>
      </c>
      <c r="M10" s="164">
        <f t="shared" si="0"/>
        <v>238764.35130000018</v>
      </c>
      <c r="N10" s="41"/>
    </row>
    <row r="11" spans="1:17">
      <c r="A11" s="26">
        <v>8</v>
      </c>
      <c r="B11" s="27">
        <v>46150</v>
      </c>
      <c r="C11" s="67"/>
      <c r="D11" s="158"/>
      <c r="E11" s="163">
        <v>810</v>
      </c>
      <c r="F11" s="163">
        <v>91.93</v>
      </c>
      <c r="G11" s="8">
        <f t="shared" si="1"/>
        <v>74463.3</v>
      </c>
      <c r="H11" s="163">
        <v>40</v>
      </c>
      <c r="I11" s="163">
        <v>103.89</v>
      </c>
      <c r="J11" s="8">
        <f t="shared" si="2"/>
        <v>4155.6000000000004</v>
      </c>
      <c r="K11" s="8">
        <f t="shared" si="3"/>
        <v>78618.900000000009</v>
      </c>
      <c r="L11" s="164">
        <v>0</v>
      </c>
      <c r="M11" s="164">
        <f t="shared" si="0"/>
        <v>317383.25130000018</v>
      </c>
      <c r="N11" s="41" t="s">
        <v>204</v>
      </c>
      <c r="P11" s="237"/>
      <c r="Q11" s="238"/>
    </row>
    <row r="12" spans="1:17">
      <c r="A12" s="26">
        <v>9</v>
      </c>
      <c r="B12" s="27">
        <v>46151</v>
      </c>
      <c r="C12" s="67"/>
      <c r="D12" s="158"/>
      <c r="E12" s="163">
        <v>305</v>
      </c>
      <c r="F12" s="163">
        <v>91.93</v>
      </c>
      <c r="G12" s="8">
        <f t="shared" si="1"/>
        <v>28038.65</v>
      </c>
      <c r="H12" s="163"/>
      <c r="I12" s="163"/>
      <c r="J12" s="8">
        <f t="shared" si="2"/>
        <v>0</v>
      </c>
      <c r="K12" s="8">
        <f t="shared" si="3"/>
        <v>28038.65</v>
      </c>
      <c r="L12" s="164">
        <v>0</v>
      </c>
      <c r="M12" s="164">
        <f t="shared" si="0"/>
        <v>345421.9013000002</v>
      </c>
      <c r="N12" s="41"/>
    </row>
    <row r="13" spans="1:17">
      <c r="A13" s="26">
        <v>10</v>
      </c>
      <c r="B13" s="27">
        <v>46152</v>
      </c>
      <c r="C13" s="67"/>
      <c r="D13" s="158"/>
      <c r="E13" s="163">
        <v>679.9</v>
      </c>
      <c r="F13" s="163">
        <v>91.93</v>
      </c>
      <c r="G13" s="8">
        <f t="shared" si="1"/>
        <v>62503.207000000002</v>
      </c>
      <c r="H13" s="163"/>
      <c r="I13" s="163"/>
      <c r="J13" s="8">
        <f t="shared" si="2"/>
        <v>0</v>
      </c>
      <c r="K13" s="8">
        <f t="shared" si="3"/>
        <v>62503.207000000002</v>
      </c>
      <c r="L13" s="164">
        <v>0</v>
      </c>
      <c r="M13" s="164">
        <f t="shared" si="0"/>
        <v>407925.1083000002</v>
      </c>
      <c r="N13" s="41"/>
    </row>
    <row r="14" spans="1:17">
      <c r="A14" s="26">
        <v>11</v>
      </c>
      <c r="B14" s="27">
        <v>46153</v>
      </c>
      <c r="C14" s="67"/>
      <c r="D14" s="158"/>
      <c r="E14" s="163">
        <v>658.5</v>
      </c>
      <c r="F14" s="163">
        <v>91.93</v>
      </c>
      <c r="G14" s="8">
        <f t="shared" si="1"/>
        <v>60535.905000000006</v>
      </c>
      <c r="H14" s="163">
        <v>53</v>
      </c>
      <c r="I14" s="163">
        <v>103.89</v>
      </c>
      <c r="J14" s="8">
        <f t="shared" si="2"/>
        <v>5506.17</v>
      </c>
      <c r="K14" s="8">
        <f t="shared" si="3"/>
        <v>66042.075000000012</v>
      </c>
      <c r="L14" s="164">
        <v>0</v>
      </c>
      <c r="M14" s="164">
        <f t="shared" si="0"/>
        <v>473967.18330000021</v>
      </c>
      <c r="N14" s="41"/>
    </row>
    <row r="15" spans="1:17">
      <c r="A15" s="26">
        <v>12</v>
      </c>
      <c r="B15" s="27">
        <v>46154</v>
      </c>
      <c r="C15" s="67"/>
      <c r="D15" s="158"/>
      <c r="E15" s="163">
        <v>960</v>
      </c>
      <c r="F15" s="163">
        <v>91.93</v>
      </c>
      <c r="G15" s="8">
        <f t="shared" si="1"/>
        <v>88252.800000000003</v>
      </c>
      <c r="H15" s="163"/>
      <c r="I15" s="163"/>
      <c r="J15" s="8">
        <f t="shared" si="2"/>
        <v>0</v>
      </c>
      <c r="K15" s="8">
        <f t="shared" si="3"/>
        <v>88252.800000000003</v>
      </c>
      <c r="L15" s="164">
        <v>0</v>
      </c>
      <c r="M15" s="164">
        <f t="shared" si="0"/>
        <v>562219.9833000002</v>
      </c>
      <c r="N15" s="41"/>
    </row>
    <row r="16" spans="1:17">
      <c r="A16" s="26">
        <v>13</v>
      </c>
      <c r="B16" s="27">
        <v>46155</v>
      </c>
      <c r="C16" s="67"/>
      <c r="D16" s="158"/>
      <c r="E16" s="163">
        <v>400</v>
      </c>
      <c r="F16" s="163">
        <v>91.93</v>
      </c>
      <c r="G16" s="8">
        <f t="shared" si="1"/>
        <v>36772</v>
      </c>
      <c r="H16" s="163"/>
      <c r="I16" s="163"/>
      <c r="J16" s="8">
        <f t="shared" si="2"/>
        <v>0</v>
      </c>
      <c r="K16" s="8">
        <f t="shared" si="3"/>
        <v>36772</v>
      </c>
      <c r="L16" s="164">
        <v>0</v>
      </c>
      <c r="M16" s="164">
        <f t="shared" si="0"/>
        <v>598991.9833000002</v>
      </c>
      <c r="N16" s="41"/>
    </row>
    <row r="17" spans="1:17">
      <c r="A17" s="26">
        <v>14</v>
      </c>
      <c r="B17" s="27">
        <v>46156</v>
      </c>
      <c r="C17" s="67"/>
      <c r="D17" s="158"/>
      <c r="E17" s="163">
        <v>504.68</v>
      </c>
      <c r="F17" s="163">
        <v>91.93</v>
      </c>
      <c r="G17" s="8">
        <f t="shared" si="1"/>
        <v>46395.232400000001</v>
      </c>
      <c r="H17" s="163"/>
      <c r="I17" s="163"/>
      <c r="J17" s="8">
        <f t="shared" si="2"/>
        <v>0</v>
      </c>
      <c r="K17" s="8">
        <f t="shared" si="3"/>
        <v>46395.232400000001</v>
      </c>
      <c r="L17" s="164">
        <v>0</v>
      </c>
      <c r="M17" s="164">
        <f t="shared" si="0"/>
        <v>645387.21570000018</v>
      </c>
      <c r="N17" s="41"/>
    </row>
    <row r="18" spans="1:17">
      <c r="A18" s="26">
        <v>15</v>
      </c>
      <c r="B18" s="27">
        <v>46157</v>
      </c>
      <c r="C18" s="67"/>
      <c r="D18" s="158"/>
      <c r="E18" s="163">
        <v>485</v>
      </c>
      <c r="F18" s="163">
        <v>95.04</v>
      </c>
      <c r="G18" s="8">
        <f t="shared" si="1"/>
        <v>46094.400000000001</v>
      </c>
      <c r="H18" s="163">
        <v>2</v>
      </c>
      <c r="I18" s="163">
        <v>116.55</v>
      </c>
      <c r="J18" s="8">
        <f t="shared" si="2"/>
        <v>233.1</v>
      </c>
      <c r="K18" s="8">
        <f t="shared" si="3"/>
        <v>46327.5</v>
      </c>
      <c r="L18" s="164">
        <v>0</v>
      </c>
      <c r="M18" s="164">
        <f t="shared" si="0"/>
        <v>691714.71570000018</v>
      </c>
      <c r="N18" s="41"/>
    </row>
    <row r="19" spans="1:17">
      <c r="A19" s="26">
        <v>16</v>
      </c>
      <c r="B19" s="27">
        <v>46158</v>
      </c>
      <c r="C19" s="67"/>
      <c r="D19" s="158"/>
      <c r="E19" s="462">
        <v>705</v>
      </c>
      <c r="F19" s="463">
        <v>95.04</v>
      </c>
      <c r="G19" s="8">
        <f t="shared" si="1"/>
        <v>67003.200000000012</v>
      </c>
      <c r="H19" s="163">
        <v>5</v>
      </c>
      <c r="I19" s="163">
        <v>107.15</v>
      </c>
      <c r="J19" s="8">
        <f t="shared" si="2"/>
        <v>535.75</v>
      </c>
      <c r="K19" s="8">
        <f t="shared" si="3"/>
        <v>67538.950000000012</v>
      </c>
      <c r="L19" s="164">
        <v>0</v>
      </c>
      <c r="M19" s="164">
        <f t="shared" si="0"/>
        <v>759253.66570000025</v>
      </c>
      <c r="N19" s="41"/>
      <c r="Q19" s="238"/>
    </row>
    <row r="20" spans="1:17">
      <c r="A20" s="26">
        <v>17</v>
      </c>
      <c r="B20" s="27">
        <v>46159</v>
      </c>
      <c r="C20" s="67"/>
      <c r="D20" s="158"/>
      <c r="E20" s="462">
        <v>320</v>
      </c>
      <c r="F20" s="463">
        <v>95.04</v>
      </c>
      <c r="G20" s="8">
        <f t="shared" si="1"/>
        <v>30412.800000000003</v>
      </c>
      <c r="H20" s="163">
        <v>12</v>
      </c>
      <c r="I20" s="163">
        <v>107.15</v>
      </c>
      <c r="J20" s="8">
        <f t="shared" si="2"/>
        <v>1285.8000000000002</v>
      </c>
      <c r="K20" s="8">
        <f t="shared" si="3"/>
        <v>31698.600000000002</v>
      </c>
      <c r="L20" s="164">
        <v>0</v>
      </c>
      <c r="M20" s="164">
        <f t="shared" si="0"/>
        <v>790952.26570000022</v>
      </c>
      <c r="N20" s="41"/>
    </row>
    <row r="21" spans="1:17">
      <c r="A21" s="26"/>
      <c r="B21" s="27">
        <v>46159</v>
      </c>
      <c r="C21" s="67"/>
      <c r="D21" s="158"/>
      <c r="E21" s="464"/>
      <c r="F21" s="465"/>
      <c r="G21" s="8"/>
      <c r="H21" s="163">
        <v>40</v>
      </c>
      <c r="I21" s="163">
        <v>116.55</v>
      </c>
      <c r="J21" s="8">
        <f t="shared" si="2"/>
        <v>4662</v>
      </c>
      <c r="K21" s="8">
        <f t="shared" si="3"/>
        <v>4662</v>
      </c>
      <c r="L21" s="164"/>
      <c r="M21" s="164">
        <f t="shared" si="0"/>
        <v>795614.26570000022</v>
      </c>
      <c r="N21" s="41"/>
    </row>
    <row r="22" spans="1:17">
      <c r="A22" s="26">
        <v>18</v>
      </c>
      <c r="B22" s="27">
        <v>46160</v>
      </c>
      <c r="C22" s="67"/>
      <c r="D22" s="158"/>
      <c r="E22" s="163">
        <v>410</v>
      </c>
      <c r="F22" s="163">
        <v>95.04</v>
      </c>
      <c r="G22" s="8">
        <f t="shared" si="1"/>
        <v>38966.400000000001</v>
      </c>
      <c r="H22" s="163"/>
      <c r="I22" s="163"/>
      <c r="J22" s="8">
        <f t="shared" si="2"/>
        <v>0</v>
      </c>
      <c r="K22" s="8">
        <f t="shared" si="3"/>
        <v>38966.400000000001</v>
      </c>
      <c r="L22" s="164">
        <v>500000</v>
      </c>
      <c r="M22" s="164">
        <f t="shared" si="0"/>
        <v>334580.66570000025</v>
      </c>
      <c r="N22" s="41" t="s">
        <v>202</v>
      </c>
    </row>
    <row r="23" spans="1:17">
      <c r="A23" s="26">
        <v>19</v>
      </c>
      <c r="B23" s="27">
        <v>46161</v>
      </c>
      <c r="C23" s="67"/>
      <c r="D23" s="158"/>
      <c r="E23" s="163"/>
      <c r="F23" s="163"/>
      <c r="G23" s="8">
        <f t="shared" si="1"/>
        <v>0</v>
      </c>
      <c r="H23" s="163">
        <v>2</v>
      </c>
      <c r="I23" s="163">
        <v>107.15</v>
      </c>
      <c r="J23" s="8">
        <f t="shared" si="2"/>
        <v>214.3</v>
      </c>
      <c r="K23" s="8">
        <f t="shared" si="3"/>
        <v>214.3</v>
      </c>
      <c r="L23" s="164">
        <v>0</v>
      </c>
      <c r="M23" s="164">
        <f t="shared" si="0"/>
        <v>334794.96570000023</v>
      </c>
      <c r="N23" s="41"/>
    </row>
    <row r="24" spans="1:17">
      <c r="A24" s="26">
        <v>20</v>
      </c>
      <c r="B24" s="27">
        <v>46162</v>
      </c>
      <c r="C24" s="67"/>
      <c r="D24" s="158"/>
      <c r="E24" s="163">
        <v>300</v>
      </c>
      <c r="F24" s="163">
        <v>95.98</v>
      </c>
      <c r="G24" s="8">
        <f t="shared" si="1"/>
        <v>28794</v>
      </c>
      <c r="H24" s="163"/>
      <c r="I24" s="163"/>
      <c r="J24" s="8">
        <f t="shared" si="2"/>
        <v>0</v>
      </c>
      <c r="K24" s="8">
        <f t="shared" si="3"/>
        <v>28794</v>
      </c>
      <c r="L24" s="164">
        <v>0</v>
      </c>
      <c r="M24" s="164">
        <f t="shared" si="0"/>
        <v>363588.96570000023</v>
      </c>
      <c r="N24" s="41"/>
    </row>
    <row r="25" spans="1:17">
      <c r="A25" s="26">
        <v>21</v>
      </c>
      <c r="B25" s="27">
        <v>46163</v>
      </c>
      <c r="C25" s="67"/>
      <c r="D25" s="158"/>
      <c r="E25" s="163">
        <v>320</v>
      </c>
      <c r="F25" s="163">
        <v>95.98</v>
      </c>
      <c r="G25" s="8">
        <f t="shared" si="1"/>
        <v>30713.600000000002</v>
      </c>
      <c r="H25" s="163"/>
      <c r="I25" s="163"/>
      <c r="J25" s="8">
        <f t="shared" si="2"/>
        <v>0</v>
      </c>
      <c r="K25" s="8">
        <f t="shared" si="3"/>
        <v>30713.600000000002</v>
      </c>
      <c r="L25" s="164">
        <v>191968</v>
      </c>
      <c r="M25" s="164">
        <f t="shared" si="0"/>
        <v>202334.56570000021</v>
      </c>
      <c r="N25" s="41"/>
    </row>
    <row r="26" spans="1:17">
      <c r="A26" s="26">
        <v>22</v>
      </c>
      <c r="B26" s="27">
        <v>46164</v>
      </c>
      <c r="C26" s="67"/>
      <c r="D26" s="158"/>
      <c r="E26" s="163">
        <v>460</v>
      </c>
      <c r="F26" s="163">
        <v>95.98</v>
      </c>
      <c r="G26" s="8">
        <f t="shared" si="1"/>
        <v>44150.8</v>
      </c>
      <c r="H26" s="163">
        <v>10</v>
      </c>
      <c r="I26" s="163">
        <v>108.09</v>
      </c>
      <c r="J26" s="8">
        <f t="shared" si="2"/>
        <v>1080.9000000000001</v>
      </c>
      <c r="K26" s="8">
        <f t="shared" si="3"/>
        <v>45231.700000000004</v>
      </c>
      <c r="L26" s="164">
        <v>0</v>
      </c>
      <c r="M26" s="164">
        <f t="shared" si="0"/>
        <v>247566.26570000022</v>
      </c>
      <c r="N26" s="41"/>
    </row>
    <row r="27" spans="1:17">
      <c r="A27" s="26"/>
      <c r="B27" s="27">
        <v>46164</v>
      </c>
      <c r="C27" s="67"/>
      <c r="D27" s="158"/>
      <c r="E27" s="163"/>
      <c r="F27" s="163"/>
      <c r="G27" s="8"/>
      <c r="H27" s="163">
        <v>20</v>
      </c>
      <c r="I27" s="163">
        <v>117.5</v>
      </c>
      <c r="J27" s="8">
        <f t="shared" si="2"/>
        <v>2350</v>
      </c>
      <c r="K27" s="8">
        <f t="shared" si="3"/>
        <v>2350</v>
      </c>
      <c r="L27" s="164"/>
      <c r="M27" s="164">
        <f t="shared" si="0"/>
        <v>249916.26570000022</v>
      </c>
      <c r="N27" s="41"/>
    </row>
    <row r="28" spans="1:17">
      <c r="A28" s="26">
        <v>23</v>
      </c>
      <c r="B28" s="27">
        <v>46165</v>
      </c>
      <c r="C28" s="67"/>
      <c r="D28" s="158"/>
      <c r="E28" s="163">
        <v>445</v>
      </c>
      <c r="F28" s="163">
        <v>96.93</v>
      </c>
      <c r="G28" s="8">
        <f t="shared" si="1"/>
        <v>43133.850000000006</v>
      </c>
      <c r="H28" s="163">
        <v>2</v>
      </c>
      <c r="I28" s="163">
        <v>118.43</v>
      </c>
      <c r="J28" s="8">
        <f t="shared" si="2"/>
        <v>236.86</v>
      </c>
      <c r="K28" s="8">
        <f t="shared" si="3"/>
        <v>43370.710000000006</v>
      </c>
      <c r="L28" s="164">
        <v>0</v>
      </c>
      <c r="M28" s="164">
        <f t="shared" si="0"/>
        <v>293286.97570000024</v>
      </c>
      <c r="N28" s="41"/>
    </row>
    <row r="29" spans="1:17">
      <c r="A29" s="26">
        <v>24</v>
      </c>
      <c r="B29" s="27">
        <v>46166</v>
      </c>
      <c r="C29" s="67"/>
      <c r="D29" s="158"/>
      <c r="E29" s="163">
        <v>95</v>
      </c>
      <c r="F29" s="163">
        <v>96.93</v>
      </c>
      <c r="G29" s="8">
        <f t="shared" si="1"/>
        <v>9208.35</v>
      </c>
      <c r="H29" s="163"/>
      <c r="I29" s="163"/>
      <c r="J29" s="8">
        <f t="shared" si="2"/>
        <v>0</v>
      </c>
      <c r="K29" s="8">
        <f t="shared" si="3"/>
        <v>9208.35</v>
      </c>
      <c r="L29" s="164">
        <v>0</v>
      </c>
      <c r="M29" s="164">
        <f t="shared" si="0"/>
        <v>302495.32570000022</v>
      </c>
      <c r="N29" s="41"/>
    </row>
    <row r="30" spans="1:17">
      <c r="A30" s="26">
        <v>25</v>
      </c>
      <c r="B30" s="27">
        <v>46167</v>
      </c>
      <c r="C30" s="67"/>
      <c r="D30" s="158"/>
      <c r="E30" s="163">
        <v>188.76</v>
      </c>
      <c r="F30" s="163">
        <v>99.74</v>
      </c>
      <c r="G30" s="8">
        <f t="shared" si="1"/>
        <v>18826.922399999999</v>
      </c>
      <c r="H30" s="163">
        <v>10</v>
      </c>
      <c r="I30" s="163">
        <v>121.27</v>
      </c>
      <c r="J30" s="8">
        <f t="shared" si="2"/>
        <v>1212.7</v>
      </c>
      <c r="K30" s="8">
        <f t="shared" si="3"/>
        <v>20039.6224</v>
      </c>
      <c r="L30" s="164">
        <v>0</v>
      </c>
      <c r="M30" s="164">
        <f t="shared" si="0"/>
        <v>322534.94810000021</v>
      </c>
      <c r="N30" s="41"/>
    </row>
    <row r="31" spans="1:17">
      <c r="A31" s="26">
        <v>26</v>
      </c>
      <c r="B31" s="27">
        <v>46168</v>
      </c>
      <c r="C31" s="194"/>
      <c r="D31" s="158"/>
      <c r="E31" s="163">
        <v>230</v>
      </c>
      <c r="F31" s="163">
        <v>99.74</v>
      </c>
      <c r="G31" s="8">
        <f t="shared" si="1"/>
        <v>22940.199999999997</v>
      </c>
      <c r="H31" s="163"/>
      <c r="I31" s="163"/>
      <c r="J31" s="8">
        <f t="shared" si="2"/>
        <v>0</v>
      </c>
      <c r="K31" s="8">
        <f t="shared" si="3"/>
        <v>22940.199999999997</v>
      </c>
      <c r="L31" s="164">
        <v>0</v>
      </c>
      <c r="M31" s="164">
        <f t="shared" si="0"/>
        <v>345475.14810000022</v>
      </c>
      <c r="N31" s="41"/>
    </row>
    <row r="32" spans="1:17">
      <c r="A32" s="26">
        <v>27</v>
      </c>
      <c r="B32" s="27">
        <v>46169</v>
      </c>
      <c r="C32" s="67"/>
      <c r="D32" s="158"/>
      <c r="E32" s="163">
        <v>335</v>
      </c>
      <c r="F32" s="163">
        <v>99.74</v>
      </c>
      <c r="G32" s="8">
        <f t="shared" si="1"/>
        <v>33412.9</v>
      </c>
      <c r="H32" s="163"/>
      <c r="I32" s="163"/>
      <c r="J32" s="8">
        <f t="shared" si="2"/>
        <v>0</v>
      </c>
      <c r="K32" s="8">
        <f t="shared" si="3"/>
        <v>33412.9</v>
      </c>
      <c r="L32" s="164">
        <v>0</v>
      </c>
      <c r="M32" s="164">
        <f t="shared" si="0"/>
        <v>378888.04810000025</v>
      </c>
      <c r="N32" s="41"/>
      <c r="P32" s="69">
        <f>600*99.73</f>
        <v>59838</v>
      </c>
    </row>
    <row r="33" spans="1:15">
      <c r="A33" s="26">
        <v>28</v>
      </c>
      <c r="B33" s="27">
        <v>46170</v>
      </c>
      <c r="C33" s="67"/>
      <c r="D33" s="158"/>
      <c r="E33" s="163">
        <v>150</v>
      </c>
      <c r="F33" s="163">
        <v>99.74</v>
      </c>
      <c r="G33" s="8">
        <f t="shared" si="1"/>
        <v>14961</v>
      </c>
      <c r="H33" s="163"/>
      <c r="I33" s="163"/>
      <c r="J33" s="8">
        <f t="shared" si="2"/>
        <v>0</v>
      </c>
      <c r="K33" s="8">
        <f t="shared" si="3"/>
        <v>14961</v>
      </c>
      <c r="L33" s="164">
        <v>0</v>
      </c>
      <c r="M33" s="164">
        <f t="shared" si="0"/>
        <v>393849.04810000025</v>
      </c>
      <c r="N33" s="41"/>
    </row>
    <row r="34" spans="1:15">
      <c r="A34" s="26">
        <v>29</v>
      </c>
      <c r="B34" s="27">
        <v>46171</v>
      </c>
      <c r="C34" s="67"/>
      <c r="D34" s="158"/>
      <c r="E34" s="163">
        <v>430</v>
      </c>
      <c r="F34" s="163">
        <v>99.74</v>
      </c>
      <c r="G34" s="8">
        <f t="shared" si="1"/>
        <v>42888.2</v>
      </c>
      <c r="H34" s="163"/>
      <c r="I34" s="163"/>
      <c r="J34" s="8">
        <f t="shared" si="2"/>
        <v>0</v>
      </c>
      <c r="K34" s="8">
        <f t="shared" si="3"/>
        <v>42888.2</v>
      </c>
      <c r="L34" s="164">
        <v>0</v>
      </c>
      <c r="M34" s="164">
        <f t="shared" si="0"/>
        <v>436737.24810000026</v>
      </c>
      <c r="N34" s="41"/>
    </row>
    <row r="35" spans="1:15">
      <c r="A35" s="26">
        <v>30</v>
      </c>
      <c r="B35" s="27">
        <v>46172</v>
      </c>
      <c r="C35" s="67"/>
      <c r="D35" s="158"/>
      <c r="E35" s="163">
        <v>400</v>
      </c>
      <c r="F35" s="163">
        <v>99.74</v>
      </c>
      <c r="G35" s="8">
        <f t="shared" si="1"/>
        <v>39896</v>
      </c>
      <c r="H35" s="163"/>
      <c r="I35" s="163"/>
      <c r="J35" s="8">
        <f t="shared" si="2"/>
        <v>0</v>
      </c>
      <c r="K35" s="8">
        <f t="shared" si="3"/>
        <v>39896</v>
      </c>
      <c r="L35" s="164">
        <v>0</v>
      </c>
      <c r="M35" s="164">
        <f t="shared" si="0"/>
        <v>476633.24810000026</v>
      </c>
      <c r="N35" s="41"/>
    </row>
    <row r="36" spans="1:15">
      <c r="A36" s="26">
        <v>31</v>
      </c>
      <c r="B36" s="27">
        <v>46173</v>
      </c>
      <c r="C36" s="67"/>
      <c r="D36" s="158"/>
      <c r="E36" s="163"/>
      <c r="F36" s="163"/>
      <c r="G36" s="8">
        <f t="shared" si="1"/>
        <v>0</v>
      </c>
      <c r="H36" s="163"/>
      <c r="I36" s="163"/>
      <c r="J36" s="8">
        <f t="shared" si="2"/>
        <v>0</v>
      </c>
      <c r="K36" s="8">
        <f t="shared" si="3"/>
        <v>0</v>
      </c>
      <c r="L36" s="164">
        <v>0</v>
      </c>
      <c r="M36" s="164">
        <f>M35+K36-L36</f>
        <v>476633.24810000026</v>
      </c>
      <c r="N36" s="41"/>
    </row>
    <row r="37" spans="1:15">
      <c r="A37" s="159"/>
      <c r="B37" s="159"/>
      <c r="C37" s="159"/>
      <c r="D37" s="159"/>
      <c r="E37" s="160">
        <f>SUM(E4:E36)</f>
        <v>12026.84</v>
      </c>
      <c r="F37" s="160"/>
      <c r="G37" s="160">
        <f>SUM(G4:G36)</f>
        <v>1132213.2668000001</v>
      </c>
      <c r="H37" s="160">
        <f>SUM(H4:H36)</f>
        <v>241</v>
      </c>
      <c r="I37" s="63"/>
      <c r="J37" s="160">
        <f>SUM(J4:J36)</f>
        <v>26148.230000000003</v>
      </c>
      <c r="K37" s="160">
        <f>SUM(K4:K36)</f>
        <v>1158361.4967999998</v>
      </c>
      <c r="L37" s="160">
        <f>SUM(L4:L36)</f>
        <v>1265943</v>
      </c>
      <c r="M37" s="160"/>
      <c r="N37" s="63"/>
      <c r="O37" s="59"/>
    </row>
    <row r="38" spans="1:15">
      <c r="A38" s="72"/>
      <c r="B38" s="73"/>
      <c r="C38" s="72"/>
      <c r="D38" s="72"/>
      <c r="E38" s="74"/>
      <c r="F38" s="74"/>
      <c r="G38" s="74"/>
      <c r="H38" s="74"/>
      <c r="I38" s="74"/>
      <c r="J38" s="75"/>
      <c r="K38" s="75"/>
      <c r="L38" s="75"/>
      <c r="M38" s="75"/>
      <c r="N38" s="74"/>
    </row>
    <row r="44" spans="1:15">
      <c r="B44" s="59"/>
      <c r="G44" s="76"/>
      <c r="J44" s="59"/>
      <c r="K44" s="59"/>
      <c r="L44" s="59"/>
      <c r="M44" s="59"/>
      <c r="O44" s="74"/>
    </row>
    <row r="45" spans="1:15">
      <c r="B45" s="554"/>
      <c r="C45" s="554"/>
      <c r="D45" s="554"/>
      <c r="E45" s="554"/>
      <c r="I45" s="554"/>
      <c r="J45" s="554"/>
      <c r="K45" s="554"/>
      <c r="L45" s="554"/>
      <c r="M45" s="554"/>
      <c r="N45" s="554"/>
      <c r="O45" s="74"/>
    </row>
    <row r="46" spans="1:15">
      <c r="B46" s="59"/>
      <c r="J46" s="59"/>
      <c r="K46" s="59"/>
      <c r="L46" s="59"/>
      <c r="M46" s="59"/>
      <c r="O46" s="74"/>
    </row>
  </sheetData>
  <mergeCells count="4">
    <mergeCell ref="A1:N1"/>
    <mergeCell ref="B45:E45"/>
    <mergeCell ref="I45:N45"/>
    <mergeCell ref="A3:J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4708-290B-4AF1-B44A-9672881C5B56}">
  <dimension ref="A1:R44"/>
  <sheetViews>
    <sheetView topLeftCell="A22" workbookViewId="0"/>
  </sheetViews>
  <sheetFormatPr defaultRowHeight="15"/>
  <cols>
    <col min="2" max="2" width="18.28515625" customWidth="1"/>
    <col min="7" max="7" width="14.7109375" customWidth="1"/>
    <col min="11" max="11" width="23.7109375" customWidth="1"/>
    <col min="12" max="12" width="19" customWidth="1"/>
    <col min="13" max="13" width="18.140625" customWidth="1"/>
  </cols>
  <sheetData>
    <row r="1" spans="1:18" ht="15.75">
      <c r="A1" s="538" t="s">
        <v>289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"/>
      <c r="P1" s="77"/>
      <c r="Q1" s="77"/>
      <c r="R1" s="77"/>
    </row>
    <row r="2" spans="1:18" ht="30.75">
      <c r="A2" s="97" t="s">
        <v>0</v>
      </c>
      <c r="B2" s="98" t="s">
        <v>166</v>
      </c>
      <c r="C2" s="98" t="s">
        <v>167</v>
      </c>
      <c r="D2" s="98" t="s">
        <v>198</v>
      </c>
      <c r="E2" s="98" t="s">
        <v>169</v>
      </c>
      <c r="F2" s="98" t="s">
        <v>170</v>
      </c>
      <c r="G2" s="98" t="s">
        <v>171</v>
      </c>
      <c r="H2" s="98" t="s">
        <v>172</v>
      </c>
      <c r="I2" s="98" t="s">
        <v>170</v>
      </c>
      <c r="J2" s="137" t="s">
        <v>171</v>
      </c>
      <c r="K2" s="99" t="s">
        <v>173</v>
      </c>
      <c r="L2" s="225" t="s">
        <v>174</v>
      </c>
      <c r="M2" s="142" t="s">
        <v>199</v>
      </c>
      <c r="N2" s="100" t="s">
        <v>176</v>
      </c>
      <c r="O2" s="59"/>
      <c r="P2" s="77"/>
      <c r="Q2" s="77"/>
      <c r="R2" s="77"/>
    </row>
    <row r="3" spans="1:18">
      <c r="A3" s="566" t="s">
        <v>177</v>
      </c>
      <c r="B3" s="567"/>
      <c r="C3" s="567"/>
      <c r="D3" s="567"/>
      <c r="E3" s="567"/>
      <c r="F3" s="567"/>
      <c r="G3" s="567"/>
      <c r="H3" s="567"/>
      <c r="I3" s="567"/>
      <c r="J3" s="568"/>
      <c r="K3" s="208">
        <v>0</v>
      </c>
      <c r="L3" s="208"/>
      <c r="M3" s="208">
        <v>0</v>
      </c>
      <c r="N3" s="155"/>
      <c r="O3" s="8"/>
      <c r="P3" s="77"/>
      <c r="Q3" s="77"/>
      <c r="R3" s="77"/>
    </row>
    <row r="4" spans="1:18">
      <c r="A4" s="26">
        <v>1</v>
      </c>
      <c r="B4" s="27">
        <v>46143</v>
      </c>
      <c r="C4" s="25"/>
      <c r="D4" s="18"/>
      <c r="E4" s="47"/>
      <c r="F4" s="47"/>
      <c r="G4" s="8">
        <f>E4*F4</f>
        <v>0</v>
      </c>
      <c r="H4" s="47"/>
      <c r="I4" s="47"/>
      <c r="J4" s="8">
        <f>H4*I4</f>
        <v>0</v>
      </c>
      <c r="K4" s="8">
        <f>G4+J4</f>
        <v>0</v>
      </c>
      <c r="L4" s="248"/>
      <c r="M4" s="8">
        <f>M3+K4-L4</f>
        <v>0</v>
      </c>
      <c r="N4" s="8"/>
      <c r="O4" s="59"/>
      <c r="P4" s="77"/>
      <c r="Q4" s="77"/>
      <c r="R4" s="77"/>
    </row>
    <row r="5" spans="1:18">
      <c r="A5" s="26">
        <v>2</v>
      </c>
      <c r="B5" s="27">
        <v>46144</v>
      </c>
      <c r="C5" s="25"/>
      <c r="D5" s="18"/>
      <c r="E5" s="47"/>
      <c r="F5" s="47"/>
      <c r="G5" s="8">
        <f t="shared" ref="G5:G34" si="0">E5*F5</f>
        <v>0</v>
      </c>
      <c r="H5" s="47"/>
      <c r="I5" s="47"/>
      <c r="J5" s="8">
        <f t="shared" ref="J5:J34" si="1">H5*I5</f>
        <v>0</v>
      </c>
      <c r="K5" s="8">
        <f t="shared" ref="K5:K34" si="2">G5+J5</f>
        <v>0</v>
      </c>
      <c r="L5" s="248"/>
      <c r="M5" s="8">
        <f t="shared" ref="M5:M33" si="3">M4+K5-L5</f>
        <v>0</v>
      </c>
      <c r="N5" s="8"/>
      <c r="O5" s="59"/>
      <c r="P5" s="77"/>
      <c r="Q5" s="77"/>
      <c r="R5" s="77"/>
    </row>
    <row r="6" spans="1:18">
      <c r="A6" s="26">
        <v>3</v>
      </c>
      <c r="B6" s="27">
        <v>46145</v>
      </c>
      <c r="C6" s="25"/>
      <c r="D6" s="18"/>
      <c r="E6" s="47"/>
      <c r="F6" s="47"/>
      <c r="G6" s="8">
        <f t="shared" si="0"/>
        <v>0</v>
      </c>
      <c r="H6" s="47"/>
      <c r="I6" s="47"/>
      <c r="J6" s="8">
        <f t="shared" si="1"/>
        <v>0</v>
      </c>
      <c r="K6" s="8">
        <f t="shared" si="2"/>
        <v>0</v>
      </c>
      <c r="L6" s="248"/>
      <c r="M6" s="8">
        <f t="shared" si="3"/>
        <v>0</v>
      </c>
      <c r="N6" s="8"/>
      <c r="O6" s="59"/>
      <c r="P6" s="77"/>
      <c r="Q6" s="77"/>
      <c r="R6" s="77"/>
    </row>
    <row r="7" spans="1:18">
      <c r="A7" s="26">
        <v>4</v>
      </c>
      <c r="B7" s="27">
        <v>46146</v>
      </c>
      <c r="C7" s="25"/>
      <c r="D7" s="18"/>
      <c r="E7" s="47"/>
      <c r="F7" s="47"/>
      <c r="G7" s="8">
        <f t="shared" si="0"/>
        <v>0</v>
      </c>
      <c r="H7" s="47"/>
      <c r="I7" s="47"/>
      <c r="J7" s="8">
        <f t="shared" si="1"/>
        <v>0</v>
      </c>
      <c r="K7" s="8">
        <f t="shared" si="2"/>
        <v>0</v>
      </c>
      <c r="L7" s="248"/>
      <c r="M7" s="8">
        <f t="shared" si="3"/>
        <v>0</v>
      </c>
      <c r="N7" s="8"/>
      <c r="O7" s="59"/>
      <c r="P7" s="77"/>
      <c r="Q7" s="77"/>
      <c r="R7" s="77"/>
    </row>
    <row r="8" spans="1:18">
      <c r="A8" s="26">
        <v>5</v>
      </c>
      <c r="B8" s="27">
        <v>46147</v>
      </c>
      <c r="C8" s="25"/>
      <c r="D8" s="18"/>
      <c r="E8" s="47"/>
      <c r="F8" s="47"/>
      <c r="G8" s="8">
        <f t="shared" si="0"/>
        <v>0</v>
      </c>
      <c r="H8" s="47"/>
      <c r="I8" s="47"/>
      <c r="J8" s="8">
        <f t="shared" si="1"/>
        <v>0</v>
      </c>
      <c r="K8" s="8">
        <f t="shared" si="2"/>
        <v>0</v>
      </c>
      <c r="L8" s="248"/>
      <c r="M8" s="8">
        <f t="shared" si="3"/>
        <v>0</v>
      </c>
      <c r="N8" s="8"/>
      <c r="O8" s="59"/>
      <c r="P8" s="77"/>
      <c r="Q8" s="77"/>
      <c r="R8" s="77"/>
    </row>
    <row r="9" spans="1:18">
      <c r="A9" s="26">
        <v>6</v>
      </c>
      <c r="B9" s="27">
        <v>46148</v>
      </c>
      <c r="C9" s="25"/>
      <c r="D9" s="18"/>
      <c r="E9" s="47"/>
      <c r="F9" s="47"/>
      <c r="G9" s="8">
        <f t="shared" si="0"/>
        <v>0</v>
      </c>
      <c r="H9" s="47"/>
      <c r="I9" s="47"/>
      <c r="J9" s="8">
        <f t="shared" si="1"/>
        <v>0</v>
      </c>
      <c r="K9" s="8">
        <f t="shared" si="2"/>
        <v>0</v>
      </c>
      <c r="L9" s="248"/>
      <c r="M9" s="8">
        <f t="shared" si="3"/>
        <v>0</v>
      </c>
      <c r="N9" s="8"/>
      <c r="O9" s="59"/>
      <c r="P9" s="77"/>
      <c r="Q9" s="77"/>
      <c r="R9" s="77"/>
    </row>
    <row r="10" spans="1:18">
      <c r="A10" s="26">
        <v>7</v>
      </c>
      <c r="B10" s="27">
        <v>46149</v>
      </c>
      <c r="C10" s="25"/>
      <c r="D10" s="18"/>
      <c r="E10" s="47"/>
      <c r="F10" s="47"/>
      <c r="G10" s="8">
        <f t="shared" si="0"/>
        <v>0</v>
      </c>
      <c r="H10" s="47"/>
      <c r="I10" s="47"/>
      <c r="J10" s="8">
        <f t="shared" si="1"/>
        <v>0</v>
      </c>
      <c r="K10" s="8">
        <f t="shared" si="2"/>
        <v>0</v>
      </c>
      <c r="L10" s="248"/>
      <c r="M10" s="8">
        <f t="shared" si="3"/>
        <v>0</v>
      </c>
      <c r="N10" s="8"/>
      <c r="O10" s="59"/>
      <c r="P10" s="77"/>
      <c r="Q10" s="77"/>
      <c r="R10" s="77"/>
    </row>
    <row r="11" spans="1:18">
      <c r="A11" s="26">
        <v>8</v>
      </c>
      <c r="B11" s="27">
        <v>46150</v>
      </c>
      <c r="C11" s="25"/>
      <c r="D11" s="18"/>
      <c r="E11" s="47"/>
      <c r="F11" s="47"/>
      <c r="G11" s="8">
        <f t="shared" si="0"/>
        <v>0</v>
      </c>
      <c r="H11" s="47"/>
      <c r="I11" s="47"/>
      <c r="J11" s="8">
        <f t="shared" si="1"/>
        <v>0</v>
      </c>
      <c r="K11" s="8">
        <f t="shared" si="2"/>
        <v>0</v>
      </c>
      <c r="L11" s="248"/>
      <c r="M11" s="8">
        <f t="shared" si="3"/>
        <v>0</v>
      </c>
      <c r="N11" s="8"/>
      <c r="O11" s="59"/>
      <c r="P11" s="77"/>
      <c r="Q11" s="77"/>
      <c r="R11" s="77"/>
    </row>
    <row r="12" spans="1:18">
      <c r="A12" s="26">
        <v>9</v>
      </c>
      <c r="B12" s="27">
        <v>46151</v>
      </c>
      <c r="C12" s="25"/>
      <c r="D12" s="18"/>
      <c r="E12" s="264"/>
      <c r="F12" s="290"/>
      <c r="G12" s="8">
        <f t="shared" si="0"/>
        <v>0</v>
      </c>
      <c r="H12" s="264"/>
      <c r="I12" s="290"/>
      <c r="J12" s="8">
        <f t="shared" si="1"/>
        <v>0</v>
      </c>
      <c r="K12" s="8">
        <f t="shared" si="2"/>
        <v>0</v>
      </c>
      <c r="L12" s="248"/>
      <c r="M12" s="8">
        <f t="shared" si="3"/>
        <v>0</v>
      </c>
      <c r="N12" s="8"/>
      <c r="O12" s="59"/>
      <c r="P12" s="77"/>
      <c r="Q12" s="77"/>
      <c r="R12" s="77"/>
    </row>
    <row r="13" spans="1:18">
      <c r="A13" s="26">
        <v>10</v>
      </c>
      <c r="B13" s="27">
        <v>46152</v>
      </c>
      <c r="C13" s="25"/>
      <c r="D13" s="18"/>
      <c r="E13" s="264"/>
      <c r="F13" s="290"/>
      <c r="G13" s="8">
        <f t="shared" si="0"/>
        <v>0</v>
      </c>
      <c r="H13" s="264"/>
      <c r="I13" s="290"/>
      <c r="J13" s="8">
        <f t="shared" si="1"/>
        <v>0</v>
      </c>
      <c r="K13" s="8">
        <f t="shared" si="2"/>
        <v>0</v>
      </c>
      <c r="L13" s="248"/>
      <c r="M13" s="8">
        <f>M12+K13-L13</f>
        <v>0</v>
      </c>
      <c r="N13" s="19"/>
      <c r="O13" s="59"/>
      <c r="P13" s="77"/>
      <c r="Q13" s="77"/>
      <c r="R13" s="77"/>
    </row>
    <row r="14" spans="1:18">
      <c r="A14" s="26">
        <v>11</v>
      </c>
      <c r="B14" s="27">
        <v>46153</v>
      </c>
      <c r="C14" s="25"/>
      <c r="D14" s="18"/>
      <c r="E14" s="47"/>
      <c r="F14" s="47"/>
      <c r="G14" s="8">
        <f t="shared" si="0"/>
        <v>0</v>
      </c>
      <c r="H14" s="47"/>
      <c r="I14" s="290"/>
      <c r="J14" s="8">
        <f t="shared" si="1"/>
        <v>0</v>
      </c>
      <c r="K14" s="8">
        <f t="shared" si="2"/>
        <v>0</v>
      </c>
      <c r="L14" s="248"/>
      <c r="M14" s="8">
        <f>M13+K14-L14</f>
        <v>0</v>
      </c>
      <c r="N14" s="19"/>
      <c r="O14" s="59"/>
      <c r="P14" s="77"/>
      <c r="Q14" s="77"/>
      <c r="R14" s="77"/>
    </row>
    <row r="15" spans="1:18">
      <c r="A15" s="26">
        <v>12</v>
      </c>
      <c r="B15" s="27">
        <v>46154</v>
      </c>
      <c r="C15" s="25"/>
      <c r="D15" s="18"/>
      <c r="E15" s="47"/>
      <c r="F15" s="47"/>
      <c r="G15" s="8">
        <f t="shared" si="0"/>
        <v>0</v>
      </c>
      <c r="H15" s="47"/>
      <c r="I15" s="47"/>
      <c r="J15" s="8">
        <f t="shared" si="1"/>
        <v>0</v>
      </c>
      <c r="K15" s="8">
        <f t="shared" si="2"/>
        <v>0</v>
      </c>
      <c r="L15" s="248"/>
      <c r="M15" s="8">
        <f t="shared" si="3"/>
        <v>0</v>
      </c>
      <c r="N15" s="19"/>
      <c r="O15" s="59"/>
      <c r="P15" s="77"/>
      <c r="Q15" s="77"/>
      <c r="R15" s="77"/>
    </row>
    <row r="16" spans="1:18">
      <c r="A16" s="26">
        <v>13</v>
      </c>
      <c r="B16" s="27">
        <v>46155</v>
      </c>
      <c r="C16" s="25"/>
      <c r="D16" s="18"/>
      <c r="E16" s="47"/>
      <c r="F16" s="47"/>
      <c r="G16" s="8">
        <f t="shared" si="0"/>
        <v>0</v>
      </c>
      <c r="H16" s="47"/>
      <c r="I16" s="47"/>
      <c r="J16" s="8">
        <f t="shared" si="1"/>
        <v>0</v>
      </c>
      <c r="K16" s="8">
        <f t="shared" si="2"/>
        <v>0</v>
      </c>
      <c r="L16" s="248"/>
      <c r="M16" s="8">
        <f t="shared" si="3"/>
        <v>0</v>
      </c>
      <c r="N16" s="19"/>
      <c r="O16" s="59"/>
      <c r="P16" s="77"/>
      <c r="Q16" s="77"/>
      <c r="R16" s="77"/>
    </row>
    <row r="17" spans="1:18">
      <c r="A17" s="26">
        <v>14</v>
      </c>
      <c r="B17" s="27">
        <v>46156</v>
      </c>
      <c r="C17" s="25"/>
      <c r="D17" s="18"/>
      <c r="E17" s="47"/>
      <c r="F17" s="47"/>
      <c r="G17" s="8">
        <f t="shared" si="0"/>
        <v>0</v>
      </c>
      <c r="H17" s="47"/>
      <c r="I17" s="290"/>
      <c r="J17" s="8">
        <f t="shared" si="1"/>
        <v>0</v>
      </c>
      <c r="K17" s="8">
        <f t="shared" si="2"/>
        <v>0</v>
      </c>
      <c r="L17" s="248"/>
      <c r="M17" s="8">
        <f t="shared" si="3"/>
        <v>0</v>
      </c>
      <c r="N17" s="19"/>
      <c r="O17" s="59"/>
      <c r="P17" s="77"/>
      <c r="Q17" s="77"/>
      <c r="R17" s="77"/>
    </row>
    <row r="18" spans="1:18">
      <c r="A18" s="26">
        <v>15</v>
      </c>
      <c r="B18" s="27">
        <v>46157</v>
      </c>
      <c r="C18" s="25"/>
      <c r="D18" s="18"/>
      <c r="E18" s="47"/>
      <c r="F18" s="47"/>
      <c r="G18" s="8">
        <f t="shared" si="0"/>
        <v>0</v>
      </c>
      <c r="H18" s="47"/>
      <c r="I18" s="47"/>
      <c r="J18" s="8">
        <f t="shared" si="1"/>
        <v>0</v>
      </c>
      <c r="K18" s="8">
        <f t="shared" si="2"/>
        <v>0</v>
      </c>
      <c r="L18" s="248"/>
      <c r="M18" s="8">
        <f t="shared" si="3"/>
        <v>0</v>
      </c>
      <c r="N18" s="19"/>
      <c r="O18" s="59"/>
      <c r="P18" s="77"/>
      <c r="Q18" s="77"/>
      <c r="R18" s="77"/>
    </row>
    <row r="19" spans="1:18">
      <c r="A19" s="26">
        <v>16</v>
      </c>
      <c r="B19" s="27">
        <v>46158</v>
      </c>
      <c r="C19" s="25"/>
      <c r="D19" s="18"/>
      <c r="E19" s="47"/>
      <c r="F19" s="47"/>
      <c r="G19" s="8">
        <f t="shared" si="0"/>
        <v>0</v>
      </c>
      <c r="H19" s="47"/>
      <c r="I19" s="47"/>
      <c r="J19" s="8">
        <f t="shared" si="1"/>
        <v>0</v>
      </c>
      <c r="K19" s="8">
        <f t="shared" si="2"/>
        <v>0</v>
      </c>
      <c r="L19" s="248"/>
      <c r="M19" s="8">
        <f t="shared" si="3"/>
        <v>0</v>
      </c>
      <c r="N19" s="19"/>
      <c r="O19" s="59"/>
      <c r="P19" s="77"/>
      <c r="Q19" s="77"/>
      <c r="R19" s="77"/>
    </row>
    <row r="20" spans="1:18">
      <c r="A20" s="26">
        <v>17</v>
      </c>
      <c r="B20" s="27">
        <v>46159</v>
      </c>
      <c r="C20" s="25"/>
      <c r="D20" s="18"/>
      <c r="E20" s="47"/>
      <c r="F20" s="47"/>
      <c r="G20" s="8">
        <f t="shared" si="0"/>
        <v>0</v>
      </c>
      <c r="H20" s="47"/>
      <c r="I20" s="47"/>
      <c r="J20" s="8">
        <f t="shared" si="1"/>
        <v>0</v>
      </c>
      <c r="K20" s="8">
        <f t="shared" si="2"/>
        <v>0</v>
      </c>
      <c r="L20" s="248"/>
      <c r="M20" s="8">
        <f t="shared" si="3"/>
        <v>0</v>
      </c>
      <c r="N20" s="19"/>
      <c r="O20" s="59"/>
      <c r="P20" s="77"/>
      <c r="Q20" s="77"/>
      <c r="R20" s="77"/>
    </row>
    <row r="21" spans="1:18">
      <c r="A21" s="26">
        <v>18</v>
      </c>
      <c r="B21" s="27">
        <v>46160</v>
      </c>
      <c r="C21" s="25"/>
      <c r="D21" s="18"/>
      <c r="E21" s="47"/>
      <c r="F21" s="47"/>
      <c r="G21" s="8">
        <f t="shared" si="0"/>
        <v>0</v>
      </c>
      <c r="H21" s="47"/>
      <c r="I21" s="47"/>
      <c r="J21" s="8">
        <f t="shared" si="1"/>
        <v>0</v>
      </c>
      <c r="K21" s="8">
        <f t="shared" si="2"/>
        <v>0</v>
      </c>
      <c r="L21" s="248"/>
      <c r="M21" s="8">
        <f t="shared" si="3"/>
        <v>0</v>
      </c>
      <c r="N21" s="19"/>
      <c r="O21" s="59"/>
      <c r="P21" s="77"/>
      <c r="Q21" s="77"/>
      <c r="R21" s="77"/>
    </row>
    <row r="22" spans="1:18">
      <c r="A22" s="26">
        <v>19</v>
      </c>
      <c r="B22" s="27">
        <v>46161</v>
      </c>
      <c r="C22" s="25"/>
      <c r="D22" s="18"/>
      <c r="E22" s="47"/>
      <c r="F22" s="47"/>
      <c r="G22" s="8">
        <f t="shared" si="0"/>
        <v>0</v>
      </c>
      <c r="H22" s="47"/>
      <c r="I22" s="47"/>
      <c r="J22" s="8">
        <f t="shared" si="1"/>
        <v>0</v>
      </c>
      <c r="K22" s="8">
        <f t="shared" si="2"/>
        <v>0</v>
      </c>
      <c r="L22" s="248"/>
      <c r="M22" s="8">
        <f t="shared" si="3"/>
        <v>0</v>
      </c>
      <c r="N22" s="19"/>
      <c r="O22" s="59"/>
      <c r="P22" s="77"/>
      <c r="Q22" s="77"/>
      <c r="R22" s="77"/>
    </row>
    <row r="23" spans="1:18">
      <c r="A23" s="26">
        <v>20</v>
      </c>
      <c r="B23" s="27">
        <v>46162</v>
      </c>
      <c r="C23" s="25"/>
      <c r="D23" s="18"/>
      <c r="E23" s="47"/>
      <c r="F23" s="47"/>
      <c r="G23" s="8">
        <f t="shared" si="0"/>
        <v>0</v>
      </c>
      <c r="H23" s="47"/>
      <c r="I23" s="47"/>
      <c r="J23" s="8">
        <f t="shared" si="1"/>
        <v>0</v>
      </c>
      <c r="K23" s="8">
        <f t="shared" si="2"/>
        <v>0</v>
      </c>
      <c r="L23" s="248"/>
      <c r="M23" s="8">
        <f t="shared" si="3"/>
        <v>0</v>
      </c>
      <c r="N23" s="19"/>
      <c r="O23" s="59"/>
      <c r="P23" s="77"/>
      <c r="Q23" s="77"/>
      <c r="R23" s="77"/>
    </row>
    <row r="24" spans="1:18">
      <c r="A24" s="26">
        <v>21</v>
      </c>
      <c r="B24" s="27">
        <v>46163</v>
      </c>
      <c r="C24" s="25"/>
      <c r="D24" s="18"/>
      <c r="E24" s="47"/>
      <c r="F24" s="47"/>
      <c r="G24" s="8">
        <f t="shared" si="0"/>
        <v>0</v>
      </c>
      <c r="H24" s="47"/>
      <c r="I24" s="47"/>
      <c r="J24" s="8">
        <f t="shared" si="1"/>
        <v>0</v>
      </c>
      <c r="K24" s="8">
        <f t="shared" si="2"/>
        <v>0</v>
      </c>
      <c r="L24" s="248"/>
      <c r="M24" s="8">
        <f t="shared" si="3"/>
        <v>0</v>
      </c>
      <c r="N24" s="19"/>
      <c r="O24" s="59"/>
      <c r="P24" s="77"/>
      <c r="Q24" s="77"/>
      <c r="R24" s="77"/>
    </row>
    <row r="25" spans="1:18">
      <c r="A25" s="26">
        <v>22</v>
      </c>
      <c r="B25" s="27">
        <v>46164</v>
      </c>
      <c r="C25" s="25"/>
      <c r="D25" s="18"/>
      <c r="E25" s="47"/>
      <c r="F25" s="47"/>
      <c r="G25" s="8">
        <f t="shared" si="0"/>
        <v>0</v>
      </c>
      <c r="H25" s="47"/>
      <c r="I25" s="47"/>
      <c r="J25" s="8">
        <f t="shared" si="1"/>
        <v>0</v>
      </c>
      <c r="K25" s="8">
        <f t="shared" si="2"/>
        <v>0</v>
      </c>
      <c r="L25" s="248"/>
      <c r="M25" s="8">
        <f t="shared" si="3"/>
        <v>0</v>
      </c>
      <c r="N25" s="19"/>
      <c r="O25" s="59"/>
      <c r="P25" s="77"/>
      <c r="Q25" s="77"/>
      <c r="R25" s="77"/>
    </row>
    <row r="26" spans="1:18">
      <c r="A26" s="26">
        <v>23</v>
      </c>
      <c r="B26" s="27">
        <v>46165</v>
      </c>
      <c r="C26" s="25"/>
      <c r="D26" s="18"/>
      <c r="E26" s="47"/>
      <c r="F26" s="47"/>
      <c r="G26" s="8">
        <f t="shared" si="0"/>
        <v>0</v>
      </c>
      <c r="H26" s="47"/>
      <c r="I26" s="47"/>
      <c r="J26" s="8">
        <f t="shared" si="1"/>
        <v>0</v>
      </c>
      <c r="K26" s="8">
        <f t="shared" si="2"/>
        <v>0</v>
      </c>
      <c r="L26" s="248"/>
      <c r="M26" s="8">
        <f t="shared" si="3"/>
        <v>0</v>
      </c>
      <c r="N26" s="19"/>
      <c r="O26" s="59"/>
      <c r="P26" s="77"/>
      <c r="Q26" s="77" t="s">
        <v>288</v>
      </c>
      <c r="R26" s="77"/>
    </row>
    <row r="27" spans="1:18">
      <c r="A27" s="26">
        <v>24</v>
      </c>
      <c r="B27" s="27">
        <v>46166</v>
      </c>
      <c r="C27" s="25"/>
      <c r="D27" s="18"/>
      <c r="E27" s="47"/>
      <c r="F27" s="47"/>
      <c r="G27" s="8">
        <f t="shared" si="0"/>
        <v>0</v>
      </c>
      <c r="H27" s="47"/>
      <c r="I27" s="47"/>
      <c r="J27" s="8">
        <f t="shared" si="1"/>
        <v>0</v>
      </c>
      <c r="K27" s="8">
        <f t="shared" si="2"/>
        <v>0</v>
      </c>
      <c r="L27" s="248"/>
      <c r="M27" s="8">
        <f t="shared" si="3"/>
        <v>0</v>
      </c>
      <c r="N27" s="19"/>
      <c r="O27" s="59"/>
      <c r="P27" s="77"/>
      <c r="Q27" s="77">
        <v>30</v>
      </c>
      <c r="R27" s="77">
        <v>50</v>
      </c>
    </row>
    <row r="28" spans="1:18">
      <c r="A28" s="26">
        <v>25</v>
      </c>
      <c r="B28" s="27">
        <v>46167</v>
      </c>
      <c r="C28" s="25"/>
      <c r="D28" s="18"/>
      <c r="E28" s="462">
        <v>600</v>
      </c>
      <c r="F28" s="463">
        <v>99.73</v>
      </c>
      <c r="G28" s="8">
        <f t="shared" si="0"/>
        <v>59838</v>
      </c>
      <c r="H28" s="462">
        <v>35</v>
      </c>
      <c r="I28" s="463">
        <v>111.85</v>
      </c>
      <c r="J28" s="8">
        <f t="shared" si="1"/>
        <v>3914.75</v>
      </c>
      <c r="K28" s="8">
        <f t="shared" si="2"/>
        <v>63752.75</v>
      </c>
      <c r="L28" s="248"/>
      <c r="M28" s="8">
        <f t="shared" si="3"/>
        <v>63752.75</v>
      </c>
      <c r="N28" s="19"/>
      <c r="O28" s="59"/>
      <c r="P28" s="77"/>
      <c r="Q28" s="77">
        <v>50</v>
      </c>
      <c r="R28" s="77">
        <v>4.51</v>
      </c>
    </row>
    <row r="29" spans="1:18">
      <c r="A29" s="26">
        <v>26</v>
      </c>
      <c r="B29" s="27">
        <v>46168</v>
      </c>
      <c r="C29" s="25"/>
      <c r="D29" s="18"/>
      <c r="E29" s="462">
        <v>475</v>
      </c>
      <c r="F29" s="463">
        <v>99.73</v>
      </c>
      <c r="G29" s="8">
        <f t="shared" si="0"/>
        <v>47371.75</v>
      </c>
      <c r="H29" s="462">
        <v>0</v>
      </c>
      <c r="I29" s="463">
        <v>0</v>
      </c>
      <c r="J29" s="8">
        <f t="shared" si="1"/>
        <v>0</v>
      </c>
      <c r="K29" s="8">
        <f t="shared" si="2"/>
        <v>47371.75</v>
      </c>
      <c r="L29" s="248"/>
      <c r="M29" s="8">
        <f t="shared" si="3"/>
        <v>111124.5</v>
      </c>
      <c r="N29" s="19"/>
      <c r="O29" s="59"/>
      <c r="P29" s="77"/>
      <c r="Q29" s="77"/>
      <c r="R29" s="77"/>
    </row>
    <row r="30" spans="1:18">
      <c r="A30" s="26">
        <v>27</v>
      </c>
      <c r="B30" s="27">
        <v>46169</v>
      </c>
      <c r="C30" s="25"/>
      <c r="D30" s="18"/>
      <c r="E30" s="462"/>
      <c r="F30" s="463"/>
      <c r="G30" s="8">
        <f t="shared" si="0"/>
        <v>0</v>
      </c>
      <c r="H30" s="462"/>
      <c r="I30" s="463"/>
      <c r="J30" s="8">
        <f t="shared" si="1"/>
        <v>0</v>
      </c>
      <c r="K30" s="8">
        <f t="shared" si="2"/>
        <v>0</v>
      </c>
      <c r="L30" s="248"/>
      <c r="M30" s="8">
        <f t="shared" si="3"/>
        <v>111124.5</v>
      </c>
      <c r="N30" s="19"/>
      <c r="O30" s="59"/>
      <c r="P30" s="77"/>
      <c r="Q30" s="77"/>
      <c r="R30" s="77"/>
    </row>
    <row r="31" spans="1:18">
      <c r="A31" s="216">
        <v>28</v>
      </c>
      <c r="B31" s="27">
        <v>46170</v>
      </c>
      <c r="C31" s="25"/>
      <c r="D31" s="18"/>
      <c r="E31" s="462"/>
      <c r="F31" s="463"/>
      <c r="G31" s="8">
        <f t="shared" si="0"/>
        <v>0</v>
      </c>
      <c r="H31" s="462"/>
      <c r="I31" s="463"/>
      <c r="J31" s="8">
        <f t="shared" si="1"/>
        <v>0</v>
      </c>
      <c r="K31" s="8">
        <f t="shared" si="2"/>
        <v>0</v>
      </c>
      <c r="L31" s="248"/>
      <c r="M31" s="8">
        <f t="shared" si="3"/>
        <v>111124.5</v>
      </c>
      <c r="N31" s="19"/>
      <c r="O31" s="59"/>
      <c r="P31" s="77"/>
      <c r="Q31" s="77"/>
      <c r="R31" s="77"/>
    </row>
    <row r="32" spans="1:18">
      <c r="A32" s="26">
        <v>29</v>
      </c>
      <c r="B32" s="27">
        <v>46171</v>
      </c>
      <c r="C32" s="25"/>
      <c r="D32" s="18"/>
      <c r="E32" s="462">
        <v>35</v>
      </c>
      <c r="F32" s="463">
        <v>99.73</v>
      </c>
      <c r="G32" s="8">
        <f t="shared" si="0"/>
        <v>3490.55</v>
      </c>
      <c r="H32" s="462">
        <v>30</v>
      </c>
      <c r="I32" s="463">
        <v>111.85</v>
      </c>
      <c r="J32" s="8">
        <f t="shared" si="1"/>
        <v>3355.5</v>
      </c>
      <c r="K32" s="8">
        <f t="shared" si="2"/>
        <v>6846.05</v>
      </c>
      <c r="L32" s="248"/>
      <c r="M32" s="8">
        <f t="shared" si="3"/>
        <v>117970.55</v>
      </c>
      <c r="N32" s="19"/>
      <c r="O32" s="59"/>
      <c r="P32" s="77"/>
      <c r="Q32" s="77"/>
      <c r="R32" s="77"/>
    </row>
    <row r="33" spans="1:18">
      <c r="A33" s="26">
        <v>30</v>
      </c>
      <c r="B33" s="27">
        <v>46172</v>
      </c>
      <c r="C33" s="25"/>
      <c r="D33" s="18"/>
      <c r="E33" s="462">
        <v>490</v>
      </c>
      <c r="F33" s="463">
        <v>99.73</v>
      </c>
      <c r="G33" s="8">
        <f t="shared" si="0"/>
        <v>48867.700000000004</v>
      </c>
      <c r="H33" s="462">
        <v>10</v>
      </c>
      <c r="I33" s="463">
        <v>111.85</v>
      </c>
      <c r="J33" s="8">
        <f t="shared" si="1"/>
        <v>1118.5</v>
      </c>
      <c r="K33" s="8">
        <f t="shared" si="2"/>
        <v>49986.200000000004</v>
      </c>
      <c r="L33" s="248"/>
      <c r="M33" s="8">
        <f t="shared" si="3"/>
        <v>167956.75</v>
      </c>
      <c r="N33" s="19"/>
      <c r="O33" s="59"/>
      <c r="P33" s="77"/>
      <c r="Q33" s="77"/>
      <c r="R33" s="77"/>
    </row>
    <row r="34" spans="1:18">
      <c r="A34" s="26">
        <v>31</v>
      </c>
      <c r="B34" s="27">
        <v>46173</v>
      </c>
      <c r="C34" s="25"/>
      <c r="D34" s="18"/>
      <c r="E34" s="47"/>
      <c r="F34" s="47"/>
      <c r="G34" s="8">
        <f t="shared" si="0"/>
        <v>0</v>
      </c>
      <c r="H34" s="47"/>
      <c r="I34" s="463"/>
      <c r="J34" s="8">
        <f t="shared" si="1"/>
        <v>0</v>
      </c>
      <c r="K34" s="8">
        <f t="shared" si="2"/>
        <v>0</v>
      </c>
      <c r="L34" s="248"/>
      <c r="M34" s="8">
        <f>M33+K34-L34</f>
        <v>167956.75</v>
      </c>
      <c r="N34" s="19"/>
      <c r="O34" s="59"/>
      <c r="P34" s="77"/>
      <c r="Q34" s="77"/>
      <c r="R34" s="77"/>
    </row>
    <row r="35" spans="1:18">
      <c r="A35" s="159"/>
      <c r="B35" s="159"/>
      <c r="C35" s="159"/>
      <c r="D35" s="159"/>
      <c r="E35" s="160">
        <f>SUM(E4:E34)</f>
        <v>1600</v>
      </c>
      <c r="F35" s="160"/>
      <c r="G35" s="160">
        <f>SUM(G4:G34)</f>
        <v>159568</v>
      </c>
      <c r="H35" s="160">
        <f>SUM(H4:H34)</f>
        <v>75</v>
      </c>
      <c r="I35" s="160"/>
      <c r="J35" s="160">
        <f>SUM(J4:J34)</f>
        <v>8388.75</v>
      </c>
      <c r="K35" s="160">
        <f>SUM(K4:K34)</f>
        <v>167956.75</v>
      </c>
      <c r="L35" s="160">
        <f>SUM(L4:L34)</f>
        <v>0</v>
      </c>
      <c r="M35" s="160"/>
      <c r="N35" s="160"/>
      <c r="O35" s="59"/>
      <c r="P35" s="77"/>
      <c r="Q35" s="77"/>
      <c r="R35" s="77"/>
    </row>
    <row r="36" spans="1:18">
      <c r="A36" s="73"/>
      <c r="B36" s="73"/>
      <c r="C36" s="73"/>
      <c r="D36" s="73"/>
      <c r="E36" s="75"/>
      <c r="F36" s="75"/>
      <c r="G36" s="75"/>
      <c r="H36" s="75"/>
      <c r="I36" s="75"/>
      <c r="J36" s="75"/>
      <c r="K36" s="75"/>
      <c r="L36" s="249"/>
      <c r="M36" s="75"/>
      <c r="N36" s="75"/>
      <c r="O36" s="59"/>
      <c r="P36" s="77"/>
      <c r="Q36" s="77"/>
      <c r="R36" s="77"/>
    </row>
    <row r="37" spans="1:18">
      <c r="A37" s="77"/>
      <c r="B37" s="77"/>
      <c r="C37" s="77"/>
      <c r="D37" s="77"/>
      <c r="E37" s="253"/>
      <c r="F37" s="253"/>
      <c r="G37" s="253"/>
      <c r="H37" s="253"/>
      <c r="I37" s="253"/>
      <c r="J37" s="253"/>
      <c r="K37" s="253"/>
      <c r="L37" s="253"/>
      <c r="M37" s="77"/>
      <c r="N37" s="77"/>
      <c r="O37" s="59"/>
      <c r="P37" s="77"/>
      <c r="Q37" s="77"/>
      <c r="R37" s="77"/>
    </row>
    <row r="38" spans="1:1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250"/>
      <c r="M38" s="77"/>
      <c r="N38" s="77"/>
      <c r="O38" s="59"/>
      <c r="P38" s="77"/>
      <c r="Q38" s="77"/>
      <c r="R38" s="77"/>
    </row>
    <row r="39" spans="1:18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250"/>
      <c r="M39" s="77"/>
      <c r="N39" s="77"/>
      <c r="O39" s="59"/>
      <c r="P39" s="77"/>
      <c r="Q39" s="77"/>
      <c r="R39" s="77"/>
    </row>
    <row r="40" spans="1:18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250"/>
      <c r="M40" s="77"/>
      <c r="N40" s="77"/>
      <c r="O40" s="59"/>
      <c r="P40" s="77"/>
      <c r="Q40" s="77"/>
      <c r="R40" s="77"/>
    </row>
    <row r="41" spans="1:18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250"/>
      <c r="M41" s="77"/>
      <c r="N41" s="77"/>
      <c r="O41" s="59"/>
      <c r="P41" s="77"/>
      <c r="Q41" s="77"/>
      <c r="R41" s="77"/>
    </row>
    <row r="42" spans="1:18">
      <c r="A42" s="59"/>
      <c r="B42" s="59"/>
      <c r="C42" s="59"/>
      <c r="D42" s="59"/>
      <c r="E42" s="59"/>
      <c r="F42" s="59"/>
      <c r="G42" s="81"/>
      <c r="H42" s="59"/>
      <c r="I42" s="59"/>
      <c r="J42" s="59"/>
      <c r="K42" s="59"/>
      <c r="L42" s="73"/>
      <c r="M42" s="59"/>
      <c r="N42" s="59"/>
      <c r="O42" s="75"/>
      <c r="P42" s="77"/>
      <c r="Q42" s="77"/>
      <c r="R42" s="77"/>
    </row>
    <row r="43" spans="1:18">
      <c r="A43" s="59"/>
      <c r="B43" s="565"/>
      <c r="C43" s="565"/>
      <c r="D43" s="565"/>
      <c r="E43" s="565"/>
      <c r="F43" s="59"/>
      <c r="G43" s="59"/>
      <c r="H43" s="59"/>
      <c r="I43" s="565"/>
      <c r="J43" s="565"/>
      <c r="K43" s="565"/>
      <c r="L43" s="565"/>
      <c r="M43" s="565"/>
      <c r="N43" s="565"/>
      <c r="O43" s="75"/>
      <c r="P43" s="77"/>
      <c r="Q43" s="77"/>
      <c r="R43" s="77"/>
    </row>
    <row r="44" spans="1:18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73"/>
      <c r="M44" s="59"/>
      <c r="N44" s="59"/>
      <c r="O44" s="75"/>
      <c r="P44" s="77"/>
      <c r="Q44" s="77"/>
      <c r="R44" s="77"/>
    </row>
  </sheetData>
  <mergeCells count="4">
    <mergeCell ref="A1:N1"/>
    <mergeCell ref="A3:J3"/>
    <mergeCell ref="B43:E43"/>
    <mergeCell ref="I43:N4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workbookViewId="0">
      <selection sqref="A1:XFD1048576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2" customWidth="1"/>
    <col min="8" max="8" width="12" style="22" customWidth="1"/>
    <col min="9" max="9" width="9.140625" style="22"/>
    <col min="10" max="10" width="11.140625" style="22" customWidth="1"/>
    <col min="11" max="11" width="12" style="22" customWidth="1"/>
    <col min="12" max="12" width="11.85546875" style="22" customWidth="1"/>
    <col min="13" max="13" width="13.85546875" customWidth="1"/>
  </cols>
  <sheetData>
    <row r="1" spans="1:14" ht="15.75">
      <c r="A1" s="538" t="s">
        <v>119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</row>
    <row r="2" spans="1:14">
      <c r="A2" s="97" t="s">
        <v>0</v>
      </c>
      <c r="B2" s="98" t="s">
        <v>166</v>
      </c>
      <c r="C2" s="98" t="s">
        <v>167</v>
      </c>
      <c r="D2" s="98" t="s">
        <v>198</v>
      </c>
      <c r="E2" s="98" t="s">
        <v>169</v>
      </c>
      <c r="F2" s="98" t="s">
        <v>170</v>
      </c>
      <c r="G2" s="224" t="s">
        <v>171</v>
      </c>
      <c r="H2" s="224" t="s">
        <v>172</v>
      </c>
      <c r="I2" s="224" t="s">
        <v>170</v>
      </c>
      <c r="J2" s="224" t="s">
        <v>171</v>
      </c>
      <c r="K2" s="225" t="s">
        <v>173</v>
      </c>
      <c r="L2" s="225" t="s">
        <v>174</v>
      </c>
      <c r="M2" s="142" t="s">
        <v>199</v>
      </c>
      <c r="N2" s="100" t="s">
        <v>176</v>
      </c>
    </row>
    <row r="3" spans="1:14">
      <c r="A3" s="569" t="s">
        <v>177</v>
      </c>
      <c r="B3" s="570"/>
      <c r="C3" s="570"/>
      <c r="D3" s="570"/>
      <c r="E3" s="570"/>
      <c r="F3" s="570"/>
      <c r="G3" s="570"/>
      <c r="H3" s="570"/>
      <c r="I3" s="570"/>
      <c r="J3" s="571"/>
      <c r="K3" s="213">
        <v>0</v>
      </c>
      <c r="L3" s="213"/>
      <c r="M3" s="172">
        <f>+K3</f>
        <v>0</v>
      </c>
      <c r="N3" s="214"/>
    </row>
    <row r="4" spans="1:14">
      <c r="A4" s="26">
        <v>1</v>
      </c>
      <c r="B4" s="27">
        <v>46143</v>
      </c>
      <c r="C4" s="17"/>
      <c r="D4" s="17"/>
      <c r="E4" s="193"/>
      <c r="F4" s="193"/>
      <c r="G4" s="208">
        <f>E4*F4</f>
        <v>0</v>
      </c>
      <c r="H4" s="264"/>
      <c r="I4" s="208"/>
      <c r="J4" s="208">
        <f>H4*I4</f>
        <v>0</v>
      </c>
      <c r="K4" s="208">
        <f>G4+J4</f>
        <v>0</v>
      </c>
      <c r="L4" s="208">
        <f>+K4</f>
        <v>0</v>
      </c>
      <c r="M4" s="193"/>
      <c r="N4" s="17"/>
    </row>
    <row r="5" spans="1:14">
      <c r="A5" s="26">
        <v>2</v>
      </c>
      <c r="B5" s="27">
        <v>46144</v>
      </c>
      <c r="C5" s="17"/>
      <c r="D5" s="17"/>
      <c r="E5" s="193"/>
      <c r="F5" s="193"/>
      <c r="G5" s="208">
        <f t="shared" ref="G5:G32" si="0">E5*F5</f>
        <v>0</v>
      </c>
      <c r="H5" s="264"/>
      <c r="I5" s="208"/>
      <c r="J5" s="208">
        <f>H5*I5</f>
        <v>0</v>
      </c>
      <c r="K5" s="208">
        <f t="shared" ref="K5:L34" si="1">G5+J5</f>
        <v>0</v>
      </c>
      <c r="L5" s="208">
        <f t="shared" ref="L5:L33" si="2">+K5</f>
        <v>0</v>
      </c>
      <c r="M5" s="193"/>
      <c r="N5" s="17"/>
    </row>
    <row r="6" spans="1:14">
      <c r="A6" s="26">
        <v>3</v>
      </c>
      <c r="B6" s="27">
        <v>46145</v>
      </c>
      <c r="C6" s="17"/>
      <c r="D6" s="17"/>
      <c r="E6" s="193"/>
      <c r="F6" s="193"/>
      <c r="G6" s="208">
        <f t="shared" si="0"/>
        <v>0</v>
      </c>
      <c r="H6" s="264"/>
      <c r="I6" s="208"/>
      <c r="J6" s="208">
        <f t="shared" ref="J6:J34" si="3">H6*I6</f>
        <v>0</v>
      </c>
      <c r="K6" s="208">
        <f t="shared" si="1"/>
        <v>0</v>
      </c>
      <c r="L6" s="208">
        <f t="shared" si="2"/>
        <v>0</v>
      </c>
      <c r="M6" s="193"/>
      <c r="N6" s="17"/>
    </row>
    <row r="7" spans="1:14">
      <c r="A7" s="26">
        <v>4</v>
      </c>
      <c r="B7" s="27">
        <v>46146</v>
      </c>
      <c r="C7" s="17"/>
      <c r="D7" s="17"/>
      <c r="E7" s="193"/>
      <c r="F7" s="193"/>
      <c r="G7" s="208">
        <f t="shared" si="0"/>
        <v>0</v>
      </c>
      <c r="H7" s="264"/>
      <c r="I7" s="208"/>
      <c r="J7" s="208">
        <f t="shared" si="3"/>
        <v>0</v>
      </c>
      <c r="K7" s="208">
        <f t="shared" si="1"/>
        <v>0</v>
      </c>
      <c r="L7" s="208">
        <f t="shared" si="2"/>
        <v>0</v>
      </c>
      <c r="M7" s="193"/>
      <c r="N7" s="17"/>
    </row>
    <row r="8" spans="1:14">
      <c r="A8" s="26">
        <v>5</v>
      </c>
      <c r="B8" s="27">
        <v>46147</v>
      </c>
      <c r="C8" s="17"/>
      <c r="D8" s="17"/>
      <c r="E8" s="193"/>
      <c r="F8" s="193"/>
      <c r="G8" s="208">
        <f t="shared" si="0"/>
        <v>0</v>
      </c>
      <c r="H8" s="264"/>
      <c r="I8" s="208"/>
      <c r="J8" s="208">
        <f t="shared" si="3"/>
        <v>0</v>
      </c>
      <c r="K8" s="208">
        <f t="shared" si="1"/>
        <v>0</v>
      </c>
      <c r="L8" s="208">
        <f t="shared" si="2"/>
        <v>0</v>
      </c>
      <c r="M8" s="193"/>
      <c r="N8" s="17"/>
    </row>
    <row r="9" spans="1:14">
      <c r="A9" s="26">
        <v>6</v>
      </c>
      <c r="B9" s="27">
        <v>46148</v>
      </c>
      <c r="C9" s="17"/>
      <c r="D9" s="17"/>
      <c r="E9" s="193"/>
      <c r="F9" s="193"/>
      <c r="G9" s="208">
        <f t="shared" si="0"/>
        <v>0</v>
      </c>
      <c r="H9" s="264"/>
      <c r="I9" s="208"/>
      <c r="J9" s="208">
        <f t="shared" si="3"/>
        <v>0</v>
      </c>
      <c r="K9" s="208">
        <f t="shared" si="1"/>
        <v>0</v>
      </c>
      <c r="L9" s="208">
        <f t="shared" si="2"/>
        <v>0</v>
      </c>
      <c r="M9" s="193"/>
      <c r="N9" s="17"/>
    </row>
    <row r="10" spans="1:14">
      <c r="A10" s="26">
        <v>7</v>
      </c>
      <c r="B10" s="27">
        <v>46149</v>
      </c>
      <c r="C10" s="17"/>
      <c r="D10" s="17"/>
      <c r="E10" s="193"/>
      <c r="F10" s="193"/>
      <c r="G10" s="208">
        <f t="shared" si="0"/>
        <v>0</v>
      </c>
      <c r="H10" s="264"/>
      <c r="I10" s="208"/>
      <c r="J10" s="208">
        <f t="shared" si="3"/>
        <v>0</v>
      </c>
      <c r="K10" s="208">
        <f t="shared" si="1"/>
        <v>0</v>
      </c>
      <c r="L10" s="208">
        <f t="shared" si="2"/>
        <v>0</v>
      </c>
      <c r="M10" s="193"/>
      <c r="N10" s="17"/>
    </row>
    <row r="11" spans="1:14">
      <c r="A11" s="26">
        <v>8</v>
      </c>
      <c r="B11" s="27">
        <v>46150</v>
      </c>
      <c r="C11" s="17"/>
      <c r="D11" s="17"/>
      <c r="E11" s="193"/>
      <c r="F11" s="193"/>
      <c r="G11" s="208">
        <f t="shared" si="0"/>
        <v>0</v>
      </c>
      <c r="H11" s="264">
        <v>8.9499999999999993</v>
      </c>
      <c r="I11" s="208">
        <v>103.54</v>
      </c>
      <c r="J11" s="208">
        <f t="shared" si="3"/>
        <v>926.68299999999999</v>
      </c>
      <c r="K11" s="208">
        <f t="shared" si="1"/>
        <v>926.68299999999999</v>
      </c>
      <c r="L11" s="208">
        <f t="shared" si="2"/>
        <v>926.68299999999999</v>
      </c>
      <c r="M11" s="193"/>
      <c r="N11" s="17"/>
    </row>
    <row r="12" spans="1:14">
      <c r="A12" s="26">
        <v>9</v>
      </c>
      <c r="B12" s="27">
        <v>46151</v>
      </c>
      <c r="C12" s="17"/>
      <c r="D12" s="17"/>
      <c r="E12" s="193"/>
      <c r="F12" s="193"/>
      <c r="G12" s="208">
        <f t="shared" si="0"/>
        <v>0</v>
      </c>
      <c r="H12" s="264"/>
      <c r="I12" s="208"/>
      <c r="J12" s="208">
        <f t="shared" si="3"/>
        <v>0</v>
      </c>
      <c r="K12" s="208">
        <f t="shared" si="1"/>
        <v>0</v>
      </c>
      <c r="L12" s="208">
        <f t="shared" si="2"/>
        <v>0</v>
      </c>
      <c r="M12" s="193"/>
      <c r="N12" s="17"/>
    </row>
    <row r="13" spans="1:14">
      <c r="A13" s="26">
        <v>10</v>
      </c>
      <c r="B13" s="27">
        <v>46152</v>
      </c>
      <c r="C13" s="17"/>
      <c r="D13" s="17"/>
      <c r="E13" s="193"/>
      <c r="F13" s="193"/>
      <c r="G13" s="208">
        <f t="shared" si="0"/>
        <v>0</v>
      </c>
      <c r="H13" s="264"/>
      <c r="I13" s="208"/>
      <c r="J13" s="208">
        <f t="shared" si="3"/>
        <v>0</v>
      </c>
      <c r="K13" s="208">
        <f t="shared" si="1"/>
        <v>0</v>
      </c>
      <c r="L13" s="208">
        <f t="shared" si="2"/>
        <v>0</v>
      </c>
      <c r="M13" s="193"/>
      <c r="N13" s="17"/>
    </row>
    <row r="14" spans="1:14">
      <c r="A14" s="26">
        <v>11</v>
      </c>
      <c r="B14" s="27">
        <v>46153</v>
      </c>
      <c r="C14" s="17"/>
      <c r="D14" s="17"/>
      <c r="E14" s="193"/>
      <c r="F14" s="193"/>
      <c r="G14" s="208">
        <f t="shared" si="0"/>
        <v>0</v>
      </c>
      <c r="H14" s="264"/>
      <c r="I14" s="208"/>
      <c r="J14" s="208">
        <f t="shared" si="3"/>
        <v>0</v>
      </c>
      <c r="K14" s="208">
        <f t="shared" si="1"/>
        <v>0</v>
      </c>
      <c r="L14" s="208">
        <f t="shared" si="2"/>
        <v>0</v>
      </c>
      <c r="M14" s="193"/>
      <c r="N14" s="17"/>
    </row>
    <row r="15" spans="1:14">
      <c r="A15" s="26">
        <v>12</v>
      </c>
      <c r="B15" s="27">
        <v>46154</v>
      </c>
      <c r="C15" s="17"/>
      <c r="D15" s="17"/>
      <c r="E15" s="193"/>
      <c r="F15" s="193"/>
      <c r="G15" s="208">
        <f t="shared" si="0"/>
        <v>0</v>
      </c>
      <c r="H15" s="264"/>
      <c r="I15" s="208"/>
      <c r="J15" s="208">
        <f t="shared" si="3"/>
        <v>0</v>
      </c>
      <c r="K15" s="208">
        <f t="shared" si="1"/>
        <v>0</v>
      </c>
      <c r="L15" s="208">
        <f t="shared" si="2"/>
        <v>0</v>
      </c>
      <c r="M15" s="193"/>
      <c r="N15" s="17"/>
    </row>
    <row r="16" spans="1:14">
      <c r="A16" s="26">
        <v>13</v>
      </c>
      <c r="B16" s="27">
        <v>46155</v>
      </c>
      <c r="C16" s="17"/>
      <c r="D16" s="17"/>
      <c r="E16" s="193"/>
      <c r="F16" s="193"/>
      <c r="G16" s="208">
        <f t="shared" si="0"/>
        <v>0</v>
      </c>
      <c r="H16" s="264"/>
      <c r="I16" s="208"/>
      <c r="J16" s="208">
        <f t="shared" si="3"/>
        <v>0</v>
      </c>
      <c r="K16" s="208">
        <f t="shared" si="1"/>
        <v>0</v>
      </c>
      <c r="L16" s="208">
        <f t="shared" si="2"/>
        <v>0</v>
      </c>
      <c r="M16" s="193"/>
      <c r="N16" s="17"/>
    </row>
    <row r="17" spans="1:15">
      <c r="A17" s="26">
        <v>14</v>
      </c>
      <c r="B17" s="27">
        <v>46156</v>
      </c>
      <c r="C17" s="17"/>
      <c r="D17" s="17"/>
      <c r="E17" s="193"/>
      <c r="F17" s="193"/>
      <c r="G17" s="208">
        <f t="shared" si="0"/>
        <v>0</v>
      </c>
      <c r="H17" s="264"/>
      <c r="I17" s="208"/>
      <c r="J17" s="208">
        <f t="shared" si="3"/>
        <v>0</v>
      </c>
      <c r="K17" s="208">
        <f t="shared" si="1"/>
        <v>0</v>
      </c>
      <c r="L17" s="208">
        <f t="shared" si="2"/>
        <v>0</v>
      </c>
      <c r="M17" s="193"/>
      <c r="N17" s="17"/>
    </row>
    <row r="18" spans="1:15">
      <c r="A18" s="26">
        <v>15</v>
      </c>
      <c r="B18" s="27">
        <v>46157</v>
      </c>
      <c r="C18" s="17"/>
      <c r="D18" s="17"/>
      <c r="E18" s="193"/>
      <c r="F18" s="193"/>
      <c r="G18" s="208">
        <f t="shared" si="0"/>
        <v>0</v>
      </c>
      <c r="H18" s="264"/>
      <c r="I18" s="208"/>
      <c r="J18" s="208">
        <f t="shared" si="3"/>
        <v>0</v>
      </c>
      <c r="K18" s="208">
        <f t="shared" si="1"/>
        <v>0</v>
      </c>
      <c r="L18" s="208">
        <f t="shared" si="2"/>
        <v>0</v>
      </c>
      <c r="M18" s="193"/>
      <c r="N18" s="94"/>
    </row>
    <row r="19" spans="1:15">
      <c r="A19" s="26">
        <v>16</v>
      </c>
      <c r="B19" s="27">
        <v>46158</v>
      </c>
      <c r="C19" s="17"/>
      <c r="D19" s="17"/>
      <c r="E19" s="193"/>
      <c r="F19" s="193"/>
      <c r="G19" s="208">
        <f t="shared" si="0"/>
        <v>0</v>
      </c>
      <c r="H19" s="264"/>
      <c r="I19" s="208"/>
      <c r="J19" s="208">
        <f t="shared" si="3"/>
        <v>0</v>
      </c>
      <c r="K19" s="208">
        <f t="shared" si="1"/>
        <v>0</v>
      </c>
      <c r="L19" s="208">
        <f t="shared" si="2"/>
        <v>0</v>
      </c>
      <c r="M19" s="480"/>
      <c r="N19" s="17"/>
    </row>
    <row r="20" spans="1:15">
      <c r="A20" s="26">
        <v>17</v>
      </c>
      <c r="B20" s="27">
        <v>46159</v>
      </c>
      <c r="C20" s="17"/>
      <c r="D20" s="17"/>
      <c r="E20" s="193"/>
      <c r="F20" s="193"/>
      <c r="G20" s="208">
        <f t="shared" si="0"/>
        <v>0</v>
      </c>
      <c r="H20" s="264"/>
      <c r="I20" s="208"/>
      <c r="J20" s="208">
        <f t="shared" si="3"/>
        <v>0</v>
      </c>
      <c r="K20" s="208">
        <f t="shared" si="1"/>
        <v>0</v>
      </c>
      <c r="L20" s="208">
        <f t="shared" si="2"/>
        <v>0</v>
      </c>
      <c r="M20" s="480"/>
      <c r="N20" s="17"/>
    </row>
    <row r="21" spans="1:15">
      <c r="A21" s="26">
        <v>18</v>
      </c>
      <c r="B21" s="27">
        <v>46160</v>
      </c>
      <c r="C21" s="17"/>
      <c r="D21" s="17"/>
      <c r="E21" s="193"/>
      <c r="F21" s="193"/>
      <c r="G21" s="208">
        <f t="shared" si="0"/>
        <v>0</v>
      </c>
      <c r="H21" s="264"/>
      <c r="I21" s="208"/>
      <c r="J21" s="208">
        <f t="shared" si="3"/>
        <v>0</v>
      </c>
      <c r="K21" s="208">
        <f t="shared" si="1"/>
        <v>0</v>
      </c>
      <c r="L21" s="208">
        <f t="shared" si="2"/>
        <v>0</v>
      </c>
      <c r="M21" s="480"/>
      <c r="N21" s="17"/>
    </row>
    <row r="22" spans="1:15">
      <c r="A22" s="26">
        <v>19</v>
      </c>
      <c r="B22" s="27">
        <v>46161</v>
      </c>
      <c r="C22" s="17"/>
      <c r="D22" s="17"/>
      <c r="E22" s="193"/>
      <c r="F22" s="193"/>
      <c r="G22" s="208">
        <f t="shared" si="0"/>
        <v>0</v>
      </c>
      <c r="H22" s="264"/>
      <c r="I22" s="208"/>
      <c r="J22" s="208">
        <f t="shared" si="3"/>
        <v>0</v>
      </c>
      <c r="K22" s="208">
        <f t="shared" si="1"/>
        <v>0</v>
      </c>
      <c r="L22" s="208">
        <f t="shared" si="2"/>
        <v>0</v>
      </c>
      <c r="M22" s="480"/>
      <c r="N22" s="17"/>
    </row>
    <row r="23" spans="1:15">
      <c r="A23" s="26">
        <v>20</v>
      </c>
      <c r="B23" s="27">
        <v>46162</v>
      </c>
      <c r="C23" s="17"/>
      <c r="D23" s="17"/>
      <c r="E23" s="193"/>
      <c r="F23" s="193"/>
      <c r="G23" s="208">
        <f t="shared" si="0"/>
        <v>0</v>
      </c>
      <c r="H23" s="264"/>
      <c r="I23" s="208"/>
      <c r="J23" s="208">
        <f t="shared" si="3"/>
        <v>0</v>
      </c>
      <c r="K23" s="208">
        <f t="shared" si="1"/>
        <v>0</v>
      </c>
      <c r="L23" s="208">
        <f t="shared" si="2"/>
        <v>0</v>
      </c>
      <c r="M23" s="480"/>
      <c r="N23" s="17"/>
    </row>
    <row r="24" spans="1:15">
      <c r="A24" s="26">
        <v>21</v>
      </c>
      <c r="B24" s="27">
        <v>46163</v>
      </c>
      <c r="C24" s="17"/>
      <c r="D24" s="17"/>
      <c r="E24" s="193">
        <v>329.59</v>
      </c>
      <c r="F24" s="193">
        <v>95.65</v>
      </c>
      <c r="G24" s="208">
        <f t="shared" si="0"/>
        <v>31525.283499999998</v>
      </c>
      <c r="H24" s="264">
        <v>8</v>
      </c>
      <c r="I24" s="208">
        <v>107.74</v>
      </c>
      <c r="J24" s="208">
        <f t="shared" si="3"/>
        <v>861.92</v>
      </c>
      <c r="K24" s="208">
        <f t="shared" si="1"/>
        <v>32387.203499999996</v>
      </c>
      <c r="L24" s="208">
        <f t="shared" si="2"/>
        <v>32387.203499999996</v>
      </c>
      <c r="M24" s="480"/>
      <c r="N24" s="17"/>
    </row>
    <row r="25" spans="1:15">
      <c r="A25" s="26">
        <v>22</v>
      </c>
      <c r="B25" s="27">
        <v>46164</v>
      </c>
      <c r="C25" s="17"/>
      <c r="D25" s="17"/>
      <c r="E25" s="193"/>
      <c r="F25" s="193"/>
      <c r="G25" s="208">
        <f t="shared" si="0"/>
        <v>0</v>
      </c>
      <c r="H25" s="264"/>
      <c r="I25" s="208"/>
      <c r="J25" s="208">
        <f t="shared" si="3"/>
        <v>0</v>
      </c>
      <c r="K25" s="208">
        <f t="shared" si="1"/>
        <v>0</v>
      </c>
      <c r="L25" s="208">
        <f t="shared" si="2"/>
        <v>0</v>
      </c>
      <c r="M25" s="480"/>
      <c r="N25" s="17"/>
    </row>
    <row r="26" spans="1:15">
      <c r="A26" s="26">
        <v>23</v>
      </c>
      <c r="B26" s="27">
        <v>46165</v>
      </c>
      <c r="C26" s="17"/>
      <c r="D26" s="17"/>
      <c r="E26" s="193">
        <v>400</v>
      </c>
      <c r="F26" s="193">
        <v>96.6</v>
      </c>
      <c r="G26" s="208">
        <f t="shared" si="0"/>
        <v>38640</v>
      </c>
      <c r="H26" s="264"/>
      <c r="I26" s="208"/>
      <c r="J26" s="208">
        <f t="shared" si="3"/>
        <v>0</v>
      </c>
      <c r="K26" s="208">
        <f t="shared" si="1"/>
        <v>38640</v>
      </c>
      <c r="L26" s="208">
        <f t="shared" si="2"/>
        <v>38640</v>
      </c>
      <c r="M26" s="193"/>
      <c r="N26" s="136"/>
    </row>
    <row r="27" spans="1:15">
      <c r="A27" s="26">
        <v>24</v>
      </c>
      <c r="B27" s="27">
        <v>46166</v>
      </c>
      <c r="C27" s="17"/>
      <c r="D27" s="17"/>
      <c r="E27" s="193"/>
      <c r="F27" s="193"/>
      <c r="G27" s="208">
        <f t="shared" si="0"/>
        <v>0</v>
      </c>
      <c r="H27" s="264"/>
      <c r="I27" s="208"/>
      <c r="J27" s="208">
        <f t="shared" si="3"/>
        <v>0</v>
      </c>
      <c r="K27" s="208">
        <f t="shared" ref="K27:K33" si="4">G27+J27</f>
        <v>0</v>
      </c>
      <c r="L27" s="208">
        <f t="shared" si="2"/>
        <v>0</v>
      </c>
      <c r="M27" s="193"/>
      <c r="N27" s="17"/>
      <c r="O27">
        <v>0</v>
      </c>
    </row>
    <row r="28" spans="1:15">
      <c r="A28" s="26">
        <v>25</v>
      </c>
      <c r="B28" s="27">
        <v>46167</v>
      </c>
      <c r="C28" s="17"/>
      <c r="D28" s="17"/>
      <c r="E28" s="193"/>
      <c r="F28" s="193"/>
      <c r="G28" s="208">
        <f t="shared" si="0"/>
        <v>0</v>
      </c>
      <c r="H28" s="264"/>
      <c r="I28" s="208"/>
      <c r="J28" s="208">
        <f t="shared" si="3"/>
        <v>0</v>
      </c>
      <c r="K28" s="208">
        <f t="shared" si="4"/>
        <v>0</v>
      </c>
      <c r="L28" s="208">
        <f t="shared" si="2"/>
        <v>0</v>
      </c>
      <c r="M28" s="193"/>
      <c r="N28" s="17"/>
    </row>
    <row r="29" spans="1:15">
      <c r="A29" s="26">
        <v>26</v>
      </c>
      <c r="B29" s="27">
        <v>46168</v>
      </c>
      <c r="C29" s="17"/>
      <c r="D29" s="17"/>
      <c r="E29" s="193"/>
      <c r="F29" s="193"/>
      <c r="G29" s="208">
        <f t="shared" si="0"/>
        <v>0</v>
      </c>
      <c r="H29" s="264"/>
      <c r="I29" s="208"/>
      <c r="J29" s="208">
        <f t="shared" si="3"/>
        <v>0</v>
      </c>
      <c r="K29" s="208">
        <f t="shared" si="4"/>
        <v>0</v>
      </c>
      <c r="L29" s="208">
        <f t="shared" si="2"/>
        <v>0</v>
      </c>
      <c r="M29" s="193"/>
      <c r="N29" s="17"/>
    </row>
    <row r="30" spans="1:15">
      <c r="A30" s="26">
        <v>27</v>
      </c>
      <c r="B30" s="27">
        <v>46169</v>
      </c>
      <c r="C30" s="17"/>
      <c r="D30" s="17"/>
      <c r="E30" s="193">
        <v>200</v>
      </c>
      <c r="F30" s="193">
        <v>99.41</v>
      </c>
      <c r="G30" s="208">
        <f t="shared" si="0"/>
        <v>19882</v>
      </c>
      <c r="H30" s="264">
        <v>8</v>
      </c>
      <c r="I30" s="208">
        <v>107.74</v>
      </c>
      <c r="J30" s="208">
        <f t="shared" si="3"/>
        <v>861.92</v>
      </c>
      <c r="K30" s="208">
        <f t="shared" si="4"/>
        <v>20743.919999999998</v>
      </c>
      <c r="L30" s="208">
        <f t="shared" si="2"/>
        <v>20743.919999999998</v>
      </c>
      <c r="M30" s="193"/>
      <c r="N30" s="17"/>
    </row>
    <row r="31" spans="1:15">
      <c r="A31" s="216">
        <v>28</v>
      </c>
      <c r="B31" s="27">
        <v>46170</v>
      </c>
      <c r="C31" s="17"/>
      <c r="D31" s="17"/>
      <c r="E31" s="193"/>
      <c r="F31" s="193"/>
      <c r="G31" s="208">
        <f t="shared" si="0"/>
        <v>0</v>
      </c>
      <c r="H31" s="264"/>
      <c r="I31" s="208"/>
      <c r="J31" s="208">
        <f t="shared" si="3"/>
        <v>0</v>
      </c>
      <c r="K31" s="208">
        <f t="shared" si="4"/>
        <v>0</v>
      </c>
      <c r="L31" s="208">
        <f t="shared" si="2"/>
        <v>0</v>
      </c>
      <c r="M31" s="193"/>
      <c r="N31" s="94"/>
    </row>
    <row r="32" spans="1:15">
      <c r="A32" s="26">
        <v>29</v>
      </c>
      <c r="B32" s="27">
        <v>46171</v>
      </c>
      <c r="C32" s="17"/>
      <c r="D32" s="17"/>
      <c r="E32" s="193"/>
      <c r="F32" s="193"/>
      <c r="G32" s="208">
        <f t="shared" si="0"/>
        <v>0</v>
      </c>
      <c r="H32" s="264"/>
      <c r="I32" s="208"/>
      <c r="J32" s="208">
        <f t="shared" si="3"/>
        <v>0</v>
      </c>
      <c r="K32" s="208">
        <f t="shared" si="4"/>
        <v>0</v>
      </c>
      <c r="L32" s="208">
        <f t="shared" si="2"/>
        <v>0</v>
      </c>
      <c r="M32" s="193"/>
      <c r="N32" s="17"/>
    </row>
    <row r="33" spans="1:14">
      <c r="A33" s="26">
        <v>30</v>
      </c>
      <c r="B33" s="27">
        <v>46172</v>
      </c>
      <c r="C33" s="17"/>
      <c r="D33" s="17"/>
      <c r="E33" s="193"/>
      <c r="F33" s="193"/>
      <c r="G33" s="208">
        <f t="shared" ref="G33:G34" si="5">E33*F33</f>
        <v>0</v>
      </c>
      <c r="H33" s="264"/>
      <c r="I33" s="208"/>
      <c r="J33" s="208">
        <f t="shared" si="3"/>
        <v>0</v>
      </c>
      <c r="K33" s="208">
        <f t="shared" si="4"/>
        <v>0</v>
      </c>
      <c r="L33" s="208">
        <f t="shared" si="2"/>
        <v>0</v>
      </c>
      <c r="M33" s="193"/>
      <c r="N33" s="17"/>
    </row>
    <row r="34" spans="1:14">
      <c r="A34" s="26">
        <v>31</v>
      </c>
      <c r="B34" s="27">
        <v>46173</v>
      </c>
      <c r="C34" s="17"/>
      <c r="D34" s="17"/>
      <c r="E34" s="193">
        <v>250</v>
      </c>
      <c r="F34" s="193">
        <v>99.41</v>
      </c>
      <c r="G34" s="208">
        <f t="shared" si="5"/>
        <v>24852.5</v>
      </c>
      <c r="H34" s="264"/>
      <c r="I34" s="208"/>
      <c r="J34" s="208">
        <f t="shared" si="3"/>
        <v>0</v>
      </c>
      <c r="K34" s="208">
        <f t="shared" si="1"/>
        <v>24852.5</v>
      </c>
      <c r="L34" s="208">
        <f t="shared" si="1"/>
        <v>24852.5</v>
      </c>
      <c r="M34" s="193"/>
      <c r="N34" s="17"/>
    </row>
    <row r="35" spans="1:14">
      <c r="A35" s="180"/>
      <c r="B35" s="180"/>
      <c r="C35" s="180"/>
      <c r="D35" s="180"/>
      <c r="E35" s="180">
        <f>SUM(E4:E34)</f>
        <v>1179.5899999999999</v>
      </c>
      <c r="F35" s="180"/>
      <c r="G35" s="180">
        <f>SUM(G4:G34)</f>
        <v>114899.78349999999</v>
      </c>
      <c r="H35" s="180">
        <f>SUM(H4:H34)</f>
        <v>24.95</v>
      </c>
      <c r="I35" s="180"/>
      <c r="J35" s="180">
        <f>SUM(J4:J34)</f>
        <v>2650.5230000000001</v>
      </c>
      <c r="K35" s="180">
        <f>SUM(K4:K34)</f>
        <v>117550.30649999999</v>
      </c>
      <c r="L35" s="180">
        <f>SUM(L4:L34)</f>
        <v>117550.30649999999</v>
      </c>
      <c r="M35" s="180"/>
      <c r="N35" s="180"/>
    </row>
  </sheetData>
  <mergeCells count="2">
    <mergeCell ref="A1:N1"/>
    <mergeCell ref="A3:J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U39"/>
  <sheetViews>
    <sheetView workbookViewId="0">
      <pane ySplit="2" topLeftCell="A21" activePane="bottomLeft" state="frozen"/>
      <selection pane="bottomLeft" activeCell="F46" sqref="F46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7" width="9.140625" style="5"/>
    <col min="18" max="18" width="9.7109375" style="5" customWidth="1"/>
    <col min="19" max="19" width="15.42578125" style="5" customWidth="1"/>
    <col min="20" max="20" width="14.28515625" style="5" bestFit="1" customWidth="1"/>
    <col min="21" max="21" width="12.42578125" style="5" bestFit="1" customWidth="1"/>
    <col min="22" max="16384" width="9.140625" style="5"/>
  </cols>
  <sheetData>
    <row r="1" spans="1:18" ht="15.75" customHeight="1">
      <c r="A1" s="572" t="s">
        <v>121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</row>
    <row r="2" spans="1:18">
      <c r="A2" s="64" t="s">
        <v>0</v>
      </c>
      <c r="B2" s="64" t="s">
        <v>166</v>
      </c>
      <c r="C2" s="64" t="s">
        <v>167</v>
      </c>
      <c r="D2" s="64" t="s">
        <v>168</v>
      </c>
      <c r="E2" s="91" t="s">
        <v>169</v>
      </c>
      <c r="F2" s="91" t="s">
        <v>170</v>
      </c>
      <c r="G2" s="91" t="s">
        <v>171</v>
      </c>
      <c r="H2" s="91" t="s">
        <v>172</v>
      </c>
      <c r="I2" s="91" t="s">
        <v>170</v>
      </c>
      <c r="J2" s="91" t="s">
        <v>171</v>
      </c>
      <c r="K2" s="91" t="s">
        <v>173</v>
      </c>
      <c r="L2" s="85" t="s">
        <v>174</v>
      </c>
      <c r="M2" s="85" t="s">
        <v>199</v>
      </c>
      <c r="N2" s="64" t="s">
        <v>176</v>
      </c>
    </row>
    <row r="3" spans="1:18">
      <c r="A3" s="573" t="s">
        <v>177</v>
      </c>
      <c r="B3" s="573"/>
      <c r="C3" s="573"/>
      <c r="D3" s="573"/>
      <c r="E3" s="573"/>
      <c r="F3" s="573"/>
      <c r="G3" s="573"/>
      <c r="H3" s="573"/>
      <c r="I3" s="573"/>
      <c r="J3" s="573"/>
      <c r="K3" s="177"/>
      <c r="L3" s="101"/>
      <c r="M3" s="101">
        <v>2607.2200000000084</v>
      </c>
    </row>
    <row r="4" spans="1:18">
      <c r="A4" s="26">
        <v>1</v>
      </c>
      <c r="B4" s="27">
        <v>45778</v>
      </c>
      <c r="C4" s="6"/>
      <c r="D4" s="6"/>
      <c r="E4" s="263">
        <v>50</v>
      </c>
      <c r="F4" s="44">
        <v>91.97</v>
      </c>
      <c r="G4" s="66">
        <f>E4*F4</f>
        <v>4598.5</v>
      </c>
      <c r="H4" s="44"/>
      <c r="I4" s="44"/>
      <c r="J4" s="66">
        <f>H4*I4</f>
        <v>0</v>
      </c>
      <c r="K4" s="66">
        <f>G4+J4</f>
        <v>4598.5</v>
      </c>
      <c r="L4" s="66"/>
      <c r="M4" s="66">
        <f>M3+K4-L4</f>
        <v>7205.7200000000084</v>
      </c>
      <c r="N4" s="6"/>
    </row>
    <row r="5" spans="1:18">
      <c r="A5" s="26">
        <v>2</v>
      </c>
      <c r="B5" s="27">
        <v>45779</v>
      </c>
      <c r="C5" s="6"/>
      <c r="D5" s="6"/>
      <c r="E5" s="263">
        <v>50</v>
      </c>
      <c r="F5" s="44">
        <v>91.97</v>
      </c>
      <c r="G5" s="66">
        <f t="shared" ref="G5:G38" si="0">E5*F5</f>
        <v>4598.5</v>
      </c>
      <c r="H5" s="44">
        <v>5</v>
      </c>
      <c r="I5" s="44">
        <v>104.01</v>
      </c>
      <c r="J5" s="66">
        <f t="shared" ref="J5:J37" si="1">H5*I5</f>
        <v>520.05000000000007</v>
      </c>
      <c r="K5" s="66">
        <f t="shared" ref="K5:L37" si="2">G5+J5</f>
        <v>5118.55</v>
      </c>
      <c r="L5" s="66"/>
      <c r="M5" s="66">
        <f t="shared" ref="M5:M38" si="3">M4+K5-L5</f>
        <v>12324.270000000008</v>
      </c>
      <c r="N5" s="6"/>
    </row>
    <row r="6" spans="1:18">
      <c r="A6" s="26">
        <v>3</v>
      </c>
      <c r="B6" s="27">
        <v>45780</v>
      </c>
      <c r="C6" s="6"/>
      <c r="D6" s="6"/>
      <c r="E6" s="263"/>
      <c r="F6" s="44"/>
      <c r="G6" s="66">
        <f t="shared" si="0"/>
        <v>0</v>
      </c>
      <c r="H6" s="44"/>
      <c r="I6" s="44"/>
      <c r="J6" s="66">
        <f t="shared" ref="J6:J38" si="4">H6*I6</f>
        <v>0</v>
      </c>
      <c r="K6" s="66">
        <f t="shared" si="2"/>
        <v>0</v>
      </c>
      <c r="L6" s="66"/>
      <c r="M6" s="66">
        <f t="shared" si="3"/>
        <v>12324.270000000008</v>
      </c>
      <c r="N6" s="6"/>
    </row>
    <row r="7" spans="1:18">
      <c r="A7" s="26">
        <v>4</v>
      </c>
      <c r="B7" s="27">
        <v>45781</v>
      </c>
      <c r="C7" s="6"/>
      <c r="D7" s="6"/>
      <c r="E7" s="263">
        <v>45</v>
      </c>
      <c r="F7" s="44">
        <v>91.97</v>
      </c>
      <c r="G7" s="66">
        <f t="shared" si="0"/>
        <v>4138.6499999999996</v>
      </c>
      <c r="H7" s="44">
        <v>5</v>
      </c>
      <c r="I7" s="44">
        <v>104.01</v>
      </c>
      <c r="J7" s="66">
        <f t="shared" si="4"/>
        <v>520.05000000000007</v>
      </c>
      <c r="K7" s="66">
        <f t="shared" si="2"/>
        <v>4658.7</v>
      </c>
      <c r="L7" s="66"/>
      <c r="M7" s="66">
        <f t="shared" si="3"/>
        <v>16982.970000000008</v>
      </c>
      <c r="N7" s="6"/>
    </row>
    <row r="8" spans="1:18">
      <c r="A8" s="26">
        <v>5</v>
      </c>
      <c r="B8" s="27">
        <v>45782</v>
      </c>
      <c r="C8" s="6"/>
      <c r="D8" s="6"/>
      <c r="E8" s="263">
        <v>50</v>
      </c>
      <c r="F8" s="44">
        <v>91.97</v>
      </c>
      <c r="G8" s="66">
        <f t="shared" si="0"/>
        <v>4598.5</v>
      </c>
      <c r="H8" s="44">
        <v>5</v>
      </c>
      <c r="I8" s="44">
        <v>104.01</v>
      </c>
      <c r="J8" s="66">
        <f t="shared" si="4"/>
        <v>520.05000000000007</v>
      </c>
      <c r="K8" s="66">
        <f t="shared" si="2"/>
        <v>5118.55</v>
      </c>
      <c r="L8" s="66"/>
      <c r="M8" s="66">
        <f t="shared" si="3"/>
        <v>22101.520000000008</v>
      </c>
      <c r="N8" s="6"/>
    </row>
    <row r="9" spans="1:18">
      <c r="A9" s="26">
        <v>6</v>
      </c>
      <c r="B9" s="27">
        <v>45783</v>
      </c>
      <c r="C9" s="6"/>
      <c r="D9" s="6"/>
      <c r="E9" s="263">
        <v>50</v>
      </c>
      <c r="F9" s="44">
        <v>91.97</v>
      </c>
      <c r="G9" s="66">
        <f t="shared" si="0"/>
        <v>4598.5</v>
      </c>
      <c r="H9" s="44"/>
      <c r="I9" s="44"/>
      <c r="J9" s="66">
        <f t="shared" si="4"/>
        <v>0</v>
      </c>
      <c r="K9" s="66">
        <f t="shared" si="2"/>
        <v>4598.5</v>
      </c>
      <c r="L9" s="66"/>
      <c r="M9" s="66">
        <f t="shared" si="3"/>
        <v>26700.020000000008</v>
      </c>
      <c r="N9" s="6"/>
      <c r="R9" s="44"/>
    </row>
    <row r="10" spans="1:18">
      <c r="A10" s="26">
        <v>7</v>
      </c>
      <c r="B10" s="27">
        <v>45784</v>
      </c>
      <c r="C10" s="6"/>
      <c r="D10" s="6"/>
      <c r="E10" s="263">
        <v>50</v>
      </c>
      <c r="F10" s="44">
        <v>91.97</v>
      </c>
      <c r="G10" s="66">
        <f t="shared" si="0"/>
        <v>4598.5</v>
      </c>
      <c r="H10" s="44">
        <v>5</v>
      </c>
      <c r="I10" s="44">
        <v>104.01</v>
      </c>
      <c r="J10" s="66">
        <f t="shared" si="4"/>
        <v>520.05000000000007</v>
      </c>
      <c r="K10" s="66">
        <f t="shared" si="2"/>
        <v>5118.55</v>
      </c>
      <c r="L10" s="66"/>
      <c r="M10" s="66">
        <f t="shared" si="3"/>
        <v>31818.570000000007</v>
      </c>
      <c r="N10" s="6"/>
    </row>
    <row r="11" spans="1:18">
      <c r="A11" s="26">
        <v>8</v>
      </c>
      <c r="B11" s="27">
        <v>45785</v>
      </c>
      <c r="C11" s="6"/>
      <c r="D11" s="6"/>
      <c r="E11" s="263">
        <v>40</v>
      </c>
      <c r="F11" s="44">
        <v>91.97</v>
      </c>
      <c r="G11" s="66">
        <f t="shared" si="0"/>
        <v>3678.8</v>
      </c>
      <c r="H11" s="44">
        <v>15</v>
      </c>
      <c r="I11" s="44">
        <v>104.01</v>
      </c>
      <c r="J11" s="66">
        <f t="shared" si="4"/>
        <v>1560.15</v>
      </c>
      <c r="K11" s="66">
        <f t="shared" si="2"/>
        <v>5238.9500000000007</v>
      </c>
      <c r="L11" s="66"/>
      <c r="M11" s="66">
        <f t="shared" si="3"/>
        <v>37057.520000000004</v>
      </c>
      <c r="N11" s="6"/>
    </row>
    <row r="12" spans="1:18">
      <c r="A12" s="26">
        <v>9</v>
      </c>
      <c r="B12" s="27">
        <v>45786</v>
      </c>
      <c r="C12" s="6"/>
      <c r="D12" s="6"/>
      <c r="E12" s="263">
        <v>40</v>
      </c>
      <c r="F12" s="44">
        <v>91.92</v>
      </c>
      <c r="G12" s="66">
        <f t="shared" si="0"/>
        <v>3676.8</v>
      </c>
      <c r="H12" s="44">
        <v>5</v>
      </c>
      <c r="I12" s="44">
        <v>103.96</v>
      </c>
      <c r="J12" s="66">
        <f t="shared" si="4"/>
        <v>519.79999999999995</v>
      </c>
      <c r="K12" s="66">
        <f t="shared" si="2"/>
        <v>4196.6000000000004</v>
      </c>
      <c r="L12" s="66">
        <v>4196.6000000000004</v>
      </c>
      <c r="M12" s="66">
        <f t="shared" si="3"/>
        <v>37057.520000000004</v>
      </c>
      <c r="N12" s="6" t="s">
        <v>232</v>
      </c>
    </row>
    <row r="13" spans="1:18">
      <c r="A13" s="26"/>
      <c r="B13" s="27">
        <v>45786</v>
      </c>
      <c r="C13" s="6"/>
      <c r="D13" s="6"/>
      <c r="E13" s="263">
        <v>100</v>
      </c>
      <c r="F13" s="44">
        <v>91.97</v>
      </c>
      <c r="G13" s="66">
        <f t="shared" si="0"/>
        <v>9197</v>
      </c>
      <c r="H13" s="44">
        <v>10</v>
      </c>
      <c r="I13" s="44">
        <v>104.01</v>
      </c>
      <c r="J13" s="66">
        <f t="shared" si="4"/>
        <v>1040.1000000000001</v>
      </c>
      <c r="K13" s="66">
        <f t="shared" si="2"/>
        <v>10237.1</v>
      </c>
      <c r="L13" s="66"/>
      <c r="M13" s="66">
        <f t="shared" si="3"/>
        <v>47294.62</v>
      </c>
      <c r="N13" s="6"/>
    </row>
    <row r="14" spans="1:18">
      <c r="A14" s="26">
        <v>10</v>
      </c>
      <c r="B14" s="27">
        <v>45787</v>
      </c>
      <c r="C14" s="6"/>
      <c r="D14" s="6"/>
      <c r="E14" s="263">
        <v>50</v>
      </c>
      <c r="F14" s="44">
        <v>91.97</v>
      </c>
      <c r="G14" s="66">
        <f t="shared" si="0"/>
        <v>4598.5</v>
      </c>
      <c r="H14" s="44">
        <v>5</v>
      </c>
      <c r="I14" s="44">
        <v>104.01</v>
      </c>
      <c r="J14" s="66">
        <f t="shared" si="4"/>
        <v>520.05000000000007</v>
      </c>
      <c r="K14" s="66">
        <f t="shared" si="2"/>
        <v>5118.55</v>
      </c>
      <c r="L14" s="66"/>
      <c r="M14" s="66">
        <f t="shared" si="3"/>
        <v>52413.170000000006</v>
      </c>
      <c r="N14" s="6"/>
    </row>
    <row r="15" spans="1:18">
      <c r="A15" s="26">
        <v>11</v>
      </c>
      <c r="B15" s="27">
        <v>45788</v>
      </c>
      <c r="C15" s="6"/>
      <c r="D15" s="6"/>
      <c r="E15" s="263">
        <v>40</v>
      </c>
      <c r="F15" s="263">
        <v>91.97</v>
      </c>
      <c r="G15" s="66">
        <f t="shared" si="0"/>
        <v>3678.8</v>
      </c>
      <c r="H15" s="44"/>
      <c r="I15" s="44"/>
      <c r="J15" s="66">
        <f t="shared" si="4"/>
        <v>0</v>
      </c>
      <c r="K15" s="66">
        <f t="shared" si="2"/>
        <v>3678.8</v>
      </c>
      <c r="L15" s="66"/>
      <c r="M15" s="66">
        <f t="shared" si="3"/>
        <v>56091.970000000008</v>
      </c>
      <c r="N15" s="6"/>
    </row>
    <row r="16" spans="1:18">
      <c r="A16" s="26">
        <v>12</v>
      </c>
      <c r="B16" s="27">
        <v>45789</v>
      </c>
      <c r="C16" s="6"/>
      <c r="D16" s="6"/>
      <c r="E16" s="263">
        <v>50</v>
      </c>
      <c r="F16" s="44">
        <v>91.97</v>
      </c>
      <c r="G16" s="66">
        <f t="shared" si="0"/>
        <v>4598.5</v>
      </c>
      <c r="H16" s="44">
        <v>5</v>
      </c>
      <c r="I16" s="44">
        <v>104.01</v>
      </c>
      <c r="J16" s="66">
        <f t="shared" si="4"/>
        <v>520.05000000000007</v>
      </c>
      <c r="K16" s="66">
        <f t="shared" si="2"/>
        <v>5118.55</v>
      </c>
      <c r="L16" s="66"/>
      <c r="M16" s="66">
        <f t="shared" si="3"/>
        <v>61210.520000000011</v>
      </c>
      <c r="N16" s="6"/>
    </row>
    <row r="17" spans="1:21">
      <c r="A17" s="26">
        <v>13</v>
      </c>
      <c r="B17" s="27">
        <v>45790</v>
      </c>
      <c r="C17" s="6"/>
      <c r="D17" s="6"/>
      <c r="E17" s="263">
        <v>50</v>
      </c>
      <c r="F17" s="44">
        <v>91.97</v>
      </c>
      <c r="G17" s="66">
        <f t="shared" si="0"/>
        <v>4598.5</v>
      </c>
      <c r="H17" s="44"/>
      <c r="I17" s="44"/>
      <c r="J17" s="66">
        <f t="shared" si="4"/>
        <v>0</v>
      </c>
      <c r="K17" s="66">
        <f t="shared" si="2"/>
        <v>4598.5</v>
      </c>
      <c r="L17" s="66">
        <v>40000</v>
      </c>
      <c r="M17" s="66">
        <f t="shared" si="3"/>
        <v>25809.020000000019</v>
      </c>
      <c r="N17" s="6"/>
    </row>
    <row r="18" spans="1:21">
      <c r="A18" s="26">
        <v>14</v>
      </c>
      <c r="B18" s="27">
        <v>45791</v>
      </c>
      <c r="C18" s="176"/>
      <c r="D18" s="6"/>
      <c r="E18" s="263"/>
      <c r="F18" s="44"/>
      <c r="G18" s="66">
        <f t="shared" si="0"/>
        <v>0</v>
      </c>
      <c r="H18" s="44"/>
      <c r="I18" s="44"/>
      <c r="J18" s="66">
        <f t="shared" si="4"/>
        <v>0</v>
      </c>
      <c r="K18" s="66">
        <f t="shared" si="2"/>
        <v>0</v>
      </c>
      <c r="L18" s="66"/>
      <c r="M18" s="66">
        <f t="shared" si="3"/>
        <v>25809.020000000019</v>
      </c>
      <c r="N18" s="6"/>
    </row>
    <row r="19" spans="1:21">
      <c r="A19" s="26">
        <v>15</v>
      </c>
      <c r="B19" s="27">
        <v>45792</v>
      </c>
      <c r="C19" s="176"/>
      <c r="D19" s="6"/>
      <c r="E19" s="263">
        <v>40</v>
      </c>
      <c r="F19" s="263">
        <v>95.03</v>
      </c>
      <c r="G19" s="66">
        <f t="shared" si="0"/>
        <v>3801.2</v>
      </c>
      <c r="H19" s="44"/>
      <c r="I19" s="44"/>
      <c r="J19" s="66">
        <f t="shared" si="4"/>
        <v>0</v>
      </c>
      <c r="K19" s="66">
        <f t="shared" si="2"/>
        <v>3801.2</v>
      </c>
      <c r="L19" s="66">
        <f>H19+K19</f>
        <v>3801.2</v>
      </c>
      <c r="M19" s="66">
        <f t="shared" si="3"/>
        <v>25809.020000000019</v>
      </c>
      <c r="N19" s="6" t="s">
        <v>232</v>
      </c>
    </row>
    <row r="20" spans="1:21">
      <c r="A20" s="26"/>
      <c r="B20" s="27">
        <v>45792</v>
      </c>
      <c r="C20" s="176"/>
      <c r="D20" s="6"/>
      <c r="E20" s="263">
        <v>50</v>
      </c>
      <c r="F20" s="44">
        <v>95.08</v>
      </c>
      <c r="G20" s="66">
        <f>E20*F20</f>
        <v>4754</v>
      </c>
      <c r="H20" s="44">
        <v>5</v>
      </c>
      <c r="I20" s="44">
        <v>107.27</v>
      </c>
      <c r="J20" s="66">
        <f>H20*I20</f>
        <v>536.35</v>
      </c>
      <c r="K20" s="66">
        <f>G20+J20</f>
        <v>5290.35</v>
      </c>
      <c r="L20" s="66"/>
      <c r="M20" s="66">
        <f t="shared" si="3"/>
        <v>31099.370000000017</v>
      </c>
      <c r="N20" s="6"/>
    </row>
    <row r="21" spans="1:21">
      <c r="A21" s="26">
        <v>16</v>
      </c>
      <c r="B21" s="27">
        <v>45793</v>
      </c>
      <c r="C21" s="176"/>
      <c r="D21" s="6"/>
      <c r="E21" s="263">
        <v>50</v>
      </c>
      <c r="F21" s="44">
        <v>95.08</v>
      </c>
      <c r="G21" s="66">
        <f t="shared" si="0"/>
        <v>4754</v>
      </c>
      <c r="H21" s="44">
        <v>5</v>
      </c>
      <c r="I21" s="44">
        <v>107.27</v>
      </c>
      <c r="J21" s="66">
        <f t="shared" si="4"/>
        <v>536.35</v>
      </c>
      <c r="K21" s="66">
        <f t="shared" si="2"/>
        <v>5290.35</v>
      </c>
      <c r="L21" s="66"/>
      <c r="M21" s="66">
        <f t="shared" si="3"/>
        <v>36389.720000000016</v>
      </c>
      <c r="N21" s="6"/>
    </row>
    <row r="22" spans="1:21">
      <c r="A22" s="26">
        <v>17</v>
      </c>
      <c r="B22" s="27">
        <v>45794</v>
      </c>
      <c r="C22" s="176"/>
      <c r="D22" s="6"/>
      <c r="E22" s="263">
        <v>50</v>
      </c>
      <c r="F22" s="44">
        <v>95.08</v>
      </c>
      <c r="G22" s="66">
        <f t="shared" si="0"/>
        <v>4754</v>
      </c>
      <c r="H22" s="44"/>
      <c r="I22" s="44"/>
      <c r="J22" s="66">
        <f t="shared" si="4"/>
        <v>0</v>
      </c>
      <c r="K22" s="66">
        <f t="shared" si="2"/>
        <v>4754</v>
      </c>
      <c r="L22" s="66"/>
      <c r="M22" s="66">
        <f t="shared" si="3"/>
        <v>41143.720000000016</v>
      </c>
      <c r="N22" s="6"/>
    </row>
    <row r="23" spans="1:21">
      <c r="A23" s="26">
        <v>18</v>
      </c>
      <c r="B23" s="27">
        <v>45795</v>
      </c>
      <c r="C23" s="176"/>
      <c r="D23" s="6"/>
      <c r="E23" s="263"/>
      <c r="F23" s="44"/>
      <c r="G23" s="66">
        <f t="shared" si="0"/>
        <v>0</v>
      </c>
      <c r="H23" s="44"/>
      <c r="I23" s="44"/>
      <c r="J23" s="66">
        <f t="shared" si="4"/>
        <v>0</v>
      </c>
      <c r="K23" s="66">
        <f t="shared" si="2"/>
        <v>0</v>
      </c>
      <c r="L23" s="66"/>
      <c r="M23" s="66">
        <f t="shared" si="3"/>
        <v>41143.720000000016</v>
      </c>
      <c r="N23" s="6"/>
    </row>
    <row r="24" spans="1:21">
      <c r="A24" s="26">
        <v>19</v>
      </c>
      <c r="B24" s="27">
        <v>45796</v>
      </c>
      <c r="C24" s="176"/>
      <c r="D24" s="6"/>
      <c r="E24" s="263">
        <v>70</v>
      </c>
      <c r="F24" s="44">
        <v>96.02</v>
      </c>
      <c r="G24" s="66">
        <f t="shared" si="0"/>
        <v>6721.4</v>
      </c>
      <c r="H24" s="44">
        <v>19.62</v>
      </c>
      <c r="I24" s="44">
        <v>108.21</v>
      </c>
      <c r="J24" s="66">
        <f t="shared" si="4"/>
        <v>2123.0801999999999</v>
      </c>
      <c r="K24" s="66">
        <f t="shared" si="2"/>
        <v>8844.4802</v>
      </c>
      <c r="L24" s="66"/>
      <c r="M24" s="66">
        <f t="shared" si="3"/>
        <v>49988.200200000014</v>
      </c>
      <c r="N24" s="6"/>
      <c r="R24" s="574" t="s">
        <v>290</v>
      </c>
      <c r="S24" s="574"/>
      <c r="T24" s="445" t="s">
        <v>291</v>
      </c>
      <c r="U24" s="445"/>
    </row>
    <row r="25" spans="1:21">
      <c r="A25" s="26">
        <v>20</v>
      </c>
      <c r="B25" s="27">
        <v>45797</v>
      </c>
      <c r="C25" s="176"/>
      <c r="D25" s="6"/>
      <c r="E25" s="263"/>
      <c r="F25" s="44"/>
      <c r="G25" s="66">
        <f t="shared" si="0"/>
        <v>0</v>
      </c>
      <c r="H25" s="44">
        <v>5</v>
      </c>
      <c r="I25" s="44">
        <v>108.21</v>
      </c>
      <c r="J25" s="66">
        <f t="shared" si="4"/>
        <v>541.04999999999995</v>
      </c>
      <c r="K25" s="66">
        <f t="shared" si="2"/>
        <v>541.04999999999995</v>
      </c>
      <c r="L25" s="66"/>
      <c r="M25" s="66">
        <f t="shared" si="3"/>
        <v>50529.250200000017</v>
      </c>
      <c r="N25" s="6"/>
      <c r="R25" s="6" t="s">
        <v>292</v>
      </c>
      <c r="S25" s="6" t="s">
        <v>293</v>
      </c>
      <c r="T25" s="6" t="s">
        <v>294</v>
      </c>
      <c r="U25" s="6" t="s">
        <v>64</v>
      </c>
    </row>
    <row r="26" spans="1:21">
      <c r="A26" s="26">
        <v>21</v>
      </c>
      <c r="B26" s="27">
        <v>45798</v>
      </c>
      <c r="C26" s="176"/>
      <c r="D26" s="6"/>
      <c r="E26" s="263">
        <v>50</v>
      </c>
      <c r="F26" s="44">
        <v>96.02</v>
      </c>
      <c r="G26" s="66">
        <f t="shared" si="0"/>
        <v>4801</v>
      </c>
      <c r="H26" s="44">
        <v>5</v>
      </c>
      <c r="I26" s="44">
        <v>108.21</v>
      </c>
      <c r="J26" s="66">
        <f t="shared" si="4"/>
        <v>541.04999999999995</v>
      </c>
      <c r="K26" s="66">
        <f t="shared" si="2"/>
        <v>5342.05</v>
      </c>
      <c r="L26" s="66">
        <v>36000</v>
      </c>
      <c r="M26" s="66">
        <f t="shared" si="3"/>
        <v>19871.30020000002</v>
      </c>
      <c r="N26" s="6"/>
      <c r="R26" s="6" t="s">
        <v>295</v>
      </c>
      <c r="S26" s="6">
        <v>2040</v>
      </c>
      <c r="T26" s="6">
        <v>90</v>
      </c>
      <c r="U26" s="6">
        <v>169925</v>
      </c>
    </row>
    <row r="27" spans="1:21">
      <c r="A27" s="26">
        <v>22</v>
      </c>
      <c r="B27" s="27">
        <v>45799</v>
      </c>
      <c r="C27" s="176"/>
      <c r="D27" s="6"/>
      <c r="E27" s="263">
        <v>50</v>
      </c>
      <c r="F27" s="44">
        <v>96.02</v>
      </c>
      <c r="G27" s="66">
        <f t="shared" si="0"/>
        <v>4801</v>
      </c>
      <c r="H27" s="44">
        <v>15</v>
      </c>
      <c r="I27" s="44">
        <v>108.21</v>
      </c>
      <c r="J27" s="66">
        <f t="shared" si="4"/>
        <v>1623.1499999999999</v>
      </c>
      <c r="K27" s="66">
        <f t="shared" si="2"/>
        <v>6424.15</v>
      </c>
      <c r="L27" s="66"/>
      <c r="M27" s="66">
        <f t="shared" si="3"/>
        <v>26295.450200000021</v>
      </c>
      <c r="N27" s="6"/>
      <c r="R27" s="6" t="s">
        <v>296</v>
      </c>
      <c r="S27" s="6">
        <v>2115</v>
      </c>
      <c r="T27" s="6">
        <v>185</v>
      </c>
      <c r="U27" s="6">
        <v>206053</v>
      </c>
    </row>
    <row r="28" spans="1:21">
      <c r="A28" s="26">
        <v>23</v>
      </c>
      <c r="B28" s="27">
        <v>45800</v>
      </c>
      <c r="C28" s="176"/>
      <c r="D28" s="6"/>
      <c r="E28" s="263">
        <v>50</v>
      </c>
      <c r="F28" s="44">
        <v>96.97</v>
      </c>
      <c r="G28" s="66">
        <f t="shared" si="0"/>
        <v>4848.5</v>
      </c>
      <c r="H28" s="44">
        <v>5</v>
      </c>
      <c r="I28" s="44">
        <v>109.15</v>
      </c>
      <c r="J28" s="66">
        <f t="shared" si="4"/>
        <v>545.75</v>
      </c>
      <c r="K28" s="66">
        <f t="shared" si="2"/>
        <v>5394.25</v>
      </c>
      <c r="L28" s="66"/>
      <c r="M28" s="66">
        <f t="shared" si="3"/>
        <v>31689.700200000021</v>
      </c>
      <c r="N28" s="6"/>
      <c r="R28" s="6" t="s">
        <v>297</v>
      </c>
      <c r="S28" s="6">
        <v>2145</v>
      </c>
      <c r="T28" s="6">
        <v>177</v>
      </c>
      <c r="U28" s="6">
        <v>247835</v>
      </c>
    </row>
    <row r="29" spans="1:21">
      <c r="A29" s="26">
        <v>24</v>
      </c>
      <c r="B29" s="27">
        <v>45801</v>
      </c>
      <c r="C29" s="176"/>
      <c r="D29" s="6"/>
      <c r="E29" s="263"/>
      <c r="F29" s="44"/>
      <c r="G29" s="66">
        <f t="shared" si="0"/>
        <v>0</v>
      </c>
      <c r="H29" s="44">
        <v>5</v>
      </c>
      <c r="I29" s="44">
        <v>109.15</v>
      </c>
      <c r="J29" s="66">
        <f t="shared" si="4"/>
        <v>545.75</v>
      </c>
      <c r="K29" s="66">
        <f t="shared" si="2"/>
        <v>545.75</v>
      </c>
      <c r="L29" s="66"/>
      <c r="M29" s="66">
        <f t="shared" si="3"/>
        <v>32235.450200000021</v>
      </c>
      <c r="N29" s="6"/>
      <c r="R29" s="6" t="s">
        <v>298</v>
      </c>
      <c r="S29" s="6">
        <v>545</v>
      </c>
      <c r="T29" s="6">
        <v>50</v>
      </c>
      <c r="U29" s="6">
        <v>44201</v>
      </c>
    </row>
    <row r="30" spans="1:21">
      <c r="A30" s="26">
        <v>25</v>
      </c>
      <c r="B30" s="27">
        <v>45802</v>
      </c>
      <c r="C30" s="176"/>
      <c r="D30" s="6"/>
      <c r="E30" s="263">
        <v>50</v>
      </c>
      <c r="F30" s="44">
        <v>99.78</v>
      </c>
      <c r="G30" s="66">
        <f t="shared" si="0"/>
        <v>4989</v>
      </c>
      <c r="H30" s="44">
        <v>5</v>
      </c>
      <c r="I30" s="44">
        <v>111.98</v>
      </c>
      <c r="J30" s="66">
        <f t="shared" si="4"/>
        <v>559.9</v>
      </c>
      <c r="K30" s="66">
        <f t="shared" si="2"/>
        <v>5548.9</v>
      </c>
      <c r="L30" s="66"/>
      <c r="M30" s="66">
        <f t="shared" si="3"/>
        <v>37784.350200000023</v>
      </c>
      <c r="N30" s="6"/>
      <c r="R30" s="6"/>
      <c r="S30" s="445">
        <f>SUM(S26:S29)</f>
        <v>6845</v>
      </c>
      <c r="T30" s="445">
        <f>SUM(T26:T29)</f>
        <v>502</v>
      </c>
      <c r="U30" s="445">
        <f>SUM(U26:U29)</f>
        <v>668014</v>
      </c>
    </row>
    <row r="31" spans="1:21">
      <c r="A31" s="26">
        <v>26</v>
      </c>
      <c r="B31" s="27">
        <v>45803</v>
      </c>
      <c r="C31" s="176"/>
      <c r="D31" s="6"/>
      <c r="E31" s="263">
        <v>80</v>
      </c>
      <c r="F31" s="44">
        <v>99.78</v>
      </c>
      <c r="G31" s="66">
        <f t="shared" si="0"/>
        <v>7982.4</v>
      </c>
      <c r="H31" s="44">
        <v>10</v>
      </c>
      <c r="I31" s="44">
        <v>111.98</v>
      </c>
      <c r="J31" s="66">
        <f t="shared" si="4"/>
        <v>1119.8</v>
      </c>
      <c r="K31" s="66">
        <f t="shared" si="2"/>
        <v>9102.1999999999989</v>
      </c>
      <c r="L31" s="66"/>
      <c r="M31" s="66">
        <f t="shared" si="3"/>
        <v>46886.55020000002</v>
      </c>
      <c r="N31" s="6"/>
    </row>
    <row r="32" spans="1:21">
      <c r="A32" s="26">
        <v>27</v>
      </c>
      <c r="B32" s="27">
        <v>45803</v>
      </c>
      <c r="C32" s="176"/>
      <c r="D32" s="6"/>
      <c r="E32" s="263">
        <v>40</v>
      </c>
      <c r="F32" s="44">
        <v>99.73</v>
      </c>
      <c r="G32" s="66">
        <f t="shared" si="0"/>
        <v>3989.2000000000003</v>
      </c>
      <c r="H32" s="44"/>
      <c r="I32" s="44"/>
      <c r="J32" s="66"/>
      <c r="K32" s="66">
        <f t="shared" si="2"/>
        <v>3989.2000000000003</v>
      </c>
      <c r="L32" s="66">
        <v>3989.2000000000003</v>
      </c>
      <c r="M32" s="66">
        <f t="shared" si="3"/>
        <v>46886.55020000002</v>
      </c>
      <c r="N32" s="6"/>
    </row>
    <row r="33" spans="1:14">
      <c r="A33" s="26">
        <v>28</v>
      </c>
      <c r="B33" s="27">
        <v>45804</v>
      </c>
      <c r="C33" s="176"/>
      <c r="D33" s="6"/>
      <c r="E33" s="263">
        <v>50</v>
      </c>
      <c r="F33" s="44">
        <v>99.78</v>
      </c>
      <c r="G33" s="66">
        <f t="shared" si="0"/>
        <v>4989</v>
      </c>
      <c r="H33" s="44"/>
      <c r="I33" s="44"/>
      <c r="J33" s="66">
        <f t="shared" si="4"/>
        <v>0</v>
      </c>
      <c r="K33" s="66">
        <f t="shared" si="2"/>
        <v>4989</v>
      </c>
      <c r="L33" s="66"/>
      <c r="M33" s="66">
        <f t="shared" si="3"/>
        <v>51875.55020000002</v>
      </c>
      <c r="N33" s="6"/>
    </row>
    <row r="34" spans="1:14">
      <c r="A34" s="26">
        <v>29</v>
      </c>
      <c r="B34" s="27">
        <v>45805</v>
      </c>
      <c r="C34" s="176"/>
      <c r="D34" s="6"/>
      <c r="E34" s="263"/>
      <c r="F34" s="44"/>
      <c r="G34" s="66">
        <f t="shared" si="0"/>
        <v>0</v>
      </c>
      <c r="H34" s="44">
        <v>20</v>
      </c>
      <c r="I34" s="44">
        <v>111.98</v>
      </c>
      <c r="J34" s="66">
        <f t="shared" si="4"/>
        <v>2239.6</v>
      </c>
      <c r="K34" s="66">
        <f t="shared" si="2"/>
        <v>2239.6</v>
      </c>
      <c r="L34" s="66"/>
      <c r="M34" s="66">
        <f t="shared" si="3"/>
        <v>54115.150200000018</v>
      </c>
      <c r="N34" s="6"/>
    </row>
    <row r="35" spans="1:14">
      <c r="A35" s="26">
        <v>30</v>
      </c>
      <c r="B35" s="27">
        <v>45806</v>
      </c>
      <c r="C35" s="176"/>
      <c r="D35" s="6"/>
      <c r="E35" s="263">
        <v>50</v>
      </c>
      <c r="F35" s="44">
        <v>99.78</v>
      </c>
      <c r="G35" s="66">
        <f t="shared" ref="G35" si="5">E35*F35</f>
        <v>4989</v>
      </c>
      <c r="H35" s="44"/>
      <c r="I35" s="44"/>
      <c r="J35" s="66">
        <f t="shared" ref="J35" si="6">H35*I35</f>
        <v>0</v>
      </c>
      <c r="K35" s="66">
        <f t="shared" ref="K35:L35" si="7">G35+J35</f>
        <v>4989</v>
      </c>
      <c r="L35" s="66"/>
      <c r="M35" s="66">
        <f t="shared" si="3"/>
        <v>59104.150200000018</v>
      </c>
      <c r="N35" s="6"/>
    </row>
    <row r="36" spans="1:14">
      <c r="A36" s="26">
        <v>31</v>
      </c>
      <c r="B36" s="27">
        <v>45807</v>
      </c>
      <c r="C36" s="176"/>
      <c r="D36" s="6"/>
      <c r="E36" s="488">
        <v>50</v>
      </c>
      <c r="F36" s="488">
        <v>99.78</v>
      </c>
      <c r="G36" s="66">
        <f t="shared" si="0"/>
        <v>4989</v>
      </c>
      <c r="H36" s="44">
        <v>15</v>
      </c>
      <c r="I36" s="44">
        <v>111.98</v>
      </c>
      <c r="J36" s="66">
        <f t="shared" si="4"/>
        <v>1679.7</v>
      </c>
      <c r="K36" s="66">
        <f t="shared" si="2"/>
        <v>6668.7</v>
      </c>
      <c r="L36" s="66"/>
      <c r="M36" s="66">
        <f t="shared" si="3"/>
        <v>65772.850200000015</v>
      </c>
      <c r="N36" s="6"/>
    </row>
    <row r="37" spans="1:14">
      <c r="A37" s="26">
        <v>32</v>
      </c>
      <c r="B37" s="27">
        <v>45808</v>
      </c>
      <c r="C37" s="176"/>
      <c r="D37" s="6"/>
      <c r="E37" s="488">
        <v>50</v>
      </c>
      <c r="F37" s="488">
        <v>99.78</v>
      </c>
      <c r="G37" s="66">
        <f t="shared" si="0"/>
        <v>4989</v>
      </c>
      <c r="H37" s="44">
        <v>5</v>
      </c>
      <c r="I37" s="44">
        <v>111.98</v>
      </c>
      <c r="J37" s="66">
        <f t="shared" si="4"/>
        <v>559.9</v>
      </c>
      <c r="K37" s="66">
        <f t="shared" si="2"/>
        <v>5548.9</v>
      </c>
      <c r="L37" s="66"/>
      <c r="M37" s="66">
        <f t="shared" si="3"/>
        <v>71321.750200000009</v>
      </c>
      <c r="N37" s="6"/>
    </row>
    <row r="38" spans="1:14">
      <c r="A38" s="26">
        <v>33</v>
      </c>
      <c r="B38" s="27">
        <v>45809</v>
      </c>
      <c r="C38" s="176"/>
      <c r="D38" s="6"/>
      <c r="E38" s="263"/>
      <c r="F38" s="44"/>
      <c r="G38" s="66">
        <f t="shared" si="0"/>
        <v>0</v>
      </c>
      <c r="H38" s="44"/>
      <c r="I38" s="44"/>
      <c r="J38" s="66">
        <f t="shared" si="4"/>
        <v>0</v>
      </c>
      <c r="K38" s="66">
        <f t="shared" ref="K38" si="8">G38+J38</f>
        <v>0</v>
      </c>
      <c r="L38" s="66">
        <v>0</v>
      </c>
      <c r="M38" s="66">
        <f t="shared" si="3"/>
        <v>71321.750200000009</v>
      </c>
      <c r="N38" s="6"/>
    </row>
    <row r="39" spans="1:14">
      <c r="A39" s="42"/>
      <c r="B39" s="42"/>
      <c r="C39" s="42"/>
      <c r="D39" s="42"/>
      <c r="E39" s="42">
        <f>SUM(E4:E38)</f>
        <v>1445</v>
      </c>
      <c r="F39" s="42"/>
      <c r="G39" s="42">
        <f>SUM(G4:G38)</f>
        <v>137309.75</v>
      </c>
      <c r="H39" s="42">
        <f>SUM(H4:H38)</f>
        <v>179.62</v>
      </c>
      <c r="I39" s="42"/>
      <c r="J39" s="42">
        <f>SUM(J4:J38)</f>
        <v>19391.780200000001</v>
      </c>
      <c r="K39" s="42">
        <f>SUM(K4:K38)</f>
        <v>156701.53020000004</v>
      </c>
      <c r="L39" s="42">
        <f>SUM(L4:L38)</f>
        <v>87986.999999999985</v>
      </c>
      <c r="M39" s="42"/>
      <c r="N39" s="42"/>
    </row>
  </sheetData>
  <mergeCells count="3">
    <mergeCell ref="A1:N1"/>
    <mergeCell ref="A3:J3"/>
    <mergeCell ref="R24:S2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Q55"/>
  <sheetViews>
    <sheetView workbookViewId="0">
      <pane ySplit="2" topLeftCell="A3" activePane="bottomLeft" state="frozen"/>
      <selection pane="bottomLeft" activeCell="N19" sqref="N19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2" bestFit="1" customWidth="1"/>
    <col min="6" max="6" width="9.5703125" style="22" bestFit="1" customWidth="1"/>
    <col min="7" max="7" width="11.42578125" style="22" bestFit="1" customWidth="1"/>
    <col min="8" max="8" width="10.7109375" style="22" bestFit="1" customWidth="1"/>
    <col min="9" max="9" width="7.140625" style="22" bestFit="1" customWidth="1"/>
    <col min="10" max="10" width="8.7109375" style="22" bestFit="1" customWidth="1"/>
    <col min="11" max="11" width="13.5703125" style="22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4" ht="15.75">
      <c r="A1" s="575" t="s">
        <v>123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5"/>
      <c r="N1" s="575"/>
    </row>
    <row r="2" spans="1:14" ht="30">
      <c r="A2" s="64" t="s">
        <v>0</v>
      </c>
      <c r="B2" s="83" t="s">
        <v>166</v>
      </c>
      <c r="C2" s="83" t="s">
        <v>167</v>
      </c>
      <c r="D2" s="83" t="s">
        <v>168</v>
      </c>
      <c r="E2" s="90" t="s">
        <v>169</v>
      </c>
      <c r="F2" s="90" t="s">
        <v>170</v>
      </c>
      <c r="G2" s="90" t="s">
        <v>171</v>
      </c>
      <c r="H2" s="90" t="s">
        <v>172</v>
      </c>
      <c r="I2" s="90" t="s">
        <v>170</v>
      </c>
      <c r="J2" s="90" t="s">
        <v>171</v>
      </c>
      <c r="K2" s="91" t="s">
        <v>173</v>
      </c>
      <c r="L2" s="85" t="s">
        <v>174</v>
      </c>
      <c r="M2" s="85" t="s">
        <v>199</v>
      </c>
      <c r="N2" s="124" t="s">
        <v>176</v>
      </c>
    </row>
    <row r="3" spans="1:14">
      <c r="A3" s="553" t="s">
        <v>177</v>
      </c>
      <c r="B3" s="553"/>
      <c r="C3" s="553"/>
      <c r="D3" s="553"/>
      <c r="E3" s="553"/>
      <c r="F3" s="553"/>
      <c r="G3" s="553"/>
      <c r="H3" s="553"/>
      <c r="I3" s="553"/>
      <c r="J3" s="556"/>
      <c r="K3" s="201">
        <v>93813.679100000241</v>
      </c>
      <c r="M3" s="134">
        <v>93813.679100000241</v>
      </c>
      <c r="N3" s="94"/>
    </row>
    <row r="4" spans="1:14">
      <c r="A4" s="26">
        <v>1</v>
      </c>
      <c r="B4" s="27">
        <v>46143</v>
      </c>
      <c r="C4" s="17"/>
      <c r="D4" s="17"/>
      <c r="E4" s="40"/>
      <c r="F4" s="40"/>
      <c r="G4" s="40">
        <f>E4*F4</f>
        <v>0</v>
      </c>
      <c r="H4" s="40"/>
      <c r="I4" s="40"/>
      <c r="J4" s="40">
        <f>H4*I4</f>
        <v>0</v>
      </c>
      <c r="K4" s="40">
        <f>G4+J4</f>
        <v>0</v>
      </c>
      <c r="L4" s="40"/>
      <c r="M4" s="135">
        <f>M3+K4-L4</f>
        <v>93813.679100000241</v>
      </c>
      <c r="N4" s="17"/>
    </row>
    <row r="5" spans="1:14">
      <c r="A5" s="26">
        <v>2</v>
      </c>
      <c r="B5" s="27">
        <v>46144</v>
      </c>
      <c r="C5" s="17"/>
      <c r="D5" s="17"/>
      <c r="E5" s="40"/>
      <c r="F5" s="40"/>
      <c r="G5" s="40">
        <f t="shared" ref="G5:G39" si="0">E5*F5</f>
        <v>0</v>
      </c>
      <c r="H5" s="40"/>
      <c r="I5" s="40"/>
      <c r="J5" s="40">
        <f t="shared" ref="J5:J39" si="1">H5*I5</f>
        <v>0</v>
      </c>
      <c r="K5" s="40">
        <f t="shared" ref="K5:L39" si="2">G5+J5</f>
        <v>0</v>
      </c>
      <c r="L5" s="40"/>
      <c r="M5" s="135">
        <f>M4+K5-L5</f>
        <v>93813.679100000241</v>
      </c>
      <c r="N5" s="17"/>
    </row>
    <row r="6" spans="1:14">
      <c r="A6" s="26"/>
      <c r="B6" s="27">
        <v>46145</v>
      </c>
      <c r="C6" s="17"/>
      <c r="D6" s="17"/>
      <c r="E6" s="40"/>
      <c r="F6" s="40"/>
      <c r="G6" s="40">
        <f t="shared" si="0"/>
        <v>0</v>
      </c>
      <c r="H6" s="40"/>
      <c r="I6" s="40"/>
      <c r="J6" s="40">
        <f t="shared" si="1"/>
        <v>0</v>
      </c>
      <c r="K6" s="40">
        <f t="shared" si="2"/>
        <v>0</v>
      </c>
      <c r="L6" s="40"/>
      <c r="M6" s="135">
        <f>M5+K6-L6</f>
        <v>93813.679100000241</v>
      </c>
      <c r="N6" s="17"/>
    </row>
    <row r="7" spans="1:14">
      <c r="A7" s="26">
        <v>3</v>
      </c>
      <c r="B7" s="27">
        <v>46146</v>
      </c>
      <c r="C7" s="17"/>
      <c r="D7" s="17"/>
      <c r="E7" s="40"/>
      <c r="F7" s="40"/>
      <c r="G7" s="40">
        <f t="shared" si="0"/>
        <v>0</v>
      </c>
      <c r="H7" s="40"/>
      <c r="I7" s="40"/>
      <c r="J7" s="40">
        <f t="shared" si="1"/>
        <v>0</v>
      </c>
      <c r="K7" s="40">
        <f t="shared" si="2"/>
        <v>0</v>
      </c>
      <c r="L7" s="40"/>
      <c r="M7" s="135">
        <f t="shared" ref="M5:M16" si="3">M6+K7-L7</f>
        <v>93813.679100000241</v>
      </c>
      <c r="N7" s="17"/>
    </row>
    <row r="8" spans="1:14">
      <c r="A8" s="26">
        <v>4</v>
      </c>
      <c r="B8" s="27">
        <v>46147</v>
      </c>
      <c r="C8" s="17"/>
      <c r="D8" s="17"/>
      <c r="E8" s="40"/>
      <c r="F8" s="40"/>
      <c r="G8" s="40">
        <f t="shared" si="0"/>
        <v>0</v>
      </c>
      <c r="H8" s="40"/>
      <c r="I8" s="40"/>
      <c r="J8" s="40">
        <f t="shared" si="1"/>
        <v>0</v>
      </c>
      <c r="K8" s="40">
        <f t="shared" si="2"/>
        <v>0</v>
      </c>
      <c r="L8" s="40"/>
      <c r="M8" s="135">
        <f t="shared" si="3"/>
        <v>93813.679100000241</v>
      </c>
      <c r="N8" s="17"/>
    </row>
    <row r="9" spans="1:14">
      <c r="A9" s="26">
        <v>5</v>
      </c>
      <c r="B9" s="27">
        <v>46148</v>
      </c>
      <c r="C9" s="17"/>
      <c r="D9" s="17"/>
      <c r="E9" s="40"/>
      <c r="F9" s="40"/>
      <c r="G9" s="40">
        <f t="shared" si="0"/>
        <v>0</v>
      </c>
      <c r="H9" s="40"/>
      <c r="I9" s="40"/>
      <c r="J9" s="40">
        <f t="shared" si="1"/>
        <v>0</v>
      </c>
      <c r="K9" s="40">
        <f t="shared" si="2"/>
        <v>0</v>
      </c>
      <c r="L9" s="40"/>
      <c r="M9" s="135">
        <f t="shared" si="3"/>
        <v>93813.679100000241</v>
      </c>
      <c r="N9" s="17"/>
    </row>
    <row r="10" spans="1:14">
      <c r="A10" s="26">
        <v>6</v>
      </c>
      <c r="B10" s="27">
        <v>46149</v>
      </c>
      <c r="C10" s="17"/>
      <c r="D10" s="17"/>
      <c r="E10" s="40"/>
      <c r="F10" s="40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/>
      <c r="M10" s="135">
        <f t="shared" si="3"/>
        <v>93813.679100000241</v>
      </c>
      <c r="N10" s="17"/>
    </row>
    <row r="11" spans="1:14">
      <c r="A11" s="26">
        <v>7</v>
      </c>
      <c r="B11" s="27">
        <v>46150</v>
      </c>
      <c r="C11" s="17"/>
      <c r="D11" s="17"/>
      <c r="E11" s="40"/>
      <c r="F11" s="40"/>
      <c r="G11" s="40">
        <f t="shared" si="0"/>
        <v>0</v>
      </c>
      <c r="H11" s="40"/>
      <c r="I11" s="40"/>
      <c r="J11" s="40">
        <f t="shared" si="1"/>
        <v>0</v>
      </c>
      <c r="K11" s="40">
        <f t="shared" si="2"/>
        <v>0</v>
      </c>
      <c r="L11" s="40"/>
      <c r="M11" s="135">
        <f t="shared" si="3"/>
        <v>93813.679100000241</v>
      </c>
      <c r="N11" s="17"/>
    </row>
    <row r="12" spans="1:14">
      <c r="A12" s="26">
        <v>8</v>
      </c>
      <c r="B12" s="27">
        <v>46151</v>
      </c>
      <c r="C12" s="17"/>
      <c r="D12" s="17"/>
      <c r="E12" s="40"/>
      <c r="F12" s="40"/>
      <c r="G12" s="40">
        <f t="shared" si="0"/>
        <v>0</v>
      </c>
      <c r="H12" s="40"/>
      <c r="I12" s="40"/>
      <c r="J12" s="40">
        <f t="shared" si="1"/>
        <v>0</v>
      </c>
      <c r="K12" s="40">
        <f t="shared" si="2"/>
        <v>0</v>
      </c>
      <c r="L12" s="40"/>
      <c r="M12" s="135">
        <f t="shared" si="3"/>
        <v>93813.679100000241</v>
      </c>
      <c r="N12" s="17"/>
    </row>
    <row r="13" spans="1:14">
      <c r="A13" s="26">
        <v>9</v>
      </c>
      <c r="B13" s="27">
        <v>46152</v>
      </c>
      <c r="C13" s="17"/>
      <c r="D13" s="17"/>
      <c r="E13" s="40"/>
      <c r="F13" s="40"/>
      <c r="G13" s="40">
        <f t="shared" si="0"/>
        <v>0</v>
      </c>
      <c r="H13" s="40"/>
      <c r="I13" s="40"/>
      <c r="J13" s="40">
        <f t="shared" si="1"/>
        <v>0</v>
      </c>
      <c r="K13" s="40">
        <f t="shared" si="2"/>
        <v>0</v>
      </c>
      <c r="L13" s="40"/>
      <c r="M13" s="135">
        <f t="shared" si="3"/>
        <v>93813.679100000241</v>
      </c>
      <c r="N13" s="17"/>
    </row>
    <row r="14" spans="1:14">
      <c r="A14" s="26">
        <v>10</v>
      </c>
      <c r="B14" s="27">
        <v>46153</v>
      </c>
      <c r="C14" s="17"/>
      <c r="D14" s="17"/>
      <c r="E14" s="40"/>
      <c r="F14" s="40"/>
      <c r="G14" s="40">
        <f t="shared" si="0"/>
        <v>0</v>
      </c>
      <c r="H14" s="40"/>
      <c r="I14" s="40"/>
      <c r="J14" s="40">
        <f t="shared" si="1"/>
        <v>0</v>
      </c>
      <c r="K14" s="40">
        <f t="shared" si="2"/>
        <v>0</v>
      </c>
      <c r="L14" s="40"/>
      <c r="M14" s="135">
        <f t="shared" si="3"/>
        <v>93813.679100000241</v>
      </c>
      <c r="N14" s="44"/>
    </row>
    <row r="15" spans="1:14">
      <c r="A15" s="26">
        <v>11</v>
      </c>
      <c r="B15" s="27">
        <v>46154</v>
      </c>
      <c r="C15" s="17"/>
      <c r="D15" s="17"/>
      <c r="E15" s="40"/>
      <c r="F15" s="40"/>
      <c r="G15" s="40">
        <f t="shared" si="0"/>
        <v>0</v>
      </c>
      <c r="H15" s="40"/>
      <c r="I15" s="40"/>
      <c r="J15" s="40">
        <f t="shared" si="1"/>
        <v>0</v>
      </c>
      <c r="K15" s="40">
        <f t="shared" si="2"/>
        <v>0</v>
      </c>
      <c r="L15" s="40"/>
      <c r="M15" s="135">
        <f t="shared" si="3"/>
        <v>93813.679100000241</v>
      </c>
      <c r="N15" s="44"/>
    </row>
    <row r="16" spans="1:14">
      <c r="A16" s="26">
        <v>12</v>
      </c>
      <c r="B16" s="27">
        <v>46155</v>
      </c>
      <c r="C16" s="17"/>
      <c r="D16" s="17"/>
      <c r="E16" s="40"/>
      <c r="F16" s="40"/>
      <c r="G16" s="40">
        <f t="shared" si="0"/>
        <v>0</v>
      </c>
      <c r="H16" s="40"/>
      <c r="I16" s="40"/>
      <c r="J16" s="40">
        <f t="shared" si="1"/>
        <v>0</v>
      </c>
      <c r="K16" s="40">
        <f t="shared" si="2"/>
        <v>0</v>
      </c>
      <c r="L16" s="40"/>
      <c r="M16" s="135">
        <f t="shared" si="3"/>
        <v>93813.679100000241</v>
      </c>
      <c r="N16" s="44"/>
    </row>
    <row r="17" spans="1:16">
      <c r="A17" s="26">
        <v>13</v>
      </c>
      <c r="B17" s="27">
        <v>46156</v>
      </c>
      <c r="C17" s="17"/>
      <c r="D17" s="17"/>
      <c r="E17" s="40"/>
      <c r="F17" s="40"/>
      <c r="G17" s="40">
        <f t="shared" si="0"/>
        <v>0</v>
      </c>
      <c r="H17" s="40"/>
      <c r="I17" s="40"/>
      <c r="J17" s="40">
        <f t="shared" si="1"/>
        <v>0</v>
      </c>
      <c r="K17" s="40">
        <f t="shared" si="2"/>
        <v>0</v>
      </c>
      <c r="L17" s="40"/>
      <c r="M17" s="135">
        <f t="shared" ref="M5:M54" si="4">M16+K17-L17</f>
        <v>93813.679100000241</v>
      </c>
      <c r="N17" s="44"/>
    </row>
    <row r="18" spans="1:16">
      <c r="A18" s="26">
        <v>14</v>
      </c>
      <c r="B18" s="27">
        <v>46157</v>
      </c>
      <c r="C18" s="17"/>
      <c r="D18" s="17"/>
      <c r="E18" s="40"/>
      <c r="F18" s="40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/>
      <c r="M18" s="135">
        <f t="shared" si="4"/>
        <v>93813.679100000241</v>
      </c>
      <c r="N18" s="44"/>
    </row>
    <row r="19" spans="1:16">
      <c r="A19" s="26">
        <v>15</v>
      </c>
      <c r="B19" s="27">
        <v>46158</v>
      </c>
      <c r="C19" s="17"/>
      <c r="D19" s="17"/>
      <c r="E19" s="40"/>
      <c r="F19" s="40"/>
      <c r="G19" s="40">
        <f t="shared" si="0"/>
        <v>0</v>
      </c>
      <c r="H19" s="40"/>
      <c r="I19" s="40"/>
      <c r="J19" s="40">
        <f t="shared" si="1"/>
        <v>0</v>
      </c>
      <c r="K19" s="40">
        <f t="shared" si="2"/>
        <v>0</v>
      </c>
      <c r="L19" s="40">
        <v>93813</v>
      </c>
      <c r="M19" s="135">
        <f t="shared" si="4"/>
        <v>0.67910000024130568</v>
      </c>
      <c r="N19" s="44" t="s">
        <v>202</v>
      </c>
    </row>
    <row r="20" spans="1:16">
      <c r="A20" s="26">
        <v>16</v>
      </c>
      <c r="B20" s="27">
        <v>46159</v>
      </c>
      <c r="C20" s="17"/>
      <c r="D20" s="17"/>
      <c r="E20" s="40"/>
      <c r="F20" s="40"/>
      <c r="G20" s="40">
        <f t="shared" si="0"/>
        <v>0</v>
      </c>
      <c r="H20" s="40"/>
      <c r="I20" s="40"/>
      <c r="J20" s="40">
        <f t="shared" si="1"/>
        <v>0</v>
      </c>
      <c r="K20" s="40">
        <f t="shared" si="2"/>
        <v>0</v>
      </c>
      <c r="L20" s="40"/>
      <c r="M20" s="135">
        <f t="shared" si="4"/>
        <v>0.67910000024130568</v>
      </c>
      <c r="N20" s="44"/>
      <c r="P20" s="22"/>
    </row>
    <row r="21" spans="1:16">
      <c r="A21" s="26">
        <v>17</v>
      </c>
      <c r="B21" s="27">
        <v>46160</v>
      </c>
      <c r="C21" s="17"/>
      <c r="D21" s="17"/>
      <c r="E21" s="40"/>
      <c r="F21" s="40"/>
      <c r="G21" s="40">
        <f t="shared" si="0"/>
        <v>0</v>
      </c>
      <c r="H21" s="40"/>
      <c r="I21" s="40"/>
      <c r="J21" s="40">
        <f t="shared" si="1"/>
        <v>0</v>
      </c>
      <c r="K21" s="40">
        <f t="shared" si="2"/>
        <v>0</v>
      </c>
      <c r="L21" s="40"/>
      <c r="M21" s="135">
        <f t="shared" si="4"/>
        <v>0.67910000024130568</v>
      </c>
      <c r="N21" s="44"/>
      <c r="P21" s="22"/>
    </row>
    <row r="22" spans="1:16">
      <c r="A22" s="26">
        <v>18</v>
      </c>
      <c r="B22" s="27">
        <v>46161</v>
      </c>
      <c r="C22" s="17"/>
      <c r="D22" s="17"/>
      <c r="E22" s="40"/>
      <c r="F22" s="40"/>
      <c r="G22" s="40">
        <f t="shared" si="0"/>
        <v>0</v>
      </c>
      <c r="H22" s="40"/>
      <c r="I22" s="40"/>
      <c r="J22" s="40">
        <f t="shared" si="1"/>
        <v>0</v>
      </c>
      <c r="K22" s="40">
        <f t="shared" si="2"/>
        <v>0</v>
      </c>
      <c r="L22" s="40"/>
      <c r="M22" s="135">
        <f t="shared" si="4"/>
        <v>0.67910000024130568</v>
      </c>
      <c r="N22" s="44"/>
      <c r="P22" s="22"/>
    </row>
    <row r="23" spans="1:16">
      <c r="A23" s="26">
        <v>19</v>
      </c>
      <c r="B23" s="27">
        <v>46162</v>
      </c>
      <c r="C23" s="17"/>
      <c r="D23" s="17"/>
      <c r="E23" s="40"/>
      <c r="F23" s="40"/>
      <c r="G23" s="40">
        <f t="shared" si="0"/>
        <v>0</v>
      </c>
      <c r="H23" s="40"/>
      <c r="I23" s="40"/>
      <c r="J23" s="40">
        <f t="shared" si="1"/>
        <v>0</v>
      </c>
      <c r="K23" s="40">
        <f t="shared" si="2"/>
        <v>0</v>
      </c>
      <c r="L23" s="40"/>
      <c r="M23" s="135">
        <f t="shared" si="4"/>
        <v>0.67910000024130568</v>
      </c>
      <c r="N23" s="44"/>
      <c r="P23" s="22"/>
    </row>
    <row r="24" spans="1:16">
      <c r="A24" s="26">
        <v>20</v>
      </c>
      <c r="B24" s="27">
        <v>46163</v>
      </c>
      <c r="C24" s="17"/>
      <c r="D24" s="17"/>
      <c r="E24" s="40"/>
      <c r="F24" s="40"/>
      <c r="G24" s="40">
        <f t="shared" si="0"/>
        <v>0</v>
      </c>
      <c r="H24" s="40"/>
      <c r="I24" s="40"/>
      <c r="J24" s="40">
        <f t="shared" si="1"/>
        <v>0</v>
      </c>
      <c r="K24" s="40">
        <f t="shared" si="2"/>
        <v>0</v>
      </c>
      <c r="L24" s="40"/>
      <c r="M24" s="135">
        <f t="shared" si="4"/>
        <v>0.67910000024130568</v>
      </c>
      <c r="N24" s="44"/>
      <c r="P24" s="22"/>
    </row>
    <row r="25" spans="1:16">
      <c r="A25" s="26">
        <v>21</v>
      </c>
      <c r="B25" s="27">
        <v>46164</v>
      </c>
      <c r="C25" s="17"/>
      <c r="D25" s="17"/>
      <c r="E25" s="40"/>
      <c r="F25" s="40"/>
      <c r="G25" s="40">
        <f t="shared" si="0"/>
        <v>0</v>
      </c>
      <c r="H25" s="40"/>
      <c r="I25" s="40"/>
      <c r="J25" s="40">
        <f t="shared" si="1"/>
        <v>0</v>
      </c>
      <c r="K25" s="40">
        <f t="shared" si="2"/>
        <v>0</v>
      </c>
      <c r="L25" s="40"/>
      <c r="M25" s="135">
        <f t="shared" si="4"/>
        <v>0.67910000024130568</v>
      </c>
      <c r="N25" s="44"/>
      <c r="P25" s="22"/>
    </row>
    <row r="26" spans="1:16">
      <c r="A26" s="26">
        <v>22</v>
      </c>
      <c r="B26" s="27">
        <v>46165</v>
      </c>
      <c r="C26" s="17"/>
      <c r="D26" s="17"/>
      <c r="E26" s="40"/>
      <c r="F26" s="40"/>
      <c r="G26" s="40">
        <f t="shared" si="0"/>
        <v>0</v>
      </c>
      <c r="H26" s="40"/>
      <c r="I26" s="40"/>
      <c r="J26" s="40">
        <f t="shared" si="1"/>
        <v>0</v>
      </c>
      <c r="K26" s="40">
        <f t="shared" si="2"/>
        <v>0</v>
      </c>
      <c r="L26" s="40"/>
      <c r="M26" s="135">
        <f t="shared" si="4"/>
        <v>0.67910000024130568</v>
      </c>
      <c r="N26" s="44"/>
      <c r="P26" s="22"/>
    </row>
    <row r="27" spans="1:16">
      <c r="A27" s="26">
        <v>23</v>
      </c>
      <c r="B27" s="27">
        <v>46166</v>
      </c>
      <c r="C27" s="17"/>
      <c r="D27" s="17"/>
      <c r="E27" s="40"/>
      <c r="F27" s="40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/>
      <c r="M27" s="135">
        <f t="shared" si="4"/>
        <v>0.67910000024130568</v>
      </c>
      <c r="N27" s="44"/>
      <c r="P27" s="22"/>
    </row>
    <row r="28" spans="1:16">
      <c r="A28" s="26">
        <v>24</v>
      </c>
      <c r="B28" s="27">
        <v>46167</v>
      </c>
      <c r="C28" s="17"/>
      <c r="D28" s="17"/>
      <c r="E28" s="40"/>
      <c r="F28" s="40"/>
      <c r="G28" s="40">
        <f t="shared" si="0"/>
        <v>0</v>
      </c>
      <c r="H28" s="40"/>
      <c r="I28" s="40"/>
      <c r="J28" s="40">
        <f t="shared" si="1"/>
        <v>0</v>
      </c>
      <c r="K28" s="40">
        <f t="shared" si="2"/>
        <v>0</v>
      </c>
      <c r="L28" s="40"/>
      <c r="M28" s="135">
        <f t="shared" si="4"/>
        <v>0.67910000024130568</v>
      </c>
      <c r="N28" s="44"/>
      <c r="P28" s="22"/>
    </row>
    <row r="29" spans="1:16">
      <c r="A29" s="26">
        <v>25</v>
      </c>
      <c r="B29" s="27">
        <v>46168</v>
      </c>
      <c r="C29" s="17"/>
      <c r="D29" s="17"/>
      <c r="E29" s="40"/>
      <c r="F29" s="40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/>
      <c r="M29" s="135">
        <f t="shared" si="4"/>
        <v>0.67910000024130568</v>
      </c>
      <c r="N29" s="44"/>
    </row>
    <row r="30" spans="1:16">
      <c r="A30" s="26">
        <v>26</v>
      </c>
      <c r="B30" s="27">
        <v>46169</v>
      </c>
      <c r="C30" s="17"/>
      <c r="D30" s="17"/>
      <c r="E30" s="40"/>
      <c r="F30" s="40"/>
      <c r="G30" s="40">
        <f t="shared" si="0"/>
        <v>0</v>
      </c>
      <c r="H30" s="40"/>
      <c r="I30" s="40"/>
      <c r="J30" s="40">
        <f t="shared" si="1"/>
        <v>0</v>
      </c>
      <c r="K30" s="40">
        <f t="shared" si="2"/>
        <v>0</v>
      </c>
      <c r="L30" s="40"/>
      <c r="M30" s="135">
        <f t="shared" si="4"/>
        <v>0.67910000024130568</v>
      </c>
      <c r="N30" s="44"/>
    </row>
    <row r="31" spans="1:16">
      <c r="A31" s="26">
        <v>27</v>
      </c>
      <c r="B31" s="27">
        <v>46170</v>
      </c>
      <c r="C31" s="17"/>
      <c r="D31" s="17"/>
      <c r="E31" s="40"/>
      <c r="F31" s="40"/>
      <c r="G31" s="40">
        <f t="shared" si="0"/>
        <v>0</v>
      </c>
      <c r="H31" s="40"/>
      <c r="I31" s="40"/>
      <c r="J31" s="40">
        <f t="shared" si="1"/>
        <v>0</v>
      </c>
      <c r="K31" s="40">
        <f t="shared" si="2"/>
        <v>0</v>
      </c>
      <c r="L31" s="40"/>
      <c r="M31" s="135">
        <f t="shared" si="4"/>
        <v>0.67910000024130568</v>
      </c>
      <c r="N31" s="44"/>
    </row>
    <row r="32" spans="1:16">
      <c r="A32" s="26">
        <v>28</v>
      </c>
      <c r="B32" s="27">
        <v>46171</v>
      </c>
      <c r="C32" s="17"/>
      <c r="D32" s="17"/>
      <c r="E32" s="40"/>
      <c r="F32" s="40"/>
      <c r="G32" s="40">
        <f t="shared" si="0"/>
        <v>0</v>
      </c>
      <c r="H32" s="40"/>
      <c r="I32" s="40"/>
      <c r="J32" s="40">
        <f t="shared" si="1"/>
        <v>0</v>
      </c>
      <c r="K32" s="40">
        <f t="shared" si="2"/>
        <v>0</v>
      </c>
      <c r="L32" s="40"/>
      <c r="M32" s="135">
        <f t="shared" si="4"/>
        <v>0.67910000024130568</v>
      </c>
      <c r="N32" s="44"/>
    </row>
    <row r="33" spans="1:17">
      <c r="A33" s="26">
        <v>29</v>
      </c>
      <c r="B33" s="27">
        <v>46172</v>
      </c>
      <c r="C33" s="17"/>
      <c r="D33" s="17"/>
      <c r="E33" s="40"/>
      <c r="F33" s="40"/>
      <c r="G33" s="40">
        <f t="shared" si="0"/>
        <v>0</v>
      </c>
      <c r="H33" s="40"/>
      <c r="I33" s="40"/>
      <c r="J33" s="40">
        <f t="shared" si="1"/>
        <v>0</v>
      </c>
      <c r="K33" s="40">
        <f t="shared" si="2"/>
        <v>0</v>
      </c>
      <c r="L33" s="40"/>
      <c r="M33" s="135">
        <f t="shared" si="4"/>
        <v>0.67910000024130568</v>
      </c>
      <c r="N33" s="44"/>
    </row>
    <row r="34" spans="1:17">
      <c r="A34" s="26">
        <v>30</v>
      </c>
      <c r="B34" s="27"/>
      <c r="C34" s="17"/>
      <c r="D34" s="17"/>
      <c r="E34" s="40"/>
      <c r="F34" s="40"/>
      <c r="G34" s="40">
        <f t="shared" si="0"/>
        <v>0</v>
      </c>
      <c r="H34" s="40"/>
      <c r="I34" s="40"/>
      <c r="J34" s="40">
        <f t="shared" si="1"/>
        <v>0</v>
      </c>
      <c r="K34" s="40">
        <f t="shared" si="2"/>
        <v>0</v>
      </c>
      <c r="L34" s="40"/>
      <c r="M34" s="135">
        <f t="shared" si="4"/>
        <v>0.67910000024130568</v>
      </c>
      <c r="N34" s="44"/>
    </row>
    <row r="35" spans="1:17">
      <c r="A35" s="26">
        <v>31</v>
      </c>
      <c r="B35" s="27"/>
      <c r="C35" s="17"/>
      <c r="D35" s="17"/>
      <c r="E35" s="40"/>
      <c r="F35" s="40"/>
      <c r="G35" s="40">
        <f t="shared" si="0"/>
        <v>0</v>
      </c>
      <c r="H35" s="40"/>
      <c r="I35" s="40"/>
      <c r="J35" s="40">
        <f t="shared" si="1"/>
        <v>0</v>
      </c>
      <c r="K35" s="40">
        <f t="shared" si="2"/>
        <v>0</v>
      </c>
      <c r="L35" s="40"/>
      <c r="M35" s="135">
        <f t="shared" si="4"/>
        <v>0.67910000024130568</v>
      </c>
      <c r="N35" s="44"/>
    </row>
    <row r="36" spans="1:17">
      <c r="A36" s="26">
        <v>32</v>
      </c>
      <c r="B36" s="27"/>
      <c r="C36" s="17"/>
      <c r="D36" s="17"/>
      <c r="E36" s="40"/>
      <c r="F36" s="40"/>
      <c r="G36" s="40">
        <f t="shared" si="0"/>
        <v>0</v>
      </c>
      <c r="H36" s="40"/>
      <c r="I36" s="40"/>
      <c r="J36" s="40">
        <f t="shared" si="1"/>
        <v>0</v>
      </c>
      <c r="K36" s="40">
        <f t="shared" si="2"/>
        <v>0</v>
      </c>
      <c r="L36" s="40"/>
      <c r="M36" s="135">
        <f t="shared" si="4"/>
        <v>0.67910000024130568</v>
      </c>
      <c r="N36" s="44"/>
    </row>
    <row r="37" spans="1:17">
      <c r="A37" s="26">
        <v>33</v>
      </c>
      <c r="B37" s="27"/>
      <c r="C37" s="17"/>
      <c r="D37" s="17"/>
      <c r="E37" s="40"/>
      <c r="F37" s="40"/>
      <c r="G37" s="40">
        <f t="shared" si="0"/>
        <v>0</v>
      </c>
      <c r="H37" s="40"/>
      <c r="I37" s="40"/>
      <c r="J37" s="40">
        <f t="shared" si="1"/>
        <v>0</v>
      </c>
      <c r="K37" s="40">
        <f t="shared" si="2"/>
        <v>0</v>
      </c>
      <c r="L37" s="40"/>
      <c r="M37" s="135">
        <f t="shared" si="4"/>
        <v>0.67910000024130568</v>
      </c>
      <c r="N37" s="44"/>
    </row>
    <row r="38" spans="1:17">
      <c r="A38" s="26">
        <v>34</v>
      </c>
      <c r="B38" s="27"/>
      <c r="C38" s="17"/>
      <c r="D38" s="17"/>
      <c r="E38" s="40"/>
      <c r="F38" s="40"/>
      <c r="G38" s="40">
        <f t="shared" si="0"/>
        <v>0</v>
      </c>
      <c r="H38" s="40"/>
      <c r="I38" s="40"/>
      <c r="J38" s="40">
        <f t="shared" si="1"/>
        <v>0</v>
      </c>
      <c r="K38" s="40">
        <f t="shared" si="2"/>
        <v>0</v>
      </c>
      <c r="L38" s="40"/>
      <c r="M38" s="135">
        <f t="shared" si="4"/>
        <v>0.67910000024130568</v>
      </c>
      <c r="N38" s="44"/>
      <c r="P38">
        <v>41</v>
      </c>
    </row>
    <row r="39" spans="1:17">
      <c r="A39" s="26">
        <v>35</v>
      </c>
      <c r="B39" s="27"/>
      <c r="C39" s="17"/>
      <c r="D39" s="17"/>
      <c r="E39" s="40"/>
      <c r="F39" s="40"/>
      <c r="G39" s="40">
        <f t="shared" si="0"/>
        <v>0</v>
      </c>
      <c r="H39" s="40"/>
      <c r="I39" s="40"/>
      <c r="J39" s="40">
        <f t="shared" si="1"/>
        <v>0</v>
      </c>
      <c r="K39" s="40">
        <f t="shared" si="2"/>
        <v>0</v>
      </c>
      <c r="L39" s="40"/>
      <c r="M39" s="135">
        <f t="shared" si="4"/>
        <v>0.67910000024130568</v>
      </c>
      <c r="N39" s="44"/>
      <c r="P39">
        <v>40</v>
      </c>
      <c r="Q39">
        <v>5</v>
      </c>
    </row>
    <row r="40" spans="1:17">
      <c r="A40" s="26">
        <v>36</v>
      </c>
      <c r="B40" s="27"/>
      <c r="C40" s="17"/>
      <c r="D40" s="17"/>
      <c r="E40" s="40"/>
      <c r="F40" s="40"/>
      <c r="G40" s="40">
        <f t="shared" ref="G5:G53" si="5">E40*F40</f>
        <v>0</v>
      </c>
      <c r="H40" s="40"/>
      <c r="I40" s="40"/>
      <c r="J40" s="40">
        <f t="shared" ref="J5:J53" si="6">H40*I40</f>
        <v>0</v>
      </c>
      <c r="K40" s="40">
        <f t="shared" ref="K5:K53" si="7">G40+J40</f>
        <v>0</v>
      </c>
      <c r="L40" s="40"/>
      <c r="M40" s="135">
        <f t="shared" si="4"/>
        <v>0.67910000024130568</v>
      </c>
      <c r="N40" s="44"/>
    </row>
    <row r="41" spans="1:17">
      <c r="A41" s="26">
        <v>37</v>
      </c>
      <c r="B41" s="27"/>
      <c r="C41" s="17"/>
      <c r="D41" s="17"/>
      <c r="E41" s="40"/>
      <c r="F41" s="40"/>
      <c r="G41" s="40">
        <f t="shared" si="5"/>
        <v>0</v>
      </c>
      <c r="H41" s="40"/>
      <c r="I41" s="40"/>
      <c r="J41" s="40">
        <f t="shared" si="6"/>
        <v>0</v>
      </c>
      <c r="K41" s="40">
        <f t="shared" si="7"/>
        <v>0</v>
      </c>
      <c r="L41" s="40"/>
      <c r="M41" s="135">
        <f t="shared" si="4"/>
        <v>0.67910000024130568</v>
      </c>
      <c r="N41" s="44"/>
    </row>
    <row r="42" spans="1:17">
      <c r="A42" s="26">
        <v>38</v>
      </c>
      <c r="B42" s="27"/>
      <c r="C42" s="17"/>
      <c r="D42" s="17"/>
      <c r="E42" s="40"/>
      <c r="F42" s="40"/>
      <c r="G42" s="40">
        <f t="shared" si="5"/>
        <v>0</v>
      </c>
      <c r="H42" s="40"/>
      <c r="I42" s="40"/>
      <c r="J42" s="40">
        <f t="shared" si="6"/>
        <v>0</v>
      </c>
      <c r="K42" s="40">
        <f t="shared" si="7"/>
        <v>0</v>
      </c>
      <c r="L42" s="40"/>
      <c r="M42" s="135">
        <f t="shared" si="4"/>
        <v>0.67910000024130568</v>
      </c>
      <c r="N42" s="44"/>
    </row>
    <row r="43" spans="1:17">
      <c r="A43" s="26">
        <v>39</v>
      </c>
      <c r="B43" s="27"/>
      <c r="C43" s="17"/>
      <c r="D43" s="17"/>
      <c r="E43" s="40"/>
      <c r="F43" s="40"/>
      <c r="G43" s="40">
        <f t="shared" si="5"/>
        <v>0</v>
      </c>
      <c r="H43" s="40"/>
      <c r="I43" s="40"/>
      <c r="J43" s="40">
        <f t="shared" si="6"/>
        <v>0</v>
      </c>
      <c r="K43" s="40">
        <f t="shared" si="7"/>
        <v>0</v>
      </c>
      <c r="L43" s="40"/>
      <c r="M43" s="135">
        <f t="shared" si="4"/>
        <v>0.67910000024130568</v>
      </c>
      <c r="N43" s="44"/>
    </row>
    <row r="44" spans="1:17">
      <c r="A44" s="26">
        <v>40</v>
      </c>
      <c r="B44" s="27"/>
      <c r="C44" s="17"/>
      <c r="D44" s="17"/>
      <c r="E44" s="40"/>
      <c r="F44" s="40"/>
      <c r="G44" s="40">
        <f t="shared" si="5"/>
        <v>0</v>
      </c>
      <c r="H44" s="40"/>
      <c r="I44" s="40"/>
      <c r="J44" s="40">
        <f t="shared" si="6"/>
        <v>0</v>
      </c>
      <c r="K44" s="40">
        <f t="shared" si="7"/>
        <v>0</v>
      </c>
      <c r="L44" s="40"/>
      <c r="M44" s="135">
        <f t="shared" si="4"/>
        <v>0.67910000024130568</v>
      </c>
      <c r="N44" s="44"/>
    </row>
    <row r="45" spans="1:17">
      <c r="A45" s="26">
        <v>41</v>
      </c>
      <c r="B45" s="27"/>
      <c r="C45" s="17"/>
      <c r="D45" s="17"/>
      <c r="E45" s="40"/>
      <c r="F45" s="40"/>
      <c r="G45" s="40">
        <f t="shared" si="5"/>
        <v>0</v>
      </c>
      <c r="H45" s="40"/>
      <c r="I45" s="40"/>
      <c r="J45" s="40">
        <f t="shared" si="6"/>
        <v>0</v>
      </c>
      <c r="K45" s="40">
        <f t="shared" si="7"/>
        <v>0</v>
      </c>
      <c r="L45" s="40"/>
      <c r="M45" s="135">
        <f t="shared" si="4"/>
        <v>0.67910000024130568</v>
      </c>
      <c r="N45" s="44"/>
    </row>
    <row r="46" spans="1:17">
      <c r="A46" s="26">
        <v>42</v>
      </c>
      <c r="B46" s="27"/>
      <c r="C46" s="17"/>
      <c r="D46" s="17"/>
      <c r="E46" s="40"/>
      <c r="F46" s="40"/>
      <c r="G46" s="40">
        <f t="shared" si="5"/>
        <v>0</v>
      </c>
      <c r="H46" s="40"/>
      <c r="I46" s="40"/>
      <c r="J46" s="40">
        <f t="shared" si="6"/>
        <v>0</v>
      </c>
      <c r="K46" s="40">
        <f t="shared" si="7"/>
        <v>0</v>
      </c>
      <c r="L46" s="40"/>
      <c r="M46" s="135">
        <f t="shared" si="4"/>
        <v>0.67910000024130568</v>
      </c>
      <c r="N46" s="44"/>
    </row>
    <row r="47" spans="1:17">
      <c r="A47" s="26">
        <v>43</v>
      </c>
      <c r="B47" s="27"/>
      <c r="C47" s="17"/>
      <c r="D47" s="17"/>
      <c r="E47" s="40"/>
      <c r="F47" s="40"/>
      <c r="G47" s="40">
        <f t="shared" si="5"/>
        <v>0</v>
      </c>
      <c r="H47" s="40"/>
      <c r="I47" s="40"/>
      <c r="J47" s="40">
        <f t="shared" si="6"/>
        <v>0</v>
      </c>
      <c r="K47" s="40">
        <f t="shared" si="7"/>
        <v>0</v>
      </c>
      <c r="L47" s="40"/>
      <c r="M47" s="135">
        <f t="shared" si="4"/>
        <v>0.67910000024130568</v>
      </c>
      <c r="N47" s="44"/>
    </row>
    <row r="48" spans="1:17">
      <c r="A48" s="26">
        <v>44</v>
      </c>
      <c r="B48" s="27"/>
      <c r="C48" s="17"/>
      <c r="D48" s="17"/>
      <c r="E48" s="40"/>
      <c r="F48" s="40"/>
      <c r="G48" s="40">
        <f t="shared" si="5"/>
        <v>0</v>
      </c>
      <c r="H48" s="40"/>
      <c r="I48" s="40"/>
      <c r="J48" s="40">
        <f t="shared" si="6"/>
        <v>0</v>
      </c>
      <c r="K48" s="40">
        <f t="shared" si="7"/>
        <v>0</v>
      </c>
      <c r="L48" s="40"/>
      <c r="M48" s="135">
        <f t="shared" si="4"/>
        <v>0.67910000024130568</v>
      </c>
      <c r="N48" s="44"/>
    </row>
    <row r="49" spans="1:16">
      <c r="A49" s="26">
        <v>45</v>
      </c>
      <c r="B49" s="27"/>
      <c r="C49" s="17"/>
      <c r="D49" s="17"/>
      <c r="E49" s="40"/>
      <c r="F49" s="40"/>
      <c r="G49" s="40">
        <f t="shared" si="5"/>
        <v>0</v>
      </c>
      <c r="H49" s="40"/>
      <c r="I49" s="40"/>
      <c r="J49" s="40">
        <f t="shared" si="6"/>
        <v>0</v>
      </c>
      <c r="K49" s="40">
        <f t="shared" si="7"/>
        <v>0</v>
      </c>
      <c r="L49" s="40"/>
      <c r="M49" s="135">
        <f t="shared" si="4"/>
        <v>0.67910000024130568</v>
      </c>
      <c r="N49" s="44"/>
    </row>
    <row r="50" spans="1:16">
      <c r="A50" s="26">
        <v>46</v>
      </c>
      <c r="B50" s="27"/>
      <c r="C50" s="17"/>
      <c r="D50" s="17"/>
      <c r="E50" s="40"/>
      <c r="F50" s="40"/>
      <c r="G50" s="40">
        <f t="shared" si="5"/>
        <v>0</v>
      </c>
      <c r="H50" s="40"/>
      <c r="I50" s="40"/>
      <c r="J50" s="40">
        <f t="shared" si="6"/>
        <v>0</v>
      </c>
      <c r="K50" s="40">
        <f t="shared" si="7"/>
        <v>0</v>
      </c>
      <c r="L50" s="40"/>
      <c r="M50" s="135">
        <f t="shared" si="4"/>
        <v>0.67910000024130568</v>
      </c>
      <c r="N50" s="44"/>
    </row>
    <row r="51" spans="1:16">
      <c r="A51" s="26">
        <v>47</v>
      </c>
      <c r="B51" s="27"/>
      <c r="C51" s="17"/>
      <c r="D51" s="17"/>
      <c r="E51" s="40"/>
      <c r="F51" s="40"/>
      <c r="G51" s="40">
        <f t="shared" si="5"/>
        <v>0</v>
      </c>
      <c r="H51" s="40"/>
      <c r="I51" s="40"/>
      <c r="J51" s="40">
        <f t="shared" si="6"/>
        <v>0</v>
      </c>
      <c r="K51" s="40">
        <f t="shared" si="7"/>
        <v>0</v>
      </c>
      <c r="L51" s="40">
        <v>0</v>
      </c>
      <c r="M51" s="135">
        <f t="shared" si="4"/>
        <v>0.67910000024130568</v>
      </c>
      <c r="N51" s="44"/>
    </row>
    <row r="52" spans="1:16">
      <c r="A52" s="26">
        <v>48</v>
      </c>
      <c r="B52" s="27"/>
      <c r="C52" s="94"/>
      <c r="D52" s="94"/>
      <c r="E52" s="40"/>
      <c r="F52" s="40"/>
      <c r="G52" s="40">
        <f t="shared" si="5"/>
        <v>0</v>
      </c>
      <c r="H52" s="40"/>
      <c r="I52" s="40"/>
      <c r="J52" s="40">
        <f t="shared" si="6"/>
        <v>0</v>
      </c>
      <c r="K52" s="40">
        <f t="shared" si="7"/>
        <v>0</v>
      </c>
      <c r="L52" s="40">
        <v>0</v>
      </c>
      <c r="M52" s="135">
        <f t="shared" si="4"/>
        <v>0.67910000024130568</v>
      </c>
      <c r="N52" s="222"/>
    </row>
    <row r="53" spans="1:16">
      <c r="A53" s="26">
        <v>49</v>
      </c>
      <c r="B53" s="27"/>
      <c r="C53" s="17"/>
      <c r="D53" s="17"/>
      <c r="E53" s="40"/>
      <c r="F53" s="40"/>
      <c r="G53" s="40">
        <f t="shared" si="5"/>
        <v>0</v>
      </c>
      <c r="H53" s="40"/>
      <c r="I53" s="40"/>
      <c r="J53" s="40">
        <f t="shared" si="6"/>
        <v>0</v>
      </c>
      <c r="K53" s="40">
        <f t="shared" si="7"/>
        <v>0</v>
      </c>
      <c r="L53" s="40">
        <v>0</v>
      </c>
      <c r="M53" s="135">
        <f t="shared" si="4"/>
        <v>0.67910000024130568</v>
      </c>
      <c r="N53" s="44"/>
    </row>
    <row r="54" spans="1:16">
      <c r="A54" s="26">
        <v>50</v>
      </c>
      <c r="B54" s="27"/>
      <c r="C54" s="17"/>
      <c r="D54" s="17"/>
      <c r="E54" s="40"/>
      <c r="F54" s="40"/>
      <c r="G54" s="40">
        <f t="shared" ref="G54" si="8">E54*F54</f>
        <v>0</v>
      </c>
      <c r="H54" s="40"/>
      <c r="I54" s="40"/>
      <c r="J54" s="40">
        <f t="shared" ref="J54" si="9">H54*I54</f>
        <v>0</v>
      </c>
      <c r="K54" s="40">
        <f t="shared" ref="K54" si="10">G54+J54</f>
        <v>0</v>
      </c>
      <c r="L54" s="40">
        <v>0</v>
      </c>
      <c r="M54" s="135">
        <f t="shared" si="4"/>
        <v>0.67910000024130568</v>
      </c>
      <c r="N54" s="44"/>
      <c r="O54">
        <v>1109792.2825999993</v>
      </c>
      <c r="P54" s="173">
        <f>M54-O54</f>
        <v>-1109791.603499999</v>
      </c>
    </row>
    <row r="55" spans="1:16">
      <c r="A55" s="180"/>
      <c r="B55" s="180"/>
      <c r="C55" s="180"/>
      <c r="D55" s="180"/>
      <c r="E55" s="180">
        <f>SUM(E4:E54)</f>
        <v>0</v>
      </c>
      <c r="F55" s="180"/>
      <c r="G55" s="180">
        <f>SUM(G4:G54)</f>
        <v>0</v>
      </c>
      <c r="H55" s="180">
        <f>SUM(H4:H54)</f>
        <v>0</v>
      </c>
      <c r="I55" s="180"/>
      <c r="J55" s="180">
        <f>SUM(J4:J54)</f>
        <v>0</v>
      </c>
      <c r="K55" s="180">
        <f>SUM(K4:K54)</f>
        <v>0</v>
      </c>
      <c r="L55" s="180">
        <f>SUM(L4:L54)</f>
        <v>93813</v>
      </c>
      <c r="M55" s="180"/>
      <c r="N55" s="180"/>
    </row>
  </sheetData>
  <mergeCells count="2">
    <mergeCell ref="A1:N1"/>
    <mergeCell ref="A3:J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8753-EB45-413F-AA43-E56ACFC36C88}">
  <dimension ref="A1:Q56"/>
  <sheetViews>
    <sheetView topLeftCell="A14" workbookViewId="0">
      <selection activeCell="M35" sqref="M35"/>
    </sheetView>
  </sheetViews>
  <sheetFormatPr defaultRowHeight="15"/>
  <cols>
    <col min="2" max="2" width="10.42578125" bestFit="1" customWidth="1"/>
    <col min="4" max="4" width="11.5703125" customWidth="1"/>
    <col min="5" max="5" width="10.42578125" bestFit="1" customWidth="1"/>
    <col min="7" max="7" width="14.7109375" customWidth="1"/>
    <col min="11" max="11" width="13.5703125" bestFit="1" customWidth="1"/>
    <col min="12" max="12" width="11.42578125" bestFit="1" customWidth="1"/>
    <col min="13" max="13" width="13.5703125" bestFit="1" customWidth="1"/>
    <col min="14" max="14" width="27.5703125" customWidth="1"/>
  </cols>
  <sheetData>
    <row r="1" spans="1:16" ht="15.75">
      <c r="A1" s="575" t="s">
        <v>299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5"/>
      <c r="N1" s="575"/>
    </row>
    <row r="2" spans="1:16" ht="30.75">
      <c r="A2" s="64" t="s">
        <v>0</v>
      </c>
      <c r="B2" s="83" t="s">
        <v>166</v>
      </c>
      <c r="C2" s="83" t="s">
        <v>167</v>
      </c>
      <c r="D2" s="83" t="s">
        <v>168</v>
      </c>
      <c r="E2" s="90" t="s">
        <v>169</v>
      </c>
      <c r="F2" s="90" t="s">
        <v>170</v>
      </c>
      <c r="G2" s="90" t="s">
        <v>171</v>
      </c>
      <c r="H2" s="90" t="s">
        <v>172</v>
      </c>
      <c r="I2" s="90" t="s">
        <v>170</v>
      </c>
      <c r="J2" s="90" t="s">
        <v>171</v>
      </c>
      <c r="K2" s="91" t="s">
        <v>173</v>
      </c>
      <c r="L2" s="85" t="s">
        <v>174</v>
      </c>
      <c r="M2" s="85" t="s">
        <v>199</v>
      </c>
      <c r="N2" s="124" t="s">
        <v>176</v>
      </c>
    </row>
    <row r="3" spans="1:16">
      <c r="A3" s="553" t="s">
        <v>177</v>
      </c>
      <c r="B3" s="553"/>
      <c r="C3" s="553"/>
      <c r="D3" s="553"/>
      <c r="E3" s="553"/>
      <c r="F3" s="553"/>
      <c r="G3" s="553"/>
      <c r="H3" s="553"/>
      <c r="I3" s="553"/>
      <c r="J3" s="556"/>
      <c r="K3" s="201">
        <v>2665455.9562000008</v>
      </c>
      <c r="M3" s="134">
        <v>2665455.9562000008</v>
      </c>
      <c r="N3" s="94"/>
      <c r="P3">
        <v>5472110</v>
      </c>
    </row>
    <row r="4" spans="1:16">
      <c r="A4" s="26">
        <v>1</v>
      </c>
      <c r="B4" s="27">
        <v>46143</v>
      </c>
      <c r="C4" s="17"/>
      <c r="D4" s="17"/>
      <c r="E4" s="40">
        <v>1000</v>
      </c>
      <c r="F4" s="40">
        <v>94.71</v>
      </c>
      <c r="G4" s="40">
        <f>E4*F4</f>
        <v>94710</v>
      </c>
      <c r="H4" s="40">
        <v>30</v>
      </c>
      <c r="I4" s="40">
        <v>110.44</v>
      </c>
      <c r="J4" s="40">
        <f>H4*I4</f>
        <v>3313.2</v>
      </c>
      <c r="K4" s="40">
        <f>G4+J4</f>
        <v>98023.2</v>
      </c>
      <c r="L4" s="40"/>
      <c r="M4" s="135">
        <f>M3+K4-L4</f>
        <v>2763479.156200001</v>
      </c>
      <c r="N4" s="17"/>
    </row>
    <row r="5" spans="1:16">
      <c r="A5" s="26">
        <v>2</v>
      </c>
      <c r="B5" s="27">
        <v>46144</v>
      </c>
      <c r="C5" s="17"/>
      <c r="D5" s="17"/>
      <c r="E5" s="40">
        <v>1000</v>
      </c>
      <c r="F5" s="40">
        <v>94.71</v>
      </c>
      <c r="G5" s="40">
        <f t="shared" ref="G5:G36" si="0">E5*F5</f>
        <v>94710</v>
      </c>
      <c r="H5" s="40">
        <v>30</v>
      </c>
      <c r="I5" s="40">
        <v>110.44</v>
      </c>
      <c r="J5" s="40">
        <f t="shared" ref="J5:J36" si="1">H5*I5</f>
        <v>3313.2</v>
      </c>
      <c r="K5" s="40">
        <f t="shared" ref="K5:L36" si="2">G5+J5</f>
        <v>98023.2</v>
      </c>
      <c r="L5" s="40"/>
      <c r="M5" s="135">
        <f t="shared" ref="M5:M55" si="3">M4+K5-L5</f>
        <v>2861502.3562000012</v>
      </c>
      <c r="N5" s="17"/>
    </row>
    <row r="6" spans="1:16">
      <c r="A6" s="26">
        <v>3</v>
      </c>
      <c r="B6" s="27">
        <v>46145</v>
      </c>
      <c r="C6" s="17"/>
      <c r="D6" s="17"/>
      <c r="E6" s="40"/>
      <c r="F6" s="40"/>
      <c r="G6" s="40">
        <f t="shared" si="0"/>
        <v>0</v>
      </c>
      <c r="H6" s="40"/>
      <c r="I6" s="40"/>
      <c r="J6" s="40">
        <f t="shared" si="1"/>
        <v>0</v>
      </c>
      <c r="K6" s="40">
        <f t="shared" si="2"/>
        <v>0</v>
      </c>
      <c r="L6" s="40"/>
      <c r="M6" s="135">
        <f t="shared" si="3"/>
        <v>2861502.3562000012</v>
      </c>
      <c r="N6" s="17"/>
    </row>
    <row r="7" spans="1:16">
      <c r="A7" s="26">
        <v>4</v>
      </c>
      <c r="B7" s="27">
        <v>46146</v>
      </c>
      <c r="C7" s="17"/>
      <c r="D7" s="17"/>
      <c r="E7" s="40"/>
      <c r="F7" s="40"/>
      <c r="G7" s="40">
        <f t="shared" si="0"/>
        <v>0</v>
      </c>
      <c r="H7" s="40"/>
      <c r="I7" s="40"/>
      <c r="J7" s="40">
        <f t="shared" si="1"/>
        <v>0</v>
      </c>
      <c r="K7" s="40">
        <f t="shared" si="2"/>
        <v>0</v>
      </c>
      <c r="L7" s="40">
        <v>1000000</v>
      </c>
      <c r="M7" s="135">
        <f t="shared" si="3"/>
        <v>1861502.3562000012</v>
      </c>
      <c r="N7" s="17" t="s">
        <v>202</v>
      </c>
    </row>
    <row r="8" spans="1:16">
      <c r="A8" s="26">
        <v>5</v>
      </c>
      <c r="B8" s="27">
        <v>46147</v>
      </c>
      <c r="C8" s="17"/>
      <c r="D8" s="17"/>
      <c r="E8" s="40"/>
      <c r="F8" s="40"/>
      <c r="G8" s="40">
        <f t="shared" si="0"/>
        <v>0</v>
      </c>
      <c r="H8" s="40">
        <v>50</v>
      </c>
      <c r="I8" s="40">
        <v>110.44</v>
      </c>
      <c r="J8" s="40">
        <f t="shared" si="1"/>
        <v>5522</v>
      </c>
      <c r="K8" s="40">
        <f t="shared" si="2"/>
        <v>5522</v>
      </c>
      <c r="L8" s="40"/>
      <c r="M8" s="135">
        <f t="shared" si="3"/>
        <v>1867024.3562000012</v>
      </c>
      <c r="N8" s="17"/>
    </row>
    <row r="9" spans="1:16">
      <c r="A9" s="26">
        <v>6</v>
      </c>
      <c r="B9" s="27">
        <v>46148</v>
      </c>
      <c r="C9" s="17"/>
      <c r="D9" s="17"/>
      <c r="E9" s="40">
        <v>3000.42</v>
      </c>
      <c r="F9" s="40">
        <v>94.71</v>
      </c>
      <c r="G9" s="40">
        <f t="shared" si="0"/>
        <v>284169.7782</v>
      </c>
      <c r="H9" s="40"/>
      <c r="I9" s="40"/>
      <c r="J9" s="40">
        <f t="shared" si="1"/>
        <v>0</v>
      </c>
      <c r="K9" s="40">
        <f t="shared" si="2"/>
        <v>284169.7782</v>
      </c>
      <c r="L9" s="40"/>
      <c r="M9" s="135">
        <f t="shared" si="3"/>
        <v>2151194.1344000013</v>
      </c>
      <c r="N9" s="17"/>
    </row>
    <row r="10" spans="1:16">
      <c r="A10" s="26">
        <v>7</v>
      </c>
      <c r="B10" s="27">
        <v>46149</v>
      </c>
      <c r="C10" s="17"/>
      <c r="D10" s="17"/>
      <c r="E10" s="40"/>
      <c r="F10" s="40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/>
      <c r="M10" s="135">
        <f t="shared" si="3"/>
        <v>2151194.1344000013</v>
      </c>
      <c r="N10" s="17"/>
    </row>
    <row r="11" spans="1:16">
      <c r="A11" s="26">
        <v>8</v>
      </c>
      <c r="B11" s="27">
        <v>46150</v>
      </c>
      <c r="C11" s="17"/>
      <c r="D11" s="17"/>
      <c r="E11" s="40">
        <v>4650</v>
      </c>
      <c r="F11" s="40">
        <v>94.71</v>
      </c>
      <c r="G11" s="40">
        <f t="shared" si="0"/>
        <v>440401.5</v>
      </c>
      <c r="H11" s="40">
        <v>30</v>
      </c>
      <c r="I11" s="40">
        <v>110.44</v>
      </c>
      <c r="J11" s="40">
        <f t="shared" si="1"/>
        <v>3313.2</v>
      </c>
      <c r="K11" s="40">
        <f t="shared" si="2"/>
        <v>443714.7</v>
      </c>
      <c r="L11" s="40"/>
      <c r="M11" s="135">
        <f t="shared" si="3"/>
        <v>2594908.8344000014</v>
      </c>
      <c r="N11" s="17"/>
    </row>
    <row r="12" spans="1:16">
      <c r="A12" s="26">
        <v>9</v>
      </c>
      <c r="B12" s="27">
        <v>46151</v>
      </c>
      <c r="C12" s="17"/>
      <c r="D12" s="17"/>
      <c r="E12" s="40">
        <v>2500</v>
      </c>
      <c r="F12" s="40">
        <v>94.71</v>
      </c>
      <c r="G12" s="40">
        <f t="shared" si="0"/>
        <v>236774.99999999997</v>
      </c>
      <c r="H12" s="40">
        <v>50</v>
      </c>
      <c r="I12" s="40">
        <v>110.44</v>
      </c>
      <c r="J12" s="40">
        <f t="shared" si="1"/>
        <v>5522</v>
      </c>
      <c r="K12" s="40">
        <f t="shared" si="2"/>
        <v>242296.99999999997</v>
      </c>
      <c r="L12" s="40"/>
      <c r="M12" s="135">
        <f t="shared" si="3"/>
        <v>2837205.8344000014</v>
      </c>
      <c r="N12" s="17"/>
    </row>
    <row r="13" spans="1:16">
      <c r="A13" s="26">
        <v>10</v>
      </c>
      <c r="B13" s="27">
        <v>46152</v>
      </c>
      <c r="C13" s="17"/>
      <c r="D13" s="17"/>
      <c r="E13" s="40"/>
      <c r="F13" s="40"/>
      <c r="G13" s="40">
        <f t="shared" si="0"/>
        <v>0</v>
      </c>
      <c r="H13" s="40"/>
      <c r="I13" s="40"/>
      <c r="J13" s="40">
        <f t="shared" si="1"/>
        <v>0</v>
      </c>
      <c r="K13" s="40">
        <f t="shared" si="2"/>
        <v>0</v>
      </c>
      <c r="L13" s="40"/>
      <c r="M13" s="135">
        <f t="shared" si="3"/>
        <v>2837205.8344000014</v>
      </c>
      <c r="N13" s="17"/>
    </row>
    <row r="14" spans="1:16">
      <c r="A14" s="26">
        <v>11</v>
      </c>
      <c r="B14" s="27">
        <v>46153</v>
      </c>
      <c r="C14" s="17"/>
      <c r="D14" s="17"/>
      <c r="E14" s="40">
        <v>1000</v>
      </c>
      <c r="F14" s="40">
        <v>94.71</v>
      </c>
      <c r="G14" s="40">
        <f t="shared" si="0"/>
        <v>94710</v>
      </c>
      <c r="H14" s="40"/>
      <c r="I14" s="40"/>
      <c r="J14" s="40">
        <f t="shared" si="1"/>
        <v>0</v>
      </c>
      <c r="K14" s="40">
        <f t="shared" si="2"/>
        <v>94710</v>
      </c>
      <c r="L14" s="40">
        <v>800000</v>
      </c>
      <c r="M14" s="135">
        <f t="shared" si="3"/>
        <v>2131915.8344000014</v>
      </c>
      <c r="N14" s="44" t="s">
        <v>202</v>
      </c>
    </row>
    <row r="15" spans="1:16">
      <c r="A15" s="26">
        <v>12</v>
      </c>
      <c r="B15" s="27">
        <v>46154</v>
      </c>
      <c r="C15" s="17"/>
      <c r="D15" s="17"/>
      <c r="E15" s="40">
        <v>2500</v>
      </c>
      <c r="F15" s="40">
        <v>94.71</v>
      </c>
      <c r="G15" s="40">
        <f t="shared" si="0"/>
        <v>236774.99999999997</v>
      </c>
      <c r="H15" s="40">
        <v>20</v>
      </c>
      <c r="I15" s="40">
        <v>110.44</v>
      </c>
      <c r="J15" s="40">
        <f t="shared" si="1"/>
        <v>2208.8000000000002</v>
      </c>
      <c r="K15" s="40">
        <f t="shared" si="2"/>
        <v>238983.79999999996</v>
      </c>
      <c r="L15" s="40"/>
      <c r="M15" s="135">
        <f t="shared" si="3"/>
        <v>2370899.6344000013</v>
      </c>
      <c r="N15" s="44"/>
    </row>
    <row r="16" spans="1:16">
      <c r="A16" s="26">
        <v>13</v>
      </c>
      <c r="B16" s="27">
        <v>46155</v>
      </c>
      <c r="C16" s="17"/>
      <c r="D16" s="17"/>
      <c r="E16" s="40"/>
      <c r="F16" s="40"/>
      <c r="G16" s="40">
        <f t="shared" si="0"/>
        <v>0</v>
      </c>
      <c r="H16" s="40"/>
      <c r="I16" s="40"/>
      <c r="J16" s="40">
        <f t="shared" si="1"/>
        <v>0</v>
      </c>
      <c r="K16" s="40">
        <f t="shared" si="2"/>
        <v>0</v>
      </c>
      <c r="L16" s="40"/>
      <c r="M16" s="135">
        <f t="shared" si="3"/>
        <v>2370899.6344000013</v>
      </c>
      <c r="N16" s="44"/>
    </row>
    <row r="17" spans="1:16">
      <c r="A17" s="26">
        <v>14</v>
      </c>
      <c r="B17" s="27">
        <v>46156</v>
      </c>
      <c r="C17" s="17"/>
      <c r="D17" s="17"/>
      <c r="E17" s="40">
        <v>2000</v>
      </c>
      <c r="F17" s="40">
        <v>94.71</v>
      </c>
      <c r="G17" s="40">
        <f t="shared" si="0"/>
        <v>189420</v>
      </c>
      <c r="H17" s="40"/>
      <c r="I17" s="40"/>
      <c r="J17" s="40">
        <f t="shared" si="1"/>
        <v>0</v>
      </c>
      <c r="K17" s="40">
        <f t="shared" si="2"/>
        <v>189420</v>
      </c>
      <c r="L17" s="40"/>
      <c r="M17" s="135">
        <f t="shared" si="3"/>
        <v>2560319.6344000013</v>
      </c>
      <c r="N17" s="44"/>
    </row>
    <row r="18" spans="1:16">
      <c r="A18" s="26">
        <v>15</v>
      </c>
      <c r="B18" s="27">
        <v>46157</v>
      </c>
      <c r="C18" s="17"/>
      <c r="D18" s="17"/>
      <c r="E18" s="40"/>
      <c r="F18" s="40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/>
      <c r="M18" s="135">
        <f t="shared" si="3"/>
        <v>2560319.6344000013</v>
      </c>
      <c r="N18" s="44"/>
    </row>
    <row r="19" spans="1:16">
      <c r="A19" s="26">
        <v>16</v>
      </c>
      <c r="B19" s="27">
        <v>46158</v>
      </c>
      <c r="C19" s="17"/>
      <c r="D19" s="17"/>
      <c r="E19" s="40">
        <v>2000</v>
      </c>
      <c r="F19" s="40">
        <v>97.84</v>
      </c>
      <c r="G19" s="40">
        <f t="shared" si="0"/>
        <v>195680</v>
      </c>
      <c r="H19" s="40">
        <v>30</v>
      </c>
      <c r="I19" s="40">
        <v>113.58</v>
      </c>
      <c r="J19" s="40">
        <f t="shared" si="1"/>
        <v>3407.4</v>
      </c>
      <c r="K19" s="40">
        <f t="shared" si="2"/>
        <v>199087.4</v>
      </c>
      <c r="L19" s="40"/>
      <c r="M19" s="135">
        <f t="shared" si="3"/>
        <v>2759407.0344000012</v>
      </c>
      <c r="N19" s="44"/>
    </row>
    <row r="20" spans="1:16">
      <c r="A20" s="26">
        <v>17</v>
      </c>
      <c r="B20" s="27">
        <v>46159</v>
      </c>
      <c r="C20" s="17"/>
      <c r="D20" s="17"/>
      <c r="E20" s="40">
        <v>1000</v>
      </c>
      <c r="F20" s="40">
        <v>97.84</v>
      </c>
      <c r="G20" s="40">
        <f t="shared" si="0"/>
        <v>97840</v>
      </c>
      <c r="H20" s="40"/>
      <c r="I20" s="40"/>
      <c r="J20" s="40">
        <f t="shared" si="1"/>
        <v>0</v>
      </c>
      <c r="K20" s="40">
        <f t="shared" si="2"/>
        <v>97840</v>
      </c>
      <c r="L20" s="40"/>
      <c r="M20" s="135">
        <f t="shared" si="3"/>
        <v>2857247.0344000012</v>
      </c>
      <c r="N20" s="44"/>
      <c r="P20" s="22"/>
    </row>
    <row r="21" spans="1:16">
      <c r="A21" s="26">
        <v>18</v>
      </c>
      <c r="B21" s="27">
        <v>46160</v>
      </c>
      <c r="C21" s="17"/>
      <c r="D21" s="17"/>
      <c r="E21" s="40"/>
      <c r="F21" s="40"/>
      <c r="G21" s="40">
        <f t="shared" si="0"/>
        <v>0</v>
      </c>
      <c r="H21" s="40">
        <v>30</v>
      </c>
      <c r="I21" s="40">
        <v>113.58</v>
      </c>
      <c r="J21" s="40">
        <f t="shared" si="1"/>
        <v>3407.4</v>
      </c>
      <c r="K21" s="40">
        <f t="shared" si="2"/>
        <v>3407.4</v>
      </c>
      <c r="L21" s="40"/>
      <c r="M21" s="135">
        <f t="shared" si="3"/>
        <v>2860654.4344000011</v>
      </c>
      <c r="N21" s="44"/>
      <c r="P21" s="22"/>
    </row>
    <row r="22" spans="1:16">
      <c r="A22" s="26">
        <v>19</v>
      </c>
      <c r="B22" s="27">
        <v>46161</v>
      </c>
      <c r="C22" s="17"/>
      <c r="D22" s="17"/>
      <c r="E22" s="40"/>
      <c r="F22" s="40"/>
      <c r="G22" s="40">
        <f t="shared" si="0"/>
        <v>0</v>
      </c>
      <c r="H22" s="40"/>
      <c r="I22" s="40"/>
      <c r="J22" s="40">
        <f t="shared" si="1"/>
        <v>0</v>
      </c>
      <c r="K22" s="40">
        <f t="shared" si="2"/>
        <v>0</v>
      </c>
      <c r="L22" s="40"/>
      <c r="M22" s="135">
        <f t="shared" si="3"/>
        <v>2860654.4344000011</v>
      </c>
      <c r="N22" s="44"/>
      <c r="P22" s="22"/>
    </row>
    <row r="23" spans="1:16">
      <c r="A23" s="26">
        <v>20</v>
      </c>
      <c r="B23" s="27">
        <v>46162</v>
      </c>
      <c r="C23" s="17"/>
      <c r="D23" s="17"/>
      <c r="E23" s="40">
        <v>1000</v>
      </c>
      <c r="F23" s="40">
        <v>98.77</v>
      </c>
      <c r="G23" s="40">
        <f t="shared" si="0"/>
        <v>98770</v>
      </c>
      <c r="H23" s="40"/>
      <c r="I23" s="40"/>
      <c r="J23" s="40">
        <f t="shared" si="1"/>
        <v>0</v>
      </c>
      <c r="K23" s="40">
        <f t="shared" si="2"/>
        <v>98770</v>
      </c>
      <c r="L23" s="40"/>
      <c r="M23" s="135">
        <f t="shared" si="3"/>
        <v>2959424.4344000011</v>
      </c>
      <c r="N23" s="44"/>
      <c r="P23" s="22"/>
    </row>
    <row r="24" spans="1:16">
      <c r="A24" s="26"/>
      <c r="B24" s="27">
        <v>46162</v>
      </c>
      <c r="C24" s="17"/>
      <c r="D24" s="17"/>
      <c r="E24" s="40">
        <v>253.11</v>
      </c>
      <c r="F24" s="40">
        <v>98.77</v>
      </c>
      <c r="G24" s="40">
        <f t="shared" si="0"/>
        <v>24999.6747</v>
      </c>
      <c r="H24" s="40">
        <v>60</v>
      </c>
      <c r="I24" s="40">
        <v>114.56</v>
      </c>
      <c r="J24" s="40">
        <f t="shared" si="1"/>
        <v>6873.6</v>
      </c>
      <c r="K24" s="40">
        <f t="shared" si="2"/>
        <v>31873.274700000002</v>
      </c>
      <c r="L24" s="40">
        <v>31873.274700000002</v>
      </c>
      <c r="M24" s="135">
        <f t="shared" si="3"/>
        <v>2959424.4344000011</v>
      </c>
      <c r="N24" s="44"/>
      <c r="P24" s="22"/>
    </row>
    <row r="25" spans="1:16">
      <c r="A25" s="26">
        <v>21</v>
      </c>
      <c r="B25" s="27">
        <v>46163</v>
      </c>
      <c r="C25" s="17"/>
      <c r="D25" s="17"/>
      <c r="E25" s="40"/>
      <c r="F25" s="40"/>
      <c r="G25" s="40">
        <f t="shared" si="0"/>
        <v>0</v>
      </c>
      <c r="H25" s="40"/>
      <c r="I25" s="40"/>
      <c r="J25" s="40">
        <f t="shared" si="1"/>
        <v>0</v>
      </c>
      <c r="K25" s="40">
        <f t="shared" si="2"/>
        <v>0</v>
      </c>
      <c r="L25" s="40">
        <v>500000</v>
      </c>
      <c r="M25" s="135">
        <f t="shared" si="3"/>
        <v>2459424.4344000011</v>
      </c>
      <c r="N25" s="44" t="s">
        <v>202</v>
      </c>
      <c r="P25" s="22"/>
    </row>
    <row r="26" spans="1:16">
      <c r="A26" s="26">
        <v>22</v>
      </c>
      <c r="B26" s="27">
        <v>46164</v>
      </c>
      <c r="C26" s="17"/>
      <c r="D26" s="17"/>
      <c r="E26" s="40"/>
      <c r="F26" s="40"/>
      <c r="G26" s="40">
        <f t="shared" si="0"/>
        <v>0</v>
      </c>
      <c r="H26" s="40"/>
      <c r="I26" s="40"/>
      <c r="J26" s="40">
        <f t="shared" si="1"/>
        <v>0</v>
      </c>
      <c r="K26" s="40">
        <f t="shared" si="2"/>
        <v>0</v>
      </c>
      <c r="L26" s="40"/>
      <c r="M26" s="135">
        <f t="shared" si="3"/>
        <v>2459424.4344000011</v>
      </c>
      <c r="N26" s="44"/>
      <c r="P26" s="22"/>
    </row>
    <row r="27" spans="1:16">
      <c r="A27" s="26">
        <v>23</v>
      </c>
      <c r="B27" s="27">
        <v>46165</v>
      </c>
      <c r="C27" s="17"/>
      <c r="D27" s="17"/>
      <c r="E27" s="40"/>
      <c r="F27" s="40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/>
      <c r="M27" s="135">
        <f t="shared" si="3"/>
        <v>2459424.4344000011</v>
      </c>
      <c r="N27" s="44"/>
      <c r="P27" s="22"/>
    </row>
    <row r="28" spans="1:16">
      <c r="A28" s="26">
        <v>24</v>
      </c>
      <c r="B28" s="27">
        <v>46166</v>
      </c>
      <c r="C28" s="17"/>
      <c r="D28" s="17"/>
      <c r="E28" s="40"/>
      <c r="F28" s="40"/>
      <c r="G28" s="40">
        <f t="shared" si="0"/>
        <v>0</v>
      </c>
      <c r="H28" s="40"/>
      <c r="I28" s="40"/>
      <c r="J28" s="40">
        <f t="shared" si="1"/>
        <v>0</v>
      </c>
      <c r="K28" s="40">
        <f t="shared" si="2"/>
        <v>0</v>
      </c>
      <c r="L28" s="40"/>
      <c r="M28" s="135">
        <f t="shared" si="3"/>
        <v>2459424.4344000011</v>
      </c>
      <c r="N28" s="44"/>
      <c r="P28" s="22"/>
    </row>
    <row r="29" spans="1:16">
      <c r="A29" s="26">
        <v>25</v>
      </c>
      <c r="B29" s="27">
        <v>46167</v>
      </c>
      <c r="C29" s="17"/>
      <c r="D29" s="17"/>
      <c r="E29" s="40"/>
      <c r="F29" s="40"/>
      <c r="G29" s="40">
        <f t="shared" si="0"/>
        <v>0</v>
      </c>
      <c r="H29" s="40">
        <v>55</v>
      </c>
      <c r="I29" s="40">
        <v>118.18</v>
      </c>
      <c r="J29" s="40">
        <f t="shared" si="1"/>
        <v>6499.9000000000005</v>
      </c>
      <c r="K29" s="40">
        <f t="shared" si="2"/>
        <v>6499.9000000000005</v>
      </c>
      <c r="L29" s="40"/>
      <c r="M29" s="135">
        <f t="shared" si="3"/>
        <v>2465924.334400001</v>
      </c>
      <c r="N29" s="44"/>
      <c r="P29" s="22"/>
    </row>
    <row r="30" spans="1:16">
      <c r="A30" s="26">
        <v>26</v>
      </c>
      <c r="B30" s="27">
        <v>46168</v>
      </c>
      <c r="C30" s="17"/>
      <c r="D30" s="17"/>
      <c r="E30" s="40"/>
      <c r="F30" s="40"/>
      <c r="G30" s="40">
        <f t="shared" si="0"/>
        <v>0</v>
      </c>
      <c r="H30" s="40"/>
      <c r="I30" s="40"/>
      <c r="J30" s="40">
        <f t="shared" si="1"/>
        <v>0</v>
      </c>
      <c r="K30" s="40">
        <f t="shared" si="2"/>
        <v>0</v>
      </c>
      <c r="L30" s="40"/>
      <c r="M30" s="135">
        <f t="shared" si="3"/>
        <v>2465924.334400001</v>
      </c>
      <c r="N30" s="44"/>
    </row>
    <row r="31" spans="1:16">
      <c r="A31" s="26">
        <v>27</v>
      </c>
      <c r="B31" s="27">
        <v>46169</v>
      </c>
      <c r="C31" s="17"/>
      <c r="D31" s="17"/>
      <c r="E31" s="40"/>
      <c r="F31" s="40"/>
      <c r="G31" s="40">
        <f t="shared" si="0"/>
        <v>0</v>
      </c>
      <c r="H31" s="40"/>
      <c r="I31" s="40"/>
      <c r="J31" s="40">
        <f t="shared" si="1"/>
        <v>0</v>
      </c>
      <c r="K31" s="40">
        <f t="shared" si="2"/>
        <v>0</v>
      </c>
      <c r="L31" s="40">
        <v>300000</v>
      </c>
      <c r="M31" s="135">
        <f t="shared" si="3"/>
        <v>2165924.334400001</v>
      </c>
      <c r="N31" s="44"/>
    </row>
    <row r="32" spans="1:16">
      <c r="A32" s="26">
        <v>28</v>
      </c>
      <c r="B32" s="27">
        <v>46170</v>
      </c>
      <c r="C32" s="17"/>
      <c r="D32" s="17"/>
      <c r="E32" s="40"/>
      <c r="F32" s="40"/>
      <c r="G32" s="40">
        <f t="shared" si="0"/>
        <v>0</v>
      </c>
      <c r="H32" s="40"/>
      <c r="I32" s="40"/>
      <c r="J32" s="40">
        <f t="shared" si="1"/>
        <v>0</v>
      </c>
      <c r="K32" s="40">
        <f t="shared" si="2"/>
        <v>0</v>
      </c>
      <c r="L32" s="40"/>
      <c r="M32" s="135">
        <f t="shared" si="3"/>
        <v>2165924.334400001</v>
      </c>
      <c r="N32" s="44"/>
    </row>
    <row r="33" spans="1:17">
      <c r="A33" s="26">
        <v>29</v>
      </c>
      <c r="B33" s="27">
        <v>46171</v>
      </c>
      <c r="C33" s="17"/>
      <c r="D33" s="17"/>
      <c r="E33" s="40"/>
      <c r="F33" s="40"/>
      <c r="G33" s="40">
        <f t="shared" si="0"/>
        <v>0</v>
      </c>
      <c r="H33" s="40"/>
      <c r="I33" s="40"/>
      <c r="J33" s="40">
        <f t="shared" si="1"/>
        <v>0</v>
      </c>
      <c r="K33" s="40">
        <f t="shared" si="2"/>
        <v>0</v>
      </c>
      <c r="L33" s="40"/>
      <c r="M33" s="135">
        <f t="shared" si="3"/>
        <v>2165924.334400001</v>
      </c>
      <c r="N33" s="44"/>
    </row>
    <row r="34" spans="1:17">
      <c r="A34" s="26">
        <v>30</v>
      </c>
      <c r="B34" s="27">
        <v>46172</v>
      </c>
      <c r="C34" s="17"/>
      <c r="D34" s="17"/>
      <c r="E34" s="40"/>
      <c r="F34" s="40"/>
      <c r="G34" s="40">
        <f t="shared" si="0"/>
        <v>0</v>
      </c>
      <c r="H34" s="40">
        <v>30</v>
      </c>
      <c r="I34" s="40">
        <v>118.18</v>
      </c>
      <c r="J34" s="40">
        <f t="shared" si="1"/>
        <v>3545.4</v>
      </c>
      <c r="K34" s="40">
        <f t="shared" si="2"/>
        <v>3545.4</v>
      </c>
      <c r="L34" s="40"/>
      <c r="M34" s="135">
        <f t="shared" si="3"/>
        <v>2169469.7344000009</v>
      </c>
      <c r="N34" s="44"/>
    </row>
    <row r="35" spans="1:17">
      <c r="A35" s="26">
        <v>31</v>
      </c>
      <c r="B35" s="27"/>
      <c r="C35" s="17"/>
      <c r="D35" s="17"/>
      <c r="E35" s="40"/>
      <c r="F35" s="40"/>
      <c r="G35" s="40">
        <f t="shared" si="0"/>
        <v>0</v>
      </c>
      <c r="H35" s="40"/>
      <c r="I35" s="40"/>
      <c r="J35" s="40">
        <f t="shared" si="1"/>
        <v>0</v>
      </c>
      <c r="K35" s="40">
        <f t="shared" si="2"/>
        <v>0</v>
      </c>
      <c r="L35" s="40"/>
      <c r="M35" s="135">
        <f t="shared" si="3"/>
        <v>2169469.7344000009</v>
      </c>
      <c r="N35" s="44"/>
    </row>
    <row r="36" spans="1:17">
      <c r="A36" s="26">
        <v>32</v>
      </c>
      <c r="B36" s="27"/>
      <c r="C36" s="17"/>
      <c r="D36" s="17"/>
      <c r="E36" s="40"/>
      <c r="F36" s="40"/>
      <c r="G36" s="40">
        <f t="shared" si="0"/>
        <v>0</v>
      </c>
      <c r="H36" s="40"/>
      <c r="I36" s="40"/>
      <c r="J36" s="40">
        <f t="shared" si="1"/>
        <v>0</v>
      </c>
      <c r="K36" s="40">
        <f t="shared" si="2"/>
        <v>0</v>
      </c>
      <c r="L36" s="40"/>
      <c r="M36" s="135">
        <f t="shared" si="3"/>
        <v>2169469.7344000009</v>
      </c>
      <c r="N36" s="44"/>
    </row>
    <row r="37" spans="1:17">
      <c r="A37" s="26">
        <v>33</v>
      </c>
      <c r="B37" s="27"/>
      <c r="C37" s="17"/>
      <c r="D37" s="17"/>
      <c r="E37" s="40"/>
      <c r="F37" s="40"/>
      <c r="G37" s="40">
        <f t="shared" ref="G5:G55" si="4">E37*F37</f>
        <v>0</v>
      </c>
      <c r="H37" s="40"/>
      <c r="I37" s="40"/>
      <c r="J37" s="40">
        <f t="shared" ref="J5:J55" si="5">H37*I37</f>
        <v>0</v>
      </c>
      <c r="K37" s="40">
        <f>G37+J37</f>
        <v>0</v>
      </c>
      <c r="L37" s="40"/>
      <c r="M37" s="135">
        <f t="shared" si="3"/>
        <v>2169469.7344000009</v>
      </c>
      <c r="N37" s="44"/>
    </row>
    <row r="38" spans="1:17">
      <c r="A38" s="26">
        <v>34</v>
      </c>
      <c r="B38" s="27"/>
      <c r="C38" s="17"/>
      <c r="D38" s="17"/>
      <c r="E38" s="40"/>
      <c r="F38" s="40"/>
      <c r="G38" s="40">
        <f t="shared" si="4"/>
        <v>0</v>
      </c>
      <c r="H38" s="40"/>
      <c r="I38" s="40"/>
      <c r="J38" s="40">
        <f t="shared" si="5"/>
        <v>0</v>
      </c>
      <c r="K38" s="40">
        <f>G38+J38</f>
        <v>0</v>
      </c>
      <c r="L38" s="40"/>
      <c r="M38" s="135">
        <f t="shared" si="3"/>
        <v>2169469.7344000009</v>
      </c>
      <c r="N38" s="44"/>
    </row>
    <row r="39" spans="1:17">
      <c r="A39" s="26">
        <v>35</v>
      </c>
      <c r="B39" s="27"/>
      <c r="C39" s="17"/>
      <c r="D39" s="17"/>
      <c r="E39" s="40"/>
      <c r="F39" s="40"/>
      <c r="G39" s="40">
        <f t="shared" si="4"/>
        <v>0</v>
      </c>
      <c r="H39" s="40"/>
      <c r="I39" s="40"/>
      <c r="J39" s="40">
        <f t="shared" si="5"/>
        <v>0</v>
      </c>
      <c r="K39" s="40">
        <f>G39+J39</f>
        <v>0</v>
      </c>
      <c r="L39" s="40"/>
      <c r="M39" s="135">
        <f t="shared" si="3"/>
        <v>2169469.7344000009</v>
      </c>
      <c r="N39" s="44"/>
      <c r="P39">
        <v>41</v>
      </c>
    </row>
    <row r="40" spans="1:17">
      <c r="A40" s="26">
        <v>36</v>
      </c>
      <c r="B40" s="27"/>
      <c r="C40" s="17"/>
      <c r="D40" s="17"/>
      <c r="E40" s="40"/>
      <c r="F40" s="40"/>
      <c r="G40" s="40">
        <f t="shared" si="4"/>
        <v>0</v>
      </c>
      <c r="H40" s="40"/>
      <c r="I40" s="40"/>
      <c r="J40" s="40">
        <f t="shared" si="5"/>
        <v>0</v>
      </c>
      <c r="K40" s="40">
        <f>G40+J40</f>
        <v>0</v>
      </c>
      <c r="L40" s="40"/>
      <c r="M40" s="135">
        <f t="shared" si="3"/>
        <v>2169469.7344000009</v>
      </c>
      <c r="N40" s="44"/>
      <c r="P40">
        <v>40</v>
      </c>
      <c r="Q40">
        <v>5</v>
      </c>
    </row>
    <row r="41" spans="1:17">
      <c r="A41" s="26">
        <v>37</v>
      </c>
      <c r="B41" s="27"/>
      <c r="C41" s="17"/>
      <c r="D41" s="17"/>
      <c r="E41" s="40"/>
      <c r="F41" s="40"/>
      <c r="G41" s="40">
        <f t="shared" si="4"/>
        <v>0</v>
      </c>
      <c r="H41" s="40"/>
      <c r="I41" s="40"/>
      <c r="J41" s="40">
        <f t="shared" si="5"/>
        <v>0</v>
      </c>
      <c r="K41" s="40">
        <f>G41+J41</f>
        <v>0</v>
      </c>
      <c r="L41" s="40"/>
      <c r="M41" s="135">
        <f t="shared" si="3"/>
        <v>2169469.7344000009</v>
      </c>
      <c r="N41" s="44"/>
    </row>
    <row r="42" spans="1:17">
      <c r="A42" s="26">
        <v>38</v>
      </c>
      <c r="B42" s="27"/>
      <c r="C42" s="17"/>
      <c r="D42" s="17"/>
      <c r="E42" s="40"/>
      <c r="F42" s="40"/>
      <c r="G42" s="40">
        <f t="shared" si="4"/>
        <v>0</v>
      </c>
      <c r="H42" s="40"/>
      <c r="I42" s="40"/>
      <c r="J42" s="40">
        <f t="shared" si="5"/>
        <v>0</v>
      </c>
      <c r="K42" s="40">
        <f>G42+J42</f>
        <v>0</v>
      </c>
      <c r="L42" s="40"/>
      <c r="M42" s="135">
        <f t="shared" si="3"/>
        <v>2169469.7344000009</v>
      </c>
      <c r="N42" s="44"/>
    </row>
    <row r="43" spans="1:17">
      <c r="A43" s="26">
        <v>39</v>
      </c>
      <c r="B43" s="27"/>
      <c r="C43" s="17"/>
      <c r="D43" s="17"/>
      <c r="E43" s="40"/>
      <c r="F43" s="40"/>
      <c r="G43" s="40">
        <f t="shared" si="4"/>
        <v>0</v>
      </c>
      <c r="H43" s="40"/>
      <c r="I43" s="40"/>
      <c r="J43" s="40">
        <f t="shared" si="5"/>
        <v>0</v>
      </c>
      <c r="K43" s="40">
        <f>G43+J43</f>
        <v>0</v>
      </c>
      <c r="L43" s="40"/>
      <c r="M43" s="135">
        <f t="shared" si="3"/>
        <v>2169469.7344000009</v>
      </c>
      <c r="N43" s="44"/>
    </row>
    <row r="44" spans="1:17">
      <c r="A44" s="26">
        <v>40</v>
      </c>
      <c r="B44" s="27"/>
      <c r="C44" s="17"/>
      <c r="D44" s="17"/>
      <c r="E44" s="40"/>
      <c r="F44" s="40"/>
      <c r="G44" s="40">
        <f t="shared" si="4"/>
        <v>0</v>
      </c>
      <c r="H44" s="40"/>
      <c r="I44" s="40"/>
      <c r="J44" s="40">
        <f t="shared" si="5"/>
        <v>0</v>
      </c>
      <c r="K44" s="40">
        <f>G44+J44</f>
        <v>0</v>
      </c>
      <c r="L44" s="40"/>
      <c r="M44" s="135">
        <f t="shared" si="3"/>
        <v>2169469.7344000009</v>
      </c>
      <c r="N44" s="44"/>
    </row>
    <row r="45" spans="1:17">
      <c r="A45" s="26">
        <v>41</v>
      </c>
      <c r="B45" s="27"/>
      <c r="C45" s="17"/>
      <c r="D45" s="17"/>
      <c r="E45" s="40"/>
      <c r="F45" s="40"/>
      <c r="G45" s="40">
        <f t="shared" si="4"/>
        <v>0</v>
      </c>
      <c r="H45" s="40"/>
      <c r="I45" s="40"/>
      <c r="J45" s="40">
        <f t="shared" si="5"/>
        <v>0</v>
      </c>
      <c r="K45" s="40">
        <f>G45+J45</f>
        <v>0</v>
      </c>
      <c r="L45" s="40"/>
      <c r="M45" s="135">
        <f t="shared" si="3"/>
        <v>2169469.7344000009</v>
      </c>
      <c r="N45" s="44"/>
    </row>
    <row r="46" spans="1:17">
      <c r="A46" s="26">
        <v>42</v>
      </c>
      <c r="B46" s="27"/>
      <c r="C46" s="17"/>
      <c r="D46" s="17"/>
      <c r="E46" s="40"/>
      <c r="F46" s="40"/>
      <c r="G46" s="40">
        <f t="shared" si="4"/>
        <v>0</v>
      </c>
      <c r="H46" s="40"/>
      <c r="I46" s="40"/>
      <c r="J46" s="40">
        <f t="shared" si="5"/>
        <v>0</v>
      </c>
      <c r="K46" s="40">
        <f>G46+J46</f>
        <v>0</v>
      </c>
      <c r="L46" s="40"/>
      <c r="M46" s="135">
        <f t="shared" si="3"/>
        <v>2169469.7344000009</v>
      </c>
      <c r="N46" s="44"/>
    </row>
    <row r="47" spans="1:17">
      <c r="A47" s="26">
        <v>43</v>
      </c>
      <c r="B47" s="27"/>
      <c r="C47" s="17"/>
      <c r="D47" s="17"/>
      <c r="E47" s="40"/>
      <c r="F47" s="40"/>
      <c r="G47" s="40">
        <f t="shared" si="4"/>
        <v>0</v>
      </c>
      <c r="H47" s="40"/>
      <c r="I47" s="40"/>
      <c r="J47" s="40">
        <f t="shared" si="5"/>
        <v>0</v>
      </c>
      <c r="K47" s="40">
        <f>G47+J47</f>
        <v>0</v>
      </c>
      <c r="L47" s="40"/>
      <c r="M47" s="135">
        <f t="shared" si="3"/>
        <v>2169469.7344000009</v>
      </c>
      <c r="N47" s="44"/>
    </row>
    <row r="48" spans="1:17">
      <c r="A48" s="26">
        <v>44</v>
      </c>
      <c r="B48" s="27"/>
      <c r="C48" s="17"/>
      <c r="D48" s="17"/>
      <c r="E48" s="40"/>
      <c r="F48" s="40"/>
      <c r="G48" s="40">
        <f t="shared" si="4"/>
        <v>0</v>
      </c>
      <c r="H48" s="40"/>
      <c r="I48" s="40"/>
      <c r="J48" s="40">
        <f t="shared" si="5"/>
        <v>0</v>
      </c>
      <c r="K48" s="40">
        <f>G48+J48</f>
        <v>0</v>
      </c>
      <c r="L48" s="40"/>
      <c r="M48" s="135">
        <f t="shared" si="3"/>
        <v>2169469.7344000009</v>
      </c>
      <c r="N48" s="44"/>
    </row>
    <row r="49" spans="1:16">
      <c r="A49" s="26">
        <v>45</v>
      </c>
      <c r="B49" s="27"/>
      <c r="C49" s="17"/>
      <c r="D49" s="17"/>
      <c r="E49" s="40"/>
      <c r="F49" s="40"/>
      <c r="G49" s="40">
        <f t="shared" si="4"/>
        <v>0</v>
      </c>
      <c r="H49" s="40"/>
      <c r="I49" s="40"/>
      <c r="J49" s="40">
        <f t="shared" si="5"/>
        <v>0</v>
      </c>
      <c r="K49" s="40">
        <f>G49+J49</f>
        <v>0</v>
      </c>
      <c r="L49" s="40"/>
      <c r="M49" s="135">
        <f t="shared" si="3"/>
        <v>2169469.7344000009</v>
      </c>
      <c r="N49" s="44"/>
    </row>
    <row r="50" spans="1:16">
      <c r="A50" s="26">
        <v>46</v>
      </c>
      <c r="B50" s="27"/>
      <c r="C50" s="17"/>
      <c r="D50" s="17"/>
      <c r="E50" s="40"/>
      <c r="F50" s="40"/>
      <c r="G50" s="40">
        <f t="shared" si="4"/>
        <v>0</v>
      </c>
      <c r="H50" s="40"/>
      <c r="I50" s="40"/>
      <c r="J50" s="40">
        <f t="shared" si="5"/>
        <v>0</v>
      </c>
      <c r="K50" s="40">
        <f>G50+J50</f>
        <v>0</v>
      </c>
      <c r="L50" s="40"/>
      <c r="M50" s="135">
        <f t="shared" si="3"/>
        <v>2169469.7344000009</v>
      </c>
      <c r="N50" s="44"/>
    </row>
    <row r="51" spans="1:16">
      <c r="A51" s="26">
        <v>47</v>
      </c>
      <c r="B51" s="27"/>
      <c r="C51" s="17"/>
      <c r="D51" s="17"/>
      <c r="E51" s="40"/>
      <c r="F51" s="40"/>
      <c r="G51" s="40">
        <f t="shared" si="4"/>
        <v>0</v>
      </c>
      <c r="H51" s="40"/>
      <c r="I51" s="40"/>
      <c r="J51" s="40">
        <f t="shared" si="5"/>
        <v>0</v>
      </c>
      <c r="K51" s="40">
        <f>G51+J51</f>
        <v>0</v>
      </c>
      <c r="L51" s="40"/>
      <c r="M51" s="135">
        <f t="shared" si="3"/>
        <v>2169469.7344000009</v>
      </c>
      <c r="N51" s="44"/>
    </row>
    <row r="52" spans="1:16">
      <c r="A52" s="26">
        <v>48</v>
      </c>
      <c r="B52" s="27"/>
      <c r="C52" s="17"/>
      <c r="D52" s="17"/>
      <c r="E52" s="40"/>
      <c r="F52" s="40"/>
      <c r="G52" s="40">
        <f t="shared" si="4"/>
        <v>0</v>
      </c>
      <c r="H52" s="40"/>
      <c r="I52" s="40"/>
      <c r="J52" s="40">
        <f t="shared" si="5"/>
        <v>0</v>
      </c>
      <c r="K52" s="40">
        <f>G52+J52</f>
        <v>0</v>
      </c>
      <c r="L52" s="40">
        <v>0</v>
      </c>
      <c r="M52" s="135">
        <f t="shared" si="3"/>
        <v>2169469.7344000009</v>
      </c>
      <c r="N52" s="44"/>
    </row>
    <row r="53" spans="1:16">
      <c r="A53" s="26">
        <v>49</v>
      </c>
      <c r="B53" s="27"/>
      <c r="C53" s="94"/>
      <c r="D53" s="94"/>
      <c r="E53" s="40"/>
      <c r="F53" s="40"/>
      <c r="G53" s="40">
        <f t="shared" si="4"/>
        <v>0</v>
      </c>
      <c r="H53" s="40"/>
      <c r="I53" s="40"/>
      <c r="J53" s="40">
        <f t="shared" si="5"/>
        <v>0</v>
      </c>
      <c r="K53" s="40">
        <f>G53+J53</f>
        <v>0</v>
      </c>
      <c r="L53" s="40">
        <v>0</v>
      </c>
      <c r="M53" s="135">
        <f t="shared" si="3"/>
        <v>2169469.7344000009</v>
      </c>
      <c r="N53" s="222"/>
    </row>
    <row r="54" spans="1:16">
      <c r="A54" s="26">
        <v>50</v>
      </c>
      <c r="B54" s="27"/>
      <c r="C54" s="17"/>
      <c r="D54" s="17"/>
      <c r="E54" s="40"/>
      <c r="F54" s="40"/>
      <c r="G54" s="40">
        <f t="shared" si="4"/>
        <v>0</v>
      </c>
      <c r="H54" s="40"/>
      <c r="I54" s="40"/>
      <c r="J54" s="40">
        <f t="shared" si="5"/>
        <v>0</v>
      </c>
      <c r="K54" s="40">
        <f>G54+J54</f>
        <v>0</v>
      </c>
      <c r="L54" s="40">
        <v>0</v>
      </c>
      <c r="M54" s="135">
        <f t="shared" si="3"/>
        <v>2169469.7344000009</v>
      </c>
      <c r="N54" s="44"/>
    </row>
    <row r="55" spans="1:16">
      <c r="A55" s="26">
        <v>51</v>
      </c>
      <c r="B55" s="27"/>
      <c r="C55" s="17"/>
      <c r="D55" s="17"/>
      <c r="E55" s="40"/>
      <c r="F55" s="40"/>
      <c r="G55" s="40">
        <f t="shared" si="4"/>
        <v>0</v>
      </c>
      <c r="H55" s="40"/>
      <c r="I55" s="40"/>
      <c r="J55" s="40">
        <f t="shared" si="5"/>
        <v>0</v>
      </c>
      <c r="K55" s="40">
        <f>G55+J55</f>
        <v>0</v>
      </c>
      <c r="L55" s="40">
        <v>0</v>
      </c>
      <c r="M55" s="135">
        <f t="shared" si="3"/>
        <v>2169469.7344000009</v>
      </c>
      <c r="N55" s="44"/>
      <c r="O55">
        <v>1109792.2825999993</v>
      </c>
      <c r="P55" s="173">
        <f>M55-O55</f>
        <v>1059677.4518000016</v>
      </c>
    </row>
    <row r="56" spans="1:16">
      <c r="A56" s="180"/>
      <c r="B56" s="180"/>
      <c r="C56" s="180"/>
      <c r="D56" s="180"/>
      <c r="E56" s="180">
        <f>SUM(E4:E55)</f>
        <v>21903.53</v>
      </c>
      <c r="F56" s="180"/>
      <c r="G56" s="180">
        <f>SUM(G4:G55)</f>
        <v>2088960.9529000001</v>
      </c>
      <c r="H56" s="180">
        <f>SUM(H4:H55)</f>
        <v>415</v>
      </c>
      <c r="I56" s="180"/>
      <c r="J56" s="180">
        <f>SUM(J4:J55)</f>
        <v>46926.100000000006</v>
      </c>
      <c r="K56" s="180">
        <f>SUM(K4:K55)</f>
        <v>2135887.0528999995</v>
      </c>
      <c r="L56" s="180">
        <f>SUM(L4:L55)</f>
        <v>2631873.2747</v>
      </c>
      <c r="M56" s="180"/>
      <c r="N56" s="180"/>
    </row>
  </sheetData>
  <mergeCells count="2">
    <mergeCell ref="A1:N1"/>
    <mergeCell ref="A3:J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2B1B-B468-4D91-95DB-7A2ADAD7FA93}">
  <dimension ref="A1:P19"/>
  <sheetViews>
    <sheetView workbookViewId="0">
      <selection activeCell="M16" sqref="M16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3.5703125" bestFit="1" customWidth="1"/>
    <col min="6" max="6" width="6.140625" bestFit="1" customWidth="1"/>
    <col min="7" max="7" width="11.42578125" bestFit="1" customWidth="1"/>
    <col min="9" max="9" width="5.42578125" bestFit="1" customWidth="1"/>
    <col min="10" max="10" width="8.7109375" bestFit="1" customWidth="1"/>
    <col min="11" max="12" width="13.5703125" bestFit="1" customWidth="1"/>
    <col min="13" max="13" width="12.7109375" bestFit="1" customWidth="1"/>
    <col min="14" max="14" width="19.28515625" bestFit="1" customWidth="1"/>
    <col min="15" max="15" width="35.42578125" bestFit="1" customWidth="1"/>
    <col min="16" max="16" width="14.140625" bestFit="1" customWidth="1"/>
  </cols>
  <sheetData>
    <row r="1" spans="1:16" ht="15.75">
      <c r="A1" s="575" t="s">
        <v>300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5"/>
      <c r="N1" s="575"/>
      <c r="O1" s="17"/>
    </row>
    <row r="2" spans="1:16" ht="30.75">
      <c r="A2" s="406" t="s">
        <v>0</v>
      </c>
      <c r="B2" s="407" t="s">
        <v>166</v>
      </c>
      <c r="C2" s="407" t="s">
        <v>167</v>
      </c>
      <c r="D2" s="408" t="s">
        <v>168</v>
      </c>
      <c r="E2" s="409" t="s">
        <v>169</v>
      </c>
      <c r="F2" s="409" t="s">
        <v>170</v>
      </c>
      <c r="G2" s="409" t="s">
        <v>171</v>
      </c>
      <c r="H2" s="409" t="s">
        <v>172</v>
      </c>
      <c r="I2" s="409" t="s">
        <v>170</v>
      </c>
      <c r="J2" s="409" t="s">
        <v>171</v>
      </c>
      <c r="K2" s="410" t="s">
        <v>173</v>
      </c>
      <c r="L2" s="411" t="s">
        <v>174</v>
      </c>
      <c r="M2" s="411" t="s">
        <v>199</v>
      </c>
      <c r="N2" s="407" t="s">
        <v>176</v>
      </c>
      <c r="O2" s="407" t="s">
        <v>301</v>
      </c>
    </row>
    <row r="3" spans="1:16">
      <c r="A3" s="576" t="s">
        <v>177</v>
      </c>
      <c r="B3" s="576"/>
      <c r="C3" s="576"/>
      <c r="D3" s="576"/>
      <c r="E3" s="576"/>
      <c r="F3" s="576"/>
      <c r="G3" s="576"/>
      <c r="H3" s="576"/>
      <c r="I3" s="576"/>
      <c r="J3" s="576"/>
      <c r="K3" s="17"/>
      <c r="L3" s="17"/>
      <c r="M3" s="412">
        <v>0</v>
      </c>
      <c r="N3" s="193"/>
      <c r="O3" s="17"/>
    </row>
    <row r="4" spans="1:16">
      <c r="A4" s="17">
        <v>1</v>
      </c>
      <c r="B4" s="413">
        <v>46143</v>
      </c>
      <c r="C4" s="86"/>
      <c r="D4" s="86"/>
      <c r="E4" s="414">
        <v>1000</v>
      </c>
      <c r="F4" s="429">
        <v>91.67</v>
      </c>
      <c r="G4" s="211">
        <f t="shared" ref="G4:G17" si="0">E4*F4</f>
        <v>91670</v>
      </c>
      <c r="H4" s="40">
        <v>0</v>
      </c>
      <c r="I4" s="40">
        <v>0</v>
      </c>
      <c r="J4" s="211">
        <f t="shared" ref="J4:J17" si="1">H4*I4</f>
        <v>0</v>
      </c>
      <c r="K4" s="211">
        <f t="shared" ref="K4:K17" si="2">G4+J4</f>
        <v>91670</v>
      </c>
      <c r="L4" s="40">
        <v>91670</v>
      </c>
      <c r="M4" s="135">
        <f t="shared" ref="M4:M16" si="3">M3+K4-L4</f>
        <v>0</v>
      </c>
      <c r="N4" s="404"/>
      <c r="O4" s="381" t="s">
        <v>302</v>
      </c>
      <c r="P4" s="415" t="s">
        <v>303</v>
      </c>
    </row>
    <row r="5" spans="1:16">
      <c r="A5" s="17">
        <v>2</v>
      </c>
      <c r="B5" s="413">
        <v>46145</v>
      </c>
      <c r="C5" s="86"/>
      <c r="D5" s="86"/>
      <c r="E5" s="86">
        <v>500</v>
      </c>
      <c r="F5" s="429">
        <v>91.67</v>
      </c>
      <c r="G5" s="211">
        <f t="shared" si="0"/>
        <v>45835</v>
      </c>
      <c r="H5" s="40">
        <v>0</v>
      </c>
      <c r="I5" s="40">
        <v>0</v>
      </c>
      <c r="J5" s="211">
        <f t="shared" si="1"/>
        <v>0</v>
      </c>
      <c r="K5" s="211">
        <f t="shared" si="2"/>
        <v>45835</v>
      </c>
      <c r="L5" s="40">
        <v>45835</v>
      </c>
      <c r="M5" s="135">
        <f t="shared" si="3"/>
        <v>0</v>
      </c>
      <c r="N5" s="404"/>
      <c r="O5" s="381" t="s">
        <v>302</v>
      </c>
      <c r="P5" s="415" t="s">
        <v>303</v>
      </c>
    </row>
    <row r="6" spans="1:16">
      <c r="A6" s="17">
        <v>3</v>
      </c>
      <c r="B6" s="413">
        <v>46145</v>
      </c>
      <c r="C6" s="86"/>
      <c r="D6" s="86"/>
      <c r="E6" s="86">
        <v>1259.68</v>
      </c>
      <c r="F6" s="429">
        <v>91.67</v>
      </c>
      <c r="G6" s="211">
        <f t="shared" si="0"/>
        <v>115474.8656</v>
      </c>
      <c r="H6" s="40">
        <v>0</v>
      </c>
      <c r="I6" s="40">
        <v>0</v>
      </c>
      <c r="J6" s="211">
        <f t="shared" si="1"/>
        <v>0</v>
      </c>
      <c r="K6" s="211">
        <f t="shared" si="2"/>
        <v>115474.8656</v>
      </c>
      <c r="L6" s="40">
        <v>115474.87</v>
      </c>
      <c r="M6" s="135">
        <f t="shared" si="3"/>
        <v>-4.3999999907100573E-3</v>
      </c>
      <c r="N6" s="404"/>
      <c r="O6" s="381" t="s">
        <v>304</v>
      </c>
      <c r="P6" s="415"/>
    </row>
    <row r="7" spans="1:16">
      <c r="A7" s="17">
        <v>4</v>
      </c>
      <c r="B7" s="413">
        <v>46148</v>
      </c>
      <c r="C7" s="86"/>
      <c r="D7" s="86"/>
      <c r="E7" s="86">
        <v>900</v>
      </c>
      <c r="F7" s="429">
        <v>91.67</v>
      </c>
      <c r="G7" s="211">
        <f t="shared" si="0"/>
        <v>82503</v>
      </c>
      <c r="H7" s="40">
        <v>0</v>
      </c>
      <c r="I7" s="40">
        <v>0</v>
      </c>
      <c r="J7" s="211">
        <f t="shared" si="1"/>
        <v>0</v>
      </c>
      <c r="K7" s="211">
        <f t="shared" si="2"/>
        <v>82503</v>
      </c>
      <c r="L7" s="40">
        <v>228258</v>
      </c>
      <c r="M7" s="135">
        <f t="shared" si="3"/>
        <v>-145755.00439999998</v>
      </c>
      <c r="N7" s="404" t="s">
        <v>202</v>
      </c>
      <c r="O7" s="381" t="s">
        <v>305</v>
      </c>
      <c r="P7" s="415" t="s">
        <v>306</v>
      </c>
    </row>
    <row r="8" spans="1:16">
      <c r="A8" s="94">
        <v>5</v>
      </c>
      <c r="B8" s="419">
        <v>46151</v>
      </c>
      <c r="C8" s="430"/>
      <c r="D8" s="431"/>
      <c r="E8" s="430">
        <v>2500</v>
      </c>
      <c r="F8" s="430">
        <v>91.67</v>
      </c>
      <c r="G8" s="423">
        <f t="shared" si="0"/>
        <v>229175</v>
      </c>
      <c r="H8" s="423">
        <v>0</v>
      </c>
      <c r="I8" s="423">
        <v>0</v>
      </c>
      <c r="J8" s="423">
        <f t="shared" si="1"/>
        <v>0</v>
      </c>
      <c r="K8" s="423">
        <f t="shared" si="2"/>
        <v>229175</v>
      </c>
      <c r="L8" s="423">
        <v>0</v>
      </c>
      <c r="M8" s="432">
        <f t="shared" si="3"/>
        <v>83419.995600000024</v>
      </c>
      <c r="N8" s="430"/>
      <c r="O8" s="94"/>
      <c r="P8" t="s">
        <v>306</v>
      </c>
    </row>
    <row r="9" spans="1:16">
      <c r="A9" s="17">
        <v>6</v>
      </c>
      <c r="B9" s="419">
        <v>46153</v>
      </c>
      <c r="C9" s="398"/>
      <c r="D9" s="420"/>
      <c r="E9" s="398">
        <v>2500</v>
      </c>
      <c r="F9" s="398">
        <v>91.67</v>
      </c>
      <c r="G9" s="422">
        <f t="shared" si="0"/>
        <v>229175</v>
      </c>
      <c r="H9" s="422">
        <v>91.67</v>
      </c>
      <c r="I9" s="422">
        <v>0</v>
      </c>
      <c r="J9" s="422">
        <f t="shared" si="1"/>
        <v>0</v>
      </c>
      <c r="K9" s="422">
        <f t="shared" si="2"/>
        <v>229175</v>
      </c>
      <c r="L9" s="422">
        <v>0</v>
      </c>
      <c r="M9" s="424">
        <f t="shared" si="3"/>
        <v>312594.99560000002</v>
      </c>
      <c r="N9" s="398"/>
      <c r="O9" s="17"/>
    </row>
    <row r="10" spans="1:16">
      <c r="A10" s="17">
        <v>7</v>
      </c>
      <c r="B10" s="419">
        <v>46153</v>
      </c>
      <c r="C10" s="398"/>
      <c r="D10" s="420"/>
      <c r="E10" s="398"/>
      <c r="F10" s="398"/>
      <c r="G10" s="422">
        <f t="shared" si="0"/>
        <v>0</v>
      </c>
      <c r="H10" s="422">
        <v>0</v>
      </c>
      <c r="I10" s="422">
        <v>0</v>
      </c>
      <c r="J10" s="422">
        <f t="shared" si="1"/>
        <v>0</v>
      </c>
      <c r="K10" s="422">
        <f t="shared" si="2"/>
        <v>0</v>
      </c>
      <c r="L10" s="422">
        <v>283420</v>
      </c>
      <c r="M10" s="424">
        <f t="shared" si="3"/>
        <v>29174.995600000024</v>
      </c>
      <c r="N10" s="404" t="s">
        <v>202</v>
      </c>
      <c r="O10" s="17"/>
    </row>
    <row r="11" spans="1:16">
      <c r="A11" s="17"/>
      <c r="B11" s="419">
        <v>46155</v>
      </c>
      <c r="C11" s="398"/>
      <c r="D11" s="398"/>
      <c r="E11" s="398">
        <v>2500</v>
      </c>
      <c r="F11" s="398">
        <v>91.67</v>
      </c>
      <c r="G11" s="422">
        <f t="shared" si="0"/>
        <v>229175</v>
      </c>
      <c r="H11" s="422">
        <v>0</v>
      </c>
      <c r="I11" s="422">
        <v>0</v>
      </c>
      <c r="J11" s="422">
        <f t="shared" si="1"/>
        <v>0</v>
      </c>
      <c r="K11" s="422">
        <f t="shared" si="2"/>
        <v>229175</v>
      </c>
      <c r="L11" s="422">
        <v>29175</v>
      </c>
      <c r="M11" s="424">
        <f t="shared" si="3"/>
        <v>229174.99560000002</v>
      </c>
      <c r="N11" s="404" t="s">
        <v>202</v>
      </c>
      <c r="O11" s="17"/>
    </row>
    <row r="12" spans="1:16">
      <c r="A12" s="17"/>
      <c r="B12" s="446">
        <v>46157</v>
      </c>
      <c r="C12" s="398"/>
      <c r="D12" s="398"/>
      <c r="E12" s="398">
        <v>2500</v>
      </c>
      <c r="F12" s="398">
        <v>94.77</v>
      </c>
      <c r="G12" s="422">
        <f t="shared" si="0"/>
        <v>236925</v>
      </c>
      <c r="H12" s="422">
        <v>0</v>
      </c>
      <c r="I12" s="422">
        <v>0</v>
      </c>
      <c r="J12" s="422">
        <f t="shared" si="1"/>
        <v>0</v>
      </c>
      <c r="K12" s="422">
        <f t="shared" si="2"/>
        <v>236925</v>
      </c>
      <c r="L12" s="422">
        <v>229174</v>
      </c>
      <c r="M12" s="424">
        <f t="shared" si="3"/>
        <v>236925.99560000002</v>
      </c>
      <c r="N12" s="404" t="s">
        <v>202</v>
      </c>
      <c r="O12" s="17"/>
    </row>
    <row r="13" spans="1:16">
      <c r="A13" s="17"/>
      <c r="B13" s="446">
        <v>46158</v>
      </c>
      <c r="C13" s="17"/>
      <c r="D13" s="17"/>
      <c r="E13" s="17">
        <v>1500</v>
      </c>
      <c r="F13" s="17">
        <v>94.77</v>
      </c>
      <c r="G13" s="40">
        <f t="shared" si="0"/>
        <v>142155</v>
      </c>
      <c r="H13" s="40">
        <v>0</v>
      </c>
      <c r="I13" s="40">
        <v>0</v>
      </c>
      <c r="J13" s="40">
        <f t="shared" si="1"/>
        <v>0</v>
      </c>
      <c r="K13" s="40">
        <f t="shared" si="2"/>
        <v>142155</v>
      </c>
      <c r="L13" s="40">
        <v>236925</v>
      </c>
      <c r="M13" s="135">
        <f t="shared" si="3"/>
        <v>142155.99560000002</v>
      </c>
      <c r="N13" s="404" t="s">
        <v>202</v>
      </c>
      <c r="O13" s="17"/>
    </row>
    <row r="14" spans="1:16">
      <c r="A14" s="17"/>
      <c r="B14" s="446">
        <v>46159</v>
      </c>
      <c r="C14" s="17"/>
      <c r="D14" s="17"/>
      <c r="E14" s="17"/>
      <c r="F14" s="17"/>
      <c r="G14" s="40">
        <f t="shared" si="0"/>
        <v>0</v>
      </c>
      <c r="H14" s="40">
        <v>0</v>
      </c>
      <c r="I14" s="40">
        <v>0</v>
      </c>
      <c r="J14" s="40">
        <f t="shared" si="1"/>
        <v>0</v>
      </c>
      <c r="K14" s="40">
        <f t="shared" si="2"/>
        <v>0</v>
      </c>
      <c r="L14" s="40">
        <v>142155.99560000002</v>
      </c>
      <c r="M14" s="135">
        <f t="shared" si="3"/>
        <v>0</v>
      </c>
      <c r="N14" s="404" t="s">
        <v>202</v>
      </c>
      <c r="O14" s="17"/>
    </row>
    <row r="15" spans="1:16">
      <c r="A15" s="17"/>
      <c r="B15" s="446">
        <v>46169</v>
      </c>
      <c r="C15" s="17"/>
      <c r="D15" s="17"/>
      <c r="E15" s="17">
        <v>2173.4899999999998</v>
      </c>
      <c r="F15" s="17">
        <v>99.47</v>
      </c>
      <c r="G15" s="40">
        <f t="shared" si="0"/>
        <v>216197.05029999997</v>
      </c>
      <c r="H15" s="40">
        <v>0</v>
      </c>
      <c r="I15" s="40">
        <v>0</v>
      </c>
      <c r="J15" s="40">
        <f t="shared" si="1"/>
        <v>0</v>
      </c>
      <c r="K15" s="40">
        <f t="shared" si="2"/>
        <v>216197.05029999997</v>
      </c>
      <c r="L15" s="40">
        <v>0</v>
      </c>
      <c r="M15" s="135">
        <f t="shared" si="3"/>
        <v>216197.05029999997</v>
      </c>
      <c r="N15" s="17"/>
      <c r="O15" s="17"/>
    </row>
    <row r="16" spans="1:16">
      <c r="A16" s="17"/>
      <c r="B16" s="446">
        <v>46170</v>
      </c>
      <c r="C16" s="17"/>
      <c r="D16" s="17"/>
      <c r="E16" s="17">
        <v>2800</v>
      </c>
      <c r="F16" s="17">
        <v>99.47</v>
      </c>
      <c r="G16" s="40">
        <f t="shared" si="0"/>
        <v>278516</v>
      </c>
      <c r="H16" s="40">
        <v>0</v>
      </c>
      <c r="I16" s="40">
        <v>0</v>
      </c>
      <c r="J16" s="40">
        <f t="shared" si="1"/>
        <v>0</v>
      </c>
      <c r="K16" s="40">
        <f t="shared" si="2"/>
        <v>278516</v>
      </c>
      <c r="L16" s="40">
        <v>0</v>
      </c>
      <c r="M16" s="135">
        <f t="shared" si="3"/>
        <v>494713.0503</v>
      </c>
      <c r="N16" s="17"/>
      <c r="O16" s="17"/>
    </row>
    <row r="17" spans="1:15">
      <c r="A17" s="17"/>
      <c r="B17" s="17"/>
      <c r="C17" s="17"/>
      <c r="D17" s="17"/>
      <c r="E17" s="17"/>
      <c r="F17" s="17"/>
      <c r="G17" s="40">
        <f t="shared" si="0"/>
        <v>0</v>
      </c>
      <c r="H17" s="40">
        <v>0</v>
      </c>
      <c r="I17" s="40">
        <v>0</v>
      </c>
      <c r="J17" s="40">
        <f t="shared" si="1"/>
        <v>0</v>
      </c>
      <c r="K17" s="40">
        <f t="shared" si="2"/>
        <v>0</v>
      </c>
      <c r="L17" s="40">
        <v>0</v>
      </c>
      <c r="M17" s="135"/>
      <c r="N17" s="17"/>
      <c r="O17" s="17"/>
    </row>
    <row r="18" spans="1:1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>
      <c r="A19" s="17"/>
      <c r="B19" s="17"/>
      <c r="C19" s="17"/>
      <c r="D19" s="17"/>
      <c r="E19" s="40">
        <f>SUM(E4:E18)</f>
        <v>20133.169999999998</v>
      </c>
      <c r="F19" s="17"/>
      <c r="G19" s="40">
        <f>SUM(G4:G18)</f>
        <v>1896800.9159000001</v>
      </c>
      <c r="H19" s="17"/>
      <c r="I19" s="17"/>
      <c r="J19" s="17"/>
      <c r="K19" s="40">
        <f>SUM(K4:K18)</f>
        <v>1896800.9159000001</v>
      </c>
      <c r="L19" s="40">
        <f>SUM(L4:L18)</f>
        <v>1402087.8656000001</v>
      </c>
      <c r="M19" s="17"/>
      <c r="N19" s="17"/>
      <c r="O19" s="17"/>
    </row>
  </sheetData>
  <mergeCells count="2">
    <mergeCell ref="A1:N1"/>
    <mergeCell ref="A3:J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83CA-88CD-469C-B114-CE7FD970A598}">
  <dimension ref="A1:R21"/>
  <sheetViews>
    <sheetView workbookViewId="0">
      <selection activeCell="E19" sqref="E19"/>
    </sheetView>
  </sheetViews>
  <sheetFormatPr defaultRowHeight="15"/>
  <cols>
    <col min="2" max="2" width="10.5703125" bestFit="1" customWidth="1"/>
    <col min="4" max="4" width="13.5703125" bestFit="1" customWidth="1"/>
    <col min="7" max="8" width="10.42578125" bestFit="1" customWidth="1"/>
    <col min="11" max="12" width="13.5703125" bestFit="1" customWidth="1"/>
    <col min="13" max="13" width="11.85546875" bestFit="1" customWidth="1"/>
    <col min="14" max="14" width="20.28515625" bestFit="1" customWidth="1"/>
    <col min="15" max="15" width="39.7109375" customWidth="1"/>
  </cols>
  <sheetData>
    <row r="1" spans="1:18" ht="15.75">
      <c r="A1" s="575" t="s">
        <v>307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5"/>
      <c r="N1" s="575"/>
      <c r="O1" s="398"/>
      <c r="P1" s="345"/>
      <c r="Q1" s="345"/>
      <c r="R1" s="345"/>
    </row>
    <row r="2" spans="1:18" ht="30.75">
      <c r="A2" s="64" t="s">
        <v>0</v>
      </c>
      <c r="B2" s="83" t="s">
        <v>166</v>
      </c>
      <c r="C2" s="83" t="s">
        <v>167</v>
      </c>
      <c r="D2" s="83" t="s">
        <v>168</v>
      </c>
      <c r="E2" s="90" t="s">
        <v>169</v>
      </c>
      <c r="F2" s="90" t="s">
        <v>170</v>
      </c>
      <c r="G2" s="90" t="s">
        <v>171</v>
      </c>
      <c r="H2" s="90" t="s">
        <v>172</v>
      </c>
      <c r="I2" s="90" t="s">
        <v>170</v>
      </c>
      <c r="J2" s="90" t="s">
        <v>171</v>
      </c>
      <c r="K2" s="91" t="s">
        <v>173</v>
      </c>
      <c r="L2" s="85" t="s">
        <v>174</v>
      </c>
      <c r="M2" s="126" t="s">
        <v>199</v>
      </c>
      <c r="N2" s="124" t="s">
        <v>176</v>
      </c>
      <c r="O2" s="416" t="s">
        <v>301</v>
      </c>
      <c r="P2" s="345"/>
      <c r="Q2" s="345"/>
      <c r="R2" s="345"/>
    </row>
    <row r="3" spans="1:18">
      <c r="A3" s="577" t="s">
        <v>177</v>
      </c>
      <c r="B3" s="578"/>
      <c r="C3" s="578"/>
      <c r="D3" s="578"/>
      <c r="E3" s="578"/>
      <c r="F3" s="578"/>
      <c r="G3" s="578"/>
      <c r="H3" s="578"/>
      <c r="I3" s="578"/>
      <c r="J3" s="579"/>
      <c r="K3" s="398"/>
      <c r="L3" s="398"/>
      <c r="M3" s="417">
        <v>0</v>
      </c>
      <c r="N3" s="418"/>
      <c r="O3" s="398"/>
      <c r="P3" s="345"/>
      <c r="Q3" s="345"/>
      <c r="R3" s="345"/>
    </row>
    <row r="4" spans="1:18">
      <c r="A4" s="398">
        <v>1</v>
      </c>
      <c r="B4" s="419">
        <v>46143</v>
      </c>
      <c r="C4" s="420">
        <v>1477</v>
      </c>
      <c r="D4" s="420"/>
      <c r="E4" s="421">
        <v>1000</v>
      </c>
      <c r="F4" s="422">
        <v>91.67</v>
      </c>
      <c r="G4" s="423">
        <f t="shared" ref="G4:G18" si="0">E4*F4</f>
        <v>91670</v>
      </c>
      <c r="H4" s="422">
        <v>0</v>
      </c>
      <c r="I4" s="422">
        <v>0</v>
      </c>
      <c r="J4" s="423">
        <f t="shared" ref="J4:J18" si="1">H4*I4</f>
        <v>0</v>
      </c>
      <c r="K4" s="423">
        <f t="shared" ref="K4:L18" si="2">G4+J4</f>
        <v>91670</v>
      </c>
      <c r="L4" s="422">
        <v>91670</v>
      </c>
      <c r="M4" s="424">
        <f t="shared" ref="K4:M18" si="3">M3+K4-L4</f>
        <v>0</v>
      </c>
      <c r="N4" s="425" t="s">
        <v>308</v>
      </c>
      <c r="O4" s="426" t="s">
        <v>302</v>
      </c>
      <c r="P4" s="427" t="s">
        <v>303</v>
      </c>
      <c r="Q4" s="427"/>
      <c r="R4" s="345"/>
    </row>
    <row r="5" spans="1:18">
      <c r="A5" s="398">
        <v>2</v>
      </c>
      <c r="B5" s="419">
        <v>46145</v>
      </c>
      <c r="C5" s="420">
        <v>1489</v>
      </c>
      <c r="D5" s="420"/>
      <c r="E5" s="420">
        <v>500</v>
      </c>
      <c r="F5" s="422">
        <v>91.67</v>
      </c>
      <c r="G5" s="423">
        <f t="shared" si="0"/>
        <v>45835</v>
      </c>
      <c r="H5" s="422">
        <v>0</v>
      </c>
      <c r="I5" s="422">
        <v>0</v>
      </c>
      <c r="J5" s="423">
        <f t="shared" si="1"/>
        <v>0</v>
      </c>
      <c r="K5" s="423">
        <f t="shared" si="2"/>
        <v>45835</v>
      </c>
      <c r="L5" s="422">
        <v>45835</v>
      </c>
      <c r="M5" s="424">
        <f t="shared" si="3"/>
        <v>0</v>
      </c>
      <c r="N5" s="425" t="s">
        <v>308</v>
      </c>
      <c r="O5" s="426" t="s">
        <v>302</v>
      </c>
      <c r="P5" s="427" t="s">
        <v>303</v>
      </c>
      <c r="Q5" s="427"/>
      <c r="R5" s="345"/>
    </row>
    <row r="6" spans="1:18">
      <c r="A6" s="398">
        <v>3</v>
      </c>
      <c r="B6" s="419">
        <v>46148</v>
      </c>
      <c r="C6" s="420">
        <v>1501</v>
      </c>
      <c r="D6" s="420"/>
      <c r="E6" s="420">
        <v>2500</v>
      </c>
      <c r="F6" s="422">
        <v>91.67</v>
      </c>
      <c r="G6" s="423">
        <f t="shared" si="0"/>
        <v>229175</v>
      </c>
      <c r="H6" s="422">
        <v>0</v>
      </c>
      <c r="I6" s="422">
        <v>0</v>
      </c>
      <c r="J6" s="423">
        <f t="shared" si="1"/>
        <v>0</v>
      </c>
      <c r="K6" s="423">
        <f t="shared" si="2"/>
        <v>229175</v>
      </c>
      <c r="L6" s="422">
        <v>228258</v>
      </c>
      <c r="M6" s="424">
        <f t="shared" si="3"/>
        <v>917</v>
      </c>
      <c r="N6" s="425" t="s">
        <v>308</v>
      </c>
      <c r="O6" s="426" t="s">
        <v>309</v>
      </c>
      <c r="P6" s="427" t="s">
        <v>306</v>
      </c>
      <c r="Q6" s="427" t="s">
        <v>310</v>
      </c>
      <c r="R6" s="345"/>
    </row>
    <row r="7" spans="1:18">
      <c r="A7" s="398">
        <v>4</v>
      </c>
      <c r="B7" s="419">
        <v>46149</v>
      </c>
      <c r="C7" s="420">
        <v>1509</v>
      </c>
      <c r="D7" s="420"/>
      <c r="E7" s="420">
        <v>2500.0100000000002</v>
      </c>
      <c r="F7" s="398">
        <v>91.67</v>
      </c>
      <c r="G7" s="423">
        <f t="shared" si="0"/>
        <v>229175.91670000003</v>
      </c>
      <c r="H7" s="422">
        <v>0</v>
      </c>
      <c r="I7" s="422">
        <v>0</v>
      </c>
      <c r="J7" s="423">
        <f t="shared" si="1"/>
        <v>0</v>
      </c>
      <c r="K7" s="423">
        <f t="shared" si="2"/>
        <v>229175.91670000003</v>
      </c>
      <c r="L7" s="422">
        <v>0</v>
      </c>
      <c r="M7" s="424">
        <f t="shared" si="3"/>
        <v>230092.91670000003</v>
      </c>
      <c r="N7" s="425" t="s">
        <v>308</v>
      </c>
      <c r="O7" s="398"/>
      <c r="P7" s="427" t="s">
        <v>311</v>
      </c>
      <c r="Q7" s="345"/>
      <c r="R7" s="345"/>
    </row>
    <row r="8" spans="1:18">
      <c r="A8" s="398">
        <v>5</v>
      </c>
      <c r="B8" s="419">
        <v>46150</v>
      </c>
      <c r="C8" s="398"/>
      <c r="D8" s="420"/>
      <c r="E8" s="398">
        <v>0</v>
      </c>
      <c r="F8" s="398">
        <v>0</v>
      </c>
      <c r="G8" s="423">
        <f t="shared" si="0"/>
        <v>0</v>
      </c>
      <c r="H8" s="422">
        <v>0</v>
      </c>
      <c r="I8" s="422">
        <v>0</v>
      </c>
      <c r="J8" s="423">
        <f t="shared" si="1"/>
        <v>0</v>
      </c>
      <c r="K8" s="423">
        <f t="shared" si="2"/>
        <v>0</v>
      </c>
      <c r="L8" s="422">
        <v>230092.92</v>
      </c>
      <c r="M8" s="424">
        <f t="shared" si="3"/>
        <v>-3.2999999821186066E-3</v>
      </c>
      <c r="N8" s="425" t="s">
        <v>308</v>
      </c>
      <c r="O8" s="398" t="s">
        <v>312</v>
      </c>
      <c r="P8" s="345"/>
      <c r="Q8" s="345"/>
      <c r="R8" s="345"/>
    </row>
    <row r="9" spans="1:18">
      <c r="A9" s="398">
        <v>6</v>
      </c>
      <c r="B9" s="419">
        <v>46152</v>
      </c>
      <c r="C9" s="398">
        <v>1518</v>
      </c>
      <c r="D9" s="420"/>
      <c r="E9" s="398">
        <v>2447</v>
      </c>
      <c r="F9" s="398">
        <v>91.67</v>
      </c>
      <c r="G9" s="423">
        <f t="shared" si="0"/>
        <v>224316.49</v>
      </c>
      <c r="H9" s="422">
        <v>0</v>
      </c>
      <c r="I9" s="422">
        <v>0</v>
      </c>
      <c r="J9" s="423">
        <f t="shared" si="1"/>
        <v>0</v>
      </c>
      <c r="K9" s="423">
        <f t="shared" si="2"/>
        <v>224316.49</v>
      </c>
      <c r="L9" s="422">
        <v>0</v>
      </c>
      <c r="M9" s="424">
        <f t="shared" si="3"/>
        <v>224316.48670000001</v>
      </c>
      <c r="N9" s="398" t="s">
        <v>308</v>
      </c>
      <c r="O9" s="398" t="s">
        <v>313</v>
      </c>
      <c r="P9" s="345"/>
      <c r="Q9" s="345"/>
      <c r="R9" s="345"/>
    </row>
    <row r="10" spans="1:18">
      <c r="A10" s="398">
        <v>7</v>
      </c>
      <c r="B10" s="419">
        <v>46153</v>
      </c>
      <c r="C10" s="398"/>
      <c r="D10" s="420"/>
      <c r="E10" s="398"/>
      <c r="F10" s="398"/>
      <c r="G10" s="423">
        <f t="shared" si="0"/>
        <v>0</v>
      </c>
      <c r="H10" s="422">
        <v>0</v>
      </c>
      <c r="I10" s="422">
        <v>0</v>
      </c>
      <c r="J10" s="423">
        <f t="shared" si="1"/>
        <v>0</v>
      </c>
      <c r="K10" s="423">
        <f t="shared" si="2"/>
        <v>0</v>
      </c>
      <c r="L10" s="422">
        <v>224316.49</v>
      </c>
      <c r="M10" s="424">
        <f t="shared" si="3"/>
        <v>-3.2999999821186066E-3</v>
      </c>
      <c r="N10" s="398" t="s">
        <v>308</v>
      </c>
      <c r="O10" s="398"/>
      <c r="P10" s="345"/>
      <c r="Q10" s="345"/>
      <c r="R10" s="345"/>
    </row>
    <row r="11" spans="1:18">
      <c r="A11" s="398"/>
      <c r="B11" s="419">
        <v>46154</v>
      </c>
      <c r="C11" s="398"/>
      <c r="D11" s="420"/>
      <c r="E11" s="398">
        <v>2500</v>
      </c>
      <c r="F11" s="398">
        <v>91.67</v>
      </c>
      <c r="G11" s="423">
        <f t="shared" si="0"/>
        <v>229175</v>
      </c>
      <c r="H11" s="422">
        <v>0</v>
      </c>
      <c r="I11" s="422">
        <v>0</v>
      </c>
      <c r="J11" s="423">
        <f t="shared" si="1"/>
        <v>0</v>
      </c>
      <c r="K11" s="423">
        <f t="shared" si="2"/>
        <v>229175</v>
      </c>
      <c r="L11" s="422">
        <v>0</v>
      </c>
      <c r="M11" s="424">
        <f t="shared" si="3"/>
        <v>229174.99670000002</v>
      </c>
      <c r="N11" s="398"/>
      <c r="O11" s="398"/>
      <c r="P11" s="345"/>
      <c r="Q11" s="345"/>
      <c r="R11" s="345"/>
    </row>
    <row r="12" spans="1:18">
      <c r="A12" s="398"/>
      <c r="B12" s="419">
        <v>46155</v>
      </c>
      <c r="C12" s="398"/>
      <c r="D12" s="420"/>
      <c r="E12" s="398"/>
      <c r="F12" s="398"/>
      <c r="G12" s="423">
        <f t="shared" si="0"/>
        <v>0</v>
      </c>
      <c r="H12" s="422">
        <v>0</v>
      </c>
      <c r="I12" s="422">
        <v>0</v>
      </c>
      <c r="J12" s="423">
        <f t="shared" si="1"/>
        <v>0</v>
      </c>
      <c r="K12" s="423">
        <f t="shared" si="2"/>
        <v>0</v>
      </c>
      <c r="L12" s="422">
        <v>229174.99670000002</v>
      </c>
      <c r="M12" s="424">
        <f t="shared" si="3"/>
        <v>0</v>
      </c>
      <c r="N12" s="398"/>
      <c r="O12" s="398"/>
      <c r="P12" s="345"/>
      <c r="Q12" s="345"/>
      <c r="R12" s="345"/>
    </row>
    <row r="13" spans="1:18">
      <c r="A13" s="398"/>
      <c r="B13" s="419">
        <v>46167</v>
      </c>
      <c r="C13" s="398"/>
      <c r="D13" s="420"/>
      <c r="E13" s="398">
        <v>590.20000000000005</v>
      </c>
      <c r="F13" s="398">
        <v>99.47</v>
      </c>
      <c r="G13" s="423">
        <f t="shared" si="0"/>
        <v>58707.194000000003</v>
      </c>
      <c r="H13" s="422">
        <v>0</v>
      </c>
      <c r="I13" s="422">
        <v>0</v>
      </c>
      <c r="J13" s="423">
        <f t="shared" si="1"/>
        <v>0</v>
      </c>
      <c r="K13" s="423">
        <f t="shared" si="2"/>
        <v>58707.194000000003</v>
      </c>
      <c r="L13" s="423">
        <f t="shared" si="2"/>
        <v>58707.194000000003</v>
      </c>
      <c r="M13" s="424">
        <f t="shared" si="3"/>
        <v>0</v>
      </c>
      <c r="N13" s="398"/>
      <c r="O13" s="398"/>
      <c r="P13" s="345"/>
      <c r="Q13" s="345"/>
      <c r="R13" s="345"/>
    </row>
    <row r="14" spans="1:18">
      <c r="A14" s="398"/>
      <c r="B14" s="398"/>
      <c r="C14" s="398"/>
      <c r="D14" s="420"/>
      <c r="E14" s="398"/>
      <c r="F14" s="398"/>
      <c r="G14" s="423">
        <f t="shared" si="0"/>
        <v>0</v>
      </c>
      <c r="H14" s="422">
        <v>0</v>
      </c>
      <c r="I14" s="422">
        <v>0</v>
      </c>
      <c r="J14" s="423">
        <f t="shared" si="1"/>
        <v>0</v>
      </c>
      <c r="K14" s="423">
        <f t="shared" si="2"/>
        <v>0</v>
      </c>
      <c r="L14" s="422">
        <v>0</v>
      </c>
      <c r="M14" s="424">
        <f t="shared" si="3"/>
        <v>0</v>
      </c>
      <c r="N14" s="398"/>
      <c r="O14" s="398"/>
      <c r="P14" s="345"/>
      <c r="Q14" s="345"/>
      <c r="R14" s="345"/>
    </row>
    <row r="15" spans="1:18">
      <c r="A15" s="398"/>
      <c r="B15" s="398"/>
      <c r="C15" s="398"/>
      <c r="D15" s="420"/>
      <c r="E15" s="398"/>
      <c r="F15" s="398"/>
      <c r="G15" s="423">
        <f t="shared" si="0"/>
        <v>0</v>
      </c>
      <c r="H15" s="422">
        <v>0</v>
      </c>
      <c r="I15" s="422">
        <v>0</v>
      </c>
      <c r="J15" s="423">
        <f t="shared" si="1"/>
        <v>0</v>
      </c>
      <c r="K15" s="423">
        <f t="shared" si="2"/>
        <v>0</v>
      </c>
      <c r="L15" s="422">
        <v>0</v>
      </c>
      <c r="M15" s="424">
        <f t="shared" si="3"/>
        <v>0</v>
      </c>
      <c r="N15" s="398"/>
      <c r="O15" s="398"/>
      <c r="P15" s="345"/>
      <c r="Q15" s="345"/>
      <c r="R15" s="345"/>
    </row>
    <row r="16" spans="1:18">
      <c r="A16" s="398"/>
      <c r="B16" s="398"/>
      <c r="C16" s="398"/>
      <c r="D16" s="420"/>
      <c r="E16" s="398"/>
      <c r="F16" s="398"/>
      <c r="G16" s="423">
        <f t="shared" si="0"/>
        <v>0</v>
      </c>
      <c r="H16" s="422">
        <v>0</v>
      </c>
      <c r="I16" s="422">
        <v>0</v>
      </c>
      <c r="J16" s="423">
        <f t="shared" si="1"/>
        <v>0</v>
      </c>
      <c r="K16" s="423">
        <f t="shared" si="2"/>
        <v>0</v>
      </c>
      <c r="L16" s="422">
        <v>0</v>
      </c>
      <c r="M16" s="424">
        <f t="shared" si="3"/>
        <v>0</v>
      </c>
      <c r="N16" s="398"/>
      <c r="O16" s="398"/>
      <c r="P16" s="345"/>
      <c r="Q16" s="345"/>
      <c r="R16" s="345"/>
    </row>
    <row r="17" spans="1:18">
      <c r="A17" s="398"/>
      <c r="B17" s="398"/>
      <c r="C17" s="398"/>
      <c r="D17" s="420"/>
      <c r="E17" s="398"/>
      <c r="F17" s="398"/>
      <c r="G17" s="423">
        <f t="shared" si="0"/>
        <v>0</v>
      </c>
      <c r="H17" s="422">
        <v>0</v>
      </c>
      <c r="I17" s="422">
        <v>0</v>
      </c>
      <c r="J17" s="423">
        <f t="shared" si="1"/>
        <v>0</v>
      </c>
      <c r="K17" s="423">
        <f t="shared" si="2"/>
        <v>0</v>
      </c>
      <c r="L17" s="422">
        <v>0</v>
      </c>
      <c r="M17" s="424">
        <f t="shared" si="3"/>
        <v>0</v>
      </c>
      <c r="N17" s="398"/>
      <c r="O17" s="398"/>
      <c r="P17" s="345"/>
      <c r="Q17" s="345"/>
      <c r="R17" s="345"/>
    </row>
    <row r="18" spans="1:18">
      <c r="A18" s="398"/>
      <c r="B18" s="398"/>
      <c r="C18" s="398"/>
      <c r="D18" s="420"/>
      <c r="E18" s="398"/>
      <c r="F18" s="398"/>
      <c r="G18" s="423">
        <f t="shared" si="0"/>
        <v>0</v>
      </c>
      <c r="H18" s="422">
        <v>0</v>
      </c>
      <c r="I18" s="422">
        <v>0</v>
      </c>
      <c r="J18" s="423">
        <f t="shared" si="1"/>
        <v>0</v>
      </c>
      <c r="K18" s="423">
        <f t="shared" si="2"/>
        <v>0</v>
      </c>
      <c r="L18" s="422">
        <v>0</v>
      </c>
      <c r="M18" s="424">
        <f t="shared" si="3"/>
        <v>0</v>
      </c>
      <c r="N18" s="398"/>
      <c r="O18" s="398"/>
      <c r="P18" s="345"/>
      <c r="Q18" s="345"/>
      <c r="R18" s="345"/>
    </row>
    <row r="19" spans="1:18">
      <c r="A19" s="398"/>
      <c r="B19" s="398"/>
      <c r="C19" s="398"/>
      <c r="D19" s="420"/>
      <c r="E19" s="422">
        <f>SUM(E4:E18)</f>
        <v>12037.210000000001</v>
      </c>
      <c r="F19" s="398"/>
      <c r="G19" s="422">
        <f>SUM(G4:G18)</f>
        <v>1108054.6007000001</v>
      </c>
      <c r="H19" s="422">
        <f>SUM(H4:H18)</f>
        <v>0</v>
      </c>
      <c r="I19" s="398"/>
      <c r="J19" s="422">
        <f>SUM(J4:J18)</f>
        <v>0</v>
      </c>
      <c r="K19" s="422">
        <f>SUM(K4:K18)</f>
        <v>1108054.6007000001</v>
      </c>
      <c r="L19" s="422">
        <f>SUM(L4:L18)</f>
        <v>1108054.6007000001</v>
      </c>
      <c r="M19" s="398"/>
      <c r="N19" s="398"/>
      <c r="O19" s="398"/>
      <c r="P19" s="345"/>
      <c r="Q19" s="345"/>
      <c r="R19" s="345"/>
    </row>
    <row r="20" spans="1:18">
      <c r="A20" s="345"/>
      <c r="B20" s="345"/>
      <c r="C20" s="345"/>
      <c r="D20" s="427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</row>
    <row r="21" spans="1:18">
      <c r="A21" s="345"/>
      <c r="B21" s="345"/>
      <c r="C21" s="345"/>
      <c r="D21" s="428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</row>
  </sheetData>
  <mergeCells count="2">
    <mergeCell ref="A1:N1"/>
    <mergeCell ref="A3:J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3905-F01E-4B79-926C-1C75E94FE7A7}">
  <dimension ref="A1:W79"/>
  <sheetViews>
    <sheetView topLeftCell="A13" workbookViewId="0">
      <selection activeCell="D36" sqref="D36"/>
    </sheetView>
  </sheetViews>
  <sheetFormatPr defaultRowHeight="15"/>
  <cols>
    <col min="2" max="2" width="10.5703125" bestFit="1" customWidth="1"/>
    <col min="4" max="4" width="43.5703125" bestFit="1" customWidth="1"/>
    <col min="7" max="7" width="10.42578125" bestFit="1" customWidth="1"/>
    <col min="11" max="12" width="13.5703125" bestFit="1" customWidth="1"/>
    <col min="13" max="13" width="11.5703125" bestFit="1" customWidth="1"/>
    <col min="14" max="14" width="34" bestFit="1" customWidth="1"/>
    <col min="15" max="15" width="35.42578125" bestFit="1" customWidth="1"/>
    <col min="16" max="16" width="19" customWidth="1"/>
  </cols>
  <sheetData>
    <row r="1" spans="1:23" ht="15.75">
      <c r="A1" s="580" t="s">
        <v>314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86"/>
      <c r="P1" s="415"/>
      <c r="Q1" s="415"/>
      <c r="R1" s="415"/>
      <c r="S1" s="415"/>
      <c r="T1" s="415"/>
      <c r="U1" s="415"/>
      <c r="V1" s="415"/>
      <c r="W1" s="415"/>
    </row>
    <row r="2" spans="1:23" ht="30.75">
      <c r="A2" s="406" t="s">
        <v>0</v>
      </c>
      <c r="B2" s="407" t="s">
        <v>166</v>
      </c>
      <c r="C2" s="407" t="s">
        <v>167</v>
      </c>
      <c r="D2" s="407" t="s">
        <v>168</v>
      </c>
      <c r="E2" s="409" t="s">
        <v>169</v>
      </c>
      <c r="F2" s="409" t="s">
        <v>170</v>
      </c>
      <c r="G2" s="409" t="s">
        <v>171</v>
      </c>
      <c r="H2" s="409" t="s">
        <v>172</v>
      </c>
      <c r="I2" s="409" t="s">
        <v>170</v>
      </c>
      <c r="J2" s="409" t="s">
        <v>171</v>
      </c>
      <c r="K2" s="410" t="s">
        <v>173</v>
      </c>
      <c r="L2" s="411" t="s">
        <v>174</v>
      </c>
      <c r="M2" s="411" t="s">
        <v>199</v>
      </c>
      <c r="N2" s="407" t="s">
        <v>176</v>
      </c>
      <c r="O2" s="434"/>
      <c r="P2" s="415"/>
      <c r="Q2" s="415"/>
      <c r="R2" s="415"/>
      <c r="S2" s="415"/>
      <c r="T2" s="415"/>
      <c r="U2" s="415"/>
      <c r="V2" s="415"/>
      <c r="W2" s="415"/>
    </row>
    <row r="3" spans="1:23">
      <c r="A3" s="581" t="s">
        <v>177</v>
      </c>
      <c r="B3" s="581"/>
      <c r="C3" s="581"/>
      <c r="D3" s="581"/>
      <c r="E3" s="581"/>
      <c r="F3" s="581"/>
      <c r="G3" s="581"/>
      <c r="H3" s="581"/>
      <c r="I3" s="581"/>
      <c r="J3" s="581"/>
      <c r="K3" s="86">
        <v>0</v>
      </c>
      <c r="L3" s="86"/>
      <c r="M3" s="412">
        <f>+K3</f>
        <v>0</v>
      </c>
      <c r="N3" s="404"/>
      <c r="O3" s="381"/>
      <c r="P3" s="415"/>
      <c r="Q3" s="415"/>
      <c r="R3" s="415"/>
      <c r="S3" s="415"/>
      <c r="T3" s="415"/>
      <c r="U3" s="415"/>
      <c r="V3" s="415"/>
      <c r="W3" s="415"/>
    </row>
    <row r="4" spans="1:23">
      <c r="A4" s="86">
        <v>1</v>
      </c>
      <c r="B4" s="413">
        <v>46144</v>
      </c>
      <c r="C4" s="86">
        <v>1482</v>
      </c>
      <c r="D4" s="86" t="s">
        <v>315</v>
      </c>
      <c r="E4" s="414">
        <v>1521.38</v>
      </c>
      <c r="F4" s="429">
        <v>91.98</v>
      </c>
      <c r="G4" s="414">
        <f t="shared" ref="G4:G34" si="0">E4*F4</f>
        <v>139936.53240000003</v>
      </c>
      <c r="H4" s="429">
        <v>0</v>
      </c>
      <c r="I4" s="429">
        <v>0</v>
      </c>
      <c r="J4" s="414">
        <f t="shared" ref="J4:J34" si="1">H4*I4</f>
        <v>0</v>
      </c>
      <c r="K4" s="414">
        <f t="shared" ref="K4:L34" si="2">G4+J4</f>
        <v>139936.53240000003</v>
      </c>
      <c r="L4" s="429">
        <v>139936.53</v>
      </c>
      <c r="M4" s="435">
        <f>M3+K4-L4</f>
        <v>2.4000000266823918E-3</v>
      </c>
      <c r="N4" s="404" t="s">
        <v>316</v>
      </c>
      <c r="O4" s="381" t="s">
        <v>317</v>
      </c>
      <c r="P4" s="415" t="s">
        <v>303</v>
      </c>
      <c r="Q4" s="415"/>
      <c r="R4" s="415"/>
      <c r="S4" s="415"/>
      <c r="T4" s="415"/>
      <c r="U4" s="415"/>
      <c r="V4" s="415"/>
      <c r="W4" s="415"/>
    </row>
    <row r="5" spans="1:23">
      <c r="A5" s="86">
        <v>2</v>
      </c>
      <c r="B5" s="413">
        <v>46144</v>
      </c>
      <c r="C5" s="86">
        <v>1497</v>
      </c>
      <c r="D5" s="436" t="s">
        <v>318</v>
      </c>
      <c r="E5" s="414">
        <v>22.08</v>
      </c>
      <c r="F5" s="429">
        <v>90.58</v>
      </c>
      <c r="G5" s="414">
        <f t="shared" si="0"/>
        <v>2000.0063999999998</v>
      </c>
      <c r="H5" s="429">
        <v>0</v>
      </c>
      <c r="I5" s="429">
        <v>0</v>
      </c>
      <c r="J5" s="414">
        <f t="shared" si="1"/>
        <v>0</v>
      </c>
      <c r="K5" s="414">
        <f t="shared" si="2"/>
        <v>2000.0063999999998</v>
      </c>
      <c r="L5" s="429">
        <v>2000.01</v>
      </c>
      <c r="M5" s="435">
        <f t="shared" ref="M5:M34" si="3">M4+K5-L5</f>
        <v>-1.1999999735508027E-3</v>
      </c>
      <c r="N5" s="404" t="s">
        <v>319</v>
      </c>
      <c r="O5" s="381" t="s">
        <v>320</v>
      </c>
      <c r="P5" s="415"/>
      <c r="Q5" s="415"/>
      <c r="R5" s="415"/>
      <c r="S5" s="415"/>
      <c r="T5" s="415"/>
      <c r="U5" s="415"/>
      <c r="V5" s="415"/>
      <c r="W5" s="415"/>
    </row>
    <row r="6" spans="1:23">
      <c r="A6" s="86">
        <v>3</v>
      </c>
      <c r="B6" s="413">
        <v>46144</v>
      </c>
      <c r="C6" s="86">
        <v>1493</v>
      </c>
      <c r="D6" s="86">
        <v>650204658</v>
      </c>
      <c r="E6" s="414">
        <v>200</v>
      </c>
      <c r="F6" s="429">
        <v>91.32</v>
      </c>
      <c r="G6" s="414">
        <f t="shared" si="0"/>
        <v>18264</v>
      </c>
      <c r="H6" s="429">
        <v>0</v>
      </c>
      <c r="I6" s="429">
        <v>0</v>
      </c>
      <c r="J6" s="414">
        <f t="shared" si="1"/>
        <v>0</v>
      </c>
      <c r="K6" s="414">
        <f t="shared" si="2"/>
        <v>18264</v>
      </c>
      <c r="L6" s="429">
        <v>18264</v>
      </c>
      <c r="M6" s="435">
        <f t="shared" si="3"/>
        <v>-1.199999973323429E-3</v>
      </c>
      <c r="N6" s="404" t="s">
        <v>321</v>
      </c>
      <c r="O6" s="381" t="s">
        <v>302</v>
      </c>
      <c r="P6" s="415"/>
      <c r="Q6" s="415"/>
      <c r="R6" s="415"/>
      <c r="S6" s="415"/>
      <c r="T6" s="415"/>
      <c r="U6" s="415"/>
      <c r="V6" s="415"/>
      <c r="W6" s="415"/>
    </row>
    <row r="7" spans="1:23">
      <c r="A7" s="86">
        <v>4</v>
      </c>
      <c r="B7" s="413">
        <v>46145</v>
      </c>
      <c r="C7" s="86">
        <v>1487</v>
      </c>
      <c r="D7" s="86">
        <v>2890</v>
      </c>
      <c r="E7" s="414">
        <v>762</v>
      </c>
      <c r="F7" s="429">
        <v>91.81</v>
      </c>
      <c r="G7" s="414">
        <f t="shared" si="0"/>
        <v>69959.22</v>
      </c>
      <c r="H7" s="429">
        <v>0</v>
      </c>
      <c r="I7" s="429">
        <v>0</v>
      </c>
      <c r="J7" s="414">
        <f t="shared" si="1"/>
        <v>0</v>
      </c>
      <c r="K7" s="414">
        <f t="shared" si="2"/>
        <v>69959.22</v>
      </c>
      <c r="L7" s="429">
        <v>69959.22</v>
      </c>
      <c r="M7" s="435">
        <f t="shared" si="3"/>
        <v>-1.1999999696854502E-3</v>
      </c>
      <c r="N7" s="404" t="s">
        <v>322</v>
      </c>
      <c r="O7" s="381" t="s">
        <v>323</v>
      </c>
      <c r="P7" s="415" t="s">
        <v>311</v>
      </c>
      <c r="Q7" s="415"/>
      <c r="R7" s="415"/>
      <c r="S7" s="415"/>
      <c r="T7" s="415"/>
      <c r="U7" s="415"/>
      <c r="V7" s="415"/>
      <c r="W7" s="415"/>
    </row>
    <row r="8" spans="1:23">
      <c r="A8" s="86">
        <v>5</v>
      </c>
      <c r="B8" s="413">
        <v>46145</v>
      </c>
      <c r="C8" s="86">
        <v>1486</v>
      </c>
      <c r="D8" s="86" t="s">
        <v>324</v>
      </c>
      <c r="E8" s="86">
        <v>1199.8</v>
      </c>
      <c r="F8" s="429">
        <v>91.81</v>
      </c>
      <c r="G8" s="414">
        <f t="shared" si="0"/>
        <v>110153.63799999999</v>
      </c>
      <c r="H8" s="429">
        <v>0</v>
      </c>
      <c r="I8" s="429">
        <v>0</v>
      </c>
      <c r="J8" s="414">
        <f t="shared" si="1"/>
        <v>0</v>
      </c>
      <c r="K8" s="414">
        <f t="shared" si="2"/>
        <v>110153.63799999999</v>
      </c>
      <c r="L8" s="429">
        <v>110153.64</v>
      </c>
      <c r="M8" s="435">
        <f t="shared" si="3"/>
        <v>-3.1999999773688614E-3</v>
      </c>
      <c r="N8" s="404" t="s">
        <v>325</v>
      </c>
      <c r="O8" s="381" t="s">
        <v>302</v>
      </c>
      <c r="P8" s="415" t="s">
        <v>311</v>
      </c>
      <c r="Q8" s="415"/>
      <c r="R8" s="415"/>
      <c r="S8" s="415"/>
      <c r="T8" s="415"/>
      <c r="U8" s="415"/>
      <c r="V8" s="415"/>
      <c r="W8" s="415"/>
    </row>
    <row r="9" spans="1:23">
      <c r="A9" s="86">
        <v>6</v>
      </c>
      <c r="B9" s="413">
        <v>46145</v>
      </c>
      <c r="C9" s="86">
        <v>1488</v>
      </c>
      <c r="D9" s="436" t="s">
        <v>326</v>
      </c>
      <c r="E9" s="86">
        <v>2100</v>
      </c>
      <c r="F9" s="429">
        <v>91.98</v>
      </c>
      <c r="G9" s="414">
        <f t="shared" si="0"/>
        <v>193158</v>
      </c>
      <c r="H9" s="429">
        <v>0</v>
      </c>
      <c r="I9" s="429">
        <v>0</v>
      </c>
      <c r="J9" s="414">
        <f t="shared" si="1"/>
        <v>0</v>
      </c>
      <c r="K9" s="414">
        <f t="shared" si="2"/>
        <v>193158</v>
      </c>
      <c r="L9" s="429">
        <v>193158</v>
      </c>
      <c r="M9" s="435">
        <f t="shared" si="3"/>
        <v>-3.1999999773688614E-3</v>
      </c>
      <c r="N9" s="404" t="s">
        <v>316</v>
      </c>
      <c r="O9" s="381" t="s">
        <v>317</v>
      </c>
      <c r="P9" s="415" t="s">
        <v>303</v>
      </c>
      <c r="Q9" s="415"/>
      <c r="R9" s="415"/>
      <c r="S9" s="415"/>
      <c r="T9" s="415"/>
      <c r="U9" s="415"/>
      <c r="V9" s="415"/>
      <c r="W9" s="415"/>
    </row>
    <row r="10" spans="1:23">
      <c r="A10" s="86">
        <v>7</v>
      </c>
      <c r="B10" s="413">
        <v>46146</v>
      </c>
      <c r="C10" s="86">
        <v>1494</v>
      </c>
      <c r="D10" s="86" t="s">
        <v>327</v>
      </c>
      <c r="E10" s="86">
        <v>2300</v>
      </c>
      <c r="F10" s="429">
        <v>91.98</v>
      </c>
      <c r="G10" s="414">
        <f t="shared" si="0"/>
        <v>211554</v>
      </c>
      <c r="H10" s="429">
        <v>0</v>
      </c>
      <c r="I10" s="429">
        <v>0</v>
      </c>
      <c r="J10" s="414">
        <f t="shared" si="1"/>
        <v>0</v>
      </c>
      <c r="K10" s="414">
        <f t="shared" si="2"/>
        <v>211554</v>
      </c>
      <c r="L10" s="429">
        <v>211553.99</v>
      </c>
      <c r="M10" s="435">
        <f t="shared" si="3"/>
        <v>6.8000000319443643E-3</v>
      </c>
      <c r="N10" s="404" t="s">
        <v>316</v>
      </c>
      <c r="O10" s="381" t="s">
        <v>317</v>
      </c>
      <c r="P10" s="415" t="s">
        <v>303</v>
      </c>
      <c r="Q10" s="415"/>
      <c r="R10" s="415"/>
      <c r="S10" s="415"/>
      <c r="T10" s="415"/>
      <c r="U10" s="415"/>
      <c r="V10" s="415"/>
      <c r="W10" s="415"/>
    </row>
    <row r="11" spans="1:23">
      <c r="A11" s="86">
        <v>8</v>
      </c>
      <c r="B11" s="413">
        <v>46147</v>
      </c>
      <c r="C11" s="86">
        <v>1496</v>
      </c>
      <c r="D11" s="86" t="s">
        <v>328</v>
      </c>
      <c r="E11" s="86">
        <v>1500</v>
      </c>
      <c r="F11" s="429">
        <v>91.66</v>
      </c>
      <c r="G11" s="414">
        <f t="shared" si="0"/>
        <v>137490</v>
      </c>
      <c r="H11" s="429">
        <v>0</v>
      </c>
      <c r="I11" s="429">
        <v>0</v>
      </c>
      <c r="J11" s="414">
        <f t="shared" si="1"/>
        <v>0</v>
      </c>
      <c r="K11" s="414">
        <f t="shared" si="2"/>
        <v>137490</v>
      </c>
      <c r="L11" s="429">
        <v>137490</v>
      </c>
      <c r="M11" s="435">
        <f t="shared" si="3"/>
        <v>6.8000000319443643E-3</v>
      </c>
      <c r="N11" s="404" t="s">
        <v>322</v>
      </c>
      <c r="O11" s="381" t="s">
        <v>323</v>
      </c>
      <c r="P11" s="415" t="s">
        <v>311</v>
      </c>
      <c r="Q11" s="415"/>
      <c r="R11" s="415"/>
      <c r="S11" s="415"/>
      <c r="T11" s="415"/>
      <c r="U11" s="415"/>
      <c r="V11" s="415"/>
      <c r="W11" s="415"/>
    </row>
    <row r="12" spans="1:23">
      <c r="A12" s="86">
        <v>9</v>
      </c>
      <c r="B12" s="413">
        <v>46148</v>
      </c>
      <c r="C12" s="86">
        <v>1500</v>
      </c>
      <c r="D12" s="86" t="s">
        <v>329</v>
      </c>
      <c r="E12" s="86">
        <v>1500</v>
      </c>
      <c r="F12" s="429">
        <v>91.81</v>
      </c>
      <c r="G12" s="414">
        <f t="shared" si="0"/>
        <v>137715</v>
      </c>
      <c r="H12" s="429">
        <v>0</v>
      </c>
      <c r="I12" s="429">
        <v>0</v>
      </c>
      <c r="J12" s="414">
        <f t="shared" si="1"/>
        <v>0</v>
      </c>
      <c r="K12" s="414">
        <f t="shared" si="2"/>
        <v>137715</v>
      </c>
      <c r="L12" s="429">
        <v>137715</v>
      </c>
      <c r="M12" s="435">
        <f t="shared" si="3"/>
        <v>6.8000000319443643E-3</v>
      </c>
      <c r="N12" s="404" t="s">
        <v>325</v>
      </c>
      <c r="O12" s="381" t="s">
        <v>302</v>
      </c>
      <c r="P12" s="415" t="s">
        <v>303</v>
      </c>
      <c r="Q12" s="415"/>
      <c r="R12" s="415"/>
      <c r="S12" s="415"/>
      <c r="T12" s="415"/>
      <c r="U12" s="415"/>
      <c r="V12" s="415"/>
      <c r="W12" s="415"/>
    </row>
    <row r="13" spans="1:23">
      <c r="A13" s="86">
        <v>10</v>
      </c>
      <c r="B13" s="413">
        <v>46148</v>
      </c>
      <c r="C13" s="86">
        <v>1503</v>
      </c>
      <c r="D13" s="86" t="s">
        <v>330</v>
      </c>
      <c r="E13" s="86">
        <v>2000</v>
      </c>
      <c r="F13" s="429">
        <v>91.7</v>
      </c>
      <c r="G13" s="414">
        <f t="shared" si="0"/>
        <v>183400</v>
      </c>
      <c r="H13" s="429">
        <v>0</v>
      </c>
      <c r="I13" s="429">
        <v>0</v>
      </c>
      <c r="J13" s="414">
        <f t="shared" si="1"/>
        <v>0</v>
      </c>
      <c r="K13" s="414">
        <f t="shared" si="2"/>
        <v>183400</v>
      </c>
      <c r="L13" s="429">
        <v>183400</v>
      </c>
      <c r="M13" s="435">
        <f t="shared" si="3"/>
        <v>6.8000000319443643E-3</v>
      </c>
      <c r="N13" s="404" t="s">
        <v>331</v>
      </c>
      <c r="O13" s="381" t="s">
        <v>317</v>
      </c>
      <c r="P13" s="415" t="s">
        <v>332</v>
      </c>
      <c r="Q13" s="415"/>
      <c r="R13" s="415"/>
      <c r="S13" s="415"/>
      <c r="T13" s="415"/>
      <c r="U13" s="415"/>
      <c r="V13" s="415"/>
      <c r="W13" s="415"/>
    </row>
    <row r="14" spans="1:23">
      <c r="A14" s="86">
        <v>11</v>
      </c>
      <c r="B14" s="413">
        <v>46149</v>
      </c>
      <c r="C14" s="86">
        <v>1507</v>
      </c>
      <c r="D14" s="86" t="s">
        <v>333</v>
      </c>
      <c r="E14" s="86">
        <v>2000</v>
      </c>
      <c r="F14" s="429">
        <v>91.66</v>
      </c>
      <c r="G14" s="414">
        <f t="shared" si="0"/>
        <v>183320</v>
      </c>
      <c r="H14" s="429">
        <v>0</v>
      </c>
      <c r="I14" s="429">
        <v>0</v>
      </c>
      <c r="J14" s="414">
        <f t="shared" si="1"/>
        <v>0</v>
      </c>
      <c r="K14" s="414">
        <f t="shared" si="2"/>
        <v>183320</v>
      </c>
      <c r="L14" s="429">
        <v>183320.01</v>
      </c>
      <c r="M14" s="435">
        <f t="shared" si="3"/>
        <v>-3.1999999773688614E-3</v>
      </c>
      <c r="N14" s="404" t="s">
        <v>322</v>
      </c>
      <c r="O14" s="381" t="s">
        <v>323</v>
      </c>
      <c r="P14" s="415" t="s">
        <v>306</v>
      </c>
      <c r="Q14" s="415"/>
      <c r="R14" s="415"/>
      <c r="S14" s="415"/>
      <c r="T14" s="415"/>
      <c r="U14" s="415"/>
      <c r="V14" s="415"/>
      <c r="W14" s="415"/>
    </row>
    <row r="15" spans="1:23">
      <c r="A15" s="86">
        <v>12</v>
      </c>
      <c r="B15" s="413">
        <v>46149</v>
      </c>
      <c r="C15" s="193">
        <v>1506</v>
      </c>
      <c r="D15" s="193" t="s">
        <v>334</v>
      </c>
      <c r="E15" s="40">
        <v>2000</v>
      </c>
      <c r="F15" s="40">
        <v>91.61</v>
      </c>
      <c r="G15" s="414">
        <f t="shared" si="0"/>
        <v>183220</v>
      </c>
      <c r="H15" s="429">
        <v>0</v>
      </c>
      <c r="I15" s="429">
        <v>0</v>
      </c>
      <c r="J15" s="414">
        <f t="shared" si="1"/>
        <v>0</v>
      </c>
      <c r="K15" s="414">
        <f t="shared" si="2"/>
        <v>183220</v>
      </c>
      <c r="L15" s="429">
        <v>100000</v>
      </c>
      <c r="M15" s="435">
        <f t="shared" si="3"/>
        <v>83219.996800000023</v>
      </c>
      <c r="N15" s="404" t="s">
        <v>335</v>
      </c>
      <c r="O15" s="381" t="s">
        <v>323</v>
      </c>
      <c r="P15" s="415" t="s">
        <v>303</v>
      </c>
      <c r="Q15" s="415"/>
      <c r="R15" s="415"/>
      <c r="S15" s="415"/>
      <c r="T15" s="415"/>
      <c r="U15" s="415"/>
      <c r="V15" s="415"/>
      <c r="W15" s="415"/>
    </row>
    <row r="16" spans="1:23">
      <c r="A16" s="86">
        <v>13</v>
      </c>
      <c r="B16" s="419">
        <v>46150</v>
      </c>
      <c r="C16" s="420"/>
      <c r="D16" s="420" t="s">
        <v>336</v>
      </c>
      <c r="E16" s="420"/>
      <c r="F16" s="440">
        <v>0</v>
      </c>
      <c r="G16" s="421">
        <f t="shared" si="0"/>
        <v>0</v>
      </c>
      <c r="H16" s="440">
        <v>0</v>
      </c>
      <c r="I16" s="440">
        <v>0</v>
      </c>
      <c r="J16" s="421">
        <f t="shared" si="1"/>
        <v>0</v>
      </c>
      <c r="K16" s="421">
        <f t="shared" si="2"/>
        <v>0</v>
      </c>
      <c r="L16" s="440">
        <v>83220</v>
      </c>
      <c r="M16" s="441">
        <f t="shared" si="3"/>
        <v>-3.1999999773688614E-3</v>
      </c>
      <c r="N16" s="404" t="s">
        <v>335</v>
      </c>
      <c r="O16" s="381" t="s">
        <v>323</v>
      </c>
      <c r="P16" s="415"/>
      <c r="Q16" s="415"/>
      <c r="R16" s="415"/>
      <c r="S16" s="415"/>
      <c r="T16" s="415"/>
      <c r="U16" s="415"/>
      <c r="V16" s="415"/>
      <c r="W16" s="415"/>
    </row>
    <row r="17" spans="1:23">
      <c r="A17" s="86">
        <v>14</v>
      </c>
      <c r="B17" s="413">
        <v>46152</v>
      </c>
      <c r="C17" s="86">
        <v>1516</v>
      </c>
      <c r="D17" s="436" t="s">
        <v>337</v>
      </c>
      <c r="E17" s="86">
        <v>2500</v>
      </c>
      <c r="F17" s="429">
        <v>91.98</v>
      </c>
      <c r="G17" s="414">
        <f t="shared" si="0"/>
        <v>229950</v>
      </c>
      <c r="H17" s="429">
        <v>0</v>
      </c>
      <c r="I17" s="429">
        <v>0</v>
      </c>
      <c r="J17" s="414">
        <f t="shared" si="1"/>
        <v>0</v>
      </c>
      <c r="K17" s="414">
        <f t="shared" si="2"/>
        <v>229950</v>
      </c>
      <c r="L17" s="429">
        <v>229950</v>
      </c>
      <c r="M17" s="435">
        <f t="shared" si="3"/>
        <v>-3.1999999773688614E-3</v>
      </c>
      <c r="N17" s="404" t="s">
        <v>316</v>
      </c>
      <c r="O17" s="381" t="s">
        <v>317</v>
      </c>
      <c r="P17" s="415" t="s">
        <v>306</v>
      </c>
      <c r="Q17" s="415"/>
      <c r="R17" s="415"/>
      <c r="S17" s="415"/>
      <c r="T17" s="415"/>
      <c r="U17" s="415"/>
      <c r="V17" s="415"/>
      <c r="W17" s="415"/>
    </row>
    <row r="18" spans="1:23">
      <c r="A18" s="86">
        <v>15</v>
      </c>
      <c r="B18" s="413">
        <v>46152</v>
      </c>
      <c r="C18" s="86">
        <v>1517</v>
      </c>
      <c r="D18" s="86" t="s">
        <v>338</v>
      </c>
      <c r="E18" s="86">
        <v>2000</v>
      </c>
      <c r="F18" s="429">
        <v>91.81</v>
      </c>
      <c r="G18" s="414">
        <f t="shared" si="0"/>
        <v>183620</v>
      </c>
      <c r="H18" s="429">
        <v>0</v>
      </c>
      <c r="I18" s="429">
        <v>0</v>
      </c>
      <c r="J18" s="414">
        <f t="shared" si="1"/>
        <v>0</v>
      </c>
      <c r="K18" s="414">
        <f t="shared" si="2"/>
        <v>183620</v>
      </c>
      <c r="L18" s="429">
        <v>183620</v>
      </c>
      <c r="M18" s="435">
        <f t="shared" si="3"/>
        <v>-3.1999999773688614E-3</v>
      </c>
      <c r="N18" s="404" t="s">
        <v>325</v>
      </c>
      <c r="O18" s="381" t="s">
        <v>302</v>
      </c>
      <c r="P18" s="415"/>
      <c r="Q18" s="415"/>
      <c r="R18" s="415"/>
      <c r="S18" s="415"/>
      <c r="T18" s="415"/>
      <c r="U18" s="415"/>
      <c r="V18" s="415"/>
      <c r="W18" s="415"/>
    </row>
    <row r="19" spans="1:23">
      <c r="A19" s="86">
        <v>16</v>
      </c>
      <c r="B19" s="413">
        <v>46153</v>
      </c>
      <c r="C19" s="86"/>
      <c r="D19" s="86">
        <v>4858</v>
      </c>
      <c r="E19" s="86">
        <v>38.04</v>
      </c>
      <c r="F19" s="429">
        <v>90.68</v>
      </c>
      <c r="G19" s="414">
        <f t="shared" si="0"/>
        <v>3449.4672</v>
      </c>
      <c r="H19" s="429">
        <v>0</v>
      </c>
      <c r="I19" s="429">
        <v>0</v>
      </c>
      <c r="J19" s="414">
        <f t="shared" si="1"/>
        <v>0</v>
      </c>
      <c r="K19" s="414">
        <f t="shared" si="2"/>
        <v>3449.4672</v>
      </c>
      <c r="L19" s="429">
        <v>3449.46</v>
      </c>
      <c r="M19" s="435">
        <f t="shared" si="3"/>
        <v>4.0000000226427801E-3</v>
      </c>
      <c r="N19" s="404" t="s">
        <v>339</v>
      </c>
      <c r="O19" s="381" t="s">
        <v>340</v>
      </c>
      <c r="P19" s="415" t="s">
        <v>341</v>
      </c>
      <c r="Q19" s="415"/>
      <c r="R19" s="415"/>
      <c r="S19" s="415"/>
      <c r="T19" s="415"/>
      <c r="U19" s="415"/>
      <c r="V19" s="415"/>
      <c r="W19" s="415"/>
    </row>
    <row r="20" spans="1:23">
      <c r="A20" s="86">
        <v>17</v>
      </c>
      <c r="B20" s="413"/>
      <c r="C20" s="86"/>
      <c r="D20" s="86"/>
      <c r="E20" s="86"/>
      <c r="F20" s="429">
        <v>0</v>
      </c>
      <c r="G20" s="414">
        <f t="shared" si="0"/>
        <v>0</v>
      </c>
      <c r="H20" s="429">
        <v>0</v>
      </c>
      <c r="I20" s="429">
        <v>0</v>
      </c>
      <c r="J20" s="414">
        <f t="shared" si="1"/>
        <v>0</v>
      </c>
      <c r="K20" s="414">
        <f t="shared" si="2"/>
        <v>0</v>
      </c>
      <c r="L20" s="429">
        <v>0</v>
      </c>
      <c r="M20" s="435">
        <f t="shared" si="3"/>
        <v>4.0000000226427801E-3</v>
      </c>
      <c r="N20" s="404"/>
      <c r="O20" s="381"/>
      <c r="P20" s="415"/>
      <c r="Q20" s="415"/>
      <c r="R20" s="415"/>
      <c r="S20" s="415"/>
      <c r="T20" s="415"/>
      <c r="U20" s="415"/>
      <c r="V20" s="415"/>
      <c r="W20" s="415"/>
    </row>
    <row r="21" spans="1:23">
      <c r="A21" s="86">
        <v>18</v>
      </c>
      <c r="B21" s="413">
        <v>46155</v>
      </c>
      <c r="C21" s="86"/>
      <c r="D21" s="86"/>
      <c r="E21" s="211">
        <v>2000</v>
      </c>
      <c r="F21" s="429">
        <v>91.81</v>
      </c>
      <c r="G21" s="414">
        <f t="shared" si="0"/>
        <v>183620</v>
      </c>
      <c r="H21" s="429">
        <v>0</v>
      </c>
      <c r="I21" s="429">
        <v>0</v>
      </c>
      <c r="J21" s="414">
        <f t="shared" si="1"/>
        <v>0</v>
      </c>
      <c r="K21" s="414">
        <f t="shared" si="2"/>
        <v>183620</v>
      </c>
      <c r="L21" s="414">
        <f t="shared" si="2"/>
        <v>183620</v>
      </c>
      <c r="M21" s="435">
        <f t="shared" si="3"/>
        <v>4.0000000153668225E-3</v>
      </c>
      <c r="N21" s="433" t="s">
        <v>325</v>
      </c>
      <c r="O21" s="17" t="s">
        <v>302</v>
      </c>
      <c r="P21" s="437"/>
      <c r="Q21" s="415" t="str">
        <f>PROPER(N21)</f>
        <v>Samrth Transport</v>
      </c>
      <c r="R21" s="415"/>
      <c r="S21" s="415"/>
      <c r="T21" s="415"/>
      <c r="U21" s="415"/>
      <c r="V21" s="415"/>
      <c r="W21" s="415"/>
    </row>
    <row r="22" spans="1:23">
      <c r="A22" s="86">
        <v>19</v>
      </c>
      <c r="B22" s="413">
        <v>46156</v>
      </c>
      <c r="C22" s="193"/>
      <c r="D22" s="86"/>
      <c r="E22" s="17">
        <v>2000</v>
      </c>
      <c r="F22" s="429">
        <v>91.81</v>
      </c>
      <c r="G22" s="414">
        <f t="shared" si="0"/>
        <v>183620</v>
      </c>
      <c r="H22" s="429">
        <v>0</v>
      </c>
      <c r="I22" s="429">
        <v>0</v>
      </c>
      <c r="J22" s="414">
        <f t="shared" si="1"/>
        <v>0</v>
      </c>
      <c r="K22" s="414">
        <f t="shared" si="2"/>
        <v>183620</v>
      </c>
      <c r="L22" s="414">
        <f t="shared" si="2"/>
        <v>183620</v>
      </c>
      <c r="M22" s="435">
        <f t="shared" si="3"/>
        <v>4.0000000153668225E-3</v>
      </c>
      <c r="N22" s="404" t="s">
        <v>325</v>
      </c>
      <c r="O22" s="17" t="s">
        <v>302</v>
      </c>
      <c r="P22" s="437"/>
      <c r="Q22" s="415"/>
      <c r="R22" s="415"/>
      <c r="S22" s="415"/>
      <c r="T22" s="415"/>
      <c r="U22" s="415"/>
      <c r="V22" s="415"/>
      <c r="W22" s="415"/>
    </row>
    <row r="23" spans="1:23">
      <c r="A23" s="86">
        <v>20</v>
      </c>
      <c r="B23" s="413">
        <v>46157</v>
      </c>
      <c r="C23" s="193"/>
      <c r="D23" s="86"/>
      <c r="E23" s="17">
        <v>2500</v>
      </c>
      <c r="F23" s="429">
        <v>94.92</v>
      </c>
      <c r="G23" s="414">
        <f t="shared" si="0"/>
        <v>237300</v>
      </c>
      <c r="H23" s="429">
        <v>0</v>
      </c>
      <c r="I23" s="429">
        <v>0</v>
      </c>
      <c r="J23" s="414">
        <f t="shared" si="1"/>
        <v>0</v>
      </c>
      <c r="K23" s="414">
        <f t="shared" si="2"/>
        <v>237300</v>
      </c>
      <c r="L23" s="414">
        <f>H23+K23</f>
        <v>237300</v>
      </c>
      <c r="M23" s="435">
        <f t="shared" si="3"/>
        <v>4.0000000153668225E-3</v>
      </c>
      <c r="N23" s="404" t="s">
        <v>325</v>
      </c>
      <c r="O23" s="17" t="s">
        <v>302</v>
      </c>
      <c r="P23" s="415"/>
      <c r="Q23" s="415"/>
      <c r="R23" s="415"/>
      <c r="S23" s="415"/>
      <c r="T23" s="415"/>
      <c r="U23" s="415"/>
      <c r="V23" s="415"/>
      <c r="W23" s="415"/>
    </row>
    <row r="24" spans="1:23">
      <c r="A24" s="86">
        <v>21</v>
      </c>
      <c r="B24" s="413">
        <v>46157</v>
      </c>
      <c r="C24" s="86"/>
      <c r="D24" s="438"/>
      <c r="E24" s="447">
        <v>940</v>
      </c>
      <c r="F24" s="429">
        <v>94.77</v>
      </c>
      <c r="G24" s="414">
        <f t="shared" si="0"/>
        <v>89083.8</v>
      </c>
      <c r="H24" s="429">
        <v>0</v>
      </c>
      <c r="I24" s="429">
        <v>0</v>
      </c>
      <c r="J24" s="414">
        <f t="shared" si="1"/>
        <v>0</v>
      </c>
      <c r="K24" s="414">
        <f t="shared" si="2"/>
        <v>89083.8</v>
      </c>
      <c r="L24" s="414">
        <f>H24+K24</f>
        <v>89083.8</v>
      </c>
      <c r="M24" s="435">
        <f t="shared" si="3"/>
        <v>4.0000000153668225E-3</v>
      </c>
      <c r="N24" s="433" t="s">
        <v>322</v>
      </c>
      <c r="O24" s="381" t="s">
        <v>323</v>
      </c>
      <c r="P24" s="437"/>
      <c r="Q24" s="415"/>
      <c r="R24" s="415"/>
      <c r="S24" s="415"/>
      <c r="T24" s="415"/>
      <c r="U24" s="415"/>
      <c r="V24" s="415" t="str">
        <f>PROPER(N25)</f>
        <v/>
      </c>
      <c r="W24" s="415"/>
    </row>
    <row r="25" spans="1:23">
      <c r="A25" s="86">
        <v>22</v>
      </c>
      <c r="B25" s="413">
        <v>46160</v>
      </c>
      <c r="C25" s="86"/>
      <c r="D25" s="86"/>
      <c r="E25" s="86">
        <v>500</v>
      </c>
      <c r="F25" s="429">
        <v>94.8</v>
      </c>
      <c r="G25" s="414">
        <f t="shared" si="0"/>
        <v>47400</v>
      </c>
      <c r="H25" s="429">
        <v>0</v>
      </c>
      <c r="I25" s="429">
        <v>0</v>
      </c>
      <c r="J25" s="414">
        <f t="shared" si="1"/>
        <v>0</v>
      </c>
      <c r="K25" s="414">
        <f t="shared" si="2"/>
        <v>47400</v>
      </c>
      <c r="L25" s="429">
        <v>47400</v>
      </c>
      <c r="M25" s="435">
        <f t="shared" si="3"/>
        <v>4.0000000153668225E-3</v>
      </c>
      <c r="N25" s="404"/>
      <c r="O25" s="381"/>
      <c r="P25" s="415"/>
      <c r="Q25" s="415"/>
      <c r="R25" s="415"/>
      <c r="S25" s="415"/>
      <c r="T25" s="415"/>
      <c r="U25" s="415"/>
      <c r="V25" s="415" t="str">
        <f>PROPER(N26)</f>
        <v/>
      </c>
      <c r="W25" s="415"/>
    </row>
    <row r="26" spans="1:23">
      <c r="A26" s="86">
        <v>23</v>
      </c>
      <c r="B26" s="413">
        <v>46163</v>
      </c>
      <c r="C26" s="86"/>
      <c r="D26" s="86"/>
      <c r="E26" s="86">
        <v>1500</v>
      </c>
      <c r="F26" s="429">
        <v>96.02</v>
      </c>
      <c r="G26" s="414">
        <f t="shared" si="0"/>
        <v>144030</v>
      </c>
      <c r="H26" s="429">
        <v>0</v>
      </c>
      <c r="I26" s="429">
        <v>0</v>
      </c>
      <c r="J26" s="414">
        <f t="shared" si="1"/>
        <v>0</v>
      </c>
      <c r="K26" s="414">
        <f t="shared" si="2"/>
        <v>144030</v>
      </c>
      <c r="L26" s="414">
        <f t="shared" si="2"/>
        <v>144030</v>
      </c>
      <c r="M26" s="435">
        <f t="shared" si="3"/>
        <v>4.0000000153668225E-3</v>
      </c>
      <c r="N26" s="404"/>
      <c r="O26" s="381"/>
      <c r="P26" s="415"/>
      <c r="Q26" s="415"/>
      <c r="R26" s="415"/>
      <c r="S26" s="415"/>
      <c r="T26" s="415"/>
      <c r="U26" s="415"/>
      <c r="V26" s="415" t="str">
        <f>PROPER(N27)</f>
        <v/>
      </c>
      <c r="W26" s="415"/>
    </row>
    <row r="27" spans="1:23">
      <c r="A27" s="86">
        <v>24</v>
      </c>
      <c r="B27" s="413">
        <v>46164</v>
      </c>
      <c r="C27" s="86"/>
      <c r="D27" s="86"/>
      <c r="E27" s="86">
        <v>1000</v>
      </c>
      <c r="F27" s="429">
        <v>95.71</v>
      </c>
      <c r="G27" s="414">
        <f t="shared" si="0"/>
        <v>95710</v>
      </c>
      <c r="H27" s="429">
        <v>0</v>
      </c>
      <c r="I27" s="429">
        <v>0</v>
      </c>
      <c r="J27" s="414">
        <f t="shared" si="1"/>
        <v>0</v>
      </c>
      <c r="K27" s="414">
        <f t="shared" si="2"/>
        <v>95710</v>
      </c>
      <c r="L27" s="429">
        <v>95710</v>
      </c>
      <c r="M27" s="435">
        <f t="shared" si="3"/>
        <v>4.0000000153668225E-3</v>
      </c>
      <c r="N27" s="404"/>
      <c r="O27" s="381"/>
      <c r="P27" s="415"/>
      <c r="Q27" s="415"/>
      <c r="R27" s="415"/>
      <c r="S27" s="415"/>
      <c r="T27" s="415"/>
      <c r="U27" s="415"/>
      <c r="V27" s="415"/>
      <c r="W27" s="415"/>
    </row>
    <row r="28" spans="1:23">
      <c r="A28" s="86">
        <v>25</v>
      </c>
      <c r="B28" s="413">
        <v>46165</v>
      </c>
      <c r="C28" s="86"/>
      <c r="D28" s="86"/>
      <c r="E28" s="86">
        <v>800</v>
      </c>
      <c r="F28" s="429">
        <v>95.71</v>
      </c>
      <c r="G28" s="414">
        <f t="shared" si="0"/>
        <v>76568</v>
      </c>
      <c r="H28" s="429">
        <v>0</v>
      </c>
      <c r="I28" s="429">
        <v>0</v>
      </c>
      <c r="J28" s="414">
        <f t="shared" si="1"/>
        <v>0</v>
      </c>
      <c r="K28" s="414">
        <f t="shared" si="2"/>
        <v>76568</v>
      </c>
      <c r="L28" s="429">
        <v>0</v>
      </c>
      <c r="M28" s="435">
        <f t="shared" si="3"/>
        <v>76568.004000000015</v>
      </c>
      <c r="N28" s="404"/>
      <c r="O28" s="381"/>
      <c r="P28" s="415"/>
      <c r="Q28" s="415"/>
      <c r="R28" s="415"/>
      <c r="S28" s="415"/>
      <c r="T28" s="415"/>
      <c r="U28" s="415"/>
      <c r="V28" s="415"/>
      <c r="W28" s="415"/>
    </row>
    <row r="29" spans="1:23">
      <c r="A29" s="86">
        <v>26</v>
      </c>
      <c r="B29" s="413">
        <v>46165</v>
      </c>
      <c r="C29" s="86"/>
      <c r="D29" s="86"/>
      <c r="E29" s="86">
        <v>1200</v>
      </c>
      <c r="F29" s="429">
        <v>96.66</v>
      </c>
      <c r="G29" s="414">
        <f t="shared" si="0"/>
        <v>115992</v>
      </c>
      <c r="H29" s="429">
        <v>0</v>
      </c>
      <c r="I29" s="429">
        <v>0</v>
      </c>
      <c r="J29" s="414">
        <f t="shared" si="1"/>
        <v>0</v>
      </c>
      <c r="K29" s="414">
        <f t="shared" si="2"/>
        <v>115992</v>
      </c>
      <c r="L29" s="429">
        <v>192560</v>
      </c>
      <c r="M29" s="435">
        <f t="shared" si="3"/>
        <v>4.0000000153668225E-3</v>
      </c>
      <c r="N29" s="404"/>
      <c r="O29" s="381"/>
      <c r="P29" s="415"/>
      <c r="Q29" s="415"/>
      <c r="R29" s="415"/>
      <c r="S29" s="415"/>
      <c r="T29" s="415"/>
      <c r="U29" s="415"/>
      <c r="V29" s="415"/>
      <c r="W29" s="415"/>
    </row>
    <row r="30" spans="1:23">
      <c r="A30" s="86">
        <v>27</v>
      </c>
      <c r="B30" s="413">
        <v>46166</v>
      </c>
      <c r="C30" s="86"/>
      <c r="D30" s="86"/>
      <c r="E30" s="86">
        <v>1500</v>
      </c>
      <c r="F30" s="429">
        <v>96.97</v>
      </c>
      <c r="G30" s="414">
        <f t="shared" si="0"/>
        <v>145455</v>
      </c>
      <c r="H30" s="429">
        <v>0</v>
      </c>
      <c r="I30" s="429">
        <v>0</v>
      </c>
      <c r="J30" s="414">
        <f t="shared" si="1"/>
        <v>0</v>
      </c>
      <c r="K30" s="414">
        <f t="shared" si="2"/>
        <v>145455</v>
      </c>
      <c r="L30" s="429">
        <v>145455</v>
      </c>
      <c r="M30" s="435">
        <f t="shared" si="3"/>
        <v>4.0000000153668225E-3</v>
      </c>
      <c r="N30" s="404" t="s">
        <v>342</v>
      </c>
      <c r="O30" s="381"/>
      <c r="P30" s="415"/>
      <c r="Q30" s="415"/>
      <c r="R30" s="415"/>
      <c r="S30" s="415"/>
      <c r="T30" s="415"/>
      <c r="U30" s="415"/>
      <c r="V30" s="415"/>
      <c r="W30" s="415"/>
    </row>
    <row r="31" spans="1:23">
      <c r="A31" s="86"/>
      <c r="B31" s="413">
        <v>46167</v>
      </c>
      <c r="C31" s="86"/>
      <c r="D31" s="86"/>
      <c r="E31" s="86"/>
      <c r="F31" s="429"/>
      <c r="G31" s="414">
        <f t="shared" si="0"/>
        <v>0</v>
      </c>
      <c r="H31" s="429">
        <v>0</v>
      </c>
      <c r="I31" s="429">
        <v>0</v>
      </c>
      <c r="J31" s="414">
        <f t="shared" si="1"/>
        <v>0</v>
      </c>
      <c r="K31" s="414">
        <f t="shared" si="2"/>
        <v>0</v>
      </c>
      <c r="L31" s="414">
        <f t="shared" si="2"/>
        <v>0</v>
      </c>
      <c r="M31" s="435">
        <f t="shared" si="3"/>
        <v>4.0000000153668225E-3</v>
      </c>
      <c r="N31" s="404"/>
      <c r="O31" s="381"/>
      <c r="P31" s="415"/>
      <c r="Q31" s="415"/>
      <c r="R31" s="415"/>
      <c r="S31" s="415"/>
      <c r="T31" s="415"/>
      <c r="U31" s="415"/>
      <c r="V31" s="415"/>
      <c r="W31" s="415"/>
    </row>
    <row r="32" spans="1:23">
      <c r="A32" s="86"/>
      <c r="B32" s="413">
        <v>46168</v>
      </c>
      <c r="C32" s="86"/>
      <c r="D32" s="86"/>
      <c r="E32" s="86">
        <v>503.47</v>
      </c>
      <c r="F32" s="429">
        <v>99.31</v>
      </c>
      <c r="G32" s="414">
        <f t="shared" si="0"/>
        <v>49999.605700000007</v>
      </c>
      <c r="H32" s="429">
        <v>0</v>
      </c>
      <c r="I32" s="429">
        <v>0</v>
      </c>
      <c r="J32" s="414">
        <f t="shared" si="1"/>
        <v>0</v>
      </c>
      <c r="K32" s="414">
        <f t="shared" si="2"/>
        <v>49999.605700000007</v>
      </c>
      <c r="L32" s="414">
        <f t="shared" si="2"/>
        <v>49999.605700000007</v>
      </c>
      <c r="M32" s="435">
        <f t="shared" si="3"/>
        <v>4.0000000153668225E-3</v>
      </c>
      <c r="N32" s="404" t="s">
        <v>343</v>
      </c>
      <c r="O32" s="381" t="s">
        <v>180</v>
      </c>
      <c r="P32" s="415"/>
      <c r="Q32" s="415"/>
      <c r="R32" s="415"/>
      <c r="S32" s="415"/>
      <c r="T32" s="415"/>
      <c r="U32" s="415"/>
      <c r="V32" s="415"/>
      <c r="W32" s="415"/>
    </row>
    <row r="33" spans="1:23">
      <c r="A33" s="86"/>
      <c r="B33" s="413">
        <v>46168</v>
      </c>
      <c r="C33" s="86"/>
      <c r="D33" s="86"/>
      <c r="E33" s="86">
        <v>2000</v>
      </c>
      <c r="F33" s="429">
        <v>99.78</v>
      </c>
      <c r="G33" s="414">
        <f t="shared" si="0"/>
        <v>199560</v>
      </c>
      <c r="H33" s="429">
        <v>0</v>
      </c>
      <c r="I33" s="429">
        <v>0</v>
      </c>
      <c r="J33" s="414">
        <f t="shared" si="1"/>
        <v>0</v>
      </c>
      <c r="K33" s="414">
        <f t="shared" si="2"/>
        <v>199560</v>
      </c>
      <c r="L33" s="414">
        <f t="shared" si="2"/>
        <v>199560</v>
      </c>
      <c r="M33" s="435">
        <f t="shared" si="3"/>
        <v>4.0000000153668225E-3</v>
      </c>
      <c r="N33" s="404" t="s">
        <v>316</v>
      </c>
      <c r="O33" s="381" t="s">
        <v>314</v>
      </c>
      <c r="P33" s="415"/>
      <c r="Q33" s="415"/>
      <c r="R33" s="415"/>
      <c r="S33" s="415"/>
      <c r="T33" s="415"/>
      <c r="U33" s="415"/>
      <c r="V33" s="415"/>
      <c r="W33" s="415"/>
    </row>
    <row r="34" spans="1:23">
      <c r="A34" s="86"/>
      <c r="B34" s="413">
        <v>46168</v>
      </c>
      <c r="C34" s="86"/>
      <c r="D34" s="86"/>
      <c r="E34" s="86">
        <v>1350</v>
      </c>
      <c r="F34" s="429">
        <v>99.78</v>
      </c>
      <c r="G34" s="414">
        <f t="shared" si="0"/>
        <v>134703</v>
      </c>
      <c r="H34" s="429">
        <v>0</v>
      </c>
      <c r="I34" s="429">
        <v>0</v>
      </c>
      <c r="J34" s="414">
        <f t="shared" si="1"/>
        <v>0</v>
      </c>
      <c r="K34" s="414">
        <f t="shared" si="2"/>
        <v>134703</v>
      </c>
      <c r="L34" s="414">
        <f t="shared" si="2"/>
        <v>134703</v>
      </c>
      <c r="M34" s="435">
        <f t="shared" si="3"/>
        <v>4.0000000153668225E-3</v>
      </c>
      <c r="N34" s="404" t="s">
        <v>316</v>
      </c>
      <c r="O34" s="381" t="s">
        <v>317</v>
      </c>
      <c r="P34" s="415"/>
      <c r="Q34" s="415"/>
      <c r="R34" s="415"/>
      <c r="S34" s="415"/>
      <c r="T34" s="415"/>
      <c r="U34" s="415"/>
      <c r="V34" s="415"/>
      <c r="W34" s="415"/>
    </row>
    <row r="35" spans="1:23">
      <c r="A35" s="86"/>
      <c r="B35" s="413"/>
      <c r="C35" s="86"/>
      <c r="D35" s="86"/>
      <c r="E35" s="86"/>
      <c r="F35" s="429"/>
      <c r="G35" s="414"/>
      <c r="H35" s="429"/>
      <c r="I35" s="429"/>
      <c r="J35" s="414"/>
      <c r="K35" s="414"/>
      <c r="L35" s="414"/>
      <c r="M35" s="435"/>
      <c r="N35" s="404"/>
      <c r="O35" s="381"/>
      <c r="P35" s="415"/>
      <c r="Q35" s="415"/>
      <c r="R35" s="415"/>
      <c r="S35" s="415"/>
      <c r="T35" s="415"/>
      <c r="U35" s="415"/>
      <c r="V35" s="415"/>
      <c r="W35" s="415"/>
    </row>
    <row r="36" spans="1:23">
      <c r="A36" s="86"/>
      <c r="B36" s="413"/>
      <c r="C36" s="86"/>
      <c r="D36" s="86"/>
      <c r="E36" s="86"/>
      <c r="F36" s="429"/>
      <c r="G36" s="414"/>
      <c r="H36" s="429"/>
      <c r="I36" s="429"/>
      <c r="J36" s="414"/>
      <c r="K36" s="414"/>
      <c r="L36" s="414"/>
      <c r="M36" s="435"/>
      <c r="N36" s="404"/>
      <c r="O36" s="381"/>
      <c r="P36" s="415"/>
      <c r="Q36" s="415"/>
      <c r="R36" s="415"/>
      <c r="S36" s="415"/>
      <c r="T36" s="415"/>
      <c r="U36" s="415"/>
      <c r="V36" s="415"/>
      <c r="W36" s="415"/>
    </row>
    <row r="37" spans="1:23">
      <c r="A37" s="86"/>
      <c r="B37" s="413"/>
      <c r="C37" s="86"/>
      <c r="D37" s="86"/>
      <c r="E37" s="86"/>
      <c r="F37" s="429"/>
      <c r="G37" s="414"/>
      <c r="H37" s="429"/>
      <c r="I37" s="429"/>
      <c r="J37" s="414"/>
      <c r="K37" s="414"/>
      <c r="L37" s="414"/>
      <c r="M37" s="435"/>
      <c r="N37" s="404"/>
      <c r="O37" s="381"/>
      <c r="P37" s="415"/>
      <c r="Q37" s="415"/>
      <c r="R37" s="415"/>
      <c r="S37" s="415"/>
      <c r="T37" s="415"/>
      <c r="U37" s="415"/>
      <c r="V37" s="415"/>
      <c r="W37" s="415"/>
    </row>
    <row r="38" spans="1:23">
      <c r="A38" s="86"/>
      <c r="B38" s="413"/>
      <c r="C38" s="86"/>
      <c r="D38" s="86"/>
      <c r="E38" s="86"/>
      <c r="F38" s="429"/>
      <c r="G38" s="414"/>
      <c r="H38" s="429"/>
      <c r="I38" s="429"/>
      <c r="J38" s="414"/>
      <c r="K38" s="414"/>
      <c r="L38" s="414"/>
      <c r="M38" s="435"/>
      <c r="N38" s="404"/>
      <c r="O38" s="381"/>
      <c r="P38" s="415"/>
      <c r="Q38" s="415"/>
      <c r="R38" s="415"/>
      <c r="S38" s="415"/>
      <c r="T38" s="415"/>
      <c r="U38" s="415"/>
      <c r="V38" s="415"/>
      <c r="W38" s="415"/>
    </row>
    <row r="39" spans="1:23">
      <c r="A39" s="86"/>
      <c r="B39" s="86"/>
      <c r="C39" s="86"/>
      <c r="D39" s="86"/>
      <c r="E39" s="429">
        <f>SUM(E4:E34)</f>
        <v>39436.770000000004</v>
      </c>
      <c r="F39" s="86"/>
      <c r="G39" s="429">
        <f>SUM(G4:G34)</f>
        <v>3690231.2697000001</v>
      </c>
      <c r="H39" s="429">
        <f>SUM(H4:H34)</f>
        <v>0</v>
      </c>
      <c r="I39" s="86"/>
      <c r="J39" s="429">
        <f>SUM(J4:J34)</f>
        <v>0</v>
      </c>
      <c r="K39" s="429">
        <f>SUM(K4:K34)</f>
        <v>3690231.2697000001</v>
      </c>
      <c r="L39" s="429">
        <f>SUM(L4:L34)</f>
        <v>3690231.2657000003</v>
      </c>
      <c r="M39" s="86"/>
      <c r="N39" s="404"/>
      <c r="O39" s="381"/>
      <c r="P39" s="415"/>
      <c r="Q39" s="415"/>
      <c r="R39" s="415"/>
      <c r="S39" s="415"/>
      <c r="T39" s="415"/>
      <c r="U39" s="415"/>
      <c r="V39" s="415"/>
      <c r="W39" s="415"/>
    </row>
    <row r="40" spans="1:23">
      <c r="A40" s="415"/>
      <c r="B40" s="415"/>
      <c r="C40" s="415"/>
      <c r="D40" s="415"/>
      <c r="E40" s="415"/>
      <c r="F40" s="415"/>
      <c r="G40" s="415"/>
      <c r="H40" s="415"/>
      <c r="I40" s="415"/>
      <c r="J40" s="415"/>
      <c r="K40" s="415"/>
      <c r="L40" s="415"/>
      <c r="M40" s="415"/>
      <c r="N40" s="415"/>
      <c r="O40" s="381"/>
      <c r="P40" s="415"/>
      <c r="Q40" s="415"/>
      <c r="R40" s="415"/>
      <c r="S40" s="415"/>
      <c r="T40" s="415"/>
      <c r="U40" s="415"/>
      <c r="V40" s="415"/>
      <c r="W40" s="415"/>
    </row>
    <row r="41" spans="1:23">
      <c r="A41" s="415"/>
      <c r="B41" s="415"/>
      <c r="C41" s="415"/>
      <c r="D41" s="415"/>
      <c r="E41" s="415"/>
      <c r="F41" s="415"/>
      <c r="G41" s="415"/>
      <c r="H41" s="415"/>
      <c r="I41" s="415"/>
      <c r="J41" s="415"/>
      <c r="K41" s="415"/>
      <c r="L41" s="415"/>
      <c r="M41" s="415"/>
      <c r="N41" s="415"/>
      <c r="O41" s="415"/>
      <c r="P41" s="415"/>
      <c r="Q41" s="415"/>
      <c r="R41" s="415"/>
      <c r="S41" s="415"/>
      <c r="T41" s="415"/>
      <c r="U41" s="415"/>
      <c r="V41" s="415"/>
      <c r="W41" s="415"/>
    </row>
    <row r="42" spans="1:23">
      <c r="A42" s="415"/>
      <c r="B42" s="415"/>
      <c r="C42" s="415"/>
      <c r="D42" s="415"/>
      <c r="E42" s="415"/>
      <c r="F42" s="415"/>
      <c r="G42" s="415"/>
      <c r="H42" s="415"/>
      <c r="I42" s="415"/>
      <c r="J42" s="415"/>
      <c r="K42" s="415"/>
      <c r="L42" s="415"/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415"/>
    </row>
    <row r="43" spans="1:23">
      <c r="A43" s="415"/>
      <c r="B43" s="415"/>
      <c r="C43" s="415"/>
      <c r="D43" s="415"/>
      <c r="E43" s="415"/>
      <c r="F43" s="415"/>
      <c r="G43" s="415"/>
      <c r="H43" s="415"/>
      <c r="I43" s="415"/>
      <c r="J43" s="415"/>
      <c r="K43" s="415"/>
      <c r="L43" s="415"/>
      <c r="M43" s="415"/>
      <c r="N43" s="415"/>
      <c r="O43" s="415"/>
      <c r="P43" s="415"/>
      <c r="Q43" s="415"/>
      <c r="R43" s="415"/>
      <c r="S43" s="415"/>
      <c r="T43" s="415"/>
      <c r="U43" s="415"/>
      <c r="V43" s="415"/>
      <c r="W43" s="415"/>
    </row>
    <row r="44" spans="1:23">
      <c r="A44" s="415"/>
      <c r="B44" s="415"/>
      <c r="C44" s="415"/>
      <c r="D44" s="415"/>
      <c r="E44" s="415"/>
      <c r="F44" s="415"/>
      <c r="G44" s="415"/>
      <c r="H44" s="415"/>
      <c r="I44" s="415"/>
      <c r="J44" s="415"/>
      <c r="K44" s="415"/>
      <c r="L44" s="415"/>
      <c r="M44" s="415"/>
      <c r="N44" s="415"/>
      <c r="O44" s="415"/>
      <c r="P44" s="415"/>
      <c r="Q44" s="415"/>
      <c r="R44" s="415"/>
      <c r="S44" s="415"/>
      <c r="T44" s="415"/>
      <c r="U44" s="415"/>
      <c r="V44" s="415"/>
      <c r="W44" s="415"/>
    </row>
    <row r="45" spans="1:23">
      <c r="A45" s="415"/>
      <c r="B45" s="415"/>
      <c r="C45" s="415"/>
      <c r="D45" s="415"/>
      <c r="E45" s="415"/>
      <c r="F45" s="415"/>
      <c r="G45" s="415"/>
      <c r="H45" s="415"/>
      <c r="I45" s="415"/>
      <c r="J45" s="415"/>
      <c r="K45" s="415"/>
      <c r="L45" s="415"/>
      <c r="M45" s="415"/>
      <c r="N45" s="415"/>
      <c r="O45" s="415"/>
      <c r="P45" s="415"/>
      <c r="Q45" s="415"/>
      <c r="R45" s="415"/>
      <c r="S45" s="415"/>
      <c r="T45" s="415"/>
      <c r="U45" s="415"/>
      <c r="V45" s="415"/>
      <c r="W45" s="415"/>
    </row>
    <row r="46" spans="1:23">
      <c r="A46" s="415"/>
      <c r="B46" s="415"/>
      <c r="C46" s="415"/>
      <c r="D46" s="415"/>
      <c r="E46" s="415"/>
      <c r="F46" s="415"/>
      <c r="G46" s="415"/>
      <c r="H46" s="415"/>
      <c r="I46" s="415"/>
      <c r="J46" s="415"/>
      <c r="K46" s="415"/>
      <c r="L46" s="415"/>
      <c r="M46" s="415"/>
      <c r="N46" s="415"/>
      <c r="O46" s="415"/>
      <c r="P46" s="415"/>
      <c r="Q46" s="415"/>
      <c r="R46" s="415"/>
      <c r="S46" s="415"/>
      <c r="T46" s="415"/>
      <c r="U46" s="415"/>
      <c r="V46" s="415"/>
      <c r="W46" s="415"/>
    </row>
    <row r="47" spans="1:23">
      <c r="A47" s="415"/>
      <c r="B47" s="415"/>
      <c r="C47" s="415"/>
      <c r="D47" s="415"/>
      <c r="E47" s="415"/>
      <c r="F47" s="415"/>
      <c r="G47" s="415"/>
      <c r="H47" s="415"/>
      <c r="I47" s="415"/>
      <c r="J47" s="415"/>
      <c r="K47" s="415"/>
      <c r="L47" s="415"/>
      <c r="M47" s="415"/>
      <c r="N47" s="415"/>
      <c r="O47" s="415"/>
      <c r="P47" s="415"/>
      <c r="Q47" s="415"/>
      <c r="R47" s="415"/>
      <c r="S47" s="415"/>
      <c r="T47" s="415"/>
      <c r="U47" s="415"/>
      <c r="V47" s="415"/>
      <c r="W47" s="415"/>
    </row>
    <row r="48" spans="1:23">
      <c r="A48" s="415"/>
      <c r="B48" s="415"/>
      <c r="C48" s="415"/>
      <c r="D48" s="415"/>
      <c r="E48" s="415"/>
      <c r="F48" s="415"/>
      <c r="G48" s="415"/>
      <c r="H48" s="415"/>
      <c r="I48" s="415"/>
      <c r="J48" s="415"/>
      <c r="K48" s="415"/>
      <c r="L48" s="415"/>
      <c r="M48" s="415"/>
      <c r="N48" s="415"/>
      <c r="O48" s="415"/>
      <c r="P48" s="415"/>
      <c r="Q48" s="415"/>
      <c r="R48" s="415"/>
      <c r="S48" s="415"/>
      <c r="T48" s="415"/>
      <c r="U48" s="415"/>
      <c r="V48" s="415"/>
      <c r="W48" s="415"/>
    </row>
    <row r="49" spans="1:23">
      <c r="A49" s="415"/>
      <c r="B49" s="415"/>
      <c r="C49" s="415"/>
      <c r="D49" s="415"/>
      <c r="E49" s="415"/>
      <c r="F49" s="415"/>
      <c r="G49" s="415"/>
      <c r="H49" s="415"/>
      <c r="I49" s="415"/>
      <c r="J49" s="415"/>
      <c r="K49" s="415"/>
      <c r="L49" s="415"/>
      <c r="M49" s="415"/>
      <c r="N49" s="415"/>
      <c r="O49" s="415"/>
      <c r="P49" s="415"/>
      <c r="Q49" s="415"/>
      <c r="R49" s="415"/>
      <c r="S49" s="415"/>
      <c r="T49" s="415"/>
      <c r="U49" s="415"/>
      <c r="V49" s="415"/>
      <c r="W49" s="415"/>
    </row>
    <row r="50" spans="1:23">
      <c r="A50" s="415"/>
      <c r="B50" s="415"/>
      <c r="C50" s="415"/>
      <c r="D50" s="415"/>
      <c r="E50" s="415"/>
      <c r="F50" s="415"/>
      <c r="G50" s="415"/>
      <c r="H50" s="415"/>
      <c r="I50" s="415"/>
      <c r="J50" s="415"/>
      <c r="K50" s="415"/>
      <c r="L50" s="415"/>
      <c r="M50" s="415"/>
      <c r="N50" s="415"/>
      <c r="O50" s="415"/>
      <c r="P50" s="415"/>
      <c r="Q50" s="415"/>
      <c r="R50" s="415"/>
      <c r="S50" s="415"/>
      <c r="T50" s="415"/>
      <c r="U50" s="415"/>
      <c r="V50" s="415"/>
      <c r="W50" s="415"/>
    </row>
    <row r="51" spans="1:23">
      <c r="A51" s="415"/>
      <c r="B51" s="415"/>
      <c r="C51" s="415"/>
      <c r="D51" s="415"/>
      <c r="E51" s="415"/>
      <c r="F51" s="415"/>
      <c r="G51" s="415"/>
      <c r="H51" s="415"/>
      <c r="I51" s="415"/>
      <c r="J51" s="415"/>
      <c r="K51" s="415"/>
      <c r="L51" s="415"/>
      <c r="M51" s="415"/>
      <c r="N51" s="415"/>
      <c r="O51" s="415"/>
      <c r="P51" s="415"/>
      <c r="Q51" s="415"/>
      <c r="R51" s="415"/>
      <c r="S51" s="415"/>
      <c r="T51" s="415"/>
      <c r="U51" s="415"/>
      <c r="V51" s="415"/>
      <c r="W51" s="415"/>
    </row>
    <row r="52" spans="1:23">
      <c r="A52" s="415"/>
      <c r="B52" s="415"/>
      <c r="C52" s="415"/>
      <c r="D52" s="415"/>
      <c r="E52" s="415"/>
      <c r="F52" s="415"/>
      <c r="G52" s="415"/>
      <c r="H52" s="415"/>
      <c r="I52" s="415"/>
      <c r="J52" s="415"/>
      <c r="K52" s="415"/>
      <c r="L52" s="415"/>
      <c r="M52" s="415"/>
      <c r="N52" s="415"/>
      <c r="O52" s="415"/>
      <c r="P52" s="415"/>
      <c r="Q52" s="415"/>
      <c r="R52" s="415"/>
      <c r="S52" s="415"/>
      <c r="T52" s="415"/>
      <c r="U52" s="415"/>
      <c r="V52" s="415"/>
      <c r="W52" s="415"/>
    </row>
    <row r="53" spans="1:23">
      <c r="A53" s="415"/>
      <c r="B53" s="415"/>
      <c r="C53" s="415"/>
      <c r="D53" s="415"/>
      <c r="E53" s="415"/>
      <c r="F53" s="415"/>
      <c r="G53" s="415"/>
      <c r="H53" s="415"/>
      <c r="I53" s="415"/>
      <c r="J53" s="415"/>
      <c r="K53" s="415"/>
      <c r="L53" s="415"/>
      <c r="M53" s="415"/>
      <c r="N53" s="415"/>
      <c r="O53" s="415"/>
      <c r="P53" s="415"/>
      <c r="Q53" s="415"/>
      <c r="R53" s="415"/>
      <c r="S53" s="415"/>
      <c r="T53" s="415"/>
      <c r="U53" s="415"/>
      <c r="V53" s="415"/>
      <c r="W53" s="415"/>
    </row>
    <row r="54" spans="1:23">
      <c r="A54" s="415"/>
      <c r="B54" s="415"/>
      <c r="C54" s="415"/>
      <c r="D54" s="415"/>
      <c r="E54" s="415"/>
      <c r="F54" s="415"/>
      <c r="G54" s="415"/>
      <c r="H54" s="415"/>
      <c r="I54" s="415"/>
      <c r="J54" s="415"/>
      <c r="K54" s="415"/>
      <c r="L54" s="415"/>
      <c r="M54" s="415"/>
      <c r="N54" s="415"/>
      <c r="O54" s="415"/>
      <c r="P54" s="415"/>
      <c r="Q54" s="415"/>
      <c r="R54" s="415"/>
      <c r="S54" s="415"/>
      <c r="T54" s="415"/>
      <c r="U54" s="415"/>
      <c r="V54" s="415"/>
      <c r="W54" s="415"/>
    </row>
    <row r="55" spans="1:23">
      <c r="A55" s="415"/>
      <c r="B55" s="415"/>
      <c r="C55" s="415"/>
      <c r="D55" s="415"/>
      <c r="E55" s="415"/>
      <c r="F55" s="415"/>
      <c r="G55" s="415"/>
      <c r="H55" s="415"/>
      <c r="I55" s="415"/>
      <c r="J55" s="415"/>
      <c r="K55" s="415"/>
      <c r="L55" s="415"/>
      <c r="M55" s="415"/>
      <c r="N55" s="415"/>
      <c r="O55" s="415"/>
      <c r="P55" s="415"/>
      <c r="Q55" s="415"/>
      <c r="R55" s="415"/>
      <c r="S55" s="415"/>
      <c r="T55" s="415"/>
      <c r="U55" s="415"/>
      <c r="V55" s="415"/>
      <c r="W55" s="415"/>
    </row>
    <row r="56" spans="1:23">
      <c r="A56" s="415"/>
      <c r="B56" s="415"/>
      <c r="C56" s="415"/>
      <c r="D56" s="415"/>
      <c r="E56" s="415"/>
      <c r="F56" s="415"/>
      <c r="G56" s="415"/>
      <c r="H56" s="415"/>
      <c r="I56" s="415"/>
      <c r="J56" s="415"/>
      <c r="K56" s="415"/>
      <c r="L56" s="415"/>
      <c r="M56" s="415"/>
      <c r="N56" s="415"/>
      <c r="O56" s="415"/>
      <c r="P56" s="415"/>
      <c r="Q56" s="415"/>
      <c r="R56" s="415"/>
      <c r="S56" s="415"/>
      <c r="T56" s="415"/>
      <c r="U56" s="415"/>
      <c r="V56" s="415"/>
      <c r="W56" s="415"/>
    </row>
    <row r="57" spans="1:23">
      <c r="A57" s="415"/>
      <c r="B57" s="415"/>
      <c r="C57" s="415"/>
      <c r="D57" s="415"/>
      <c r="E57" s="415"/>
      <c r="F57" s="415"/>
      <c r="G57" s="415"/>
      <c r="H57" s="415"/>
      <c r="I57" s="415"/>
      <c r="J57" s="415"/>
      <c r="K57" s="415"/>
      <c r="L57" s="415"/>
      <c r="M57" s="415"/>
      <c r="N57" s="415"/>
      <c r="O57" s="415"/>
      <c r="P57" s="415"/>
      <c r="Q57" s="415"/>
      <c r="R57" s="415"/>
      <c r="S57" s="415"/>
      <c r="T57" s="415"/>
      <c r="U57" s="415"/>
      <c r="V57" s="415"/>
      <c r="W57" s="415"/>
    </row>
    <row r="58" spans="1:23">
      <c r="A58" s="415"/>
      <c r="B58" s="415"/>
      <c r="C58" s="415"/>
      <c r="D58" s="415"/>
      <c r="E58" s="415"/>
      <c r="F58" s="415"/>
      <c r="G58" s="415"/>
      <c r="H58" s="415"/>
      <c r="I58" s="415"/>
      <c r="J58" s="415"/>
      <c r="K58" s="415"/>
      <c r="L58" s="415"/>
      <c r="M58" s="415"/>
      <c r="N58" s="415"/>
      <c r="O58" s="415"/>
      <c r="P58" s="415"/>
      <c r="Q58" s="415"/>
      <c r="R58" s="415"/>
      <c r="S58" s="415"/>
      <c r="T58" s="415"/>
      <c r="U58" s="415"/>
      <c r="V58" s="415"/>
      <c r="W58" s="415"/>
    </row>
    <row r="59" spans="1:23">
      <c r="A59" s="415"/>
      <c r="B59" s="415"/>
      <c r="C59" s="415"/>
      <c r="D59" s="415"/>
      <c r="E59" s="415"/>
      <c r="F59" s="415"/>
      <c r="G59" s="415"/>
      <c r="H59" s="415"/>
      <c r="I59" s="415"/>
      <c r="J59" s="415"/>
      <c r="K59" s="415"/>
      <c r="L59" s="415"/>
      <c r="M59" s="415"/>
      <c r="N59" s="415"/>
      <c r="O59" s="415"/>
      <c r="P59" s="415"/>
      <c r="Q59" s="415"/>
      <c r="R59" s="415"/>
      <c r="S59" s="415"/>
      <c r="T59" s="415"/>
      <c r="U59" s="415"/>
      <c r="V59" s="415"/>
      <c r="W59" s="415"/>
    </row>
    <row r="60" spans="1:23">
      <c r="A60" s="415"/>
      <c r="B60" s="415"/>
      <c r="C60" s="415"/>
      <c r="D60" s="415"/>
      <c r="E60" s="415"/>
      <c r="F60" s="415"/>
      <c r="G60" s="415"/>
      <c r="H60" s="415"/>
      <c r="I60" s="415"/>
      <c r="J60" s="415"/>
      <c r="K60" s="415"/>
      <c r="L60" s="415"/>
      <c r="M60" s="415"/>
      <c r="N60" s="415"/>
      <c r="O60" s="415"/>
      <c r="P60" s="415"/>
      <c r="Q60" s="415"/>
      <c r="R60" s="415"/>
      <c r="S60" s="415"/>
      <c r="T60" s="415"/>
      <c r="U60" s="415"/>
      <c r="V60" s="415"/>
      <c r="W60" s="415"/>
    </row>
    <row r="61" spans="1:23">
      <c r="A61" s="415"/>
      <c r="B61" s="415"/>
      <c r="C61" s="415"/>
      <c r="D61" s="415"/>
      <c r="E61" s="415"/>
      <c r="F61" s="415"/>
      <c r="G61" s="415"/>
      <c r="H61" s="415"/>
      <c r="I61" s="415"/>
      <c r="J61" s="415"/>
      <c r="K61" s="415"/>
      <c r="L61" s="415"/>
      <c r="M61" s="415"/>
      <c r="N61" s="415"/>
      <c r="O61" s="415"/>
      <c r="P61" s="415"/>
      <c r="Q61" s="415"/>
      <c r="R61" s="415"/>
      <c r="S61" s="415"/>
      <c r="T61" s="415"/>
      <c r="U61" s="415"/>
      <c r="V61" s="415"/>
      <c r="W61" s="415"/>
    </row>
    <row r="62" spans="1:23">
      <c r="A62" s="415"/>
      <c r="B62" s="415"/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  <c r="O62" s="415"/>
      <c r="P62" s="415"/>
      <c r="Q62" s="415"/>
      <c r="R62" s="415"/>
      <c r="S62" s="415"/>
      <c r="T62" s="415"/>
      <c r="U62" s="415"/>
      <c r="V62" s="415"/>
      <c r="W62" s="415"/>
    </row>
    <row r="63" spans="1:23">
      <c r="A63" s="415"/>
      <c r="B63" s="415"/>
      <c r="C63" s="415"/>
      <c r="D63" s="415"/>
      <c r="E63" s="415"/>
      <c r="F63" s="415"/>
      <c r="G63" s="415"/>
      <c r="H63" s="415"/>
      <c r="I63" s="415"/>
      <c r="J63" s="415"/>
      <c r="K63" s="415"/>
      <c r="L63" s="415"/>
      <c r="M63" s="415"/>
      <c r="N63" s="415"/>
      <c r="O63" s="415"/>
      <c r="P63" s="415"/>
      <c r="Q63" s="415"/>
      <c r="R63" s="415"/>
      <c r="S63" s="415"/>
      <c r="T63" s="415"/>
      <c r="U63" s="415"/>
      <c r="V63" s="415"/>
      <c r="W63" s="415"/>
    </row>
    <row r="64" spans="1:23">
      <c r="A64" s="415"/>
      <c r="B64" s="415"/>
      <c r="C64" s="415"/>
      <c r="D64" s="415"/>
      <c r="E64" s="415"/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5"/>
      <c r="W64" s="415"/>
    </row>
    <row r="65" spans="1:23">
      <c r="A65" s="415"/>
      <c r="B65" s="415"/>
      <c r="C65" s="415"/>
      <c r="D65" s="415"/>
      <c r="E65" s="415"/>
      <c r="F65" s="415"/>
      <c r="G65" s="415"/>
      <c r="H65" s="415"/>
      <c r="I65" s="415"/>
      <c r="J65" s="415"/>
      <c r="K65" s="415"/>
      <c r="L65" s="415"/>
      <c r="M65" s="415"/>
      <c r="N65" s="415"/>
      <c r="O65" s="415"/>
      <c r="P65" s="415"/>
      <c r="Q65" s="415"/>
      <c r="R65" s="415"/>
      <c r="S65" s="415"/>
      <c r="T65" s="415"/>
      <c r="U65" s="415"/>
      <c r="V65" s="415"/>
      <c r="W65" s="415"/>
    </row>
    <row r="66" spans="1:23">
      <c r="A66" s="415"/>
      <c r="B66" s="415"/>
      <c r="C66" s="415"/>
      <c r="D66" s="415"/>
      <c r="E66" s="415"/>
      <c r="F66" s="415"/>
      <c r="G66" s="415"/>
      <c r="H66" s="415"/>
      <c r="I66" s="415"/>
      <c r="J66" s="415"/>
      <c r="K66" s="415"/>
      <c r="L66" s="415"/>
      <c r="M66" s="415"/>
      <c r="N66" s="415"/>
      <c r="O66" s="415"/>
      <c r="P66" s="415"/>
      <c r="Q66" s="415"/>
      <c r="R66" s="415"/>
      <c r="S66" s="415"/>
      <c r="T66" s="415"/>
      <c r="U66" s="415"/>
      <c r="V66" s="415"/>
      <c r="W66" s="415"/>
    </row>
    <row r="67" spans="1:23">
      <c r="A67" s="415"/>
      <c r="B67" s="415"/>
      <c r="C67" s="415"/>
      <c r="D67" s="582" t="s">
        <v>344</v>
      </c>
      <c r="E67" s="583"/>
      <c r="F67" s="415"/>
      <c r="G67" s="415"/>
      <c r="H67" s="415"/>
      <c r="I67" s="415"/>
      <c r="J67" s="415"/>
      <c r="K67" s="415"/>
      <c r="L67" s="415"/>
      <c r="M67" s="415"/>
      <c r="N67" s="415"/>
      <c r="O67" s="415"/>
      <c r="P67" s="415"/>
      <c r="Q67" s="415"/>
      <c r="R67" s="415"/>
      <c r="S67" s="415"/>
      <c r="T67" s="415"/>
      <c r="U67" s="415"/>
      <c r="V67" s="415"/>
      <c r="W67" s="415"/>
    </row>
    <row r="68" spans="1:23">
      <c r="A68" s="415"/>
      <c r="B68" s="415"/>
      <c r="C68" s="415"/>
      <c r="D68" s="243" t="s">
        <v>308</v>
      </c>
      <c r="E68" s="402">
        <f>SUMIFS($E$4:$E$34,$N$4:$N$34,D68)</f>
        <v>0</v>
      </c>
      <c r="F68" s="415"/>
      <c r="G68" s="415"/>
      <c r="H68" s="415"/>
      <c r="I68" s="415"/>
      <c r="J68" s="415"/>
      <c r="K68" s="415"/>
      <c r="L68" s="415"/>
      <c r="M68" s="415"/>
      <c r="N68" s="415"/>
      <c r="O68" s="415"/>
      <c r="P68" s="415"/>
      <c r="Q68" s="415"/>
      <c r="R68" s="415"/>
      <c r="S68" s="415"/>
      <c r="T68" s="415"/>
      <c r="U68" s="415"/>
      <c r="V68" s="415"/>
      <c r="W68" s="415"/>
    </row>
    <row r="69" spans="1:23">
      <c r="A69" s="415"/>
      <c r="B69" s="415"/>
      <c r="C69" s="415"/>
      <c r="D69" s="86" t="s">
        <v>81</v>
      </c>
      <c r="E69" s="86">
        <f>SUMIFS($E$4:$E$34,$N$4:$N$34,D69)</f>
        <v>0</v>
      </c>
      <c r="F69" s="415"/>
      <c r="G69" s="415"/>
      <c r="H69" s="415"/>
      <c r="I69" s="415"/>
      <c r="J69" s="415"/>
      <c r="K69" s="415"/>
      <c r="L69" s="415"/>
      <c r="M69" s="415"/>
      <c r="N69" s="415"/>
      <c r="O69" s="415"/>
      <c r="P69" s="415"/>
      <c r="Q69" s="415"/>
      <c r="R69" s="415"/>
      <c r="S69" s="415"/>
      <c r="T69" s="415"/>
      <c r="U69" s="415"/>
      <c r="V69" s="415"/>
      <c r="W69" s="415"/>
    </row>
    <row r="70" spans="1:23">
      <c r="A70" s="415"/>
      <c r="B70" s="415"/>
      <c r="C70" s="415"/>
      <c r="D70" s="86" t="s">
        <v>316</v>
      </c>
      <c r="E70" s="86">
        <f>SUMIFS($E$4:$E$34,$N$4:$N$34,D70)</f>
        <v>11771.380000000001</v>
      </c>
      <c r="F70" s="415"/>
      <c r="G70" s="415"/>
      <c r="H70" s="415"/>
      <c r="I70" s="415"/>
      <c r="J70" s="415"/>
      <c r="K70" s="415"/>
      <c r="L70" s="415"/>
      <c r="M70" s="415"/>
      <c r="N70" s="415"/>
      <c r="O70" s="415"/>
      <c r="P70" s="415"/>
      <c r="Q70" s="415"/>
      <c r="R70" s="415"/>
      <c r="S70" s="415"/>
      <c r="T70" s="415"/>
      <c r="U70" s="415"/>
      <c r="V70" s="415"/>
      <c r="W70" s="415"/>
    </row>
    <row r="71" spans="1:23">
      <c r="A71" s="415"/>
      <c r="B71" s="415"/>
      <c r="C71" s="415"/>
      <c r="D71" s="86" t="s">
        <v>319</v>
      </c>
      <c r="E71" s="86">
        <f>SUMIFS($E$4:$E$34,$N$4:$N$34,D71)</f>
        <v>22.08</v>
      </c>
      <c r="F71" s="415"/>
      <c r="G71" s="415"/>
      <c r="H71" s="415"/>
      <c r="I71" s="415"/>
      <c r="J71" s="415"/>
      <c r="K71" s="415"/>
      <c r="L71" s="415"/>
      <c r="M71" s="415"/>
      <c r="N71" s="415"/>
      <c r="O71" s="415"/>
      <c r="P71" s="415"/>
      <c r="Q71" s="415"/>
      <c r="R71" s="415"/>
      <c r="S71" s="415"/>
      <c r="T71" s="415"/>
      <c r="U71" s="415"/>
      <c r="V71" s="415"/>
      <c r="W71" s="415"/>
    </row>
    <row r="72" spans="1:23">
      <c r="A72" s="415"/>
      <c r="B72" s="415"/>
      <c r="C72" s="415"/>
      <c r="D72" s="86" t="s">
        <v>321</v>
      </c>
      <c r="E72" s="86">
        <f>SUMIFS($E$4:$E$34,$N$4:$N$34,D72)</f>
        <v>200</v>
      </c>
      <c r="F72" s="415"/>
      <c r="G72" s="415"/>
      <c r="H72" s="415"/>
      <c r="I72" s="415"/>
      <c r="J72" s="415"/>
      <c r="K72" s="415"/>
      <c r="L72" s="415"/>
      <c r="M72" s="415"/>
      <c r="N72" s="415"/>
      <c r="O72" s="415"/>
      <c r="P72" s="415"/>
      <c r="Q72" s="415"/>
      <c r="R72" s="415"/>
      <c r="S72" s="415"/>
      <c r="T72" s="415"/>
      <c r="U72" s="415"/>
      <c r="V72" s="415"/>
      <c r="W72" s="415"/>
    </row>
    <row r="73" spans="1:23">
      <c r="A73" s="415"/>
      <c r="B73" s="415"/>
      <c r="C73" s="415"/>
      <c r="D73" s="86" t="s">
        <v>322</v>
      </c>
      <c r="E73" s="86">
        <f>SUMIFS($E$4:$E$34,$N$4:$N$34,D73)</f>
        <v>5202</v>
      </c>
      <c r="F73" s="415"/>
      <c r="G73" s="415"/>
      <c r="H73" s="415"/>
      <c r="I73" s="415"/>
      <c r="J73" s="415"/>
      <c r="K73" s="415"/>
      <c r="L73" s="415"/>
      <c r="M73" s="415"/>
      <c r="N73" s="415"/>
      <c r="O73" s="415"/>
      <c r="P73" s="415"/>
      <c r="Q73" s="415"/>
      <c r="R73" s="415"/>
      <c r="S73" s="415"/>
      <c r="T73" s="415"/>
      <c r="U73" s="415"/>
      <c r="V73" s="415"/>
      <c r="W73" s="415"/>
    </row>
    <row r="74" spans="1:23">
      <c r="A74" s="415"/>
      <c r="B74" s="415"/>
      <c r="C74" s="415"/>
      <c r="D74" s="86" t="s">
        <v>325</v>
      </c>
      <c r="E74" s="86">
        <f>SUMIFS($E$4:$E$34,$N$4:$N$34,D74)</f>
        <v>11199.8</v>
      </c>
      <c r="F74" s="415"/>
      <c r="G74" s="415"/>
      <c r="H74" s="415"/>
      <c r="I74" s="415"/>
      <c r="J74" s="415"/>
      <c r="K74" s="415"/>
      <c r="L74" s="415"/>
      <c r="M74" s="415"/>
      <c r="N74" s="415"/>
      <c r="O74" s="415"/>
      <c r="P74" s="415"/>
      <c r="Q74" s="415"/>
      <c r="R74" s="415"/>
      <c r="S74" s="415"/>
      <c r="T74" s="415"/>
      <c r="U74" s="415"/>
      <c r="V74" s="415"/>
      <c r="W74" s="415"/>
    </row>
    <row r="75" spans="1:23">
      <c r="A75" s="415"/>
      <c r="B75" s="415"/>
      <c r="C75" s="415"/>
      <c r="D75" s="404" t="s">
        <v>331</v>
      </c>
      <c r="E75" s="86">
        <f>SUMIFS($E$4:$E$34,$N$4:$N$34,D75)</f>
        <v>2000</v>
      </c>
      <c r="F75" s="415"/>
      <c r="G75" s="415"/>
      <c r="H75" s="415"/>
      <c r="I75" s="415"/>
      <c r="J75" s="415"/>
      <c r="K75" s="415"/>
      <c r="L75" s="415"/>
      <c r="M75" s="415"/>
      <c r="N75" s="415"/>
      <c r="O75" s="415"/>
      <c r="P75" s="415"/>
      <c r="Q75" s="415"/>
      <c r="R75" s="415"/>
      <c r="S75" s="415"/>
      <c r="T75" s="415"/>
      <c r="U75" s="415"/>
      <c r="V75" s="415"/>
      <c r="W75" s="415"/>
    </row>
    <row r="76" spans="1:23">
      <c r="A76" s="415"/>
      <c r="B76" s="415"/>
      <c r="C76" s="415"/>
      <c r="D76" s="86"/>
      <c r="E76" s="86">
        <f>SUMIFS($E$4:$E$34,$N$4:$N$34,D76)</f>
        <v>0</v>
      </c>
      <c r="F76" s="415"/>
      <c r="G76" s="415"/>
      <c r="H76" s="415"/>
      <c r="I76" s="415"/>
      <c r="J76" s="415"/>
      <c r="K76" s="415"/>
      <c r="L76" s="415"/>
      <c r="M76" s="415"/>
      <c r="N76" s="415"/>
      <c r="O76" s="415"/>
      <c r="P76" s="415"/>
      <c r="Q76" s="415"/>
      <c r="R76" s="415"/>
      <c r="S76" s="415"/>
      <c r="T76" s="415"/>
      <c r="U76" s="415"/>
      <c r="V76" s="415"/>
      <c r="W76" s="415"/>
    </row>
    <row r="77" spans="1:23">
      <c r="A77" s="415"/>
      <c r="B77" s="415"/>
      <c r="C77" s="415"/>
      <c r="D77" s="86"/>
      <c r="E77" s="86"/>
      <c r="F77" s="415"/>
      <c r="G77" s="415"/>
      <c r="H77" s="415"/>
      <c r="I77" s="415"/>
      <c r="J77" s="415"/>
      <c r="K77" s="415"/>
      <c r="L77" s="415"/>
      <c r="M77" s="415"/>
      <c r="N77" s="415"/>
      <c r="O77" s="415"/>
      <c r="P77" s="415"/>
      <c r="Q77" s="415"/>
      <c r="R77" s="415"/>
      <c r="S77" s="415"/>
      <c r="T77" s="415"/>
      <c r="U77" s="415"/>
      <c r="V77" s="415"/>
      <c r="W77" s="415"/>
    </row>
    <row r="78" spans="1:23">
      <c r="A78" s="415"/>
      <c r="B78" s="415"/>
      <c r="C78" s="415"/>
      <c r="D78" s="439" t="s">
        <v>345</v>
      </c>
      <c r="E78" s="439">
        <f>SUM(E68:E77)</f>
        <v>30395.26</v>
      </c>
      <c r="F78" s="415"/>
      <c r="G78" s="415"/>
      <c r="H78" s="415"/>
      <c r="I78" s="415"/>
      <c r="J78" s="415"/>
      <c r="K78" s="415"/>
      <c r="L78" s="415"/>
      <c r="M78" s="415"/>
      <c r="N78" s="415"/>
      <c r="O78" s="415"/>
      <c r="P78" s="415"/>
      <c r="Q78" s="415"/>
      <c r="R78" s="415"/>
      <c r="S78" s="415"/>
      <c r="T78" s="415"/>
      <c r="U78" s="415"/>
      <c r="V78" s="415"/>
      <c r="W78" s="415"/>
    </row>
    <row r="79" spans="1:23">
      <c r="A79" s="415"/>
      <c r="B79" s="415"/>
      <c r="C79" s="415"/>
      <c r="D79" s="415"/>
      <c r="E79" s="415"/>
      <c r="F79" s="415"/>
      <c r="G79" s="415"/>
      <c r="H79" s="415"/>
      <c r="I79" s="415"/>
      <c r="J79" s="415"/>
      <c r="K79" s="415"/>
      <c r="L79" s="415"/>
      <c r="M79" s="415"/>
      <c r="N79" s="415"/>
      <c r="O79" s="415"/>
      <c r="P79" s="415"/>
      <c r="Q79" s="415"/>
      <c r="R79" s="415"/>
      <c r="S79" s="415"/>
      <c r="T79" s="415"/>
      <c r="U79" s="415"/>
      <c r="V79" s="415"/>
      <c r="W79" s="415"/>
    </row>
  </sheetData>
  <mergeCells count="3">
    <mergeCell ref="A1:N1"/>
    <mergeCell ref="A3:J3"/>
    <mergeCell ref="D67:E6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44"/>
  <sheetViews>
    <sheetView tabSelected="1" workbookViewId="0">
      <pane ySplit="2" topLeftCell="A25" activePane="bottomLeft" state="frozen"/>
      <selection pane="bottomLeft" activeCell="B35" sqref="B35:B36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26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9.7109375" bestFit="1" customWidth="1"/>
  </cols>
  <sheetData>
    <row r="1" spans="1:15" ht="15.75" customHeight="1">
      <c r="A1" s="538" t="s">
        <v>132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"/>
    </row>
    <row r="2" spans="1:15" ht="30">
      <c r="A2" s="54" t="s">
        <v>0</v>
      </c>
      <c r="B2" s="55" t="s">
        <v>166</v>
      </c>
      <c r="C2" s="55" t="s">
        <v>167</v>
      </c>
      <c r="D2" s="55" t="s">
        <v>168</v>
      </c>
      <c r="E2" s="55" t="s">
        <v>169</v>
      </c>
      <c r="F2" s="55" t="s">
        <v>170</v>
      </c>
      <c r="G2" s="55" t="s">
        <v>171</v>
      </c>
      <c r="H2" s="55" t="s">
        <v>172</v>
      </c>
      <c r="I2" s="55" t="s">
        <v>170</v>
      </c>
      <c r="J2" s="56" t="s">
        <v>171</v>
      </c>
      <c r="K2" s="57" t="s">
        <v>173</v>
      </c>
      <c r="L2" s="58" t="s">
        <v>174</v>
      </c>
      <c r="M2" s="115" t="s">
        <v>199</v>
      </c>
      <c r="N2" s="100" t="s">
        <v>176</v>
      </c>
      <c r="O2" s="59"/>
    </row>
    <row r="3" spans="1:15">
      <c r="A3" s="131" t="s">
        <v>177</v>
      </c>
      <c r="B3" s="132"/>
      <c r="C3" s="132"/>
      <c r="D3" s="132"/>
      <c r="E3" s="132"/>
      <c r="F3" s="132"/>
      <c r="G3" s="132"/>
      <c r="H3" s="132"/>
      <c r="I3" s="132"/>
      <c r="J3" s="132"/>
      <c r="K3" s="259">
        <v>2570275.5498000002</v>
      </c>
      <c r="L3" s="133"/>
      <c r="M3" s="260">
        <f>+K3</f>
        <v>2570275.5498000002</v>
      </c>
      <c r="N3" s="17"/>
      <c r="O3" s="59">
        <v>1194596.9738</v>
      </c>
    </row>
    <row r="4" spans="1:15">
      <c r="A4" s="46">
        <v>1</v>
      </c>
      <c r="B4" s="200">
        <v>46143</v>
      </c>
      <c r="C4" s="10"/>
      <c r="D4" s="18"/>
      <c r="E4" s="8"/>
      <c r="F4" s="8"/>
      <c r="G4" s="16">
        <f>E4*F4</f>
        <v>0</v>
      </c>
      <c r="H4" s="7"/>
      <c r="I4" s="7"/>
      <c r="J4" s="21">
        <f>H4*I4</f>
        <v>0</v>
      </c>
      <c r="K4" s="8">
        <f>G4+J4</f>
        <v>0</v>
      </c>
      <c r="L4" s="8"/>
      <c r="M4" s="8">
        <f t="shared" ref="M4:M22" si="0">M3+K4-L4</f>
        <v>2570275.5498000002</v>
      </c>
      <c r="N4" s="19"/>
      <c r="O4" s="1"/>
    </row>
    <row r="5" spans="1:15">
      <c r="A5" s="46">
        <v>2</v>
      </c>
      <c r="B5" s="200">
        <v>46144</v>
      </c>
      <c r="C5" s="10"/>
      <c r="D5" s="18"/>
      <c r="E5" s="8"/>
      <c r="F5" s="8"/>
      <c r="G5" s="16">
        <f t="shared" ref="G5:G8" si="1">E5*F5</f>
        <v>0</v>
      </c>
      <c r="H5" s="7"/>
      <c r="I5" s="7"/>
      <c r="J5" s="21">
        <f t="shared" ref="J5" si="2">H5*I5</f>
        <v>0</v>
      </c>
      <c r="K5" s="8">
        <f t="shared" ref="K5:K7" si="3">G5+J5</f>
        <v>0</v>
      </c>
      <c r="L5" s="8"/>
      <c r="M5" s="8">
        <f t="shared" si="0"/>
        <v>2570275.5498000002</v>
      </c>
      <c r="N5" s="8"/>
      <c r="O5" s="1"/>
    </row>
    <row r="6" spans="1:15">
      <c r="A6" s="46">
        <v>3</v>
      </c>
      <c r="B6" s="200">
        <v>46145</v>
      </c>
      <c r="C6" s="10"/>
      <c r="D6" s="18"/>
      <c r="E6" s="8"/>
      <c r="F6" s="8"/>
      <c r="G6" s="16">
        <f t="shared" si="1"/>
        <v>0</v>
      </c>
      <c r="H6" s="7"/>
      <c r="I6" s="7"/>
      <c r="J6" s="21">
        <f>H6*I6</f>
        <v>0</v>
      </c>
      <c r="K6" s="8">
        <f t="shared" si="3"/>
        <v>0</v>
      </c>
      <c r="L6" s="8"/>
      <c r="M6" s="8">
        <f t="shared" si="0"/>
        <v>2570275.5498000002</v>
      </c>
      <c r="N6" s="8"/>
      <c r="O6" s="1"/>
    </row>
    <row r="7" spans="1:15">
      <c r="A7" s="46">
        <v>4</v>
      </c>
      <c r="B7" s="200">
        <v>46146</v>
      </c>
      <c r="C7" s="10"/>
      <c r="D7" s="18"/>
      <c r="E7" s="8">
        <v>2000</v>
      </c>
      <c r="F7" s="8">
        <v>91.14</v>
      </c>
      <c r="G7" s="16">
        <f t="shared" si="1"/>
        <v>182280</v>
      </c>
      <c r="H7" s="7">
        <v>25</v>
      </c>
      <c r="I7" s="318">
        <v>104.6</v>
      </c>
      <c r="J7" s="21">
        <f>H7*I7</f>
        <v>2615</v>
      </c>
      <c r="K7" s="8">
        <f t="shared" si="3"/>
        <v>184895</v>
      </c>
      <c r="L7" s="8"/>
      <c r="M7" s="8">
        <f t="shared" si="0"/>
        <v>2755170.5498000002</v>
      </c>
      <c r="N7" s="8"/>
      <c r="O7" s="1"/>
    </row>
    <row r="8" spans="1:15">
      <c r="A8" s="46">
        <v>5</v>
      </c>
      <c r="B8" s="200">
        <v>46147</v>
      </c>
      <c r="C8" s="10"/>
      <c r="D8" s="18"/>
      <c r="E8" s="8">
        <v>500</v>
      </c>
      <c r="F8" s="8">
        <v>91.14</v>
      </c>
      <c r="G8" s="16">
        <f t="shared" si="1"/>
        <v>45570</v>
      </c>
      <c r="H8" s="7"/>
      <c r="I8" s="318"/>
      <c r="J8" s="21">
        <v>0</v>
      </c>
      <c r="K8" s="8">
        <f t="shared" ref="K8:K40" si="4">G8+J8</f>
        <v>45570</v>
      </c>
      <c r="L8" s="8"/>
      <c r="M8" s="8">
        <f t="shared" si="0"/>
        <v>2800740.5498000002</v>
      </c>
      <c r="N8" s="8"/>
      <c r="O8" s="1"/>
    </row>
    <row r="9" spans="1:15">
      <c r="A9" s="46">
        <v>6</v>
      </c>
      <c r="B9" s="200">
        <v>46148</v>
      </c>
      <c r="C9" s="10"/>
      <c r="D9" s="18"/>
      <c r="E9" s="8">
        <v>2000</v>
      </c>
      <c r="F9" s="8">
        <v>91.14</v>
      </c>
      <c r="G9" s="16">
        <f>E9*F9</f>
        <v>182280</v>
      </c>
      <c r="H9" s="7"/>
      <c r="I9" s="318"/>
      <c r="J9" s="16">
        <f>H9*I9</f>
        <v>0</v>
      </c>
      <c r="K9" s="8">
        <f t="shared" ref="K9:K39" si="5">G9+J9</f>
        <v>182280</v>
      </c>
      <c r="L9" s="8"/>
      <c r="M9" s="8">
        <f t="shared" si="0"/>
        <v>2983020.5498000002</v>
      </c>
      <c r="N9" s="8"/>
      <c r="O9" s="1"/>
    </row>
    <row r="10" spans="1:15">
      <c r="A10" s="46">
        <v>7</v>
      </c>
      <c r="B10" s="200">
        <v>46149</v>
      </c>
      <c r="C10" s="10"/>
      <c r="D10" s="18"/>
      <c r="E10" s="8"/>
      <c r="F10" s="8"/>
      <c r="G10" s="16">
        <f>E10*F10</f>
        <v>0</v>
      </c>
      <c r="H10" s="7"/>
      <c r="I10" s="318"/>
      <c r="J10" s="16">
        <f>H10*I10</f>
        <v>0</v>
      </c>
      <c r="K10" s="8">
        <f t="shared" si="5"/>
        <v>0</v>
      </c>
      <c r="L10" s="8"/>
      <c r="M10" s="8">
        <f t="shared" si="0"/>
        <v>2983020.5498000002</v>
      </c>
      <c r="N10" s="8"/>
      <c r="O10" s="1"/>
    </row>
    <row r="11" spans="1:15">
      <c r="A11" s="46">
        <v>8</v>
      </c>
      <c r="B11" s="200">
        <v>46150</v>
      </c>
      <c r="C11" s="10"/>
      <c r="D11" s="18"/>
      <c r="E11" s="8">
        <v>2000</v>
      </c>
      <c r="F11" s="8">
        <v>91.14</v>
      </c>
      <c r="G11" s="16">
        <f>E11*F11</f>
        <v>182280</v>
      </c>
      <c r="H11" s="7">
        <v>10</v>
      </c>
      <c r="I11" s="318">
        <v>104.6</v>
      </c>
      <c r="J11" s="16">
        <f>H11*I11</f>
        <v>1046</v>
      </c>
      <c r="K11" s="8">
        <f t="shared" si="5"/>
        <v>183326</v>
      </c>
      <c r="L11" s="8"/>
      <c r="M11" s="8">
        <f t="shared" si="0"/>
        <v>3166346.5498000002</v>
      </c>
      <c r="N11" s="8"/>
      <c r="O11" s="1"/>
    </row>
    <row r="12" spans="1:15">
      <c r="A12" s="46">
        <v>9</v>
      </c>
      <c r="B12" s="200">
        <v>46151</v>
      </c>
      <c r="C12" s="10"/>
      <c r="D12" s="18"/>
      <c r="E12" s="8"/>
      <c r="F12" s="8"/>
      <c r="G12" s="16">
        <v>0</v>
      </c>
      <c r="H12" s="7"/>
      <c r="I12" s="318"/>
      <c r="J12" s="21">
        <v>0</v>
      </c>
      <c r="K12" s="8">
        <f t="shared" si="5"/>
        <v>0</v>
      </c>
      <c r="L12" s="8"/>
      <c r="M12" s="8">
        <f t="shared" si="0"/>
        <v>3166346.5498000002</v>
      </c>
      <c r="N12" s="8"/>
      <c r="O12" s="1"/>
    </row>
    <row r="13" spans="1:15">
      <c r="A13" s="46">
        <v>10</v>
      </c>
      <c r="B13" s="200">
        <v>46152</v>
      </c>
      <c r="C13" s="10"/>
      <c r="D13" s="18"/>
      <c r="E13" s="8"/>
      <c r="F13" s="8"/>
      <c r="G13" s="16">
        <f>E13*F13</f>
        <v>0</v>
      </c>
      <c r="H13" s="7"/>
      <c r="I13" s="318"/>
      <c r="J13" s="16">
        <f>H13*I13</f>
        <v>0</v>
      </c>
      <c r="K13" s="8">
        <f t="shared" ref="K13" si="6">G13+J13</f>
        <v>0</v>
      </c>
      <c r="L13" s="8"/>
      <c r="M13" s="181">
        <f t="shared" si="0"/>
        <v>3166346.5498000002</v>
      </c>
      <c r="N13" s="8"/>
      <c r="O13" s="1"/>
    </row>
    <row r="14" spans="1:15">
      <c r="A14" s="46">
        <v>11</v>
      </c>
      <c r="B14" s="200">
        <v>46153</v>
      </c>
      <c r="C14" s="10"/>
      <c r="D14" s="18"/>
      <c r="E14" s="8">
        <v>1300</v>
      </c>
      <c r="F14" s="8">
        <v>91.14</v>
      </c>
      <c r="G14" s="16">
        <f>E14*F14</f>
        <v>118482</v>
      </c>
      <c r="H14" s="7">
        <v>10</v>
      </c>
      <c r="I14" s="318">
        <v>104.6</v>
      </c>
      <c r="J14" s="16">
        <f>H14*I14</f>
        <v>1046</v>
      </c>
      <c r="K14" s="8">
        <f>G14+J14</f>
        <v>119528</v>
      </c>
      <c r="L14" s="8">
        <v>1000000</v>
      </c>
      <c r="M14" s="8">
        <f t="shared" si="0"/>
        <v>2285874.5498000002</v>
      </c>
      <c r="N14" s="192" t="s">
        <v>202</v>
      </c>
      <c r="O14" s="1"/>
    </row>
    <row r="15" spans="1:15">
      <c r="A15" s="46"/>
      <c r="B15" s="200">
        <v>46154</v>
      </c>
      <c r="C15" s="10"/>
      <c r="D15" s="442" t="s">
        <v>346</v>
      </c>
      <c r="E15" s="443">
        <v>5</v>
      </c>
      <c r="F15" s="8">
        <v>422</v>
      </c>
      <c r="G15" s="16">
        <f t="shared" ref="G15:G16" si="7">E15*F15</f>
        <v>2110</v>
      </c>
      <c r="H15" s="7"/>
      <c r="I15" s="318"/>
      <c r="J15" s="16"/>
      <c r="K15" s="8">
        <f t="shared" ref="K15:K36" si="8">G15+J15</f>
        <v>2110</v>
      </c>
      <c r="L15" s="8"/>
      <c r="M15" s="8">
        <f t="shared" si="0"/>
        <v>2287984.5498000002</v>
      </c>
      <c r="N15" s="192"/>
      <c r="O15" s="1"/>
    </row>
    <row r="16" spans="1:15">
      <c r="A16" s="46"/>
      <c r="B16" s="200">
        <v>46155</v>
      </c>
      <c r="C16" s="10"/>
      <c r="D16" s="442" t="s">
        <v>347</v>
      </c>
      <c r="E16" s="443">
        <v>18</v>
      </c>
      <c r="F16" s="8">
        <v>488.91</v>
      </c>
      <c r="G16" s="16">
        <f t="shared" si="7"/>
        <v>8800.380000000001</v>
      </c>
      <c r="H16" s="7"/>
      <c r="I16" s="318"/>
      <c r="J16" s="16"/>
      <c r="K16" s="8">
        <f t="shared" si="8"/>
        <v>8800.380000000001</v>
      </c>
      <c r="L16" s="8"/>
      <c r="M16" s="8">
        <f t="shared" si="0"/>
        <v>2296784.9298</v>
      </c>
      <c r="N16" s="192"/>
      <c r="O16" s="1"/>
    </row>
    <row r="17" spans="1:17">
      <c r="A17" s="46">
        <v>12</v>
      </c>
      <c r="B17" s="200">
        <v>46156</v>
      </c>
      <c r="C17" s="10"/>
      <c r="D17" s="18"/>
      <c r="E17" s="8"/>
      <c r="F17" s="8"/>
      <c r="G17" s="16">
        <f t="shared" ref="G17" si="9">E17*F17</f>
        <v>0</v>
      </c>
      <c r="H17" s="7"/>
      <c r="I17" s="318"/>
      <c r="J17" s="16">
        <f t="shared" ref="J17:J35" si="10">H17*I17</f>
        <v>0</v>
      </c>
      <c r="K17" s="8">
        <f t="shared" si="8"/>
        <v>0</v>
      </c>
      <c r="L17" s="8"/>
      <c r="M17" s="8">
        <f t="shared" si="0"/>
        <v>2296784.9298</v>
      </c>
      <c r="N17" s="192"/>
      <c r="O17" s="1"/>
    </row>
    <row r="18" spans="1:17">
      <c r="A18" s="46">
        <v>13</v>
      </c>
      <c r="B18" s="200">
        <v>46157</v>
      </c>
      <c r="C18" s="10"/>
      <c r="D18" s="18"/>
      <c r="E18" s="8">
        <v>1000</v>
      </c>
      <c r="F18" s="8">
        <v>91.14</v>
      </c>
      <c r="G18" s="16">
        <f>E18*F18</f>
        <v>91140</v>
      </c>
      <c r="H18" s="7">
        <v>10</v>
      </c>
      <c r="I18" s="318">
        <v>104.6</v>
      </c>
      <c r="J18" s="16">
        <f>H18*I18</f>
        <v>1046</v>
      </c>
      <c r="K18" s="8">
        <f t="shared" si="8"/>
        <v>92186</v>
      </c>
      <c r="L18" s="8"/>
      <c r="M18" s="8">
        <f t="shared" si="0"/>
        <v>2388970.9298</v>
      </c>
      <c r="N18" s="192"/>
      <c r="O18" s="1"/>
    </row>
    <row r="19" spans="1:17">
      <c r="A19" s="46">
        <v>14</v>
      </c>
      <c r="B19" s="200">
        <v>46158</v>
      </c>
      <c r="C19" s="10"/>
      <c r="D19" s="18"/>
      <c r="E19" s="8">
        <v>1000</v>
      </c>
      <c r="F19" s="8">
        <v>94.25</v>
      </c>
      <c r="G19" s="16">
        <f>E19*F19</f>
        <v>94250</v>
      </c>
      <c r="H19" s="7">
        <v>20</v>
      </c>
      <c r="I19" s="318">
        <v>107.74</v>
      </c>
      <c r="J19" s="16">
        <f>H19*I19</f>
        <v>2154.7999999999997</v>
      </c>
      <c r="K19" s="8">
        <f t="shared" si="8"/>
        <v>96404.800000000003</v>
      </c>
      <c r="L19" s="8"/>
      <c r="M19" s="8">
        <f t="shared" si="0"/>
        <v>2485375.7297999999</v>
      </c>
      <c r="N19" s="192"/>
      <c r="O19" s="1"/>
    </row>
    <row r="20" spans="1:17">
      <c r="A20" s="46">
        <v>15</v>
      </c>
      <c r="B20" s="200">
        <v>46159</v>
      </c>
      <c r="C20" s="10"/>
      <c r="D20" s="18"/>
      <c r="K20" s="8">
        <f t="shared" si="8"/>
        <v>0</v>
      </c>
      <c r="L20" s="8"/>
      <c r="M20" s="8">
        <f t="shared" si="0"/>
        <v>2485375.7297999999</v>
      </c>
      <c r="N20" s="192"/>
      <c r="O20" s="1"/>
    </row>
    <row r="21" spans="1:17">
      <c r="A21" s="46">
        <v>16</v>
      </c>
      <c r="B21" s="200">
        <v>46160</v>
      </c>
      <c r="C21" s="10"/>
      <c r="D21" s="18"/>
      <c r="K21" s="8">
        <f t="shared" si="8"/>
        <v>0</v>
      </c>
      <c r="L21" s="8"/>
      <c r="M21" s="8">
        <f t="shared" si="0"/>
        <v>2485375.7297999999</v>
      </c>
      <c r="N21" s="192"/>
      <c r="O21" s="1"/>
    </row>
    <row r="22" spans="1:17">
      <c r="A22" s="46">
        <v>17</v>
      </c>
      <c r="B22" s="200">
        <v>46161</v>
      </c>
      <c r="C22" s="10"/>
      <c r="D22" s="18"/>
      <c r="E22" s="8">
        <v>1952.19</v>
      </c>
      <c r="F22" s="8">
        <v>95.19</v>
      </c>
      <c r="G22" s="16">
        <f>E22*F22</f>
        <v>185828.96609999999</v>
      </c>
      <c r="H22" s="7">
        <v>20</v>
      </c>
      <c r="I22" s="318">
        <v>108.64</v>
      </c>
      <c r="J22" s="16">
        <f>H22*I22</f>
        <v>2172.8000000000002</v>
      </c>
      <c r="K22" s="8">
        <f t="shared" si="8"/>
        <v>188001.76609999998</v>
      </c>
      <c r="L22" s="8"/>
      <c r="M22" s="8">
        <f t="shared" si="0"/>
        <v>2673377.4959</v>
      </c>
      <c r="N22" s="192"/>
      <c r="O22" s="1"/>
    </row>
    <row r="23" spans="1:17">
      <c r="A23" s="46"/>
      <c r="B23" s="200">
        <v>46162</v>
      </c>
      <c r="C23" s="10"/>
      <c r="D23" s="18"/>
      <c r="E23" s="8">
        <v>3894.42</v>
      </c>
      <c r="F23" s="8">
        <v>95.19</v>
      </c>
      <c r="G23" s="16">
        <f>E23*F23</f>
        <v>370709.83980000002</v>
      </c>
      <c r="H23" s="7"/>
      <c r="I23" s="318"/>
      <c r="J23" s="16">
        <f>H23*I23</f>
        <v>0</v>
      </c>
      <c r="K23" s="8">
        <f t="shared" si="8"/>
        <v>370709.83980000002</v>
      </c>
      <c r="L23" s="8"/>
      <c r="M23" s="8">
        <f t="shared" ref="M19:M40" si="11">M22+K23-L23</f>
        <v>3044087.3357000002</v>
      </c>
      <c r="N23" s="192"/>
      <c r="O23" s="1"/>
    </row>
    <row r="24" spans="1:17">
      <c r="A24" s="46">
        <v>18</v>
      </c>
      <c r="B24" s="200">
        <v>46163</v>
      </c>
      <c r="C24" s="10"/>
      <c r="D24" s="18"/>
      <c r="K24" s="8">
        <f t="shared" si="8"/>
        <v>0</v>
      </c>
      <c r="L24" s="8"/>
      <c r="M24" s="8">
        <f t="shared" si="11"/>
        <v>3044087.3357000002</v>
      </c>
      <c r="N24" s="192"/>
      <c r="O24" s="1"/>
    </row>
    <row r="25" spans="1:17">
      <c r="A25" s="46">
        <v>19</v>
      </c>
      <c r="B25" s="200">
        <v>46164</v>
      </c>
      <c r="C25" s="10"/>
      <c r="D25" s="18"/>
      <c r="E25" s="8">
        <v>3000</v>
      </c>
      <c r="F25" s="8">
        <v>95.19</v>
      </c>
      <c r="G25" s="16">
        <f>E25*F25</f>
        <v>285570</v>
      </c>
      <c r="H25" s="7"/>
      <c r="K25" s="8">
        <f t="shared" si="8"/>
        <v>285570</v>
      </c>
      <c r="L25" s="8"/>
      <c r="M25" s="8">
        <f t="shared" si="11"/>
        <v>3329657.3357000002</v>
      </c>
      <c r="N25" s="192"/>
      <c r="O25" s="1"/>
      <c r="Q25" s="329">
        <f>3800/26</f>
        <v>146.15384615384616</v>
      </c>
    </row>
    <row r="26" spans="1:17">
      <c r="A26" s="46">
        <v>20</v>
      </c>
      <c r="B26" s="200">
        <v>46165</v>
      </c>
      <c r="C26" s="10"/>
      <c r="D26" s="18"/>
      <c r="E26" s="8"/>
      <c r="F26" s="8"/>
      <c r="G26" s="16">
        <f t="shared" ref="G26" si="12">E26*F26</f>
        <v>0</v>
      </c>
      <c r="H26" s="7"/>
      <c r="I26" s="318"/>
      <c r="J26" s="16">
        <f t="shared" si="10"/>
        <v>0</v>
      </c>
      <c r="K26" s="8">
        <f t="shared" si="8"/>
        <v>0</v>
      </c>
      <c r="L26" s="8"/>
      <c r="M26" s="8">
        <f t="shared" si="11"/>
        <v>3329657.3357000002</v>
      </c>
      <c r="N26" s="192"/>
      <c r="O26" s="1" t="s">
        <v>348</v>
      </c>
    </row>
    <row r="27" spans="1:17">
      <c r="A27" s="46">
        <v>21</v>
      </c>
      <c r="B27" s="200">
        <v>46166</v>
      </c>
      <c r="C27" s="10"/>
      <c r="D27" s="18"/>
      <c r="I27" s="318"/>
      <c r="J27" s="16">
        <f t="shared" si="10"/>
        <v>0</v>
      </c>
      <c r="K27" s="8">
        <f t="shared" si="8"/>
        <v>0</v>
      </c>
      <c r="L27" s="8"/>
      <c r="M27" s="8">
        <f t="shared" si="11"/>
        <v>3329657.3357000002</v>
      </c>
      <c r="N27" s="192"/>
      <c r="O27" s="1"/>
    </row>
    <row r="28" spans="1:17">
      <c r="A28" s="46">
        <v>22</v>
      </c>
      <c r="B28" s="200">
        <v>46167</v>
      </c>
      <c r="C28" s="10"/>
      <c r="D28" s="18"/>
      <c r="E28" s="8"/>
      <c r="F28" s="8"/>
      <c r="G28" s="16">
        <f t="shared" ref="G28:G36" si="13">E28*F28</f>
        <v>0</v>
      </c>
      <c r="H28" s="7"/>
      <c r="I28" s="318"/>
      <c r="J28" s="16">
        <f t="shared" si="10"/>
        <v>0</v>
      </c>
      <c r="K28" s="8">
        <f t="shared" si="8"/>
        <v>0</v>
      </c>
      <c r="L28" s="8"/>
      <c r="M28" s="8">
        <f t="shared" si="11"/>
        <v>3329657.3357000002</v>
      </c>
      <c r="N28" s="192"/>
      <c r="O28" s="1"/>
    </row>
    <row r="29" spans="1:17">
      <c r="A29" s="46">
        <v>23</v>
      </c>
      <c r="B29" s="200">
        <v>46168</v>
      </c>
      <c r="C29" s="10"/>
      <c r="D29" s="18"/>
      <c r="E29" s="8">
        <v>1650.01</v>
      </c>
      <c r="F29" s="8">
        <v>98.94</v>
      </c>
      <c r="G29" s="16">
        <f>E29*F29</f>
        <v>163251.98939999999</v>
      </c>
      <c r="H29" s="7">
        <v>20</v>
      </c>
      <c r="I29" s="318">
        <v>112.27</v>
      </c>
      <c r="J29" s="16">
        <f t="shared" si="10"/>
        <v>2245.4</v>
      </c>
      <c r="K29" s="8">
        <f t="shared" si="8"/>
        <v>165497.38939999999</v>
      </c>
      <c r="L29" s="8"/>
      <c r="M29" s="8">
        <f t="shared" si="11"/>
        <v>3495154.7251000004</v>
      </c>
      <c r="N29" s="192"/>
      <c r="O29" s="1"/>
    </row>
    <row r="30" spans="1:17">
      <c r="A30" s="46">
        <v>24</v>
      </c>
      <c r="B30" s="200">
        <v>46169</v>
      </c>
      <c r="C30" s="10"/>
      <c r="D30" s="18"/>
      <c r="E30" s="8"/>
      <c r="F30" s="8"/>
      <c r="G30" s="16">
        <f t="shared" si="13"/>
        <v>0</v>
      </c>
      <c r="H30" s="7"/>
      <c r="I30" s="318"/>
      <c r="J30" s="16">
        <f t="shared" si="10"/>
        <v>0</v>
      </c>
      <c r="K30" s="8">
        <f t="shared" si="8"/>
        <v>0</v>
      </c>
      <c r="L30" s="8"/>
      <c r="M30" s="8">
        <f t="shared" si="11"/>
        <v>3495154.7251000004</v>
      </c>
      <c r="N30" s="192"/>
      <c r="O30" s="1"/>
    </row>
    <row r="31" spans="1:17">
      <c r="A31" s="46">
        <v>25</v>
      </c>
      <c r="B31" s="200">
        <v>46170</v>
      </c>
      <c r="C31" s="10"/>
      <c r="D31" s="18"/>
      <c r="E31" s="8">
        <v>2000</v>
      </c>
      <c r="F31" s="318">
        <v>98.94</v>
      </c>
      <c r="G31" s="16">
        <f>E31*F31</f>
        <v>197880</v>
      </c>
      <c r="J31" s="16">
        <f t="shared" si="10"/>
        <v>0</v>
      </c>
      <c r="K31" s="8">
        <f t="shared" si="8"/>
        <v>197880</v>
      </c>
      <c r="L31" s="8"/>
      <c r="M31" s="8">
        <f t="shared" si="11"/>
        <v>3693034.7251000004</v>
      </c>
      <c r="N31" s="192"/>
      <c r="O31" s="1"/>
    </row>
    <row r="32" spans="1:17">
      <c r="A32" s="46">
        <v>26</v>
      </c>
      <c r="B32" s="200">
        <v>46171</v>
      </c>
      <c r="C32" s="10"/>
      <c r="D32" s="18"/>
      <c r="E32" s="8"/>
      <c r="F32" s="8"/>
      <c r="G32" s="16">
        <f t="shared" si="13"/>
        <v>0</v>
      </c>
      <c r="H32" s="7"/>
      <c r="I32" s="318"/>
      <c r="J32" s="16">
        <f t="shared" si="10"/>
        <v>0</v>
      </c>
      <c r="K32" s="8">
        <f t="shared" si="8"/>
        <v>0</v>
      </c>
      <c r="L32" s="8"/>
      <c r="M32" s="8">
        <f t="shared" si="11"/>
        <v>3693034.7251000004</v>
      </c>
      <c r="N32" s="192"/>
      <c r="O32" s="1"/>
    </row>
    <row r="33" spans="1:17">
      <c r="A33" s="46">
        <v>27</v>
      </c>
      <c r="B33" s="200">
        <v>46172</v>
      </c>
      <c r="C33" s="10"/>
      <c r="D33" s="18"/>
      <c r="H33" s="7"/>
      <c r="I33" s="318"/>
      <c r="J33" s="16">
        <f t="shared" si="10"/>
        <v>0</v>
      </c>
      <c r="K33" s="8">
        <f t="shared" si="8"/>
        <v>0</v>
      </c>
      <c r="L33" s="8"/>
      <c r="M33" s="8">
        <f t="shared" si="11"/>
        <v>3693034.7251000004</v>
      </c>
      <c r="N33" s="192"/>
      <c r="O33" s="1"/>
    </row>
    <row r="34" spans="1:17">
      <c r="A34" s="46">
        <v>28</v>
      </c>
      <c r="B34" s="200">
        <v>46173</v>
      </c>
      <c r="C34" s="10"/>
      <c r="D34" s="18"/>
      <c r="E34" s="8">
        <v>2000</v>
      </c>
      <c r="F34" s="318">
        <v>98.94</v>
      </c>
      <c r="G34" s="16">
        <f t="shared" si="13"/>
        <v>197880</v>
      </c>
      <c r="H34" s="7"/>
      <c r="I34" s="318"/>
      <c r="J34" s="16">
        <f t="shared" si="10"/>
        <v>0</v>
      </c>
      <c r="K34" s="8">
        <f t="shared" si="8"/>
        <v>197880</v>
      </c>
      <c r="L34" s="8"/>
      <c r="M34" s="8">
        <f t="shared" si="11"/>
        <v>3890914.7251000004</v>
      </c>
      <c r="N34" s="192"/>
      <c r="O34" s="1"/>
    </row>
    <row r="35" spans="1:17">
      <c r="A35" s="46">
        <v>29</v>
      </c>
      <c r="B35" s="200"/>
      <c r="C35" s="10"/>
      <c r="D35" s="18"/>
      <c r="E35" s="8"/>
      <c r="F35" s="8"/>
      <c r="G35" s="16">
        <f t="shared" si="13"/>
        <v>0</v>
      </c>
      <c r="H35" s="7"/>
      <c r="I35" s="318"/>
      <c r="J35" s="16">
        <f t="shared" si="10"/>
        <v>0</v>
      </c>
      <c r="K35" s="8">
        <f t="shared" si="8"/>
        <v>0</v>
      </c>
      <c r="L35" s="8"/>
      <c r="M35" s="8">
        <f t="shared" si="11"/>
        <v>3890914.7251000004</v>
      </c>
      <c r="N35" s="192"/>
      <c r="O35" s="1"/>
    </row>
    <row r="36" spans="1:17">
      <c r="A36" s="46">
        <v>30</v>
      </c>
      <c r="B36" s="200"/>
      <c r="C36" s="10"/>
      <c r="D36" s="18"/>
      <c r="E36" s="8"/>
      <c r="F36" s="318"/>
      <c r="G36" s="16">
        <f t="shared" si="13"/>
        <v>0</v>
      </c>
      <c r="H36" s="7"/>
      <c r="I36" s="318"/>
      <c r="J36" s="21">
        <v>0</v>
      </c>
      <c r="K36" s="8">
        <f t="shared" si="8"/>
        <v>0</v>
      </c>
      <c r="L36" s="8"/>
      <c r="M36" s="8">
        <f t="shared" si="11"/>
        <v>3890914.7251000004</v>
      </c>
      <c r="N36" s="192"/>
      <c r="O36" s="1"/>
    </row>
    <row r="37" spans="1:17">
      <c r="A37" s="46">
        <v>31</v>
      </c>
      <c r="B37" s="200"/>
      <c r="C37" s="10"/>
      <c r="D37" s="18"/>
      <c r="E37" s="8"/>
      <c r="F37" s="8"/>
      <c r="G37" s="16">
        <v>0</v>
      </c>
      <c r="H37" s="7"/>
      <c r="I37" s="318"/>
      <c r="J37" s="21">
        <v>0</v>
      </c>
      <c r="K37" s="8">
        <f t="shared" si="5"/>
        <v>0</v>
      </c>
      <c r="L37" s="8"/>
      <c r="M37" s="8">
        <f t="shared" si="11"/>
        <v>3890914.7251000004</v>
      </c>
      <c r="N37" s="192"/>
      <c r="O37" s="1"/>
    </row>
    <row r="38" spans="1:17">
      <c r="A38" s="46">
        <v>32</v>
      </c>
      <c r="B38" s="200"/>
      <c r="C38" s="10"/>
      <c r="D38" s="18"/>
      <c r="E38" s="8"/>
      <c r="F38" s="8"/>
      <c r="G38" s="16">
        <f t="shared" ref="G38:G39" si="14">E38*F38</f>
        <v>0</v>
      </c>
      <c r="H38" s="7"/>
      <c r="I38" s="7"/>
      <c r="J38" s="21">
        <f t="shared" ref="J38:J39" si="15">H38*I38</f>
        <v>0</v>
      </c>
      <c r="K38" s="8">
        <f t="shared" si="5"/>
        <v>0</v>
      </c>
      <c r="L38" s="8"/>
      <c r="M38" s="8">
        <f t="shared" si="11"/>
        <v>3890914.7251000004</v>
      </c>
      <c r="N38" s="192"/>
      <c r="O38" s="1"/>
    </row>
    <row r="39" spans="1:17">
      <c r="A39" s="46">
        <v>31</v>
      </c>
      <c r="B39" s="200"/>
      <c r="C39" s="246"/>
      <c r="D39" s="247"/>
      <c r="E39" s="8"/>
      <c r="F39" s="8"/>
      <c r="G39" s="16">
        <f t="shared" si="14"/>
        <v>0</v>
      </c>
      <c r="H39" s="7"/>
      <c r="I39" s="7"/>
      <c r="J39" s="21">
        <f t="shared" si="15"/>
        <v>0</v>
      </c>
      <c r="K39" s="8">
        <f t="shared" si="5"/>
        <v>0</v>
      </c>
      <c r="L39" s="8"/>
      <c r="M39" s="8">
        <f t="shared" si="11"/>
        <v>3890914.7251000004</v>
      </c>
      <c r="N39" s="192"/>
      <c r="O39" s="1"/>
    </row>
    <row r="40" spans="1:17">
      <c r="A40" s="46">
        <v>32</v>
      </c>
      <c r="B40" s="200"/>
      <c r="C40" s="25"/>
      <c r="D40" s="18"/>
      <c r="E40" s="8">
        <v>0</v>
      </c>
      <c r="F40" s="8">
        <v>0</v>
      </c>
      <c r="G40" s="16">
        <f t="shared" ref="G40" si="16">E40*F40</f>
        <v>0</v>
      </c>
      <c r="H40" s="7"/>
      <c r="I40" s="7"/>
      <c r="J40" s="21">
        <f t="shared" ref="J40" si="17">H40*I40</f>
        <v>0</v>
      </c>
      <c r="K40" s="8">
        <f t="shared" si="4"/>
        <v>0</v>
      </c>
      <c r="L40" s="8"/>
      <c r="M40" s="8">
        <f t="shared" si="11"/>
        <v>3890914.7251000004</v>
      </c>
      <c r="N40" s="192"/>
      <c r="O40" s="1"/>
      <c r="P40">
        <v>1194597.71</v>
      </c>
      <c r="Q40" s="294">
        <f>P40-M40</f>
        <v>-2696317.0151000004</v>
      </c>
    </row>
    <row r="41" spans="1:17">
      <c r="A41" s="159"/>
      <c r="B41" s="159"/>
      <c r="C41" s="159"/>
      <c r="D41" s="159"/>
      <c r="E41" s="160">
        <f>SUM(E4:E40)</f>
        <v>24319.62</v>
      </c>
      <c r="F41" s="160"/>
      <c r="G41" s="160">
        <f>SUM(G4:G40)</f>
        <v>2308313.1753000002</v>
      </c>
      <c r="H41" s="160">
        <f>SUM(H4:H40)</f>
        <v>115</v>
      </c>
      <c r="I41" s="160"/>
      <c r="J41" s="160">
        <f>SUM(J4:J40)</f>
        <v>12325.999999999998</v>
      </c>
      <c r="K41" s="160">
        <f>SUM(K4:K40)</f>
        <v>2320639.1753000002</v>
      </c>
      <c r="L41" s="160">
        <f>SUM(L4:L40)</f>
        <v>1000000</v>
      </c>
      <c r="M41" s="160"/>
      <c r="N41" s="63"/>
      <c r="O41" s="59"/>
    </row>
    <row r="42" spans="1:17">
      <c r="A42" s="2"/>
      <c r="B42" s="2"/>
      <c r="C42" s="2"/>
      <c r="D42" s="2"/>
      <c r="E42" s="4"/>
      <c r="F42" s="4"/>
      <c r="G42" s="4"/>
      <c r="H42" s="4"/>
      <c r="I42" s="4"/>
      <c r="J42" s="4"/>
      <c r="K42" s="4"/>
      <c r="L42" s="4"/>
      <c r="M42" s="4"/>
      <c r="N42" s="4"/>
      <c r="O42" s="1"/>
    </row>
    <row r="43" spans="1:17">
      <c r="A43" s="1"/>
      <c r="B43" s="537"/>
      <c r="C43" s="537"/>
      <c r="D43" s="537"/>
      <c r="E43" s="537"/>
      <c r="F43" s="1"/>
      <c r="G43" s="1"/>
      <c r="H43" s="1"/>
      <c r="I43" s="537"/>
      <c r="J43" s="537"/>
      <c r="K43" s="537"/>
      <c r="L43" s="537"/>
      <c r="M43" s="537"/>
      <c r="N43" s="537"/>
      <c r="O43" s="4"/>
    </row>
    <row r="44" spans="1:1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"/>
    </row>
  </sheetData>
  <mergeCells count="3">
    <mergeCell ref="B43:E43"/>
    <mergeCell ref="I43:N43"/>
    <mergeCell ref="A1:N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A481-4949-437A-B00D-681FFAC09D30}">
  <sheetPr>
    <tabColor rgb="FF7030A0"/>
  </sheetPr>
  <dimension ref="A1:R56"/>
  <sheetViews>
    <sheetView topLeftCell="A24" workbookViewId="0">
      <selection activeCell="L37" sqref="L37"/>
    </sheetView>
  </sheetViews>
  <sheetFormatPr defaultRowHeight="15"/>
  <cols>
    <col min="2" max="2" width="10" customWidth="1"/>
    <col min="7" max="7" width="10.85546875" bestFit="1" customWidth="1"/>
    <col min="10" max="10" width="13.28515625" customWidth="1"/>
    <col min="11" max="12" width="13.5703125" bestFit="1" customWidth="1"/>
    <col min="13" max="13" width="11.85546875" bestFit="1" customWidth="1"/>
    <col min="14" max="14" width="17.140625" bestFit="1" customWidth="1"/>
  </cols>
  <sheetData>
    <row r="1" spans="1:15" ht="15.75">
      <c r="A1" s="550" t="s">
        <v>349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3"/>
    </row>
    <row r="2" spans="1:15" ht="30.75">
      <c r="A2" s="64" t="s">
        <v>0</v>
      </c>
      <c r="B2" s="83" t="s">
        <v>166</v>
      </c>
      <c r="C2" s="83" t="s">
        <v>167</v>
      </c>
      <c r="D2" s="83" t="s">
        <v>168</v>
      </c>
      <c r="E2" s="83" t="s">
        <v>169</v>
      </c>
      <c r="F2" s="83" t="s">
        <v>170</v>
      </c>
      <c r="G2" s="83" t="s">
        <v>171</v>
      </c>
      <c r="H2" s="83" t="s">
        <v>172</v>
      </c>
      <c r="I2" s="83" t="s">
        <v>170</v>
      </c>
      <c r="J2" s="84" t="s">
        <v>171</v>
      </c>
      <c r="K2" s="64" t="s">
        <v>173</v>
      </c>
      <c r="L2" s="85" t="s">
        <v>174</v>
      </c>
      <c r="M2" s="165" t="s">
        <v>199</v>
      </c>
      <c r="N2" s="83" t="s">
        <v>176</v>
      </c>
      <c r="O2" s="59"/>
    </row>
    <row r="3" spans="1:15">
      <c r="A3" s="144"/>
      <c r="B3" s="145"/>
      <c r="C3" s="145"/>
      <c r="D3" s="131" t="s">
        <v>177</v>
      </c>
      <c r="E3" s="145"/>
      <c r="F3" s="145"/>
      <c r="G3" s="145"/>
      <c r="H3" s="145"/>
      <c r="I3" s="145"/>
      <c r="J3" s="146"/>
      <c r="K3" s="261"/>
      <c r="L3" s="229">
        <v>60112.507899999982</v>
      </c>
      <c r="M3" s="229">
        <v>60112.507899999982</v>
      </c>
      <c r="N3" s="145"/>
      <c r="O3" s="59"/>
    </row>
    <row r="4" spans="1:15">
      <c r="A4" s="46">
        <v>1</v>
      </c>
      <c r="B4" s="200">
        <v>46143</v>
      </c>
      <c r="C4" s="25"/>
      <c r="D4" s="25"/>
      <c r="E4" s="8">
        <v>706.96</v>
      </c>
      <c r="F4" s="8">
        <v>91.49</v>
      </c>
      <c r="G4" s="8">
        <f>E4*F4</f>
        <v>64679.770400000001</v>
      </c>
      <c r="H4" s="9">
        <v>15</v>
      </c>
      <c r="I4" s="9">
        <v>103.43</v>
      </c>
      <c r="J4" s="8">
        <f>H4*I4</f>
        <v>1551.45</v>
      </c>
      <c r="K4" s="8">
        <f>G4+J4</f>
        <v>66231.220400000006</v>
      </c>
      <c r="L4" s="147">
        <v>0</v>
      </c>
      <c r="M4" s="8">
        <f>M3+K4-L4</f>
        <v>126343.72829999999</v>
      </c>
      <c r="N4" s="44"/>
      <c r="O4" s="1"/>
    </row>
    <row r="5" spans="1:15">
      <c r="A5" s="46">
        <v>2</v>
      </c>
      <c r="B5" s="200">
        <v>46144</v>
      </c>
      <c r="C5" s="25"/>
      <c r="D5" s="25"/>
      <c r="E5" s="8"/>
      <c r="F5" s="8"/>
      <c r="G5" s="8">
        <f t="shared" ref="G5:G34" si="0">E5*F5</f>
        <v>0</v>
      </c>
      <c r="H5" s="9"/>
      <c r="I5" s="9"/>
      <c r="J5" s="8">
        <f t="shared" ref="J5:J34" si="1">H5*I5</f>
        <v>0</v>
      </c>
      <c r="K5" s="8">
        <f t="shared" ref="K5:M40" si="2">G5+J5</f>
        <v>0</v>
      </c>
      <c r="L5" s="147">
        <v>0</v>
      </c>
      <c r="M5" s="8">
        <f t="shared" ref="M5:M41" si="3">M4+K5-L5</f>
        <v>126343.72829999999</v>
      </c>
      <c r="N5" s="44"/>
      <c r="O5" s="1"/>
    </row>
    <row r="6" spans="1:15">
      <c r="A6" s="46">
        <v>3</v>
      </c>
      <c r="B6" s="200">
        <v>46145</v>
      </c>
      <c r="C6" s="25"/>
      <c r="D6" s="25"/>
      <c r="E6" s="8">
        <v>200</v>
      </c>
      <c r="F6" s="8">
        <v>91.49</v>
      </c>
      <c r="G6" s="8">
        <f t="shared" si="0"/>
        <v>18298</v>
      </c>
      <c r="H6" s="9"/>
      <c r="I6" s="9"/>
      <c r="J6" s="8">
        <f t="shared" si="1"/>
        <v>0</v>
      </c>
      <c r="K6" s="8">
        <f t="shared" si="2"/>
        <v>18298</v>
      </c>
      <c r="L6" s="147">
        <v>0</v>
      </c>
      <c r="M6" s="8">
        <f t="shared" si="3"/>
        <v>144641.72829999999</v>
      </c>
      <c r="N6" s="44"/>
      <c r="O6" s="1"/>
    </row>
    <row r="7" spans="1:15">
      <c r="A7" s="46">
        <v>4</v>
      </c>
      <c r="B7" s="200">
        <v>46146</v>
      </c>
      <c r="C7" s="25"/>
      <c r="D7" s="25"/>
      <c r="E7" s="8">
        <v>599.1</v>
      </c>
      <c r="F7" s="8">
        <v>91.49</v>
      </c>
      <c r="G7" s="8">
        <f t="shared" si="0"/>
        <v>54811.659</v>
      </c>
      <c r="H7" s="9"/>
      <c r="I7" s="9"/>
      <c r="J7" s="8">
        <f t="shared" si="1"/>
        <v>0</v>
      </c>
      <c r="K7" s="8">
        <f t="shared" si="2"/>
        <v>54811.659</v>
      </c>
      <c r="L7" s="147">
        <v>0</v>
      </c>
      <c r="M7" s="8">
        <f t="shared" si="3"/>
        <v>199453.3873</v>
      </c>
      <c r="N7" s="44"/>
      <c r="O7" s="1"/>
    </row>
    <row r="8" spans="1:15">
      <c r="A8" s="46">
        <v>5</v>
      </c>
      <c r="B8" s="200">
        <v>46147</v>
      </c>
      <c r="C8" s="25"/>
      <c r="D8" s="25"/>
      <c r="E8" s="8">
        <v>420</v>
      </c>
      <c r="F8" s="8">
        <v>91.49</v>
      </c>
      <c r="G8" s="8">
        <f t="shared" si="0"/>
        <v>38425.799999999996</v>
      </c>
      <c r="H8" s="9">
        <v>11</v>
      </c>
      <c r="I8" s="9">
        <v>103.43</v>
      </c>
      <c r="J8" s="8">
        <f t="shared" si="1"/>
        <v>1137.73</v>
      </c>
      <c r="K8" s="8">
        <f t="shared" si="2"/>
        <v>39563.53</v>
      </c>
      <c r="L8" s="147">
        <v>0</v>
      </c>
      <c r="M8" s="8">
        <f t="shared" si="3"/>
        <v>239016.9173</v>
      </c>
      <c r="N8" s="44"/>
      <c r="O8" s="1"/>
    </row>
    <row r="9" spans="1:15">
      <c r="A9" s="46">
        <v>6</v>
      </c>
      <c r="B9" s="200">
        <v>46148</v>
      </c>
      <c r="C9" s="25"/>
      <c r="D9" s="25"/>
      <c r="E9" s="8">
        <v>371.9</v>
      </c>
      <c r="F9" s="8">
        <v>91.49</v>
      </c>
      <c r="G9" s="8">
        <f t="shared" si="0"/>
        <v>34025.130999999994</v>
      </c>
      <c r="H9" s="9">
        <v>31</v>
      </c>
      <c r="I9" s="9">
        <v>103.43</v>
      </c>
      <c r="J9" s="8">
        <f t="shared" si="1"/>
        <v>3206.3300000000004</v>
      </c>
      <c r="K9" s="8">
        <f t="shared" si="2"/>
        <v>37231.460999999996</v>
      </c>
      <c r="L9" s="147">
        <v>140000</v>
      </c>
      <c r="M9" s="8">
        <f t="shared" si="3"/>
        <v>136248.37829999998</v>
      </c>
      <c r="N9" s="44"/>
      <c r="O9" s="1"/>
    </row>
    <row r="10" spans="1:15">
      <c r="A10" s="46">
        <v>7</v>
      </c>
      <c r="B10" s="200">
        <v>46149</v>
      </c>
      <c r="C10" s="25"/>
      <c r="D10" s="25"/>
      <c r="E10" s="8">
        <v>614</v>
      </c>
      <c r="F10" s="8">
        <v>91.49</v>
      </c>
      <c r="G10" s="8">
        <f t="shared" si="0"/>
        <v>56174.859999999993</v>
      </c>
      <c r="H10" s="9"/>
      <c r="I10" s="9"/>
      <c r="J10" s="8">
        <f t="shared" si="1"/>
        <v>0</v>
      </c>
      <c r="K10" s="8">
        <f t="shared" si="2"/>
        <v>56174.859999999993</v>
      </c>
      <c r="L10" s="147">
        <v>0</v>
      </c>
      <c r="M10" s="8">
        <f t="shared" si="3"/>
        <v>192423.23829999997</v>
      </c>
      <c r="N10" s="44"/>
      <c r="O10" s="1"/>
    </row>
    <row r="11" spans="1:15">
      <c r="A11" s="46">
        <v>8</v>
      </c>
      <c r="B11" s="200">
        <v>46150</v>
      </c>
      <c r="C11" s="25"/>
      <c r="D11" s="25"/>
      <c r="E11" s="8">
        <v>255.43</v>
      </c>
      <c r="F11" s="8">
        <v>91.49</v>
      </c>
      <c r="G11" s="8">
        <f t="shared" si="0"/>
        <v>23369.290699999998</v>
      </c>
      <c r="H11" s="9"/>
      <c r="I11" s="9"/>
      <c r="J11" s="8">
        <f t="shared" si="1"/>
        <v>0</v>
      </c>
      <c r="K11" s="8">
        <f t="shared" si="2"/>
        <v>23369.290699999998</v>
      </c>
      <c r="L11" s="147">
        <v>0</v>
      </c>
      <c r="M11" s="8">
        <f t="shared" si="3"/>
        <v>215792.52899999998</v>
      </c>
      <c r="N11" s="44"/>
      <c r="O11" s="1"/>
    </row>
    <row r="12" spans="1:15">
      <c r="A12" s="46">
        <v>9</v>
      </c>
      <c r="B12" s="200">
        <v>46151</v>
      </c>
      <c r="C12" s="25"/>
      <c r="D12" s="25"/>
      <c r="E12" s="8">
        <v>35</v>
      </c>
      <c r="F12" s="8">
        <v>91.49</v>
      </c>
      <c r="G12" s="8">
        <f t="shared" si="0"/>
        <v>3202.1499999999996</v>
      </c>
      <c r="H12" s="9"/>
      <c r="I12" s="9"/>
      <c r="J12" s="8">
        <f t="shared" si="1"/>
        <v>0</v>
      </c>
      <c r="K12" s="8">
        <f t="shared" si="2"/>
        <v>3202.1499999999996</v>
      </c>
      <c r="L12" s="147"/>
      <c r="M12" s="8">
        <f t="shared" si="3"/>
        <v>218994.67899999997</v>
      </c>
      <c r="N12" s="44"/>
      <c r="O12" s="1" t="s">
        <v>350</v>
      </c>
    </row>
    <row r="13" spans="1:15">
      <c r="A13" s="46">
        <v>10</v>
      </c>
      <c r="B13" s="200">
        <v>46152</v>
      </c>
      <c r="C13" s="25"/>
      <c r="D13" s="25"/>
      <c r="E13" s="8">
        <v>200</v>
      </c>
      <c r="F13" s="8">
        <v>91.47</v>
      </c>
      <c r="G13" s="8">
        <f t="shared" si="0"/>
        <v>18294</v>
      </c>
      <c r="H13" s="9"/>
      <c r="I13" s="9"/>
      <c r="J13" s="8">
        <f t="shared" si="1"/>
        <v>0</v>
      </c>
      <c r="K13" s="8">
        <f t="shared" si="2"/>
        <v>18294</v>
      </c>
      <c r="L13" s="8">
        <f t="shared" si="2"/>
        <v>18294</v>
      </c>
      <c r="M13" s="8">
        <f t="shared" si="3"/>
        <v>218994.67899999997</v>
      </c>
      <c r="N13" s="44"/>
      <c r="O13" s="1"/>
    </row>
    <row r="14" spans="1:15">
      <c r="A14" s="46">
        <v>11</v>
      </c>
      <c r="B14" s="200">
        <v>46153</v>
      </c>
      <c r="C14" s="25"/>
      <c r="D14" s="25"/>
      <c r="E14" s="8">
        <v>85</v>
      </c>
      <c r="F14" s="8">
        <v>91.49</v>
      </c>
      <c r="G14" s="8">
        <f t="shared" si="0"/>
        <v>7776.65</v>
      </c>
      <c r="H14" s="9">
        <v>9</v>
      </c>
      <c r="I14" s="9">
        <v>103.43</v>
      </c>
      <c r="J14" s="8">
        <f t="shared" si="1"/>
        <v>930.87000000000012</v>
      </c>
      <c r="K14" s="8">
        <f t="shared" si="2"/>
        <v>8707.52</v>
      </c>
      <c r="L14" s="147">
        <v>200000</v>
      </c>
      <c r="M14" s="8">
        <f t="shared" si="3"/>
        <v>27702.198999999964</v>
      </c>
      <c r="N14" s="44" t="s">
        <v>202</v>
      </c>
      <c r="O14" s="1"/>
    </row>
    <row r="15" spans="1:15">
      <c r="A15" s="46">
        <v>12</v>
      </c>
      <c r="B15" s="200">
        <v>46154</v>
      </c>
      <c r="C15" s="25"/>
      <c r="D15" s="25"/>
      <c r="E15" s="8">
        <v>618.44000000000005</v>
      </c>
      <c r="F15" s="8">
        <v>91.49</v>
      </c>
      <c r="G15" s="8">
        <f t="shared" si="0"/>
        <v>56581.075600000004</v>
      </c>
      <c r="H15" s="9"/>
      <c r="I15" s="9"/>
      <c r="J15" s="8">
        <f t="shared" si="1"/>
        <v>0</v>
      </c>
      <c r="K15" s="8">
        <f t="shared" si="2"/>
        <v>56581.075600000004</v>
      </c>
      <c r="L15" s="147"/>
      <c r="M15" s="8">
        <f t="shared" si="3"/>
        <v>84283.274599999975</v>
      </c>
      <c r="N15" s="44"/>
      <c r="O15" s="1"/>
    </row>
    <row r="16" spans="1:15">
      <c r="A16" s="46">
        <v>13</v>
      </c>
      <c r="B16" s="200">
        <v>46155</v>
      </c>
      <c r="C16" s="25"/>
      <c r="D16" s="25"/>
      <c r="E16" s="8"/>
      <c r="F16" s="8"/>
      <c r="G16" s="8">
        <f t="shared" si="0"/>
        <v>0</v>
      </c>
      <c r="H16" s="9"/>
      <c r="I16" s="9"/>
      <c r="J16" s="8">
        <f t="shared" si="1"/>
        <v>0</v>
      </c>
      <c r="K16" s="8">
        <f t="shared" si="2"/>
        <v>0</v>
      </c>
      <c r="L16" s="147"/>
      <c r="M16" s="8">
        <f t="shared" si="3"/>
        <v>84283.274599999975</v>
      </c>
      <c r="N16" s="44"/>
      <c r="O16" s="1"/>
    </row>
    <row r="17" spans="1:18">
      <c r="A17" s="46">
        <v>14</v>
      </c>
      <c r="B17" s="200">
        <v>46156</v>
      </c>
      <c r="C17" s="25"/>
      <c r="D17" s="25"/>
      <c r="E17" s="8">
        <v>477.5</v>
      </c>
      <c r="F17" s="8">
        <v>91.49</v>
      </c>
      <c r="G17" s="8">
        <f t="shared" si="0"/>
        <v>43686.474999999999</v>
      </c>
      <c r="H17" s="9">
        <v>27</v>
      </c>
      <c r="I17" s="9">
        <v>103.43</v>
      </c>
      <c r="J17" s="8">
        <f t="shared" si="1"/>
        <v>2792.61</v>
      </c>
      <c r="K17" s="8">
        <f t="shared" si="2"/>
        <v>46479.084999999999</v>
      </c>
      <c r="L17" s="147"/>
      <c r="M17" s="8">
        <f t="shared" si="3"/>
        <v>130762.35959999997</v>
      </c>
      <c r="N17" s="44"/>
      <c r="O17" s="1"/>
    </row>
    <row r="18" spans="1:18">
      <c r="A18" s="46">
        <v>15</v>
      </c>
      <c r="B18" s="200">
        <v>46157</v>
      </c>
      <c r="C18" s="25"/>
      <c r="D18" s="25"/>
      <c r="E18" s="8">
        <v>180</v>
      </c>
      <c r="F18" s="8">
        <v>94.6</v>
      </c>
      <c r="G18" s="8">
        <f t="shared" si="0"/>
        <v>17028</v>
      </c>
      <c r="H18" s="9">
        <v>5</v>
      </c>
      <c r="I18" s="9">
        <v>106.68</v>
      </c>
      <c r="J18" s="8">
        <f t="shared" si="1"/>
        <v>533.40000000000009</v>
      </c>
      <c r="K18" s="8">
        <f t="shared" si="2"/>
        <v>17561.400000000001</v>
      </c>
      <c r="L18" s="147"/>
      <c r="M18" s="8">
        <f t="shared" si="3"/>
        <v>148323.75959999996</v>
      </c>
      <c r="N18" s="44"/>
      <c r="O18" s="1"/>
    </row>
    <row r="19" spans="1:18">
      <c r="A19" s="46">
        <v>16</v>
      </c>
      <c r="B19" s="200">
        <v>46158</v>
      </c>
      <c r="C19" s="25"/>
      <c r="D19" s="25"/>
      <c r="E19" s="8">
        <v>220</v>
      </c>
      <c r="F19" s="8">
        <v>94.6</v>
      </c>
      <c r="G19" s="8">
        <f t="shared" si="0"/>
        <v>20812</v>
      </c>
      <c r="H19" s="9"/>
      <c r="I19" s="388"/>
      <c r="J19" s="8">
        <f t="shared" si="1"/>
        <v>0</v>
      </c>
      <c r="K19" s="8">
        <f t="shared" si="2"/>
        <v>20812</v>
      </c>
      <c r="L19" s="147"/>
      <c r="M19" s="8">
        <f t="shared" si="3"/>
        <v>169135.75959999996</v>
      </c>
      <c r="N19" s="44"/>
      <c r="O19" s="1"/>
    </row>
    <row r="20" spans="1:18">
      <c r="A20" s="46">
        <v>17</v>
      </c>
      <c r="B20" s="200">
        <v>46159</v>
      </c>
      <c r="C20" s="25"/>
      <c r="D20" s="25"/>
      <c r="E20" s="8">
        <v>270.02</v>
      </c>
      <c r="F20" s="8">
        <v>94.6</v>
      </c>
      <c r="G20" s="8">
        <f t="shared" si="0"/>
        <v>25543.891999999996</v>
      </c>
      <c r="H20" s="9">
        <v>5</v>
      </c>
      <c r="I20" s="9">
        <v>106.68</v>
      </c>
      <c r="J20" s="8">
        <f t="shared" si="1"/>
        <v>533.40000000000009</v>
      </c>
      <c r="K20" s="8">
        <f t="shared" si="2"/>
        <v>26077.291999999998</v>
      </c>
      <c r="L20" s="147"/>
      <c r="M20" s="8">
        <f t="shared" si="3"/>
        <v>195213.05159999995</v>
      </c>
      <c r="N20" s="44"/>
      <c r="O20" s="1"/>
    </row>
    <row r="21" spans="1:18">
      <c r="A21" s="46">
        <v>18</v>
      </c>
      <c r="B21" s="200">
        <v>46160</v>
      </c>
      <c r="C21" s="25"/>
      <c r="D21" s="25"/>
      <c r="E21" s="8">
        <v>246</v>
      </c>
      <c r="F21" s="8">
        <v>94.6</v>
      </c>
      <c r="G21" s="8">
        <f t="shared" si="0"/>
        <v>23271.599999999999</v>
      </c>
      <c r="H21" s="9">
        <v>6</v>
      </c>
      <c r="I21" s="9">
        <v>106.68</v>
      </c>
      <c r="J21" s="8">
        <f t="shared" si="1"/>
        <v>640.08000000000004</v>
      </c>
      <c r="K21" s="8">
        <f t="shared" si="2"/>
        <v>23911.68</v>
      </c>
      <c r="L21" s="147"/>
      <c r="M21" s="8">
        <f t="shared" si="3"/>
        <v>219124.73159999994</v>
      </c>
      <c r="N21" s="44"/>
      <c r="O21" s="1"/>
      <c r="R21">
        <v>141649</v>
      </c>
    </row>
    <row r="22" spans="1:18">
      <c r="A22" s="46">
        <v>19</v>
      </c>
      <c r="B22" s="200">
        <v>46161</v>
      </c>
      <c r="C22" s="25"/>
      <c r="D22" s="25"/>
      <c r="E22" s="8">
        <v>340</v>
      </c>
      <c r="F22" s="8">
        <v>95.54</v>
      </c>
      <c r="G22" s="8">
        <f t="shared" si="0"/>
        <v>32483.600000000002</v>
      </c>
      <c r="H22" s="9">
        <v>27.99</v>
      </c>
      <c r="I22" s="9">
        <v>107.63</v>
      </c>
      <c r="J22" s="8">
        <f t="shared" si="1"/>
        <v>3012.5636999999997</v>
      </c>
      <c r="K22" s="8">
        <f t="shared" si="2"/>
        <v>35496.163700000005</v>
      </c>
      <c r="L22" s="147"/>
      <c r="M22" s="8">
        <f t="shared" si="3"/>
        <v>254620.89529999995</v>
      </c>
      <c r="N22" s="44"/>
      <c r="O22" s="1"/>
    </row>
    <row r="23" spans="1:18">
      <c r="A23" s="46">
        <v>20</v>
      </c>
      <c r="B23" s="200">
        <v>46162</v>
      </c>
      <c r="C23" s="25"/>
      <c r="D23" s="25"/>
      <c r="E23" s="8"/>
      <c r="F23" s="8"/>
      <c r="G23" s="8">
        <f t="shared" si="0"/>
        <v>0</v>
      </c>
      <c r="H23" s="9">
        <v>5</v>
      </c>
      <c r="I23" s="9">
        <v>107.63</v>
      </c>
      <c r="J23" s="8">
        <f t="shared" si="1"/>
        <v>538.15</v>
      </c>
      <c r="K23" s="8">
        <f t="shared" si="2"/>
        <v>538.15</v>
      </c>
      <c r="L23" s="147"/>
      <c r="M23" s="8">
        <f t="shared" si="3"/>
        <v>255159.04529999994</v>
      </c>
      <c r="N23" s="44"/>
      <c r="O23" s="1"/>
    </row>
    <row r="24" spans="1:18">
      <c r="A24" s="46"/>
      <c r="B24" s="200">
        <v>46162</v>
      </c>
      <c r="C24" s="25"/>
      <c r="D24" s="25"/>
      <c r="E24" s="8">
        <v>26</v>
      </c>
      <c r="F24" s="8">
        <v>95.18</v>
      </c>
      <c r="G24" s="8">
        <f t="shared" si="0"/>
        <v>2474.6800000000003</v>
      </c>
      <c r="H24" s="9"/>
      <c r="I24" s="9"/>
      <c r="J24" s="8"/>
      <c r="K24" s="8">
        <f t="shared" si="2"/>
        <v>2474.6800000000003</v>
      </c>
      <c r="L24" s="8">
        <f t="shared" si="2"/>
        <v>2474.6800000000003</v>
      </c>
      <c r="M24" s="8">
        <f t="shared" si="3"/>
        <v>255159.04529999994</v>
      </c>
      <c r="N24" s="44" t="s">
        <v>351</v>
      </c>
      <c r="O24" s="1"/>
    </row>
    <row r="25" spans="1:18">
      <c r="A25" s="46"/>
      <c r="B25" s="200">
        <v>46163</v>
      </c>
      <c r="C25" s="25"/>
      <c r="D25" s="25"/>
      <c r="E25" s="8">
        <v>261.69</v>
      </c>
      <c r="F25" s="8">
        <v>95.53</v>
      </c>
      <c r="G25" s="8">
        <f t="shared" si="0"/>
        <v>24999.245699999999</v>
      </c>
      <c r="H25" s="9"/>
      <c r="I25" s="9"/>
      <c r="J25" s="8"/>
      <c r="K25" s="8">
        <f t="shared" si="2"/>
        <v>24999.245699999999</v>
      </c>
      <c r="L25" s="8">
        <f t="shared" si="2"/>
        <v>24999.245699999999</v>
      </c>
      <c r="M25" s="8">
        <f t="shared" si="3"/>
        <v>255159.04529999997</v>
      </c>
      <c r="N25" s="44" t="s">
        <v>352</v>
      </c>
      <c r="O25" s="1" t="s">
        <v>202</v>
      </c>
    </row>
    <row r="26" spans="1:18">
      <c r="A26" s="46">
        <v>21</v>
      </c>
      <c r="B26" s="200">
        <v>46163</v>
      </c>
      <c r="C26" s="25"/>
      <c r="D26" s="25"/>
      <c r="E26" s="8"/>
      <c r="F26" s="8"/>
      <c r="G26" s="8">
        <f t="shared" si="0"/>
        <v>0</v>
      </c>
      <c r="H26" s="9"/>
      <c r="I26" s="9"/>
      <c r="J26" s="8">
        <f t="shared" si="1"/>
        <v>0</v>
      </c>
      <c r="K26" s="8">
        <f t="shared" si="2"/>
        <v>0</v>
      </c>
      <c r="L26" s="147">
        <v>200000</v>
      </c>
      <c r="M26" s="8">
        <f t="shared" si="3"/>
        <v>55159.045299999969</v>
      </c>
      <c r="N26" s="44" t="s">
        <v>202</v>
      </c>
      <c r="O26" s="1"/>
    </row>
    <row r="27" spans="1:18">
      <c r="A27" s="46">
        <v>22</v>
      </c>
      <c r="B27" s="200">
        <v>46164</v>
      </c>
      <c r="C27" s="25"/>
      <c r="D27" s="25"/>
      <c r="E27" s="8">
        <v>439.01</v>
      </c>
      <c r="F27" s="8">
        <v>95.54</v>
      </c>
      <c r="G27" s="8">
        <f t="shared" si="0"/>
        <v>41943.015400000004</v>
      </c>
      <c r="H27" s="9">
        <v>12.6</v>
      </c>
      <c r="I27" s="9">
        <v>107.63</v>
      </c>
      <c r="J27" s="8">
        <f t="shared" si="1"/>
        <v>1356.1379999999999</v>
      </c>
      <c r="K27" s="8">
        <f t="shared" si="2"/>
        <v>43299.153400000003</v>
      </c>
      <c r="L27" s="147"/>
      <c r="M27" s="8">
        <f t="shared" si="3"/>
        <v>98458.198699999979</v>
      </c>
      <c r="N27" s="44"/>
      <c r="O27" s="1"/>
    </row>
    <row r="28" spans="1:18">
      <c r="A28" s="46"/>
      <c r="B28" s="200">
        <v>46164</v>
      </c>
      <c r="C28" s="25"/>
      <c r="D28" s="25"/>
      <c r="E28" s="8">
        <v>30</v>
      </c>
      <c r="F28" s="8">
        <v>94.76</v>
      </c>
      <c r="G28" s="8">
        <f t="shared" si="0"/>
        <v>2842.8</v>
      </c>
      <c r="H28" s="9"/>
      <c r="I28" s="9"/>
      <c r="J28" s="8"/>
      <c r="K28" s="8">
        <f t="shared" si="2"/>
        <v>2842.8</v>
      </c>
      <c r="L28" s="8">
        <f t="shared" si="2"/>
        <v>2842.8</v>
      </c>
      <c r="M28" s="8">
        <f t="shared" si="3"/>
        <v>98458.198699999979</v>
      </c>
      <c r="N28" s="44"/>
      <c r="O28" s="1"/>
    </row>
    <row r="29" spans="1:18">
      <c r="A29" s="46">
        <v>23</v>
      </c>
      <c r="B29" s="200">
        <v>46165</v>
      </c>
      <c r="C29" s="25"/>
      <c r="D29" s="25"/>
      <c r="E29" s="8"/>
      <c r="F29" s="8"/>
      <c r="G29" s="8">
        <f t="shared" si="0"/>
        <v>0</v>
      </c>
      <c r="H29" s="9"/>
      <c r="I29" s="9"/>
      <c r="J29" s="8">
        <f t="shared" si="1"/>
        <v>0</v>
      </c>
      <c r="K29" s="8">
        <f t="shared" si="2"/>
        <v>0</v>
      </c>
      <c r="L29" s="147"/>
      <c r="M29" s="8">
        <f t="shared" si="3"/>
        <v>98458.198699999979</v>
      </c>
      <c r="N29" s="44"/>
      <c r="O29" s="1"/>
    </row>
    <row r="30" spans="1:18">
      <c r="A30" s="46">
        <v>24</v>
      </c>
      <c r="B30" s="200">
        <v>46166</v>
      </c>
      <c r="C30" s="25"/>
      <c r="D30" s="25"/>
      <c r="E30" s="8">
        <v>372.85</v>
      </c>
      <c r="F30" s="8">
        <v>96.49</v>
      </c>
      <c r="G30" s="8">
        <f t="shared" si="0"/>
        <v>35976.296499999997</v>
      </c>
      <c r="H30" s="9">
        <v>5.5</v>
      </c>
      <c r="I30" s="9">
        <v>108.57</v>
      </c>
      <c r="J30" s="8">
        <f t="shared" si="1"/>
        <v>597.13499999999999</v>
      </c>
      <c r="K30" s="8">
        <f t="shared" si="2"/>
        <v>36573.431499999999</v>
      </c>
      <c r="L30" s="147"/>
      <c r="M30" s="8">
        <f t="shared" si="3"/>
        <v>135031.63019999999</v>
      </c>
      <c r="N30" s="44"/>
      <c r="O30" s="1"/>
    </row>
    <row r="31" spans="1:18">
      <c r="A31" s="46"/>
      <c r="B31" s="200">
        <v>46166</v>
      </c>
      <c r="C31" s="25"/>
      <c r="D31" s="25"/>
      <c r="E31" s="8">
        <v>41.38</v>
      </c>
      <c r="F31" s="8">
        <v>96.67</v>
      </c>
      <c r="G31" s="8">
        <f t="shared" si="0"/>
        <v>4000.2046000000005</v>
      </c>
      <c r="H31" s="9"/>
      <c r="I31" s="9"/>
      <c r="J31" s="8"/>
      <c r="K31" s="8">
        <f t="shared" si="2"/>
        <v>4000.2046000000005</v>
      </c>
      <c r="L31" s="147">
        <v>4000.2</v>
      </c>
      <c r="M31" s="8">
        <f t="shared" si="3"/>
        <v>135031.63479999997</v>
      </c>
      <c r="N31" s="44"/>
      <c r="O31" s="1"/>
    </row>
    <row r="32" spans="1:18">
      <c r="A32" s="46">
        <v>25</v>
      </c>
      <c r="B32" s="200">
        <v>46167</v>
      </c>
      <c r="C32" s="25"/>
      <c r="D32" s="25"/>
      <c r="E32" s="8">
        <v>37.299999999999997</v>
      </c>
      <c r="F32" s="8">
        <v>99.3</v>
      </c>
      <c r="G32" s="8">
        <f t="shared" si="0"/>
        <v>3703.8899999999994</v>
      </c>
      <c r="H32" s="9">
        <v>1</v>
      </c>
      <c r="I32" s="9">
        <v>111.4</v>
      </c>
      <c r="J32" s="8">
        <f t="shared" si="1"/>
        <v>111.4</v>
      </c>
      <c r="K32" s="8">
        <f t="shared" si="2"/>
        <v>3815.2899999999995</v>
      </c>
      <c r="L32" s="147">
        <v>100000</v>
      </c>
      <c r="M32" s="8">
        <f t="shared" si="3"/>
        <v>38846.924799999979</v>
      </c>
      <c r="N32" s="44"/>
      <c r="O32" s="1"/>
    </row>
    <row r="33" spans="1:15">
      <c r="A33" s="46">
        <v>26</v>
      </c>
      <c r="B33" s="200">
        <v>46168</v>
      </c>
      <c r="C33" s="25"/>
      <c r="D33" s="25"/>
      <c r="E33" s="8">
        <v>372</v>
      </c>
      <c r="F33" s="8">
        <v>99.3</v>
      </c>
      <c r="G33" s="8">
        <f t="shared" si="0"/>
        <v>36939.599999999999</v>
      </c>
      <c r="H33" s="9">
        <v>7</v>
      </c>
      <c r="I33" s="9">
        <v>120.81</v>
      </c>
      <c r="J33" s="8">
        <f t="shared" si="1"/>
        <v>845.67000000000007</v>
      </c>
      <c r="K33" s="8">
        <f t="shared" si="2"/>
        <v>37785.269999999997</v>
      </c>
      <c r="L33" s="147"/>
      <c r="M33" s="8">
        <f t="shared" si="3"/>
        <v>76632.194799999968</v>
      </c>
      <c r="N33" s="44"/>
      <c r="O33" s="1"/>
    </row>
    <row r="34" spans="1:15">
      <c r="A34" s="46">
        <v>27</v>
      </c>
      <c r="B34" s="200">
        <v>46169</v>
      </c>
      <c r="C34" s="25"/>
      <c r="D34" s="25"/>
      <c r="E34" s="8">
        <v>287</v>
      </c>
      <c r="F34" s="8">
        <v>99.3</v>
      </c>
      <c r="G34" s="8">
        <f t="shared" si="0"/>
        <v>28499.1</v>
      </c>
      <c r="H34" s="9"/>
      <c r="I34" s="9"/>
      <c r="J34" s="8">
        <f t="shared" si="1"/>
        <v>0</v>
      </c>
      <c r="K34" s="8">
        <f t="shared" si="2"/>
        <v>28499.1</v>
      </c>
      <c r="L34" s="147"/>
      <c r="M34" s="8">
        <f t="shared" si="3"/>
        <v>105131.29479999997</v>
      </c>
      <c r="N34" s="44"/>
      <c r="O34" s="1"/>
    </row>
    <row r="35" spans="1:15">
      <c r="A35" s="46">
        <v>28</v>
      </c>
      <c r="B35" s="200">
        <v>46170</v>
      </c>
      <c r="C35" s="25"/>
      <c r="D35" s="25"/>
      <c r="E35" s="8">
        <v>348</v>
      </c>
      <c r="F35" s="8">
        <v>99.3</v>
      </c>
      <c r="G35" s="8">
        <f t="shared" ref="G5:G40" si="4">E35*F35</f>
        <v>34556.400000000001</v>
      </c>
      <c r="H35" s="9"/>
      <c r="I35" s="9"/>
      <c r="J35" s="8">
        <f t="shared" ref="J5:J40" si="5">H35*I35</f>
        <v>0</v>
      </c>
      <c r="K35" s="8">
        <f t="shared" si="2"/>
        <v>34556.400000000001</v>
      </c>
      <c r="L35" s="147"/>
      <c r="M35" s="8">
        <f t="shared" si="3"/>
        <v>139687.69479999997</v>
      </c>
      <c r="N35" s="44"/>
      <c r="O35" s="1"/>
    </row>
    <row r="36" spans="1:15">
      <c r="A36" s="46">
        <v>29</v>
      </c>
      <c r="B36" s="200">
        <v>46171</v>
      </c>
      <c r="C36" s="25"/>
      <c r="D36" s="25"/>
      <c r="E36" s="8">
        <v>366</v>
      </c>
      <c r="F36" s="8">
        <v>99.3</v>
      </c>
      <c r="G36" s="8">
        <f t="shared" si="4"/>
        <v>36343.799999999996</v>
      </c>
      <c r="H36" s="9">
        <v>22.99</v>
      </c>
      <c r="I36" s="9">
        <v>120.81</v>
      </c>
      <c r="J36" s="8">
        <f t="shared" si="5"/>
        <v>2777.4218999999998</v>
      </c>
      <c r="K36" s="8">
        <f t="shared" si="2"/>
        <v>39121.221899999997</v>
      </c>
      <c r="L36" s="147"/>
      <c r="M36" s="8">
        <f t="shared" si="3"/>
        <v>178808.91669999997</v>
      </c>
      <c r="N36" s="44"/>
      <c r="O36" s="1"/>
    </row>
    <row r="37" spans="1:15">
      <c r="A37" s="46">
        <v>30</v>
      </c>
      <c r="B37" s="200">
        <v>46172</v>
      </c>
      <c r="C37" s="25"/>
      <c r="D37" s="25"/>
      <c r="E37" s="264">
        <v>200</v>
      </c>
      <c r="F37" s="481">
        <v>99.3</v>
      </c>
      <c r="G37" s="8">
        <f t="shared" si="4"/>
        <v>19860</v>
      </c>
      <c r="H37" s="9">
        <v>5</v>
      </c>
      <c r="I37" s="9">
        <v>120.81</v>
      </c>
      <c r="J37" s="8">
        <f t="shared" si="5"/>
        <v>604.04999999999995</v>
      </c>
      <c r="K37" s="8">
        <f t="shared" si="2"/>
        <v>20464.05</v>
      </c>
      <c r="L37" s="147"/>
      <c r="M37" s="8">
        <f t="shared" si="3"/>
        <v>199272.96669999996</v>
      </c>
      <c r="N37" s="44"/>
      <c r="O37" s="1"/>
    </row>
    <row r="38" spans="1:15">
      <c r="A38" s="46">
        <v>31</v>
      </c>
      <c r="B38" s="200">
        <v>46173</v>
      </c>
      <c r="C38" s="25"/>
      <c r="D38" s="25"/>
      <c r="E38" s="264">
        <v>70</v>
      </c>
      <c r="F38" s="481">
        <v>99.3</v>
      </c>
      <c r="G38" s="8">
        <f t="shared" si="4"/>
        <v>6951</v>
      </c>
      <c r="H38" s="9"/>
      <c r="I38" s="9"/>
      <c r="J38" s="8">
        <f t="shared" si="5"/>
        <v>0</v>
      </c>
      <c r="K38" s="8">
        <f t="shared" si="2"/>
        <v>6951</v>
      </c>
      <c r="L38" s="147"/>
      <c r="M38" s="8">
        <f t="shared" si="3"/>
        <v>206223.96669999996</v>
      </c>
      <c r="N38" s="44"/>
      <c r="O38" s="1"/>
    </row>
    <row r="39" spans="1:15">
      <c r="A39" s="46">
        <v>32</v>
      </c>
      <c r="B39" s="200"/>
      <c r="C39" s="25"/>
      <c r="D39" s="25"/>
      <c r="E39" s="8"/>
      <c r="F39" s="8"/>
      <c r="G39" s="8">
        <f t="shared" si="4"/>
        <v>0</v>
      </c>
      <c r="H39" s="9"/>
      <c r="I39" s="9"/>
      <c r="J39" s="8">
        <f t="shared" si="5"/>
        <v>0</v>
      </c>
      <c r="K39" s="8">
        <f t="shared" si="2"/>
        <v>0</v>
      </c>
      <c r="L39" s="147"/>
      <c r="M39" s="8">
        <f t="shared" si="3"/>
        <v>206223.96669999996</v>
      </c>
      <c r="N39" s="44"/>
      <c r="O39" s="1"/>
    </row>
    <row r="40" spans="1:15">
      <c r="A40" s="46">
        <v>33</v>
      </c>
      <c r="B40" s="200"/>
      <c r="C40" s="25"/>
      <c r="D40" s="25"/>
      <c r="E40" s="8"/>
      <c r="F40" s="8"/>
      <c r="G40" s="8">
        <f t="shared" si="4"/>
        <v>0</v>
      </c>
      <c r="H40" s="9"/>
      <c r="I40" s="9"/>
      <c r="J40" s="8">
        <f t="shared" si="5"/>
        <v>0</v>
      </c>
      <c r="K40" s="8">
        <f t="shared" si="2"/>
        <v>0</v>
      </c>
      <c r="L40" s="147">
        <v>0</v>
      </c>
      <c r="M40" s="8">
        <f t="shared" si="3"/>
        <v>206223.96669999996</v>
      </c>
      <c r="N40" s="44"/>
      <c r="O40" s="1"/>
    </row>
    <row r="41" spans="1:15">
      <c r="A41" s="195"/>
      <c r="B41" s="200"/>
      <c r="C41" s="25"/>
      <c r="D41" s="25"/>
      <c r="E41" s="8"/>
      <c r="F41" s="8"/>
      <c r="G41" s="8"/>
      <c r="H41" s="9">
        <v>0</v>
      </c>
      <c r="I41" s="9">
        <v>0</v>
      </c>
      <c r="J41" s="8"/>
      <c r="K41" s="8"/>
      <c r="L41" s="147"/>
      <c r="M41" s="8">
        <f t="shared" si="3"/>
        <v>206223.96669999996</v>
      </c>
      <c r="N41" s="44"/>
      <c r="O41" s="1"/>
    </row>
    <row r="42" spans="1:15">
      <c r="A42" s="62"/>
      <c r="B42" s="62"/>
      <c r="C42" s="62"/>
      <c r="D42" s="62"/>
      <c r="E42" s="63">
        <f>SUM(E4:E40)</f>
        <v>8690.5800000000017</v>
      </c>
      <c r="F42" s="63"/>
      <c r="G42" s="63">
        <f>SUM(G4:G40)</f>
        <v>817553.9859000002</v>
      </c>
      <c r="H42" s="63">
        <f>SUM(H4:H40)</f>
        <v>196.08</v>
      </c>
      <c r="I42" s="63"/>
      <c r="J42" s="63">
        <f>SUM(J4:J40)</f>
        <v>21168.398599999997</v>
      </c>
      <c r="K42" s="63">
        <f>SUM(K4:K40)</f>
        <v>838722.38450000028</v>
      </c>
      <c r="L42" s="63">
        <f>SUM(L4:L40)</f>
        <v>692610.92570000002</v>
      </c>
      <c r="M42" s="63"/>
      <c r="N42" s="63"/>
      <c r="O42" s="59"/>
    </row>
    <row r="43" spans="1:15">
      <c r="A43" s="2"/>
      <c r="B43" s="2"/>
      <c r="C43" s="2"/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1"/>
    </row>
    <row r="44" spans="1:15">
      <c r="A44" s="1"/>
      <c r="B44" s="1"/>
      <c r="C44" s="1"/>
      <c r="D44" s="1"/>
      <c r="E44" s="1"/>
      <c r="F44" s="1"/>
      <c r="G44" s="3"/>
      <c r="H44" s="1"/>
      <c r="I44" s="1"/>
      <c r="J44" s="1"/>
      <c r="K44" s="1"/>
      <c r="L44" s="8"/>
      <c r="M44" s="1"/>
      <c r="N44" s="1"/>
      <c r="O44" s="4"/>
    </row>
    <row r="45" spans="1:15">
      <c r="A45" s="1"/>
      <c r="B45" s="537"/>
      <c r="C45" s="537"/>
      <c r="D45" s="537"/>
      <c r="E45" s="537"/>
      <c r="F45" s="1"/>
      <c r="G45" s="1"/>
      <c r="H45" s="1"/>
      <c r="I45" s="584">
        <f>K29+L29</f>
        <v>0</v>
      </c>
      <c r="J45" s="537"/>
      <c r="K45" s="537"/>
      <c r="L45" s="537"/>
      <c r="M45" s="537"/>
      <c r="N45" s="537"/>
      <c r="O45" s="4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4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</sheetData>
  <mergeCells count="3">
    <mergeCell ref="A1:N1"/>
    <mergeCell ref="B45:E45"/>
    <mergeCell ref="I45:N45"/>
  </mergeCell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35C-CCFB-4420-8E82-7D2A8627C32F}">
  <sheetPr>
    <tabColor rgb="FF7030A0"/>
  </sheetPr>
  <dimension ref="A1:S49"/>
  <sheetViews>
    <sheetView topLeftCell="A13" workbookViewId="0">
      <selection activeCell="M34" sqref="M34"/>
    </sheetView>
  </sheetViews>
  <sheetFormatPr defaultRowHeight="15"/>
  <cols>
    <col min="2" max="2" width="14.5703125" customWidth="1"/>
    <col min="4" max="4" width="11.140625" customWidth="1"/>
    <col min="7" max="7" width="11.85546875" bestFit="1" customWidth="1"/>
    <col min="10" max="10" width="17.42578125" customWidth="1"/>
    <col min="11" max="11" width="13.5703125" bestFit="1" customWidth="1"/>
    <col min="12" max="13" width="11.85546875" bestFit="1" customWidth="1"/>
    <col min="15" max="15" width="13.7109375" customWidth="1"/>
    <col min="16" max="16" width="14" customWidth="1"/>
  </cols>
  <sheetData>
    <row r="1" spans="1:15" ht="15.75">
      <c r="A1" s="550" t="s">
        <v>136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3"/>
    </row>
    <row r="2" spans="1:15" ht="30.75">
      <c r="A2" s="64" t="s">
        <v>0</v>
      </c>
      <c r="B2" s="83" t="s">
        <v>166</v>
      </c>
      <c r="C2" s="83" t="s">
        <v>167</v>
      </c>
      <c r="D2" s="83" t="s">
        <v>168</v>
      </c>
      <c r="E2" s="83" t="s">
        <v>169</v>
      </c>
      <c r="F2" s="83" t="s">
        <v>170</v>
      </c>
      <c r="G2" s="83" t="s">
        <v>171</v>
      </c>
      <c r="H2" s="83" t="s">
        <v>172</v>
      </c>
      <c r="I2" s="83" t="s">
        <v>170</v>
      </c>
      <c r="J2" s="84" t="s">
        <v>171</v>
      </c>
      <c r="K2" s="64" t="s">
        <v>173</v>
      </c>
      <c r="L2" s="85" t="s">
        <v>174</v>
      </c>
      <c r="M2" s="165" t="s">
        <v>199</v>
      </c>
      <c r="N2" s="83" t="s">
        <v>176</v>
      </c>
      <c r="O2" s="59"/>
    </row>
    <row r="3" spans="1:15">
      <c r="A3" s="144"/>
      <c r="B3" s="145"/>
      <c r="C3" s="145"/>
      <c r="D3" s="131" t="s">
        <v>177</v>
      </c>
      <c r="E3" s="145"/>
      <c r="F3" s="145"/>
      <c r="G3" s="145"/>
      <c r="H3" s="145"/>
      <c r="I3" s="145"/>
      <c r="J3" s="146"/>
      <c r="K3" s="261">
        <v>200595.10380000016</v>
      </c>
      <c r="L3" s="147">
        <v>0</v>
      </c>
      <c r="M3" s="147">
        <v>200595.10380000016</v>
      </c>
      <c r="N3" s="145"/>
      <c r="O3" s="59"/>
    </row>
    <row r="4" spans="1:15">
      <c r="A4" s="46">
        <v>1</v>
      </c>
      <c r="B4" s="200">
        <v>45778</v>
      </c>
      <c r="C4" s="25"/>
      <c r="D4" s="25"/>
      <c r="E4" s="264"/>
      <c r="F4" s="264"/>
      <c r="G4" s="8">
        <f>E4*F4</f>
        <v>0</v>
      </c>
      <c r="H4" s="9"/>
      <c r="I4" s="9"/>
      <c r="J4" s="8">
        <f>H4*I4</f>
        <v>0</v>
      </c>
      <c r="K4" s="8">
        <f>G4+J4</f>
        <v>0</v>
      </c>
      <c r="L4" s="147"/>
      <c r="M4" s="8">
        <f>M3+K4-L4</f>
        <v>200595.10380000016</v>
      </c>
      <c r="N4" s="44"/>
      <c r="O4" s="1"/>
    </row>
    <row r="5" spans="1:15">
      <c r="A5" s="46">
        <v>2</v>
      </c>
      <c r="B5" s="200">
        <v>45779</v>
      </c>
      <c r="C5" s="25"/>
      <c r="D5" s="25"/>
      <c r="E5" s="264">
        <v>150</v>
      </c>
      <c r="F5" s="8">
        <v>91.78</v>
      </c>
      <c r="G5" s="8">
        <f t="shared" ref="G5:G6" si="0">E5*F5</f>
        <v>13767</v>
      </c>
      <c r="H5" s="9">
        <v>5</v>
      </c>
      <c r="I5" s="9">
        <v>103.74</v>
      </c>
      <c r="J5" s="8">
        <f t="shared" ref="J5:J34" si="1">H5*I5</f>
        <v>518.69999999999993</v>
      </c>
      <c r="K5" s="8">
        <f t="shared" ref="K5:K34" si="2">G5+J5</f>
        <v>14285.7</v>
      </c>
      <c r="L5" s="147"/>
      <c r="M5" s="8">
        <f t="shared" ref="M5:M34" si="3">M4+K5-L5</f>
        <v>214880.80380000017</v>
      </c>
      <c r="N5" s="44"/>
      <c r="O5" s="1"/>
    </row>
    <row r="6" spans="1:15">
      <c r="A6" s="46">
        <v>3</v>
      </c>
      <c r="B6" s="200">
        <v>45780</v>
      </c>
      <c r="C6" s="25"/>
      <c r="D6" s="25"/>
      <c r="E6" s="264">
        <v>150</v>
      </c>
      <c r="F6" s="8">
        <v>91.78</v>
      </c>
      <c r="G6" s="8">
        <f t="shared" si="0"/>
        <v>13767</v>
      </c>
      <c r="H6" s="9"/>
      <c r="I6" s="9"/>
      <c r="J6" s="8">
        <f t="shared" si="1"/>
        <v>0</v>
      </c>
      <c r="K6" s="8">
        <f t="shared" si="2"/>
        <v>13767</v>
      </c>
      <c r="L6" s="147"/>
      <c r="M6" s="8">
        <f t="shared" si="3"/>
        <v>228647.80380000017</v>
      </c>
      <c r="N6" s="44"/>
      <c r="O6" s="1"/>
    </row>
    <row r="7" spans="1:15">
      <c r="A7" s="46">
        <v>4</v>
      </c>
      <c r="B7" s="200">
        <v>45781</v>
      </c>
      <c r="C7" s="25"/>
      <c r="D7" s="25"/>
      <c r="E7" s="264">
        <v>150</v>
      </c>
      <c r="F7" s="264">
        <v>91.78</v>
      </c>
      <c r="G7" s="8">
        <f t="shared" ref="G5:G34" si="4">E7*F7</f>
        <v>13767</v>
      </c>
      <c r="H7" s="9"/>
      <c r="I7" s="9"/>
      <c r="J7" s="8">
        <f t="shared" si="1"/>
        <v>0</v>
      </c>
      <c r="K7" s="8">
        <f t="shared" si="2"/>
        <v>13767</v>
      </c>
      <c r="L7" s="8">
        <v>220000</v>
      </c>
      <c r="M7" s="8">
        <f t="shared" si="3"/>
        <v>22414.803800000169</v>
      </c>
      <c r="N7" s="44"/>
      <c r="O7" s="1"/>
    </row>
    <row r="8" spans="1:15">
      <c r="A8" s="46">
        <v>5</v>
      </c>
      <c r="B8" s="200">
        <v>45782</v>
      </c>
      <c r="C8" s="25"/>
      <c r="D8" s="25"/>
      <c r="E8" s="264">
        <v>150</v>
      </c>
      <c r="F8" s="264">
        <v>91.78</v>
      </c>
      <c r="G8" s="8">
        <f t="shared" si="4"/>
        <v>13767</v>
      </c>
      <c r="H8" s="9"/>
      <c r="I8" s="9"/>
      <c r="J8" s="8">
        <f t="shared" si="1"/>
        <v>0</v>
      </c>
      <c r="K8" s="8">
        <f t="shared" si="2"/>
        <v>13767</v>
      </c>
      <c r="L8" s="147"/>
      <c r="M8" s="8">
        <f t="shared" si="3"/>
        <v>36181.803800000169</v>
      </c>
      <c r="N8" s="44"/>
      <c r="O8" s="1"/>
    </row>
    <row r="9" spans="1:15">
      <c r="A9" s="46">
        <v>6</v>
      </c>
      <c r="B9" s="200">
        <v>45783</v>
      </c>
      <c r="C9" s="25"/>
      <c r="D9" s="25"/>
      <c r="E9" s="264">
        <v>150</v>
      </c>
      <c r="F9" s="264">
        <v>91.78</v>
      </c>
      <c r="G9" s="8">
        <f t="shared" si="4"/>
        <v>13767</v>
      </c>
      <c r="H9" s="9"/>
      <c r="I9" s="9"/>
      <c r="J9" s="8">
        <f t="shared" si="1"/>
        <v>0</v>
      </c>
      <c r="K9" s="8">
        <f t="shared" si="2"/>
        <v>13767</v>
      </c>
      <c r="L9" s="147"/>
      <c r="M9" s="8">
        <f t="shared" si="3"/>
        <v>49948.803800000169</v>
      </c>
      <c r="N9" s="44"/>
      <c r="O9" s="1"/>
    </row>
    <row r="10" spans="1:15">
      <c r="A10" s="46">
        <v>7</v>
      </c>
      <c r="B10" s="200">
        <v>45784</v>
      </c>
      <c r="C10" s="25"/>
      <c r="D10" s="25"/>
      <c r="E10" s="264">
        <v>150</v>
      </c>
      <c r="F10" s="264">
        <v>91.78</v>
      </c>
      <c r="G10" s="8">
        <f t="shared" si="4"/>
        <v>13767</v>
      </c>
      <c r="H10" s="9"/>
      <c r="I10" s="9"/>
      <c r="J10" s="8">
        <f t="shared" si="1"/>
        <v>0</v>
      </c>
      <c r="K10" s="8">
        <f t="shared" si="2"/>
        <v>13767</v>
      </c>
      <c r="L10" s="147"/>
      <c r="M10" s="8">
        <f t="shared" si="3"/>
        <v>63715.803800000169</v>
      </c>
      <c r="N10" s="44"/>
      <c r="O10" s="1"/>
    </row>
    <row r="11" spans="1:15">
      <c r="A11" s="46">
        <v>8</v>
      </c>
      <c r="B11" s="200">
        <v>45785</v>
      </c>
      <c r="C11" s="25"/>
      <c r="D11" s="25"/>
      <c r="E11" s="264"/>
      <c r="F11" s="264"/>
      <c r="G11" s="8">
        <f t="shared" si="4"/>
        <v>0</v>
      </c>
      <c r="H11" s="9"/>
      <c r="I11" s="9"/>
      <c r="J11" s="8">
        <f t="shared" si="1"/>
        <v>0</v>
      </c>
      <c r="K11" s="8">
        <f t="shared" si="2"/>
        <v>0</v>
      </c>
      <c r="L11" s="147"/>
      <c r="M11" s="8">
        <f t="shared" si="3"/>
        <v>63715.803800000169</v>
      </c>
      <c r="N11" s="44"/>
      <c r="O11" s="1"/>
    </row>
    <row r="12" spans="1:15">
      <c r="A12" s="46">
        <v>9</v>
      </c>
      <c r="B12" s="200">
        <v>45786</v>
      </c>
      <c r="C12" s="25"/>
      <c r="D12" s="25"/>
      <c r="E12" s="264"/>
      <c r="F12" s="264"/>
      <c r="G12" s="8">
        <f t="shared" si="4"/>
        <v>0</v>
      </c>
      <c r="H12" s="9"/>
      <c r="I12" s="9"/>
      <c r="J12" s="8">
        <f t="shared" si="1"/>
        <v>0</v>
      </c>
      <c r="K12" s="8">
        <f t="shared" si="2"/>
        <v>0</v>
      </c>
      <c r="L12" s="147"/>
      <c r="M12" s="8">
        <f>M11+K12-L12</f>
        <v>63715.803800000169</v>
      </c>
      <c r="N12" s="44"/>
      <c r="O12" s="1" t="s">
        <v>350</v>
      </c>
    </row>
    <row r="13" spans="1:15">
      <c r="A13" s="46">
        <v>10</v>
      </c>
      <c r="B13" s="200">
        <v>45787</v>
      </c>
      <c r="C13" s="25"/>
      <c r="D13" s="25"/>
      <c r="E13" s="264">
        <v>150</v>
      </c>
      <c r="F13" s="264">
        <v>91.78</v>
      </c>
      <c r="G13" s="8">
        <f t="shared" si="4"/>
        <v>13767</v>
      </c>
      <c r="H13" s="9"/>
      <c r="I13" s="9"/>
      <c r="J13" s="8">
        <f t="shared" si="1"/>
        <v>0</v>
      </c>
      <c r="K13" s="8">
        <f t="shared" si="2"/>
        <v>13767</v>
      </c>
      <c r="L13" s="147"/>
      <c r="M13" s="8">
        <f t="shared" si="3"/>
        <v>77482.803800000169</v>
      </c>
      <c r="N13" s="44"/>
      <c r="O13" s="1"/>
    </row>
    <row r="14" spans="1:15">
      <c r="A14" s="46">
        <v>11</v>
      </c>
      <c r="B14" s="200">
        <v>45788</v>
      </c>
      <c r="C14" s="25"/>
      <c r="D14" s="25"/>
      <c r="E14" s="264">
        <v>150</v>
      </c>
      <c r="F14" s="264">
        <v>91.78</v>
      </c>
      <c r="G14" s="8">
        <f t="shared" si="4"/>
        <v>13767</v>
      </c>
      <c r="H14" s="9"/>
      <c r="I14" s="9"/>
      <c r="J14" s="8">
        <f t="shared" si="1"/>
        <v>0</v>
      </c>
      <c r="K14" s="8">
        <f t="shared" si="2"/>
        <v>13767</v>
      </c>
      <c r="L14" s="147"/>
      <c r="M14" s="8">
        <f t="shared" si="3"/>
        <v>91249.803800000169</v>
      </c>
      <c r="N14" s="44"/>
      <c r="O14" s="1"/>
    </row>
    <row r="15" spans="1:15">
      <c r="A15" s="46">
        <v>12</v>
      </c>
      <c r="B15" s="200">
        <v>45789</v>
      </c>
      <c r="C15" s="25"/>
      <c r="D15" s="25"/>
      <c r="E15" s="264">
        <v>150</v>
      </c>
      <c r="F15" s="264">
        <v>91.78</v>
      </c>
      <c r="G15" s="8">
        <f t="shared" si="4"/>
        <v>13767</v>
      </c>
      <c r="H15" s="9">
        <v>10</v>
      </c>
      <c r="I15" s="9">
        <v>103.74</v>
      </c>
      <c r="J15" s="8">
        <f t="shared" si="1"/>
        <v>1037.3999999999999</v>
      </c>
      <c r="K15" s="8">
        <f t="shared" si="2"/>
        <v>14804.4</v>
      </c>
      <c r="L15" s="147"/>
      <c r="M15" s="8">
        <f t="shared" si="3"/>
        <v>106054.20380000016</v>
      </c>
      <c r="N15" s="44"/>
      <c r="O15" s="1"/>
    </row>
    <row r="16" spans="1:15">
      <c r="A16" s="46">
        <v>13</v>
      </c>
      <c r="B16" s="200">
        <v>45790</v>
      </c>
      <c r="C16" s="25"/>
      <c r="D16" s="25"/>
      <c r="E16" s="264">
        <v>150</v>
      </c>
      <c r="F16" s="264">
        <v>91.78</v>
      </c>
      <c r="G16" s="8">
        <f t="shared" si="4"/>
        <v>13767</v>
      </c>
      <c r="H16" s="9">
        <v>5</v>
      </c>
      <c r="I16" s="9">
        <v>103.74</v>
      </c>
      <c r="J16" s="8">
        <f t="shared" si="1"/>
        <v>518.69999999999993</v>
      </c>
      <c r="K16" s="8">
        <f t="shared" si="2"/>
        <v>14285.7</v>
      </c>
      <c r="L16" s="147">
        <v>100000</v>
      </c>
      <c r="M16" s="8">
        <f t="shared" si="3"/>
        <v>20339.90380000016</v>
      </c>
      <c r="N16" s="44"/>
      <c r="O16" s="1"/>
    </row>
    <row r="17" spans="1:19">
      <c r="A17" s="46">
        <v>14</v>
      </c>
      <c r="B17" s="200">
        <v>45791</v>
      </c>
      <c r="C17" s="25"/>
      <c r="D17" s="25"/>
      <c r="E17" s="264">
        <v>150</v>
      </c>
      <c r="F17" s="264">
        <v>91.78</v>
      </c>
      <c r="G17" s="8">
        <f t="shared" si="4"/>
        <v>13767</v>
      </c>
      <c r="H17" s="9"/>
      <c r="I17" s="9"/>
      <c r="J17" s="8">
        <f t="shared" si="1"/>
        <v>0</v>
      </c>
      <c r="K17" s="8">
        <f t="shared" si="2"/>
        <v>13767</v>
      </c>
      <c r="L17" s="147"/>
      <c r="M17" s="8">
        <f t="shared" si="3"/>
        <v>34106.90380000016</v>
      </c>
      <c r="N17" s="44"/>
      <c r="O17" s="1"/>
    </row>
    <row r="18" spans="1:19">
      <c r="A18" s="46">
        <v>15</v>
      </c>
      <c r="B18" s="200">
        <v>45792</v>
      </c>
      <c r="C18" s="25"/>
      <c r="D18" s="25"/>
      <c r="E18" s="264">
        <v>150</v>
      </c>
      <c r="F18" s="264">
        <v>94.9</v>
      </c>
      <c r="G18" s="8">
        <f t="shared" si="4"/>
        <v>14235</v>
      </c>
      <c r="H18" s="9"/>
      <c r="I18" s="9"/>
      <c r="J18" s="8">
        <f t="shared" si="1"/>
        <v>0</v>
      </c>
      <c r="K18" s="8">
        <f t="shared" si="2"/>
        <v>14235</v>
      </c>
      <c r="L18" s="147"/>
      <c r="M18" s="8">
        <f t="shared" si="3"/>
        <v>48341.90380000016</v>
      </c>
      <c r="N18" s="44"/>
      <c r="O18" s="1"/>
    </row>
    <row r="19" spans="1:19">
      <c r="A19" s="46">
        <v>16</v>
      </c>
      <c r="B19" s="200">
        <v>45793</v>
      </c>
      <c r="C19" s="25"/>
      <c r="D19" s="25"/>
      <c r="E19" s="264">
        <v>110</v>
      </c>
      <c r="F19" s="264">
        <v>94.9</v>
      </c>
      <c r="G19" s="8">
        <f t="shared" si="4"/>
        <v>10439</v>
      </c>
      <c r="H19" s="9"/>
      <c r="I19" s="9"/>
      <c r="J19" s="8">
        <f t="shared" si="1"/>
        <v>0</v>
      </c>
      <c r="K19" s="8">
        <f t="shared" si="2"/>
        <v>10439</v>
      </c>
      <c r="L19" s="147"/>
      <c r="M19" s="8">
        <f t="shared" si="3"/>
        <v>58780.90380000016</v>
      </c>
      <c r="N19" s="44"/>
      <c r="O19" s="1"/>
    </row>
    <row r="20" spans="1:19">
      <c r="A20" s="46">
        <v>17</v>
      </c>
      <c r="B20" s="200">
        <v>45794</v>
      </c>
      <c r="C20" s="25"/>
      <c r="D20" s="25"/>
      <c r="E20" s="264">
        <v>150</v>
      </c>
      <c r="F20" s="264">
        <v>94.9</v>
      </c>
      <c r="G20" s="8">
        <f t="shared" si="4"/>
        <v>14235</v>
      </c>
      <c r="H20" s="9">
        <v>10</v>
      </c>
      <c r="I20" s="9">
        <v>107</v>
      </c>
      <c r="J20" s="8">
        <f t="shared" si="1"/>
        <v>1070</v>
      </c>
      <c r="K20" s="8">
        <f t="shared" si="2"/>
        <v>15305</v>
      </c>
      <c r="L20" s="147"/>
      <c r="M20" s="8">
        <f t="shared" si="3"/>
        <v>74085.90380000016</v>
      </c>
      <c r="N20" s="44"/>
      <c r="O20" s="1"/>
    </row>
    <row r="21" spans="1:19">
      <c r="A21" s="46">
        <v>18</v>
      </c>
      <c r="B21" s="200">
        <v>45795</v>
      </c>
      <c r="C21" s="25"/>
      <c r="D21" s="25"/>
      <c r="E21" s="264">
        <v>70</v>
      </c>
      <c r="F21" s="264">
        <v>94.9</v>
      </c>
      <c r="G21" s="8">
        <f t="shared" si="4"/>
        <v>6643</v>
      </c>
      <c r="H21" s="9">
        <v>15</v>
      </c>
      <c r="I21" s="9">
        <v>107</v>
      </c>
      <c r="J21" s="8">
        <f t="shared" si="1"/>
        <v>1605</v>
      </c>
      <c r="K21" s="8">
        <f t="shared" si="2"/>
        <v>8248</v>
      </c>
      <c r="L21" s="147"/>
      <c r="M21" s="8">
        <f t="shared" si="3"/>
        <v>82333.90380000016</v>
      </c>
      <c r="N21" s="44"/>
      <c r="O21" s="1"/>
    </row>
    <row r="22" spans="1:19">
      <c r="A22" s="46">
        <v>19</v>
      </c>
      <c r="B22" s="200">
        <v>45796</v>
      </c>
      <c r="C22" s="25"/>
      <c r="D22" s="25"/>
      <c r="E22" s="264">
        <v>170</v>
      </c>
      <c r="F22" s="264">
        <v>95.84</v>
      </c>
      <c r="G22" s="8">
        <f t="shared" si="4"/>
        <v>16292.800000000001</v>
      </c>
      <c r="H22" s="9">
        <v>10</v>
      </c>
      <c r="I22" s="9">
        <v>107.94</v>
      </c>
      <c r="J22" s="8">
        <f t="shared" si="1"/>
        <v>1079.4000000000001</v>
      </c>
      <c r="K22" s="8">
        <f t="shared" si="2"/>
        <v>17372.2</v>
      </c>
      <c r="L22" s="147"/>
      <c r="M22" s="8">
        <f t="shared" si="3"/>
        <v>99706.103800000157</v>
      </c>
      <c r="N22" s="44"/>
      <c r="O22" s="1"/>
    </row>
    <row r="23" spans="1:19">
      <c r="A23" s="46">
        <v>20</v>
      </c>
      <c r="B23" s="200">
        <v>45797</v>
      </c>
      <c r="C23" s="25"/>
      <c r="D23" s="25"/>
      <c r="E23" s="264">
        <v>110</v>
      </c>
      <c r="F23" s="264">
        <v>95.84</v>
      </c>
      <c r="G23" s="8">
        <f t="shared" si="4"/>
        <v>10542.4</v>
      </c>
      <c r="H23" s="9">
        <v>25</v>
      </c>
      <c r="I23" s="9">
        <v>107.94</v>
      </c>
      <c r="J23" s="8">
        <f t="shared" si="1"/>
        <v>2698.5</v>
      </c>
      <c r="K23" s="8">
        <f t="shared" si="2"/>
        <v>13240.9</v>
      </c>
      <c r="L23" s="147"/>
      <c r="M23" s="8">
        <f t="shared" si="3"/>
        <v>112947.00380000015</v>
      </c>
      <c r="N23" s="44"/>
      <c r="O23" s="1"/>
    </row>
    <row r="24" spans="1:19">
      <c r="A24" s="46">
        <v>21</v>
      </c>
      <c r="B24" s="200">
        <v>45798</v>
      </c>
      <c r="C24" s="25"/>
      <c r="D24" s="25"/>
      <c r="E24" s="264">
        <v>130</v>
      </c>
      <c r="F24" s="264">
        <v>95.84</v>
      </c>
      <c r="G24" s="8">
        <f t="shared" si="4"/>
        <v>12459.2</v>
      </c>
      <c r="H24" s="9">
        <v>5</v>
      </c>
      <c r="I24" s="9">
        <v>107.94</v>
      </c>
      <c r="J24" s="8">
        <f t="shared" si="1"/>
        <v>539.70000000000005</v>
      </c>
      <c r="K24" s="8">
        <f t="shared" si="2"/>
        <v>12998.900000000001</v>
      </c>
      <c r="L24" s="147">
        <v>100000</v>
      </c>
      <c r="M24" s="8">
        <f t="shared" si="3"/>
        <v>25945.903800000146</v>
      </c>
      <c r="N24" s="44"/>
      <c r="O24" s="1"/>
    </row>
    <row r="25" spans="1:19">
      <c r="A25" s="46">
        <v>22</v>
      </c>
      <c r="B25" s="200">
        <v>45799</v>
      </c>
      <c r="C25" s="25"/>
      <c r="D25" s="25"/>
      <c r="E25" s="264">
        <v>150</v>
      </c>
      <c r="F25" s="264">
        <v>95.84</v>
      </c>
      <c r="G25" s="8">
        <f t="shared" si="4"/>
        <v>14376</v>
      </c>
      <c r="H25" s="9"/>
      <c r="I25" s="9"/>
      <c r="J25" s="8">
        <f t="shared" si="1"/>
        <v>0</v>
      </c>
      <c r="K25" s="8">
        <f t="shared" si="2"/>
        <v>14376</v>
      </c>
      <c r="L25" s="147"/>
      <c r="M25" s="8">
        <f t="shared" si="3"/>
        <v>40321.903800000146</v>
      </c>
      <c r="N25" s="44"/>
      <c r="O25" s="1"/>
      <c r="S25">
        <f>45+75.01+129.01+35+90+200</f>
        <v>574.02</v>
      </c>
    </row>
    <row r="26" spans="1:19">
      <c r="A26" s="46">
        <v>23</v>
      </c>
      <c r="B26" s="200">
        <v>45800</v>
      </c>
      <c r="C26" s="25"/>
      <c r="D26" s="25"/>
      <c r="E26" s="264"/>
      <c r="F26" s="264"/>
      <c r="G26" s="8">
        <f t="shared" si="4"/>
        <v>0</v>
      </c>
      <c r="H26" s="9"/>
      <c r="I26" s="9"/>
      <c r="J26" s="8">
        <f t="shared" si="1"/>
        <v>0</v>
      </c>
      <c r="K26" s="8">
        <f t="shared" si="2"/>
        <v>0</v>
      </c>
      <c r="L26" s="147"/>
      <c r="M26" s="8">
        <f t="shared" si="3"/>
        <v>40321.903800000146</v>
      </c>
      <c r="N26" s="44"/>
      <c r="O26" s="1"/>
    </row>
    <row r="27" spans="1:19">
      <c r="A27" s="46">
        <v>24</v>
      </c>
      <c r="B27" s="200">
        <v>45801</v>
      </c>
      <c r="C27" s="25"/>
      <c r="D27" s="25"/>
      <c r="E27" s="264"/>
      <c r="F27" s="264"/>
      <c r="G27" s="8">
        <f t="shared" si="4"/>
        <v>0</v>
      </c>
      <c r="H27" s="9"/>
      <c r="I27" s="9"/>
      <c r="J27" s="8">
        <f t="shared" si="1"/>
        <v>0</v>
      </c>
      <c r="K27" s="8">
        <f>G27+J27</f>
        <v>0</v>
      </c>
      <c r="L27" s="147"/>
      <c r="M27" s="8">
        <f>M26+K27-L27</f>
        <v>40321.903800000146</v>
      </c>
      <c r="N27" s="44"/>
      <c r="O27" s="1"/>
    </row>
    <row r="28" spans="1:19">
      <c r="A28" s="46">
        <v>25</v>
      </c>
      <c r="B28" s="200">
        <v>45802</v>
      </c>
      <c r="C28" s="25"/>
      <c r="D28" s="25"/>
      <c r="E28" s="264"/>
      <c r="F28" s="264"/>
      <c r="G28" s="8">
        <f t="shared" si="4"/>
        <v>0</v>
      </c>
      <c r="H28" s="9"/>
      <c r="I28" s="9"/>
      <c r="J28" s="8">
        <f t="shared" si="1"/>
        <v>0</v>
      </c>
      <c r="K28" s="8">
        <f t="shared" si="2"/>
        <v>0</v>
      </c>
      <c r="L28" s="147"/>
      <c r="M28" s="8">
        <f t="shared" si="3"/>
        <v>40321.903800000146</v>
      </c>
      <c r="N28" s="44"/>
      <c r="O28" s="1"/>
      <c r="R28" t="s">
        <v>353</v>
      </c>
    </row>
    <row r="29" spans="1:19">
      <c r="A29" s="46">
        <v>26</v>
      </c>
      <c r="B29" s="200">
        <v>45803</v>
      </c>
      <c r="C29" s="25"/>
      <c r="D29" s="25"/>
      <c r="E29" s="264">
        <v>300</v>
      </c>
      <c r="F29" s="264">
        <v>99.6</v>
      </c>
      <c r="G29" s="8">
        <f t="shared" si="4"/>
        <v>29880</v>
      </c>
      <c r="H29" s="9">
        <v>35</v>
      </c>
      <c r="I29" s="9">
        <v>111.71</v>
      </c>
      <c r="J29" s="8">
        <f t="shared" si="1"/>
        <v>3909.85</v>
      </c>
      <c r="K29" s="8">
        <f t="shared" si="2"/>
        <v>33789.85</v>
      </c>
      <c r="L29" s="147"/>
      <c r="M29" s="8">
        <f t="shared" si="3"/>
        <v>74111.753800000151</v>
      </c>
      <c r="N29" s="44"/>
      <c r="O29" s="1"/>
      <c r="Q29">
        <v>30</v>
      </c>
    </row>
    <row r="30" spans="1:19">
      <c r="A30" s="46">
        <v>27</v>
      </c>
      <c r="B30" s="200">
        <v>45804</v>
      </c>
      <c r="C30" s="25"/>
      <c r="D30" s="25"/>
      <c r="E30" s="264">
        <v>300</v>
      </c>
      <c r="F30" s="264">
        <v>99.6</v>
      </c>
      <c r="G30" s="8">
        <f t="shared" si="4"/>
        <v>29880</v>
      </c>
      <c r="H30" s="9">
        <v>7</v>
      </c>
      <c r="I30" s="9">
        <v>111.71</v>
      </c>
      <c r="J30" s="8">
        <f t="shared" si="1"/>
        <v>781.96999999999991</v>
      </c>
      <c r="K30" s="8">
        <f t="shared" si="2"/>
        <v>30661.97</v>
      </c>
      <c r="L30" s="147"/>
      <c r="M30" s="8">
        <f t="shared" si="3"/>
        <v>104773.72380000015</v>
      </c>
      <c r="N30" s="44"/>
      <c r="O30" s="1"/>
      <c r="Q30">
        <v>20.02</v>
      </c>
    </row>
    <row r="31" spans="1:19">
      <c r="A31" s="46">
        <v>28</v>
      </c>
      <c r="B31" s="200">
        <v>45805</v>
      </c>
      <c r="C31" s="25"/>
      <c r="D31" s="25"/>
      <c r="E31" s="264"/>
      <c r="F31" s="264"/>
      <c r="G31" s="8">
        <f t="shared" si="4"/>
        <v>0</v>
      </c>
      <c r="H31" s="9"/>
      <c r="I31" s="9"/>
      <c r="J31" s="8">
        <f t="shared" si="1"/>
        <v>0</v>
      </c>
      <c r="K31" s="8">
        <f t="shared" si="2"/>
        <v>0</v>
      </c>
      <c r="L31" s="147"/>
      <c r="M31" s="8">
        <f t="shared" si="3"/>
        <v>104773.72380000015</v>
      </c>
      <c r="N31" s="44"/>
      <c r="O31" s="1"/>
    </row>
    <row r="32" spans="1:19">
      <c r="A32" s="195">
        <v>29</v>
      </c>
      <c r="B32" s="200">
        <v>45806</v>
      </c>
      <c r="C32" s="25"/>
      <c r="D32" s="25"/>
      <c r="E32" s="264"/>
      <c r="F32" s="264"/>
      <c r="G32" s="8">
        <f t="shared" si="4"/>
        <v>0</v>
      </c>
      <c r="H32" s="9"/>
      <c r="I32" s="9"/>
      <c r="J32" s="8">
        <f t="shared" si="1"/>
        <v>0</v>
      </c>
      <c r="K32" s="8">
        <f t="shared" si="2"/>
        <v>0</v>
      </c>
      <c r="L32" s="147"/>
      <c r="M32" s="8">
        <f t="shared" si="3"/>
        <v>104773.72380000015</v>
      </c>
      <c r="N32" s="44"/>
      <c r="O32" s="1"/>
    </row>
    <row r="33" spans="1:15">
      <c r="A33" s="195">
        <v>30</v>
      </c>
      <c r="B33" s="200">
        <v>45807</v>
      </c>
      <c r="C33" s="25"/>
      <c r="D33" s="25"/>
      <c r="E33" s="264"/>
      <c r="F33" s="264"/>
      <c r="G33" s="8">
        <f t="shared" si="4"/>
        <v>0</v>
      </c>
      <c r="H33" s="9"/>
      <c r="I33" s="9"/>
      <c r="J33" s="8">
        <f t="shared" si="1"/>
        <v>0</v>
      </c>
      <c r="K33" s="8">
        <f t="shared" si="2"/>
        <v>0</v>
      </c>
      <c r="L33" s="147"/>
      <c r="M33" s="8">
        <f t="shared" si="3"/>
        <v>104773.72380000015</v>
      </c>
      <c r="N33" s="44"/>
      <c r="O33" s="1"/>
    </row>
    <row r="34" spans="1:15">
      <c r="A34" s="195">
        <v>31</v>
      </c>
      <c r="B34" s="200">
        <v>45808</v>
      </c>
      <c r="C34" s="25"/>
      <c r="D34" s="25"/>
      <c r="E34" s="264"/>
      <c r="F34" s="264"/>
      <c r="G34" s="8">
        <f t="shared" si="4"/>
        <v>0</v>
      </c>
      <c r="H34" s="9">
        <v>10</v>
      </c>
      <c r="I34" s="9">
        <v>111.71</v>
      </c>
      <c r="J34" s="8">
        <f t="shared" si="1"/>
        <v>1117.0999999999999</v>
      </c>
      <c r="K34" s="8">
        <f t="shared" si="2"/>
        <v>1117.0999999999999</v>
      </c>
      <c r="L34" s="147"/>
      <c r="M34" s="8">
        <f t="shared" si="3"/>
        <v>105890.82380000016</v>
      </c>
      <c r="N34" s="44"/>
      <c r="O34" s="1"/>
    </row>
    <row r="35" spans="1:15">
      <c r="A35" s="62"/>
      <c r="B35" s="62"/>
      <c r="C35" s="62"/>
      <c r="D35" s="62"/>
      <c r="E35" s="63">
        <f>SUM(E4:E34)</f>
        <v>3290</v>
      </c>
      <c r="F35" s="63"/>
      <c r="G35" s="63">
        <f>SUM(G4:G34)</f>
        <v>310419.40000000002</v>
      </c>
      <c r="H35" s="63">
        <f>SUM(H4:H34)</f>
        <v>137</v>
      </c>
      <c r="I35" s="63"/>
      <c r="J35" s="63">
        <f>SUM(J4:J34)</f>
        <v>14876.32</v>
      </c>
      <c r="K35" s="63">
        <f>SUM(K4:K34)</f>
        <v>325295.71999999997</v>
      </c>
      <c r="L35" s="63">
        <f>SUM(L4:L34)</f>
        <v>420000</v>
      </c>
      <c r="M35" s="63"/>
      <c r="N35" s="63"/>
      <c r="O35" s="59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537"/>
      <c r="C38" s="537"/>
      <c r="D38" s="537"/>
      <c r="E38" s="537"/>
      <c r="F38" s="1"/>
      <c r="G38" s="1"/>
      <c r="H38" s="1"/>
      <c r="I38" s="584">
        <f>K24+L24</f>
        <v>112998.9</v>
      </c>
      <c r="J38" s="537"/>
      <c r="K38" s="537"/>
      <c r="L38" s="537"/>
      <c r="M38" s="537"/>
      <c r="N38" s="537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D1B-A817-4C7F-A5CC-FB5F768C0F89}">
  <sheetPr>
    <tabColor rgb="FF7030A0"/>
  </sheetPr>
  <dimension ref="A1:U51"/>
  <sheetViews>
    <sheetView topLeftCell="A4" workbookViewId="0">
      <selection activeCell="F17" sqref="F17"/>
    </sheetView>
  </sheetViews>
  <sheetFormatPr defaultRowHeight="15"/>
  <cols>
    <col min="2" max="2" width="10" bestFit="1" customWidth="1"/>
    <col min="7" max="7" width="11.85546875" bestFit="1" customWidth="1"/>
    <col min="10" max="10" width="10.85546875" bestFit="1" customWidth="1"/>
    <col min="11" max="12" width="13.5703125" bestFit="1" customWidth="1"/>
    <col min="13" max="13" width="11.85546875" bestFit="1" customWidth="1"/>
  </cols>
  <sheetData>
    <row r="1" spans="1:15" ht="15.75">
      <c r="A1" s="550" t="s">
        <v>138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3"/>
    </row>
    <row r="2" spans="1:15" ht="30.75">
      <c r="A2" s="64" t="s">
        <v>0</v>
      </c>
      <c r="B2" s="83" t="s">
        <v>166</v>
      </c>
      <c r="C2" s="83" t="s">
        <v>167</v>
      </c>
      <c r="D2" s="83" t="s">
        <v>168</v>
      </c>
      <c r="E2" s="83" t="s">
        <v>169</v>
      </c>
      <c r="F2" s="83" t="s">
        <v>170</v>
      </c>
      <c r="G2" s="83" t="s">
        <v>171</v>
      </c>
      <c r="H2" s="83" t="s">
        <v>172</v>
      </c>
      <c r="I2" s="83" t="s">
        <v>170</v>
      </c>
      <c r="J2" s="84" t="s">
        <v>171</v>
      </c>
      <c r="K2" s="64" t="s">
        <v>173</v>
      </c>
      <c r="L2" s="85" t="s">
        <v>174</v>
      </c>
      <c r="M2" s="165" t="s">
        <v>199</v>
      </c>
      <c r="N2" s="83" t="s">
        <v>176</v>
      </c>
      <c r="O2" s="59"/>
    </row>
    <row r="3" spans="1:15">
      <c r="A3" s="144"/>
      <c r="B3" s="145"/>
      <c r="C3" s="145"/>
      <c r="D3" s="131" t="s">
        <v>177</v>
      </c>
      <c r="E3" s="145"/>
      <c r="F3" s="145"/>
      <c r="G3" s="145"/>
      <c r="H3" s="145"/>
      <c r="I3" s="145"/>
      <c r="J3" s="146"/>
      <c r="K3" s="261"/>
      <c r="L3" s="229">
        <v>266017.90400000004</v>
      </c>
      <c r="M3" s="229">
        <v>266017.90400000004</v>
      </c>
      <c r="N3" s="145"/>
      <c r="O3" s="59"/>
    </row>
    <row r="4" spans="1:15">
      <c r="A4" s="46">
        <v>1</v>
      </c>
      <c r="B4" s="200">
        <v>46143</v>
      </c>
      <c r="C4" s="25"/>
      <c r="D4" s="25"/>
      <c r="E4" s="8"/>
      <c r="F4" s="8"/>
      <c r="G4" s="8">
        <f>E4*F4</f>
        <v>0</v>
      </c>
      <c r="H4" s="9"/>
      <c r="I4" s="9"/>
      <c r="J4" s="8">
        <f>H4*I4</f>
        <v>0</v>
      </c>
      <c r="K4" s="8">
        <f>G4+J4</f>
        <v>0</v>
      </c>
      <c r="L4" s="147"/>
      <c r="M4" s="8">
        <f>M3+K4-L4</f>
        <v>266017.90400000004</v>
      </c>
      <c r="N4" s="44"/>
      <c r="O4" s="1"/>
    </row>
    <row r="5" spans="1:15">
      <c r="A5" s="46">
        <v>2</v>
      </c>
      <c r="B5" s="200">
        <v>46144</v>
      </c>
      <c r="C5" s="25"/>
      <c r="D5" s="25"/>
      <c r="E5" s="8">
        <v>100</v>
      </c>
      <c r="F5" s="8">
        <v>91.89</v>
      </c>
      <c r="G5" s="8">
        <f t="shared" ref="G5:G35" si="0">E5*F5</f>
        <v>9189</v>
      </c>
      <c r="H5" s="9">
        <v>10</v>
      </c>
      <c r="I5" s="9">
        <v>103.85</v>
      </c>
      <c r="J5" s="8">
        <f t="shared" ref="J5:J35" si="1">H5*I5</f>
        <v>1038.5</v>
      </c>
      <c r="K5" s="8">
        <f t="shared" ref="K5:K35" si="2">G5+J5</f>
        <v>10227.5</v>
      </c>
      <c r="L5" s="147"/>
      <c r="M5" s="8">
        <f t="shared" ref="M5:M15" si="3">M4+K5-L5</f>
        <v>276245.40400000004</v>
      </c>
      <c r="N5" s="44"/>
      <c r="O5" s="1"/>
    </row>
    <row r="6" spans="1:15">
      <c r="A6" s="46">
        <v>3</v>
      </c>
      <c r="B6" s="200">
        <v>46145</v>
      </c>
      <c r="C6" s="25"/>
      <c r="D6" s="25"/>
      <c r="E6" s="8"/>
      <c r="F6" s="8"/>
      <c r="G6" s="8">
        <f t="shared" si="0"/>
        <v>0</v>
      </c>
      <c r="H6" s="9"/>
      <c r="I6" s="9"/>
      <c r="J6" s="8">
        <f t="shared" si="1"/>
        <v>0</v>
      </c>
      <c r="K6" s="8">
        <f t="shared" si="2"/>
        <v>0</v>
      </c>
      <c r="L6" s="147"/>
      <c r="M6" s="8">
        <f t="shared" si="3"/>
        <v>276245.40400000004</v>
      </c>
      <c r="N6" s="44"/>
      <c r="O6" s="1"/>
    </row>
    <row r="7" spans="1:15">
      <c r="A7" s="46">
        <v>4</v>
      </c>
      <c r="B7" s="200">
        <v>46146</v>
      </c>
      <c r="C7" s="25"/>
      <c r="D7" s="25"/>
      <c r="E7" s="264"/>
      <c r="F7" s="264"/>
      <c r="G7" s="8">
        <f t="shared" si="0"/>
        <v>0</v>
      </c>
      <c r="H7" s="9"/>
      <c r="I7" s="9"/>
      <c r="J7" s="8">
        <f t="shared" si="1"/>
        <v>0</v>
      </c>
      <c r="K7" s="8">
        <f t="shared" si="2"/>
        <v>0</v>
      </c>
      <c r="L7" s="147">
        <v>200000</v>
      </c>
      <c r="M7" s="8">
        <f t="shared" si="3"/>
        <v>76245.404000000039</v>
      </c>
      <c r="N7" s="44"/>
      <c r="O7" s="1"/>
    </row>
    <row r="8" spans="1:15">
      <c r="A8" s="46">
        <v>5</v>
      </c>
      <c r="B8" s="200">
        <v>46147</v>
      </c>
      <c r="C8" s="25"/>
      <c r="D8" s="25"/>
      <c r="E8" s="264"/>
      <c r="F8" s="264"/>
      <c r="G8" s="8">
        <f t="shared" si="0"/>
        <v>0</v>
      </c>
      <c r="H8" s="9"/>
      <c r="I8" s="9"/>
      <c r="J8" s="8">
        <f t="shared" si="1"/>
        <v>0</v>
      </c>
      <c r="K8" s="8">
        <f t="shared" si="2"/>
        <v>0</v>
      </c>
      <c r="L8" s="147"/>
      <c r="M8" s="8">
        <f t="shared" si="3"/>
        <v>76245.404000000039</v>
      </c>
      <c r="N8" s="44"/>
      <c r="O8" s="1"/>
    </row>
    <row r="9" spans="1:15">
      <c r="A9" s="46">
        <v>6</v>
      </c>
      <c r="B9" s="200">
        <v>46148</v>
      </c>
      <c r="C9" s="25"/>
      <c r="D9" s="25"/>
      <c r="E9" s="8">
        <v>160</v>
      </c>
      <c r="F9" s="8">
        <v>91.89</v>
      </c>
      <c r="G9" s="8">
        <f t="shared" si="0"/>
        <v>14702.4</v>
      </c>
      <c r="H9" s="264">
        <v>5</v>
      </c>
      <c r="I9" s="401">
        <v>103.85</v>
      </c>
      <c r="J9" s="8">
        <f t="shared" si="1"/>
        <v>519.25</v>
      </c>
      <c r="K9" s="8">
        <f t="shared" si="2"/>
        <v>15221.65</v>
      </c>
      <c r="L9" s="147"/>
      <c r="M9" s="8">
        <f t="shared" si="3"/>
        <v>91467.054000000033</v>
      </c>
      <c r="N9" s="44"/>
      <c r="O9" s="1"/>
    </row>
    <row r="10" spans="1:15">
      <c r="A10" s="46">
        <v>7</v>
      </c>
      <c r="B10" s="200">
        <v>46149</v>
      </c>
      <c r="C10" s="25"/>
      <c r="D10" s="25"/>
      <c r="E10" s="8">
        <v>105</v>
      </c>
      <c r="F10" s="8">
        <v>91.89</v>
      </c>
      <c r="G10" s="8">
        <f t="shared" si="0"/>
        <v>9648.4500000000007</v>
      </c>
      <c r="H10" s="264">
        <v>5</v>
      </c>
      <c r="I10" s="401">
        <v>103.85</v>
      </c>
      <c r="J10" s="8">
        <f t="shared" si="1"/>
        <v>519.25</v>
      </c>
      <c r="K10" s="8">
        <f t="shared" si="2"/>
        <v>10167.700000000001</v>
      </c>
      <c r="L10" s="147"/>
      <c r="M10" s="8">
        <f t="shared" si="3"/>
        <v>101634.75400000003</v>
      </c>
      <c r="N10" s="44"/>
      <c r="O10" s="1"/>
    </row>
    <row r="11" spans="1:15">
      <c r="A11" s="46">
        <v>8</v>
      </c>
      <c r="B11" s="200">
        <v>46150</v>
      </c>
      <c r="C11" s="25"/>
      <c r="D11" s="25"/>
      <c r="E11" s="8">
        <v>173.01</v>
      </c>
      <c r="F11" s="8">
        <v>91.89</v>
      </c>
      <c r="G11" s="8">
        <f t="shared" si="0"/>
        <v>15897.8889</v>
      </c>
      <c r="H11" s="9"/>
      <c r="I11" s="9"/>
      <c r="J11" s="8">
        <f t="shared" si="1"/>
        <v>0</v>
      </c>
      <c r="K11" s="8">
        <f t="shared" si="2"/>
        <v>15897.8889</v>
      </c>
      <c r="L11" s="147"/>
      <c r="M11" s="8">
        <f t="shared" si="3"/>
        <v>117532.64290000004</v>
      </c>
      <c r="N11" s="44"/>
      <c r="O11" s="1"/>
    </row>
    <row r="12" spans="1:15">
      <c r="A12" s="46">
        <v>9</v>
      </c>
      <c r="B12" s="200">
        <v>46151</v>
      </c>
      <c r="C12" s="25"/>
      <c r="D12" s="25"/>
      <c r="E12" s="8">
        <v>300</v>
      </c>
      <c r="F12" s="8">
        <v>91.89</v>
      </c>
      <c r="G12" s="8">
        <f t="shared" si="0"/>
        <v>27567</v>
      </c>
      <c r="H12" s="9"/>
      <c r="I12" s="9"/>
      <c r="J12" s="8">
        <f t="shared" si="1"/>
        <v>0</v>
      </c>
      <c r="K12" s="8">
        <f t="shared" si="2"/>
        <v>27567</v>
      </c>
      <c r="L12" s="147"/>
      <c r="M12" s="8">
        <f t="shared" si="3"/>
        <v>145099.64290000004</v>
      </c>
      <c r="N12" s="44"/>
      <c r="O12" s="1" t="s">
        <v>350</v>
      </c>
    </row>
    <row r="13" spans="1:15">
      <c r="A13" s="46">
        <v>10</v>
      </c>
      <c r="B13" s="200">
        <v>46152</v>
      </c>
      <c r="C13" s="25"/>
      <c r="D13" s="25"/>
      <c r="E13" s="8">
        <v>28</v>
      </c>
      <c r="F13" s="8">
        <v>91.89</v>
      </c>
      <c r="G13" s="8">
        <f t="shared" si="0"/>
        <v>2572.92</v>
      </c>
      <c r="H13" s="9">
        <v>6</v>
      </c>
      <c r="I13" s="401">
        <v>103.85</v>
      </c>
      <c r="J13" s="8">
        <f t="shared" si="1"/>
        <v>623.09999999999991</v>
      </c>
      <c r="K13" s="8">
        <f t="shared" si="2"/>
        <v>3196.02</v>
      </c>
      <c r="L13" s="147"/>
      <c r="M13" s="8">
        <f t="shared" si="3"/>
        <v>148295.66290000002</v>
      </c>
      <c r="N13" s="44"/>
      <c r="O13" s="1"/>
    </row>
    <row r="14" spans="1:15">
      <c r="A14" s="46">
        <v>11</v>
      </c>
      <c r="B14" s="200">
        <v>46153</v>
      </c>
      <c r="C14" s="25"/>
      <c r="D14" s="25"/>
      <c r="E14" s="8">
        <v>70</v>
      </c>
      <c r="F14" s="8">
        <v>91.89</v>
      </c>
      <c r="G14" s="8">
        <f t="shared" si="0"/>
        <v>6432.3</v>
      </c>
      <c r="H14" s="9">
        <v>15</v>
      </c>
      <c r="I14" s="401">
        <v>103.85</v>
      </c>
      <c r="J14" s="8">
        <f t="shared" si="1"/>
        <v>1557.75</v>
      </c>
      <c r="K14" s="8">
        <f t="shared" si="2"/>
        <v>7990.05</v>
      </c>
      <c r="L14" s="147"/>
      <c r="M14" s="8">
        <f t="shared" si="3"/>
        <v>156285.71290000001</v>
      </c>
      <c r="N14" s="44"/>
      <c r="O14" s="1"/>
    </row>
    <row r="15" spans="1:15">
      <c r="A15" s="46">
        <v>12</v>
      </c>
      <c r="B15" s="200">
        <v>46154</v>
      </c>
      <c r="C15" s="25"/>
      <c r="D15" s="25"/>
      <c r="E15" s="8">
        <v>499</v>
      </c>
      <c r="F15" s="8">
        <v>91.89</v>
      </c>
      <c r="G15" s="8">
        <f t="shared" si="0"/>
        <v>45853.11</v>
      </c>
      <c r="H15" s="9"/>
      <c r="I15" s="9"/>
      <c r="J15" s="8">
        <f t="shared" si="1"/>
        <v>0</v>
      </c>
      <c r="K15" s="8">
        <f t="shared" si="2"/>
        <v>45853.11</v>
      </c>
      <c r="L15" s="147"/>
      <c r="M15" s="8">
        <f t="shared" si="3"/>
        <v>202138.82290000003</v>
      </c>
      <c r="N15" s="44"/>
      <c r="O15" s="1"/>
    </row>
    <row r="16" spans="1:15">
      <c r="A16" s="46">
        <v>13</v>
      </c>
      <c r="B16" s="200">
        <v>46155</v>
      </c>
      <c r="C16" s="25"/>
      <c r="D16" s="25"/>
      <c r="E16" s="8">
        <v>265</v>
      </c>
      <c r="F16" s="8">
        <v>91.89</v>
      </c>
      <c r="G16" s="8">
        <f t="shared" si="0"/>
        <v>24350.85</v>
      </c>
      <c r="H16" s="9"/>
      <c r="I16" s="9"/>
      <c r="J16" s="8">
        <f t="shared" si="1"/>
        <v>0</v>
      </c>
      <c r="K16" s="8">
        <f t="shared" si="2"/>
        <v>24350.85</v>
      </c>
      <c r="L16" s="147"/>
      <c r="M16" s="8">
        <f>M15+K16-L16</f>
        <v>226489.67290000003</v>
      </c>
      <c r="N16" s="44"/>
      <c r="O16" s="1"/>
    </row>
    <row r="17" spans="1:21">
      <c r="A17" s="46">
        <v>14</v>
      </c>
      <c r="B17" s="200">
        <v>46156</v>
      </c>
      <c r="C17" s="25"/>
      <c r="D17" s="25"/>
      <c r="E17" s="8">
        <v>80</v>
      </c>
      <c r="F17" s="8">
        <v>91.89</v>
      </c>
      <c r="G17" s="8">
        <f t="shared" si="0"/>
        <v>7351.2</v>
      </c>
      <c r="H17" s="9"/>
      <c r="I17" s="9"/>
      <c r="J17" s="8">
        <f t="shared" si="1"/>
        <v>0</v>
      </c>
      <c r="K17" s="8">
        <f t="shared" si="2"/>
        <v>7351.2</v>
      </c>
      <c r="L17" s="147"/>
      <c r="M17" s="8">
        <f>M16+K17-L17</f>
        <v>233840.87290000005</v>
      </c>
      <c r="N17" s="44"/>
      <c r="O17" s="1"/>
    </row>
    <row r="18" spans="1:21">
      <c r="A18" s="46">
        <v>15</v>
      </c>
      <c r="B18" s="200">
        <v>46157</v>
      </c>
      <c r="C18" s="25"/>
      <c r="D18" s="25"/>
      <c r="E18" s="8">
        <v>133.84</v>
      </c>
      <c r="F18" s="8">
        <v>95</v>
      </c>
      <c r="G18" s="8">
        <f t="shared" si="0"/>
        <v>12714.800000000001</v>
      </c>
      <c r="H18" s="9">
        <v>6</v>
      </c>
      <c r="I18" s="9">
        <v>107.11</v>
      </c>
      <c r="J18" s="8">
        <f t="shared" si="1"/>
        <v>642.66</v>
      </c>
      <c r="K18" s="8">
        <f t="shared" si="2"/>
        <v>13357.460000000001</v>
      </c>
      <c r="L18" s="147"/>
      <c r="M18" s="8">
        <f t="shared" ref="M18:M36" si="4">M17+K18-L18</f>
        <v>247198.33290000004</v>
      </c>
      <c r="N18" s="44"/>
      <c r="O18" s="1"/>
    </row>
    <row r="19" spans="1:21">
      <c r="A19" s="46">
        <v>16</v>
      </c>
      <c r="B19" s="200">
        <v>46158</v>
      </c>
      <c r="C19" s="25"/>
      <c r="D19" s="25"/>
      <c r="E19" s="8">
        <v>470.01</v>
      </c>
      <c r="F19" s="8">
        <v>95</v>
      </c>
      <c r="G19" s="8">
        <f t="shared" si="0"/>
        <v>44650.95</v>
      </c>
      <c r="H19" s="9">
        <v>5</v>
      </c>
      <c r="I19" s="9">
        <v>107.11</v>
      </c>
      <c r="J19" s="8">
        <f t="shared" si="1"/>
        <v>535.54999999999995</v>
      </c>
      <c r="K19" s="8">
        <f t="shared" si="2"/>
        <v>45186.5</v>
      </c>
      <c r="L19" s="147"/>
      <c r="M19" s="8">
        <f t="shared" si="4"/>
        <v>292384.83290000004</v>
      </c>
      <c r="N19" s="44"/>
      <c r="O19" s="1"/>
    </row>
    <row r="20" spans="1:21">
      <c r="A20" s="46">
        <v>17</v>
      </c>
      <c r="B20" s="200">
        <v>46159</v>
      </c>
      <c r="C20" s="25"/>
      <c r="D20" s="25"/>
      <c r="E20" s="8">
        <v>139.5</v>
      </c>
      <c r="F20" s="8">
        <v>95</v>
      </c>
      <c r="G20" s="8">
        <f t="shared" si="0"/>
        <v>13252.5</v>
      </c>
      <c r="H20" s="9"/>
      <c r="I20" s="9"/>
      <c r="J20" s="8">
        <f t="shared" si="1"/>
        <v>0</v>
      </c>
      <c r="K20" s="8">
        <f t="shared" si="2"/>
        <v>13252.5</v>
      </c>
      <c r="L20" s="147"/>
      <c r="M20" s="8">
        <f t="shared" si="4"/>
        <v>305637.33290000004</v>
      </c>
      <c r="N20" s="44"/>
      <c r="O20" s="1"/>
    </row>
    <row r="21" spans="1:21">
      <c r="A21" s="46">
        <v>18</v>
      </c>
      <c r="B21" s="200">
        <v>46160</v>
      </c>
      <c r="C21" s="25"/>
      <c r="D21" s="25"/>
      <c r="E21" s="8">
        <v>380</v>
      </c>
      <c r="F21" s="8">
        <v>95</v>
      </c>
      <c r="G21" s="8">
        <f t="shared" si="0"/>
        <v>36100</v>
      </c>
      <c r="H21" s="9">
        <v>11</v>
      </c>
      <c r="I21" s="9">
        <v>107.11</v>
      </c>
      <c r="J21" s="8">
        <f t="shared" si="1"/>
        <v>1178.21</v>
      </c>
      <c r="K21" s="8">
        <f t="shared" si="2"/>
        <v>37278.21</v>
      </c>
      <c r="L21" s="147"/>
      <c r="M21" s="8">
        <f t="shared" si="4"/>
        <v>342915.54290000006</v>
      </c>
      <c r="N21" s="44"/>
      <c r="O21" s="1"/>
    </row>
    <row r="22" spans="1:21">
      <c r="A22" s="46">
        <v>19</v>
      </c>
      <c r="B22" s="200">
        <v>46161</v>
      </c>
      <c r="C22" s="25"/>
      <c r="D22" s="25"/>
      <c r="E22" s="8">
        <v>210</v>
      </c>
      <c r="F22" s="8">
        <v>95.94</v>
      </c>
      <c r="G22" s="8">
        <f t="shared" si="0"/>
        <v>20147.399999999998</v>
      </c>
      <c r="H22" s="9"/>
      <c r="I22" s="9"/>
      <c r="J22" s="8">
        <f t="shared" si="1"/>
        <v>0</v>
      </c>
      <c r="K22" s="8">
        <f>G22+J22</f>
        <v>20147.399999999998</v>
      </c>
      <c r="L22" s="147"/>
      <c r="M22" s="8">
        <f t="shared" si="4"/>
        <v>363062.94290000008</v>
      </c>
      <c r="N22" s="44"/>
      <c r="O22" s="1"/>
      <c r="U22">
        <f>70+20+E2690</f>
        <v>90</v>
      </c>
    </row>
    <row r="23" spans="1:21">
      <c r="A23" s="46">
        <v>20</v>
      </c>
      <c r="B23" s="200">
        <v>46162</v>
      </c>
      <c r="C23" s="25"/>
      <c r="D23" s="25"/>
      <c r="E23" s="8">
        <v>216</v>
      </c>
      <c r="F23" s="8">
        <v>95.94</v>
      </c>
      <c r="G23" s="8">
        <f t="shared" si="0"/>
        <v>20723.04</v>
      </c>
      <c r="H23" s="9">
        <v>5</v>
      </c>
      <c r="I23" s="9">
        <v>108.06</v>
      </c>
      <c r="J23" s="8">
        <f t="shared" si="1"/>
        <v>540.29999999999995</v>
      </c>
      <c r="K23" s="8">
        <f t="shared" si="2"/>
        <v>21263.34</v>
      </c>
      <c r="L23" s="147"/>
      <c r="M23" s="8">
        <f t="shared" si="4"/>
        <v>384326.28290000011</v>
      </c>
      <c r="N23" s="44"/>
      <c r="O23" s="1"/>
    </row>
    <row r="24" spans="1:21">
      <c r="A24" s="46">
        <v>21</v>
      </c>
      <c r="B24" s="200">
        <v>46163</v>
      </c>
      <c r="C24" s="25"/>
      <c r="D24" s="25"/>
      <c r="E24" s="8">
        <v>210</v>
      </c>
      <c r="F24" s="8">
        <v>95.94</v>
      </c>
      <c r="G24" s="8">
        <f t="shared" si="0"/>
        <v>20147.399999999998</v>
      </c>
      <c r="H24" s="9"/>
      <c r="I24" s="9"/>
      <c r="J24" s="8">
        <f t="shared" si="1"/>
        <v>0</v>
      </c>
      <c r="K24" s="8">
        <f t="shared" si="2"/>
        <v>20147.399999999998</v>
      </c>
      <c r="L24" s="147">
        <v>100000</v>
      </c>
      <c r="M24" s="8">
        <f t="shared" si="4"/>
        <v>304473.68290000013</v>
      </c>
      <c r="N24" s="44"/>
      <c r="O24" s="1"/>
    </row>
    <row r="25" spans="1:21">
      <c r="A25" s="46">
        <v>22</v>
      </c>
      <c r="B25" s="200">
        <v>46164</v>
      </c>
      <c r="C25" s="25"/>
      <c r="D25" s="25"/>
      <c r="E25" s="8">
        <v>30</v>
      </c>
      <c r="F25" s="8">
        <v>95.94</v>
      </c>
      <c r="G25" s="8">
        <f t="shared" si="0"/>
        <v>2878.2</v>
      </c>
      <c r="H25" s="9"/>
      <c r="I25" s="9"/>
      <c r="J25" s="8">
        <f>H25*I25</f>
        <v>0</v>
      </c>
      <c r="K25" s="8">
        <f>G25+J25</f>
        <v>2878.2</v>
      </c>
      <c r="L25" s="147"/>
      <c r="M25" s="8">
        <f t="shared" si="4"/>
        <v>307351.88290000014</v>
      </c>
      <c r="N25" s="44"/>
      <c r="O25" s="1"/>
    </row>
    <row r="26" spans="1:21">
      <c r="A26" s="46">
        <v>23</v>
      </c>
      <c r="B26" s="200">
        <v>46165</v>
      </c>
      <c r="C26" s="25"/>
      <c r="D26" s="25"/>
      <c r="E26" s="8">
        <v>235</v>
      </c>
      <c r="F26" s="8">
        <v>96.89</v>
      </c>
      <c r="G26" s="8">
        <f t="shared" si="0"/>
        <v>22769.15</v>
      </c>
      <c r="H26" s="9">
        <v>11</v>
      </c>
      <c r="I26" s="9">
        <v>108.99</v>
      </c>
      <c r="J26" s="8">
        <f t="shared" si="1"/>
        <v>1198.8899999999999</v>
      </c>
      <c r="K26" s="8">
        <f>G26+J26</f>
        <v>23968.04</v>
      </c>
      <c r="L26" s="147"/>
      <c r="M26" s="8">
        <f t="shared" si="4"/>
        <v>331319.92290000012</v>
      </c>
      <c r="N26" s="44"/>
      <c r="O26" s="1"/>
    </row>
    <row r="27" spans="1:21">
      <c r="A27" s="46">
        <v>24</v>
      </c>
      <c r="B27" s="200">
        <v>46166</v>
      </c>
      <c r="C27" s="25"/>
      <c r="D27" s="25"/>
      <c r="E27" s="8">
        <v>90</v>
      </c>
      <c r="F27" s="8">
        <v>96.89</v>
      </c>
      <c r="G27" s="8">
        <f t="shared" si="0"/>
        <v>8720.1</v>
      </c>
      <c r="H27" s="9">
        <v>5</v>
      </c>
      <c r="I27" s="9">
        <v>108.99</v>
      </c>
      <c r="J27" s="8">
        <f t="shared" si="1"/>
        <v>544.94999999999993</v>
      </c>
      <c r="K27" s="8">
        <f>G27+J27</f>
        <v>9265.0500000000011</v>
      </c>
      <c r="L27" s="147"/>
      <c r="M27" s="8">
        <f t="shared" si="4"/>
        <v>340584.97290000011</v>
      </c>
      <c r="N27" s="44"/>
      <c r="O27" s="1"/>
    </row>
    <row r="28" spans="1:21">
      <c r="A28" s="46">
        <v>25</v>
      </c>
      <c r="B28" s="200">
        <v>46167</v>
      </c>
      <c r="C28" s="25"/>
      <c r="D28" s="25"/>
      <c r="E28" s="8">
        <v>120</v>
      </c>
      <c r="F28" s="8">
        <v>99.7</v>
      </c>
      <c r="G28" s="8">
        <f t="shared" si="0"/>
        <v>11964</v>
      </c>
      <c r="H28" s="9"/>
      <c r="I28" s="9"/>
      <c r="J28" s="8">
        <f t="shared" si="1"/>
        <v>0</v>
      </c>
      <c r="K28" s="8">
        <f t="shared" si="2"/>
        <v>11964</v>
      </c>
      <c r="L28" s="147">
        <v>150000</v>
      </c>
      <c r="M28" s="8">
        <f t="shared" si="4"/>
        <v>202548.97290000011</v>
      </c>
      <c r="N28" s="44"/>
      <c r="O28" s="1"/>
    </row>
    <row r="29" spans="1:21">
      <c r="A29" s="46">
        <v>26</v>
      </c>
      <c r="B29" s="200">
        <v>46168</v>
      </c>
      <c r="C29" s="25"/>
      <c r="D29" s="25"/>
      <c r="E29" s="8">
        <v>270</v>
      </c>
      <c r="F29" s="8">
        <v>99.7</v>
      </c>
      <c r="G29" s="8">
        <f t="shared" si="0"/>
        <v>26919</v>
      </c>
      <c r="H29" s="9"/>
      <c r="I29" s="9"/>
      <c r="J29" s="8">
        <f t="shared" si="1"/>
        <v>0</v>
      </c>
      <c r="K29" s="8">
        <f t="shared" si="2"/>
        <v>26919</v>
      </c>
      <c r="L29" s="147"/>
      <c r="M29" s="8">
        <f t="shared" si="4"/>
        <v>229467.97290000011</v>
      </c>
      <c r="N29" s="44"/>
      <c r="O29" s="1"/>
    </row>
    <row r="30" spans="1:21">
      <c r="A30" s="46">
        <v>27</v>
      </c>
      <c r="B30" s="200">
        <v>46169</v>
      </c>
      <c r="C30" s="25"/>
      <c r="D30" s="25"/>
      <c r="E30" s="8">
        <v>240</v>
      </c>
      <c r="F30" s="8">
        <v>99.7</v>
      </c>
      <c r="G30" s="8">
        <f t="shared" si="0"/>
        <v>23928</v>
      </c>
      <c r="H30" s="9"/>
      <c r="I30" s="9"/>
      <c r="J30" s="8">
        <f t="shared" si="1"/>
        <v>0</v>
      </c>
      <c r="K30" s="8">
        <f t="shared" si="2"/>
        <v>23928</v>
      </c>
      <c r="L30" s="147"/>
      <c r="M30" s="8">
        <f t="shared" si="4"/>
        <v>253395.97290000011</v>
      </c>
      <c r="N30" s="44"/>
      <c r="O30" s="1"/>
    </row>
    <row r="31" spans="1:21">
      <c r="A31" s="46">
        <v>28</v>
      </c>
      <c r="B31" s="200">
        <v>46170</v>
      </c>
      <c r="C31" s="25"/>
      <c r="D31" s="25"/>
      <c r="E31" s="8">
        <v>100</v>
      </c>
      <c r="F31" s="8">
        <v>99.7</v>
      </c>
      <c r="G31" s="8">
        <f t="shared" si="0"/>
        <v>9970</v>
      </c>
      <c r="H31" s="9"/>
      <c r="I31" s="9"/>
      <c r="J31" s="8">
        <f>H31*I31</f>
        <v>0</v>
      </c>
      <c r="K31" s="8">
        <f t="shared" si="2"/>
        <v>9970</v>
      </c>
      <c r="L31" s="147"/>
      <c r="M31" s="8">
        <f t="shared" si="4"/>
        <v>263365.97290000011</v>
      </c>
      <c r="N31" s="44"/>
      <c r="O31" s="1"/>
    </row>
    <row r="32" spans="1:21">
      <c r="A32" s="46">
        <v>29</v>
      </c>
      <c r="B32" s="200">
        <v>46171</v>
      </c>
      <c r="C32" s="25"/>
      <c r="D32" s="25"/>
      <c r="E32" s="8">
        <v>185</v>
      </c>
      <c r="F32" s="8">
        <v>99.7</v>
      </c>
      <c r="G32" s="8">
        <f t="shared" si="0"/>
        <v>18444.5</v>
      </c>
      <c r="H32" s="9">
        <v>10</v>
      </c>
      <c r="I32" s="9">
        <v>111.82</v>
      </c>
      <c r="J32" s="8">
        <f t="shared" si="1"/>
        <v>1118.1999999999998</v>
      </c>
      <c r="K32" s="8">
        <f t="shared" si="2"/>
        <v>19562.7</v>
      </c>
      <c r="L32" s="147">
        <v>0</v>
      </c>
      <c r="M32" s="8">
        <f t="shared" si="4"/>
        <v>282928.67290000012</v>
      </c>
      <c r="N32" s="44"/>
      <c r="O32" s="1"/>
    </row>
    <row r="33" spans="1:15">
      <c r="A33" s="46">
        <v>30</v>
      </c>
      <c r="B33" s="200">
        <v>46172</v>
      </c>
      <c r="C33" s="25"/>
      <c r="D33" s="25"/>
      <c r="E33" s="8">
        <v>726.24</v>
      </c>
      <c r="F33" s="8">
        <v>99.7</v>
      </c>
      <c r="G33" s="8">
        <f t="shared" si="0"/>
        <v>72406.127999999997</v>
      </c>
      <c r="H33" s="9">
        <v>6</v>
      </c>
      <c r="I33" s="9">
        <v>111.82</v>
      </c>
      <c r="J33" s="8">
        <f t="shared" si="1"/>
        <v>670.92</v>
      </c>
      <c r="K33" s="8">
        <f t="shared" si="2"/>
        <v>73077.047999999995</v>
      </c>
      <c r="L33" s="147">
        <v>0</v>
      </c>
      <c r="M33" s="8">
        <f t="shared" si="4"/>
        <v>356005.72090000013</v>
      </c>
      <c r="N33" s="44"/>
      <c r="O33" s="1"/>
    </row>
    <row r="34" spans="1:15">
      <c r="A34" s="46">
        <v>31</v>
      </c>
      <c r="B34" s="200"/>
      <c r="C34" s="25"/>
      <c r="D34" s="25"/>
      <c r="E34" s="8"/>
      <c r="F34" s="8"/>
      <c r="G34" s="8">
        <f t="shared" si="0"/>
        <v>0</v>
      </c>
      <c r="H34" s="9"/>
      <c r="I34" s="9"/>
      <c r="J34" s="8">
        <f t="shared" si="1"/>
        <v>0</v>
      </c>
      <c r="K34" s="8">
        <f t="shared" si="2"/>
        <v>0</v>
      </c>
      <c r="L34" s="147">
        <v>0</v>
      </c>
      <c r="M34" s="8">
        <f t="shared" si="4"/>
        <v>356005.72090000013</v>
      </c>
      <c r="N34" s="44"/>
      <c r="O34" s="1"/>
    </row>
    <row r="35" spans="1:15">
      <c r="A35" s="46">
        <v>32</v>
      </c>
      <c r="B35" s="200"/>
      <c r="C35" s="25"/>
      <c r="D35" s="25"/>
      <c r="E35" s="8"/>
      <c r="F35" s="8"/>
      <c r="G35" s="8">
        <f t="shared" si="0"/>
        <v>0</v>
      </c>
      <c r="H35" s="9"/>
      <c r="I35" s="9"/>
      <c r="J35" s="8">
        <f t="shared" si="1"/>
        <v>0</v>
      </c>
      <c r="K35" s="8">
        <f t="shared" si="2"/>
        <v>0</v>
      </c>
      <c r="L35" s="147">
        <v>0</v>
      </c>
      <c r="M35" s="8">
        <f t="shared" si="4"/>
        <v>356005.72090000013</v>
      </c>
      <c r="N35" s="44"/>
      <c r="O35" s="1"/>
    </row>
    <row r="36" spans="1:15">
      <c r="A36" s="195"/>
      <c r="B36" s="200"/>
      <c r="C36" s="25"/>
      <c r="D36" s="25"/>
      <c r="E36" s="8"/>
      <c r="F36" s="8"/>
      <c r="G36" s="8"/>
      <c r="H36" s="9">
        <v>0</v>
      </c>
      <c r="I36" s="9">
        <v>0</v>
      </c>
      <c r="J36" s="8"/>
      <c r="K36" s="8"/>
      <c r="L36" s="147"/>
      <c r="M36" s="8">
        <f t="shared" si="4"/>
        <v>356005.72090000013</v>
      </c>
      <c r="N36" s="44"/>
      <c r="O36" s="1"/>
    </row>
    <row r="37" spans="1:15">
      <c r="A37" s="62"/>
      <c r="B37" s="62"/>
      <c r="C37" s="62"/>
      <c r="D37" s="62"/>
      <c r="E37" s="63">
        <f>SUM(E4:E35)</f>
        <v>5535.5999999999995</v>
      </c>
      <c r="F37" s="63"/>
      <c r="G37" s="63">
        <f>SUM(G4:G35)</f>
        <v>529300.28690000006</v>
      </c>
      <c r="H37" s="63">
        <f>SUM(H4:H35)</f>
        <v>100</v>
      </c>
      <c r="I37" s="63"/>
      <c r="J37" s="63">
        <f>SUM(J4:J35)</f>
        <v>10687.53</v>
      </c>
      <c r="K37" s="63">
        <f>SUM(K4:K35)</f>
        <v>539987.81690000009</v>
      </c>
      <c r="L37" s="63">
        <f>SUM(L4:L35)</f>
        <v>450000</v>
      </c>
      <c r="M37" s="63"/>
      <c r="N37" s="63"/>
      <c r="O37" s="59"/>
    </row>
    <row r="38" spans="1:15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5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5">
      <c r="A40" s="1"/>
      <c r="B40" s="537"/>
      <c r="C40" s="537"/>
      <c r="D40" s="537"/>
      <c r="E40" s="537"/>
      <c r="F40" s="1"/>
      <c r="G40" s="1"/>
      <c r="H40" s="1"/>
      <c r="I40" s="584">
        <f>K25+L25</f>
        <v>2878.2</v>
      </c>
      <c r="J40" s="537"/>
      <c r="K40" s="537"/>
      <c r="L40" s="537"/>
      <c r="M40" s="537"/>
      <c r="N40" s="537"/>
      <c r="O40" s="4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A1:N1"/>
    <mergeCell ref="B40:E40"/>
    <mergeCell ref="I40:N4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5"/>
  <sheetViews>
    <sheetView workbookViewId="0">
      <pane ySplit="2" topLeftCell="A17" activePane="bottomLeft" state="frozen"/>
      <selection pane="bottomLeft" activeCell="M35" sqref="M35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546" t="s">
        <v>140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82"/>
    </row>
    <row r="2" spans="1:16">
      <c r="A2" s="97" t="s">
        <v>0</v>
      </c>
      <c r="B2" s="98" t="s">
        <v>166</v>
      </c>
      <c r="C2" s="98" t="s">
        <v>167</v>
      </c>
      <c r="D2" s="98" t="s">
        <v>198</v>
      </c>
      <c r="E2" s="98" t="s">
        <v>169</v>
      </c>
      <c r="F2" s="98" t="s">
        <v>170</v>
      </c>
      <c r="G2" s="98" t="s">
        <v>171</v>
      </c>
      <c r="H2" s="98" t="s">
        <v>172</v>
      </c>
      <c r="I2" s="98" t="s">
        <v>170</v>
      </c>
      <c r="J2" s="137" t="s">
        <v>171</v>
      </c>
      <c r="K2" s="99" t="s">
        <v>173</v>
      </c>
      <c r="L2" s="138" t="s">
        <v>174</v>
      </c>
      <c r="M2" s="142" t="s">
        <v>199</v>
      </c>
      <c r="N2" s="100" t="s">
        <v>176</v>
      </c>
      <c r="O2" s="59"/>
    </row>
    <row r="3" spans="1:16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9"/>
      <c r="K3" s="162">
        <v>41263.189499999971</v>
      </c>
      <c r="L3" s="17"/>
      <c r="M3" s="104">
        <v>41263.189499999971</v>
      </c>
      <c r="N3" s="17"/>
      <c r="O3" s="59"/>
    </row>
    <row r="4" spans="1:16">
      <c r="A4" s="46">
        <v>1</v>
      </c>
      <c r="B4" s="200">
        <v>46143</v>
      </c>
      <c r="C4" s="150"/>
      <c r="D4" s="151"/>
      <c r="E4" s="152">
        <v>0</v>
      </c>
      <c r="F4" s="152">
        <v>91.83</v>
      </c>
      <c r="G4" s="139">
        <f>E4*F4</f>
        <v>0</v>
      </c>
      <c r="H4" s="152">
        <v>20</v>
      </c>
      <c r="I4" s="153">
        <v>103.8</v>
      </c>
      <c r="J4" s="20">
        <f>H4*I4</f>
        <v>2076</v>
      </c>
      <c r="K4" s="20">
        <f>G4+J4</f>
        <v>2076</v>
      </c>
      <c r="L4" s="140"/>
      <c r="M4" s="140">
        <f t="shared" ref="M4:M21" si="0">M3+K4-L4</f>
        <v>43339.189499999971</v>
      </c>
      <c r="N4" s="141"/>
    </row>
    <row r="5" spans="1:16">
      <c r="A5" s="46">
        <v>2</v>
      </c>
      <c r="B5" s="200">
        <v>46144</v>
      </c>
      <c r="C5" s="11"/>
      <c r="D5" s="11"/>
      <c r="E5" s="152">
        <v>24.35</v>
      </c>
      <c r="F5" s="152">
        <v>91.83</v>
      </c>
      <c r="G5" s="139">
        <f t="shared" ref="G5:G35" si="1">E5*F5</f>
        <v>2236.0605</v>
      </c>
      <c r="H5" s="152">
        <v>6</v>
      </c>
      <c r="I5" s="153">
        <v>103.8</v>
      </c>
      <c r="J5" s="20">
        <f t="shared" ref="J5:J35" si="2">H5*I5</f>
        <v>622.79999999999995</v>
      </c>
      <c r="K5" s="20">
        <f t="shared" ref="K5:K35" si="3">G5+J5</f>
        <v>2858.8604999999998</v>
      </c>
      <c r="L5" s="140"/>
      <c r="M5" s="14">
        <f t="shared" si="0"/>
        <v>46198.049999999974</v>
      </c>
      <c r="N5" s="12"/>
    </row>
    <row r="6" spans="1:16">
      <c r="A6" s="46">
        <v>3</v>
      </c>
      <c r="B6" s="200">
        <v>46145</v>
      </c>
      <c r="C6" s="11"/>
      <c r="D6" s="11"/>
      <c r="E6" s="152"/>
      <c r="F6" s="152"/>
      <c r="G6" s="139">
        <f t="shared" si="1"/>
        <v>0</v>
      </c>
      <c r="H6" s="152">
        <v>5</v>
      </c>
      <c r="I6" s="153">
        <v>103.8</v>
      </c>
      <c r="J6" s="20">
        <f t="shared" si="2"/>
        <v>519</v>
      </c>
      <c r="K6" s="20">
        <f t="shared" si="3"/>
        <v>519</v>
      </c>
      <c r="L6" s="140"/>
      <c r="M6" s="14">
        <f t="shared" si="0"/>
        <v>46717.049999999974</v>
      </c>
      <c r="N6" s="13"/>
    </row>
    <row r="7" spans="1:16">
      <c r="A7" s="46">
        <v>4</v>
      </c>
      <c r="B7" s="200">
        <v>46146</v>
      </c>
      <c r="C7" s="70"/>
      <c r="D7" s="71"/>
      <c r="E7" s="152"/>
      <c r="F7" s="152"/>
      <c r="G7" s="139">
        <f t="shared" si="1"/>
        <v>0</v>
      </c>
      <c r="H7" s="152"/>
      <c r="I7" s="153"/>
      <c r="J7" s="20">
        <f t="shared" si="2"/>
        <v>0</v>
      </c>
      <c r="K7" s="20">
        <f t="shared" si="3"/>
        <v>0</v>
      </c>
      <c r="L7" s="140"/>
      <c r="M7" s="14">
        <f t="shared" si="0"/>
        <v>46717.049999999974</v>
      </c>
      <c r="N7" s="41"/>
    </row>
    <row r="8" spans="1:16">
      <c r="A8" s="46">
        <v>5</v>
      </c>
      <c r="B8" s="200">
        <v>46147</v>
      </c>
      <c r="C8" s="70"/>
      <c r="D8" s="71"/>
      <c r="E8" s="152"/>
      <c r="F8" s="152"/>
      <c r="G8" s="139">
        <f t="shared" si="1"/>
        <v>0</v>
      </c>
      <c r="H8" s="152"/>
      <c r="I8" s="153"/>
      <c r="J8" s="20">
        <f t="shared" si="2"/>
        <v>0</v>
      </c>
      <c r="K8" s="20">
        <f t="shared" si="3"/>
        <v>0</v>
      </c>
      <c r="L8" s="140"/>
      <c r="M8" s="14">
        <f t="shared" si="0"/>
        <v>46717.049999999974</v>
      </c>
      <c r="N8" s="41"/>
      <c r="O8" s="241">
        <v>8497892194</v>
      </c>
      <c r="P8" s="242" t="s">
        <v>354</v>
      </c>
    </row>
    <row r="9" spans="1:16">
      <c r="A9" s="46">
        <v>6</v>
      </c>
      <c r="B9" s="200">
        <v>46148</v>
      </c>
      <c r="C9" s="70"/>
      <c r="D9" s="71"/>
      <c r="E9" s="152"/>
      <c r="F9" s="152"/>
      <c r="G9" s="139">
        <f t="shared" si="1"/>
        <v>0</v>
      </c>
      <c r="H9" s="152"/>
      <c r="I9" s="153"/>
      <c r="J9" s="20">
        <f t="shared" si="2"/>
        <v>0</v>
      </c>
      <c r="K9" s="20">
        <f t="shared" si="3"/>
        <v>0</v>
      </c>
      <c r="L9" s="140"/>
      <c r="M9" s="14">
        <f t="shared" si="0"/>
        <v>46717.049999999974</v>
      </c>
      <c r="N9" s="41"/>
      <c r="O9" s="69"/>
    </row>
    <row r="10" spans="1:16">
      <c r="A10" s="46">
        <v>7</v>
      </c>
      <c r="B10" s="200">
        <v>46149</v>
      </c>
      <c r="C10" s="70"/>
      <c r="D10" s="71"/>
      <c r="E10" s="152"/>
      <c r="F10" s="152"/>
      <c r="G10" s="139">
        <f t="shared" si="1"/>
        <v>0</v>
      </c>
      <c r="H10" s="152"/>
      <c r="I10" s="153"/>
      <c r="J10" s="20">
        <f t="shared" si="2"/>
        <v>0</v>
      </c>
      <c r="K10" s="20">
        <f t="shared" si="3"/>
        <v>0</v>
      </c>
      <c r="L10" s="140"/>
      <c r="M10" s="14">
        <f t="shared" si="0"/>
        <v>46717.049999999974</v>
      </c>
      <c r="N10" s="41"/>
      <c r="O10" s="69"/>
    </row>
    <row r="11" spans="1:16">
      <c r="A11" s="46">
        <v>8</v>
      </c>
      <c r="B11" s="200">
        <v>46150</v>
      </c>
      <c r="C11" s="70"/>
      <c r="D11" s="71"/>
      <c r="E11" s="152">
        <v>40</v>
      </c>
      <c r="F11" s="152">
        <v>91.83</v>
      </c>
      <c r="G11" s="139">
        <f t="shared" si="1"/>
        <v>3673.2</v>
      </c>
      <c r="H11" s="152">
        <v>16</v>
      </c>
      <c r="I11" s="153">
        <v>103.8</v>
      </c>
      <c r="J11" s="20">
        <f t="shared" si="2"/>
        <v>1660.8</v>
      </c>
      <c r="K11" s="20">
        <f t="shared" si="3"/>
        <v>5334</v>
      </c>
      <c r="L11" s="140"/>
      <c r="M11" s="14">
        <f t="shared" si="0"/>
        <v>52051.049999999974</v>
      </c>
      <c r="N11" s="41"/>
      <c r="O11" s="69"/>
    </row>
    <row r="12" spans="1:16">
      <c r="A12" s="46">
        <v>9</v>
      </c>
      <c r="B12" s="200">
        <v>46151</v>
      </c>
      <c r="C12" s="70"/>
      <c r="D12" s="71"/>
      <c r="E12" s="152"/>
      <c r="F12" s="152"/>
      <c r="G12" s="139">
        <f t="shared" si="1"/>
        <v>0</v>
      </c>
      <c r="H12" s="152"/>
      <c r="I12" s="153"/>
      <c r="J12" s="20">
        <f t="shared" si="2"/>
        <v>0</v>
      </c>
      <c r="K12" s="20">
        <f t="shared" si="3"/>
        <v>0</v>
      </c>
      <c r="L12" s="140"/>
      <c r="M12" s="14">
        <f t="shared" si="0"/>
        <v>52051.049999999974</v>
      </c>
      <c r="N12" s="41"/>
      <c r="O12" s="69"/>
    </row>
    <row r="13" spans="1:16">
      <c r="A13" s="46">
        <v>10</v>
      </c>
      <c r="B13" s="200">
        <v>46152</v>
      </c>
      <c r="C13" s="70"/>
      <c r="D13" s="71"/>
      <c r="E13" s="152">
        <v>20</v>
      </c>
      <c r="F13" s="152">
        <v>91.89</v>
      </c>
      <c r="G13" s="139">
        <f t="shared" si="1"/>
        <v>1837.8</v>
      </c>
      <c r="H13" s="152">
        <v>0</v>
      </c>
      <c r="I13" s="153">
        <v>103.85</v>
      </c>
      <c r="J13" s="20">
        <f t="shared" si="2"/>
        <v>0</v>
      </c>
      <c r="K13" s="20">
        <f t="shared" si="3"/>
        <v>1837.8</v>
      </c>
      <c r="L13" s="140"/>
      <c r="M13" s="14">
        <f t="shared" si="0"/>
        <v>53888.849999999977</v>
      </c>
      <c r="N13" s="41"/>
      <c r="O13" s="69"/>
    </row>
    <row r="14" spans="1:16">
      <c r="A14" s="46">
        <v>11</v>
      </c>
      <c r="B14" s="200">
        <v>46153</v>
      </c>
      <c r="C14" s="70"/>
      <c r="D14" s="71"/>
      <c r="E14" s="152"/>
      <c r="F14" s="152"/>
      <c r="G14" s="139">
        <f t="shared" si="1"/>
        <v>0</v>
      </c>
      <c r="H14" s="152"/>
      <c r="I14" s="153"/>
      <c r="J14" s="20">
        <f t="shared" si="2"/>
        <v>0</v>
      </c>
      <c r="K14" s="20">
        <f t="shared" si="3"/>
        <v>0</v>
      </c>
      <c r="L14" s="140"/>
      <c r="M14" s="14">
        <f t="shared" si="0"/>
        <v>53888.849999999977</v>
      </c>
      <c r="N14" s="41"/>
      <c r="O14" s="69"/>
      <c r="P14">
        <f>535.3/5.36</f>
        <v>99.869402985074615</v>
      </c>
    </row>
    <row r="15" spans="1:16">
      <c r="A15" s="46">
        <v>12</v>
      </c>
      <c r="B15" s="200">
        <v>46154</v>
      </c>
      <c r="C15" s="70"/>
      <c r="D15" s="71"/>
      <c r="E15" s="152">
        <v>20</v>
      </c>
      <c r="F15" s="152">
        <v>91.83</v>
      </c>
      <c r="G15" s="139">
        <f t="shared" si="1"/>
        <v>1836.6</v>
      </c>
      <c r="H15" s="152">
        <v>10</v>
      </c>
      <c r="I15" s="153">
        <v>103.8</v>
      </c>
      <c r="J15" s="20">
        <f t="shared" si="2"/>
        <v>1038</v>
      </c>
      <c r="K15" s="20">
        <f t="shared" si="3"/>
        <v>2874.6</v>
      </c>
      <c r="L15" s="140"/>
      <c r="M15" s="14">
        <f t="shared" si="0"/>
        <v>56763.449999999975</v>
      </c>
      <c r="N15" s="41"/>
      <c r="O15" s="69"/>
    </row>
    <row r="16" spans="1:16">
      <c r="A16" s="46">
        <v>13</v>
      </c>
      <c r="B16" s="200">
        <v>46155</v>
      </c>
      <c r="C16" s="70"/>
      <c r="D16" s="71"/>
      <c r="E16" s="152">
        <v>10</v>
      </c>
      <c r="F16" s="152">
        <v>91.83</v>
      </c>
      <c r="G16" s="139">
        <f t="shared" si="1"/>
        <v>918.3</v>
      </c>
      <c r="H16" s="152"/>
      <c r="I16" s="153">
        <v>103.8</v>
      </c>
      <c r="J16" s="20">
        <f t="shared" si="2"/>
        <v>0</v>
      </c>
      <c r="K16" s="20">
        <f t="shared" si="3"/>
        <v>918.3</v>
      </c>
      <c r="L16" s="140"/>
      <c r="M16" s="240">
        <f t="shared" si="0"/>
        <v>57681.749999999978</v>
      </c>
      <c r="N16" s="41"/>
      <c r="O16" s="69"/>
    </row>
    <row r="17" spans="1:18">
      <c r="A17" s="46">
        <v>14</v>
      </c>
      <c r="B17" s="200">
        <v>46156</v>
      </c>
      <c r="C17" s="70"/>
      <c r="D17" s="71"/>
      <c r="E17" s="152"/>
      <c r="F17" s="152"/>
      <c r="G17" s="139">
        <f t="shared" si="1"/>
        <v>0</v>
      </c>
      <c r="H17" s="152"/>
      <c r="I17" s="153"/>
      <c r="J17" s="20">
        <f t="shared" si="2"/>
        <v>0</v>
      </c>
      <c r="K17" s="20">
        <f t="shared" si="3"/>
        <v>0</v>
      </c>
      <c r="L17" s="140"/>
      <c r="M17" s="14">
        <f t="shared" si="0"/>
        <v>57681.749999999978</v>
      </c>
      <c r="N17" s="41"/>
      <c r="O17" s="69"/>
    </row>
    <row r="18" spans="1:18">
      <c r="A18" s="46">
        <v>15</v>
      </c>
      <c r="B18" s="200">
        <v>46157</v>
      </c>
      <c r="C18" s="70"/>
      <c r="D18" s="71"/>
      <c r="E18" s="152">
        <v>20</v>
      </c>
      <c r="F18" s="152">
        <v>94.95</v>
      </c>
      <c r="G18" s="139">
        <f t="shared" si="1"/>
        <v>1899</v>
      </c>
      <c r="H18" s="152">
        <v>5.16</v>
      </c>
      <c r="I18" s="153">
        <v>103.8</v>
      </c>
      <c r="J18" s="20">
        <f t="shared" si="2"/>
        <v>535.60799999999995</v>
      </c>
      <c r="K18" s="20">
        <f t="shared" si="3"/>
        <v>2434.6080000000002</v>
      </c>
      <c r="L18" s="140"/>
      <c r="M18" s="14">
        <f t="shared" si="0"/>
        <v>60116.357999999978</v>
      </c>
      <c r="N18" s="41"/>
      <c r="O18" s="69"/>
    </row>
    <row r="19" spans="1:18">
      <c r="A19" s="46">
        <v>16</v>
      </c>
      <c r="B19" s="200">
        <v>46158</v>
      </c>
      <c r="C19" s="189"/>
      <c r="D19" s="190"/>
      <c r="E19" s="152">
        <v>40</v>
      </c>
      <c r="F19" s="152">
        <v>94.95</v>
      </c>
      <c r="G19" s="139">
        <f t="shared" si="1"/>
        <v>3798</v>
      </c>
      <c r="H19" s="152"/>
      <c r="I19" s="153"/>
      <c r="J19" s="20">
        <f t="shared" si="2"/>
        <v>0</v>
      </c>
      <c r="K19" s="20">
        <f t="shared" si="3"/>
        <v>3798</v>
      </c>
      <c r="L19" s="140"/>
      <c r="M19" s="15">
        <f t="shared" si="0"/>
        <v>63914.357999999978</v>
      </c>
      <c r="N19" s="191"/>
      <c r="O19" s="69"/>
    </row>
    <row r="20" spans="1:18">
      <c r="A20" s="46">
        <v>17</v>
      </c>
      <c r="B20" s="200">
        <v>46159</v>
      </c>
      <c r="C20" s="67"/>
      <c r="D20" s="71"/>
      <c r="E20" s="152"/>
      <c r="F20" s="152"/>
      <c r="G20" s="139">
        <f t="shared" si="1"/>
        <v>0</v>
      </c>
      <c r="H20" s="152"/>
      <c r="I20" s="153"/>
      <c r="J20" s="20">
        <f t="shared" si="2"/>
        <v>0</v>
      </c>
      <c r="K20" s="20">
        <f t="shared" si="3"/>
        <v>0</v>
      </c>
      <c r="L20" s="140"/>
      <c r="M20" s="15">
        <f t="shared" si="0"/>
        <v>63914.357999999978</v>
      </c>
      <c r="N20" s="41"/>
      <c r="O20" s="69"/>
    </row>
    <row r="21" spans="1:18">
      <c r="A21" s="46">
        <v>18</v>
      </c>
      <c r="B21" s="200">
        <v>46160</v>
      </c>
      <c r="C21" s="67"/>
      <c r="D21" s="71"/>
      <c r="E21" s="152"/>
      <c r="F21" s="152"/>
      <c r="G21" s="139">
        <f t="shared" si="1"/>
        <v>0</v>
      </c>
      <c r="H21" s="152">
        <v>5</v>
      </c>
      <c r="I21" s="153">
        <v>107.06</v>
      </c>
      <c r="J21" s="20">
        <f t="shared" si="2"/>
        <v>535.29999999999995</v>
      </c>
      <c r="K21" s="20">
        <f t="shared" si="3"/>
        <v>535.29999999999995</v>
      </c>
      <c r="L21" s="140"/>
      <c r="M21" s="15">
        <f t="shared" si="0"/>
        <v>64449.657999999981</v>
      </c>
      <c r="N21" s="41"/>
      <c r="O21" s="69"/>
    </row>
    <row r="22" spans="1:18">
      <c r="A22" s="46">
        <v>19</v>
      </c>
      <c r="B22" s="200">
        <v>46161</v>
      </c>
      <c r="C22" s="67"/>
      <c r="D22" s="71"/>
      <c r="E22" s="152"/>
      <c r="F22" s="152"/>
      <c r="G22" s="139">
        <f t="shared" si="1"/>
        <v>0</v>
      </c>
      <c r="H22" s="152"/>
      <c r="I22" s="153"/>
      <c r="J22" s="20">
        <f t="shared" si="2"/>
        <v>0</v>
      </c>
      <c r="K22" s="20">
        <f t="shared" si="3"/>
        <v>0</v>
      </c>
      <c r="L22" s="140"/>
      <c r="M22" s="15">
        <f t="shared" ref="M22:M31" si="4">M21+K22-L22</f>
        <v>64449.657999999981</v>
      </c>
      <c r="N22" s="41"/>
      <c r="O22" s="69"/>
    </row>
    <row r="23" spans="1:18">
      <c r="A23" s="46"/>
      <c r="B23" s="200">
        <v>46162</v>
      </c>
      <c r="C23" s="67"/>
      <c r="D23" s="71"/>
      <c r="E23" s="152">
        <v>20</v>
      </c>
      <c r="F23" s="152">
        <v>97.58</v>
      </c>
      <c r="G23" s="139">
        <f t="shared" si="1"/>
        <v>1951.6</v>
      </c>
      <c r="H23" s="152"/>
      <c r="I23" s="153"/>
      <c r="J23" s="20"/>
      <c r="K23" s="20">
        <f t="shared" si="3"/>
        <v>1951.6</v>
      </c>
      <c r="L23" s="140"/>
      <c r="M23" s="15">
        <f t="shared" si="4"/>
        <v>66401.257999999987</v>
      </c>
      <c r="N23" s="41"/>
      <c r="O23" s="69"/>
    </row>
    <row r="24" spans="1:18">
      <c r="A24" s="46">
        <v>20</v>
      </c>
      <c r="B24" s="200">
        <v>46162</v>
      </c>
      <c r="C24" s="67"/>
      <c r="D24" s="71"/>
      <c r="E24" s="152">
        <v>98</v>
      </c>
      <c r="F24" s="152">
        <v>95.89</v>
      </c>
      <c r="G24" s="139">
        <f t="shared" si="1"/>
        <v>9397.2199999999993</v>
      </c>
      <c r="H24" s="152">
        <v>6</v>
      </c>
      <c r="I24" s="153">
        <v>108</v>
      </c>
      <c r="J24" s="20">
        <f t="shared" si="2"/>
        <v>648</v>
      </c>
      <c r="K24" s="20">
        <f t="shared" si="3"/>
        <v>10045.219999999999</v>
      </c>
      <c r="L24" s="140"/>
      <c r="M24" s="15">
        <f t="shared" si="4"/>
        <v>76446.477999999988</v>
      </c>
      <c r="N24" s="41"/>
      <c r="O24" s="69"/>
    </row>
    <row r="25" spans="1:18">
      <c r="A25" s="46">
        <v>21</v>
      </c>
      <c r="B25" s="200">
        <v>46163</v>
      </c>
      <c r="C25" s="67"/>
      <c r="D25" s="71"/>
      <c r="E25" s="152"/>
      <c r="F25" s="152"/>
      <c r="G25" s="139">
        <f t="shared" si="1"/>
        <v>0</v>
      </c>
      <c r="H25" s="152">
        <v>5</v>
      </c>
      <c r="I25" s="153">
        <v>108</v>
      </c>
      <c r="J25" s="20">
        <f t="shared" si="2"/>
        <v>540</v>
      </c>
      <c r="K25" s="20">
        <f t="shared" si="3"/>
        <v>540</v>
      </c>
      <c r="L25" s="140">
        <v>60000</v>
      </c>
      <c r="M25" s="15">
        <f t="shared" si="4"/>
        <v>16986.477999999988</v>
      </c>
      <c r="N25" s="41"/>
      <c r="O25" s="69"/>
    </row>
    <row r="26" spans="1:18">
      <c r="A26" s="46">
        <v>22</v>
      </c>
      <c r="B26" s="200">
        <v>46164</v>
      </c>
      <c r="C26" s="67"/>
      <c r="D26" s="71"/>
      <c r="E26" s="152">
        <v>20</v>
      </c>
      <c r="F26" s="152">
        <v>95.89</v>
      </c>
      <c r="G26" s="139">
        <f t="shared" si="1"/>
        <v>1917.8</v>
      </c>
      <c r="H26" s="152">
        <v>11</v>
      </c>
      <c r="I26" s="153">
        <v>108</v>
      </c>
      <c r="J26" s="20">
        <f t="shared" si="2"/>
        <v>1188</v>
      </c>
      <c r="K26" s="20">
        <f t="shared" si="3"/>
        <v>3105.8</v>
      </c>
      <c r="L26" s="140"/>
      <c r="M26" s="15">
        <f t="shared" si="4"/>
        <v>20092.277999999988</v>
      </c>
      <c r="N26" s="41"/>
      <c r="O26" s="69"/>
    </row>
    <row r="27" spans="1:18">
      <c r="A27" s="46">
        <v>23</v>
      </c>
      <c r="B27" s="200">
        <v>46165</v>
      </c>
      <c r="C27" s="67"/>
      <c r="D27" s="71"/>
      <c r="E27" s="152"/>
      <c r="F27" s="152"/>
      <c r="G27" s="139">
        <f t="shared" si="1"/>
        <v>0</v>
      </c>
      <c r="H27" s="152"/>
      <c r="I27" s="153"/>
      <c r="J27" s="20">
        <f t="shared" si="2"/>
        <v>0</v>
      </c>
      <c r="K27" s="20">
        <f t="shared" si="3"/>
        <v>0</v>
      </c>
      <c r="L27" s="140"/>
      <c r="M27" s="15">
        <f t="shared" si="4"/>
        <v>20092.277999999988</v>
      </c>
      <c r="N27" s="41"/>
      <c r="O27" s="69"/>
    </row>
    <row r="28" spans="1:18">
      <c r="A28" s="46">
        <v>24</v>
      </c>
      <c r="B28" s="200">
        <v>46166</v>
      </c>
      <c r="C28" s="67"/>
      <c r="D28" s="71"/>
      <c r="E28" s="152"/>
      <c r="F28" s="152"/>
      <c r="G28" s="139">
        <f t="shared" si="1"/>
        <v>0</v>
      </c>
      <c r="H28" s="152">
        <v>6</v>
      </c>
      <c r="I28" s="153">
        <v>108.94</v>
      </c>
      <c r="J28" s="20">
        <f t="shared" si="2"/>
        <v>653.64</v>
      </c>
      <c r="K28" s="20">
        <f t="shared" si="3"/>
        <v>653.64</v>
      </c>
      <c r="L28" s="140"/>
      <c r="M28" s="15">
        <f t="shared" si="4"/>
        <v>20745.917999999987</v>
      </c>
      <c r="N28" s="41"/>
      <c r="O28" s="69"/>
      <c r="R28">
        <v>66742</v>
      </c>
    </row>
    <row r="29" spans="1:18">
      <c r="A29" s="217">
        <v>25</v>
      </c>
      <c r="B29" s="200">
        <v>46167</v>
      </c>
      <c r="C29" s="194"/>
      <c r="D29" s="190"/>
      <c r="E29" s="152">
        <v>40</v>
      </c>
      <c r="F29" s="479">
        <v>99.64</v>
      </c>
      <c r="G29" s="139">
        <f t="shared" si="1"/>
        <v>3985.6</v>
      </c>
      <c r="H29" s="152"/>
      <c r="I29" s="153"/>
      <c r="J29" s="20">
        <f t="shared" si="2"/>
        <v>0</v>
      </c>
      <c r="K29" s="20">
        <f t="shared" si="3"/>
        <v>3985.6</v>
      </c>
      <c r="L29" s="140"/>
      <c r="M29" s="15">
        <f t="shared" si="4"/>
        <v>24731.517999999985</v>
      </c>
      <c r="N29" s="191"/>
      <c r="O29" s="69"/>
    </row>
    <row r="30" spans="1:18">
      <c r="A30" s="46">
        <v>26</v>
      </c>
      <c r="B30" s="200">
        <v>46168</v>
      </c>
      <c r="C30" s="67"/>
      <c r="D30" s="71"/>
      <c r="E30" s="152">
        <v>60</v>
      </c>
      <c r="F30" s="152">
        <v>99.64</v>
      </c>
      <c r="G30" s="139">
        <f t="shared" si="1"/>
        <v>5978.4</v>
      </c>
      <c r="H30" s="152"/>
      <c r="I30" s="153"/>
      <c r="J30" s="20">
        <f t="shared" si="2"/>
        <v>0</v>
      </c>
      <c r="K30" s="20">
        <f t="shared" si="3"/>
        <v>5978.4</v>
      </c>
      <c r="L30" s="140"/>
      <c r="M30" s="15">
        <f t="shared" si="4"/>
        <v>30709.917999999983</v>
      </c>
      <c r="N30" s="41"/>
      <c r="O30" s="69"/>
    </row>
    <row r="31" spans="1:18">
      <c r="A31" s="46">
        <v>27</v>
      </c>
      <c r="B31" s="200">
        <v>46169</v>
      </c>
      <c r="C31" s="67"/>
      <c r="D31" s="71"/>
      <c r="E31" s="152"/>
      <c r="F31" s="152"/>
      <c r="G31" s="139">
        <f t="shared" si="1"/>
        <v>0</v>
      </c>
      <c r="H31" s="152"/>
      <c r="I31" s="153"/>
      <c r="J31" s="20">
        <f t="shared" si="2"/>
        <v>0</v>
      </c>
      <c r="K31" s="20">
        <f t="shared" si="3"/>
        <v>0</v>
      </c>
      <c r="L31" s="140"/>
      <c r="M31" s="15">
        <f t="shared" si="4"/>
        <v>30709.917999999983</v>
      </c>
      <c r="N31" s="41"/>
      <c r="O31" s="69"/>
    </row>
    <row r="32" spans="1:18">
      <c r="A32" s="46">
        <v>28</v>
      </c>
      <c r="B32" s="200">
        <v>46170</v>
      </c>
      <c r="C32" s="67"/>
      <c r="D32" s="71"/>
      <c r="E32" s="152">
        <v>40</v>
      </c>
      <c r="F32" s="152">
        <v>99.64</v>
      </c>
      <c r="G32" s="139">
        <f t="shared" si="1"/>
        <v>3985.6</v>
      </c>
      <c r="H32" s="152">
        <v>5</v>
      </c>
      <c r="I32" s="153">
        <v>111.77</v>
      </c>
      <c r="J32" s="20">
        <f t="shared" si="2"/>
        <v>558.85</v>
      </c>
      <c r="K32" s="20">
        <f t="shared" si="3"/>
        <v>4544.45</v>
      </c>
      <c r="L32" s="140"/>
      <c r="M32" s="15">
        <f>M31+K32-L32</f>
        <v>35254.36799999998</v>
      </c>
      <c r="N32" s="41"/>
      <c r="O32" s="69"/>
    </row>
    <row r="33" spans="1:15">
      <c r="A33" s="46">
        <v>29</v>
      </c>
      <c r="B33" s="200">
        <v>46171</v>
      </c>
      <c r="C33" s="67"/>
      <c r="D33" s="71"/>
      <c r="E33" s="152">
        <v>30</v>
      </c>
      <c r="F33" s="152">
        <v>99.64</v>
      </c>
      <c r="G33" s="139">
        <f t="shared" si="1"/>
        <v>2989.2</v>
      </c>
      <c r="H33" s="152">
        <v>6</v>
      </c>
      <c r="I33" s="153">
        <v>111.77</v>
      </c>
      <c r="J33" s="20">
        <f t="shared" si="2"/>
        <v>670.62</v>
      </c>
      <c r="K33" s="20">
        <f t="shared" si="3"/>
        <v>3659.8199999999997</v>
      </c>
      <c r="L33" s="140"/>
      <c r="M33" s="15">
        <f>M32+K33-L33</f>
        <v>38914.18799999998</v>
      </c>
      <c r="N33" s="41"/>
      <c r="O33" s="69"/>
    </row>
    <row r="34" spans="1:15">
      <c r="A34" s="46">
        <v>30</v>
      </c>
      <c r="B34" s="200">
        <v>46172</v>
      </c>
      <c r="C34" s="67"/>
      <c r="D34" s="71"/>
      <c r="E34" s="152">
        <v>40</v>
      </c>
      <c r="F34" s="152">
        <v>99.64</v>
      </c>
      <c r="G34" s="139">
        <f t="shared" si="1"/>
        <v>3985.6</v>
      </c>
      <c r="H34" s="152"/>
      <c r="I34" s="153"/>
      <c r="J34" s="20">
        <f t="shared" si="2"/>
        <v>0</v>
      </c>
      <c r="K34" s="20">
        <f t="shared" si="3"/>
        <v>3985.6</v>
      </c>
      <c r="L34" s="140"/>
      <c r="M34" s="15">
        <f>M33+K34-L34</f>
        <v>42899.787999999979</v>
      </c>
      <c r="N34" s="41"/>
      <c r="O34" s="69"/>
    </row>
    <row r="35" spans="1:15">
      <c r="A35" s="46">
        <v>31</v>
      </c>
      <c r="B35" s="200">
        <v>46173</v>
      </c>
      <c r="C35" s="67"/>
      <c r="D35" s="71"/>
      <c r="E35" s="152"/>
      <c r="F35" s="152"/>
      <c r="G35" s="139">
        <f t="shared" si="1"/>
        <v>0</v>
      </c>
      <c r="H35" s="152">
        <v>5</v>
      </c>
      <c r="I35" s="153">
        <v>111.77</v>
      </c>
      <c r="J35" s="20">
        <f t="shared" si="2"/>
        <v>558.85</v>
      </c>
      <c r="K35" s="20">
        <f t="shared" si="3"/>
        <v>558.85</v>
      </c>
      <c r="L35" s="140"/>
      <c r="M35" s="15">
        <f>M34+K35-L35</f>
        <v>43458.637999999977</v>
      </c>
      <c r="N35" s="41"/>
      <c r="O35" s="69"/>
    </row>
    <row r="36" spans="1:15">
      <c r="A36" s="159"/>
      <c r="B36" s="159"/>
      <c r="C36" s="159"/>
      <c r="D36" s="159"/>
      <c r="E36" s="160">
        <f>SUM(E4:E35)</f>
        <v>522.35</v>
      </c>
      <c r="F36" s="160"/>
      <c r="G36" s="160">
        <f>SUM(G4:G35)</f>
        <v>50389.980499999998</v>
      </c>
      <c r="H36" s="160">
        <f>SUM(H4:H35)</f>
        <v>111.16</v>
      </c>
      <c r="I36" s="160"/>
      <c r="J36" s="160">
        <f>SUM(J4:J35)</f>
        <v>11805.468000000003</v>
      </c>
      <c r="K36" s="160">
        <f>SUM(K4:K35)</f>
        <v>62195.448499999991</v>
      </c>
      <c r="L36" s="160">
        <f>SUM(L4:L35)</f>
        <v>60000</v>
      </c>
      <c r="M36" s="160"/>
      <c r="N36" s="160"/>
      <c r="O36" s="59"/>
    </row>
    <row r="37" spans="1:15">
      <c r="A37" s="72"/>
      <c r="B37" s="73"/>
      <c r="C37" s="72"/>
      <c r="D37" s="72"/>
      <c r="E37" s="74"/>
      <c r="F37" s="74"/>
      <c r="G37" s="74"/>
      <c r="H37" s="74"/>
      <c r="I37" s="74"/>
      <c r="J37" s="75"/>
      <c r="K37" s="75"/>
      <c r="L37" s="75"/>
      <c r="M37" s="75"/>
      <c r="N37" s="74"/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O42" s="69"/>
    </row>
    <row r="43" spans="1:15">
      <c r="A43" s="69"/>
      <c r="B43" s="59"/>
      <c r="C43" s="69"/>
      <c r="D43" s="69"/>
      <c r="E43" s="69"/>
      <c r="F43" s="69"/>
      <c r="G43" s="76"/>
      <c r="H43" s="69"/>
      <c r="I43" s="69"/>
      <c r="J43" s="59"/>
      <c r="K43" s="59"/>
      <c r="L43" s="59"/>
      <c r="M43" s="59"/>
      <c r="N43" s="69"/>
      <c r="O43" s="74"/>
    </row>
    <row r="44" spans="1:15">
      <c r="A44" s="69"/>
      <c r="B44" s="554"/>
      <c r="C44" s="554"/>
      <c r="D44" s="554"/>
      <c r="E44" s="554"/>
      <c r="F44" s="69"/>
      <c r="G44" s="69"/>
      <c r="H44" s="69"/>
      <c r="I44" s="554"/>
      <c r="J44" s="554"/>
      <c r="K44" s="554"/>
      <c r="L44" s="554"/>
      <c r="M44" s="554"/>
      <c r="N44" s="554"/>
      <c r="O44" s="74"/>
    </row>
    <row r="45" spans="1:15">
      <c r="A45" s="69"/>
      <c r="B45" s="59"/>
      <c r="C45" s="69"/>
      <c r="D45" s="69"/>
      <c r="E45" s="69"/>
      <c r="F45" s="69"/>
      <c r="G45" s="69"/>
      <c r="H45" s="69"/>
      <c r="I45" s="69"/>
      <c r="J45" s="59"/>
      <c r="K45" s="59"/>
      <c r="L45" s="59"/>
      <c r="M45" s="59"/>
      <c r="N45" s="69"/>
      <c r="O45" s="74"/>
    </row>
  </sheetData>
  <mergeCells count="4">
    <mergeCell ref="A1:N1"/>
    <mergeCell ref="B44:E44"/>
    <mergeCell ref="I44:N44"/>
    <mergeCell ref="A3:J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P43"/>
  <sheetViews>
    <sheetView topLeftCell="A19" workbookViewId="0">
      <selection activeCell="G44" sqref="G44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22" bestFit="1" customWidth="1"/>
  </cols>
  <sheetData>
    <row r="1" spans="1:16" ht="15.75">
      <c r="A1" s="538" t="s">
        <v>142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</row>
    <row r="2" spans="1:16" ht="30">
      <c r="A2" s="97" t="s">
        <v>0</v>
      </c>
      <c r="B2" s="98" t="s">
        <v>166</v>
      </c>
      <c r="C2" s="98" t="s">
        <v>167</v>
      </c>
      <c r="D2" s="98" t="s">
        <v>168</v>
      </c>
      <c r="E2" s="98" t="s">
        <v>169</v>
      </c>
      <c r="F2" s="98" t="s">
        <v>170</v>
      </c>
      <c r="G2" s="182" t="s">
        <v>171</v>
      </c>
      <c r="H2" s="98" t="s">
        <v>172</v>
      </c>
      <c r="I2" s="98" t="s">
        <v>170</v>
      </c>
      <c r="J2" s="185" t="s">
        <v>171</v>
      </c>
      <c r="K2" s="99" t="s">
        <v>173</v>
      </c>
      <c r="L2" s="138" t="s">
        <v>174</v>
      </c>
      <c r="M2" s="295" t="s">
        <v>199</v>
      </c>
      <c r="N2" s="100" t="s">
        <v>176</v>
      </c>
    </row>
    <row r="3" spans="1:16">
      <c r="A3" s="154"/>
      <c r="B3" s="17"/>
      <c r="C3" s="17"/>
      <c r="D3" s="219" t="s">
        <v>177</v>
      </c>
      <c r="E3" s="17"/>
      <c r="F3" s="17"/>
      <c r="G3" s="183"/>
      <c r="H3" s="17"/>
      <c r="I3" s="17"/>
      <c r="J3" s="183"/>
      <c r="K3" s="302">
        <v>326043.53140000138</v>
      </c>
      <c r="L3" s="17"/>
      <c r="M3" s="302">
        <v>326043.53140000138</v>
      </c>
      <c r="N3" s="17">
        <v>0</v>
      </c>
      <c r="P3" s="22"/>
    </row>
    <row r="4" spans="1:16">
      <c r="A4" s="195">
        <v>1</v>
      </c>
      <c r="B4" s="218">
        <v>46143</v>
      </c>
      <c r="C4" s="136"/>
      <c r="D4" s="136"/>
      <c r="E4" s="243"/>
      <c r="F4" s="290"/>
      <c r="G4" s="251">
        <f t="shared" ref="G4:G38" si="0">E4*F4</f>
        <v>0</v>
      </c>
      <c r="H4" s="243"/>
      <c r="I4" s="251"/>
      <c r="J4" s="243">
        <f>H4*I4</f>
        <v>0</v>
      </c>
      <c r="K4" s="251">
        <f>G4+J4</f>
        <v>0</v>
      </c>
      <c r="L4" s="136"/>
      <c r="M4" s="296">
        <f>M3+K4-L4</f>
        <v>326043.53140000138</v>
      </c>
      <c r="N4" s="136"/>
      <c r="O4" s="22"/>
    </row>
    <row r="5" spans="1:16">
      <c r="A5" s="46">
        <v>2</v>
      </c>
      <c r="B5" s="218">
        <v>46144</v>
      </c>
      <c r="C5" s="17"/>
      <c r="D5" s="17"/>
      <c r="E5" s="243">
        <v>450</v>
      </c>
      <c r="F5" s="290">
        <v>91.48</v>
      </c>
      <c r="G5" s="251">
        <f t="shared" ref="G5:G39" si="1">E5*F5</f>
        <v>41166</v>
      </c>
      <c r="H5" s="243"/>
      <c r="I5" s="251"/>
      <c r="J5" s="243">
        <f t="shared" ref="J5:J39" si="2">H5*I5</f>
        <v>0</v>
      </c>
      <c r="K5" s="251">
        <f t="shared" ref="K5:K41" si="3">G5+J5</f>
        <v>41166</v>
      </c>
      <c r="L5" s="136"/>
      <c r="M5" s="296">
        <f t="shared" ref="M5:M41" si="4">M4+K5-L5</f>
        <v>367209.53140000138</v>
      </c>
      <c r="N5" s="17"/>
    </row>
    <row r="6" spans="1:16">
      <c r="A6" s="46">
        <v>3</v>
      </c>
      <c r="B6" s="218">
        <v>46145</v>
      </c>
      <c r="C6" s="17"/>
      <c r="D6" s="17"/>
      <c r="E6" s="243">
        <v>34.35</v>
      </c>
      <c r="F6" s="290">
        <v>91.48</v>
      </c>
      <c r="G6" s="251">
        <f t="shared" si="1"/>
        <v>3142.3380000000002</v>
      </c>
      <c r="H6" s="243">
        <v>5</v>
      </c>
      <c r="I6" s="251">
        <v>103.41</v>
      </c>
      <c r="J6" s="243">
        <f t="shared" si="2"/>
        <v>517.04999999999995</v>
      </c>
      <c r="K6" s="251">
        <f t="shared" si="3"/>
        <v>3659.3879999999999</v>
      </c>
      <c r="L6" s="136"/>
      <c r="M6" s="296">
        <f t="shared" si="4"/>
        <v>370868.91940000135</v>
      </c>
      <c r="N6" s="17"/>
    </row>
    <row r="7" spans="1:16">
      <c r="A7" s="195">
        <v>4</v>
      </c>
      <c r="B7" s="218">
        <v>46146</v>
      </c>
      <c r="C7" s="17"/>
      <c r="D7" s="17"/>
      <c r="E7" s="243"/>
      <c r="F7" s="290"/>
      <c r="G7" s="251">
        <f t="shared" si="1"/>
        <v>0</v>
      </c>
      <c r="H7" s="243"/>
      <c r="I7" s="251"/>
      <c r="J7" s="243">
        <f t="shared" si="2"/>
        <v>0</v>
      </c>
      <c r="K7" s="251">
        <f t="shared" si="3"/>
        <v>0</v>
      </c>
      <c r="L7" s="136">
        <v>250000</v>
      </c>
      <c r="M7" s="296">
        <f t="shared" si="4"/>
        <v>120868.91940000135</v>
      </c>
      <c r="N7" s="17"/>
      <c r="P7">
        <v>706.52</v>
      </c>
    </row>
    <row r="8" spans="1:16">
      <c r="A8" s="195">
        <v>5</v>
      </c>
      <c r="B8" s="218">
        <v>46147</v>
      </c>
      <c r="C8" s="17"/>
      <c r="D8" s="17"/>
      <c r="E8" s="243"/>
      <c r="F8" s="290"/>
      <c r="G8" s="251">
        <f t="shared" si="1"/>
        <v>0</v>
      </c>
      <c r="H8" s="243">
        <v>6</v>
      </c>
      <c r="I8" s="251">
        <v>113.34</v>
      </c>
      <c r="J8" s="243">
        <f t="shared" si="2"/>
        <v>680.04</v>
      </c>
      <c r="K8" s="251">
        <f t="shared" si="3"/>
        <v>680.04</v>
      </c>
      <c r="L8" s="136"/>
      <c r="M8" s="296">
        <f t="shared" si="4"/>
        <v>121548.95940000135</v>
      </c>
      <c r="N8" s="17"/>
    </row>
    <row r="9" spans="1:16">
      <c r="A9" s="46">
        <v>6</v>
      </c>
      <c r="B9" s="218">
        <v>46148</v>
      </c>
      <c r="C9" s="17"/>
      <c r="D9" s="17"/>
      <c r="E9" s="243">
        <v>267.39999999999998</v>
      </c>
      <c r="F9" s="290">
        <v>91.48</v>
      </c>
      <c r="G9" s="251">
        <f t="shared" si="1"/>
        <v>24461.752</v>
      </c>
      <c r="H9" s="243">
        <v>18</v>
      </c>
      <c r="I9" s="251">
        <v>103.41</v>
      </c>
      <c r="J9" s="243">
        <f t="shared" si="2"/>
        <v>1861.3799999999999</v>
      </c>
      <c r="K9" s="251">
        <f t="shared" si="3"/>
        <v>26323.132000000001</v>
      </c>
      <c r="L9" s="136"/>
      <c r="M9" s="296">
        <f t="shared" si="4"/>
        <v>147872.09140000134</v>
      </c>
      <c r="N9" s="17"/>
      <c r="P9">
        <v>45.43</v>
      </c>
    </row>
    <row r="10" spans="1:16">
      <c r="A10" s="46">
        <v>7</v>
      </c>
      <c r="B10" s="218">
        <v>46149</v>
      </c>
      <c r="C10" s="17"/>
      <c r="D10" s="17"/>
      <c r="E10" s="243">
        <v>809.94</v>
      </c>
      <c r="F10" s="290">
        <v>91.48</v>
      </c>
      <c r="G10" s="251">
        <f t="shared" si="1"/>
        <v>74093.311200000011</v>
      </c>
      <c r="H10" s="243"/>
      <c r="I10" s="251"/>
      <c r="J10" s="243">
        <f t="shared" si="2"/>
        <v>0</v>
      </c>
      <c r="K10" s="251">
        <f t="shared" si="3"/>
        <v>74093.311200000011</v>
      </c>
      <c r="L10" s="136"/>
      <c r="M10" s="296">
        <f t="shared" si="4"/>
        <v>221965.40260000137</v>
      </c>
      <c r="N10" s="17"/>
      <c r="P10">
        <f>P7-P9</f>
        <v>661.09</v>
      </c>
    </row>
    <row r="11" spans="1:16">
      <c r="A11" s="195">
        <v>8</v>
      </c>
      <c r="B11" s="218">
        <v>46150</v>
      </c>
      <c r="C11" s="17"/>
      <c r="D11" s="17"/>
      <c r="E11" s="243">
        <v>385.35</v>
      </c>
      <c r="F11" s="290">
        <v>91.48</v>
      </c>
      <c r="G11" s="251">
        <f t="shared" si="1"/>
        <v>35251.818000000007</v>
      </c>
      <c r="H11" s="243">
        <v>22</v>
      </c>
      <c r="I11" s="251">
        <v>103.41</v>
      </c>
      <c r="J11" s="243">
        <f t="shared" si="2"/>
        <v>2275.02</v>
      </c>
      <c r="K11" s="251">
        <f t="shared" si="3"/>
        <v>37526.838000000003</v>
      </c>
      <c r="L11" s="136"/>
      <c r="M11" s="296">
        <f t="shared" si="4"/>
        <v>259492.24060000136</v>
      </c>
      <c r="N11" s="17"/>
    </row>
    <row r="12" spans="1:16">
      <c r="A12" s="195">
        <v>9</v>
      </c>
      <c r="B12" s="218">
        <v>46151</v>
      </c>
      <c r="C12" s="17"/>
      <c r="D12" s="17"/>
      <c r="E12" s="243">
        <v>1242.08</v>
      </c>
      <c r="F12" s="290">
        <v>91.48</v>
      </c>
      <c r="G12" s="251">
        <f t="shared" si="1"/>
        <v>113625.47839999999</v>
      </c>
      <c r="H12" s="243">
        <v>17</v>
      </c>
      <c r="I12" s="251">
        <v>103.41</v>
      </c>
      <c r="J12" s="243">
        <f t="shared" si="2"/>
        <v>1757.97</v>
      </c>
      <c r="K12" s="251">
        <f t="shared" si="3"/>
        <v>115383.44839999999</v>
      </c>
      <c r="L12" s="136"/>
      <c r="M12" s="296">
        <f t="shared" si="4"/>
        <v>374875.68900000135</v>
      </c>
      <c r="N12" s="17"/>
      <c r="P12" s="22"/>
    </row>
    <row r="13" spans="1:16">
      <c r="A13" s="46">
        <v>10</v>
      </c>
      <c r="B13" s="218">
        <v>46152</v>
      </c>
      <c r="C13" s="17"/>
      <c r="D13" s="17"/>
      <c r="E13" s="243">
        <v>41.21</v>
      </c>
      <c r="F13" s="290">
        <v>91.48</v>
      </c>
      <c r="G13" s="251">
        <f t="shared" si="1"/>
        <v>3769.8908000000001</v>
      </c>
      <c r="H13" s="243"/>
      <c r="I13" s="251"/>
      <c r="J13" s="243">
        <f t="shared" si="2"/>
        <v>0</v>
      </c>
      <c r="K13" s="251">
        <f t="shared" si="3"/>
        <v>3769.8908000000001</v>
      </c>
      <c r="L13" s="136"/>
      <c r="M13" s="296">
        <f t="shared" si="4"/>
        <v>378645.57980000135</v>
      </c>
      <c r="N13" s="17"/>
    </row>
    <row r="14" spans="1:16">
      <c r="A14" s="46">
        <v>11</v>
      </c>
      <c r="B14" s="218">
        <v>46153</v>
      </c>
      <c r="C14" s="17"/>
      <c r="D14" s="17"/>
      <c r="E14" s="243">
        <v>37.17</v>
      </c>
      <c r="F14" s="290">
        <v>91.48</v>
      </c>
      <c r="G14" s="251">
        <f t="shared" si="1"/>
        <v>3400.3116000000005</v>
      </c>
      <c r="H14" s="243">
        <v>12</v>
      </c>
      <c r="I14" s="251">
        <v>103.41</v>
      </c>
      <c r="J14" s="243">
        <f t="shared" si="2"/>
        <v>1240.92</v>
      </c>
      <c r="K14" s="251">
        <f t="shared" si="3"/>
        <v>4641.231600000001</v>
      </c>
      <c r="L14" s="136"/>
      <c r="M14" s="296">
        <f t="shared" si="4"/>
        <v>383286.81140000134</v>
      </c>
      <c r="N14" s="17"/>
    </row>
    <row r="15" spans="1:16">
      <c r="A15" s="195">
        <v>12</v>
      </c>
      <c r="B15" s="218">
        <v>46154</v>
      </c>
      <c r="C15" s="17"/>
      <c r="D15" s="17"/>
      <c r="E15" s="243">
        <v>1105.3900000000001</v>
      </c>
      <c r="F15" s="290">
        <v>91.48</v>
      </c>
      <c r="G15" s="251">
        <f t="shared" si="1"/>
        <v>101121.07720000001</v>
      </c>
      <c r="H15" s="243">
        <v>6</v>
      </c>
      <c r="I15" s="251">
        <v>103.41</v>
      </c>
      <c r="J15" s="243">
        <f t="shared" si="2"/>
        <v>620.46</v>
      </c>
      <c r="K15" s="251">
        <f t="shared" si="3"/>
        <v>101741.53720000002</v>
      </c>
      <c r="L15" s="136"/>
      <c r="M15" s="296">
        <f t="shared" si="4"/>
        <v>485028.34860000137</v>
      </c>
      <c r="N15" s="17"/>
    </row>
    <row r="16" spans="1:16">
      <c r="A16" s="195">
        <v>13</v>
      </c>
      <c r="B16" s="218">
        <v>46155</v>
      </c>
      <c r="C16" s="17"/>
      <c r="D16" s="17"/>
      <c r="E16" s="243">
        <v>37.47</v>
      </c>
      <c r="F16" s="290">
        <v>91.48</v>
      </c>
      <c r="G16" s="251">
        <f t="shared" si="1"/>
        <v>3427.7556</v>
      </c>
      <c r="H16" s="243">
        <v>6</v>
      </c>
      <c r="I16" s="251">
        <v>103.41</v>
      </c>
      <c r="J16" s="243">
        <f t="shared" si="2"/>
        <v>620.46</v>
      </c>
      <c r="K16" s="251">
        <f t="shared" si="3"/>
        <v>4048.2156</v>
      </c>
      <c r="L16" s="136"/>
      <c r="M16" s="296">
        <f t="shared" si="4"/>
        <v>489076.56420000136</v>
      </c>
      <c r="N16" s="17"/>
    </row>
    <row r="17" spans="1:16">
      <c r="A17" s="46">
        <v>14</v>
      </c>
      <c r="B17" s="218">
        <v>46156</v>
      </c>
      <c r="C17" s="17"/>
      <c r="D17" s="17"/>
      <c r="E17" s="243">
        <v>137.88999999999999</v>
      </c>
      <c r="F17" s="290">
        <v>91.48</v>
      </c>
      <c r="G17" s="251">
        <f t="shared" si="1"/>
        <v>12614.1772</v>
      </c>
      <c r="H17" s="243">
        <v>5</v>
      </c>
      <c r="I17" s="251">
        <v>103.41</v>
      </c>
      <c r="J17" s="243">
        <f t="shared" si="2"/>
        <v>517.04999999999995</v>
      </c>
      <c r="K17" s="251">
        <f t="shared" si="3"/>
        <v>13131.227199999999</v>
      </c>
      <c r="L17" s="136"/>
      <c r="M17" s="296">
        <f t="shared" si="4"/>
        <v>502207.79140000138</v>
      </c>
      <c r="N17" s="17"/>
    </row>
    <row r="18" spans="1:16">
      <c r="A18" s="46">
        <v>15</v>
      </c>
      <c r="B18" s="218">
        <v>46157</v>
      </c>
      <c r="C18" s="17"/>
      <c r="D18" s="17"/>
      <c r="E18" s="243">
        <v>100</v>
      </c>
      <c r="F18" s="290">
        <v>94.59</v>
      </c>
      <c r="G18" s="251">
        <f t="shared" si="1"/>
        <v>9459</v>
      </c>
      <c r="H18" s="243"/>
      <c r="I18" s="251"/>
      <c r="J18" s="243">
        <f t="shared" si="2"/>
        <v>0</v>
      </c>
      <c r="K18" s="251">
        <f t="shared" si="3"/>
        <v>9459</v>
      </c>
      <c r="L18" s="136"/>
      <c r="M18" s="296">
        <f t="shared" si="4"/>
        <v>511666.79140000138</v>
      </c>
      <c r="N18" s="17"/>
    </row>
    <row r="19" spans="1:16">
      <c r="A19" s="195">
        <v>16</v>
      </c>
      <c r="B19" s="218">
        <v>46158</v>
      </c>
      <c r="C19" s="17"/>
      <c r="D19" s="17"/>
      <c r="E19" s="243"/>
      <c r="F19" s="290"/>
      <c r="G19" s="251">
        <f t="shared" si="1"/>
        <v>0</v>
      </c>
      <c r="H19" s="243"/>
      <c r="I19" s="251"/>
      <c r="J19" s="243">
        <f t="shared" si="2"/>
        <v>0</v>
      </c>
      <c r="K19" s="251">
        <f t="shared" si="3"/>
        <v>0</v>
      </c>
      <c r="L19" s="136"/>
      <c r="M19" s="296">
        <f t="shared" si="4"/>
        <v>511666.79140000138</v>
      </c>
      <c r="N19" s="17"/>
      <c r="P19" s="262"/>
    </row>
    <row r="20" spans="1:16">
      <c r="A20" s="195">
        <v>17</v>
      </c>
      <c r="B20" s="218">
        <v>46159</v>
      </c>
      <c r="C20" s="17"/>
      <c r="D20" s="17"/>
      <c r="E20" s="243"/>
      <c r="F20" s="290"/>
      <c r="G20" s="251">
        <f t="shared" si="1"/>
        <v>0</v>
      </c>
      <c r="H20" s="243"/>
      <c r="I20" s="251"/>
      <c r="J20" s="243">
        <f t="shared" si="2"/>
        <v>0</v>
      </c>
      <c r="K20" s="251">
        <f t="shared" si="3"/>
        <v>0</v>
      </c>
      <c r="L20" s="136"/>
      <c r="M20" s="296">
        <f t="shared" si="4"/>
        <v>511666.79140000138</v>
      </c>
      <c r="N20" s="17"/>
    </row>
    <row r="21" spans="1:16">
      <c r="A21" s="46">
        <v>18</v>
      </c>
      <c r="B21" s="218">
        <v>46160</v>
      </c>
      <c r="C21" s="17"/>
      <c r="D21" s="17"/>
      <c r="E21" s="243"/>
      <c r="F21" s="290"/>
      <c r="G21" s="251">
        <f t="shared" si="1"/>
        <v>0</v>
      </c>
      <c r="H21" s="243"/>
      <c r="I21" s="251"/>
      <c r="J21" s="243">
        <f t="shared" si="2"/>
        <v>0</v>
      </c>
      <c r="K21" s="251">
        <f t="shared" si="3"/>
        <v>0</v>
      </c>
      <c r="L21" s="136">
        <v>250000</v>
      </c>
      <c r="M21" s="296">
        <f>M20+K21-L21</f>
        <v>261666.79140000138</v>
      </c>
      <c r="N21" s="17"/>
      <c r="P21" s="22"/>
    </row>
    <row r="22" spans="1:16">
      <c r="A22" s="46">
        <v>19</v>
      </c>
      <c r="B22" s="218">
        <v>46161</v>
      </c>
      <c r="C22" s="17"/>
      <c r="D22" s="17"/>
      <c r="E22" s="243"/>
      <c r="F22" s="290"/>
      <c r="G22" s="251">
        <f t="shared" si="1"/>
        <v>0</v>
      </c>
      <c r="H22" s="243"/>
      <c r="I22" s="251"/>
      <c r="J22" s="243">
        <f t="shared" si="2"/>
        <v>0</v>
      </c>
      <c r="K22" s="251">
        <f t="shared" si="3"/>
        <v>0</v>
      </c>
      <c r="L22" s="136"/>
      <c r="M22" s="296">
        <f t="shared" si="4"/>
        <v>261666.79140000138</v>
      </c>
      <c r="N22" s="17"/>
    </row>
    <row r="23" spans="1:16">
      <c r="A23" s="195">
        <v>20</v>
      </c>
      <c r="B23" s="218">
        <v>46162</v>
      </c>
      <c r="C23" s="17"/>
      <c r="D23" s="17"/>
      <c r="E23" s="243"/>
      <c r="F23" s="290"/>
      <c r="G23" s="251">
        <f t="shared" si="1"/>
        <v>0</v>
      </c>
      <c r="H23" s="243"/>
      <c r="I23" s="251"/>
      <c r="J23" s="243">
        <f t="shared" si="2"/>
        <v>0</v>
      </c>
      <c r="K23" s="251">
        <f t="shared" si="3"/>
        <v>0</v>
      </c>
      <c r="L23" s="136"/>
      <c r="M23" s="296">
        <f t="shared" si="4"/>
        <v>261666.79140000138</v>
      </c>
      <c r="N23" s="17"/>
    </row>
    <row r="24" spans="1:16">
      <c r="A24" s="195">
        <v>21</v>
      </c>
      <c r="B24" s="218">
        <v>46163</v>
      </c>
      <c r="C24" s="17"/>
      <c r="D24" s="17"/>
      <c r="E24" s="243"/>
      <c r="F24" s="290"/>
      <c r="G24" s="251">
        <f t="shared" si="1"/>
        <v>0</v>
      </c>
      <c r="H24" s="243"/>
      <c r="I24" s="251"/>
      <c r="J24" s="243">
        <f t="shared" si="2"/>
        <v>0</v>
      </c>
      <c r="K24" s="251">
        <f t="shared" si="3"/>
        <v>0</v>
      </c>
      <c r="L24" s="136">
        <v>261000</v>
      </c>
      <c r="M24" s="296">
        <f t="shared" si="4"/>
        <v>666.79140000138432</v>
      </c>
      <c r="N24" s="17"/>
    </row>
    <row r="25" spans="1:16">
      <c r="A25" s="46">
        <v>22</v>
      </c>
      <c r="B25" s="218">
        <v>46164</v>
      </c>
      <c r="C25" s="17"/>
      <c r="D25" s="17"/>
      <c r="E25" s="243">
        <v>450</v>
      </c>
      <c r="F25" s="290">
        <v>95.53</v>
      </c>
      <c r="G25" s="251">
        <f t="shared" si="1"/>
        <v>42988.5</v>
      </c>
      <c r="H25" s="243"/>
      <c r="I25" s="251"/>
      <c r="J25" s="243">
        <f>H25*I25</f>
        <v>0</v>
      </c>
      <c r="K25" s="251">
        <f t="shared" si="3"/>
        <v>42988.5</v>
      </c>
      <c r="L25" s="136"/>
      <c r="M25" s="296">
        <f t="shared" si="4"/>
        <v>43655.291400001384</v>
      </c>
      <c r="N25" s="17"/>
      <c r="O25">
        <v>197582.48439999996</v>
      </c>
      <c r="P25" s="22">
        <f>O25-M25</f>
        <v>153927.19299999857</v>
      </c>
    </row>
    <row r="26" spans="1:16">
      <c r="A26" s="46">
        <v>23</v>
      </c>
      <c r="B26" s="218">
        <v>46165</v>
      </c>
      <c r="C26" s="17"/>
      <c r="D26" s="17"/>
      <c r="E26" s="243">
        <v>270.73</v>
      </c>
      <c r="F26" s="290">
        <v>96.48</v>
      </c>
      <c r="G26" s="251">
        <f t="shared" si="1"/>
        <v>26120.030400000003</v>
      </c>
      <c r="H26" s="243">
        <v>15</v>
      </c>
      <c r="I26" s="251">
        <v>111.86</v>
      </c>
      <c r="J26" s="243">
        <f t="shared" si="2"/>
        <v>1677.9</v>
      </c>
      <c r="K26" s="251">
        <f t="shared" si="3"/>
        <v>27797.930400000005</v>
      </c>
      <c r="L26" s="136"/>
      <c r="M26" s="296">
        <f t="shared" si="4"/>
        <v>71453.221800001396</v>
      </c>
      <c r="N26" s="17"/>
    </row>
    <row r="27" spans="1:16">
      <c r="A27" s="195">
        <v>24</v>
      </c>
      <c r="B27" s="218">
        <v>46166</v>
      </c>
      <c r="C27" s="17"/>
      <c r="D27" s="17"/>
      <c r="E27" s="243">
        <v>642.6</v>
      </c>
      <c r="F27" s="290">
        <v>96.48</v>
      </c>
      <c r="G27" s="251">
        <f t="shared" si="1"/>
        <v>61998.048000000003</v>
      </c>
      <c r="H27" s="243"/>
      <c r="I27" s="251"/>
      <c r="J27" s="243">
        <f t="shared" si="2"/>
        <v>0</v>
      </c>
      <c r="K27" s="251">
        <f t="shared" si="3"/>
        <v>61998.048000000003</v>
      </c>
      <c r="L27" s="136"/>
      <c r="M27" s="296">
        <f t="shared" si="4"/>
        <v>133451.26980000141</v>
      </c>
      <c r="N27" s="17"/>
    </row>
    <row r="28" spans="1:16">
      <c r="A28" s="195">
        <v>25</v>
      </c>
      <c r="B28" s="218">
        <v>46167</v>
      </c>
      <c r="C28" s="17"/>
      <c r="D28" s="17"/>
      <c r="E28" s="243"/>
      <c r="F28" s="290"/>
      <c r="G28" s="251">
        <f t="shared" si="1"/>
        <v>0</v>
      </c>
      <c r="H28" s="243"/>
      <c r="I28" s="251"/>
      <c r="J28" s="243">
        <f t="shared" si="2"/>
        <v>0</v>
      </c>
      <c r="K28" s="251">
        <f t="shared" si="3"/>
        <v>0</v>
      </c>
      <c r="L28" s="136"/>
      <c r="M28" s="296">
        <f t="shared" si="4"/>
        <v>133451.26980000141</v>
      </c>
      <c r="N28" s="17"/>
    </row>
    <row r="29" spans="1:16">
      <c r="A29" s="46">
        <v>26</v>
      </c>
      <c r="B29" s="218">
        <v>46168</v>
      </c>
      <c r="C29" s="17"/>
      <c r="D29" s="17"/>
      <c r="E29" s="243">
        <v>330.21</v>
      </c>
      <c r="F29" s="290">
        <v>99.29</v>
      </c>
      <c r="G29" s="251">
        <f t="shared" si="1"/>
        <v>32786.550900000002</v>
      </c>
      <c r="H29" s="243"/>
      <c r="I29" s="251"/>
      <c r="J29" s="243">
        <f t="shared" si="2"/>
        <v>0</v>
      </c>
      <c r="K29" s="251">
        <f t="shared" si="3"/>
        <v>32786.550900000002</v>
      </c>
      <c r="L29" s="136"/>
      <c r="M29" s="296">
        <f t="shared" si="4"/>
        <v>166237.82070000141</v>
      </c>
      <c r="N29" s="17"/>
    </row>
    <row r="30" spans="1:16">
      <c r="A30" s="46">
        <v>27</v>
      </c>
      <c r="B30" s="218">
        <v>46169</v>
      </c>
      <c r="C30" s="17"/>
      <c r="D30" s="17"/>
      <c r="E30" s="243"/>
      <c r="F30" s="290"/>
      <c r="G30" s="251">
        <f t="shared" si="1"/>
        <v>0</v>
      </c>
      <c r="H30" s="243"/>
      <c r="I30" s="251"/>
      <c r="J30" s="243">
        <f t="shared" si="2"/>
        <v>0</v>
      </c>
      <c r="K30" s="251">
        <f t="shared" si="3"/>
        <v>0</v>
      </c>
      <c r="L30" s="136"/>
      <c r="M30" s="296">
        <f t="shared" si="4"/>
        <v>166237.82070000141</v>
      </c>
      <c r="N30" s="17"/>
      <c r="P30" s="22"/>
    </row>
    <row r="31" spans="1:16">
      <c r="A31" s="195">
        <v>28</v>
      </c>
      <c r="B31" s="218">
        <v>46170</v>
      </c>
      <c r="C31" s="17"/>
      <c r="D31" s="17"/>
      <c r="E31" s="243">
        <v>450</v>
      </c>
      <c r="F31" s="290">
        <v>99.29</v>
      </c>
      <c r="G31" s="251">
        <f t="shared" si="1"/>
        <v>44680.5</v>
      </c>
      <c r="H31" s="243"/>
      <c r="I31" s="251"/>
      <c r="J31" s="243">
        <f t="shared" si="2"/>
        <v>0</v>
      </c>
      <c r="K31" s="251">
        <f t="shared" si="3"/>
        <v>44680.5</v>
      </c>
      <c r="L31" s="136"/>
      <c r="M31" s="296">
        <f t="shared" si="4"/>
        <v>210918.32070000141</v>
      </c>
      <c r="N31" s="17"/>
    </row>
    <row r="32" spans="1:16">
      <c r="A32" s="195">
        <v>29</v>
      </c>
      <c r="B32" s="218">
        <v>46171</v>
      </c>
      <c r="C32" s="17"/>
      <c r="D32" s="17"/>
      <c r="E32" s="243">
        <v>250</v>
      </c>
      <c r="F32" s="290">
        <v>99.29</v>
      </c>
      <c r="G32" s="251">
        <f t="shared" si="1"/>
        <v>24822.5</v>
      </c>
      <c r="H32" s="243"/>
      <c r="I32" s="251"/>
      <c r="J32" s="243">
        <f t="shared" si="2"/>
        <v>0</v>
      </c>
      <c r="K32" s="251">
        <f t="shared" si="3"/>
        <v>24822.5</v>
      </c>
      <c r="L32" s="136"/>
      <c r="M32" s="296">
        <f t="shared" si="4"/>
        <v>235740.82070000141</v>
      </c>
      <c r="N32" s="17"/>
    </row>
    <row r="33" spans="1:16">
      <c r="A33" s="46">
        <v>30</v>
      </c>
      <c r="B33" s="218">
        <v>46172</v>
      </c>
      <c r="C33" s="94"/>
      <c r="D33" s="94"/>
      <c r="E33" s="243"/>
      <c r="F33" s="290"/>
      <c r="G33" s="251">
        <f t="shared" si="1"/>
        <v>0</v>
      </c>
      <c r="H33" s="243">
        <v>5</v>
      </c>
      <c r="I33" s="251">
        <v>111.38</v>
      </c>
      <c r="J33" s="243">
        <f t="shared" si="2"/>
        <v>556.9</v>
      </c>
      <c r="K33" s="251">
        <f t="shared" si="3"/>
        <v>556.9</v>
      </c>
      <c r="L33" s="136"/>
      <c r="M33" s="296">
        <f t="shared" si="4"/>
        <v>236297.7207000014</v>
      </c>
      <c r="N33" s="94"/>
    </row>
    <row r="34" spans="1:16">
      <c r="A34" s="46">
        <v>31</v>
      </c>
      <c r="B34" s="218">
        <v>46173</v>
      </c>
      <c r="C34" s="17"/>
      <c r="D34" s="17"/>
      <c r="E34" s="243"/>
      <c r="F34" s="290"/>
      <c r="G34" s="251">
        <f t="shared" si="1"/>
        <v>0</v>
      </c>
      <c r="H34" s="243"/>
      <c r="I34" s="251"/>
      <c r="J34" s="243">
        <f t="shared" si="2"/>
        <v>0</v>
      </c>
      <c r="K34" s="251">
        <f t="shared" si="3"/>
        <v>0</v>
      </c>
      <c r="L34" s="136"/>
      <c r="M34" s="296">
        <f t="shared" si="4"/>
        <v>236297.7207000014</v>
      </c>
      <c r="N34" s="17"/>
    </row>
    <row r="35" spans="1:16">
      <c r="A35" s="195">
        <v>32</v>
      </c>
      <c r="B35" s="218">
        <v>46174</v>
      </c>
      <c r="C35" s="17"/>
      <c r="D35" s="17"/>
      <c r="E35" s="243"/>
      <c r="F35" s="290"/>
      <c r="G35" s="251">
        <f t="shared" si="1"/>
        <v>0</v>
      </c>
      <c r="H35" s="243"/>
      <c r="I35" s="251"/>
      <c r="J35" s="243">
        <f t="shared" si="2"/>
        <v>0</v>
      </c>
      <c r="K35" s="251">
        <f t="shared" si="3"/>
        <v>0</v>
      </c>
      <c r="L35" s="136"/>
      <c r="M35" s="296">
        <f t="shared" si="4"/>
        <v>236297.7207000014</v>
      </c>
      <c r="N35" s="17"/>
    </row>
    <row r="36" spans="1:16">
      <c r="A36" s="195">
        <v>33</v>
      </c>
      <c r="B36" s="218"/>
      <c r="C36" s="17"/>
      <c r="D36" s="17"/>
      <c r="E36" s="243"/>
      <c r="F36" s="290"/>
      <c r="G36" s="251">
        <f t="shared" si="1"/>
        <v>0</v>
      </c>
      <c r="H36" s="243"/>
      <c r="I36" s="251"/>
      <c r="J36" s="243">
        <f t="shared" si="2"/>
        <v>0</v>
      </c>
      <c r="K36" s="251">
        <f t="shared" si="3"/>
        <v>0</v>
      </c>
      <c r="L36" s="136"/>
      <c r="M36" s="296">
        <f t="shared" si="4"/>
        <v>236297.7207000014</v>
      </c>
      <c r="N36" s="17"/>
    </row>
    <row r="37" spans="1:16">
      <c r="A37" s="46">
        <v>34</v>
      </c>
      <c r="B37" s="218"/>
      <c r="C37" s="17"/>
      <c r="D37" s="17"/>
      <c r="E37" s="243"/>
      <c r="F37" s="290"/>
      <c r="G37" s="251">
        <f t="shared" si="1"/>
        <v>0</v>
      </c>
      <c r="H37" s="243"/>
      <c r="I37" s="251"/>
      <c r="J37" s="243">
        <f t="shared" si="2"/>
        <v>0</v>
      </c>
      <c r="K37" s="251">
        <f t="shared" si="3"/>
        <v>0</v>
      </c>
      <c r="L37" s="136"/>
      <c r="M37" s="296">
        <f t="shared" si="4"/>
        <v>236297.7207000014</v>
      </c>
      <c r="N37" s="17"/>
    </row>
    <row r="38" spans="1:16">
      <c r="A38" s="46">
        <v>35</v>
      </c>
      <c r="B38" s="218"/>
      <c r="C38" s="17"/>
      <c r="D38" s="17"/>
      <c r="E38" s="243"/>
      <c r="F38" s="290"/>
      <c r="G38" s="251">
        <f t="shared" si="1"/>
        <v>0</v>
      </c>
      <c r="H38" s="243"/>
      <c r="I38" s="251"/>
      <c r="J38" s="243">
        <f t="shared" si="2"/>
        <v>0</v>
      </c>
      <c r="K38" s="251">
        <f t="shared" si="3"/>
        <v>0</v>
      </c>
      <c r="L38" s="136"/>
      <c r="M38" s="296">
        <f t="shared" si="4"/>
        <v>236297.7207000014</v>
      </c>
      <c r="N38" s="17"/>
    </row>
    <row r="39" spans="1:16">
      <c r="A39" s="195">
        <v>36</v>
      </c>
      <c r="B39" s="218"/>
      <c r="C39" s="17"/>
      <c r="D39" s="17"/>
      <c r="E39" s="243"/>
      <c r="F39" s="290"/>
      <c r="G39" s="251">
        <f t="shared" si="1"/>
        <v>0</v>
      </c>
      <c r="H39" s="243"/>
      <c r="I39" s="251"/>
      <c r="J39" s="243">
        <f t="shared" si="2"/>
        <v>0</v>
      </c>
      <c r="K39" s="251">
        <f t="shared" si="3"/>
        <v>0</v>
      </c>
      <c r="L39" s="136"/>
      <c r="M39" s="296">
        <f t="shared" si="4"/>
        <v>236297.7207000014</v>
      </c>
      <c r="N39" s="94"/>
    </row>
    <row r="40" spans="1:16">
      <c r="A40" s="195">
        <v>37</v>
      </c>
      <c r="B40" s="218"/>
      <c r="C40" s="17"/>
      <c r="D40" s="17"/>
      <c r="E40" s="243"/>
      <c r="F40" s="243"/>
      <c r="G40" s="251">
        <f t="shared" ref="G5:G41" si="5">E40*F40</f>
        <v>0</v>
      </c>
      <c r="H40" s="243"/>
      <c r="I40" s="243"/>
      <c r="J40" s="243">
        <f t="shared" ref="J5:J41" si="6">H40*I40</f>
        <v>0</v>
      </c>
      <c r="K40" s="251">
        <f t="shared" si="3"/>
        <v>0</v>
      </c>
      <c r="L40" s="136"/>
      <c r="M40" s="296">
        <f t="shared" si="4"/>
        <v>236297.7207000014</v>
      </c>
      <c r="N40" s="17"/>
      <c r="P40" s="22"/>
    </row>
    <row r="41" spans="1:16">
      <c r="A41" s="45"/>
      <c r="B41" s="218"/>
      <c r="C41" s="17"/>
      <c r="D41" s="17"/>
      <c r="E41" s="243">
        <v>0</v>
      </c>
      <c r="F41" s="243">
        <v>0</v>
      </c>
      <c r="G41" s="251">
        <f t="shared" si="5"/>
        <v>0</v>
      </c>
      <c r="H41" s="243"/>
      <c r="I41" s="243"/>
      <c r="J41" s="243">
        <f t="shared" si="6"/>
        <v>0</v>
      </c>
      <c r="K41" s="251">
        <f t="shared" si="3"/>
        <v>0</v>
      </c>
      <c r="L41" s="136"/>
      <c r="M41" s="296">
        <f t="shared" si="4"/>
        <v>236297.7207000014</v>
      </c>
      <c r="N41" s="17">
        <v>264079.90599999984</v>
      </c>
      <c r="O41" s="22">
        <f>N41-M41</f>
        <v>27782.18529999844</v>
      </c>
      <c r="P41" s="22"/>
    </row>
    <row r="42" spans="1:16">
      <c r="A42" s="180"/>
      <c r="B42" s="180"/>
      <c r="C42" s="180"/>
      <c r="D42" s="180"/>
      <c r="E42" s="180">
        <f>SUM(E4:E39)</f>
        <v>7041.7900000000018</v>
      </c>
      <c r="F42" s="180"/>
      <c r="G42" s="180">
        <f>SUM(G4:G39)</f>
        <v>658929.03929999995</v>
      </c>
      <c r="H42" s="180">
        <f>SUM(H4:H39)</f>
        <v>117</v>
      </c>
      <c r="I42" s="180"/>
      <c r="J42" s="180">
        <f>SUM(J4:J39)</f>
        <v>12325.149999999998</v>
      </c>
      <c r="K42" s="180">
        <f>SUM(K4:K39)</f>
        <v>671254.18930000009</v>
      </c>
      <c r="L42" s="180">
        <f>SUM(L4:L39)</f>
        <v>761000</v>
      </c>
      <c r="M42" s="180"/>
      <c r="N42" s="180"/>
    </row>
    <row r="43" spans="1:16">
      <c r="P43" s="22"/>
    </row>
  </sheetData>
  <mergeCells count="1">
    <mergeCell ref="A1:N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P35"/>
  <sheetViews>
    <sheetView topLeftCell="A16" workbookViewId="0">
      <selection activeCell="E34" sqref="E34"/>
    </sheetView>
  </sheetViews>
  <sheetFormatPr defaultRowHeight="15"/>
  <cols>
    <col min="2" max="2" width="10.5703125" bestFit="1" customWidth="1"/>
    <col min="5" max="5" width="9.7109375" bestFit="1" customWidth="1"/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6" ht="15.75">
      <c r="A1" s="585" t="s">
        <v>355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7"/>
    </row>
    <row r="2" spans="1:16" ht="45" customHeight="1">
      <c r="A2" s="123" t="s">
        <v>0</v>
      </c>
      <c r="B2" s="212" t="s">
        <v>166</v>
      </c>
      <c r="C2" s="212" t="s">
        <v>167</v>
      </c>
      <c r="D2" s="212" t="s">
        <v>198</v>
      </c>
      <c r="E2" s="212" t="s">
        <v>169</v>
      </c>
      <c r="F2" s="212" t="s">
        <v>170</v>
      </c>
      <c r="G2" s="212" t="s">
        <v>171</v>
      </c>
      <c r="H2" s="212" t="s">
        <v>172</v>
      </c>
      <c r="I2" s="212" t="s">
        <v>170</v>
      </c>
      <c r="J2" s="212" t="s">
        <v>171</v>
      </c>
      <c r="K2" s="174" t="s">
        <v>173</v>
      </c>
      <c r="L2" s="174" t="s">
        <v>174</v>
      </c>
      <c r="M2" s="174" t="s">
        <v>199</v>
      </c>
      <c r="N2" s="212" t="s">
        <v>176</v>
      </c>
    </row>
    <row r="3" spans="1:16">
      <c r="A3" s="588" t="s">
        <v>177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90"/>
      <c r="M3" s="588">
        <v>96251.93</v>
      </c>
      <c r="N3" s="590"/>
    </row>
    <row r="4" spans="1:16">
      <c r="A4" s="195">
        <v>1</v>
      </c>
      <c r="B4" s="218">
        <v>46143</v>
      </c>
      <c r="C4" s="40"/>
      <c r="D4" s="40"/>
      <c r="E4" s="264">
        <v>0</v>
      </c>
      <c r="F4" s="290">
        <v>91.32</v>
      </c>
      <c r="G4" s="40">
        <f>E4*F4</f>
        <v>0</v>
      </c>
      <c r="H4" s="40">
        <v>0</v>
      </c>
      <c r="I4" s="40">
        <v>0</v>
      </c>
      <c r="J4" s="40">
        <f>H4*I4</f>
        <v>0</v>
      </c>
      <c r="K4" s="40">
        <f>G4+J4</f>
        <v>0</v>
      </c>
      <c r="L4" s="40"/>
      <c r="M4" s="40">
        <f>M3+K4-L4</f>
        <v>96251.93</v>
      </c>
      <c r="N4" s="40"/>
    </row>
    <row r="5" spans="1:16">
      <c r="A5" s="46">
        <v>2</v>
      </c>
      <c r="B5" s="218">
        <v>46144</v>
      </c>
      <c r="C5" s="40"/>
      <c r="D5" s="40"/>
      <c r="E5" s="264">
        <v>660.61</v>
      </c>
      <c r="F5" s="290">
        <v>91.32</v>
      </c>
      <c r="G5" s="40">
        <f t="shared" ref="G5:G34" si="0">E5*F5</f>
        <v>60326.905199999994</v>
      </c>
      <c r="H5" s="40">
        <v>11</v>
      </c>
      <c r="I5" s="40">
        <v>103.24</v>
      </c>
      <c r="J5" s="40">
        <f t="shared" ref="J5:J34" si="1">H5*I5</f>
        <v>1135.6399999999999</v>
      </c>
      <c r="K5" s="40">
        <f t="shared" ref="K5:K34" si="2">G5+J5</f>
        <v>61462.545199999993</v>
      </c>
      <c r="L5" s="40"/>
      <c r="M5" s="40">
        <f t="shared" ref="M5:M34" si="3">M4+K5-L5</f>
        <v>157714.47519999999</v>
      </c>
      <c r="N5" s="40"/>
    </row>
    <row r="6" spans="1:16">
      <c r="A6" s="46">
        <v>3</v>
      </c>
      <c r="B6" s="218">
        <v>46145</v>
      </c>
      <c r="C6" s="40"/>
      <c r="D6" s="40"/>
      <c r="E6" s="264">
        <v>30</v>
      </c>
      <c r="F6" s="290">
        <v>91.32</v>
      </c>
      <c r="G6" s="40">
        <f t="shared" si="0"/>
        <v>2739.6</v>
      </c>
      <c r="H6" s="40">
        <v>16</v>
      </c>
      <c r="I6" s="40">
        <v>103.24</v>
      </c>
      <c r="J6" s="40">
        <f t="shared" si="1"/>
        <v>1651.84</v>
      </c>
      <c r="K6" s="40">
        <f t="shared" si="2"/>
        <v>4391.4399999999996</v>
      </c>
      <c r="L6" s="40"/>
      <c r="M6" s="40">
        <f t="shared" si="3"/>
        <v>162105.91519999999</v>
      </c>
      <c r="N6" s="40"/>
    </row>
    <row r="7" spans="1:16">
      <c r="A7" s="46">
        <v>4</v>
      </c>
      <c r="B7" s="218">
        <v>46146</v>
      </c>
      <c r="C7" s="40"/>
      <c r="D7" s="40"/>
      <c r="E7" s="264"/>
      <c r="F7" s="290"/>
      <c r="G7" s="40">
        <f t="shared" si="0"/>
        <v>0</v>
      </c>
      <c r="H7" s="40"/>
      <c r="I7" s="40"/>
      <c r="J7" s="40">
        <f t="shared" si="1"/>
        <v>0</v>
      </c>
      <c r="K7" s="40">
        <f t="shared" si="2"/>
        <v>0</v>
      </c>
      <c r="L7" s="40">
        <v>150000</v>
      </c>
      <c r="M7" s="40">
        <f t="shared" si="3"/>
        <v>12105.915199999989</v>
      </c>
      <c r="N7" s="40" t="s">
        <v>202</v>
      </c>
    </row>
    <row r="8" spans="1:16">
      <c r="A8" s="46">
        <v>5</v>
      </c>
      <c r="B8" s="218">
        <v>46147</v>
      </c>
      <c r="C8" s="40"/>
      <c r="D8" s="40"/>
      <c r="E8" s="264"/>
      <c r="F8" s="290"/>
      <c r="G8" s="40">
        <f t="shared" si="0"/>
        <v>0</v>
      </c>
      <c r="H8" s="40"/>
      <c r="I8" s="40"/>
      <c r="J8" s="40">
        <f t="shared" si="1"/>
        <v>0</v>
      </c>
      <c r="K8" s="40">
        <f t="shared" si="2"/>
        <v>0</v>
      </c>
      <c r="L8" s="40"/>
      <c r="M8" s="40">
        <f t="shared" si="3"/>
        <v>12105.915199999989</v>
      </c>
      <c r="N8" s="40"/>
    </row>
    <row r="9" spans="1:16">
      <c r="A9" s="46">
        <v>6</v>
      </c>
      <c r="B9" s="218">
        <v>46148</v>
      </c>
      <c r="C9" s="40"/>
      <c r="D9" s="40"/>
      <c r="E9" s="264"/>
      <c r="F9" s="290"/>
      <c r="G9" s="40">
        <f t="shared" si="0"/>
        <v>0</v>
      </c>
      <c r="H9" s="40"/>
      <c r="I9" s="40"/>
      <c r="J9" s="40">
        <f t="shared" si="1"/>
        <v>0</v>
      </c>
      <c r="K9" s="40">
        <f t="shared" si="2"/>
        <v>0</v>
      </c>
      <c r="L9" s="40"/>
      <c r="M9" s="40">
        <f t="shared" si="3"/>
        <v>12105.915199999989</v>
      </c>
      <c r="N9" s="40"/>
    </row>
    <row r="10" spans="1:16">
      <c r="A10" s="46">
        <v>7</v>
      </c>
      <c r="B10" s="218">
        <v>46149</v>
      </c>
      <c r="C10" s="40"/>
      <c r="D10" s="40"/>
      <c r="E10" s="264"/>
      <c r="F10" s="290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/>
      <c r="M10" s="40">
        <f t="shared" si="3"/>
        <v>12105.915199999989</v>
      </c>
      <c r="N10" s="40"/>
    </row>
    <row r="11" spans="1:16">
      <c r="A11" s="46">
        <v>8</v>
      </c>
      <c r="B11" s="218">
        <v>46150</v>
      </c>
      <c r="C11" s="40"/>
      <c r="D11" s="40"/>
      <c r="E11" s="264">
        <v>400</v>
      </c>
      <c r="F11" s="290">
        <v>91.32</v>
      </c>
      <c r="G11" s="40">
        <f t="shared" si="0"/>
        <v>36528</v>
      </c>
      <c r="H11" s="40"/>
      <c r="I11" s="40"/>
      <c r="J11" s="40">
        <f t="shared" si="1"/>
        <v>0</v>
      </c>
      <c r="K11" s="40">
        <f t="shared" si="2"/>
        <v>36528</v>
      </c>
      <c r="L11" s="40"/>
      <c r="M11" s="40">
        <f t="shared" si="3"/>
        <v>48633.915199999989</v>
      </c>
      <c r="N11" s="40"/>
      <c r="P11" s="22"/>
    </row>
    <row r="12" spans="1:16">
      <c r="A12" s="46">
        <v>9</v>
      </c>
      <c r="B12" s="218">
        <v>46151</v>
      </c>
      <c r="C12" s="40"/>
      <c r="D12" s="40"/>
      <c r="E12" s="264"/>
      <c r="F12" s="290"/>
      <c r="G12" s="40">
        <f t="shared" si="0"/>
        <v>0</v>
      </c>
      <c r="H12" s="40"/>
      <c r="I12" s="40"/>
      <c r="J12" s="40">
        <f t="shared" si="1"/>
        <v>0</v>
      </c>
      <c r="K12" s="40">
        <f t="shared" si="2"/>
        <v>0</v>
      </c>
      <c r="L12" s="40"/>
      <c r="M12" s="40">
        <f t="shared" si="3"/>
        <v>48633.915199999989</v>
      </c>
      <c r="N12" s="40"/>
    </row>
    <row r="13" spans="1:16">
      <c r="A13" s="46">
        <v>10</v>
      </c>
      <c r="B13" s="218">
        <v>46152</v>
      </c>
      <c r="C13" s="40"/>
      <c r="D13" s="40"/>
      <c r="E13" s="264">
        <v>68.900000000000006</v>
      </c>
      <c r="F13" s="290">
        <v>91.32</v>
      </c>
      <c r="G13" s="40">
        <f t="shared" si="0"/>
        <v>6291.9480000000003</v>
      </c>
      <c r="H13" s="40"/>
      <c r="I13" s="40"/>
      <c r="J13" s="40">
        <f t="shared" si="1"/>
        <v>0</v>
      </c>
      <c r="K13" s="40">
        <f t="shared" si="2"/>
        <v>6291.9480000000003</v>
      </c>
      <c r="L13" s="40"/>
      <c r="M13" s="40">
        <f t="shared" si="3"/>
        <v>54925.863199999993</v>
      </c>
      <c r="N13" s="40"/>
    </row>
    <row r="14" spans="1:16">
      <c r="A14" s="46">
        <v>11</v>
      </c>
      <c r="B14" s="218">
        <v>46153</v>
      </c>
      <c r="C14" s="40"/>
      <c r="D14" s="40"/>
      <c r="E14" s="264"/>
      <c r="F14" s="290"/>
      <c r="G14" s="40">
        <f t="shared" si="0"/>
        <v>0</v>
      </c>
      <c r="H14" s="40"/>
      <c r="I14" s="40"/>
      <c r="J14" s="40">
        <f t="shared" si="1"/>
        <v>0</v>
      </c>
      <c r="K14" s="40">
        <f t="shared" si="2"/>
        <v>0</v>
      </c>
      <c r="L14" s="40"/>
      <c r="M14" s="40">
        <f t="shared" si="3"/>
        <v>54925.863199999993</v>
      </c>
      <c r="N14" s="40"/>
    </row>
    <row r="15" spans="1:16">
      <c r="A15" s="46">
        <v>12</v>
      </c>
      <c r="B15" s="218">
        <v>46154</v>
      </c>
      <c r="C15" s="40"/>
      <c r="D15" s="40"/>
      <c r="E15" s="264"/>
      <c r="F15" s="290"/>
      <c r="G15" s="40">
        <f t="shared" si="0"/>
        <v>0</v>
      </c>
      <c r="H15" s="40"/>
      <c r="I15" s="40"/>
      <c r="J15" s="40">
        <f t="shared" si="1"/>
        <v>0</v>
      </c>
      <c r="K15" s="40">
        <f t="shared" ref="K15:K25" si="4">G15+J15</f>
        <v>0</v>
      </c>
      <c r="L15" s="40"/>
      <c r="M15" s="40">
        <f t="shared" si="3"/>
        <v>54925.863199999993</v>
      </c>
      <c r="N15" s="40"/>
    </row>
    <row r="16" spans="1:16">
      <c r="A16" s="46">
        <v>13</v>
      </c>
      <c r="B16" s="218">
        <v>46155</v>
      </c>
      <c r="C16" s="40"/>
      <c r="D16" s="40"/>
      <c r="E16" s="264">
        <v>60</v>
      </c>
      <c r="F16" s="290">
        <v>91.32</v>
      </c>
      <c r="G16" s="40">
        <f t="shared" si="0"/>
        <v>5479.2</v>
      </c>
      <c r="H16" s="386"/>
      <c r="I16" s="40"/>
      <c r="J16" s="40">
        <f t="shared" si="1"/>
        <v>0</v>
      </c>
      <c r="K16" s="40">
        <f t="shared" si="4"/>
        <v>5479.2</v>
      </c>
      <c r="L16" s="40"/>
      <c r="M16" s="40">
        <f>M15+K16-L16</f>
        <v>60405.06319999999</v>
      </c>
      <c r="N16" s="40"/>
    </row>
    <row r="17" spans="1:14">
      <c r="A17" s="46">
        <v>14</v>
      </c>
      <c r="B17" s="218">
        <v>46156</v>
      </c>
      <c r="C17" s="40"/>
      <c r="D17" s="40"/>
      <c r="E17" s="264">
        <v>430</v>
      </c>
      <c r="F17" s="290">
        <v>91.32</v>
      </c>
      <c r="G17" s="40">
        <f t="shared" si="0"/>
        <v>39267.599999999999</v>
      </c>
      <c r="H17" s="40"/>
      <c r="I17" s="40"/>
      <c r="J17" s="40">
        <f t="shared" si="1"/>
        <v>0</v>
      </c>
      <c r="K17" s="40">
        <f t="shared" si="4"/>
        <v>39267.599999999999</v>
      </c>
      <c r="L17" s="40"/>
      <c r="M17" s="40">
        <f t="shared" si="3"/>
        <v>99672.663199999981</v>
      </c>
      <c r="N17" s="40"/>
    </row>
    <row r="18" spans="1:14">
      <c r="A18" s="46">
        <v>15</v>
      </c>
      <c r="B18" s="218">
        <v>46157</v>
      </c>
      <c r="C18" s="40"/>
      <c r="D18" s="40"/>
      <c r="E18" s="264"/>
      <c r="F18" s="290"/>
      <c r="G18" s="40">
        <f t="shared" si="0"/>
        <v>0</v>
      </c>
      <c r="H18" s="40"/>
      <c r="I18" s="40"/>
      <c r="J18" s="40">
        <f t="shared" si="1"/>
        <v>0</v>
      </c>
      <c r="K18" s="40">
        <f t="shared" si="4"/>
        <v>0</v>
      </c>
      <c r="L18" s="40"/>
      <c r="M18" s="40">
        <f t="shared" si="3"/>
        <v>99672.663199999981</v>
      </c>
      <c r="N18" s="40"/>
    </row>
    <row r="19" spans="1:14">
      <c r="A19" s="46">
        <v>16</v>
      </c>
      <c r="B19" s="218">
        <v>46158</v>
      </c>
      <c r="C19" s="40"/>
      <c r="D19" s="40"/>
      <c r="E19" s="264">
        <v>617.75</v>
      </c>
      <c r="F19" s="290">
        <v>94.43</v>
      </c>
      <c r="G19" s="40">
        <f t="shared" si="0"/>
        <v>58334.132500000007</v>
      </c>
      <c r="H19" s="40"/>
      <c r="I19" s="40"/>
      <c r="J19" s="40">
        <f t="shared" si="1"/>
        <v>0</v>
      </c>
      <c r="K19" s="40">
        <f t="shared" si="4"/>
        <v>58334.132500000007</v>
      </c>
      <c r="L19" s="40"/>
      <c r="M19" s="40">
        <f t="shared" si="3"/>
        <v>158006.79569999999</v>
      </c>
      <c r="N19" s="40"/>
    </row>
    <row r="20" spans="1:14">
      <c r="A20" s="46">
        <v>17</v>
      </c>
      <c r="B20" s="218">
        <v>46159</v>
      </c>
      <c r="C20" s="40"/>
      <c r="D20" s="40"/>
      <c r="E20" s="264"/>
      <c r="F20" s="290"/>
      <c r="G20" s="40">
        <f t="shared" si="0"/>
        <v>0</v>
      </c>
      <c r="H20" s="40"/>
      <c r="I20" s="40"/>
      <c r="J20" s="40">
        <f t="shared" si="1"/>
        <v>0</v>
      </c>
      <c r="K20" s="40">
        <f t="shared" si="4"/>
        <v>0</v>
      </c>
      <c r="L20" s="40"/>
      <c r="M20" s="40">
        <f t="shared" si="3"/>
        <v>158006.79569999999</v>
      </c>
      <c r="N20" s="40"/>
    </row>
    <row r="21" spans="1:14">
      <c r="A21" s="46">
        <v>18</v>
      </c>
      <c r="B21" s="218">
        <v>46160</v>
      </c>
      <c r="C21" s="40"/>
      <c r="D21" s="40"/>
      <c r="E21" s="264">
        <v>450</v>
      </c>
      <c r="F21" s="290">
        <v>94.43</v>
      </c>
      <c r="G21" s="40">
        <f t="shared" si="0"/>
        <v>42493.5</v>
      </c>
      <c r="H21" s="40"/>
      <c r="I21" s="40"/>
      <c r="J21" s="40">
        <f t="shared" si="1"/>
        <v>0</v>
      </c>
      <c r="K21" s="40">
        <f t="shared" si="4"/>
        <v>42493.5</v>
      </c>
      <c r="L21" s="40">
        <v>100000</v>
      </c>
      <c r="M21" s="40">
        <f>M20+K21-L21</f>
        <v>100500.29569999999</v>
      </c>
      <c r="N21" s="40" t="s">
        <v>202</v>
      </c>
    </row>
    <row r="22" spans="1:14">
      <c r="A22" s="46">
        <v>19</v>
      </c>
      <c r="B22" s="218">
        <v>46161</v>
      </c>
      <c r="C22" s="40"/>
      <c r="D22" s="40"/>
      <c r="E22" s="264">
        <v>134.47999999999999</v>
      </c>
      <c r="F22" s="290">
        <v>95.37</v>
      </c>
      <c r="G22" s="40">
        <f t="shared" si="0"/>
        <v>12825.357599999999</v>
      </c>
      <c r="H22" s="40">
        <v>5</v>
      </c>
      <c r="I22" s="40">
        <v>107.44</v>
      </c>
      <c r="J22" s="40">
        <f t="shared" si="1"/>
        <v>537.20000000000005</v>
      </c>
      <c r="K22" s="40">
        <f t="shared" si="4"/>
        <v>13362.5576</v>
      </c>
      <c r="L22" s="40"/>
      <c r="M22" s="40">
        <f t="shared" si="3"/>
        <v>113862.85329999999</v>
      </c>
      <c r="N22" s="40"/>
    </row>
    <row r="23" spans="1:14">
      <c r="A23" s="46">
        <v>20</v>
      </c>
      <c r="B23" s="218">
        <v>46162</v>
      </c>
      <c r="C23" s="40"/>
      <c r="D23" s="40"/>
      <c r="E23" s="264">
        <v>517.91999999999996</v>
      </c>
      <c r="F23" s="290">
        <v>95.37</v>
      </c>
      <c r="G23" s="40">
        <f t="shared" si="0"/>
        <v>49394.030399999996</v>
      </c>
      <c r="H23" s="40">
        <v>10</v>
      </c>
      <c r="I23" s="40">
        <v>107.44</v>
      </c>
      <c r="J23" s="40">
        <f t="shared" si="1"/>
        <v>1074.4000000000001</v>
      </c>
      <c r="K23" s="40">
        <f t="shared" si="4"/>
        <v>50468.430399999997</v>
      </c>
      <c r="L23" s="40"/>
      <c r="M23" s="40">
        <f t="shared" si="3"/>
        <v>164331.28369999997</v>
      </c>
      <c r="N23" s="40"/>
    </row>
    <row r="24" spans="1:14">
      <c r="A24" s="46">
        <v>21</v>
      </c>
      <c r="B24" s="218">
        <v>46163</v>
      </c>
      <c r="C24" s="40"/>
      <c r="D24" s="40"/>
      <c r="E24" s="264">
        <v>864</v>
      </c>
      <c r="F24" s="290">
        <v>95.37</v>
      </c>
      <c r="G24" s="40">
        <f t="shared" si="0"/>
        <v>82399.680000000008</v>
      </c>
      <c r="H24" s="40">
        <v>6</v>
      </c>
      <c r="I24" s="40">
        <v>107.44</v>
      </c>
      <c r="J24" s="40">
        <f t="shared" si="1"/>
        <v>644.64</v>
      </c>
      <c r="K24" s="40">
        <f t="shared" si="4"/>
        <v>83044.320000000007</v>
      </c>
      <c r="L24" s="40">
        <v>100000</v>
      </c>
      <c r="M24" s="40">
        <f t="shared" si="3"/>
        <v>147375.60369999998</v>
      </c>
      <c r="N24" s="40"/>
    </row>
    <row r="25" spans="1:14">
      <c r="A25" s="46">
        <v>22</v>
      </c>
      <c r="B25" s="218">
        <v>46164</v>
      </c>
      <c r="C25" s="40"/>
      <c r="D25" s="40"/>
      <c r="E25" s="264"/>
      <c r="F25" s="290"/>
      <c r="G25" s="40">
        <f t="shared" si="0"/>
        <v>0</v>
      </c>
      <c r="H25" s="40">
        <v>5</v>
      </c>
      <c r="I25" s="40">
        <v>107.44</v>
      </c>
      <c r="J25" s="40">
        <f t="shared" si="1"/>
        <v>537.20000000000005</v>
      </c>
      <c r="K25" s="40">
        <f t="shared" si="4"/>
        <v>537.20000000000005</v>
      </c>
      <c r="L25" s="40"/>
      <c r="M25" s="40">
        <f t="shared" si="3"/>
        <v>147912.80369999999</v>
      </c>
      <c r="N25" s="40"/>
    </row>
    <row r="26" spans="1:14">
      <c r="A26" s="46">
        <v>23</v>
      </c>
      <c r="B26" s="218">
        <v>46165</v>
      </c>
      <c r="C26" s="40"/>
      <c r="D26" s="40"/>
      <c r="E26" s="264">
        <v>70</v>
      </c>
      <c r="F26" s="290">
        <v>96.32</v>
      </c>
      <c r="G26" s="40">
        <f t="shared" si="0"/>
        <v>6742.4</v>
      </c>
      <c r="H26" s="40">
        <v>10</v>
      </c>
      <c r="I26" s="40">
        <v>108.38</v>
      </c>
      <c r="J26" s="40">
        <f t="shared" si="1"/>
        <v>1083.8</v>
      </c>
      <c r="K26" s="40">
        <f t="shared" si="2"/>
        <v>7826.2</v>
      </c>
      <c r="L26" s="40"/>
      <c r="M26" s="40">
        <f t="shared" si="3"/>
        <v>155739.0037</v>
      </c>
      <c r="N26" s="40"/>
    </row>
    <row r="27" spans="1:14">
      <c r="A27" s="46">
        <v>24</v>
      </c>
      <c r="B27" s="218">
        <v>46166</v>
      </c>
      <c r="C27" s="40"/>
      <c r="D27" s="40"/>
      <c r="E27" s="264"/>
      <c r="F27" s="290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/>
      <c r="M27" s="40">
        <f t="shared" si="3"/>
        <v>155739.0037</v>
      </c>
      <c r="N27" s="40"/>
    </row>
    <row r="28" spans="1:14">
      <c r="A28" s="220">
        <v>25</v>
      </c>
      <c r="B28" s="218">
        <v>46167</v>
      </c>
      <c r="C28" s="40"/>
      <c r="D28" s="40"/>
      <c r="E28" s="264"/>
      <c r="F28" s="290"/>
      <c r="G28" s="40">
        <f t="shared" si="0"/>
        <v>0</v>
      </c>
      <c r="H28" s="40">
        <v>5</v>
      </c>
      <c r="I28" s="40">
        <v>111.21</v>
      </c>
      <c r="J28" s="40">
        <f t="shared" si="1"/>
        <v>556.04999999999995</v>
      </c>
      <c r="K28" s="40">
        <f t="shared" si="2"/>
        <v>556.04999999999995</v>
      </c>
      <c r="L28" s="40"/>
      <c r="M28" s="40">
        <f t="shared" si="3"/>
        <v>156295.05369999999</v>
      </c>
      <c r="N28" s="40"/>
    </row>
    <row r="29" spans="1:14">
      <c r="A29" s="220">
        <v>26</v>
      </c>
      <c r="B29" s="218">
        <v>46168</v>
      </c>
      <c r="C29" s="40"/>
      <c r="D29" s="40"/>
      <c r="E29" s="264"/>
      <c r="F29" s="290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/>
      <c r="M29" s="40">
        <f t="shared" si="3"/>
        <v>156295.05369999999</v>
      </c>
      <c r="N29" s="40"/>
    </row>
    <row r="30" spans="1:14">
      <c r="A30" s="220">
        <v>27</v>
      </c>
      <c r="B30" s="218">
        <v>46169</v>
      </c>
      <c r="C30" s="40"/>
      <c r="D30" s="40"/>
      <c r="E30" s="264"/>
      <c r="F30" s="290"/>
      <c r="G30" s="40">
        <f t="shared" si="0"/>
        <v>0</v>
      </c>
      <c r="H30" s="40"/>
      <c r="I30" s="40"/>
      <c r="J30" s="40">
        <f t="shared" si="1"/>
        <v>0</v>
      </c>
      <c r="K30" s="40">
        <f t="shared" si="2"/>
        <v>0</v>
      </c>
      <c r="L30" s="40"/>
      <c r="M30" s="40">
        <f t="shared" si="3"/>
        <v>156295.05369999999</v>
      </c>
      <c r="N30" s="40"/>
    </row>
    <row r="31" spans="1:14">
      <c r="A31" s="220">
        <v>28</v>
      </c>
      <c r="B31" s="218">
        <v>46170</v>
      </c>
      <c r="C31" s="40"/>
      <c r="D31" s="40"/>
      <c r="E31" s="264">
        <v>496.6</v>
      </c>
      <c r="F31" s="290">
        <v>99.13</v>
      </c>
      <c r="G31" s="40">
        <f t="shared" si="0"/>
        <v>49227.957999999999</v>
      </c>
      <c r="H31" s="40"/>
      <c r="I31" s="40"/>
      <c r="J31" s="40">
        <f t="shared" si="1"/>
        <v>0</v>
      </c>
      <c r="K31" s="40">
        <f t="shared" si="2"/>
        <v>49227.957999999999</v>
      </c>
      <c r="L31" s="40"/>
      <c r="M31" s="40">
        <f t="shared" si="3"/>
        <v>205523.01169999997</v>
      </c>
      <c r="N31" s="40"/>
    </row>
    <row r="32" spans="1:14">
      <c r="A32" s="221">
        <v>29</v>
      </c>
      <c r="B32" s="218">
        <v>46171</v>
      </c>
      <c r="C32" s="40"/>
      <c r="D32" s="40"/>
      <c r="E32" s="264">
        <v>100</v>
      </c>
      <c r="F32" s="290">
        <v>99.13</v>
      </c>
      <c r="G32" s="40">
        <f t="shared" si="0"/>
        <v>9913</v>
      </c>
      <c r="H32" s="40"/>
      <c r="I32" s="40"/>
      <c r="J32" s="40">
        <f t="shared" si="1"/>
        <v>0</v>
      </c>
      <c r="K32" s="40">
        <f t="shared" si="2"/>
        <v>9913</v>
      </c>
      <c r="L32" s="40"/>
      <c r="M32" s="40">
        <f t="shared" si="3"/>
        <v>215436.01169999997</v>
      </c>
      <c r="N32" s="40"/>
    </row>
    <row r="33" spans="1:14">
      <c r="A33" s="221">
        <v>30</v>
      </c>
      <c r="B33" s="218">
        <v>46172</v>
      </c>
      <c r="C33" s="40"/>
      <c r="D33" s="40"/>
      <c r="E33" s="264">
        <v>83.94</v>
      </c>
      <c r="F33" s="290">
        <v>99.13</v>
      </c>
      <c r="G33" s="40">
        <f t="shared" si="0"/>
        <v>8320.9722000000002</v>
      </c>
      <c r="H33" s="40"/>
      <c r="I33" s="40"/>
      <c r="J33" s="40">
        <f t="shared" si="1"/>
        <v>0</v>
      </c>
      <c r="K33" s="40">
        <f t="shared" si="2"/>
        <v>8320.9722000000002</v>
      </c>
      <c r="L33" s="40"/>
      <c r="M33" s="40">
        <f t="shared" si="3"/>
        <v>223756.98389999996</v>
      </c>
      <c r="N33" s="40"/>
    </row>
    <row r="34" spans="1:14">
      <c r="A34" s="221">
        <v>31</v>
      </c>
      <c r="B34" s="218">
        <v>46173</v>
      </c>
      <c r="C34" s="40"/>
      <c r="D34" s="40"/>
      <c r="E34" s="264">
        <v>35</v>
      </c>
      <c r="F34" s="290">
        <v>99.13</v>
      </c>
      <c r="G34" s="40">
        <f t="shared" si="0"/>
        <v>3469.5499999999997</v>
      </c>
      <c r="H34" s="40"/>
      <c r="I34" s="40"/>
      <c r="J34" s="40">
        <f t="shared" si="1"/>
        <v>0</v>
      </c>
      <c r="K34" s="40">
        <f t="shared" si="2"/>
        <v>3469.5499999999997</v>
      </c>
      <c r="L34" s="40"/>
      <c r="M34" s="40">
        <f t="shared" si="3"/>
        <v>227226.53389999995</v>
      </c>
      <c r="N34" s="40"/>
    </row>
    <row r="35" spans="1:14">
      <c r="A35" s="180"/>
      <c r="B35" s="180"/>
      <c r="C35" s="180"/>
      <c r="D35" s="180"/>
      <c r="E35" s="180">
        <f>SUM(E4:E34)</f>
        <v>5019.2</v>
      </c>
      <c r="F35" s="180"/>
      <c r="G35" s="180">
        <f>SUM(G4:G34)</f>
        <v>473753.83389999997</v>
      </c>
      <c r="H35" s="180">
        <f>SUM(H4:H34)</f>
        <v>68</v>
      </c>
      <c r="I35" s="180"/>
      <c r="J35" s="180">
        <f>SUM(J4:J34)</f>
        <v>7220.77</v>
      </c>
      <c r="K35" s="180">
        <f>SUM(K4:K34)</f>
        <v>480974.60390000005</v>
      </c>
      <c r="L35" s="180">
        <f>SUM(L4:L34)</f>
        <v>350000</v>
      </c>
      <c r="M35" s="180"/>
      <c r="N35" s="180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677C-45ED-46D2-B6DD-48C42A14EFA2}">
  <sheetPr>
    <tabColor rgb="FF002060"/>
  </sheetPr>
  <dimension ref="A1:P34"/>
  <sheetViews>
    <sheetView topLeftCell="A4" workbookViewId="0">
      <selection activeCell="G28" sqref="G28"/>
    </sheetView>
  </sheetViews>
  <sheetFormatPr defaultRowHeight="15"/>
  <cols>
    <col min="2" max="2" width="12.5703125" customWidth="1"/>
    <col min="5" max="5" width="9.7109375" bestFit="1" customWidth="1"/>
    <col min="7" max="7" width="10.42578125" bestFit="1" customWidth="1"/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6" ht="15.75">
      <c r="A1" s="585" t="s">
        <v>356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7"/>
    </row>
    <row r="2" spans="1:16" ht="30.75">
      <c r="A2" s="123" t="s">
        <v>0</v>
      </c>
      <c r="B2" s="212" t="s">
        <v>166</v>
      </c>
      <c r="C2" s="212" t="s">
        <v>167</v>
      </c>
      <c r="D2" s="212" t="s">
        <v>198</v>
      </c>
      <c r="E2" s="212" t="s">
        <v>169</v>
      </c>
      <c r="F2" s="212" t="s">
        <v>170</v>
      </c>
      <c r="G2" s="212" t="s">
        <v>171</v>
      </c>
      <c r="H2" s="212" t="s">
        <v>172</v>
      </c>
      <c r="I2" s="212" t="s">
        <v>170</v>
      </c>
      <c r="J2" s="212" t="s">
        <v>171</v>
      </c>
      <c r="K2" s="174" t="s">
        <v>173</v>
      </c>
      <c r="L2" s="174" t="s">
        <v>174</v>
      </c>
      <c r="M2" s="174" t="s">
        <v>199</v>
      </c>
      <c r="N2" s="212" t="s">
        <v>176</v>
      </c>
    </row>
    <row r="3" spans="1:16">
      <c r="A3" s="588" t="s">
        <v>177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90"/>
      <c r="M3" s="588">
        <v>497320.02639999997</v>
      </c>
      <c r="N3" s="590"/>
    </row>
    <row r="4" spans="1:16">
      <c r="A4" s="195">
        <v>1</v>
      </c>
      <c r="B4" s="218">
        <v>46143</v>
      </c>
      <c r="C4" s="40"/>
      <c r="D4" s="40"/>
      <c r="E4" s="264"/>
      <c r="F4" s="290"/>
      <c r="G4" s="40">
        <f>E4*F4</f>
        <v>0</v>
      </c>
      <c r="H4" s="40"/>
      <c r="I4" s="40"/>
      <c r="J4" s="40">
        <f>H4*I4</f>
        <v>0</v>
      </c>
      <c r="K4" s="40">
        <f>G4+J4</f>
        <v>0</v>
      </c>
      <c r="L4" s="40">
        <v>0</v>
      </c>
      <c r="M4" s="40">
        <f>M3+K4-L4</f>
        <v>497320.02639999997</v>
      </c>
      <c r="N4" s="40"/>
    </row>
    <row r="5" spans="1:16">
      <c r="A5" s="46">
        <v>2</v>
      </c>
      <c r="B5" s="218">
        <v>46144</v>
      </c>
      <c r="C5" s="40"/>
      <c r="D5" s="40"/>
      <c r="E5" s="264">
        <v>600</v>
      </c>
      <c r="F5" s="290">
        <v>91.32</v>
      </c>
      <c r="G5" s="40">
        <f t="shared" ref="G5:G33" si="0">E5*F5</f>
        <v>54791.999999999993</v>
      </c>
      <c r="H5" s="40"/>
      <c r="I5" s="40"/>
      <c r="J5" s="40">
        <f t="shared" ref="J5:J33" si="1">H5*I5</f>
        <v>0</v>
      </c>
      <c r="K5" s="40">
        <f t="shared" ref="K5:K33" si="2">G5+J5</f>
        <v>54791.999999999993</v>
      </c>
      <c r="L5" s="40">
        <v>0</v>
      </c>
      <c r="M5" s="40">
        <f t="shared" ref="M5:M33" si="3">M4+K5-L5</f>
        <v>552112.02639999997</v>
      </c>
      <c r="N5" s="40"/>
    </row>
    <row r="6" spans="1:16">
      <c r="A6" s="46">
        <v>3</v>
      </c>
      <c r="B6" s="218">
        <v>46145</v>
      </c>
      <c r="C6" s="40"/>
      <c r="D6" s="40"/>
      <c r="E6" s="264"/>
      <c r="F6" s="290"/>
      <c r="G6" s="40">
        <f t="shared" si="0"/>
        <v>0</v>
      </c>
      <c r="H6" s="40"/>
      <c r="I6" s="40"/>
      <c r="J6" s="40">
        <f t="shared" si="1"/>
        <v>0</v>
      </c>
      <c r="K6" s="40">
        <f>G6+J6</f>
        <v>0</v>
      </c>
      <c r="L6" s="40">
        <v>0</v>
      </c>
      <c r="M6" s="40">
        <f t="shared" si="3"/>
        <v>552112.02639999997</v>
      </c>
      <c r="N6" s="40"/>
    </row>
    <row r="7" spans="1:16">
      <c r="A7" s="46">
        <v>4</v>
      </c>
      <c r="B7" s="218">
        <v>46146</v>
      </c>
      <c r="C7" s="40"/>
      <c r="D7" s="40"/>
      <c r="E7" s="264">
        <v>669.93</v>
      </c>
      <c r="F7" s="290">
        <v>91.32</v>
      </c>
      <c r="G7" s="40">
        <f t="shared" si="0"/>
        <v>61178.00759999999</v>
      </c>
      <c r="H7" s="40"/>
      <c r="I7" s="40"/>
      <c r="J7" s="40">
        <f t="shared" si="1"/>
        <v>0</v>
      </c>
      <c r="K7" s="40">
        <f t="shared" si="2"/>
        <v>61178.00759999999</v>
      </c>
      <c r="L7" s="40">
        <v>400000</v>
      </c>
      <c r="M7" s="40">
        <f t="shared" si="3"/>
        <v>213290.03399999999</v>
      </c>
      <c r="N7" s="40"/>
    </row>
    <row r="8" spans="1:16">
      <c r="A8" s="46">
        <v>5</v>
      </c>
      <c r="B8" s="218">
        <v>46147</v>
      </c>
      <c r="C8" s="40"/>
      <c r="D8" s="40"/>
      <c r="E8" s="264">
        <v>572.4</v>
      </c>
      <c r="F8" s="290">
        <v>91.32</v>
      </c>
      <c r="G8" s="40">
        <f t="shared" si="0"/>
        <v>52271.567999999992</v>
      </c>
      <c r="H8" s="40">
        <v>11</v>
      </c>
      <c r="I8" s="40">
        <v>103.24</v>
      </c>
      <c r="J8" s="40">
        <f t="shared" si="1"/>
        <v>1135.6399999999999</v>
      </c>
      <c r="K8" s="40">
        <f t="shared" si="2"/>
        <v>53407.207999999991</v>
      </c>
      <c r="L8" s="40">
        <v>0</v>
      </c>
      <c r="M8" s="40">
        <f t="shared" si="3"/>
        <v>266697.24199999997</v>
      </c>
      <c r="N8" s="40"/>
    </row>
    <row r="9" spans="1:16">
      <c r="A9" s="46">
        <v>6</v>
      </c>
      <c r="B9" s="218">
        <v>46148</v>
      </c>
      <c r="C9" s="40"/>
      <c r="D9" s="40"/>
      <c r="E9" s="264">
        <v>838.05</v>
      </c>
      <c r="F9" s="290">
        <v>91.32</v>
      </c>
      <c r="G9" s="40">
        <f t="shared" si="0"/>
        <v>76530.725999999995</v>
      </c>
      <c r="H9" s="40"/>
      <c r="I9" s="40"/>
      <c r="J9" s="40">
        <f t="shared" si="1"/>
        <v>0</v>
      </c>
      <c r="K9" s="40">
        <f t="shared" si="2"/>
        <v>76530.725999999995</v>
      </c>
      <c r="L9" s="40">
        <v>0</v>
      </c>
      <c r="M9" s="40">
        <f t="shared" si="3"/>
        <v>343227.96799999999</v>
      </c>
      <c r="N9" s="40"/>
    </row>
    <row r="10" spans="1:16">
      <c r="A10" s="46">
        <v>7</v>
      </c>
      <c r="B10" s="218">
        <v>46149</v>
      </c>
      <c r="C10" s="40"/>
      <c r="D10" s="40"/>
      <c r="E10" s="264">
        <v>284.07</v>
      </c>
      <c r="F10" s="290">
        <v>91.32</v>
      </c>
      <c r="G10" s="40">
        <f t="shared" si="0"/>
        <v>25941.272399999998</v>
      </c>
      <c r="H10" s="40">
        <v>12</v>
      </c>
      <c r="I10" s="40">
        <v>103.24</v>
      </c>
      <c r="J10" s="40">
        <f t="shared" si="1"/>
        <v>1238.8799999999999</v>
      </c>
      <c r="K10" s="40">
        <f t="shared" si="2"/>
        <v>27180.152399999999</v>
      </c>
      <c r="L10" s="40">
        <v>0</v>
      </c>
      <c r="M10" s="40">
        <f t="shared" si="3"/>
        <v>370408.12040000001</v>
      </c>
      <c r="N10" s="40"/>
    </row>
    <row r="11" spans="1:16">
      <c r="A11" s="46">
        <v>8</v>
      </c>
      <c r="B11" s="218">
        <v>46150</v>
      </c>
      <c r="C11" s="40"/>
      <c r="D11" s="40"/>
      <c r="E11" s="264">
        <v>429.46</v>
      </c>
      <c r="F11" s="290">
        <v>91.32</v>
      </c>
      <c r="G11" s="40">
        <f t="shared" si="0"/>
        <v>39218.287199999992</v>
      </c>
      <c r="H11" s="40"/>
      <c r="I11" s="40"/>
      <c r="J11" s="40">
        <f t="shared" si="1"/>
        <v>0</v>
      </c>
      <c r="K11" s="40">
        <f t="shared" si="2"/>
        <v>39218.287199999992</v>
      </c>
      <c r="L11" s="40">
        <v>0</v>
      </c>
      <c r="M11" s="40">
        <f t="shared" si="3"/>
        <v>409626.40760000004</v>
      </c>
      <c r="N11" s="40"/>
      <c r="P11" s="22"/>
    </row>
    <row r="12" spans="1:16">
      <c r="A12" s="46">
        <v>9</v>
      </c>
      <c r="B12" s="218">
        <v>46151</v>
      </c>
      <c r="C12" s="40"/>
      <c r="D12" s="40"/>
      <c r="E12" s="264"/>
      <c r="F12" s="290"/>
      <c r="G12" s="40">
        <f t="shared" si="0"/>
        <v>0</v>
      </c>
      <c r="H12" s="40">
        <v>6</v>
      </c>
      <c r="I12" s="40">
        <v>103.24</v>
      </c>
      <c r="J12" s="40">
        <f t="shared" si="1"/>
        <v>619.43999999999994</v>
      </c>
      <c r="K12" s="40">
        <f t="shared" si="2"/>
        <v>619.43999999999994</v>
      </c>
      <c r="L12" s="40">
        <v>0</v>
      </c>
      <c r="M12" s="40">
        <f t="shared" si="3"/>
        <v>410245.84760000004</v>
      </c>
      <c r="N12" s="40"/>
    </row>
    <row r="13" spans="1:16">
      <c r="A13" s="46">
        <v>11</v>
      </c>
      <c r="B13" s="218">
        <v>46152</v>
      </c>
      <c r="C13" s="40"/>
      <c r="D13" s="40"/>
      <c r="E13" s="264">
        <v>422.83</v>
      </c>
      <c r="F13" s="290">
        <v>91.32</v>
      </c>
      <c r="G13" s="40">
        <f t="shared" si="0"/>
        <v>38612.835599999999</v>
      </c>
      <c r="H13" s="40"/>
      <c r="I13" s="40"/>
      <c r="J13" s="40">
        <f t="shared" si="1"/>
        <v>0</v>
      </c>
      <c r="K13" s="40">
        <f t="shared" si="2"/>
        <v>38612.835599999999</v>
      </c>
      <c r="L13" s="40">
        <v>0</v>
      </c>
      <c r="M13" s="40">
        <f t="shared" si="3"/>
        <v>448858.68320000003</v>
      </c>
      <c r="N13" s="40"/>
    </row>
    <row r="14" spans="1:16">
      <c r="A14" s="46">
        <v>12</v>
      </c>
      <c r="B14" s="218">
        <v>46153</v>
      </c>
      <c r="C14" s="40"/>
      <c r="D14" s="40"/>
      <c r="E14" s="264">
        <v>388.26</v>
      </c>
      <c r="F14" s="290">
        <v>91.32</v>
      </c>
      <c r="G14" s="40">
        <f t="shared" si="0"/>
        <v>35455.903199999993</v>
      </c>
      <c r="H14" s="40"/>
      <c r="I14" s="40"/>
      <c r="J14" s="40">
        <f t="shared" si="1"/>
        <v>0</v>
      </c>
      <c r="K14" s="40">
        <f t="shared" si="2"/>
        <v>35455.903199999993</v>
      </c>
      <c r="L14" s="40">
        <v>0</v>
      </c>
      <c r="M14" s="40">
        <f t="shared" si="3"/>
        <v>484314.58640000003</v>
      </c>
      <c r="N14" s="40"/>
    </row>
    <row r="15" spans="1:16">
      <c r="A15" s="46">
        <v>13</v>
      </c>
      <c r="B15" s="218">
        <v>46154</v>
      </c>
      <c r="C15" s="40"/>
      <c r="D15" s="40"/>
      <c r="E15" s="264">
        <v>100</v>
      </c>
      <c r="F15" s="290">
        <v>91.32</v>
      </c>
      <c r="G15" s="40">
        <f t="shared" si="0"/>
        <v>9132</v>
      </c>
      <c r="H15" s="40"/>
      <c r="I15" s="40"/>
      <c r="J15" s="40">
        <f t="shared" si="1"/>
        <v>0</v>
      </c>
      <c r="K15" s="40">
        <f t="shared" si="2"/>
        <v>9132</v>
      </c>
      <c r="L15" s="40">
        <v>0</v>
      </c>
      <c r="M15" s="40">
        <f t="shared" si="3"/>
        <v>493446.58640000003</v>
      </c>
      <c r="N15" s="40"/>
    </row>
    <row r="16" spans="1:16">
      <c r="A16" s="46">
        <v>14</v>
      </c>
      <c r="B16" s="218">
        <v>46155</v>
      </c>
      <c r="C16" s="40"/>
      <c r="D16" s="40"/>
      <c r="E16" s="264">
        <v>568.17999999999995</v>
      </c>
      <c r="F16" s="290">
        <v>91.32</v>
      </c>
      <c r="G16" s="40">
        <f t="shared" si="0"/>
        <v>51886.197599999992</v>
      </c>
      <c r="H16" s="40"/>
      <c r="I16" s="40"/>
      <c r="J16" s="40">
        <f t="shared" si="1"/>
        <v>0</v>
      </c>
      <c r="K16" s="40">
        <f t="shared" si="2"/>
        <v>51886.197599999992</v>
      </c>
      <c r="L16" s="40">
        <v>0</v>
      </c>
      <c r="M16" s="40">
        <f t="shared" si="3"/>
        <v>545332.78399999999</v>
      </c>
      <c r="N16" s="40"/>
    </row>
    <row r="17" spans="1:14">
      <c r="A17" s="46">
        <v>15</v>
      </c>
      <c r="B17" s="218">
        <v>46156</v>
      </c>
      <c r="C17" s="40"/>
      <c r="D17" s="40"/>
      <c r="E17" s="264">
        <v>245.79</v>
      </c>
      <c r="F17" s="290">
        <v>91.32</v>
      </c>
      <c r="G17" s="40">
        <f t="shared" si="0"/>
        <v>22445.542799999999</v>
      </c>
      <c r="H17" s="40"/>
      <c r="I17" s="40"/>
      <c r="J17" s="40">
        <f t="shared" si="1"/>
        <v>0</v>
      </c>
      <c r="K17" s="40">
        <f t="shared" si="2"/>
        <v>22445.542799999999</v>
      </c>
      <c r="L17" s="40">
        <v>0</v>
      </c>
      <c r="M17" s="40">
        <f t="shared" si="3"/>
        <v>567778.32680000004</v>
      </c>
      <c r="N17" s="40"/>
    </row>
    <row r="18" spans="1:14">
      <c r="A18" s="46">
        <v>16</v>
      </c>
      <c r="B18" s="218">
        <v>46157</v>
      </c>
      <c r="C18" s="40"/>
      <c r="D18" s="40"/>
      <c r="E18" s="264">
        <v>239.04</v>
      </c>
      <c r="F18" s="290">
        <v>94.43</v>
      </c>
      <c r="G18" s="40">
        <f t="shared" si="0"/>
        <v>22572.547200000001</v>
      </c>
      <c r="H18" s="40"/>
      <c r="I18" s="40"/>
      <c r="J18" s="40">
        <f t="shared" si="1"/>
        <v>0</v>
      </c>
      <c r="K18" s="40">
        <f t="shared" si="2"/>
        <v>22572.547200000001</v>
      </c>
      <c r="L18" s="40">
        <v>0</v>
      </c>
      <c r="M18" s="40">
        <f t="shared" si="3"/>
        <v>590350.87400000007</v>
      </c>
      <c r="N18" s="40"/>
    </row>
    <row r="19" spans="1:14">
      <c r="A19" s="46">
        <v>17</v>
      </c>
      <c r="B19" s="218">
        <v>46158</v>
      </c>
      <c r="C19" s="40"/>
      <c r="D19" s="40"/>
      <c r="E19" s="264">
        <v>718.82</v>
      </c>
      <c r="F19" s="290">
        <v>94.43</v>
      </c>
      <c r="G19" s="40">
        <f t="shared" si="0"/>
        <v>67878.172600000005</v>
      </c>
      <c r="H19" s="40">
        <v>12</v>
      </c>
      <c r="I19" s="40">
        <v>106.49</v>
      </c>
      <c r="J19" s="40">
        <f t="shared" si="1"/>
        <v>1277.8799999999999</v>
      </c>
      <c r="K19" s="40">
        <f t="shared" si="2"/>
        <v>69156.05260000001</v>
      </c>
      <c r="L19" s="40">
        <v>0</v>
      </c>
      <c r="M19" s="40">
        <f t="shared" si="3"/>
        <v>659506.92660000012</v>
      </c>
      <c r="N19" s="40"/>
    </row>
    <row r="20" spans="1:14">
      <c r="A20" s="46">
        <v>18</v>
      </c>
      <c r="B20" s="218">
        <v>46159</v>
      </c>
      <c r="C20" s="40"/>
      <c r="D20" s="40"/>
      <c r="E20" s="264">
        <v>350</v>
      </c>
      <c r="F20" s="290">
        <v>94.43</v>
      </c>
      <c r="G20" s="40">
        <f t="shared" si="0"/>
        <v>33050.5</v>
      </c>
      <c r="H20" s="40"/>
      <c r="I20" s="40"/>
      <c r="J20" s="40">
        <f t="shared" si="1"/>
        <v>0</v>
      </c>
      <c r="K20" s="40">
        <f t="shared" si="2"/>
        <v>33050.5</v>
      </c>
      <c r="L20" s="40">
        <v>0</v>
      </c>
      <c r="M20" s="40">
        <f t="shared" si="3"/>
        <v>692557.42660000012</v>
      </c>
      <c r="N20" s="40"/>
    </row>
    <row r="21" spans="1:14">
      <c r="A21" s="46">
        <v>19</v>
      </c>
      <c r="B21" s="218">
        <v>46160</v>
      </c>
      <c r="C21" s="40"/>
      <c r="D21" s="40"/>
      <c r="E21" s="264">
        <v>711.32</v>
      </c>
      <c r="F21" s="290">
        <v>94.43</v>
      </c>
      <c r="G21" s="40">
        <f t="shared" si="0"/>
        <v>67169.947600000014</v>
      </c>
      <c r="H21" s="40">
        <v>41</v>
      </c>
      <c r="I21" s="40">
        <v>106.49</v>
      </c>
      <c r="J21" s="40">
        <f t="shared" si="1"/>
        <v>4366.09</v>
      </c>
      <c r="K21" s="40">
        <f t="shared" si="2"/>
        <v>71536.037600000011</v>
      </c>
      <c r="L21" s="40">
        <v>0</v>
      </c>
      <c r="M21" s="40">
        <f t="shared" si="3"/>
        <v>764093.46420000016</v>
      </c>
      <c r="N21" s="40"/>
    </row>
    <row r="22" spans="1:14">
      <c r="A22" s="46">
        <v>20</v>
      </c>
      <c r="B22" s="218">
        <v>46161</v>
      </c>
      <c r="C22" s="40"/>
      <c r="D22" s="40"/>
      <c r="E22" s="264">
        <v>262.68</v>
      </c>
      <c r="F22" s="290">
        <v>95.37</v>
      </c>
      <c r="G22" s="40">
        <f t="shared" si="0"/>
        <v>25051.7916</v>
      </c>
      <c r="H22" s="40">
        <v>5</v>
      </c>
      <c r="I22" s="40">
        <v>107.44</v>
      </c>
      <c r="J22" s="40">
        <f t="shared" si="1"/>
        <v>537.20000000000005</v>
      </c>
      <c r="K22" s="40">
        <f t="shared" si="2"/>
        <v>25588.991600000001</v>
      </c>
      <c r="L22" s="40">
        <v>0</v>
      </c>
      <c r="M22" s="40">
        <f t="shared" si="3"/>
        <v>789682.45580000011</v>
      </c>
      <c r="N22" s="40"/>
    </row>
    <row r="23" spans="1:14">
      <c r="A23" s="46">
        <v>21</v>
      </c>
      <c r="B23" s="218">
        <v>46162</v>
      </c>
      <c r="C23" s="40"/>
      <c r="D23" s="40"/>
      <c r="E23" s="264">
        <v>200</v>
      </c>
      <c r="F23" s="290">
        <v>95.37</v>
      </c>
      <c r="G23" s="40">
        <f t="shared" si="0"/>
        <v>19074</v>
      </c>
      <c r="H23" s="40"/>
      <c r="I23" s="40"/>
      <c r="J23" s="40">
        <f t="shared" si="1"/>
        <v>0</v>
      </c>
      <c r="K23" s="40">
        <f t="shared" si="2"/>
        <v>19074</v>
      </c>
      <c r="L23" s="40">
        <v>0</v>
      </c>
      <c r="M23" s="40">
        <f t="shared" si="3"/>
        <v>808756.45580000011</v>
      </c>
      <c r="N23" s="40"/>
    </row>
    <row r="24" spans="1:14">
      <c r="A24" s="46">
        <v>22</v>
      </c>
      <c r="B24" s="218">
        <v>46163</v>
      </c>
      <c r="C24" s="40"/>
      <c r="D24" s="40"/>
      <c r="E24" s="264"/>
      <c r="F24" s="290"/>
      <c r="G24" s="40">
        <f t="shared" si="0"/>
        <v>0</v>
      </c>
      <c r="H24" s="40"/>
      <c r="I24" s="40"/>
      <c r="J24" s="40">
        <f t="shared" si="1"/>
        <v>0</v>
      </c>
      <c r="K24" s="40">
        <f t="shared" si="2"/>
        <v>0</v>
      </c>
      <c r="L24" s="40">
        <v>400000</v>
      </c>
      <c r="M24" s="40">
        <f t="shared" si="3"/>
        <v>408756.45580000011</v>
      </c>
      <c r="N24" s="40"/>
    </row>
    <row r="25" spans="1:14">
      <c r="A25" s="46">
        <v>23</v>
      </c>
      <c r="B25" s="218">
        <v>46164</v>
      </c>
      <c r="C25" s="40"/>
      <c r="D25" s="40"/>
      <c r="E25" s="264"/>
      <c r="F25" s="290"/>
      <c r="G25" s="40">
        <f t="shared" si="0"/>
        <v>0</v>
      </c>
      <c r="H25" s="40"/>
      <c r="I25" s="40"/>
      <c r="J25" s="40">
        <f t="shared" si="1"/>
        <v>0</v>
      </c>
      <c r="K25" s="40">
        <f t="shared" si="2"/>
        <v>0</v>
      </c>
      <c r="L25" s="40">
        <v>0</v>
      </c>
      <c r="M25" s="40">
        <f t="shared" si="3"/>
        <v>408756.45580000011</v>
      </c>
      <c r="N25" s="40"/>
    </row>
    <row r="26" spans="1:14">
      <c r="A26" s="46">
        <v>24</v>
      </c>
      <c r="B26" s="218">
        <v>46165</v>
      </c>
      <c r="C26" s="40"/>
      <c r="D26" s="40"/>
      <c r="E26" s="264">
        <v>1400</v>
      </c>
      <c r="F26" s="290">
        <v>96.32</v>
      </c>
      <c r="G26" s="40">
        <f t="shared" si="0"/>
        <v>134848</v>
      </c>
      <c r="H26" s="40"/>
      <c r="I26" s="40"/>
      <c r="J26" s="40">
        <f t="shared" si="1"/>
        <v>0</v>
      </c>
      <c r="K26" s="40">
        <f t="shared" si="2"/>
        <v>134848</v>
      </c>
      <c r="L26" s="40">
        <v>0</v>
      </c>
      <c r="M26" s="40">
        <f t="shared" si="3"/>
        <v>543604.45580000011</v>
      </c>
      <c r="N26" s="40"/>
    </row>
    <row r="27" spans="1:14">
      <c r="A27" s="220">
        <v>25</v>
      </c>
      <c r="B27" s="218">
        <v>46166</v>
      </c>
      <c r="C27" s="40"/>
      <c r="D27" s="40"/>
      <c r="E27" s="264">
        <v>645.37</v>
      </c>
      <c r="F27" s="290">
        <v>96.46</v>
      </c>
      <c r="G27" s="40">
        <f t="shared" si="0"/>
        <v>62252.390199999994</v>
      </c>
      <c r="H27" s="40"/>
      <c r="I27" s="40"/>
      <c r="J27" s="40">
        <f t="shared" si="1"/>
        <v>0</v>
      </c>
      <c r="K27" s="40">
        <f t="shared" si="2"/>
        <v>62252.390199999994</v>
      </c>
      <c r="L27" s="40">
        <v>0</v>
      </c>
      <c r="M27" s="40">
        <f t="shared" si="3"/>
        <v>605856.84600000014</v>
      </c>
      <c r="N27" s="40"/>
    </row>
    <row r="28" spans="1:14">
      <c r="A28" s="220">
        <v>26</v>
      </c>
      <c r="B28" s="218">
        <v>46167</v>
      </c>
      <c r="C28" s="40"/>
      <c r="D28" s="40"/>
      <c r="E28" s="264">
        <v>0</v>
      </c>
      <c r="F28" s="290">
        <v>0</v>
      </c>
      <c r="G28" s="40">
        <f t="shared" si="0"/>
        <v>0</v>
      </c>
      <c r="H28" s="40"/>
      <c r="I28" s="40"/>
      <c r="J28" s="40">
        <f t="shared" si="1"/>
        <v>0</v>
      </c>
      <c r="K28" s="40">
        <f t="shared" si="2"/>
        <v>0</v>
      </c>
      <c r="L28" s="40">
        <v>0</v>
      </c>
      <c r="M28" s="40">
        <f t="shared" si="3"/>
        <v>605856.84600000014</v>
      </c>
      <c r="N28" s="40"/>
    </row>
    <row r="29" spans="1:14">
      <c r="A29" s="220">
        <v>27</v>
      </c>
      <c r="B29" s="218">
        <v>46168</v>
      </c>
      <c r="C29" s="40"/>
      <c r="D29" s="40"/>
      <c r="E29" s="264"/>
      <c r="F29" s="290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>
        <v>0</v>
      </c>
      <c r="M29" s="40">
        <f t="shared" si="3"/>
        <v>605856.84600000014</v>
      </c>
      <c r="N29" s="40"/>
    </row>
    <row r="30" spans="1:14">
      <c r="A30" s="220">
        <v>28</v>
      </c>
      <c r="B30" s="218">
        <v>46169</v>
      </c>
      <c r="C30" s="40"/>
      <c r="D30" s="40"/>
      <c r="E30" s="264">
        <v>813.08</v>
      </c>
      <c r="F30" s="290">
        <v>99.13</v>
      </c>
      <c r="G30" s="40">
        <f t="shared" si="0"/>
        <v>80600.6204</v>
      </c>
      <c r="H30" s="40"/>
      <c r="I30" s="40"/>
      <c r="J30" s="40">
        <f t="shared" si="1"/>
        <v>0</v>
      </c>
      <c r="K30" s="40">
        <f t="shared" si="2"/>
        <v>80600.6204</v>
      </c>
      <c r="L30" s="40">
        <v>0</v>
      </c>
      <c r="M30" s="40">
        <f t="shared" si="3"/>
        <v>686457.46640000015</v>
      </c>
      <c r="N30" s="40"/>
    </row>
    <row r="31" spans="1:14">
      <c r="A31" s="221">
        <v>29</v>
      </c>
      <c r="B31" s="218">
        <v>46170</v>
      </c>
      <c r="C31" s="40"/>
      <c r="D31" s="40"/>
      <c r="E31" s="264">
        <v>637.03</v>
      </c>
      <c r="F31" s="290">
        <v>99.13</v>
      </c>
      <c r="G31" s="40">
        <f t="shared" si="0"/>
        <v>63148.783899999995</v>
      </c>
      <c r="H31" s="40">
        <v>15</v>
      </c>
      <c r="I31" s="40">
        <v>111.21</v>
      </c>
      <c r="J31" s="40">
        <f t="shared" si="1"/>
        <v>1668.1499999999999</v>
      </c>
      <c r="K31" s="40">
        <f t="shared" si="2"/>
        <v>64816.933899999996</v>
      </c>
      <c r="L31" s="40">
        <v>0</v>
      </c>
      <c r="M31" s="40">
        <f t="shared" si="3"/>
        <v>751274.4003000001</v>
      </c>
      <c r="N31" s="40"/>
    </row>
    <row r="32" spans="1:14">
      <c r="A32" s="221">
        <v>30</v>
      </c>
      <c r="B32" s="218">
        <v>46171</v>
      </c>
      <c r="C32" s="40"/>
      <c r="D32" s="40"/>
      <c r="E32" s="264">
        <v>400</v>
      </c>
      <c r="F32" s="290">
        <v>99.13</v>
      </c>
      <c r="G32" s="40">
        <f t="shared" si="0"/>
        <v>39652</v>
      </c>
      <c r="H32" s="40"/>
      <c r="I32" s="40"/>
      <c r="J32" s="40">
        <f t="shared" si="1"/>
        <v>0</v>
      </c>
      <c r="K32" s="40">
        <f t="shared" si="2"/>
        <v>39652</v>
      </c>
      <c r="L32" s="40">
        <v>0</v>
      </c>
      <c r="M32" s="40">
        <f t="shared" si="3"/>
        <v>790926.4003000001</v>
      </c>
      <c r="N32" s="40"/>
    </row>
    <row r="33" spans="1:14">
      <c r="A33" s="221">
        <v>31</v>
      </c>
      <c r="B33" s="218"/>
      <c r="C33" s="40"/>
      <c r="D33" s="40"/>
      <c r="E33" s="264"/>
      <c r="F33" s="290"/>
      <c r="G33" s="40">
        <f t="shared" si="0"/>
        <v>0</v>
      </c>
      <c r="H33" s="40"/>
      <c r="I33" s="40"/>
      <c r="J33" s="40">
        <f t="shared" si="1"/>
        <v>0</v>
      </c>
      <c r="K33" s="40">
        <f t="shared" si="2"/>
        <v>0</v>
      </c>
      <c r="L33" s="40">
        <v>0</v>
      </c>
      <c r="M33" s="40">
        <f t="shared" si="3"/>
        <v>790926.4003000001</v>
      </c>
      <c r="N33" s="40"/>
    </row>
    <row r="34" spans="1:14">
      <c r="A34" s="180"/>
      <c r="B34" s="180"/>
      <c r="C34" s="180"/>
      <c r="D34" s="180"/>
      <c r="E34" s="180">
        <f>SUM(E4:E33)</f>
        <v>11496.310000000001</v>
      </c>
      <c r="F34" s="180"/>
      <c r="G34" s="180">
        <f>SUM(G4:G33)</f>
        <v>1082763.0939000002</v>
      </c>
      <c r="H34" s="180">
        <f>SUM(H4:H33)</f>
        <v>102</v>
      </c>
      <c r="I34" s="180"/>
      <c r="J34" s="180">
        <f>SUM(J4:J33)</f>
        <v>10843.28</v>
      </c>
      <c r="K34" s="180">
        <f>SUM(K4:K33)</f>
        <v>1093606.3739</v>
      </c>
      <c r="L34" s="180">
        <f>SUM(L4:L33)</f>
        <v>800000</v>
      </c>
      <c r="M34" s="180"/>
      <c r="N34" s="180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4F00-955C-484E-8374-CC217A19A54B}">
  <dimension ref="A1:P35"/>
  <sheetViews>
    <sheetView topLeftCell="A18" workbookViewId="0">
      <selection activeCell="K39" sqref="K39"/>
    </sheetView>
  </sheetViews>
  <sheetFormatPr defaultRowHeight="15"/>
  <cols>
    <col min="2" max="2" width="9.85546875" customWidth="1"/>
    <col min="7" max="7" width="10" customWidth="1"/>
    <col min="11" max="11" width="13.5703125" bestFit="1" customWidth="1"/>
    <col min="13" max="13" width="10.5703125" bestFit="1" customWidth="1"/>
  </cols>
  <sheetData>
    <row r="1" spans="1:16" ht="15.75">
      <c r="A1" s="585" t="s">
        <v>148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7"/>
    </row>
    <row r="2" spans="1:16" ht="30.75">
      <c r="A2" s="123" t="s">
        <v>0</v>
      </c>
      <c r="B2" s="212" t="s">
        <v>166</v>
      </c>
      <c r="C2" s="212" t="s">
        <v>167</v>
      </c>
      <c r="D2" s="212" t="s">
        <v>198</v>
      </c>
      <c r="E2" s="212" t="s">
        <v>169</v>
      </c>
      <c r="F2" s="212" t="s">
        <v>170</v>
      </c>
      <c r="G2" s="212" t="s">
        <v>171</v>
      </c>
      <c r="H2" s="212" t="s">
        <v>172</v>
      </c>
      <c r="I2" s="212" t="s">
        <v>170</v>
      </c>
      <c r="J2" s="212" t="s">
        <v>171</v>
      </c>
      <c r="K2" s="174" t="s">
        <v>173</v>
      </c>
      <c r="L2" s="174" t="s">
        <v>174</v>
      </c>
      <c r="M2" s="174" t="s">
        <v>199</v>
      </c>
      <c r="N2" s="212" t="s">
        <v>176</v>
      </c>
    </row>
    <row r="3" spans="1:16">
      <c r="A3" s="588" t="s">
        <v>177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90"/>
      <c r="M3" s="588">
        <v>0</v>
      </c>
      <c r="N3" s="590"/>
    </row>
    <row r="4" spans="1:16">
      <c r="A4" s="195">
        <v>1</v>
      </c>
      <c r="B4" s="218">
        <v>46143</v>
      </c>
      <c r="C4" s="40"/>
      <c r="D4" s="40"/>
      <c r="E4" s="264"/>
      <c r="F4" s="290"/>
      <c r="G4" s="40">
        <f>E4*F4</f>
        <v>0</v>
      </c>
      <c r="H4" s="40"/>
      <c r="I4" s="40"/>
      <c r="J4" s="40">
        <f>H4*I4</f>
        <v>0</v>
      </c>
      <c r="K4" s="40">
        <f>G4+J4</f>
        <v>0</v>
      </c>
      <c r="L4" s="40">
        <v>0</v>
      </c>
      <c r="M4" s="40">
        <f>M3+K4-L4</f>
        <v>0</v>
      </c>
      <c r="N4" s="40"/>
    </row>
    <row r="5" spans="1:16">
      <c r="A5" s="46">
        <v>2</v>
      </c>
      <c r="B5" s="218">
        <v>46144</v>
      </c>
      <c r="C5" s="40"/>
      <c r="D5" s="40"/>
      <c r="E5" s="264"/>
      <c r="F5" s="290"/>
      <c r="G5" s="40">
        <f t="shared" ref="G5:G33" si="0">E5*F5</f>
        <v>0</v>
      </c>
      <c r="H5" s="40"/>
      <c r="I5" s="40"/>
      <c r="J5" s="40">
        <f t="shared" ref="J5:J33" si="1">H5*I5</f>
        <v>0</v>
      </c>
      <c r="K5" s="40">
        <f t="shared" ref="K5:K33" si="2">G5+J5</f>
        <v>0</v>
      </c>
      <c r="L5" s="40">
        <v>0</v>
      </c>
      <c r="M5" s="40">
        <f t="shared" ref="M5:M34" si="3">M4+K5-L5</f>
        <v>0</v>
      </c>
      <c r="N5" s="40"/>
    </row>
    <row r="6" spans="1:16">
      <c r="A6" s="46">
        <v>3</v>
      </c>
      <c r="B6" s="218">
        <v>46145</v>
      </c>
      <c r="C6" s="40"/>
      <c r="D6" s="40"/>
      <c r="E6" s="264"/>
      <c r="F6" s="290"/>
      <c r="G6" s="40">
        <f t="shared" si="0"/>
        <v>0</v>
      </c>
      <c r="H6" s="40"/>
      <c r="I6" s="40"/>
      <c r="J6" s="40">
        <f t="shared" si="1"/>
        <v>0</v>
      </c>
      <c r="K6" s="40">
        <f>G6+J6</f>
        <v>0</v>
      </c>
      <c r="L6" s="40">
        <v>0</v>
      </c>
      <c r="M6" s="40">
        <f t="shared" si="3"/>
        <v>0</v>
      </c>
      <c r="N6" s="40"/>
    </row>
    <row r="7" spans="1:16">
      <c r="A7" s="46">
        <v>4</v>
      </c>
      <c r="B7" s="218">
        <v>46146</v>
      </c>
      <c r="C7" s="40"/>
      <c r="D7" s="40"/>
      <c r="E7" s="264"/>
      <c r="F7" s="290"/>
      <c r="G7" s="40">
        <f t="shared" si="0"/>
        <v>0</v>
      </c>
      <c r="H7" s="40"/>
      <c r="I7" s="40"/>
      <c r="J7" s="40">
        <f t="shared" si="1"/>
        <v>0</v>
      </c>
      <c r="K7" s="40">
        <f t="shared" si="2"/>
        <v>0</v>
      </c>
      <c r="L7" s="40">
        <v>0</v>
      </c>
      <c r="M7" s="40">
        <f t="shared" si="3"/>
        <v>0</v>
      </c>
      <c r="N7" s="40"/>
    </row>
    <row r="8" spans="1:16">
      <c r="A8" s="46">
        <v>5</v>
      </c>
      <c r="B8" s="218">
        <v>46147</v>
      </c>
      <c r="C8" s="40"/>
      <c r="D8" s="40"/>
      <c r="E8" s="264"/>
      <c r="F8" s="290"/>
      <c r="G8" s="40">
        <f t="shared" si="0"/>
        <v>0</v>
      </c>
      <c r="H8" s="40"/>
      <c r="I8" s="40"/>
      <c r="J8" s="40">
        <f t="shared" si="1"/>
        <v>0</v>
      </c>
      <c r="K8" s="40">
        <f t="shared" si="2"/>
        <v>0</v>
      </c>
      <c r="L8" s="40">
        <v>0</v>
      </c>
      <c r="M8" s="40">
        <f t="shared" si="3"/>
        <v>0</v>
      </c>
      <c r="N8" s="40"/>
    </row>
    <row r="9" spans="1:16">
      <c r="A9" s="46">
        <v>6</v>
      </c>
      <c r="B9" s="218">
        <v>46148</v>
      </c>
      <c r="C9" s="40"/>
      <c r="D9" s="40"/>
      <c r="E9" s="264"/>
      <c r="F9" s="290"/>
      <c r="G9" s="40">
        <f t="shared" si="0"/>
        <v>0</v>
      </c>
      <c r="H9" s="40"/>
      <c r="I9" s="40"/>
      <c r="J9" s="40">
        <f t="shared" si="1"/>
        <v>0</v>
      </c>
      <c r="K9" s="40">
        <f t="shared" si="2"/>
        <v>0</v>
      </c>
      <c r="L9" s="40">
        <v>0</v>
      </c>
      <c r="M9" s="40">
        <f t="shared" si="3"/>
        <v>0</v>
      </c>
      <c r="N9" s="40"/>
    </row>
    <row r="10" spans="1:16">
      <c r="A10" s="46">
        <v>7</v>
      </c>
      <c r="B10" s="218">
        <v>46149</v>
      </c>
      <c r="C10" s="40"/>
      <c r="D10" s="40"/>
      <c r="E10" s="264"/>
      <c r="F10" s="290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>
        <v>0</v>
      </c>
      <c r="M10" s="40">
        <f t="shared" si="3"/>
        <v>0</v>
      </c>
      <c r="N10" s="40"/>
    </row>
    <row r="11" spans="1:16">
      <c r="A11" s="46">
        <v>8</v>
      </c>
      <c r="B11" s="218">
        <v>46150</v>
      </c>
      <c r="C11" s="40"/>
      <c r="D11" s="40"/>
      <c r="E11" s="264"/>
      <c r="F11" s="290"/>
      <c r="G11" s="40">
        <f t="shared" si="0"/>
        <v>0</v>
      </c>
      <c r="H11" s="40"/>
      <c r="I11" s="40"/>
      <c r="J11" s="40">
        <f t="shared" si="1"/>
        <v>0</v>
      </c>
      <c r="K11" s="40">
        <f t="shared" si="2"/>
        <v>0</v>
      </c>
      <c r="L11" s="40">
        <v>0</v>
      </c>
      <c r="M11" s="40">
        <f t="shared" si="3"/>
        <v>0</v>
      </c>
      <c r="N11" s="40"/>
      <c r="P11" s="22"/>
    </row>
    <row r="12" spans="1:16">
      <c r="A12" s="46">
        <v>9</v>
      </c>
      <c r="B12" s="218">
        <v>46151</v>
      </c>
      <c r="C12" s="40"/>
      <c r="D12" s="40"/>
      <c r="E12" s="264"/>
      <c r="F12" s="290"/>
      <c r="G12" s="40">
        <f t="shared" si="0"/>
        <v>0</v>
      </c>
      <c r="H12" s="40"/>
      <c r="I12" s="40"/>
      <c r="J12" s="40">
        <f t="shared" si="1"/>
        <v>0</v>
      </c>
      <c r="K12" s="40">
        <f t="shared" si="2"/>
        <v>0</v>
      </c>
      <c r="L12" s="40">
        <v>0</v>
      </c>
      <c r="M12" s="40">
        <f t="shared" si="3"/>
        <v>0</v>
      </c>
      <c r="N12" s="40"/>
    </row>
    <row r="13" spans="1:16">
      <c r="A13" s="46">
        <v>11</v>
      </c>
      <c r="B13" s="218">
        <v>46152</v>
      </c>
      <c r="C13" s="40"/>
      <c r="D13" s="40"/>
      <c r="E13" s="264"/>
      <c r="F13" s="290"/>
      <c r="G13" s="40">
        <f t="shared" si="0"/>
        <v>0</v>
      </c>
      <c r="H13" s="40"/>
      <c r="I13" s="40"/>
      <c r="J13" s="40">
        <f t="shared" si="1"/>
        <v>0</v>
      </c>
      <c r="K13" s="40">
        <f t="shared" si="2"/>
        <v>0</v>
      </c>
      <c r="L13" s="40">
        <v>0</v>
      </c>
      <c r="M13" s="40">
        <f t="shared" si="3"/>
        <v>0</v>
      </c>
      <c r="N13" s="40"/>
    </row>
    <row r="14" spans="1:16">
      <c r="A14" s="46">
        <v>12</v>
      </c>
      <c r="B14" s="218">
        <v>46153</v>
      </c>
      <c r="C14" s="40"/>
      <c r="D14" s="40"/>
      <c r="E14" s="264"/>
      <c r="F14" s="290"/>
      <c r="G14" s="40">
        <f t="shared" si="0"/>
        <v>0</v>
      </c>
      <c r="H14" s="40"/>
      <c r="I14" s="40"/>
      <c r="J14" s="40">
        <f t="shared" si="1"/>
        <v>0</v>
      </c>
      <c r="K14" s="40">
        <f t="shared" si="2"/>
        <v>0</v>
      </c>
      <c r="L14" s="40">
        <v>0</v>
      </c>
      <c r="M14" s="40">
        <f t="shared" si="3"/>
        <v>0</v>
      </c>
      <c r="N14" s="40"/>
    </row>
    <row r="15" spans="1:16">
      <c r="A15" s="46">
        <v>13</v>
      </c>
      <c r="B15" s="218">
        <v>46154</v>
      </c>
      <c r="C15" s="40"/>
      <c r="D15" s="40"/>
      <c r="E15" s="264"/>
      <c r="F15" s="290"/>
      <c r="G15" s="40">
        <f t="shared" si="0"/>
        <v>0</v>
      </c>
      <c r="H15" s="40"/>
      <c r="I15" s="40"/>
      <c r="J15" s="40">
        <f t="shared" si="1"/>
        <v>0</v>
      </c>
      <c r="K15" s="40">
        <f t="shared" si="2"/>
        <v>0</v>
      </c>
      <c r="L15" s="40">
        <v>0</v>
      </c>
      <c r="M15" s="40">
        <f t="shared" si="3"/>
        <v>0</v>
      </c>
      <c r="N15" s="40"/>
    </row>
    <row r="16" spans="1:16">
      <c r="A16" s="46">
        <v>14</v>
      </c>
      <c r="B16" s="218">
        <v>46155</v>
      </c>
      <c r="C16" s="40"/>
      <c r="D16" s="40"/>
      <c r="E16" s="264"/>
      <c r="F16" s="290"/>
      <c r="G16" s="40">
        <f t="shared" si="0"/>
        <v>0</v>
      </c>
      <c r="H16" s="40"/>
      <c r="I16" s="40"/>
      <c r="J16" s="40">
        <f t="shared" si="1"/>
        <v>0</v>
      </c>
      <c r="K16" s="40">
        <f t="shared" si="2"/>
        <v>0</v>
      </c>
      <c r="L16" s="40">
        <v>0</v>
      </c>
      <c r="M16" s="40">
        <f t="shared" si="3"/>
        <v>0</v>
      </c>
      <c r="N16" s="40"/>
    </row>
    <row r="17" spans="1:14">
      <c r="A17" s="46">
        <v>15</v>
      </c>
      <c r="B17" s="218">
        <v>46156</v>
      </c>
      <c r="C17" s="40"/>
      <c r="D17" s="40"/>
      <c r="E17" s="264"/>
      <c r="F17" s="290"/>
      <c r="G17" s="40">
        <f t="shared" si="0"/>
        <v>0</v>
      </c>
      <c r="H17" s="40"/>
      <c r="I17" s="40"/>
      <c r="J17" s="40">
        <f t="shared" si="1"/>
        <v>0</v>
      </c>
      <c r="K17" s="40">
        <f t="shared" si="2"/>
        <v>0</v>
      </c>
      <c r="L17" s="40">
        <v>0</v>
      </c>
      <c r="M17" s="40">
        <f t="shared" si="3"/>
        <v>0</v>
      </c>
      <c r="N17" s="40"/>
    </row>
    <row r="18" spans="1:14">
      <c r="A18" s="46">
        <v>16</v>
      </c>
      <c r="B18" s="218">
        <v>46157</v>
      </c>
      <c r="C18" s="40"/>
      <c r="D18" s="40"/>
      <c r="E18" s="264"/>
      <c r="F18" s="290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>
        <v>0</v>
      </c>
      <c r="M18" s="40">
        <f t="shared" si="3"/>
        <v>0</v>
      </c>
      <c r="N18" s="40"/>
    </row>
    <row r="19" spans="1:14">
      <c r="A19" s="46">
        <v>17</v>
      </c>
      <c r="B19" s="218">
        <v>46158</v>
      </c>
      <c r="C19" s="40"/>
      <c r="D19" s="40"/>
      <c r="E19" s="264"/>
      <c r="F19" s="290"/>
      <c r="G19" s="40">
        <f t="shared" si="0"/>
        <v>0</v>
      </c>
      <c r="H19" s="40"/>
      <c r="I19" s="40"/>
      <c r="J19" s="40">
        <f t="shared" si="1"/>
        <v>0</v>
      </c>
      <c r="K19" s="40">
        <f t="shared" si="2"/>
        <v>0</v>
      </c>
      <c r="L19" s="40">
        <v>0</v>
      </c>
      <c r="M19" s="40">
        <f t="shared" si="3"/>
        <v>0</v>
      </c>
      <c r="N19" s="40"/>
    </row>
    <row r="20" spans="1:14">
      <c r="A20" s="46">
        <v>18</v>
      </c>
      <c r="B20" s="218">
        <v>46159</v>
      </c>
      <c r="C20" s="40"/>
      <c r="D20" s="40"/>
      <c r="E20" s="264"/>
      <c r="F20" s="290"/>
      <c r="G20" s="40">
        <f t="shared" si="0"/>
        <v>0</v>
      </c>
      <c r="H20" s="40"/>
      <c r="I20" s="40"/>
      <c r="J20" s="40">
        <f t="shared" si="1"/>
        <v>0</v>
      </c>
      <c r="K20" s="40">
        <f t="shared" si="2"/>
        <v>0</v>
      </c>
      <c r="L20" s="40">
        <v>0</v>
      </c>
      <c r="M20" s="40">
        <f t="shared" si="3"/>
        <v>0</v>
      </c>
      <c r="N20" s="40"/>
    </row>
    <row r="21" spans="1:14">
      <c r="A21" s="46">
        <v>19</v>
      </c>
      <c r="B21" s="218">
        <v>46160</v>
      </c>
      <c r="C21" s="40"/>
      <c r="D21" s="40"/>
      <c r="E21" s="264"/>
      <c r="F21" s="290"/>
      <c r="G21" s="40">
        <f t="shared" si="0"/>
        <v>0</v>
      </c>
      <c r="H21" s="40"/>
      <c r="I21" s="40"/>
      <c r="J21" s="40">
        <f t="shared" si="1"/>
        <v>0</v>
      </c>
      <c r="K21" s="40">
        <f t="shared" si="2"/>
        <v>0</v>
      </c>
      <c r="L21" s="40">
        <v>0</v>
      </c>
      <c r="M21" s="40">
        <f t="shared" si="3"/>
        <v>0</v>
      </c>
      <c r="N21" s="40"/>
    </row>
    <row r="22" spans="1:14">
      <c r="A22" s="46">
        <v>20</v>
      </c>
      <c r="B22" s="218">
        <v>46161</v>
      </c>
      <c r="C22" s="40"/>
      <c r="D22" s="40"/>
      <c r="E22" s="264"/>
      <c r="F22" s="290"/>
      <c r="G22" s="40">
        <f t="shared" si="0"/>
        <v>0</v>
      </c>
      <c r="H22" s="40"/>
      <c r="I22" s="40"/>
      <c r="J22" s="40">
        <f t="shared" si="1"/>
        <v>0</v>
      </c>
      <c r="K22" s="40">
        <f t="shared" si="2"/>
        <v>0</v>
      </c>
      <c r="L22" s="40">
        <v>0</v>
      </c>
      <c r="M22" s="40">
        <f t="shared" si="3"/>
        <v>0</v>
      </c>
      <c r="N22" s="40"/>
    </row>
    <row r="23" spans="1:14">
      <c r="A23" s="46">
        <v>21</v>
      </c>
      <c r="B23" s="218">
        <v>46162</v>
      </c>
      <c r="C23" s="40"/>
      <c r="D23" s="40"/>
      <c r="E23" s="264"/>
      <c r="F23" s="290"/>
      <c r="G23" s="40">
        <f t="shared" si="0"/>
        <v>0</v>
      </c>
      <c r="H23" s="40"/>
      <c r="I23" s="40"/>
      <c r="J23" s="40">
        <f t="shared" si="1"/>
        <v>0</v>
      </c>
      <c r="K23" s="40">
        <f t="shared" si="2"/>
        <v>0</v>
      </c>
      <c r="L23" s="40">
        <v>0</v>
      </c>
      <c r="M23" s="40">
        <f t="shared" si="3"/>
        <v>0</v>
      </c>
      <c r="N23" s="40"/>
    </row>
    <row r="24" spans="1:14">
      <c r="A24" s="46">
        <v>22</v>
      </c>
      <c r="B24" s="218">
        <v>46163</v>
      </c>
      <c r="C24" s="40"/>
      <c r="D24" s="40"/>
      <c r="E24" s="264"/>
      <c r="F24" s="290"/>
      <c r="G24" s="40">
        <f t="shared" si="0"/>
        <v>0</v>
      </c>
      <c r="H24" s="40"/>
      <c r="I24" s="40"/>
      <c r="J24" s="40">
        <f t="shared" si="1"/>
        <v>0</v>
      </c>
      <c r="K24" s="40">
        <f t="shared" si="2"/>
        <v>0</v>
      </c>
      <c r="L24" s="40">
        <v>0</v>
      </c>
      <c r="M24" s="40">
        <f t="shared" si="3"/>
        <v>0</v>
      </c>
      <c r="N24" s="40"/>
    </row>
    <row r="25" spans="1:14">
      <c r="A25" s="46">
        <v>23</v>
      </c>
      <c r="B25" s="218">
        <v>46164</v>
      </c>
      <c r="C25" s="40"/>
      <c r="D25" s="40"/>
      <c r="E25" s="264">
        <v>95.62</v>
      </c>
      <c r="F25" s="290">
        <v>95.61</v>
      </c>
      <c r="G25" s="40">
        <f t="shared" si="0"/>
        <v>9142.2281999999996</v>
      </c>
      <c r="H25" s="40">
        <v>5</v>
      </c>
      <c r="I25" s="40">
        <v>107.69</v>
      </c>
      <c r="J25" s="40">
        <f t="shared" si="1"/>
        <v>538.45000000000005</v>
      </c>
      <c r="K25" s="40">
        <f t="shared" si="2"/>
        <v>9680.6782000000003</v>
      </c>
      <c r="L25" s="40">
        <v>0</v>
      </c>
      <c r="M25" s="40">
        <f t="shared" si="3"/>
        <v>9680.6782000000003</v>
      </c>
      <c r="N25" s="40"/>
    </row>
    <row r="26" spans="1:14">
      <c r="A26" s="46">
        <v>24</v>
      </c>
      <c r="B26" s="218">
        <v>46165</v>
      </c>
      <c r="C26" s="40"/>
      <c r="D26" s="40"/>
      <c r="E26" s="264"/>
      <c r="F26" s="290"/>
      <c r="G26" s="40">
        <f t="shared" si="0"/>
        <v>0</v>
      </c>
      <c r="H26" s="40"/>
      <c r="I26" s="40"/>
      <c r="J26" s="40">
        <f t="shared" si="1"/>
        <v>0</v>
      </c>
      <c r="K26" s="40">
        <f t="shared" si="2"/>
        <v>0</v>
      </c>
      <c r="L26" s="40">
        <v>0</v>
      </c>
      <c r="M26" s="40">
        <f t="shared" si="3"/>
        <v>9680.6782000000003</v>
      </c>
      <c r="N26" s="40"/>
    </row>
    <row r="27" spans="1:14">
      <c r="A27" s="220">
        <v>25</v>
      </c>
      <c r="B27" s="218">
        <v>46166</v>
      </c>
      <c r="C27" s="40"/>
      <c r="D27" s="40"/>
      <c r="E27" s="264">
        <v>1077.6600000000001</v>
      </c>
      <c r="F27" s="290">
        <v>96.56</v>
      </c>
      <c r="G27" s="40">
        <f t="shared" si="0"/>
        <v>104058.84960000002</v>
      </c>
      <c r="H27" s="40"/>
      <c r="I27" s="40"/>
      <c r="J27" s="40">
        <f t="shared" si="1"/>
        <v>0</v>
      </c>
      <c r="K27" s="40">
        <f t="shared" si="2"/>
        <v>104058.84960000002</v>
      </c>
      <c r="L27" s="40">
        <v>0</v>
      </c>
      <c r="M27" s="40">
        <f t="shared" si="3"/>
        <v>113739.52780000001</v>
      </c>
      <c r="N27" s="40"/>
    </row>
    <row r="28" spans="1:14">
      <c r="A28" s="220">
        <v>26</v>
      </c>
      <c r="B28" s="218">
        <v>46167</v>
      </c>
      <c r="C28" s="40"/>
      <c r="D28" s="40"/>
      <c r="E28" s="264">
        <v>17.09</v>
      </c>
      <c r="F28" s="290">
        <v>99.37</v>
      </c>
      <c r="G28" s="40">
        <f t="shared" si="0"/>
        <v>1698.2333000000001</v>
      </c>
      <c r="H28" s="40">
        <v>35</v>
      </c>
      <c r="I28" s="40">
        <v>111.46</v>
      </c>
      <c r="J28" s="40">
        <f t="shared" si="1"/>
        <v>3901.1</v>
      </c>
      <c r="K28" s="40">
        <f t="shared" si="2"/>
        <v>5599.3333000000002</v>
      </c>
      <c r="L28" s="40">
        <v>0</v>
      </c>
      <c r="M28" s="40">
        <f t="shared" si="3"/>
        <v>119338.86110000001</v>
      </c>
      <c r="N28" s="40"/>
    </row>
    <row r="29" spans="1:14">
      <c r="A29" s="220">
        <v>27</v>
      </c>
      <c r="B29" s="218">
        <v>46168</v>
      </c>
      <c r="C29" s="40"/>
      <c r="D29" s="40"/>
      <c r="E29" s="264"/>
      <c r="F29" s="290"/>
      <c r="G29" s="40">
        <f t="shared" si="0"/>
        <v>0</v>
      </c>
      <c r="H29" s="40">
        <v>25</v>
      </c>
      <c r="I29" s="40">
        <v>111.46</v>
      </c>
      <c r="J29" s="40">
        <f t="shared" si="1"/>
        <v>2786.5</v>
      </c>
      <c r="K29" s="40">
        <f t="shared" si="2"/>
        <v>2786.5</v>
      </c>
      <c r="L29" s="40">
        <v>0</v>
      </c>
      <c r="M29" s="40">
        <f t="shared" si="3"/>
        <v>122125.36110000001</v>
      </c>
      <c r="N29" s="40"/>
    </row>
    <row r="30" spans="1:14">
      <c r="A30" s="220">
        <v>28</v>
      </c>
      <c r="B30" s="218">
        <v>46169</v>
      </c>
      <c r="C30" s="40"/>
      <c r="D30" s="40"/>
      <c r="E30" s="264">
        <v>352.73</v>
      </c>
      <c r="F30" s="290">
        <v>99.37</v>
      </c>
      <c r="G30" s="40">
        <f t="shared" si="0"/>
        <v>35050.780100000004</v>
      </c>
      <c r="H30" s="40">
        <v>37</v>
      </c>
      <c r="I30" s="40">
        <v>111.46</v>
      </c>
      <c r="J30" s="40">
        <f t="shared" si="1"/>
        <v>4124.0199999999995</v>
      </c>
      <c r="K30" s="40">
        <f t="shared" si="2"/>
        <v>39174.8001</v>
      </c>
      <c r="L30" s="40">
        <v>0</v>
      </c>
      <c r="M30" s="40">
        <f t="shared" si="3"/>
        <v>161300.1612</v>
      </c>
      <c r="N30" s="40"/>
    </row>
    <row r="31" spans="1:14">
      <c r="A31" s="221">
        <v>29</v>
      </c>
      <c r="B31" s="218">
        <v>46170</v>
      </c>
      <c r="C31" s="40"/>
      <c r="D31" s="40"/>
      <c r="E31" s="264">
        <v>1193.8900000000001</v>
      </c>
      <c r="F31" s="290">
        <v>99.37</v>
      </c>
      <c r="G31" s="40">
        <f t="shared" si="0"/>
        <v>118636.84930000002</v>
      </c>
      <c r="H31" s="40">
        <v>5</v>
      </c>
      <c r="I31" s="40">
        <v>111.46</v>
      </c>
      <c r="J31" s="40">
        <f t="shared" si="1"/>
        <v>557.29999999999995</v>
      </c>
      <c r="K31" s="40">
        <f t="shared" si="2"/>
        <v>119194.14930000002</v>
      </c>
      <c r="L31" s="40">
        <v>0</v>
      </c>
      <c r="M31" s="40">
        <f t="shared" si="3"/>
        <v>280494.31050000002</v>
      </c>
      <c r="N31" s="40"/>
    </row>
    <row r="32" spans="1:14">
      <c r="A32" s="221">
        <v>30</v>
      </c>
      <c r="B32" s="218">
        <v>46171</v>
      </c>
      <c r="C32" s="40"/>
      <c r="D32" s="40"/>
      <c r="E32" s="483">
        <v>37.57</v>
      </c>
      <c r="F32" s="487">
        <v>99.37</v>
      </c>
      <c r="G32" s="211">
        <f t="shared" si="0"/>
        <v>3733.3309000000004</v>
      </c>
      <c r="H32" s="211">
        <v>20</v>
      </c>
      <c r="I32" s="211">
        <v>111.46</v>
      </c>
      <c r="J32" s="211">
        <f t="shared" si="1"/>
        <v>2229.1999999999998</v>
      </c>
      <c r="K32" s="211">
        <f t="shared" si="2"/>
        <v>5962.5308999999997</v>
      </c>
      <c r="L32" s="211">
        <v>0</v>
      </c>
      <c r="M32" s="211">
        <f t="shared" si="3"/>
        <v>286456.84140000003</v>
      </c>
      <c r="N32" s="211"/>
    </row>
    <row r="33" spans="1:14">
      <c r="A33" s="221">
        <v>31</v>
      </c>
      <c r="B33" s="218">
        <v>46172</v>
      </c>
      <c r="C33" s="40"/>
      <c r="D33" s="485"/>
      <c r="E33" s="264">
        <v>940.11</v>
      </c>
      <c r="F33" s="487">
        <v>99.37</v>
      </c>
      <c r="G33" s="40">
        <f t="shared" si="0"/>
        <v>93418.7307</v>
      </c>
      <c r="H33" s="40">
        <v>10</v>
      </c>
      <c r="I33" s="211">
        <v>111.46</v>
      </c>
      <c r="J33" s="40">
        <f t="shared" si="1"/>
        <v>1114.5999999999999</v>
      </c>
      <c r="K33" s="40">
        <f t="shared" si="2"/>
        <v>94533.330700000006</v>
      </c>
      <c r="L33" s="40">
        <v>0</v>
      </c>
      <c r="M33" s="40">
        <f t="shared" si="3"/>
        <v>380990.17210000003</v>
      </c>
      <c r="N33" s="40"/>
    </row>
    <row r="34" spans="1:14">
      <c r="A34" s="45"/>
      <c r="B34" s="484">
        <v>46173</v>
      </c>
      <c r="C34" s="22"/>
      <c r="D34" s="22"/>
      <c r="E34" s="264">
        <v>22</v>
      </c>
      <c r="F34" s="290">
        <v>99.37</v>
      </c>
      <c r="G34" s="40">
        <f t="shared" ref="G34" si="4">E34*F34</f>
        <v>2186.1400000000003</v>
      </c>
      <c r="H34" s="40">
        <v>9</v>
      </c>
      <c r="I34" s="40">
        <v>111.46</v>
      </c>
      <c r="J34" s="40">
        <f t="shared" ref="J34" si="5">H34*I34</f>
        <v>1003.14</v>
      </c>
      <c r="K34" s="40">
        <f t="shared" ref="K34" si="6">G34+J34</f>
        <v>3189.28</v>
      </c>
      <c r="L34" s="40"/>
      <c r="M34" s="40">
        <f>M33+K34-L34</f>
        <v>384179.45210000005</v>
      </c>
      <c r="N34" s="40"/>
    </row>
    <row r="35" spans="1:14">
      <c r="A35" s="180"/>
      <c r="B35" s="180"/>
      <c r="C35" s="180"/>
      <c r="D35" s="486"/>
      <c r="E35" s="42">
        <f>SUM(E4:E34)</f>
        <v>3736.6700000000005</v>
      </c>
      <c r="F35" s="42"/>
      <c r="G35" s="42">
        <f>SUM(G4:G34)</f>
        <v>367925.14210000006</v>
      </c>
      <c r="H35" s="42">
        <f>SUM(H4:H34)</f>
        <v>146</v>
      </c>
      <c r="I35" s="42"/>
      <c r="J35" s="42">
        <f>SUM(J4:J34)</f>
        <v>16254.31</v>
      </c>
      <c r="K35" s="42">
        <f>SUM(K4:K34)</f>
        <v>384179.45210000005</v>
      </c>
      <c r="L35" s="42">
        <f>SUM(L4:L33)</f>
        <v>0</v>
      </c>
      <c r="M35" s="42"/>
      <c r="N35" s="42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7"/>
  <sheetViews>
    <sheetView topLeftCell="A13" workbookViewId="0">
      <selection activeCell="L33" sqref="L33"/>
    </sheetView>
  </sheetViews>
  <sheetFormatPr defaultRowHeight="15"/>
  <cols>
    <col min="2" max="2" width="10.5703125" bestFit="1" customWidth="1"/>
    <col min="11" max="11" width="13.5703125" bestFit="1" customWidth="1"/>
    <col min="12" max="12" width="12.42578125" bestFit="1" customWidth="1"/>
  </cols>
  <sheetData>
    <row r="1" spans="1:14" ht="15.75">
      <c r="A1" s="591" t="s">
        <v>357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</row>
    <row r="2" spans="1:14" ht="45">
      <c r="A2" s="123" t="s">
        <v>0</v>
      </c>
      <c r="B2" s="212" t="s">
        <v>166</v>
      </c>
      <c r="C2" s="212" t="s">
        <v>167</v>
      </c>
      <c r="D2" s="212" t="s">
        <v>198</v>
      </c>
      <c r="E2" s="212" t="s">
        <v>169</v>
      </c>
      <c r="F2" s="212" t="s">
        <v>170</v>
      </c>
      <c r="G2" s="212" t="s">
        <v>171</v>
      </c>
      <c r="H2" s="212" t="s">
        <v>172</v>
      </c>
      <c r="I2" s="212" t="s">
        <v>170</v>
      </c>
      <c r="J2" s="212" t="s">
        <v>171</v>
      </c>
      <c r="K2" s="174" t="s">
        <v>173</v>
      </c>
      <c r="L2" s="174" t="s">
        <v>174</v>
      </c>
      <c r="M2" s="174" t="s">
        <v>199</v>
      </c>
      <c r="N2" s="212" t="s">
        <v>176</v>
      </c>
    </row>
    <row r="3" spans="1:14">
      <c r="A3" s="592" t="s">
        <v>177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2"/>
      <c r="M3" s="592">
        <v>0</v>
      </c>
      <c r="N3" s="592"/>
    </row>
    <row r="4" spans="1:14">
      <c r="A4" s="195">
        <v>1</v>
      </c>
      <c r="B4" s="218">
        <v>46143</v>
      </c>
      <c r="C4" s="40"/>
      <c r="D4" s="40"/>
      <c r="E4" s="40"/>
      <c r="F4" s="40"/>
      <c r="G4" s="40">
        <f>E4*F4</f>
        <v>0</v>
      </c>
      <c r="H4" s="40"/>
      <c r="I4" s="40"/>
      <c r="J4" s="40">
        <f>H4*I4</f>
        <v>0</v>
      </c>
      <c r="K4" s="40">
        <f>G4+J4</f>
        <v>0</v>
      </c>
      <c r="L4" s="40">
        <f>+K4</f>
        <v>0</v>
      </c>
      <c r="M4" s="40">
        <f>M3+K4-L4</f>
        <v>0</v>
      </c>
      <c r="N4" s="40"/>
    </row>
    <row r="5" spans="1:14">
      <c r="A5" s="46">
        <v>2</v>
      </c>
      <c r="B5" s="218">
        <v>46144</v>
      </c>
      <c r="C5" s="40"/>
      <c r="D5" s="40"/>
      <c r="E5" s="40"/>
      <c r="F5" s="40"/>
      <c r="G5" s="40">
        <f t="shared" ref="G5:G34" si="0">E5*F5</f>
        <v>0</v>
      </c>
      <c r="H5" s="40"/>
      <c r="I5" s="40"/>
      <c r="J5" s="40">
        <f t="shared" ref="J5:J34" si="1">H5*I5</f>
        <v>0</v>
      </c>
      <c r="K5" s="40">
        <f t="shared" ref="K5:K34" si="2">G5+J5</f>
        <v>0</v>
      </c>
      <c r="L5" s="40">
        <f t="shared" ref="L5:L32" si="3">+K5</f>
        <v>0</v>
      </c>
      <c r="M5" s="40">
        <f t="shared" ref="M5:M34" si="4">M4+K5-L5</f>
        <v>0</v>
      </c>
      <c r="N5" s="40"/>
    </row>
    <row r="6" spans="1:14">
      <c r="A6" s="46">
        <v>3</v>
      </c>
      <c r="B6" s="218">
        <v>46145</v>
      </c>
      <c r="C6" s="40"/>
      <c r="D6" s="40"/>
      <c r="E6" s="40"/>
      <c r="F6" s="40"/>
      <c r="G6" s="40">
        <f t="shared" si="0"/>
        <v>0</v>
      </c>
      <c r="H6" s="40"/>
      <c r="I6" s="40"/>
      <c r="J6" s="40">
        <f t="shared" si="1"/>
        <v>0</v>
      </c>
      <c r="K6" s="40">
        <f t="shared" si="2"/>
        <v>0</v>
      </c>
      <c r="L6" s="40">
        <f t="shared" si="3"/>
        <v>0</v>
      </c>
      <c r="M6" s="40">
        <f t="shared" si="4"/>
        <v>0</v>
      </c>
      <c r="N6" s="40"/>
    </row>
    <row r="7" spans="1:14">
      <c r="A7" s="46">
        <v>4</v>
      </c>
      <c r="B7" s="218">
        <v>46146</v>
      </c>
      <c r="C7" s="40"/>
      <c r="D7" s="40"/>
      <c r="E7" s="40"/>
      <c r="F7" s="40"/>
      <c r="G7" s="40">
        <f t="shared" si="0"/>
        <v>0</v>
      </c>
      <c r="H7" s="40"/>
      <c r="I7" s="40"/>
      <c r="J7" s="40">
        <f t="shared" si="1"/>
        <v>0</v>
      </c>
      <c r="K7" s="40">
        <f t="shared" si="2"/>
        <v>0</v>
      </c>
      <c r="L7" s="40">
        <f t="shared" si="3"/>
        <v>0</v>
      </c>
      <c r="M7" s="40">
        <f t="shared" si="4"/>
        <v>0</v>
      </c>
      <c r="N7" s="40"/>
    </row>
    <row r="8" spans="1:14">
      <c r="A8" s="46">
        <v>5</v>
      </c>
      <c r="B8" s="218">
        <v>46147</v>
      </c>
      <c r="C8" s="40"/>
      <c r="D8" s="40"/>
      <c r="E8" s="40">
        <v>80</v>
      </c>
      <c r="F8" s="40">
        <v>91.3</v>
      </c>
      <c r="G8" s="40">
        <f t="shared" si="0"/>
        <v>7304</v>
      </c>
      <c r="H8" s="40"/>
      <c r="I8" s="40"/>
      <c r="J8" s="40">
        <f t="shared" si="1"/>
        <v>0</v>
      </c>
      <c r="K8" s="40">
        <f t="shared" si="2"/>
        <v>7304</v>
      </c>
      <c r="L8" s="40">
        <f t="shared" si="3"/>
        <v>7304</v>
      </c>
      <c r="M8" s="40">
        <f t="shared" si="4"/>
        <v>0</v>
      </c>
      <c r="N8" s="40"/>
    </row>
    <row r="9" spans="1:14">
      <c r="A9" s="46">
        <v>6</v>
      </c>
      <c r="B9" s="218">
        <v>46148</v>
      </c>
      <c r="C9" s="40"/>
      <c r="D9" s="40"/>
      <c r="E9" s="40"/>
      <c r="F9" s="40"/>
      <c r="G9" s="40">
        <f t="shared" si="0"/>
        <v>0</v>
      </c>
      <c r="H9" s="40">
        <v>6</v>
      </c>
      <c r="I9" s="40">
        <v>103.22</v>
      </c>
      <c r="J9" s="40">
        <f t="shared" si="1"/>
        <v>619.31999999999994</v>
      </c>
      <c r="K9" s="40">
        <f t="shared" si="2"/>
        <v>619.31999999999994</v>
      </c>
      <c r="L9" s="40">
        <f t="shared" si="3"/>
        <v>619.31999999999994</v>
      </c>
      <c r="M9" s="40">
        <f t="shared" si="4"/>
        <v>0</v>
      </c>
      <c r="N9" s="40"/>
    </row>
    <row r="10" spans="1:14">
      <c r="A10" s="46">
        <v>7</v>
      </c>
      <c r="B10" s="218">
        <v>46149</v>
      </c>
      <c r="C10" s="40"/>
      <c r="D10" s="40"/>
      <c r="E10" s="40">
        <v>30</v>
      </c>
      <c r="F10" s="40">
        <v>91.3</v>
      </c>
      <c r="G10" s="40">
        <f t="shared" si="0"/>
        <v>2739</v>
      </c>
      <c r="H10" s="40"/>
      <c r="I10" s="40"/>
      <c r="J10" s="40">
        <f t="shared" si="1"/>
        <v>0</v>
      </c>
      <c r="K10" s="40">
        <f t="shared" si="2"/>
        <v>2739</v>
      </c>
      <c r="L10" s="40">
        <f t="shared" si="3"/>
        <v>2739</v>
      </c>
      <c r="M10" s="40">
        <f t="shared" si="4"/>
        <v>0</v>
      </c>
      <c r="N10" s="40"/>
    </row>
    <row r="11" spans="1:14">
      <c r="A11" s="46">
        <v>8</v>
      </c>
      <c r="B11" s="218">
        <v>46150</v>
      </c>
      <c r="C11" s="40"/>
      <c r="D11" s="40"/>
      <c r="E11" s="40"/>
      <c r="F11" s="40"/>
      <c r="G11" s="40">
        <f t="shared" si="0"/>
        <v>0</v>
      </c>
      <c r="H11" s="40">
        <v>5</v>
      </c>
      <c r="I11" s="40">
        <v>103.23</v>
      </c>
      <c r="J11" s="40">
        <f t="shared" si="1"/>
        <v>516.15</v>
      </c>
      <c r="K11" s="40">
        <f t="shared" si="2"/>
        <v>516.15</v>
      </c>
      <c r="L11" s="40">
        <f t="shared" si="3"/>
        <v>516.15</v>
      </c>
      <c r="M11" s="40">
        <f t="shared" si="4"/>
        <v>0</v>
      </c>
      <c r="N11" s="40"/>
    </row>
    <row r="12" spans="1:14">
      <c r="A12" s="46">
        <v>9</v>
      </c>
      <c r="B12" s="218">
        <v>46151</v>
      </c>
      <c r="C12" s="40"/>
      <c r="D12" s="40"/>
      <c r="E12" s="40"/>
      <c r="F12" s="40"/>
      <c r="G12" s="40">
        <f t="shared" si="0"/>
        <v>0</v>
      </c>
      <c r="H12" s="40"/>
      <c r="I12" s="40"/>
      <c r="J12" s="40">
        <f t="shared" si="1"/>
        <v>0</v>
      </c>
      <c r="K12" s="40">
        <f t="shared" si="2"/>
        <v>0</v>
      </c>
      <c r="L12" s="40">
        <f t="shared" si="3"/>
        <v>0</v>
      </c>
      <c r="M12" s="40">
        <f t="shared" si="4"/>
        <v>0</v>
      </c>
      <c r="N12" s="40"/>
    </row>
    <row r="13" spans="1:14">
      <c r="A13" s="46">
        <v>10</v>
      </c>
      <c r="B13" s="218">
        <v>46152</v>
      </c>
      <c r="C13" s="40"/>
      <c r="D13" s="40"/>
      <c r="E13" s="40"/>
      <c r="F13" s="40"/>
      <c r="G13" s="40">
        <f t="shared" si="0"/>
        <v>0</v>
      </c>
      <c r="H13" s="40"/>
      <c r="I13" s="40"/>
      <c r="J13" s="40">
        <f t="shared" si="1"/>
        <v>0</v>
      </c>
      <c r="K13" s="40">
        <f t="shared" si="2"/>
        <v>0</v>
      </c>
      <c r="L13" s="40">
        <f t="shared" si="3"/>
        <v>0</v>
      </c>
      <c r="M13" s="40">
        <f t="shared" si="4"/>
        <v>0</v>
      </c>
      <c r="N13" s="40"/>
    </row>
    <row r="14" spans="1:14">
      <c r="A14" s="46">
        <v>11</v>
      </c>
      <c r="B14" s="218">
        <v>46153</v>
      </c>
      <c r="C14" s="40"/>
      <c r="D14" s="40"/>
      <c r="E14" s="40">
        <v>30</v>
      </c>
      <c r="F14" s="40">
        <v>91.3</v>
      </c>
      <c r="G14" s="40">
        <f t="shared" si="0"/>
        <v>2739</v>
      </c>
      <c r="H14" s="40"/>
      <c r="I14" s="40"/>
      <c r="J14" s="40">
        <f t="shared" si="1"/>
        <v>0</v>
      </c>
      <c r="K14" s="40">
        <f t="shared" si="2"/>
        <v>2739</v>
      </c>
      <c r="L14" s="40">
        <f t="shared" si="3"/>
        <v>2739</v>
      </c>
      <c r="M14" s="40">
        <f t="shared" si="4"/>
        <v>0</v>
      </c>
      <c r="N14" s="40"/>
    </row>
    <row r="15" spans="1:14">
      <c r="A15" s="46">
        <v>12</v>
      </c>
      <c r="B15" s="218">
        <v>46154</v>
      </c>
      <c r="C15" s="40"/>
      <c r="D15" s="40"/>
      <c r="E15" s="40">
        <v>30</v>
      </c>
      <c r="F15" s="40">
        <v>91.3</v>
      </c>
      <c r="G15" s="40">
        <f t="shared" si="0"/>
        <v>2739</v>
      </c>
      <c r="H15" s="40"/>
      <c r="I15" s="40"/>
      <c r="J15" s="40">
        <f t="shared" si="1"/>
        <v>0</v>
      </c>
      <c r="K15" s="40">
        <f t="shared" si="2"/>
        <v>2739</v>
      </c>
      <c r="L15" s="40">
        <f t="shared" si="3"/>
        <v>2739</v>
      </c>
      <c r="M15" s="40">
        <f t="shared" si="4"/>
        <v>0</v>
      </c>
      <c r="N15" s="40"/>
    </row>
    <row r="16" spans="1:14">
      <c r="A16" s="46">
        <v>13</v>
      </c>
      <c r="B16" s="218">
        <v>46155</v>
      </c>
      <c r="C16" s="40"/>
      <c r="D16" s="40"/>
      <c r="E16" s="40">
        <v>50</v>
      </c>
      <c r="F16" s="40">
        <v>91.3</v>
      </c>
      <c r="G16" s="40">
        <f t="shared" si="0"/>
        <v>4565</v>
      </c>
      <c r="H16" s="40">
        <v>16</v>
      </c>
      <c r="I16" s="40">
        <v>103.23</v>
      </c>
      <c r="J16" s="40">
        <f t="shared" si="1"/>
        <v>1651.68</v>
      </c>
      <c r="K16" s="40">
        <f t="shared" si="2"/>
        <v>6216.68</v>
      </c>
      <c r="L16" s="40">
        <f t="shared" si="3"/>
        <v>6216.68</v>
      </c>
      <c r="M16" s="40">
        <f t="shared" si="4"/>
        <v>0</v>
      </c>
      <c r="N16" s="40"/>
    </row>
    <row r="17" spans="1:14">
      <c r="A17" s="46">
        <v>14</v>
      </c>
      <c r="B17" s="218">
        <v>46156</v>
      </c>
      <c r="C17" s="40"/>
      <c r="D17" s="40"/>
      <c r="E17" s="40">
        <v>30</v>
      </c>
      <c r="F17" s="40">
        <v>91.3</v>
      </c>
      <c r="G17" s="40">
        <f t="shared" si="0"/>
        <v>2739</v>
      </c>
      <c r="H17" s="40"/>
      <c r="I17" s="40"/>
      <c r="J17" s="40">
        <f t="shared" si="1"/>
        <v>0</v>
      </c>
      <c r="K17" s="40">
        <f t="shared" si="2"/>
        <v>2739</v>
      </c>
      <c r="L17" s="40">
        <f t="shared" si="3"/>
        <v>2739</v>
      </c>
      <c r="M17" s="40">
        <f t="shared" si="4"/>
        <v>0</v>
      </c>
      <c r="N17" s="40"/>
    </row>
    <row r="18" spans="1:14">
      <c r="A18" s="46">
        <v>15</v>
      </c>
      <c r="B18" s="218">
        <v>46157</v>
      </c>
      <c r="C18" s="40"/>
      <c r="D18" s="40"/>
      <c r="E18" s="40"/>
      <c r="F18" s="40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>
        <f t="shared" si="3"/>
        <v>0</v>
      </c>
      <c r="M18" s="40">
        <f t="shared" si="4"/>
        <v>0</v>
      </c>
      <c r="N18" s="40"/>
    </row>
    <row r="19" spans="1:14">
      <c r="A19" s="46">
        <v>16</v>
      </c>
      <c r="B19" s="218">
        <v>46158</v>
      </c>
      <c r="C19" s="40"/>
      <c r="D19" s="40"/>
      <c r="E19" s="40">
        <v>30</v>
      </c>
      <c r="F19" s="40">
        <v>94.42</v>
      </c>
      <c r="G19" s="40">
        <f t="shared" si="0"/>
        <v>2832.6</v>
      </c>
      <c r="H19" s="40"/>
      <c r="I19" s="40"/>
      <c r="J19" s="40">
        <f t="shared" si="1"/>
        <v>0</v>
      </c>
      <c r="K19" s="40">
        <f t="shared" si="2"/>
        <v>2832.6</v>
      </c>
      <c r="L19" s="40">
        <f t="shared" si="3"/>
        <v>2832.6</v>
      </c>
      <c r="M19" s="40">
        <f t="shared" si="4"/>
        <v>0</v>
      </c>
      <c r="N19" s="40"/>
    </row>
    <row r="20" spans="1:14">
      <c r="A20" s="46">
        <v>17</v>
      </c>
      <c r="B20" s="218">
        <v>46159</v>
      </c>
      <c r="C20" s="40"/>
      <c r="D20" s="40"/>
      <c r="E20" s="40"/>
      <c r="F20" s="40"/>
      <c r="G20" s="40">
        <f t="shared" si="0"/>
        <v>0</v>
      </c>
      <c r="H20" s="40"/>
      <c r="I20" s="40"/>
      <c r="J20" s="40">
        <f t="shared" si="1"/>
        <v>0</v>
      </c>
      <c r="K20" s="40">
        <f t="shared" si="2"/>
        <v>0</v>
      </c>
      <c r="L20" s="40">
        <f t="shared" si="3"/>
        <v>0</v>
      </c>
      <c r="M20" s="40">
        <f t="shared" si="4"/>
        <v>0</v>
      </c>
      <c r="N20" s="40"/>
    </row>
    <row r="21" spans="1:14">
      <c r="A21" s="46">
        <v>18</v>
      </c>
      <c r="B21" s="218">
        <v>46160</v>
      </c>
      <c r="C21" s="40"/>
      <c r="D21" s="40"/>
      <c r="E21" s="40">
        <v>29.36</v>
      </c>
      <c r="F21" s="40">
        <v>94.42</v>
      </c>
      <c r="G21" s="40">
        <f t="shared" si="0"/>
        <v>2772.1711999999998</v>
      </c>
      <c r="H21" s="40"/>
      <c r="I21" s="40"/>
      <c r="J21" s="40">
        <f t="shared" si="1"/>
        <v>0</v>
      </c>
      <c r="K21" s="40">
        <f t="shared" si="2"/>
        <v>2772.1711999999998</v>
      </c>
      <c r="L21" s="40">
        <f t="shared" si="3"/>
        <v>2772.1711999999998</v>
      </c>
      <c r="M21" s="40">
        <f t="shared" si="4"/>
        <v>0</v>
      </c>
      <c r="N21" s="40"/>
    </row>
    <row r="22" spans="1:14">
      <c r="A22" s="46">
        <v>19</v>
      </c>
      <c r="B22" s="218">
        <v>46161</v>
      </c>
      <c r="C22" s="40"/>
      <c r="D22" s="40"/>
      <c r="E22" s="40"/>
      <c r="F22" s="40"/>
      <c r="G22" s="40">
        <f t="shared" si="0"/>
        <v>0</v>
      </c>
      <c r="H22" s="40"/>
      <c r="I22" s="40"/>
      <c r="J22" s="40">
        <f t="shared" si="1"/>
        <v>0</v>
      </c>
      <c r="K22" s="40">
        <f t="shared" si="2"/>
        <v>0</v>
      </c>
      <c r="L22" s="40">
        <f t="shared" si="3"/>
        <v>0</v>
      </c>
      <c r="M22" s="40">
        <f t="shared" si="4"/>
        <v>0</v>
      </c>
      <c r="N22" s="40"/>
    </row>
    <row r="23" spans="1:14">
      <c r="A23" s="46">
        <v>20</v>
      </c>
      <c r="B23" s="218">
        <v>46162</v>
      </c>
      <c r="C23" s="40"/>
      <c r="D23" s="40"/>
      <c r="E23" s="40">
        <v>56</v>
      </c>
      <c r="F23" s="40">
        <v>95.36</v>
      </c>
      <c r="G23" s="40">
        <f t="shared" si="0"/>
        <v>5340.16</v>
      </c>
      <c r="H23" s="40"/>
      <c r="I23" s="40"/>
      <c r="J23" s="40">
        <f t="shared" si="1"/>
        <v>0</v>
      </c>
      <c r="K23" s="40">
        <f t="shared" si="2"/>
        <v>5340.16</v>
      </c>
      <c r="L23" s="40">
        <f t="shared" si="3"/>
        <v>5340.16</v>
      </c>
      <c r="M23" s="40">
        <f t="shared" si="4"/>
        <v>0</v>
      </c>
      <c r="N23" s="40"/>
    </row>
    <row r="24" spans="1:14">
      <c r="A24" s="46">
        <v>21</v>
      </c>
      <c r="B24" s="218">
        <v>46163</v>
      </c>
      <c r="C24" s="40"/>
      <c r="D24" s="40"/>
      <c r="E24" s="40"/>
      <c r="F24" s="40"/>
      <c r="G24" s="40">
        <f t="shared" si="0"/>
        <v>0</v>
      </c>
      <c r="H24" s="40"/>
      <c r="I24" s="40"/>
      <c r="J24" s="40">
        <f t="shared" si="1"/>
        <v>0</v>
      </c>
      <c r="K24" s="40">
        <f t="shared" si="2"/>
        <v>0</v>
      </c>
      <c r="L24" s="40">
        <f t="shared" si="3"/>
        <v>0</v>
      </c>
      <c r="M24" s="40">
        <f t="shared" si="4"/>
        <v>0</v>
      </c>
      <c r="N24" s="40"/>
    </row>
    <row r="25" spans="1:14">
      <c r="A25" s="46">
        <v>22</v>
      </c>
      <c r="B25" s="218">
        <v>46164</v>
      </c>
      <c r="C25" s="40"/>
      <c r="D25" s="40"/>
      <c r="E25" s="40"/>
      <c r="F25" s="40"/>
      <c r="G25" s="40">
        <f t="shared" si="0"/>
        <v>0</v>
      </c>
      <c r="H25" s="40">
        <v>6</v>
      </c>
      <c r="I25" s="40">
        <v>107.43</v>
      </c>
      <c r="J25" s="40">
        <f t="shared" si="1"/>
        <v>644.58000000000004</v>
      </c>
      <c r="K25" s="40">
        <f t="shared" si="2"/>
        <v>644.58000000000004</v>
      </c>
      <c r="L25" s="40">
        <f t="shared" si="3"/>
        <v>644.58000000000004</v>
      </c>
      <c r="M25" s="40">
        <f t="shared" si="4"/>
        <v>0</v>
      </c>
      <c r="N25" s="40"/>
    </row>
    <row r="26" spans="1:14">
      <c r="A26" s="46">
        <v>23</v>
      </c>
      <c r="B26" s="218">
        <v>46165</v>
      </c>
      <c r="C26" s="40"/>
      <c r="D26" s="40"/>
      <c r="E26" s="40">
        <v>30</v>
      </c>
      <c r="F26" s="40">
        <v>96.31</v>
      </c>
      <c r="G26" s="40">
        <f t="shared" si="0"/>
        <v>2889.3</v>
      </c>
      <c r="H26" s="40"/>
      <c r="I26" s="40"/>
      <c r="J26" s="40">
        <f t="shared" si="1"/>
        <v>0</v>
      </c>
      <c r="K26" s="40">
        <f t="shared" si="2"/>
        <v>2889.3</v>
      </c>
      <c r="L26" s="40">
        <f t="shared" si="3"/>
        <v>2889.3</v>
      </c>
      <c r="M26" s="40">
        <f t="shared" si="4"/>
        <v>0</v>
      </c>
      <c r="N26" s="40"/>
    </row>
    <row r="27" spans="1:14">
      <c r="A27" s="46">
        <v>24</v>
      </c>
      <c r="B27" s="218">
        <v>46166</v>
      </c>
      <c r="C27" s="40"/>
      <c r="D27" s="40"/>
      <c r="E27" s="40"/>
      <c r="F27" s="40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>
        <f t="shared" si="3"/>
        <v>0</v>
      </c>
      <c r="M27" s="40">
        <f t="shared" si="4"/>
        <v>0</v>
      </c>
      <c r="N27" s="40"/>
    </row>
    <row r="28" spans="1:14">
      <c r="A28" s="220">
        <v>25</v>
      </c>
      <c r="B28" s="218">
        <v>46167</v>
      </c>
      <c r="C28" s="40"/>
      <c r="D28" s="40"/>
      <c r="E28" s="40"/>
      <c r="F28" s="40"/>
      <c r="G28" s="40">
        <f t="shared" si="0"/>
        <v>0</v>
      </c>
      <c r="H28" s="40"/>
      <c r="I28" s="40"/>
      <c r="J28" s="40">
        <f t="shared" si="1"/>
        <v>0</v>
      </c>
      <c r="K28" s="40">
        <f t="shared" si="2"/>
        <v>0</v>
      </c>
      <c r="L28" s="40">
        <f t="shared" si="3"/>
        <v>0</v>
      </c>
      <c r="M28" s="40">
        <f t="shared" si="4"/>
        <v>0</v>
      </c>
      <c r="N28" s="40"/>
    </row>
    <row r="29" spans="1:14">
      <c r="A29" s="220">
        <v>26</v>
      </c>
      <c r="B29" s="218">
        <v>46168</v>
      </c>
      <c r="C29" s="40"/>
      <c r="D29" s="40"/>
      <c r="E29" s="40">
        <v>55</v>
      </c>
      <c r="F29" s="40">
        <v>99.12</v>
      </c>
      <c r="G29" s="40">
        <f t="shared" si="0"/>
        <v>5451.6</v>
      </c>
      <c r="H29" s="40">
        <v>3</v>
      </c>
      <c r="I29" s="40">
        <v>111.2</v>
      </c>
      <c r="J29" s="40">
        <f t="shared" si="1"/>
        <v>333.6</v>
      </c>
      <c r="K29" s="40">
        <f t="shared" si="2"/>
        <v>5785.2000000000007</v>
      </c>
      <c r="L29" s="40">
        <f t="shared" si="3"/>
        <v>5785.2000000000007</v>
      </c>
      <c r="M29" s="40">
        <f t="shared" si="4"/>
        <v>0</v>
      </c>
      <c r="N29" s="40"/>
    </row>
    <row r="30" spans="1:14">
      <c r="A30" s="220">
        <v>27</v>
      </c>
      <c r="B30" s="218">
        <v>46169</v>
      </c>
      <c r="C30" s="40"/>
      <c r="D30" s="40"/>
      <c r="E30" s="40"/>
      <c r="F30" s="40"/>
      <c r="G30" s="40">
        <f t="shared" si="0"/>
        <v>0</v>
      </c>
      <c r="H30" s="40"/>
      <c r="I30" s="40"/>
      <c r="J30" s="40">
        <f t="shared" si="1"/>
        <v>0</v>
      </c>
      <c r="K30" s="40">
        <f t="shared" si="2"/>
        <v>0</v>
      </c>
      <c r="L30" s="40">
        <f t="shared" si="3"/>
        <v>0</v>
      </c>
      <c r="M30" s="40">
        <f t="shared" si="4"/>
        <v>0</v>
      </c>
      <c r="N30" s="40"/>
    </row>
    <row r="31" spans="1:14">
      <c r="A31" s="220">
        <v>28</v>
      </c>
      <c r="B31" s="218">
        <v>46170</v>
      </c>
      <c r="C31" s="40"/>
      <c r="D31" s="40"/>
      <c r="E31" s="40"/>
      <c r="F31" s="40"/>
      <c r="G31" s="40">
        <f t="shared" si="0"/>
        <v>0</v>
      </c>
      <c r="H31" s="40"/>
      <c r="I31" s="40"/>
      <c r="J31" s="40">
        <f t="shared" si="1"/>
        <v>0</v>
      </c>
      <c r="K31" s="40">
        <f t="shared" si="2"/>
        <v>0</v>
      </c>
      <c r="L31" s="40">
        <f t="shared" si="3"/>
        <v>0</v>
      </c>
      <c r="M31" s="40">
        <f t="shared" si="4"/>
        <v>0</v>
      </c>
      <c r="N31" s="40"/>
    </row>
    <row r="32" spans="1:14">
      <c r="A32" s="221">
        <v>29</v>
      </c>
      <c r="B32" s="218">
        <v>46171</v>
      </c>
      <c r="C32" s="40"/>
      <c r="D32" s="40"/>
      <c r="E32" s="40"/>
      <c r="F32" s="40"/>
      <c r="G32" s="40">
        <f t="shared" si="0"/>
        <v>0</v>
      </c>
      <c r="H32" s="40"/>
      <c r="I32" s="40"/>
      <c r="J32" s="40">
        <f t="shared" si="1"/>
        <v>0</v>
      </c>
      <c r="K32" s="40">
        <f t="shared" si="2"/>
        <v>0</v>
      </c>
      <c r="L32" s="40">
        <f t="shared" si="3"/>
        <v>0</v>
      </c>
      <c r="M32" s="40">
        <f t="shared" si="4"/>
        <v>0</v>
      </c>
      <c r="N32" s="40"/>
    </row>
    <row r="33" spans="1:14">
      <c r="A33" s="221">
        <v>30</v>
      </c>
      <c r="B33" s="218">
        <v>46172</v>
      </c>
      <c r="C33" s="40"/>
      <c r="D33" s="40"/>
      <c r="E33" s="40"/>
      <c r="F33" s="40"/>
      <c r="G33" s="40">
        <f t="shared" si="0"/>
        <v>0</v>
      </c>
      <c r="H33" s="40">
        <v>2</v>
      </c>
      <c r="I33" s="40">
        <v>111.2</v>
      </c>
      <c r="J33" s="40">
        <f t="shared" si="1"/>
        <v>222.4</v>
      </c>
      <c r="K33" s="40">
        <f t="shared" si="2"/>
        <v>222.4</v>
      </c>
      <c r="L33" s="40">
        <f t="shared" ref="L33:L34" si="5">+K33</f>
        <v>222.4</v>
      </c>
      <c r="M33" s="40">
        <f t="shared" si="4"/>
        <v>0</v>
      </c>
      <c r="N33" s="40"/>
    </row>
    <row r="34" spans="1:14">
      <c r="A34" s="221">
        <v>31</v>
      </c>
      <c r="B34" s="218"/>
      <c r="C34" s="40"/>
      <c r="D34" s="40"/>
      <c r="E34" s="40"/>
      <c r="F34" s="40"/>
      <c r="G34" s="40">
        <f t="shared" si="0"/>
        <v>0</v>
      </c>
      <c r="H34" s="40"/>
      <c r="I34" s="40"/>
      <c r="J34" s="40">
        <f t="shared" si="1"/>
        <v>0</v>
      </c>
      <c r="K34" s="40">
        <f t="shared" si="2"/>
        <v>0</v>
      </c>
      <c r="L34" s="40">
        <f t="shared" si="5"/>
        <v>0</v>
      </c>
      <c r="M34" s="40">
        <f t="shared" si="4"/>
        <v>0</v>
      </c>
      <c r="N34" s="40"/>
    </row>
    <row r="35" spans="1:14">
      <c r="A35" s="180"/>
      <c r="B35" s="180"/>
      <c r="C35" s="180"/>
      <c r="D35" s="180"/>
      <c r="E35" s="180">
        <f>SUM(E4:E34)</f>
        <v>450.36</v>
      </c>
      <c r="F35" s="180"/>
      <c r="G35" s="180">
        <f>SUM(G4:G34)</f>
        <v>42110.831200000001</v>
      </c>
      <c r="H35" s="180">
        <f>SUM(H4:H34)</f>
        <v>38</v>
      </c>
      <c r="I35" s="180"/>
      <c r="J35" s="180">
        <f>SUM(J4:J34)</f>
        <v>3987.7299999999996</v>
      </c>
      <c r="K35" s="180">
        <f>SUM(K4:K34)</f>
        <v>46098.561200000004</v>
      </c>
      <c r="L35" s="180">
        <f>SUM(L4:L34)</f>
        <v>46098.561200000004</v>
      </c>
      <c r="M35" s="180"/>
      <c r="N35" s="180"/>
    </row>
    <row r="37" spans="1:14">
      <c r="E37">
        <v>295</v>
      </c>
      <c r="H37">
        <v>41.17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P47"/>
  <sheetViews>
    <sheetView workbookViewId="0">
      <pane ySplit="2" topLeftCell="A11" activePane="bottomLeft" state="frozen"/>
      <selection pane="bottomLeft" activeCell="E18" sqref="E18"/>
    </sheetView>
  </sheetViews>
  <sheetFormatPr defaultRowHeight="15"/>
  <cols>
    <col min="1" max="1" width="9.140625" style="5"/>
    <col min="2" max="2" width="11.710937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01" bestFit="1" customWidth="1"/>
    <col min="8" max="8" width="11.140625" style="5" customWidth="1"/>
    <col min="9" max="9" width="9.140625" style="5"/>
    <col min="10" max="10" width="10.85546875" style="101" bestFit="1" customWidth="1"/>
    <col min="11" max="11" width="12.85546875" style="5" customWidth="1"/>
    <col min="12" max="12" width="13.5703125" style="101" bestFit="1" customWidth="1"/>
    <col min="13" max="13" width="13.5703125" style="101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6" ht="15.75">
      <c r="A1" s="560" t="s">
        <v>358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6" ht="18" customHeight="1">
      <c r="A2" s="64" t="s">
        <v>0</v>
      </c>
      <c r="B2" s="83" t="s">
        <v>166</v>
      </c>
      <c r="C2" s="83" t="s">
        <v>167</v>
      </c>
      <c r="D2" s="83" t="s">
        <v>198</v>
      </c>
      <c r="E2" s="83" t="s">
        <v>169</v>
      </c>
      <c r="F2" s="83" t="s">
        <v>170</v>
      </c>
      <c r="G2" s="90" t="s">
        <v>171</v>
      </c>
      <c r="H2" s="83" t="s">
        <v>172</v>
      </c>
      <c r="I2" s="83" t="s">
        <v>170</v>
      </c>
      <c r="J2" s="90" t="s">
        <v>171</v>
      </c>
      <c r="K2" s="64" t="s">
        <v>173</v>
      </c>
      <c r="L2" s="91" t="s">
        <v>174</v>
      </c>
      <c r="M2" s="126" t="s">
        <v>199</v>
      </c>
      <c r="N2" s="83" t="s">
        <v>176</v>
      </c>
    </row>
    <row r="3" spans="1:16" ht="18" customHeight="1">
      <c r="A3" s="593" t="s">
        <v>177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287"/>
      <c r="N3" s="286">
        <v>18468.864099999981</v>
      </c>
      <c r="O3" s="5">
        <v>18536.95</v>
      </c>
      <c r="P3" s="101">
        <f>O3-N3</f>
        <v>68.085900000020047</v>
      </c>
    </row>
    <row r="4" spans="1:16">
      <c r="A4" s="6">
        <v>1</v>
      </c>
      <c r="B4" s="218">
        <v>46143</v>
      </c>
      <c r="C4" s="6"/>
      <c r="D4" s="6"/>
      <c r="E4" s="65">
        <v>37.85</v>
      </c>
      <c r="F4" s="6">
        <v>91.5</v>
      </c>
      <c r="G4" s="66">
        <f>E4*F4</f>
        <v>3463.2750000000001</v>
      </c>
      <c r="H4" s="65"/>
      <c r="I4" s="310"/>
      <c r="J4" s="66">
        <f>H4*I4</f>
        <v>0</v>
      </c>
      <c r="K4" s="66">
        <f>G4+J4</f>
        <v>3463.2750000000001</v>
      </c>
      <c r="L4" s="66"/>
      <c r="M4" s="288">
        <f>N3+K4-L4</f>
        <v>21932.139099999982</v>
      </c>
      <c r="N4" s="46" t="s">
        <v>359</v>
      </c>
    </row>
    <row r="5" spans="1:16">
      <c r="A5" s="6">
        <v>2</v>
      </c>
      <c r="B5" s="218">
        <v>46144</v>
      </c>
      <c r="C5" s="6"/>
      <c r="D5" s="6"/>
      <c r="E5" s="65">
        <v>36.6</v>
      </c>
      <c r="F5" s="6">
        <v>91.5</v>
      </c>
      <c r="G5" s="66">
        <f t="shared" ref="G5:G29" si="0">E5*F5</f>
        <v>3348.9</v>
      </c>
      <c r="H5" s="65"/>
      <c r="I5" s="310"/>
      <c r="J5" s="66">
        <f t="shared" ref="J5:J45" si="1">H5*I5</f>
        <v>0</v>
      </c>
      <c r="K5" s="66">
        <f t="shared" ref="K5:L45" si="2">G5+J5</f>
        <v>3348.9</v>
      </c>
      <c r="L5" s="66"/>
      <c r="M5" s="148">
        <f>M4+K5-L5</f>
        <v>25281.039099999984</v>
      </c>
      <c r="N5" s="46" t="s">
        <v>359</v>
      </c>
    </row>
    <row r="6" spans="1:16">
      <c r="A6" s="6">
        <v>3</v>
      </c>
      <c r="B6" s="218">
        <v>46145</v>
      </c>
      <c r="C6" s="6"/>
      <c r="D6" s="6"/>
      <c r="E6" s="65"/>
      <c r="F6" s="6"/>
      <c r="G6" s="66">
        <f t="shared" si="0"/>
        <v>0</v>
      </c>
      <c r="H6" s="65"/>
      <c r="I6" s="310"/>
      <c r="J6" s="66">
        <f t="shared" si="1"/>
        <v>0</v>
      </c>
      <c r="K6" s="66">
        <f t="shared" si="2"/>
        <v>0</v>
      </c>
      <c r="L6" s="66"/>
      <c r="M6" s="148">
        <f t="shared" ref="M6:M7" si="3">M5+K6-L6</f>
        <v>25281.039099999984</v>
      </c>
      <c r="N6" s="46" t="s">
        <v>359</v>
      </c>
    </row>
    <row r="7" spans="1:16">
      <c r="A7" s="6">
        <v>4</v>
      </c>
      <c r="B7" s="218">
        <v>46146</v>
      </c>
      <c r="C7" s="6"/>
      <c r="D7" s="6"/>
      <c r="E7" s="65">
        <v>36.89</v>
      </c>
      <c r="F7" s="6">
        <v>91.5</v>
      </c>
      <c r="G7" s="66">
        <f t="shared" si="0"/>
        <v>3375.4349999999999</v>
      </c>
      <c r="H7" s="65"/>
      <c r="I7" s="310"/>
      <c r="J7" s="66">
        <f t="shared" si="1"/>
        <v>0</v>
      </c>
      <c r="K7" s="66">
        <f t="shared" si="2"/>
        <v>3375.4349999999999</v>
      </c>
      <c r="L7" s="66"/>
      <c r="M7" s="148">
        <f t="shared" si="3"/>
        <v>28656.474099999985</v>
      </c>
      <c r="N7" s="46" t="s">
        <v>359</v>
      </c>
    </row>
    <row r="8" spans="1:16">
      <c r="A8" s="6">
        <v>5</v>
      </c>
      <c r="B8" s="218">
        <v>46147</v>
      </c>
      <c r="C8" s="6"/>
      <c r="D8" s="6"/>
      <c r="E8" s="65">
        <v>88.68</v>
      </c>
      <c r="F8" s="6">
        <v>91.5</v>
      </c>
      <c r="G8" s="66">
        <f t="shared" si="0"/>
        <v>8114.22</v>
      </c>
      <c r="H8" s="65">
        <v>4.83</v>
      </c>
      <c r="I8" s="310">
        <v>103.44</v>
      </c>
      <c r="J8" s="66">
        <f t="shared" si="1"/>
        <v>499.61520000000002</v>
      </c>
      <c r="K8" s="66">
        <f t="shared" si="2"/>
        <v>8613.8351999999995</v>
      </c>
      <c r="L8" s="66"/>
      <c r="M8" s="148">
        <f>M7+K8-L8</f>
        <v>37270.309299999986</v>
      </c>
      <c r="N8" s="46" t="s">
        <v>359</v>
      </c>
    </row>
    <row r="9" spans="1:16">
      <c r="A9" s="6">
        <v>6</v>
      </c>
      <c r="B9" s="218">
        <v>46148</v>
      </c>
      <c r="C9" s="6"/>
      <c r="D9" s="6"/>
      <c r="E9" s="65"/>
      <c r="F9" s="6"/>
      <c r="G9" s="66">
        <f t="shared" si="0"/>
        <v>0</v>
      </c>
      <c r="H9" s="65"/>
      <c r="I9" s="310"/>
      <c r="J9" s="66">
        <f t="shared" si="1"/>
        <v>0</v>
      </c>
      <c r="K9" s="66">
        <f t="shared" si="2"/>
        <v>0</v>
      </c>
      <c r="L9" s="66">
        <v>30000</v>
      </c>
      <c r="M9" s="148">
        <f t="shared" ref="M9:M46" si="4">M8+K9-L9</f>
        <v>7270.3092999999863</v>
      </c>
      <c r="N9" s="46" t="s">
        <v>359</v>
      </c>
    </row>
    <row r="10" spans="1:16">
      <c r="A10" s="6">
        <v>7</v>
      </c>
      <c r="B10" s="218">
        <v>46149</v>
      </c>
      <c r="C10" s="6"/>
      <c r="D10" s="6"/>
      <c r="E10" s="65">
        <v>30.5</v>
      </c>
      <c r="F10" s="6">
        <v>91.5</v>
      </c>
      <c r="G10" s="66">
        <f t="shared" si="0"/>
        <v>2790.75</v>
      </c>
      <c r="H10" s="65">
        <v>5.01</v>
      </c>
      <c r="I10" s="310">
        <v>103.44</v>
      </c>
      <c r="J10" s="66">
        <f t="shared" si="1"/>
        <v>518.23439999999994</v>
      </c>
      <c r="K10" s="66">
        <f t="shared" si="2"/>
        <v>3308.9843999999998</v>
      </c>
      <c r="L10" s="66"/>
      <c r="M10" s="148">
        <f t="shared" si="4"/>
        <v>10579.293699999986</v>
      </c>
      <c r="N10" s="46" t="s">
        <v>359</v>
      </c>
    </row>
    <row r="11" spans="1:16">
      <c r="A11" s="6">
        <v>8</v>
      </c>
      <c r="B11" s="218">
        <v>46150</v>
      </c>
      <c r="C11" s="6"/>
      <c r="D11" s="6"/>
      <c r="E11" s="65"/>
      <c r="F11" s="6"/>
      <c r="G11" s="66">
        <f t="shared" si="0"/>
        <v>0</v>
      </c>
      <c r="H11" s="65"/>
      <c r="I11" s="310"/>
      <c r="J11" s="66">
        <f t="shared" si="1"/>
        <v>0</v>
      </c>
      <c r="K11" s="66">
        <f t="shared" si="2"/>
        <v>0</v>
      </c>
      <c r="L11" s="66"/>
      <c r="M11" s="148">
        <f t="shared" si="4"/>
        <v>10579.293699999986</v>
      </c>
      <c r="N11" s="46" t="s">
        <v>359</v>
      </c>
    </row>
    <row r="12" spans="1:16">
      <c r="A12" s="6">
        <v>9</v>
      </c>
      <c r="B12" s="218">
        <v>46151</v>
      </c>
      <c r="C12" s="6"/>
      <c r="D12" s="6"/>
      <c r="E12" s="65">
        <v>22.22</v>
      </c>
      <c r="F12" s="6">
        <v>91.5</v>
      </c>
      <c r="G12" s="66">
        <f t="shared" si="0"/>
        <v>2033.1299999999999</v>
      </c>
      <c r="H12" s="65">
        <v>0.97</v>
      </c>
      <c r="I12" s="310">
        <v>103.44</v>
      </c>
      <c r="J12" s="66">
        <f t="shared" si="1"/>
        <v>100.3368</v>
      </c>
      <c r="K12" s="66">
        <f t="shared" si="2"/>
        <v>2133.4667999999997</v>
      </c>
      <c r="L12" s="66"/>
      <c r="M12" s="148">
        <f t="shared" si="4"/>
        <v>12712.760499999986</v>
      </c>
      <c r="N12" s="46" t="s">
        <v>359</v>
      </c>
    </row>
    <row r="13" spans="1:16">
      <c r="A13" s="6">
        <v>10</v>
      </c>
      <c r="B13" s="218">
        <v>46152</v>
      </c>
      <c r="C13" s="6"/>
      <c r="D13" s="6"/>
      <c r="E13" s="65"/>
      <c r="F13" s="6"/>
      <c r="G13" s="66">
        <f t="shared" si="0"/>
        <v>0</v>
      </c>
      <c r="H13" s="65">
        <v>8</v>
      </c>
      <c r="I13" s="310">
        <v>103.44</v>
      </c>
      <c r="J13" s="66">
        <f t="shared" si="1"/>
        <v>827.52</v>
      </c>
      <c r="K13" s="66">
        <f t="shared" si="2"/>
        <v>827.52</v>
      </c>
      <c r="L13" s="66"/>
      <c r="M13" s="148">
        <f t="shared" si="4"/>
        <v>13540.280499999986</v>
      </c>
      <c r="N13" s="46" t="s">
        <v>359</v>
      </c>
    </row>
    <row r="14" spans="1:16">
      <c r="A14" s="6">
        <v>11</v>
      </c>
      <c r="B14" s="218">
        <v>46153</v>
      </c>
      <c r="C14" s="6"/>
      <c r="D14" s="6"/>
      <c r="E14" s="65">
        <v>11.01</v>
      </c>
      <c r="F14" s="6">
        <v>90.81</v>
      </c>
      <c r="G14" s="66">
        <f t="shared" si="0"/>
        <v>999.81809999999996</v>
      </c>
      <c r="H14" s="65"/>
      <c r="I14" s="310"/>
      <c r="J14" s="66">
        <f t="shared" si="1"/>
        <v>0</v>
      </c>
      <c r="K14" s="66">
        <f t="shared" si="2"/>
        <v>999.81809999999996</v>
      </c>
      <c r="L14" s="66">
        <f t="shared" si="2"/>
        <v>999.81809999999996</v>
      </c>
      <c r="M14" s="148">
        <f t="shared" si="4"/>
        <v>13540.280499999986</v>
      </c>
      <c r="N14" s="46" t="s">
        <v>359</v>
      </c>
    </row>
    <row r="15" spans="1:16">
      <c r="A15" s="6">
        <v>12</v>
      </c>
      <c r="B15" s="218">
        <v>46154</v>
      </c>
      <c r="C15" s="6"/>
      <c r="D15" s="6"/>
      <c r="E15" s="65">
        <v>72.31</v>
      </c>
      <c r="F15" s="6">
        <v>91.5</v>
      </c>
      <c r="G15" s="66">
        <f t="shared" si="0"/>
        <v>6616.3649999999998</v>
      </c>
      <c r="H15" s="65"/>
      <c r="I15" s="310"/>
      <c r="J15" s="66">
        <f t="shared" si="1"/>
        <v>0</v>
      </c>
      <c r="K15" s="66">
        <f t="shared" si="2"/>
        <v>6616.3649999999998</v>
      </c>
      <c r="L15" s="66"/>
      <c r="M15" s="148">
        <f t="shared" si="4"/>
        <v>20156.645499999984</v>
      </c>
      <c r="N15" s="46" t="s">
        <v>359</v>
      </c>
    </row>
    <row r="16" spans="1:16">
      <c r="A16" s="6">
        <v>13</v>
      </c>
      <c r="B16" s="218">
        <v>46155</v>
      </c>
      <c r="C16" s="6"/>
      <c r="D16" s="6"/>
      <c r="E16" s="65"/>
      <c r="F16" s="6"/>
      <c r="G16" s="66">
        <f t="shared" si="0"/>
        <v>0</v>
      </c>
      <c r="H16" s="65">
        <v>4.83</v>
      </c>
      <c r="I16" s="310">
        <v>103.44</v>
      </c>
      <c r="J16" s="66">
        <f t="shared" si="1"/>
        <v>499.61520000000002</v>
      </c>
      <c r="K16" s="66">
        <f t="shared" si="2"/>
        <v>499.61520000000002</v>
      </c>
      <c r="L16" s="66"/>
      <c r="M16" s="148">
        <f t="shared" si="4"/>
        <v>20656.260699999984</v>
      </c>
      <c r="N16" s="46" t="s">
        <v>359</v>
      </c>
    </row>
    <row r="17" spans="1:14">
      <c r="A17" s="6">
        <v>14</v>
      </c>
      <c r="B17" s="218">
        <v>46156</v>
      </c>
      <c r="C17" s="6"/>
      <c r="D17" s="6"/>
      <c r="E17" s="301">
        <v>47.49</v>
      </c>
      <c r="F17" s="6">
        <v>91.5</v>
      </c>
      <c r="G17" s="66">
        <f t="shared" si="0"/>
        <v>4345.335</v>
      </c>
      <c r="H17" s="65"/>
      <c r="I17" s="310"/>
      <c r="J17" s="66">
        <f t="shared" si="1"/>
        <v>0</v>
      </c>
      <c r="K17" s="66">
        <f t="shared" si="2"/>
        <v>4345.335</v>
      </c>
      <c r="L17" s="66">
        <v>4345.335</v>
      </c>
      <c r="M17" s="148">
        <f t="shared" si="4"/>
        <v>20656.260699999984</v>
      </c>
      <c r="N17" s="46" t="s">
        <v>359</v>
      </c>
    </row>
    <row r="18" spans="1:14">
      <c r="A18" s="6"/>
      <c r="B18" s="218">
        <v>46156</v>
      </c>
      <c r="C18" s="6"/>
      <c r="D18" s="6"/>
      <c r="E18" s="301">
        <v>30</v>
      </c>
      <c r="F18" s="6">
        <v>91.5</v>
      </c>
      <c r="G18" s="66">
        <f t="shared" si="0"/>
        <v>2745</v>
      </c>
      <c r="H18" s="65"/>
      <c r="I18" s="310"/>
      <c r="J18" s="66"/>
      <c r="K18" s="66">
        <f t="shared" si="2"/>
        <v>2745</v>
      </c>
      <c r="L18" s="66"/>
      <c r="M18" s="148">
        <f t="shared" si="4"/>
        <v>23401.260699999984</v>
      </c>
      <c r="N18" s="46" t="s">
        <v>359</v>
      </c>
    </row>
    <row r="19" spans="1:14">
      <c r="A19" s="6">
        <v>15</v>
      </c>
      <c r="B19" s="218">
        <v>46157</v>
      </c>
      <c r="C19" s="6"/>
      <c r="D19" s="6"/>
      <c r="E19" s="65"/>
      <c r="F19" s="6"/>
      <c r="G19" s="66">
        <f t="shared" si="0"/>
        <v>0</v>
      </c>
      <c r="H19" s="65"/>
      <c r="I19" s="310"/>
      <c r="J19" s="66">
        <f t="shared" si="1"/>
        <v>0</v>
      </c>
      <c r="K19" s="66">
        <f t="shared" si="2"/>
        <v>0</v>
      </c>
      <c r="L19" s="66"/>
      <c r="M19" s="148">
        <f t="shared" si="4"/>
        <v>23401.260699999984</v>
      </c>
      <c r="N19" s="46" t="s">
        <v>359</v>
      </c>
    </row>
    <row r="20" spans="1:14">
      <c r="A20" s="6">
        <v>16</v>
      </c>
      <c r="B20" s="218">
        <v>46158</v>
      </c>
      <c r="C20" s="6"/>
      <c r="D20" s="6"/>
      <c r="E20" s="65">
        <v>35.67</v>
      </c>
      <c r="F20" s="6">
        <v>94.62</v>
      </c>
      <c r="G20" s="66">
        <f t="shared" si="0"/>
        <v>3375.0954000000002</v>
      </c>
      <c r="H20" s="65">
        <v>4.6900000000000004</v>
      </c>
      <c r="I20" s="310">
        <v>106.71</v>
      </c>
      <c r="J20" s="66">
        <f t="shared" si="1"/>
        <v>500.4699</v>
      </c>
      <c r="K20" s="66">
        <f t="shared" si="2"/>
        <v>3875.5653000000002</v>
      </c>
      <c r="L20" s="66"/>
      <c r="M20" s="148">
        <f t="shared" si="4"/>
        <v>27276.825999999986</v>
      </c>
      <c r="N20" s="46" t="s">
        <v>359</v>
      </c>
    </row>
    <row r="21" spans="1:14">
      <c r="A21" s="6">
        <v>17</v>
      </c>
      <c r="B21" s="218">
        <v>46159</v>
      </c>
      <c r="C21" s="6"/>
      <c r="D21" s="6"/>
      <c r="E21" s="65">
        <v>139.24</v>
      </c>
      <c r="F21" s="6">
        <v>94.62</v>
      </c>
      <c r="G21" s="66">
        <f t="shared" si="0"/>
        <v>13174.888800000001</v>
      </c>
      <c r="H21" s="65"/>
      <c r="I21" s="310"/>
      <c r="J21" s="66">
        <f t="shared" si="1"/>
        <v>0</v>
      </c>
      <c r="K21" s="66">
        <f t="shared" si="2"/>
        <v>13174.888800000001</v>
      </c>
      <c r="L21" s="66"/>
      <c r="M21" s="148">
        <f t="shared" si="4"/>
        <v>40451.714799999987</v>
      </c>
      <c r="N21" s="46" t="s">
        <v>359</v>
      </c>
    </row>
    <row r="22" spans="1:14">
      <c r="A22" s="6">
        <v>18</v>
      </c>
      <c r="B22" s="218">
        <v>46160</v>
      </c>
      <c r="C22" s="6"/>
      <c r="D22" s="6"/>
      <c r="E22" s="65"/>
      <c r="F22" s="6"/>
      <c r="G22" s="66">
        <f t="shared" si="0"/>
        <v>0</v>
      </c>
      <c r="H22" s="65"/>
      <c r="I22" s="310"/>
      <c r="J22" s="66">
        <f t="shared" si="1"/>
        <v>0</v>
      </c>
      <c r="K22" s="66">
        <f t="shared" si="2"/>
        <v>0</v>
      </c>
      <c r="L22" s="66"/>
      <c r="M22" s="148">
        <f t="shared" si="4"/>
        <v>40451.714799999987</v>
      </c>
      <c r="N22" s="46" t="s">
        <v>359</v>
      </c>
    </row>
    <row r="23" spans="1:14">
      <c r="A23" s="6">
        <v>19</v>
      </c>
      <c r="B23" s="218">
        <v>46161</v>
      </c>
      <c r="C23" s="6"/>
      <c r="D23" s="6"/>
      <c r="E23" s="65">
        <v>33.49</v>
      </c>
      <c r="F23" s="6">
        <v>95.56</v>
      </c>
      <c r="G23" s="66">
        <f t="shared" si="0"/>
        <v>3200.3044000000004</v>
      </c>
      <c r="H23" s="65"/>
      <c r="I23" s="310"/>
      <c r="J23" s="66">
        <f t="shared" si="1"/>
        <v>0</v>
      </c>
      <c r="K23" s="66">
        <f t="shared" si="2"/>
        <v>3200.3044000000004</v>
      </c>
      <c r="L23" s="66"/>
      <c r="M23" s="148">
        <f t="shared" si="4"/>
        <v>43652.019199999988</v>
      </c>
      <c r="N23" s="46" t="s">
        <v>359</v>
      </c>
    </row>
    <row r="24" spans="1:14">
      <c r="A24" s="6">
        <v>20</v>
      </c>
      <c r="B24" s="218">
        <v>46162</v>
      </c>
      <c r="C24" s="6"/>
      <c r="D24" s="6"/>
      <c r="E24" s="65"/>
      <c r="F24" s="6"/>
      <c r="G24" s="66">
        <f t="shared" si="0"/>
        <v>0</v>
      </c>
      <c r="H24" s="65">
        <v>6.5</v>
      </c>
      <c r="I24" s="310">
        <v>107.65</v>
      </c>
      <c r="J24" s="66">
        <f t="shared" si="1"/>
        <v>699.72500000000002</v>
      </c>
      <c r="K24" s="66">
        <f t="shared" si="2"/>
        <v>699.72500000000002</v>
      </c>
      <c r="L24" s="66">
        <v>25000</v>
      </c>
      <c r="M24" s="148">
        <f t="shared" si="4"/>
        <v>19351.744199999986</v>
      </c>
      <c r="N24" s="46" t="s">
        <v>359</v>
      </c>
    </row>
    <row r="25" spans="1:14">
      <c r="A25" s="6">
        <v>21</v>
      </c>
      <c r="B25" s="218">
        <v>46163</v>
      </c>
      <c r="C25" s="6"/>
      <c r="D25" s="6"/>
      <c r="E25" s="65">
        <v>24.8</v>
      </c>
      <c r="F25" s="6">
        <v>100.81</v>
      </c>
      <c r="G25" s="66">
        <f t="shared" si="0"/>
        <v>2500.0880000000002</v>
      </c>
      <c r="H25" s="65"/>
      <c r="I25" s="310"/>
      <c r="J25" s="66">
        <f t="shared" si="1"/>
        <v>0</v>
      </c>
      <c r="K25" s="66">
        <f t="shared" si="2"/>
        <v>2500.0880000000002</v>
      </c>
      <c r="L25" s="66"/>
      <c r="M25" s="148">
        <f t="shared" si="4"/>
        <v>21851.832199999986</v>
      </c>
      <c r="N25" s="46" t="s">
        <v>359</v>
      </c>
    </row>
    <row r="26" spans="1:14">
      <c r="A26" s="6">
        <v>22</v>
      </c>
      <c r="B26" s="218">
        <v>46164</v>
      </c>
      <c r="C26" s="6"/>
      <c r="D26" s="6"/>
      <c r="E26" s="65"/>
      <c r="F26" s="6"/>
      <c r="G26" s="66">
        <f t="shared" si="0"/>
        <v>0</v>
      </c>
      <c r="H26" s="65"/>
      <c r="I26" s="310"/>
      <c r="J26" s="66">
        <f t="shared" si="1"/>
        <v>0</v>
      </c>
      <c r="K26" s="66">
        <f t="shared" si="2"/>
        <v>0</v>
      </c>
      <c r="L26" s="66"/>
      <c r="M26" s="148">
        <f t="shared" si="4"/>
        <v>21851.832199999986</v>
      </c>
      <c r="N26" s="46" t="s">
        <v>359</v>
      </c>
    </row>
    <row r="27" spans="1:14">
      <c r="A27" s="6">
        <v>23</v>
      </c>
      <c r="B27" s="218">
        <v>46165</v>
      </c>
      <c r="C27" s="6"/>
      <c r="D27" s="6"/>
      <c r="E27" s="65">
        <v>55.3</v>
      </c>
      <c r="F27" s="6">
        <v>96.51</v>
      </c>
      <c r="G27" s="66">
        <f t="shared" si="0"/>
        <v>5337.0029999999997</v>
      </c>
      <c r="H27" s="65"/>
      <c r="I27" s="310"/>
      <c r="J27" s="66">
        <f t="shared" si="1"/>
        <v>0</v>
      </c>
      <c r="K27" s="66">
        <f t="shared" si="2"/>
        <v>5337.0029999999997</v>
      </c>
      <c r="L27" s="66"/>
      <c r="M27" s="148">
        <f t="shared" si="4"/>
        <v>27188.835199999987</v>
      </c>
      <c r="N27" s="46" t="s">
        <v>359</v>
      </c>
    </row>
    <row r="28" spans="1:14">
      <c r="A28" s="6">
        <v>24</v>
      </c>
      <c r="B28" s="218">
        <v>46166</v>
      </c>
      <c r="C28" s="6"/>
      <c r="D28" s="6"/>
      <c r="E28" s="65"/>
      <c r="F28" s="6"/>
      <c r="G28" s="66">
        <f t="shared" si="0"/>
        <v>0</v>
      </c>
      <c r="H28" s="65">
        <v>6.44</v>
      </c>
      <c r="I28" s="310">
        <v>108.59</v>
      </c>
      <c r="J28" s="66">
        <f t="shared" si="1"/>
        <v>699.31960000000004</v>
      </c>
      <c r="K28" s="66">
        <f t="shared" si="2"/>
        <v>699.31960000000004</v>
      </c>
      <c r="L28" s="66"/>
      <c r="M28" s="148">
        <f t="shared" si="4"/>
        <v>27888.154799999986</v>
      </c>
      <c r="N28" s="46" t="s">
        <v>359</v>
      </c>
    </row>
    <row r="29" spans="1:14">
      <c r="A29" s="6">
        <v>25</v>
      </c>
      <c r="B29" s="218">
        <v>46167</v>
      </c>
      <c r="C29" s="6"/>
      <c r="D29" s="6"/>
      <c r="E29" s="65">
        <v>87.63</v>
      </c>
      <c r="F29" s="6">
        <v>99.32</v>
      </c>
      <c r="G29" s="66">
        <f t="shared" si="0"/>
        <v>8703.4115999999995</v>
      </c>
      <c r="H29" s="65">
        <v>4.1399999999999997</v>
      </c>
      <c r="I29" s="310">
        <v>120.9</v>
      </c>
      <c r="J29" s="66">
        <f t="shared" si="1"/>
        <v>500.52600000000001</v>
      </c>
      <c r="K29" s="66">
        <f t="shared" si="2"/>
        <v>9203.9375999999993</v>
      </c>
      <c r="L29" s="66"/>
      <c r="M29" s="148">
        <f t="shared" si="4"/>
        <v>37092.092399999987</v>
      </c>
      <c r="N29" s="46" t="s">
        <v>359</v>
      </c>
    </row>
    <row r="30" spans="1:14">
      <c r="A30" s="6">
        <v>26</v>
      </c>
      <c r="B30" s="218">
        <v>46168</v>
      </c>
      <c r="C30" s="6"/>
      <c r="D30" s="6"/>
      <c r="E30" s="65">
        <v>40</v>
      </c>
      <c r="F30" s="6">
        <v>99.32</v>
      </c>
      <c r="G30" s="66">
        <f t="shared" ref="G30:G45" si="5">E30*F30</f>
        <v>3972.7999999999997</v>
      </c>
      <c r="H30" s="65">
        <v>7.08</v>
      </c>
      <c r="I30" s="310">
        <v>111.42</v>
      </c>
      <c r="J30" s="66">
        <f t="shared" si="1"/>
        <v>788.85360000000003</v>
      </c>
      <c r="K30" s="66">
        <f t="shared" si="2"/>
        <v>4761.6535999999996</v>
      </c>
      <c r="L30" s="66"/>
      <c r="M30" s="148">
        <f t="shared" si="4"/>
        <v>41853.745999999985</v>
      </c>
      <c r="N30" s="46" t="s">
        <v>359</v>
      </c>
    </row>
    <row r="31" spans="1:14">
      <c r="A31" s="6">
        <v>27</v>
      </c>
      <c r="B31" s="218">
        <v>46169</v>
      </c>
      <c r="C31" s="6"/>
      <c r="D31" s="6"/>
      <c r="E31" s="65"/>
      <c r="F31" s="6"/>
      <c r="G31" s="66">
        <f t="shared" si="5"/>
        <v>0</v>
      </c>
      <c r="H31" s="65"/>
      <c r="I31" s="310"/>
      <c r="J31" s="66">
        <f t="shared" si="1"/>
        <v>0</v>
      </c>
      <c r="K31" s="66">
        <f t="shared" si="2"/>
        <v>0</v>
      </c>
      <c r="L31" s="66"/>
      <c r="M31" s="148">
        <f t="shared" si="4"/>
        <v>41853.745999999985</v>
      </c>
      <c r="N31" s="46" t="s">
        <v>359</v>
      </c>
    </row>
    <row r="32" spans="1:14">
      <c r="A32" s="6">
        <v>28</v>
      </c>
      <c r="B32" s="218">
        <v>46170</v>
      </c>
      <c r="C32" s="6"/>
      <c r="D32" s="6"/>
      <c r="E32" s="65">
        <v>32.43</v>
      </c>
      <c r="F32" s="6">
        <v>99.32</v>
      </c>
      <c r="G32" s="66">
        <f t="shared" si="5"/>
        <v>3220.9476</v>
      </c>
      <c r="H32" s="65"/>
      <c r="I32" s="310"/>
      <c r="J32" s="66">
        <f t="shared" si="1"/>
        <v>0</v>
      </c>
      <c r="K32" s="66">
        <f t="shared" si="2"/>
        <v>3220.9476</v>
      </c>
      <c r="L32" s="66"/>
      <c r="M32" s="148">
        <f t="shared" si="4"/>
        <v>45074.693599999984</v>
      </c>
      <c r="N32" s="46" t="s">
        <v>359</v>
      </c>
    </row>
    <row r="33" spans="1:15">
      <c r="A33" s="6">
        <v>29</v>
      </c>
      <c r="B33" s="218">
        <v>46171</v>
      </c>
      <c r="C33" s="6"/>
      <c r="D33" s="6"/>
      <c r="E33" s="65"/>
      <c r="F33" s="6"/>
      <c r="G33" s="66">
        <f t="shared" si="5"/>
        <v>0</v>
      </c>
      <c r="H33" s="65"/>
      <c r="I33" s="310"/>
      <c r="J33" s="66">
        <f t="shared" si="1"/>
        <v>0</v>
      </c>
      <c r="K33" s="66">
        <f t="shared" si="2"/>
        <v>0</v>
      </c>
      <c r="L33" s="66">
        <v>31000</v>
      </c>
      <c r="M33" s="148">
        <f t="shared" si="4"/>
        <v>14074.693599999984</v>
      </c>
      <c r="N33" s="46" t="s">
        <v>359</v>
      </c>
    </row>
    <row r="34" spans="1:15">
      <c r="A34" s="6">
        <v>30</v>
      </c>
      <c r="B34" s="218">
        <v>46172</v>
      </c>
      <c r="C34" s="6"/>
      <c r="D34" s="6"/>
      <c r="E34" s="65"/>
      <c r="F34" s="6"/>
      <c r="G34" s="66">
        <f t="shared" si="5"/>
        <v>0</v>
      </c>
      <c r="H34" s="65"/>
      <c r="I34" s="310"/>
      <c r="J34" s="66">
        <f t="shared" si="1"/>
        <v>0</v>
      </c>
      <c r="K34" s="66">
        <f t="shared" si="2"/>
        <v>0</v>
      </c>
      <c r="L34" s="66"/>
      <c r="M34" s="148">
        <f t="shared" si="4"/>
        <v>14074.693599999984</v>
      </c>
      <c r="N34" s="46" t="s">
        <v>359</v>
      </c>
    </row>
    <row r="35" spans="1:15">
      <c r="A35" s="6">
        <v>31</v>
      </c>
      <c r="B35" s="218">
        <v>46173</v>
      </c>
      <c r="C35" s="6"/>
      <c r="D35" s="6"/>
      <c r="E35" s="65"/>
      <c r="F35" s="6"/>
      <c r="G35" s="66">
        <f t="shared" si="5"/>
        <v>0</v>
      </c>
      <c r="H35" s="65">
        <v>6.28</v>
      </c>
      <c r="I35" s="6">
        <v>111.42</v>
      </c>
      <c r="J35" s="66">
        <f t="shared" si="1"/>
        <v>699.71760000000006</v>
      </c>
      <c r="K35" s="66">
        <f t="shared" si="2"/>
        <v>699.71760000000006</v>
      </c>
      <c r="L35" s="66"/>
      <c r="M35" s="148">
        <f t="shared" si="4"/>
        <v>14774.411199999984</v>
      </c>
      <c r="N35" s="46" t="s">
        <v>359</v>
      </c>
    </row>
    <row r="36" spans="1:15">
      <c r="A36" s="6">
        <v>32</v>
      </c>
      <c r="B36" s="218"/>
      <c r="C36" s="6"/>
      <c r="D36" s="6"/>
      <c r="E36" s="65"/>
      <c r="F36" s="6"/>
      <c r="G36" s="66">
        <f t="shared" si="5"/>
        <v>0</v>
      </c>
      <c r="H36" s="65"/>
      <c r="I36" s="6"/>
      <c r="J36" s="66">
        <f t="shared" si="1"/>
        <v>0</v>
      </c>
      <c r="K36" s="66">
        <f t="shared" si="2"/>
        <v>0</v>
      </c>
      <c r="L36" s="66"/>
      <c r="M36" s="148">
        <f t="shared" si="4"/>
        <v>14774.411199999984</v>
      </c>
      <c r="N36" s="46" t="s">
        <v>359</v>
      </c>
    </row>
    <row r="37" spans="1:15">
      <c r="A37" s="6">
        <v>33</v>
      </c>
      <c r="B37" s="78"/>
      <c r="C37" s="6"/>
      <c r="D37" s="6"/>
      <c r="E37" s="65"/>
      <c r="F37" s="6"/>
      <c r="G37" s="66">
        <f t="shared" si="5"/>
        <v>0</v>
      </c>
      <c r="H37" s="65"/>
      <c r="I37" s="6"/>
      <c r="J37" s="66">
        <f t="shared" si="1"/>
        <v>0</v>
      </c>
      <c r="K37" s="66">
        <f t="shared" si="2"/>
        <v>0</v>
      </c>
      <c r="L37" s="66"/>
      <c r="M37" s="148">
        <f t="shared" si="4"/>
        <v>14774.411199999984</v>
      </c>
      <c r="N37" s="46" t="s">
        <v>359</v>
      </c>
    </row>
    <row r="38" spans="1:15">
      <c r="A38" s="6">
        <v>34</v>
      </c>
      <c r="B38" s="78"/>
      <c r="C38" s="6"/>
      <c r="D38" s="6"/>
      <c r="E38" s="65"/>
      <c r="F38" s="6"/>
      <c r="G38" s="66">
        <f t="shared" si="5"/>
        <v>0</v>
      </c>
      <c r="H38" s="65"/>
      <c r="I38" s="6"/>
      <c r="J38" s="66">
        <f t="shared" si="1"/>
        <v>0</v>
      </c>
      <c r="K38" s="66">
        <f t="shared" si="2"/>
        <v>0</v>
      </c>
      <c r="L38" s="66"/>
      <c r="M38" s="148">
        <f t="shared" si="4"/>
        <v>14774.411199999984</v>
      </c>
      <c r="N38" s="46" t="s">
        <v>359</v>
      </c>
    </row>
    <row r="39" spans="1:15">
      <c r="A39" s="6">
        <v>35</v>
      </c>
      <c r="B39" s="78"/>
      <c r="C39" s="6"/>
      <c r="D39" s="6"/>
      <c r="E39" s="65"/>
      <c r="F39" s="6"/>
      <c r="G39" s="66">
        <f t="shared" si="5"/>
        <v>0</v>
      </c>
      <c r="H39" s="65"/>
      <c r="I39" s="6"/>
      <c r="J39" s="66">
        <f t="shared" si="1"/>
        <v>0</v>
      </c>
      <c r="K39" s="66">
        <f t="shared" si="2"/>
        <v>0</v>
      </c>
      <c r="L39" s="66"/>
      <c r="M39" s="148">
        <f t="shared" si="4"/>
        <v>14774.411199999984</v>
      </c>
      <c r="N39" s="46" t="s">
        <v>359</v>
      </c>
    </row>
    <row r="40" spans="1:15">
      <c r="A40" s="6">
        <v>36</v>
      </c>
      <c r="B40" s="78"/>
      <c r="C40" s="6"/>
      <c r="D40" s="6"/>
      <c r="E40" s="65"/>
      <c r="F40" s="6"/>
      <c r="G40" s="66">
        <f t="shared" si="5"/>
        <v>0</v>
      </c>
      <c r="H40" s="65"/>
      <c r="I40" s="6"/>
      <c r="J40" s="66">
        <f t="shared" si="1"/>
        <v>0</v>
      </c>
      <c r="K40" s="66">
        <f t="shared" si="2"/>
        <v>0</v>
      </c>
      <c r="L40" s="66"/>
      <c r="M40" s="148">
        <f t="shared" si="4"/>
        <v>14774.411199999984</v>
      </c>
      <c r="N40" s="46" t="s">
        <v>359</v>
      </c>
    </row>
    <row r="41" spans="1:15">
      <c r="A41" s="6">
        <v>37</v>
      </c>
      <c r="B41" s="78"/>
      <c r="C41" s="6"/>
      <c r="D41" s="6"/>
      <c r="E41" s="65"/>
      <c r="F41" s="6"/>
      <c r="G41" s="66">
        <f t="shared" si="5"/>
        <v>0</v>
      </c>
      <c r="H41" s="65"/>
      <c r="I41" s="6"/>
      <c r="J41" s="66">
        <f t="shared" si="1"/>
        <v>0</v>
      </c>
      <c r="K41" s="66">
        <f t="shared" si="2"/>
        <v>0</v>
      </c>
      <c r="L41" s="66"/>
      <c r="M41" s="148">
        <f t="shared" si="4"/>
        <v>14774.411199999984</v>
      </c>
      <c r="N41" s="46" t="s">
        <v>359</v>
      </c>
    </row>
    <row r="42" spans="1:15">
      <c r="A42" s="6">
        <v>38</v>
      </c>
      <c r="B42" s="78"/>
      <c r="C42" s="6"/>
      <c r="D42" s="6"/>
      <c r="E42" s="65"/>
      <c r="F42" s="6"/>
      <c r="G42" s="66">
        <f t="shared" si="5"/>
        <v>0</v>
      </c>
      <c r="H42" s="65"/>
      <c r="I42" s="6"/>
      <c r="J42" s="66">
        <f t="shared" si="1"/>
        <v>0</v>
      </c>
      <c r="K42" s="66">
        <f t="shared" si="2"/>
        <v>0</v>
      </c>
      <c r="L42" s="66"/>
      <c r="M42" s="148">
        <f t="shared" si="4"/>
        <v>14774.411199999984</v>
      </c>
      <c r="N42" s="46" t="s">
        <v>359</v>
      </c>
    </row>
    <row r="43" spans="1:15">
      <c r="A43" s="6">
        <v>39</v>
      </c>
      <c r="B43" s="169"/>
      <c r="C43" s="168"/>
      <c r="D43" s="6"/>
      <c r="E43" s="65"/>
      <c r="F43" s="6"/>
      <c r="G43" s="66">
        <f t="shared" si="5"/>
        <v>0</v>
      </c>
      <c r="H43" s="65"/>
      <c r="I43" s="6"/>
      <c r="J43" s="66">
        <f t="shared" si="1"/>
        <v>0</v>
      </c>
      <c r="K43" s="66">
        <f t="shared" si="2"/>
        <v>0</v>
      </c>
      <c r="L43" s="66"/>
      <c r="M43" s="148">
        <f t="shared" si="4"/>
        <v>14774.411199999984</v>
      </c>
      <c r="N43" s="46" t="s">
        <v>359</v>
      </c>
    </row>
    <row r="44" spans="1:15">
      <c r="A44" s="6">
        <v>40</v>
      </c>
      <c r="B44" s="6"/>
      <c r="C44" s="6"/>
      <c r="D44" s="6"/>
      <c r="E44" s="65"/>
      <c r="F44" s="6"/>
      <c r="G44" s="66">
        <f t="shared" si="5"/>
        <v>0</v>
      </c>
      <c r="H44" s="65"/>
      <c r="I44" s="6"/>
      <c r="J44" s="66">
        <f t="shared" si="1"/>
        <v>0</v>
      </c>
      <c r="K44" s="66">
        <f t="shared" si="2"/>
        <v>0</v>
      </c>
      <c r="L44" s="66"/>
      <c r="M44" s="148">
        <f t="shared" si="4"/>
        <v>14774.411199999984</v>
      </c>
      <c r="N44" s="46" t="s">
        <v>359</v>
      </c>
    </row>
    <row r="45" spans="1:15">
      <c r="A45" s="6">
        <v>41</v>
      </c>
      <c r="B45" s="168"/>
      <c r="C45" s="168"/>
      <c r="D45" s="6"/>
      <c r="E45" s="65"/>
      <c r="F45" s="6"/>
      <c r="G45" s="66">
        <f t="shared" si="5"/>
        <v>0</v>
      </c>
      <c r="H45" s="65"/>
      <c r="I45" s="6"/>
      <c r="J45" s="66">
        <f t="shared" si="1"/>
        <v>0</v>
      </c>
      <c r="K45" s="66">
        <f t="shared" si="2"/>
        <v>0</v>
      </c>
      <c r="L45" s="66"/>
      <c r="M45" s="148">
        <f t="shared" si="4"/>
        <v>14774.411199999984</v>
      </c>
      <c r="N45" s="46" t="s">
        <v>359</v>
      </c>
    </row>
    <row r="46" spans="1:15">
      <c r="A46" s="6">
        <v>42</v>
      </c>
      <c r="B46" s="168"/>
      <c r="C46" s="168"/>
      <c r="D46" s="6"/>
      <c r="E46" s="65"/>
      <c r="F46" s="6"/>
      <c r="G46" s="66">
        <f t="shared" ref="G46" si="6">E46*F46</f>
        <v>0</v>
      </c>
      <c r="H46" s="65"/>
      <c r="I46" s="6"/>
      <c r="J46" s="66">
        <f>H46*I46</f>
        <v>0</v>
      </c>
      <c r="K46" s="66">
        <f t="shared" ref="K46" si="7">G46+J46</f>
        <v>0</v>
      </c>
      <c r="L46" s="161"/>
      <c r="M46" s="148">
        <f t="shared" si="4"/>
        <v>14774.411199999984</v>
      </c>
      <c r="N46" s="46" t="s">
        <v>359</v>
      </c>
    </row>
    <row r="47" spans="1:15">
      <c r="A47" s="62"/>
      <c r="B47" s="62"/>
      <c r="C47" s="62"/>
      <c r="D47" s="62"/>
      <c r="E47" s="63">
        <f>SUM(E4:E46)</f>
        <v>862.1099999999999</v>
      </c>
      <c r="F47" s="63"/>
      <c r="G47" s="63">
        <f>SUM(G4:G46)</f>
        <v>81316.766900000002</v>
      </c>
      <c r="H47" s="63">
        <f>SUM(H4:H46)</f>
        <v>58.769999999999996</v>
      </c>
      <c r="I47" s="63"/>
      <c r="J47" s="63">
        <f>SUM(J4:J46)</f>
        <v>6333.9333000000006</v>
      </c>
      <c r="K47" s="63">
        <f>SUM(K4:K46)</f>
        <v>87650.700200000021</v>
      </c>
      <c r="L47" s="63">
        <f>SUM(L4:L46)</f>
        <v>91345.153099999996</v>
      </c>
      <c r="M47" s="63"/>
      <c r="N47" s="63"/>
      <c r="O47" s="59"/>
    </row>
  </sheetData>
  <mergeCells count="2">
    <mergeCell ref="A1:N1"/>
    <mergeCell ref="A3:L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O36"/>
  <sheetViews>
    <sheetView workbookViewId="0">
      <pane ySplit="2" topLeftCell="A17" activePane="bottomLeft" state="frozen"/>
      <selection pane="bottomLeft" activeCell="M34" sqref="M34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14.7109375" style="5" customWidth="1"/>
    <col min="10" max="10" width="10.855468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538" t="s">
        <v>154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"/>
    </row>
    <row r="2" spans="1:15">
      <c r="A2" s="97" t="s">
        <v>0</v>
      </c>
      <c r="B2" s="98" t="s">
        <v>166</v>
      </c>
      <c r="C2" s="98" t="s">
        <v>167</v>
      </c>
      <c r="D2" s="98" t="s">
        <v>198</v>
      </c>
      <c r="E2" s="98" t="s">
        <v>169</v>
      </c>
      <c r="F2" s="98" t="s">
        <v>170</v>
      </c>
      <c r="G2" s="98" t="s">
        <v>171</v>
      </c>
      <c r="H2" s="98" t="s">
        <v>172</v>
      </c>
      <c r="I2" s="98" t="s">
        <v>170</v>
      </c>
      <c r="J2" s="137" t="s">
        <v>171</v>
      </c>
      <c r="K2" s="99" t="s">
        <v>173</v>
      </c>
      <c r="L2" s="138" t="s">
        <v>174</v>
      </c>
      <c r="M2" s="142" t="s">
        <v>199</v>
      </c>
      <c r="N2" s="100" t="s">
        <v>176</v>
      </c>
      <c r="O2" s="59"/>
    </row>
    <row r="3" spans="1:15">
      <c r="A3" s="154"/>
      <c r="B3" s="17" t="s">
        <v>177</v>
      </c>
      <c r="C3" s="155"/>
      <c r="D3" s="155"/>
      <c r="E3" s="155"/>
      <c r="F3" s="155"/>
      <c r="G3" s="155"/>
      <c r="H3" s="155"/>
      <c r="I3" s="155"/>
      <c r="J3" s="156"/>
      <c r="K3" s="68">
        <v>119708.40840000007</v>
      </c>
      <c r="L3" s="157"/>
      <c r="M3" s="80">
        <v>119708.40840000007</v>
      </c>
      <c r="N3" s="155"/>
      <c r="O3" s="59">
        <v>86559.56660000002</v>
      </c>
    </row>
    <row r="4" spans="1:15">
      <c r="A4" s="195">
        <v>1</v>
      </c>
      <c r="B4" s="218">
        <v>46143</v>
      </c>
      <c r="C4" s="67"/>
      <c r="D4" s="158"/>
      <c r="E4" s="65"/>
      <c r="F4" s="6"/>
      <c r="G4" s="8">
        <f>E4*F4</f>
        <v>0</v>
      </c>
      <c r="H4" s="65"/>
      <c r="I4" s="6"/>
      <c r="J4" s="8">
        <f>H4*I4</f>
        <v>0</v>
      </c>
      <c r="K4" s="8">
        <f>G4+J4</f>
        <v>0</v>
      </c>
      <c r="L4" s="68"/>
      <c r="M4" s="68">
        <f>M3+K4-L4</f>
        <v>119708.40840000007</v>
      </c>
      <c r="N4" s="41"/>
      <c r="O4" s="69"/>
    </row>
    <row r="5" spans="1:15">
      <c r="A5" s="46">
        <v>2</v>
      </c>
      <c r="B5" s="218">
        <v>46144</v>
      </c>
      <c r="C5" s="67"/>
      <c r="D5" s="71"/>
      <c r="E5" s="65">
        <v>48.98</v>
      </c>
      <c r="F5" s="6">
        <v>91.3</v>
      </c>
      <c r="G5" s="8">
        <f t="shared" ref="G5:G34" si="0">E5*F5</f>
        <v>4471.8739999999998</v>
      </c>
      <c r="H5" s="65">
        <v>0</v>
      </c>
      <c r="I5" s="6">
        <v>0</v>
      </c>
      <c r="J5" s="8">
        <f t="shared" ref="J5:J34" si="1">H5*I5</f>
        <v>0</v>
      </c>
      <c r="K5" s="8">
        <f t="shared" ref="K5:K34" si="2">G5+J5</f>
        <v>4471.8739999999998</v>
      </c>
      <c r="L5" s="68"/>
      <c r="M5" s="68">
        <f t="shared" ref="M5:M19" si="3">M4+K5-L5</f>
        <v>124180.28240000007</v>
      </c>
      <c r="N5" s="41"/>
      <c r="O5" s="69"/>
    </row>
    <row r="6" spans="1:15">
      <c r="A6" s="46">
        <v>3</v>
      </c>
      <c r="B6" s="218">
        <v>46145</v>
      </c>
      <c r="C6" s="67"/>
      <c r="D6" s="71"/>
      <c r="E6" s="65"/>
      <c r="F6" s="6"/>
      <c r="G6" s="8">
        <f t="shared" si="0"/>
        <v>0</v>
      </c>
      <c r="H6" s="65">
        <v>2</v>
      </c>
      <c r="I6" s="6">
        <v>103.22</v>
      </c>
      <c r="J6" s="8">
        <f t="shared" si="1"/>
        <v>206.44</v>
      </c>
      <c r="K6" s="8">
        <f t="shared" si="2"/>
        <v>206.44</v>
      </c>
      <c r="L6" s="68"/>
      <c r="M6" s="68">
        <f t="shared" si="3"/>
        <v>124386.72240000007</v>
      </c>
      <c r="N6" s="41"/>
      <c r="O6" s="69"/>
    </row>
    <row r="7" spans="1:15">
      <c r="A7" s="46">
        <v>4</v>
      </c>
      <c r="B7" s="218">
        <v>46146</v>
      </c>
      <c r="C7" s="67"/>
      <c r="D7" s="71"/>
      <c r="E7" s="65">
        <v>43.44</v>
      </c>
      <c r="F7" s="6">
        <v>91.3</v>
      </c>
      <c r="G7" s="8">
        <f t="shared" si="0"/>
        <v>3966.0719999999997</v>
      </c>
      <c r="H7" s="65"/>
      <c r="I7" s="6"/>
      <c r="J7" s="8">
        <f t="shared" si="1"/>
        <v>0</v>
      </c>
      <c r="K7" s="8">
        <f t="shared" si="2"/>
        <v>3966.0719999999997</v>
      </c>
      <c r="L7" s="68"/>
      <c r="M7" s="68">
        <f t="shared" si="3"/>
        <v>128352.79440000007</v>
      </c>
      <c r="N7" s="41"/>
      <c r="O7" s="69"/>
    </row>
    <row r="8" spans="1:15">
      <c r="A8" s="46">
        <v>5</v>
      </c>
      <c r="B8" s="218">
        <v>46147</v>
      </c>
      <c r="C8" s="67"/>
      <c r="D8" s="71"/>
      <c r="E8" s="65"/>
      <c r="F8" s="6"/>
      <c r="G8" s="8">
        <f t="shared" si="0"/>
        <v>0</v>
      </c>
      <c r="H8" s="65">
        <v>3</v>
      </c>
      <c r="I8" s="6">
        <v>103.22</v>
      </c>
      <c r="J8" s="8">
        <f t="shared" si="1"/>
        <v>309.65999999999997</v>
      </c>
      <c r="K8" s="8">
        <f t="shared" si="2"/>
        <v>309.65999999999997</v>
      </c>
      <c r="L8" s="68"/>
      <c r="M8" s="68">
        <f t="shared" si="3"/>
        <v>128662.45440000008</v>
      </c>
      <c r="N8" s="41"/>
      <c r="O8" s="69"/>
    </row>
    <row r="9" spans="1:15">
      <c r="A9" s="46">
        <v>6</v>
      </c>
      <c r="B9" s="218">
        <v>46148</v>
      </c>
      <c r="C9" s="67"/>
      <c r="D9" s="71"/>
      <c r="E9" s="65"/>
      <c r="F9" s="6"/>
      <c r="G9" s="8">
        <f t="shared" si="0"/>
        <v>0</v>
      </c>
      <c r="H9" s="65"/>
      <c r="I9" s="6"/>
      <c r="J9" s="8">
        <f t="shared" si="1"/>
        <v>0</v>
      </c>
      <c r="K9" s="8">
        <f t="shared" si="2"/>
        <v>0</v>
      </c>
      <c r="L9" s="68"/>
      <c r="M9" s="68">
        <f t="shared" si="3"/>
        <v>128662.45440000008</v>
      </c>
      <c r="N9" s="41"/>
      <c r="O9" s="69"/>
    </row>
    <row r="10" spans="1:15">
      <c r="A10" s="46">
        <v>7</v>
      </c>
      <c r="B10" s="218">
        <v>46149</v>
      </c>
      <c r="C10" s="67"/>
      <c r="D10" s="71"/>
      <c r="E10" s="65"/>
      <c r="F10" s="6"/>
      <c r="G10" s="8">
        <f t="shared" si="0"/>
        <v>0</v>
      </c>
      <c r="H10" s="65">
        <v>7.38</v>
      </c>
      <c r="I10" s="6">
        <v>103.22</v>
      </c>
      <c r="J10" s="8">
        <f t="shared" si="1"/>
        <v>761.7636</v>
      </c>
      <c r="K10" s="8">
        <f t="shared" ref="K10:K11" si="4">G10+J10</f>
        <v>761.7636</v>
      </c>
      <c r="L10" s="68"/>
      <c r="M10" s="68">
        <f t="shared" si="3"/>
        <v>129424.21800000008</v>
      </c>
      <c r="N10" s="41"/>
      <c r="O10" s="69"/>
    </row>
    <row r="11" spans="1:15">
      <c r="A11" s="46">
        <v>8</v>
      </c>
      <c r="B11" s="218">
        <v>46150</v>
      </c>
      <c r="C11" s="67"/>
      <c r="D11" s="71"/>
      <c r="E11" s="65"/>
      <c r="F11" s="6"/>
      <c r="G11" s="8">
        <f t="shared" si="0"/>
        <v>0</v>
      </c>
      <c r="H11" s="65"/>
      <c r="I11" s="6"/>
      <c r="J11" s="8">
        <f t="shared" si="1"/>
        <v>0</v>
      </c>
      <c r="K11" s="8">
        <f t="shared" si="4"/>
        <v>0</v>
      </c>
      <c r="L11" s="68"/>
      <c r="M11" s="68">
        <f t="shared" si="3"/>
        <v>129424.21800000008</v>
      </c>
      <c r="N11" s="41"/>
      <c r="O11" s="69"/>
    </row>
    <row r="12" spans="1:15">
      <c r="A12" s="46">
        <v>9</v>
      </c>
      <c r="B12" s="218">
        <v>46151</v>
      </c>
      <c r="C12" s="67"/>
      <c r="D12" s="71"/>
      <c r="E12" s="65"/>
      <c r="F12" s="6"/>
      <c r="G12" s="8">
        <f t="shared" si="0"/>
        <v>0</v>
      </c>
      <c r="H12" s="65">
        <v>7.31</v>
      </c>
      <c r="I12" s="6">
        <v>103.22</v>
      </c>
      <c r="J12" s="8">
        <f t="shared" si="1"/>
        <v>754.53819999999996</v>
      </c>
      <c r="K12" s="8">
        <f t="shared" si="2"/>
        <v>754.53819999999996</v>
      </c>
      <c r="L12" s="68"/>
      <c r="M12" s="68">
        <f t="shared" si="3"/>
        <v>130178.75620000008</v>
      </c>
      <c r="N12" s="41"/>
      <c r="O12" s="69"/>
    </row>
    <row r="13" spans="1:15">
      <c r="A13" s="46">
        <v>10</v>
      </c>
      <c r="B13" s="218">
        <v>46152</v>
      </c>
      <c r="C13" s="186"/>
      <c r="D13" s="187"/>
      <c r="E13" s="65"/>
      <c r="F13" s="6"/>
      <c r="G13" s="8">
        <f t="shared" si="0"/>
        <v>0</v>
      </c>
      <c r="H13" s="65"/>
      <c r="I13" s="6"/>
      <c r="J13" s="8">
        <f t="shared" si="1"/>
        <v>0</v>
      </c>
      <c r="K13" s="8">
        <f t="shared" si="2"/>
        <v>0</v>
      </c>
      <c r="L13" s="68"/>
      <c r="M13" s="68">
        <f>M12+K13-L13</f>
        <v>130178.75620000008</v>
      </c>
      <c r="N13" s="41"/>
      <c r="O13" s="69"/>
    </row>
    <row r="14" spans="1:15">
      <c r="A14" s="46">
        <v>11</v>
      </c>
      <c r="B14" s="218">
        <v>46153</v>
      </c>
      <c r="C14" s="175"/>
      <c r="D14" s="175"/>
      <c r="E14" s="301"/>
      <c r="F14" s="310"/>
      <c r="G14" s="8">
        <f t="shared" si="0"/>
        <v>0</v>
      </c>
      <c r="H14" s="65"/>
      <c r="I14" s="6"/>
      <c r="J14" s="8">
        <f t="shared" si="1"/>
        <v>0</v>
      </c>
      <c r="K14" s="8">
        <f t="shared" si="2"/>
        <v>0</v>
      </c>
      <c r="L14" s="68"/>
      <c r="M14" s="68">
        <f t="shared" si="3"/>
        <v>130178.75620000008</v>
      </c>
      <c r="N14" s="41"/>
      <c r="O14" s="69"/>
    </row>
    <row r="15" spans="1:15">
      <c r="A15" s="46">
        <v>12</v>
      </c>
      <c r="B15" s="218">
        <v>46154</v>
      </c>
      <c r="C15" s="175"/>
      <c r="D15" s="175"/>
      <c r="E15" s="301"/>
      <c r="F15" s="310"/>
      <c r="G15" s="8">
        <f t="shared" si="0"/>
        <v>0</v>
      </c>
      <c r="H15" s="65">
        <v>3.3</v>
      </c>
      <c r="I15" s="6">
        <v>103.22</v>
      </c>
      <c r="J15" s="8">
        <f t="shared" si="1"/>
        <v>340.62599999999998</v>
      </c>
      <c r="K15" s="8">
        <f t="shared" si="2"/>
        <v>340.62599999999998</v>
      </c>
      <c r="L15" s="68"/>
      <c r="M15" s="68">
        <f>M14+K15-L15</f>
        <v>130519.38220000008</v>
      </c>
      <c r="N15" s="41"/>
      <c r="O15" s="69"/>
    </row>
    <row r="16" spans="1:15">
      <c r="A16" s="46">
        <v>13</v>
      </c>
      <c r="B16" s="218">
        <v>46155</v>
      </c>
      <c r="C16" s="175"/>
      <c r="D16" s="175"/>
      <c r="E16" s="65">
        <v>20</v>
      </c>
      <c r="F16" s="6">
        <v>91.5</v>
      </c>
      <c r="G16" s="8">
        <f t="shared" si="0"/>
        <v>1830</v>
      </c>
      <c r="H16" s="65"/>
      <c r="I16" s="6"/>
      <c r="J16" s="8">
        <f t="shared" si="1"/>
        <v>0</v>
      </c>
      <c r="K16" s="8">
        <f t="shared" si="2"/>
        <v>1830</v>
      </c>
      <c r="L16" s="68"/>
      <c r="M16" s="68">
        <f t="shared" si="3"/>
        <v>132349.38220000008</v>
      </c>
      <c r="N16" s="41"/>
      <c r="O16" s="69"/>
    </row>
    <row r="17" spans="1:15">
      <c r="A17" s="46">
        <v>14</v>
      </c>
      <c r="B17" s="218">
        <v>46156</v>
      </c>
      <c r="C17" s="175"/>
      <c r="D17" s="175"/>
      <c r="E17" s="65"/>
      <c r="F17" s="6"/>
      <c r="G17" s="8">
        <f t="shared" si="0"/>
        <v>0</v>
      </c>
      <c r="H17" s="301">
        <v>8</v>
      </c>
      <c r="I17" s="6">
        <v>103.22</v>
      </c>
      <c r="J17" s="8">
        <f t="shared" si="1"/>
        <v>825.76</v>
      </c>
      <c r="K17" s="8">
        <f t="shared" si="2"/>
        <v>825.76</v>
      </c>
      <c r="L17" s="68"/>
      <c r="M17" s="68">
        <f t="shared" si="3"/>
        <v>133175.14220000009</v>
      </c>
      <c r="N17" s="41"/>
      <c r="O17" s="69"/>
    </row>
    <row r="18" spans="1:15">
      <c r="A18" s="46">
        <v>15</v>
      </c>
      <c r="B18" s="218">
        <v>46157</v>
      </c>
      <c r="C18" s="175"/>
      <c r="D18" s="175"/>
      <c r="E18" s="65">
        <v>200</v>
      </c>
      <c r="F18" s="6">
        <v>94.41</v>
      </c>
      <c r="G18" s="8">
        <f t="shared" si="0"/>
        <v>18882</v>
      </c>
      <c r="H18" s="65"/>
      <c r="I18" s="6"/>
      <c r="J18" s="8">
        <f t="shared" si="1"/>
        <v>0</v>
      </c>
      <c r="K18" s="8">
        <f t="shared" si="2"/>
        <v>18882</v>
      </c>
      <c r="L18" s="68"/>
      <c r="M18" s="68">
        <f t="shared" si="3"/>
        <v>152057.14220000009</v>
      </c>
      <c r="N18" s="41"/>
      <c r="O18" s="69"/>
    </row>
    <row r="19" spans="1:15">
      <c r="A19" s="46">
        <v>16</v>
      </c>
      <c r="B19" s="218">
        <v>46158</v>
      </c>
      <c r="C19" s="175"/>
      <c r="D19" s="175"/>
      <c r="E19" s="65"/>
      <c r="F19" s="6"/>
      <c r="G19" s="8">
        <f t="shared" si="0"/>
        <v>0</v>
      </c>
      <c r="H19" s="65"/>
      <c r="I19" s="6"/>
      <c r="J19" s="8">
        <f t="shared" si="1"/>
        <v>0</v>
      </c>
      <c r="K19" s="8">
        <f t="shared" si="2"/>
        <v>0</v>
      </c>
      <c r="L19" s="68"/>
      <c r="M19" s="68">
        <f t="shared" si="3"/>
        <v>152057.14220000009</v>
      </c>
      <c r="N19" s="41"/>
      <c r="O19" s="69"/>
    </row>
    <row r="20" spans="1:15">
      <c r="A20" s="46">
        <v>17</v>
      </c>
      <c r="B20" s="218">
        <v>46159</v>
      </c>
      <c r="C20" s="175"/>
      <c r="D20" s="175"/>
      <c r="E20" s="65"/>
      <c r="F20" s="6"/>
      <c r="G20" s="8">
        <f t="shared" si="0"/>
        <v>0</v>
      </c>
      <c r="H20" s="65"/>
      <c r="I20" s="6"/>
      <c r="J20" s="8">
        <f t="shared" si="1"/>
        <v>0</v>
      </c>
      <c r="K20" s="8">
        <f t="shared" si="2"/>
        <v>0</v>
      </c>
      <c r="L20" s="68"/>
      <c r="M20" s="68">
        <f t="shared" ref="M20:M34" si="5">M19+K20-L20</f>
        <v>152057.14220000009</v>
      </c>
      <c r="N20" s="41"/>
      <c r="O20" s="69"/>
    </row>
    <row r="21" spans="1:15">
      <c r="A21" s="46">
        <v>18</v>
      </c>
      <c r="B21" s="218">
        <v>46160</v>
      </c>
      <c r="C21" s="175"/>
      <c r="D21" s="175"/>
      <c r="E21" s="65"/>
      <c r="F21" s="6"/>
      <c r="G21" s="8">
        <f t="shared" si="0"/>
        <v>0</v>
      </c>
      <c r="H21" s="65"/>
      <c r="I21" s="6"/>
      <c r="J21" s="8">
        <f t="shared" si="1"/>
        <v>0</v>
      </c>
      <c r="K21" s="8">
        <f t="shared" si="2"/>
        <v>0</v>
      </c>
      <c r="L21" s="68"/>
      <c r="M21" s="68">
        <f t="shared" si="5"/>
        <v>152057.14220000009</v>
      </c>
      <c r="N21" s="41"/>
      <c r="O21" s="69"/>
    </row>
    <row r="22" spans="1:15">
      <c r="A22" s="46">
        <v>19</v>
      </c>
      <c r="B22" s="218">
        <v>46161</v>
      </c>
      <c r="C22" s="175"/>
      <c r="D22" s="175"/>
      <c r="E22" s="65">
        <v>27.74</v>
      </c>
      <c r="F22" s="6">
        <v>95.36</v>
      </c>
      <c r="G22" s="8">
        <f t="shared" si="0"/>
        <v>2645.2864</v>
      </c>
      <c r="H22" s="65"/>
      <c r="I22" s="6"/>
      <c r="J22" s="8">
        <f t="shared" si="1"/>
        <v>0</v>
      </c>
      <c r="K22" s="8">
        <f t="shared" ref="K22" si="6">G22+J22</f>
        <v>2645.2864</v>
      </c>
      <c r="L22" s="68"/>
      <c r="M22" s="68">
        <f t="shared" si="5"/>
        <v>154702.4286000001</v>
      </c>
      <c r="N22" s="41"/>
      <c r="O22" s="69"/>
    </row>
    <row r="23" spans="1:15">
      <c r="A23" s="46">
        <v>20</v>
      </c>
      <c r="B23" s="218">
        <v>46162</v>
      </c>
      <c r="C23" s="175"/>
      <c r="D23" s="175"/>
      <c r="E23" s="65"/>
      <c r="F23" s="6"/>
      <c r="G23" s="8">
        <f t="shared" si="0"/>
        <v>0</v>
      </c>
      <c r="H23" s="65"/>
      <c r="I23" s="6"/>
      <c r="J23" s="8">
        <f t="shared" si="1"/>
        <v>0</v>
      </c>
      <c r="K23" s="8">
        <f t="shared" si="2"/>
        <v>0</v>
      </c>
      <c r="L23" s="68"/>
      <c r="M23" s="68">
        <f t="shared" si="5"/>
        <v>154702.4286000001</v>
      </c>
      <c r="N23" s="41"/>
      <c r="O23" s="69"/>
    </row>
    <row r="24" spans="1:15">
      <c r="A24" s="46">
        <v>21</v>
      </c>
      <c r="B24" s="218">
        <v>46163</v>
      </c>
      <c r="C24" s="175"/>
      <c r="D24" s="175"/>
      <c r="E24" s="65"/>
      <c r="F24" s="6"/>
      <c r="G24" s="8">
        <f t="shared" si="0"/>
        <v>0</v>
      </c>
      <c r="H24" s="65">
        <v>8.2899999999999991</v>
      </c>
      <c r="I24" s="6">
        <v>109.43</v>
      </c>
      <c r="J24" s="8">
        <f t="shared" si="1"/>
        <v>907.17469999999992</v>
      </c>
      <c r="K24" s="8">
        <f t="shared" si="2"/>
        <v>907.17469999999992</v>
      </c>
      <c r="L24" s="68">
        <v>150000</v>
      </c>
      <c r="M24" s="68">
        <f t="shared" si="5"/>
        <v>5609.6033000001044</v>
      </c>
      <c r="N24" s="41"/>
      <c r="O24" s="69"/>
    </row>
    <row r="25" spans="1:15">
      <c r="A25" s="46">
        <v>22</v>
      </c>
      <c r="B25" s="218">
        <v>46164</v>
      </c>
      <c r="C25" s="175"/>
      <c r="D25" s="175"/>
      <c r="E25" s="65"/>
      <c r="F25" s="6"/>
      <c r="G25" s="8">
        <f t="shared" si="0"/>
        <v>0</v>
      </c>
      <c r="H25" s="65">
        <v>8.01</v>
      </c>
      <c r="I25" s="6">
        <v>109.43</v>
      </c>
      <c r="J25" s="8">
        <f t="shared" si="1"/>
        <v>876.53430000000003</v>
      </c>
      <c r="K25" s="8">
        <f t="shared" si="2"/>
        <v>876.53430000000003</v>
      </c>
      <c r="L25" s="68"/>
      <c r="M25" s="68">
        <f t="shared" si="5"/>
        <v>6486.1376000001046</v>
      </c>
      <c r="N25" s="41"/>
      <c r="O25" s="69"/>
    </row>
    <row r="26" spans="1:15">
      <c r="A26" s="46">
        <v>23</v>
      </c>
      <c r="B26" s="218">
        <v>46165</v>
      </c>
      <c r="C26" s="209"/>
      <c r="D26" s="209"/>
      <c r="E26" s="65">
        <v>10</v>
      </c>
      <c r="F26" s="6">
        <v>96.31</v>
      </c>
      <c r="G26" s="8">
        <f t="shared" si="0"/>
        <v>963.1</v>
      </c>
      <c r="H26" s="65"/>
      <c r="I26" s="6"/>
      <c r="J26" s="8">
        <f t="shared" si="1"/>
        <v>0</v>
      </c>
      <c r="K26" s="8">
        <f t="shared" si="2"/>
        <v>963.1</v>
      </c>
      <c r="L26" s="68"/>
      <c r="M26" s="68">
        <f t="shared" si="5"/>
        <v>7449.237600000105</v>
      </c>
      <c r="N26" s="210"/>
      <c r="O26" s="69">
        <v>51702</v>
      </c>
    </row>
    <row r="27" spans="1:15">
      <c r="A27" s="46">
        <v>24</v>
      </c>
      <c r="B27" s="218">
        <v>46166</v>
      </c>
      <c r="C27" s="209"/>
      <c r="D27" s="209"/>
      <c r="E27" s="65"/>
      <c r="F27" s="6"/>
      <c r="G27" s="8">
        <f t="shared" si="0"/>
        <v>0</v>
      </c>
      <c r="H27" s="65"/>
      <c r="I27" s="6"/>
      <c r="J27" s="8">
        <f t="shared" si="1"/>
        <v>0</v>
      </c>
      <c r="K27" s="8">
        <f t="shared" si="2"/>
        <v>0</v>
      </c>
      <c r="L27" s="68"/>
      <c r="M27" s="68">
        <f t="shared" si="5"/>
        <v>7449.237600000105</v>
      </c>
      <c r="N27" s="210"/>
      <c r="O27" s="69"/>
    </row>
    <row r="28" spans="1:15">
      <c r="A28" s="220">
        <v>25</v>
      </c>
      <c r="B28" s="218">
        <v>46167</v>
      </c>
      <c r="C28" s="209"/>
      <c r="D28" s="209"/>
      <c r="E28" s="65"/>
      <c r="F28" s="6"/>
      <c r="G28" s="8">
        <f t="shared" si="0"/>
        <v>0</v>
      </c>
      <c r="H28" s="65"/>
      <c r="I28" s="6"/>
      <c r="J28" s="8">
        <f t="shared" si="1"/>
        <v>0</v>
      </c>
      <c r="K28" s="8">
        <f t="shared" si="2"/>
        <v>0</v>
      </c>
      <c r="L28" s="68"/>
      <c r="M28" s="68">
        <f>M27+K28-L28</f>
        <v>7449.237600000105</v>
      </c>
      <c r="N28" s="210"/>
      <c r="O28" s="69"/>
    </row>
    <row r="29" spans="1:15">
      <c r="A29" s="220">
        <v>26</v>
      </c>
      <c r="B29" s="218">
        <v>46168</v>
      </c>
      <c r="C29" s="209"/>
      <c r="D29" s="209"/>
      <c r="E29" s="65"/>
      <c r="F29" s="6"/>
      <c r="G29" s="8">
        <f t="shared" si="0"/>
        <v>0</v>
      </c>
      <c r="H29" s="65">
        <v>6.47</v>
      </c>
      <c r="I29" s="6">
        <v>113.19</v>
      </c>
      <c r="J29" s="8">
        <f t="shared" si="1"/>
        <v>732.33929999999998</v>
      </c>
      <c r="K29" s="8">
        <f t="shared" si="2"/>
        <v>732.33929999999998</v>
      </c>
      <c r="L29" s="68"/>
      <c r="M29" s="68">
        <f t="shared" si="5"/>
        <v>8181.5769000001046</v>
      </c>
      <c r="N29" s="210"/>
      <c r="O29" s="69"/>
    </row>
    <row r="30" spans="1:15">
      <c r="A30" s="220">
        <v>27</v>
      </c>
      <c r="B30" s="218">
        <v>46169</v>
      </c>
      <c r="C30" s="209"/>
      <c r="D30" s="209"/>
      <c r="E30" s="65">
        <v>26.47</v>
      </c>
      <c r="F30" s="6">
        <v>99.12</v>
      </c>
      <c r="G30" s="8">
        <f t="shared" si="0"/>
        <v>2623.7064</v>
      </c>
      <c r="H30" s="65"/>
      <c r="I30" s="6"/>
      <c r="J30" s="8">
        <f t="shared" si="1"/>
        <v>0</v>
      </c>
      <c r="K30" s="8">
        <f t="shared" si="2"/>
        <v>2623.7064</v>
      </c>
      <c r="L30" s="68"/>
      <c r="M30" s="68">
        <f t="shared" si="5"/>
        <v>10805.283300000105</v>
      </c>
      <c r="N30" s="210"/>
      <c r="O30" s="69"/>
    </row>
    <row r="31" spans="1:15">
      <c r="A31" s="220">
        <v>28</v>
      </c>
      <c r="B31" s="218">
        <v>46170</v>
      </c>
      <c r="C31" s="209"/>
      <c r="D31" s="209"/>
      <c r="E31" s="65"/>
      <c r="F31" s="6"/>
      <c r="G31" s="8">
        <f t="shared" si="0"/>
        <v>0</v>
      </c>
      <c r="H31" s="65"/>
      <c r="I31" s="6"/>
      <c r="J31" s="8">
        <f t="shared" si="1"/>
        <v>0</v>
      </c>
      <c r="K31" s="8">
        <f t="shared" si="2"/>
        <v>0</v>
      </c>
      <c r="L31" s="68"/>
      <c r="M31" s="68">
        <f t="shared" si="5"/>
        <v>10805.283300000105</v>
      </c>
      <c r="N31" s="210"/>
      <c r="O31" s="69"/>
    </row>
    <row r="32" spans="1:15">
      <c r="A32" s="221">
        <v>29</v>
      </c>
      <c r="B32" s="218">
        <v>46171</v>
      </c>
      <c r="C32" s="209"/>
      <c r="D32" s="209"/>
      <c r="E32" s="65"/>
      <c r="F32" s="6"/>
      <c r="G32" s="8">
        <f t="shared" si="0"/>
        <v>0</v>
      </c>
      <c r="H32" s="65">
        <v>10</v>
      </c>
      <c r="I32" s="6">
        <v>113.19</v>
      </c>
      <c r="J32" s="8">
        <f t="shared" si="1"/>
        <v>1131.9000000000001</v>
      </c>
      <c r="K32" s="8">
        <f t="shared" si="2"/>
        <v>1131.9000000000001</v>
      </c>
      <c r="L32" s="68"/>
      <c r="M32" s="68">
        <f t="shared" si="5"/>
        <v>11937.183300000104</v>
      </c>
      <c r="N32" s="210"/>
      <c r="O32" s="69"/>
    </row>
    <row r="33" spans="1:15">
      <c r="A33" s="221">
        <v>30</v>
      </c>
      <c r="B33" s="218">
        <v>46172</v>
      </c>
      <c r="C33" s="209"/>
      <c r="D33" s="209"/>
      <c r="E33" s="65">
        <v>39.96</v>
      </c>
      <c r="F33" s="6">
        <v>99.12</v>
      </c>
      <c r="G33" s="8">
        <f t="shared" si="0"/>
        <v>3960.8352000000004</v>
      </c>
      <c r="H33" s="65"/>
      <c r="I33" s="6"/>
      <c r="J33" s="8">
        <f t="shared" si="1"/>
        <v>0</v>
      </c>
      <c r="K33" s="8">
        <f t="shared" si="2"/>
        <v>3960.8352000000004</v>
      </c>
      <c r="L33" s="68"/>
      <c r="M33" s="68">
        <f t="shared" si="5"/>
        <v>15898.018500000104</v>
      </c>
      <c r="N33" s="210"/>
      <c r="O33" s="69"/>
    </row>
    <row r="34" spans="1:15">
      <c r="A34" s="221">
        <v>31</v>
      </c>
      <c r="B34" s="218">
        <v>46173</v>
      </c>
      <c r="C34" s="209"/>
      <c r="D34" s="209"/>
      <c r="E34" s="65"/>
      <c r="F34" s="6"/>
      <c r="G34" s="8">
        <f t="shared" si="0"/>
        <v>0</v>
      </c>
      <c r="H34" s="65">
        <v>3</v>
      </c>
      <c r="I34" s="6">
        <v>113.19</v>
      </c>
      <c r="J34" s="8">
        <f t="shared" si="1"/>
        <v>339.57</v>
      </c>
      <c r="K34" s="8">
        <f t="shared" si="2"/>
        <v>339.57</v>
      </c>
      <c r="L34" s="68"/>
      <c r="M34" s="68">
        <f t="shared" si="5"/>
        <v>16237.588500000104</v>
      </c>
      <c r="N34" s="210"/>
      <c r="O34" s="69"/>
    </row>
    <row r="35" spans="1:15">
      <c r="A35" s="159"/>
      <c r="B35" s="159"/>
      <c r="C35" s="159"/>
      <c r="D35" s="159"/>
      <c r="E35" s="160">
        <f>SUM(E4:E34)</f>
        <v>416.59</v>
      </c>
      <c r="F35" s="160"/>
      <c r="G35" s="160">
        <f>SUM(G4:G34)</f>
        <v>39342.874000000003</v>
      </c>
      <c r="H35" s="160">
        <f>SUM(H4:H34)</f>
        <v>66.759999999999991</v>
      </c>
      <c r="I35" s="160"/>
      <c r="J35" s="160">
        <f>SUM(J4:J34)</f>
        <v>7186.3060999999998</v>
      </c>
      <c r="K35" s="160">
        <f>SUM(K4:K34)</f>
        <v>46529.180100000005</v>
      </c>
      <c r="L35" s="160">
        <f>SUM(L4:L34)</f>
        <v>150000</v>
      </c>
      <c r="M35" s="160"/>
      <c r="N35" s="160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</sheetData>
  <mergeCells count="1">
    <mergeCell ref="A1:N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P46"/>
  <sheetViews>
    <sheetView workbookViewId="0">
      <selection activeCell="M10" sqref="M10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4.7109375" bestFit="1" customWidth="1"/>
  </cols>
  <sheetData>
    <row r="1" spans="1:16" ht="15.75">
      <c r="A1" s="560" t="s">
        <v>156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"/>
    </row>
    <row r="2" spans="1:16" ht="30">
      <c r="A2" s="64" t="s">
        <v>0</v>
      </c>
      <c r="B2" s="83" t="s">
        <v>166</v>
      </c>
      <c r="C2" s="83" t="s">
        <v>167</v>
      </c>
      <c r="D2" s="83" t="s">
        <v>198</v>
      </c>
      <c r="E2" s="83" t="s">
        <v>169</v>
      </c>
      <c r="F2" s="83" t="s">
        <v>170</v>
      </c>
      <c r="G2" s="90" t="s">
        <v>171</v>
      </c>
      <c r="H2" s="83" t="s">
        <v>172</v>
      </c>
      <c r="I2" s="83" t="s">
        <v>170</v>
      </c>
      <c r="J2" s="90" t="s">
        <v>171</v>
      </c>
      <c r="K2" s="64" t="s">
        <v>173</v>
      </c>
      <c r="L2" s="91" t="s">
        <v>174</v>
      </c>
      <c r="M2" s="85" t="s">
        <v>199</v>
      </c>
      <c r="N2" s="83" t="s">
        <v>176</v>
      </c>
      <c r="O2" s="5"/>
    </row>
    <row r="3" spans="1:16">
      <c r="A3" s="593" t="s">
        <v>177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5"/>
      <c r="M3" s="596">
        <v>5617.8127000000022</v>
      </c>
      <c r="N3" s="597"/>
      <c r="O3" s="5"/>
    </row>
    <row r="4" spans="1:16">
      <c r="A4" s="195">
        <v>1</v>
      </c>
      <c r="B4" s="218" t="s">
        <v>192</v>
      </c>
      <c r="C4" s="6"/>
      <c r="D4" s="6"/>
      <c r="E4" s="65">
        <v>75</v>
      </c>
      <c r="F4" s="6">
        <v>91.25</v>
      </c>
      <c r="G4" s="66">
        <f>E4*F4</f>
        <v>6843.75</v>
      </c>
      <c r="H4" s="65"/>
      <c r="I4" s="6"/>
      <c r="J4" s="66">
        <f>H4*I4</f>
        <v>0</v>
      </c>
      <c r="K4" s="66">
        <f>G4+J4</f>
        <v>6843.75</v>
      </c>
      <c r="L4" s="161">
        <v>0</v>
      </c>
      <c r="M4" s="148">
        <f>M3+K4-L4</f>
        <v>12461.562700000002</v>
      </c>
      <c r="N4" s="46"/>
      <c r="O4" s="5">
        <v>908.20409999999981</v>
      </c>
    </row>
    <row r="5" spans="1:16">
      <c r="A5" s="46">
        <v>2</v>
      </c>
      <c r="B5" s="218" t="s">
        <v>193</v>
      </c>
      <c r="C5" s="6"/>
      <c r="D5" s="6"/>
      <c r="E5" s="65">
        <v>15</v>
      </c>
      <c r="F5" s="6">
        <v>91.25</v>
      </c>
      <c r="G5" s="66">
        <f t="shared" ref="G5:G17" si="0">E5*F5</f>
        <v>1368.75</v>
      </c>
      <c r="H5" s="65"/>
      <c r="I5" s="6"/>
      <c r="J5" s="66">
        <f t="shared" ref="J5:J42" si="1">H5*I5</f>
        <v>0</v>
      </c>
      <c r="K5" s="66">
        <f t="shared" ref="K5:K42" si="2">G5+J5</f>
        <v>1368.75</v>
      </c>
      <c r="L5" s="161">
        <v>0</v>
      </c>
      <c r="M5" s="148">
        <f t="shared" ref="M5:M43" si="3">M4+K5-L5</f>
        <v>13830.312700000002</v>
      </c>
      <c r="N5" s="46"/>
      <c r="O5" s="5"/>
    </row>
    <row r="6" spans="1:16">
      <c r="A6" s="46">
        <v>3</v>
      </c>
      <c r="B6" s="218" t="s">
        <v>194</v>
      </c>
      <c r="C6" s="6"/>
      <c r="D6" s="6"/>
      <c r="E6" s="65">
        <v>30</v>
      </c>
      <c r="F6" s="6">
        <v>91.25</v>
      </c>
      <c r="G6" s="66">
        <f t="shared" si="0"/>
        <v>2737.5</v>
      </c>
      <c r="H6" s="65"/>
      <c r="I6" s="6"/>
      <c r="J6" s="66">
        <f t="shared" si="1"/>
        <v>0</v>
      </c>
      <c r="K6" s="66">
        <f t="shared" si="2"/>
        <v>2737.5</v>
      </c>
      <c r="L6" s="161">
        <v>0</v>
      </c>
      <c r="M6" s="148">
        <f t="shared" si="3"/>
        <v>16567.812700000002</v>
      </c>
      <c r="N6" s="46"/>
      <c r="O6" s="5"/>
    </row>
    <row r="7" spans="1:16">
      <c r="A7" s="46">
        <v>4</v>
      </c>
      <c r="B7" s="218" t="s">
        <v>241</v>
      </c>
      <c r="C7" s="6"/>
      <c r="D7" s="6"/>
      <c r="E7" s="65">
        <v>30</v>
      </c>
      <c r="F7" s="6">
        <v>94.37</v>
      </c>
      <c r="G7" s="66">
        <f t="shared" si="0"/>
        <v>2831.1000000000004</v>
      </c>
      <c r="H7" s="65"/>
      <c r="I7" s="6"/>
      <c r="J7" s="66">
        <f t="shared" si="1"/>
        <v>0</v>
      </c>
      <c r="K7" s="66">
        <f t="shared" si="2"/>
        <v>2831.1000000000004</v>
      </c>
      <c r="L7" s="161">
        <v>0</v>
      </c>
      <c r="M7" s="148">
        <f t="shared" si="3"/>
        <v>19398.912700000001</v>
      </c>
      <c r="N7" s="46"/>
      <c r="O7" s="5"/>
    </row>
    <row r="8" spans="1:16">
      <c r="A8" s="46">
        <v>5</v>
      </c>
      <c r="B8" s="218" t="s">
        <v>263</v>
      </c>
      <c r="C8" s="6"/>
      <c r="D8" s="6"/>
      <c r="E8" s="65">
        <v>86.789999999999992</v>
      </c>
      <c r="F8" s="6">
        <v>99.07</v>
      </c>
      <c r="G8" s="66">
        <f t="shared" si="0"/>
        <v>8598.2852999999977</v>
      </c>
      <c r="H8" s="65"/>
      <c r="I8" s="6"/>
      <c r="J8" s="66">
        <f t="shared" si="1"/>
        <v>0</v>
      </c>
      <c r="K8" s="66">
        <f t="shared" si="2"/>
        <v>8598.2852999999977</v>
      </c>
      <c r="L8" s="161">
        <v>0</v>
      </c>
      <c r="M8" s="148">
        <f t="shared" si="3"/>
        <v>27997.197999999997</v>
      </c>
      <c r="N8" s="46"/>
      <c r="O8" s="5"/>
    </row>
    <row r="9" spans="1:16">
      <c r="A9" s="46">
        <v>6</v>
      </c>
      <c r="B9" s="218" t="s">
        <v>269</v>
      </c>
      <c r="C9" s="6"/>
      <c r="D9" s="6"/>
      <c r="E9" s="65"/>
      <c r="F9" s="6"/>
      <c r="G9" s="66">
        <f t="shared" si="0"/>
        <v>0</v>
      </c>
      <c r="H9" s="65"/>
      <c r="I9" s="6"/>
      <c r="J9" s="66">
        <f t="shared" si="1"/>
        <v>0</v>
      </c>
      <c r="K9" s="66">
        <f t="shared" si="2"/>
        <v>0</v>
      </c>
      <c r="L9" s="161">
        <v>19000</v>
      </c>
      <c r="M9" s="148">
        <f t="shared" si="3"/>
        <v>8997.1979999999967</v>
      </c>
      <c r="N9" s="46"/>
      <c r="O9" s="5"/>
    </row>
    <row r="10" spans="1:16">
      <c r="A10" s="46">
        <v>7</v>
      </c>
      <c r="B10" s="218" t="s">
        <v>274</v>
      </c>
      <c r="C10" s="6"/>
      <c r="D10" s="6"/>
      <c r="E10" s="65">
        <v>36.86</v>
      </c>
      <c r="F10" s="6">
        <v>99.07</v>
      </c>
      <c r="G10" s="66">
        <f t="shared" si="0"/>
        <v>3651.7201999999997</v>
      </c>
      <c r="H10" s="65"/>
      <c r="I10" s="6"/>
      <c r="J10" s="66">
        <f t="shared" si="1"/>
        <v>0</v>
      </c>
      <c r="K10" s="66">
        <f t="shared" si="2"/>
        <v>3651.7201999999997</v>
      </c>
      <c r="L10" s="161">
        <v>0</v>
      </c>
      <c r="M10" s="148">
        <f t="shared" si="3"/>
        <v>12648.918199999996</v>
      </c>
      <c r="N10" s="46"/>
      <c r="O10" s="5"/>
    </row>
    <row r="11" spans="1:16">
      <c r="A11" s="46">
        <v>8</v>
      </c>
      <c r="B11" s="218"/>
      <c r="C11" s="6"/>
      <c r="D11" s="6"/>
      <c r="E11" s="65"/>
      <c r="F11" s="6"/>
      <c r="G11" s="66">
        <f t="shared" si="0"/>
        <v>0</v>
      </c>
      <c r="H11" s="65"/>
      <c r="I11" s="6"/>
      <c r="J11" s="66">
        <f t="shared" si="1"/>
        <v>0</v>
      </c>
      <c r="K11" s="66">
        <f t="shared" si="2"/>
        <v>0</v>
      </c>
      <c r="L11" s="161">
        <v>0</v>
      </c>
      <c r="M11" s="148">
        <f t="shared" si="3"/>
        <v>12648.918199999996</v>
      </c>
      <c r="N11" s="46"/>
      <c r="O11" s="5"/>
      <c r="P11" s="68">
        <f>P10+N11-O11</f>
        <v>0</v>
      </c>
    </row>
    <row r="12" spans="1:16">
      <c r="A12" s="46">
        <v>9</v>
      </c>
      <c r="B12" s="218"/>
      <c r="C12" s="6"/>
      <c r="D12" s="6"/>
      <c r="E12" s="65"/>
      <c r="F12" s="6"/>
      <c r="G12" s="66">
        <f t="shared" si="0"/>
        <v>0</v>
      </c>
      <c r="H12" s="65"/>
      <c r="I12" s="6"/>
      <c r="J12" s="66">
        <f t="shared" si="1"/>
        <v>0</v>
      </c>
      <c r="K12" s="66">
        <f t="shared" si="2"/>
        <v>0</v>
      </c>
      <c r="L12" s="161">
        <v>0</v>
      </c>
      <c r="M12" s="148">
        <f t="shared" si="3"/>
        <v>12648.918199999996</v>
      </c>
      <c r="N12" s="46"/>
      <c r="O12" s="5"/>
    </row>
    <row r="13" spans="1:16">
      <c r="A13" s="46">
        <v>10</v>
      </c>
      <c r="B13" s="218"/>
      <c r="C13" s="6"/>
      <c r="D13" s="6"/>
      <c r="E13" s="65"/>
      <c r="F13" s="6"/>
      <c r="G13" s="66">
        <f t="shared" si="0"/>
        <v>0</v>
      </c>
      <c r="H13" s="65"/>
      <c r="I13" s="6"/>
      <c r="J13" s="66">
        <f t="shared" si="1"/>
        <v>0</v>
      </c>
      <c r="K13" s="66">
        <f t="shared" si="2"/>
        <v>0</v>
      </c>
      <c r="L13" s="161">
        <v>0</v>
      </c>
      <c r="M13" s="148">
        <f t="shared" si="3"/>
        <v>12648.918199999996</v>
      </c>
      <c r="N13" s="46"/>
      <c r="O13" s="5"/>
    </row>
    <row r="14" spans="1:16">
      <c r="A14" s="46">
        <v>11</v>
      </c>
      <c r="B14" s="218"/>
      <c r="C14" s="6"/>
      <c r="D14" s="6"/>
      <c r="E14" s="65"/>
      <c r="F14" s="6"/>
      <c r="G14" s="66">
        <f t="shared" si="0"/>
        <v>0</v>
      </c>
      <c r="H14" s="65"/>
      <c r="I14" s="6"/>
      <c r="J14" s="66">
        <f t="shared" si="1"/>
        <v>0</v>
      </c>
      <c r="K14" s="66">
        <f t="shared" si="2"/>
        <v>0</v>
      </c>
      <c r="L14" s="161">
        <v>0</v>
      </c>
      <c r="M14" s="148">
        <f t="shared" si="3"/>
        <v>12648.918199999996</v>
      </c>
      <c r="N14" s="46"/>
      <c r="O14" s="5"/>
    </row>
    <row r="15" spans="1:16">
      <c r="A15" s="46">
        <v>12</v>
      </c>
      <c r="B15" s="218"/>
      <c r="C15" s="6"/>
      <c r="D15" s="6"/>
      <c r="E15" s="65"/>
      <c r="F15" s="6"/>
      <c r="G15" s="66">
        <f t="shared" si="0"/>
        <v>0</v>
      </c>
      <c r="H15" s="65"/>
      <c r="I15" s="6"/>
      <c r="J15" s="66">
        <f t="shared" si="1"/>
        <v>0</v>
      </c>
      <c r="K15" s="66">
        <f t="shared" si="2"/>
        <v>0</v>
      </c>
      <c r="L15" s="161">
        <v>0</v>
      </c>
      <c r="M15" s="148">
        <f t="shared" si="3"/>
        <v>12648.918199999996</v>
      </c>
      <c r="N15" s="46"/>
      <c r="O15" s="5"/>
    </row>
    <row r="16" spans="1:16">
      <c r="A16" s="46">
        <v>13</v>
      </c>
      <c r="B16" s="218"/>
      <c r="C16" s="6"/>
      <c r="D16" s="6"/>
      <c r="E16" s="65"/>
      <c r="F16" s="6"/>
      <c r="G16" s="66">
        <f t="shared" si="0"/>
        <v>0</v>
      </c>
      <c r="H16" s="65"/>
      <c r="I16" s="6"/>
      <c r="J16" s="66">
        <f t="shared" si="1"/>
        <v>0</v>
      </c>
      <c r="K16" s="66">
        <f t="shared" si="2"/>
        <v>0</v>
      </c>
      <c r="L16" s="161">
        <v>0</v>
      </c>
      <c r="M16" s="148">
        <f t="shared" si="3"/>
        <v>12648.918199999996</v>
      </c>
      <c r="N16" s="46"/>
      <c r="O16" s="5"/>
    </row>
    <row r="17" spans="1:15">
      <c r="A17" s="46">
        <v>14</v>
      </c>
      <c r="B17" s="218"/>
      <c r="C17" s="6"/>
      <c r="D17" s="6"/>
      <c r="E17" s="65"/>
      <c r="F17" s="6"/>
      <c r="G17" s="66">
        <f t="shared" si="0"/>
        <v>0</v>
      </c>
      <c r="H17" s="65"/>
      <c r="I17" s="6"/>
      <c r="J17" s="66">
        <f t="shared" si="1"/>
        <v>0</v>
      </c>
      <c r="K17" s="66">
        <f t="shared" si="2"/>
        <v>0</v>
      </c>
      <c r="L17" s="161">
        <v>0</v>
      </c>
      <c r="M17" s="148">
        <f t="shared" si="3"/>
        <v>12648.918199999996</v>
      </c>
      <c r="N17" s="46"/>
      <c r="O17" s="5"/>
    </row>
    <row r="18" spans="1:15">
      <c r="A18" s="46">
        <v>15</v>
      </c>
      <c r="B18" s="218"/>
      <c r="C18" s="6"/>
      <c r="D18" s="6"/>
      <c r="E18" s="65"/>
      <c r="F18" s="6"/>
      <c r="G18" s="66">
        <f t="shared" ref="G5:G42" si="4">E18*F18</f>
        <v>0</v>
      </c>
      <c r="H18" s="65"/>
      <c r="I18" s="6"/>
      <c r="J18" s="66">
        <f t="shared" si="1"/>
        <v>0</v>
      </c>
      <c r="K18" s="66">
        <f t="shared" si="2"/>
        <v>0</v>
      </c>
      <c r="L18" s="161">
        <v>0</v>
      </c>
      <c r="M18" s="148">
        <f>M17+K18-L18</f>
        <v>12648.918199999996</v>
      </c>
      <c r="N18" s="46"/>
      <c r="O18" s="5"/>
    </row>
    <row r="19" spans="1:15">
      <c r="A19" s="46">
        <v>16</v>
      </c>
      <c r="B19" s="218"/>
      <c r="C19" s="6"/>
      <c r="D19" s="6"/>
      <c r="E19" s="65"/>
      <c r="F19" s="6"/>
      <c r="G19" s="66">
        <f t="shared" si="4"/>
        <v>0</v>
      </c>
      <c r="H19" s="65"/>
      <c r="I19" s="6"/>
      <c r="J19" s="66">
        <f t="shared" si="1"/>
        <v>0</v>
      </c>
      <c r="K19" s="66">
        <f t="shared" si="2"/>
        <v>0</v>
      </c>
      <c r="L19" s="161">
        <v>0</v>
      </c>
      <c r="M19" s="148">
        <f t="shared" si="3"/>
        <v>12648.918199999996</v>
      </c>
      <c r="N19" s="46"/>
      <c r="O19" s="5"/>
    </row>
    <row r="20" spans="1:15">
      <c r="A20" s="46">
        <v>17</v>
      </c>
      <c r="B20" s="218"/>
      <c r="C20" s="6"/>
      <c r="D20" s="6"/>
      <c r="E20" s="65"/>
      <c r="F20" s="6"/>
      <c r="G20" s="66">
        <f>E20*F20</f>
        <v>0</v>
      </c>
      <c r="H20" s="65"/>
      <c r="I20" s="6"/>
      <c r="J20" s="66">
        <f t="shared" si="1"/>
        <v>0</v>
      </c>
      <c r="K20" s="66">
        <f t="shared" si="2"/>
        <v>0</v>
      </c>
      <c r="L20" s="161">
        <v>0</v>
      </c>
      <c r="M20" s="148">
        <f t="shared" si="3"/>
        <v>12648.918199999996</v>
      </c>
      <c r="N20" s="46"/>
      <c r="O20" s="5"/>
    </row>
    <row r="21" spans="1:15">
      <c r="A21" s="46">
        <v>18</v>
      </c>
      <c r="B21" s="218"/>
      <c r="C21" s="6"/>
      <c r="D21" s="6"/>
      <c r="E21" s="65"/>
      <c r="F21" s="6"/>
      <c r="G21" s="66">
        <f t="shared" si="4"/>
        <v>0</v>
      </c>
      <c r="H21" s="65"/>
      <c r="I21" s="6"/>
      <c r="J21" s="66">
        <f t="shared" si="1"/>
        <v>0</v>
      </c>
      <c r="K21" s="66">
        <f t="shared" si="2"/>
        <v>0</v>
      </c>
      <c r="L21" s="161">
        <v>0</v>
      </c>
      <c r="M21" s="148">
        <f t="shared" si="3"/>
        <v>12648.918199999996</v>
      </c>
      <c r="N21" s="46"/>
      <c r="O21" s="5"/>
    </row>
    <row r="22" spans="1:15">
      <c r="A22" s="46">
        <v>19</v>
      </c>
      <c r="B22" s="218"/>
      <c r="C22" s="6"/>
      <c r="D22" s="6"/>
      <c r="E22" s="65"/>
      <c r="F22" s="6"/>
      <c r="G22" s="66">
        <f t="shared" si="4"/>
        <v>0</v>
      </c>
      <c r="H22" s="65"/>
      <c r="I22" s="6"/>
      <c r="J22" s="66">
        <f t="shared" si="1"/>
        <v>0</v>
      </c>
      <c r="K22" s="66">
        <f t="shared" si="2"/>
        <v>0</v>
      </c>
      <c r="L22" s="161">
        <v>0</v>
      </c>
      <c r="M22" s="148">
        <f t="shared" si="3"/>
        <v>12648.918199999996</v>
      </c>
      <c r="N22" s="46"/>
      <c r="O22" s="5"/>
    </row>
    <row r="23" spans="1:15">
      <c r="A23" s="46">
        <v>20</v>
      </c>
      <c r="B23" s="218"/>
      <c r="C23" s="6"/>
      <c r="D23" s="6"/>
      <c r="E23" s="65"/>
      <c r="F23" s="6"/>
      <c r="G23" s="66">
        <f t="shared" si="4"/>
        <v>0</v>
      </c>
      <c r="H23" s="65"/>
      <c r="I23" s="6"/>
      <c r="J23" s="66">
        <f t="shared" si="1"/>
        <v>0</v>
      </c>
      <c r="K23" s="66">
        <f t="shared" si="2"/>
        <v>0</v>
      </c>
      <c r="L23" s="161">
        <v>0</v>
      </c>
      <c r="M23" s="148">
        <f t="shared" si="3"/>
        <v>12648.918199999996</v>
      </c>
      <c r="N23" s="46"/>
      <c r="O23" s="5"/>
    </row>
    <row r="24" spans="1:15">
      <c r="A24" s="46">
        <v>21</v>
      </c>
      <c r="B24" s="218"/>
      <c r="C24" s="6"/>
      <c r="D24" s="6"/>
      <c r="E24" s="65"/>
      <c r="F24" s="6"/>
      <c r="G24" s="66">
        <f t="shared" si="4"/>
        <v>0</v>
      </c>
      <c r="H24" s="65"/>
      <c r="I24" s="6"/>
      <c r="J24" s="66">
        <f t="shared" si="1"/>
        <v>0</v>
      </c>
      <c r="K24" s="66">
        <f t="shared" si="2"/>
        <v>0</v>
      </c>
      <c r="L24" s="161">
        <v>0</v>
      </c>
      <c r="M24" s="148">
        <f t="shared" si="3"/>
        <v>12648.918199999996</v>
      </c>
      <c r="N24" s="46"/>
      <c r="O24" s="5"/>
    </row>
    <row r="25" spans="1:15">
      <c r="A25" s="46">
        <v>22</v>
      </c>
      <c r="B25" s="218"/>
      <c r="C25" s="6"/>
      <c r="D25" s="6"/>
      <c r="E25" s="65"/>
      <c r="F25" s="6"/>
      <c r="G25" s="66">
        <f t="shared" si="4"/>
        <v>0</v>
      </c>
      <c r="H25" s="65"/>
      <c r="I25" s="6"/>
      <c r="J25" s="66">
        <f t="shared" si="1"/>
        <v>0</v>
      </c>
      <c r="K25" s="66">
        <f t="shared" si="2"/>
        <v>0</v>
      </c>
      <c r="L25" s="161">
        <v>0</v>
      </c>
      <c r="M25" s="148">
        <f t="shared" si="3"/>
        <v>12648.918199999996</v>
      </c>
      <c r="N25" s="46"/>
      <c r="O25" s="5"/>
    </row>
    <row r="26" spans="1:15">
      <c r="A26" s="46">
        <v>23</v>
      </c>
      <c r="B26" s="218"/>
      <c r="C26" s="6"/>
      <c r="D26" s="6"/>
      <c r="E26" s="65"/>
      <c r="F26" s="6"/>
      <c r="G26" s="66">
        <f t="shared" si="4"/>
        <v>0</v>
      </c>
      <c r="H26" s="65"/>
      <c r="I26" s="6"/>
      <c r="J26" s="66">
        <f t="shared" si="1"/>
        <v>0</v>
      </c>
      <c r="K26" s="66">
        <f t="shared" si="2"/>
        <v>0</v>
      </c>
      <c r="L26" s="161">
        <v>0</v>
      </c>
      <c r="M26" s="148">
        <f t="shared" si="3"/>
        <v>12648.918199999996</v>
      </c>
      <c r="N26" s="46"/>
      <c r="O26" s="5"/>
    </row>
    <row r="27" spans="1:15">
      <c r="A27" s="46">
        <v>24</v>
      </c>
      <c r="B27" s="218"/>
      <c r="C27" s="6"/>
      <c r="D27" s="6"/>
      <c r="E27" s="65"/>
      <c r="F27" s="6"/>
      <c r="G27" s="66">
        <f t="shared" si="4"/>
        <v>0</v>
      </c>
      <c r="H27" s="65"/>
      <c r="I27" s="6"/>
      <c r="J27" s="66">
        <f t="shared" si="1"/>
        <v>0</v>
      </c>
      <c r="K27" s="66">
        <f t="shared" si="2"/>
        <v>0</v>
      </c>
      <c r="L27" s="161">
        <v>0</v>
      </c>
      <c r="M27" s="148">
        <f t="shared" si="3"/>
        <v>12648.918199999996</v>
      </c>
      <c r="N27" s="6"/>
      <c r="O27" s="5"/>
    </row>
    <row r="28" spans="1:15">
      <c r="A28" s="220">
        <v>25</v>
      </c>
      <c r="B28" s="218"/>
      <c r="C28" s="6"/>
      <c r="D28" s="6"/>
      <c r="E28" s="65"/>
      <c r="F28" s="6"/>
      <c r="G28" s="66">
        <f t="shared" si="4"/>
        <v>0</v>
      </c>
      <c r="H28" s="65"/>
      <c r="I28" s="6"/>
      <c r="J28" s="66">
        <f t="shared" si="1"/>
        <v>0</v>
      </c>
      <c r="K28" s="66">
        <f t="shared" si="2"/>
        <v>0</v>
      </c>
      <c r="L28" s="161">
        <v>0</v>
      </c>
      <c r="M28" s="148">
        <f t="shared" si="3"/>
        <v>12648.918199999996</v>
      </c>
      <c r="N28" s="6"/>
      <c r="O28" s="5"/>
    </row>
    <row r="29" spans="1:15">
      <c r="A29" s="220">
        <v>26</v>
      </c>
      <c r="B29" s="218"/>
      <c r="C29" s="6"/>
      <c r="D29" s="6"/>
      <c r="E29" s="65"/>
      <c r="F29" s="6"/>
      <c r="G29" s="66">
        <f t="shared" si="4"/>
        <v>0</v>
      </c>
      <c r="H29" s="65"/>
      <c r="I29" s="6"/>
      <c r="J29" s="66">
        <f t="shared" si="1"/>
        <v>0</v>
      </c>
      <c r="K29" s="66">
        <f t="shared" si="2"/>
        <v>0</v>
      </c>
      <c r="L29" s="161">
        <v>0</v>
      </c>
      <c r="M29" s="148">
        <f t="shared" si="3"/>
        <v>12648.918199999996</v>
      </c>
      <c r="N29" s="6"/>
      <c r="O29" s="5"/>
    </row>
    <row r="30" spans="1:15">
      <c r="A30" s="220">
        <v>27</v>
      </c>
      <c r="B30" s="218"/>
      <c r="C30" s="6"/>
      <c r="D30" s="6"/>
      <c r="E30" s="65"/>
      <c r="F30" s="6"/>
      <c r="G30" s="66">
        <f t="shared" si="4"/>
        <v>0</v>
      </c>
      <c r="H30" s="65"/>
      <c r="I30" s="6"/>
      <c r="J30" s="66">
        <f t="shared" si="1"/>
        <v>0</v>
      </c>
      <c r="K30" s="66">
        <f t="shared" si="2"/>
        <v>0</v>
      </c>
      <c r="L30" s="161">
        <v>0</v>
      </c>
      <c r="M30" s="148">
        <f t="shared" si="3"/>
        <v>12648.918199999996</v>
      </c>
      <c r="N30" s="6"/>
      <c r="O30" s="5"/>
    </row>
    <row r="31" spans="1:15">
      <c r="A31" s="220">
        <v>28</v>
      </c>
      <c r="B31" s="218"/>
      <c r="C31" s="6"/>
      <c r="D31" s="6"/>
      <c r="E31" s="65"/>
      <c r="F31" s="6"/>
      <c r="G31" s="66">
        <f t="shared" si="4"/>
        <v>0</v>
      </c>
      <c r="H31" s="65"/>
      <c r="I31" s="6"/>
      <c r="J31" s="66">
        <f t="shared" si="1"/>
        <v>0</v>
      </c>
      <c r="K31" s="66">
        <f t="shared" si="2"/>
        <v>0</v>
      </c>
      <c r="L31" s="161">
        <v>0</v>
      </c>
      <c r="M31" s="148">
        <f t="shared" si="3"/>
        <v>12648.918199999996</v>
      </c>
      <c r="N31" s="6"/>
      <c r="O31" s="5"/>
    </row>
    <row r="32" spans="1:15">
      <c r="A32" s="221">
        <v>29</v>
      </c>
      <c r="B32" s="218"/>
      <c r="C32" s="6"/>
      <c r="D32" s="6"/>
      <c r="E32" s="65"/>
      <c r="F32" s="6"/>
      <c r="G32" s="66">
        <f t="shared" si="4"/>
        <v>0</v>
      </c>
      <c r="H32" s="65"/>
      <c r="I32" s="6"/>
      <c r="J32" s="66">
        <f t="shared" si="1"/>
        <v>0</v>
      </c>
      <c r="K32" s="66">
        <f t="shared" si="2"/>
        <v>0</v>
      </c>
      <c r="L32" s="161">
        <v>0</v>
      </c>
      <c r="M32" s="148">
        <f t="shared" si="3"/>
        <v>12648.918199999996</v>
      </c>
      <c r="N32" s="6"/>
      <c r="O32" s="5"/>
    </row>
    <row r="33" spans="1:15">
      <c r="A33" s="221">
        <v>30</v>
      </c>
      <c r="B33" s="218"/>
      <c r="C33" s="6"/>
      <c r="D33" s="6"/>
      <c r="E33" s="65"/>
      <c r="F33" s="6"/>
      <c r="G33" s="66">
        <f t="shared" si="4"/>
        <v>0</v>
      </c>
      <c r="H33" s="65"/>
      <c r="I33" s="6"/>
      <c r="J33" s="66">
        <f t="shared" si="1"/>
        <v>0</v>
      </c>
      <c r="K33" s="66">
        <f t="shared" si="2"/>
        <v>0</v>
      </c>
      <c r="L33" s="161">
        <v>0</v>
      </c>
      <c r="M33" s="148">
        <f t="shared" si="3"/>
        <v>12648.918199999996</v>
      </c>
      <c r="N33" s="6"/>
      <c r="O33" s="5"/>
    </row>
    <row r="34" spans="1:15">
      <c r="A34" s="221">
        <v>31</v>
      </c>
      <c r="B34" s="218"/>
      <c r="C34" s="6"/>
      <c r="D34" s="6"/>
      <c r="E34" s="65"/>
      <c r="F34" s="6"/>
      <c r="G34" s="66">
        <f t="shared" si="4"/>
        <v>0</v>
      </c>
      <c r="H34" s="65"/>
      <c r="I34" s="6"/>
      <c r="J34" s="66">
        <f t="shared" si="1"/>
        <v>0</v>
      </c>
      <c r="K34" s="66">
        <f t="shared" si="2"/>
        <v>0</v>
      </c>
      <c r="L34" s="161">
        <v>0</v>
      </c>
      <c r="M34" s="148">
        <f t="shared" si="3"/>
        <v>12648.918199999996</v>
      </c>
      <c r="N34" s="6"/>
      <c r="O34" s="5"/>
    </row>
    <row r="35" spans="1:15">
      <c r="A35" s="6">
        <v>34</v>
      </c>
      <c r="B35" s="218"/>
      <c r="C35" s="6"/>
      <c r="D35" s="6"/>
      <c r="E35" s="65"/>
      <c r="F35" s="6"/>
      <c r="G35" s="66">
        <f t="shared" si="4"/>
        <v>0</v>
      </c>
      <c r="H35" s="65"/>
      <c r="I35" s="6"/>
      <c r="J35" s="66">
        <f t="shared" si="1"/>
        <v>0</v>
      </c>
      <c r="K35" s="66">
        <f t="shared" si="2"/>
        <v>0</v>
      </c>
      <c r="L35" s="161">
        <v>0</v>
      </c>
      <c r="M35" s="148">
        <f t="shared" si="3"/>
        <v>12648.918199999996</v>
      </c>
      <c r="N35" s="6"/>
      <c r="O35" s="5"/>
    </row>
    <row r="36" spans="1:15">
      <c r="A36" s="6">
        <v>35</v>
      </c>
      <c r="B36" s="218"/>
      <c r="C36" s="6"/>
      <c r="D36" s="6"/>
      <c r="E36" s="65"/>
      <c r="F36" s="6"/>
      <c r="G36" s="66">
        <f t="shared" si="4"/>
        <v>0</v>
      </c>
      <c r="H36" s="65"/>
      <c r="I36" s="6"/>
      <c r="J36" s="66">
        <f t="shared" si="1"/>
        <v>0</v>
      </c>
      <c r="K36" s="66">
        <f t="shared" si="2"/>
        <v>0</v>
      </c>
      <c r="L36" s="161">
        <v>0</v>
      </c>
      <c r="M36" s="148">
        <f t="shared" si="3"/>
        <v>12648.918199999996</v>
      </c>
      <c r="N36" s="6"/>
      <c r="O36" s="5"/>
    </row>
    <row r="37" spans="1:15">
      <c r="A37" s="6">
        <v>36</v>
      </c>
      <c r="B37" s="218"/>
      <c r="C37" s="6"/>
      <c r="D37" s="6"/>
      <c r="E37" s="65"/>
      <c r="F37" s="6"/>
      <c r="G37" s="66">
        <f t="shared" si="4"/>
        <v>0</v>
      </c>
      <c r="H37" s="65"/>
      <c r="I37" s="6"/>
      <c r="J37" s="66">
        <f t="shared" si="1"/>
        <v>0</v>
      </c>
      <c r="K37" s="66">
        <f t="shared" si="2"/>
        <v>0</v>
      </c>
      <c r="L37" s="161">
        <v>0</v>
      </c>
      <c r="M37" s="148">
        <f t="shared" si="3"/>
        <v>12648.918199999996</v>
      </c>
      <c r="N37" s="6"/>
      <c r="O37" s="5"/>
    </row>
    <row r="38" spans="1:15">
      <c r="A38" s="6">
        <v>37</v>
      </c>
      <c r="B38" s="218"/>
      <c r="C38" s="6"/>
      <c r="D38" s="6"/>
      <c r="E38" s="65"/>
      <c r="F38" s="6"/>
      <c r="G38" s="66">
        <f t="shared" si="4"/>
        <v>0</v>
      </c>
      <c r="H38" s="65"/>
      <c r="I38" s="6"/>
      <c r="J38" s="66">
        <f t="shared" si="1"/>
        <v>0</v>
      </c>
      <c r="K38" s="66">
        <f t="shared" si="2"/>
        <v>0</v>
      </c>
      <c r="L38" s="161">
        <v>0</v>
      </c>
      <c r="M38" s="148">
        <f t="shared" si="3"/>
        <v>12648.918199999996</v>
      </c>
      <c r="N38" s="6"/>
      <c r="O38" s="5"/>
    </row>
    <row r="39" spans="1:15">
      <c r="A39" s="6">
        <v>38</v>
      </c>
      <c r="B39" s="218"/>
      <c r="C39" s="6"/>
      <c r="D39" s="6"/>
      <c r="E39" s="65"/>
      <c r="F39" s="6"/>
      <c r="G39" s="66">
        <f t="shared" si="4"/>
        <v>0</v>
      </c>
      <c r="H39" s="65"/>
      <c r="I39" s="6"/>
      <c r="J39" s="66">
        <f t="shared" si="1"/>
        <v>0</v>
      </c>
      <c r="K39" s="66">
        <f t="shared" si="2"/>
        <v>0</v>
      </c>
      <c r="L39" s="161">
        <v>0</v>
      </c>
      <c r="M39" s="148">
        <f t="shared" si="3"/>
        <v>12648.918199999996</v>
      </c>
      <c r="N39" s="6"/>
      <c r="O39" s="5"/>
    </row>
    <row r="40" spans="1:15">
      <c r="A40" s="168">
        <v>39</v>
      </c>
      <c r="B40" s="218"/>
      <c r="C40" s="6"/>
      <c r="D40" s="6"/>
      <c r="E40" s="65"/>
      <c r="F40" s="6"/>
      <c r="G40" s="66">
        <f t="shared" si="4"/>
        <v>0</v>
      </c>
      <c r="H40" s="65"/>
      <c r="I40" s="6"/>
      <c r="J40" s="66">
        <f t="shared" si="1"/>
        <v>0</v>
      </c>
      <c r="K40" s="66">
        <f t="shared" si="2"/>
        <v>0</v>
      </c>
      <c r="L40" s="161">
        <v>0</v>
      </c>
      <c r="M40" s="148">
        <f t="shared" si="3"/>
        <v>12648.918199999996</v>
      </c>
      <c r="N40" s="168"/>
      <c r="O40" s="5"/>
    </row>
    <row r="41" spans="1:15">
      <c r="A41" s="6">
        <v>40</v>
      </c>
      <c r="B41" s="6"/>
      <c r="C41" s="6"/>
      <c r="D41" s="6"/>
      <c r="E41" s="65"/>
      <c r="F41" s="6"/>
      <c r="G41" s="66">
        <f t="shared" si="4"/>
        <v>0</v>
      </c>
      <c r="H41" s="65"/>
      <c r="I41" s="6"/>
      <c r="J41" s="66">
        <f t="shared" si="1"/>
        <v>0</v>
      </c>
      <c r="K41" s="66">
        <f t="shared" si="2"/>
        <v>0</v>
      </c>
      <c r="L41" s="161">
        <v>0</v>
      </c>
      <c r="M41" s="148">
        <f t="shared" si="3"/>
        <v>12648.918199999996</v>
      </c>
      <c r="N41" s="6"/>
      <c r="O41" s="5"/>
    </row>
    <row r="42" spans="1:15">
      <c r="A42" s="168">
        <v>41</v>
      </c>
      <c r="B42" s="168"/>
      <c r="C42" s="168"/>
      <c r="D42" s="6"/>
      <c r="E42" s="65"/>
      <c r="F42" s="6"/>
      <c r="G42" s="66">
        <f t="shared" si="4"/>
        <v>0</v>
      </c>
      <c r="H42" s="65"/>
      <c r="I42" s="6"/>
      <c r="J42" s="66">
        <f t="shared" si="1"/>
        <v>0</v>
      </c>
      <c r="K42" s="66">
        <f t="shared" si="2"/>
        <v>0</v>
      </c>
      <c r="L42" s="161">
        <v>0</v>
      </c>
      <c r="M42" s="148">
        <f t="shared" si="3"/>
        <v>12648.918199999996</v>
      </c>
      <c r="N42" s="168"/>
      <c r="O42" s="5"/>
    </row>
    <row r="43" spans="1:15">
      <c r="A43" s="168">
        <v>42</v>
      </c>
      <c r="B43" s="168"/>
      <c r="C43" s="168"/>
      <c r="D43" s="6"/>
      <c r="E43" s="65"/>
      <c r="F43" s="6"/>
      <c r="G43" s="66">
        <f t="shared" ref="G43" si="5">E43*F43</f>
        <v>0</v>
      </c>
      <c r="H43" s="65"/>
      <c r="I43" s="6"/>
      <c r="J43" s="66">
        <f t="shared" ref="J43" si="6">H43*I43</f>
        <v>0</v>
      </c>
      <c r="K43" s="66">
        <f t="shared" ref="K43" si="7">G43+J43</f>
        <v>0</v>
      </c>
      <c r="L43" s="161">
        <v>0</v>
      </c>
      <c r="M43" s="148">
        <f t="shared" si="3"/>
        <v>12648.918199999996</v>
      </c>
      <c r="N43" s="168"/>
      <c r="O43" s="5"/>
    </row>
    <row r="44" spans="1:15">
      <c r="A44" s="62"/>
      <c r="B44" s="62"/>
      <c r="C44" s="62"/>
      <c r="D44" s="62"/>
      <c r="E44" s="63">
        <f>SUM(E4:E43)</f>
        <v>273.64999999999998</v>
      </c>
      <c r="F44" s="63"/>
      <c r="G44" s="63">
        <f>SUM(G4:G43)</f>
        <v>26031.105499999998</v>
      </c>
      <c r="H44" s="63">
        <f>SUM(H4:H43)</f>
        <v>0</v>
      </c>
      <c r="I44" s="63"/>
      <c r="J44" s="63">
        <f>SUM(J4:J43)</f>
        <v>0</v>
      </c>
      <c r="K44" s="63">
        <f>SUM(K4:K43)</f>
        <v>26031.105499999998</v>
      </c>
      <c r="L44" s="63">
        <f>SUM(L4:L43)</f>
        <v>19000</v>
      </c>
      <c r="M44" s="63"/>
      <c r="N44" s="63"/>
      <c r="O44" s="59"/>
    </row>
    <row r="45" spans="1:15">
      <c r="A45" s="5"/>
      <c r="B45" s="5"/>
      <c r="C45" s="5"/>
      <c r="D45" s="5"/>
      <c r="E45" s="5"/>
      <c r="F45" s="5"/>
      <c r="G45" s="101"/>
      <c r="H45" s="5"/>
      <c r="I45" s="5"/>
      <c r="J45" s="101"/>
      <c r="K45" s="5"/>
      <c r="L45" s="101"/>
      <c r="M45" s="101"/>
      <c r="N45" s="5"/>
      <c r="O45" s="5"/>
    </row>
    <row r="46" spans="1:15">
      <c r="A46" s="5"/>
      <c r="B46" s="5"/>
      <c r="C46" s="5"/>
      <c r="D46" s="5"/>
      <c r="E46" s="5"/>
      <c r="F46" s="5"/>
      <c r="G46" s="101"/>
      <c r="H46" s="5"/>
      <c r="I46" s="5"/>
      <c r="J46" s="101"/>
      <c r="K46" s="5"/>
      <c r="L46" s="101"/>
      <c r="M46" s="101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2058-2F8F-4405-8583-71BCC6F7E6DD}">
  <sheetPr>
    <tabColor theme="9" tint="0.39997558519241921"/>
  </sheetPr>
  <dimension ref="A1:O52"/>
  <sheetViews>
    <sheetView topLeftCell="A7" workbookViewId="0">
      <selection activeCell="M24" sqref="M24"/>
    </sheetView>
  </sheetViews>
  <sheetFormatPr defaultRowHeight="15"/>
  <cols>
    <col min="2" max="2" width="10.85546875" bestFit="1" customWidth="1"/>
    <col min="7" max="7" width="10.5703125" bestFit="1" customWidth="1"/>
    <col min="11" max="11" width="13.5703125" bestFit="1" customWidth="1"/>
    <col min="12" max="12" width="12.42578125" bestFit="1" customWidth="1"/>
    <col min="13" max="13" width="11.5703125" bestFit="1" customWidth="1"/>
  </cols>
  <sheetData>
    <row r="1" spans="1:15" ht="15.75">
      <c r="A1" s="560" t="s">
        <v>158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"/>
    </row>
    <row r="2" spans="1:15" ht="45">
      <c r="A2" s="64" t="s">
        <v>0</v>
      </c>
      <c r="B2" s="83" t="s">
        <v>166</v>
      </c>
      <c r="C2" s="83" t="s">
        <v>167</v>
      </c>
      <c r="D2" s="83" t="s">
        <v>198</v>
      </c>
      <c r="E2" s="83" t="s">
        <v>169</v>
      </c>
      <c r="F2" s="83" t="s">
        <v>170</v>
      </c>
      <c r="G2" s="90" t="s">
        <v>171</v>
      </c>
      <c r="H2" s="83" t="s">
        <v>172</v>
      </c>
      <c r="I2" s="83" t="s">
        <v>170</v>
      </c>
      <c r="J2" s="90" t="s">
        <v>171</v>
      </c>
      <c r="K2" s="64" t="s">
        <v>173</v>
      </c>
      <c r="L2" s="91" t="s">
        <v>174</v>
      </c>
      <c r="M2" s="85" t="s">
        <v>199</v>
      </c>
      <c r="N2" s="83" t="s">
        <v>176</v>
      </c>
      <c r="O2" s="5"/>
    </row>
    <row r="3" spans="1:15">
      <c r="A3" s="593" t="s">
        <v>177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5"/>
      <c r="M3" s="596">
        <v>137771.22020000001</v>
      </c>
      <c r="N3" s="597"/>
      <c r="O3" s="5"/>
    </row>
    <row r="4" spans="1:15">
      <c r="A4" s="195">
        <v>1</v>
      </c>
      <c r="B4" s="218" t="s">
        <v>186</v>
      </c>
      <c r="C4" s="6"/>
      <c r="D4" s="6"/>
      <c r="E4" s="65">
        <v>35</v>
      </c>
      <c r="F4" s="6">
        <v>91.42</v>
      </c>
      <c r="G4" s="66">
        <f>E4*F4</f>
        <v>3199.7000000000003</v>
      </c>
      <c r="H4" s="65"/>
      <c r="I4" s="6"/>
      <c r="J4" s="66">
        <f>H4*I4</f>
        <v>0</v>
      </c>
      <c r="K4" s="66">
        <f>G4+J4</f>
        <v>3199.7000000000003</v>
      </c>
      <c r="L4" s="289">
        <v>0</v>
      </c>
      <c r="M4" s="148">
        <f>M3+K4-L4</f>
        <v>140970.92020000002</v>
      </c>
      <c r="N4" s="46"/>
      <c r="O4" s="5"/>
    </row>
    <row r="5" spans="1:15">
      <c r="A5" s="46">
        <v>2</v>
      </c>
      <c r="B5" s="218" t="s">
        <v>188</v>
      </c>
      <c r="C5" s="6"/>
      <c r="D5" s="6"/>
      <c r="E5" s="65">
        <v>30</v>
      </c>
      <c r="F5" s="6">
        <v>91.42</v>
      </c>
      <c r="G5" s="66">
        <f t="shared" ref="G5:G34" si="0">E5*F5</f>
        <v>2742.6</v>
      </c>
      <c r="H5" s="65"/>
      <c r="I5" s="6"/>
      <c r="J5" s="66">
        <f t="shared" ref="J5:J34" si="1">H5*I5</f>
        <v>0</v>
      </c>
      <c r="K5" s="66">
        <f t="shared" ref="K5:K41" si="2">G5+J5</f>
        <v>2742.6</v>
      </c>
      <c r="L5" s="289">
        <v>120000</v>
      </c>
      <c r="M5" s="148">
        <f t="shared" ref="M5:M49" si="3">M4+K5-L5</f>
        <v>23713.520200000028</v>
      </c>
      <c r="N5" s="46"/>
      <c r="O5" s="5"/>
    </row>
    <row r="6" spans="1:15">
      <c r="A6" s="46">
        <v>3</v>
      </c>
      <c r="B6" s="218" t="s">
        <v>190</v>
      </c>
      <c r="C6" s="6"/>
      <c r="D6" s="6" t="s">
        <v>353</v>
      </c>
      <c r="E6" s="65"/>
      <c r="F6" s="6"/>
      <c r="G6" s="66">
        <f t="shared" si="0"/>
        <v>0</v>
      </c>
      <c r="H6">
        <v>5</v>
      </c>
      <c r="I6" s="6">
        <v>103.35</v>
      </c>
      <c r="J6" s="66">
        <f t="shared" si="1"/>
        <v>516.75</v>
      </c>
      <c r="K6" s="66">
        <f t="shared" si="2"/>
        <v>516.75</v>
      </c>
      <c r="L6" s="289">
        <v>0</v>
      </c>
      <c r="M6" s="148">
        <f t="shared" si="3"/>
        <v>24230.270200000028</v>
      </c>
      <c r="N6" s="46"/>
      <c r="O6" s="5"/>
    </row>
    <row r="7" spans="1:15">
      <c r="A7" s="195">
        <v>4</v>
      </c>
      <c r="B7" s="218" t="s">
        <v>191</v>
      </c>
      <c r="C7" s="6"/>
      <c r="D7" s="6"/>
      <c r="E7" s="65"/>
      <c r="F7" s="6"/>
      <c r="G7" s="66">
        <f t="shared" si="0"/>
        <v>0</v>
      </c>
      <c r="H7" s="65">
        <v>5</v>
      </c>
      <c r="I7" s="6">
        <v>103.35</v>
      </c>
      <c r="J7" s="66">
        <f t="shared" si="1"/>
        <v>516.75</v>
      </c>
      <c r="K7" s="66">
        <f t="shared" si="2"/>
        <v>516.75</v>
      </c>
      <c r="L7" s="289"/>
      <c r="M7" s="148">
        <f t="shared" si="3"/>
        <v>24747.020200000028</v>
      </c>
      <c r="N7" s="46"/>
      <c r="O7" s="5"/>
    </row>
    <row r="8" spans="1:15">
      <c r="A8" s="46">
        <v>5</v>
      </c>
      <c r="B8" s="218" t="s">
        <v>192</v>
      </c>
      <c r="C8" s="6"/>
      <c r="D8" s="6"/>
      <c r="E8" s="65">
        <v>33.6</v>
      </c>
      <c r="F8" s="6">
        <v>91.42</v>
      </c>
      <c r="G8" s="66">
        <f t="shared" si="0"/>
        <v>3071.712</v>
      </c>
      <c r="H8" s="65"/>
      <c r="I8" s="6"/>
      <c r="J8" s="66">
        <f t="shared" si="1"/>
        <v>0</v>
      </c>
      <c r="K8" s="66">
        <f t="shared" si="2"/>
        <v>3071.712</v>
      </c>
      <c r="L8" s="289"/>
      <c r="M8" s="148">
        <f t="shared" si="3"/>
        <v>27818.732200000028</v>
      </c>
      <c r="N8" s="46"/>
      <c r="O8" s="5"/>
    </row>
    <row r="9" spans="1:15">
      <c r="A9" s="46">
        <v>6</v>
      </c>
      <c r="B9" s="218" t="s">
        <v>224</v>
      </c>
      <c r="C9" s="6"/>
      <c r="D9" s="6"/>
      <c r="E9" s="65">
        <v>30</v>
      </c>
      <c r="F9" s="6">
        <v>91.42</v>
      </c>
      <c r="G9" s="66">
        <f t="shared" si="0"/>
        <v>2742.6</v>
      </c>
      <c r="H9" s="65"/>
      <c r="I9" s="6"/>
      <c r="J9" s="66">
        <f t="shared" si="1"/>
        <v>0</v>
      </c>
      <c r="K9" s="66">
        <f t="shared" si="2"/>
        <v>2742.6</v>
      </c>
      <c r="L9" s="289"/>
      <c r="M9" s="148">
        <f t="shared" si="3"/>
        <v>30561.332200000026</v>
      </c>
      <c r="N9" s="46"/>
      <c r="O9" s="5"/>
    </row>
    <row r="10" spans="1:15">
      <c r="A10" s="195">
        <v>7</v>
      </c>
      <c r="B10" s="218" t="s">
        <v>194</v>
      </c>
      <c r="C10" s="6"/>
      <c r="D10" s="6"/>
      <c r="E10" s="65"/>
      <c r="F10" s="6"/>
      <c r="G10" s="66">
        <f t="shared" si="0"/>
        <v>0</v>
      </c>
      <c r="H10" s="65">
        <v>5</v>
      </c>
      <c r="I10" s="6">
        <v>103.35</v>
      </c>
      <c r="J10" s="66">
        <f t="shared" si="1"/>
        <v>516.75</v>
      </c>
      <c r="K10" s="66">
        <f t="shared" si="2"/>
        <v>516.75</v>
      </c>
      <c r="L10" s="289"/>
      <c r="M10" s="148">
        <f t="shared" si="3"/>
        <v>31078.082200000026</v>
      </c>
      <c r="N10" s="46"/>
      <c r="O10" s="5"/>
    </row>
    <row r="11" spans="1:15">
      <c r="A11" s="46">
        <v>8</v>
      </c>
      <c r="B11" s="218" t="s">
        <v>236</v>
      </c>
      <c r="C11" s="6"/>
      <c r="D11" s="6"/>
      <c r="E11" s="65">
        <v>43</v>
      </c>
      <c r="F11" s="6">
        <v>91.42</v>
      </c>
      <c r="G11" s="66">
        <f t="shared" si="0"/>
        <v>3931.06</v>
      </c>
      <c r="H11" s="65">
        <v>5</v>
      </c>
      <c r="I11" s="6">
        <v>103.35</v>
      </c>
      <c r="J11" s="66">
        <f t="shared" si="1"/>
        <v>516.75</v>
      </c>
      <c r="K11" s="66">
        <f t="shared" si="2"/>
        <v>4447.8099999999995</v>
      </c>
      <c r="L11" s="289"/>
      <c r="M11" s="148">
        <f t="shared" si="3"/>
        <v>35525.892200000024</v>
      </c>
      <c r="N11" s="46"/>
      <c r="O11" s="5"/>
    </row>
    <row r="12" spans="1:15">
      <c r="A12" s="46">
        <v>9</v>
      </c>
      <c r="B12" s="218" t="s">
        <v>239</v>
      </c>
      <c r="C12" s="6"/>
      <c r="D12" s="6"/>
      <c r="E12" s="65">
        <v>54</v>
      </c>
      <c r="F12" s="6">
        <v>94.53</v>
      </c>
      <c r="G12" s="66">
        <f t="shared" si="0"/>
        <v>5104.62</v>
      </c>
      <c r="H12" s="65"/>
      <c r="I12" s="6"/>
      <c r="J12" s="66">
        <f t="shared" si="1"/>
        <v>0</v>
      </c>
      <c r="K12" s="66">
        <f t="shared" si="2"/>
        <v>5104.62</v>
      </c>
      <c r="L12" s="289"/>
      <c r="M12" s="148">
        <f t="shared" si="3"/>
        <v>40630.512200000026</v>
      </c>
      <c r="N12" s="46"/>
      <c r="O12" s="5"/>
    </row>
    <row r="13" spans="1:15">
      <c r="A13" s="195">
        <v>10</v>
      </c>
      <c r="B13" s="218" t="s">
        <v>241</v>
      </c>
      <c r="C13" s="6"/>
      <c r="D13" s="6"/>
      <c r="E13" s="65">
        <v>25</v>
      </c>
      <c r="F13" s="6">
        <v>94.53</v>
      </c>
      <c r="G13" s="66">
        <f t="shared" si="0"/>
        <v>2363.25</v>
      </c>
      <c r="H13" s="65"/>
      <c r="I13" s="6"/>
      <c r="J13" s="66">
        <f t="shared" si="1"/>
        <v>0</v>
      </c>
      <c r="K13" s="66">
        <f t="shared" si="2"/>
        <v>2363.25</v>
      </c>
      <c r="L13" s="289"/>
      <c r="M13" s="148">
        <f t="shared" si="3"/>
        <v>42993.762200000026</v>
      </c>
      <c r="N13" s="46"/>
      <c r="O13" s="5"/>
    </row>
    <row r="14" spans="1:15">
      <c r="A14" s="46">
        <v>11</v>
      </c>
      <c r="B14" s="218" t="s">
        <v>244</v>
      </c>
      <c r="C14" s="6"/>
      <c r="D14" s="6"/>
      <c r="E14" s="65">
        <v>29.67</v>
      </c>
      <c r="F14" s="6">
        <v>94.53</v>
      </c>
      <c r="G14" s="66">
        <f t="shared" si="0"/>
        <v>2804.7051000000001</v>
      </c>
      <c r="H14" s="65"/>
      <c r="I14" s="6"/>
      <c r="J14" s="66">
        <f t="shared" si="1"/>
        <v>0</v>
      </c>
      <c r="K14" s="66">
        <f t="shared" si="2"/>
        <v>2804.7051000000001</v>
      </c>
      <c r="L14" s="289"/>
      <c r="M14" s="148">
        <f t="shared" si="3"/>
        <v>45798.467300000026</v>
      </c>
      <c r="N14" s="46"/>
      <c r="O14" s="5"/>
    </row>
    <row r="15" spans="1:15">
      <c r="A15" s="46"/>
      <c r="B15" s="218" t="s">
        <v>254</v>
      </c>
      <c r="C15" s="6"/>
      <c r="D15" s="6"/>
      <c r="E15" s="65">
        <v>45.76</v>
      </c>
      <c r="F15" s="6">
        <v>95.47</v>
      </c>
      <c r="G15" s="66">
        <f t="shared" si="0"/>
        <v>4368.7071999999998</v>
      </c>
      <c r="H15" s="65"/>
      <c r="I15" s="6"/>
      <c r="J15" s="66">
        <f t="shared" si="1"/>
        <v>0</v>
      </c>
      <c r="K15" s="66">
        <f t="shared" si="2"/>
        <v>4368.7071999999998</v>
      </c>
      <c r="L15" s="289"/>
      <c r="M15" s="148">
        <f t="shared" si="3"/>
        <v>50167.174500000023</v>
      </c>
      <c r="N15" s="46"/>
      <c r="O15" s="5"/>
    </row>
    <row r="16" spans="1:15">
      <c r="A16" s="46">
        <v>12</v>
      </c>
      <c r="B16" s="218" t="s">
        <v>255</v>
      </c>
      <c r="C16" s="6"/>
      <c r="D16" s="6"/>
      <c r="E16" s="65">
        <v>50</v>
      </c>
      <c r="F16" s="6">
        <v>95.47</v>
      </c>
      <c r="G16" s="66">
        <f t="shared" si="0"/>
        <v>4773.5</v>
      </c>
      <c r="H16" s="65"/>
      <c r="I16" s="6"/>
      <c r="J16" s="66">
        <f t="shared" si="1"/>
        <v>0</v>
      </c>
      <c r="K16" s="66">
        <f t="shared" si="2"/>
        <v>4773.5</v>
      </c>
      <c r="L16" s="289"/>
      <c r="M16" s="148">
        <f t="shared" si="3"/>
        <v>54940.674500000023</v>
      </c>
      <c r="N16" s="46"/>
      <c r="O16" s="5"/>
    </row>
    <row r="17" spans="1:15">
      <c r="A17" s="195">
        <v>13</v>
      </c>
      <c r="B17" s="218" t="s">
        <v>256</v>
      </c>
      <c r="C17" s="6"/>
      <c r="D17" s="6"/>
      <c r="E17" s="65">
        <v>20</v>
      </c>
      <c r="F17" s="6">
        <v>95.47</v>
      </c>
      <c r="G17" s="66">
        <f t="shared" si="0"/>
        <v>1909.4</v>
      </c>
      <c r="H17" s="65"/>
      <c r="I17" s="6"/>
      <c r="J17" s="66">
        <f t="shared" si="1"/>
        <v>0</v>
      </c>
      <c r="K17" s="66">
        <f t="shared" si="2"/>
        <v>1909.4</v>
      </c>
      <c r="L17" s="289"/>
      <c r="M17" s="148">
        <f t="shared" si="3"/>
        <v>56850.074500000024</v>
      </c>
      <c r="N17" s="46"/>
      <c r="O17" s="5"/>
    </row>
    <row r="18" spans="1:15">
      <c r="A18" s="46">
        <v>14</v>
      </c>
      <c r="B18" s="218" t="s">
        <v>259</v>
      </c>
      <c r="C18" s="6"/>
      <c r="D18" s="6"/>
      <c r="E18" s="65">
        <v>36.32</v>
      </c>
      <c r="F18" s="6">
        <v>96.32</v>
      </c>
      <c r="G18" s="66">
        <f t="shared" si="0"/>
        <v>3498.3424</v>
      </c>
      <c r="H18" s="65">
        <v>11.01</v>
      </c>
      <c r="I18" s="6">
        <v>108.48</v>
      </c>
      <c r="J18" s="66">
        <f t="shared" si="1"/>
        <v>1194.3648000000001</v>
      </c>
      <c r="K18" s="66">
        <f t="shared" si="2"/>
        <v>4692.7071999999998</v>
      </c>
      <c r="L18" s="289"/>
      <c r="M18" s="148">
        <f t="shared" si="3"/>
        <v>61542.781700000021</v>
      </c>
      <c r="N18" s="46"/>
      <c r="O18" s="5"/>
    </row>
    <row r="19" spans="1:15">
      <c r="A19" s="46"/>
      <c r="B19" s="218" t="s">
        <v>259</v>
      </c>
      <c r="C19" s="6"/>
      <c r="D19" s="6"/>
      <c r="E19" s="65"/>
      <c r="F19" s="6"/>
      <c r="G19" s="66"/>
      <c r="H19" s="65"/>
      <c r="I19" s="6"/>
      <c r="J19" s="66"/>
      <c r="K19" s="66"/>
      <c r="L19" s="289"/>
      <c r="M19" s="148"/>
      <c r="N19" s="46"/>
      <c r="O19" s="5"/>
    </row>
    <row r="20" spans="1:15">
      <c r="A20" s="46">
        <v>15</v>
      </c>
      <c r="B20" s="218" t="s">
        <v>263</v>
      </c>
      <c r="C20" s="6"/>
      <c r="D20" s="6"/>
      <c r="E20" s="65">
        <v>82.47</v>
      </c>
      <c r="F20" s="6">
        <v>99.23</v>
      </c>
      <c r="G20" s="66">
        <f t="shared" si="0"/>
        <v>8183.4980999999998</v>
      </c>
      <c r="H20" s="65"/>
      <c r="I20" s="6"/>
      <c r="J20" s="66">
        <f t="shared" si="1"/>
        <v>0</v>
      </c>
      <c r="K20" s="66">
        <f t="shared" si="2"/>
        <v>8183.4980999999998</v>
      </c>
      <c r="L20" s="289"/>
      <c r="M20" s="148">
        <f>M18+K20-L20</f>
        <v>69726.279800000018</v>
      </c>
      <c r="N20" s="46"/>
      <c r="O20" s="5"/>
    </row>
    <row r="21" spans="1:15">
      <c r="A21" s="195">
        <v>16</v>
      </c>
      <c r="B21" s="218" t="s">
        <v>266</v>
      </c>
      <c r="C21" s="6"/>
      <c r="D21" s="6"/>
      <c r="E21" s="65">
        <v>513.89</v>
      </c>
      <c r="F21" s="6">
        <v>99.23</v>
      </c>
      <c r="G21" s="66">
        <f t="shared" si="0"/>
        <v>50993.304700000001</v>
      </c>
      <c r="H21" s="65"/>
      <c r="I21" s="6"/>
      <c r="J21" s="66">
        <f t="shared" si="1"/>
        <v>0</v>
      </c>
      <c r="K21" s="66">
        <f t="shared" si="2"/>
        <v>50993.304700000001</v>
      </c>
      <c r="L21" s="289"/>
      <c r="M21" s="148">
        <f t="shared" si="3"/>
        <v>120719.58450000003</v>
      </c>
      <c r="N21" s="46"/>
      <c r="O21" s="5"/>
    </row>
    <row r="22" spans="1:15">
      <c r="A22" s="46">
        <v>17</v>
      </c>
      <c r="B22" s="218" t="s">
        <v>268</v>
      </c>
      <c r="C22" s="6"/>
      <c r="D22" s="6"/>
      <c r="E22" s="65">
        <v>102.75</v>
      </c>
      <c r="F22" s="6">
        <v>99.23</v>
      </c>
      <c r="G22" s="66">
        <f t="shared" si="0"/>
        <v>10195.8825</v>
      </c>
      <c r="H22" s="65"/>
      <c r="I22" s="6"/>
      <c r="J22" s="66">
        <f t="shared" si="1"/>
        <v>0</v>
      </c>
      <c r="K22" s="66">
        <f t="shared" si="2"/>
        <v>10195.8825</v>
      </c>
      <c r="L22" s="289"/>
      <c r="M22" s="148">
        <f t="shared" si="3"/>
        <v>130915.46700000003</v>
      </c>
      <c r="N22" s="46"/>
      <c r="O22" s="5"/>
    </row>
    <row r="23" spans="1:15">
      <c r="A23" s="46">
        <v>18</v>
      </c>
      <c r="B23" s="218" t="s">
        <v>269</v>
      </c>
      <c r="C23" s="6"/>
      <c r="D23" s="6"/>
      <c r="E23" s="65"/>
      <c r="F23" s="6"/>
      <c r="G23" s="66">
        <f t="shared" si="0"/>
        <v>0</v>
      </c>
      <c r="H23" s="65">
        <v>5</v>
      </c>
      <c r="I23" s="6">
        <v>120.75</v>
      </c>
      <c r="J23" s="66">
        <f t="shared" si="1"/>
        <v>603.75</v>
      </c>
      <c r="K23" s="66">
        <f t="shared" si="2"/>
        <v>603.75</v>
      </c>
      <c r="L23" s="289"/>
      <c r="M23" s="148">
        <f t="shared" si="3"/>
        <v>131519.21700000003</v>
      </c>
      <c r="N23" s="46"/>
      <c r="O23" s="5"/>
    </row>
    <row r="24" spans="1:15">
      <c r="A24" s="195">
        <v>19</v>
      </c>
      <c r="B24" s="218" t="s">
        <v>274</v>
      </c>
      <c r="C24" s="6"/>
      <c r="D24" s="6"/>
      <c r="E24" s="65">
        <v>178.24</v>
      </c>
      <c r="F24" s="6">
        <v>99.23</v>
      </c>
      <c r="G24" s="66">
        <f t="shared" si="0"/>
        <v>17686.755200000003</v>
      </c>
      <c r="H24" s="65">
        <v>5</v>
      </c>
      <c r="I24" s="6">
        <v>120.75</v>
      </c>
      <c r="J24" s="66">
        <f t="shared" si="1"/>
        <v>603.75</v>
      </c>
      <c r="K24" s="66">
        <f t="shared" si="2"/>
        <v>18290.505200000003</v>
      </c>
      <c r="L24" s="289"/>
      <c r="M24" s="148">
        <f t="shared" si="3"/>
        <v>149809.72220000005</v>
      </c>
      <c r="N24" s="46"/>
      <c r="O24" s="5"/>
    </row>
    <row r="25" spans="1:15">
      <c r="A25" s="46">
        <v>20</v>
      </c>
      <c r="B25" s="218"/>
      <c r="C25" s="6"/>
      <c r="D25" s="6"/>
      <c r="E25" s="65"/>
      <c r="F25" s="6"/>
      <c r="G25" s="66">
        <f t="shared" si="0"/>
        <v>0</v>
      </c>
      <c r="H25" s="65"/>
      <c r="I25" s="6"/>
      <c r="J25" s="66">
        <f t="shared" si="1"/>
        <v>0</v>
      </c>
      <c r="K25" s="66">
        <f t="shared" si="2"/>
        <v>0</v>
      </c>
      <c r="L25" s="289"/>
      <c r="M25" s="148">
        <f t="shared" si="3"/>
        <v>149809.72220000005</v>
      </c>
      <c r="N25" s="46"/>
      <c r="O25" s="5"/>
    </row>
    <row r="26" spans="1:15">
      <c r="A26" s="46">
        <v>21</v>
      </c>
      <c r="B26" s="218"/>
      <c r="C26" s="6"/>
      <c r="D26" s="6"/>
      <c r="E26" s="65"/>
      <c r="F26" s="6"/>
      <c r="G26" s="66">
        <f t="shared" si="0"/>
        <v>0</v>
      </c>
      <c r="H26" s="65"/>
      <c r="I26" s="6"/>
      <c r="J26" s="66">
        <f t="shared" si="1"/>
        <v>0</v>
      </c>
      <c r="K26" s="66">
        <f t="shared" si="2"/>
        <v>0</v>
      </c>
      <c r="L26" s="289"/>
      <c r="M26" s="148">
        <f t="shared" si="3"/>
        <v>149809.72220000005</v>
      </c>
      <c r="N26" s="46"/>
      <c r="O26" s="5"/>
    </row>
    <row r="27" spans="1:15">
      <c r="A27" s="195">
        <v>22</v>
      </c>
      <c r="B27" s="218"/>
      <c r="C27" s="6"/>
      <c r="D27" s="6"/>
      <c r="E27" s="65"/>
      <c r="F27" s="6"/>
      <c r="G27" s="66">
        <f t="shared" si="0"/>
        <v>0</v>
      </c>
      <c r="H27" s="65"/>
      <c r="I27" s="6"/>
      <c r="J27" s="66">
        <f t="shared" si="1"/>
        <v>0</v>
      </c>
      <c r="K27" s="66">
        <f t="shared" si="2"/>
        <v>0</v>
      </c>
      <c r="L27" s="289"/>
      <c r="M27" s="148">
        <f t="shared" si="3"/>
        <v>149809.72220000005</v>
      </c>
      <c r="N27" s="46"/>
      <c r="O27" s="5"/>
    </row>
    <row r="28" spans="1:15">
      <c r="A28" s="46">
        <v>23</v>
      </c>
      <c r="B28" s="218"/>
      <c r="C28" s="6"/>
      <c r="D28" s="6"/>
      <c r="E28" s="65"/>
      <c r="F28" s="6"/>
      <c r="G28" s="66">
        <f t="shared" si="0"/>
        <v>0</v>
      </c>
      <c r="H28" s="65"/>
      <c r="I28" s="6"/>
      <c r="J28" s="66">
        <f t="shared" si="1"/>
        <v>0</v>
      </c>
      <c r="K28" s="66">
        <f t="shared" si="2"/>
        <v>0</v>
      </c>
      <c r="L28" s="289"/>
      <c r="M28" s="148">
        <f t="shared" si="3"/>
        <v>149809.72220000005</v>
      </c>
      <c r="N28" s="46"/>
      <c r="O28" s="5"/>
    </row>
    <row r="29" spans="1:15">
      <c r="A29" s="46">
        <v>24</v>
      </c>
      <c r="B29" s="218"/>
      <c r="C29" s="6"/>
      <c r="D29" s="6"/>
      <c r="E29" s="65"/>
      <c r="F29" s="6"/>
      <c r="G29" s="66">
        <f t="shared" si="0"/>
        <v>0</v>
      </c>
      <c r="H29" s="65"/>
      <c r="I29" s="6"/>
      <c r="J29" s="66">
        <f t="shared" si="1"/>
        <v>0</v>
      </c>
      <c r="K29" s="66">
        <f t="shared" si="2"/>
        <v>0</v>
      </c>
      <c r="L29" s="289"/>
      <c r="M29" s="148">
        <f t="shared" si="3"/>
        <v>149809.72220000005</v>
      </c>
      <c r="N29" s="46"/>
      <c r="O29" s="5"/>
    </row>
    <row r="30" spans="1:15">
      <c r="A30" s="195">
        <v>25</v>
      </c>
      <c r="B30" s="218"/>
      <c r="C30" s="6"/>
      <c r="D30" s="6"/>
      <c r="E30" s="65"/>
      <c r="F30" s="6"/>
      <c r="G30" s="66">
        <f t="shared" si="0"/>
        <v>0</v>
      </c>
      <c r="H30" s="65"/>
      <c r="I30" s="6"/>
      <c r="J30" s="66">
        <f t="shared" si="1"/>
        <v>0</v>
      </c>
      <c r="K30" s="66">
        <f t="shared" si="2"/>
        <v>0</v>
      </c>
      <c r="L30" s="289"/>
      <c r="M30" s="148">
        <f t="shared" si="3"/>
        <v>149809.72220000005</v>
      </c>
      <c r="N30" s="46"/>
      <c r="O30" s="5"/>
    </row>
    <row r="31" spans="1:15">
      <c r="A31" s="46">
        <v>26</v>
      </c>
      <c r="B31" s="218"/>
      <c r="C31" s="6"/>
      <c r="D31" s="6"/>
      <c r="E31" s="65"/>
      <c r="F31" s="6"/>
      <c r="G31" s="66">
        <f t="shared" si="0"/>
        <v>0</v>
      </c>
      <c r="H31" s="65"/>
      <c r="I31" s="6"/>
      <c r="J31" s="66">
        <f t="shared" si="1"/>
        <v>0</v>
      </c>
      <c r="K31" s="66">
        <f t="shared" si="2"/>
        <v>0</v>
      </c>
      <c r="L31" s="289"/>
      <c r="M31" s="148">
        <f t="shared" si="3"/>
        <v>149809.72220000005</v>
      </c>
      <c r="N31" s="46"/>
      <c r="O31" s="5"/>
    </row>
    <row r="32" spans="1:15">
      <c r="A32" s="46">
        <v>27</v>
      </c>
      <c r="B32" s="218"/>
      <c r="C32" s="6"/>
      <c r="D32" s="6"/>
      <c r="E32" s="65"/>
      <c r="F32" s="6"/>
      <c r="G32" s="66">
        <f t="shared" si="0"/>
        <v>0</v>
      </c>
      <c r="H32" s="65"/>
      <c r="I32" s="6"/>
      <c r="J32" s="66">
        <f t="shared" si="1"/>
        <v>0</v>
      </c>
      <c r="K32" s="66">
        <f t="shared" si="2"/>
        <v>0</v>
      </c>
      <c r="L32" s="289"/>
      <c r="M32" s="148">
        <f t="shared" si="3"/>
        <v>149809.72220000005</v>
      </c>
      <c r="N32" s="46"/>
      <c r="O32" s="5"/>
    </row>
    <row r="33" spans="1:15">
      <c r="A33" s="195">
        <v>28</v>
      </c>
      <c r="B33" s="218"/>
      <c r="C33" s="6"/>
      <c r="D33" s="6"/>
      <c r="E33" s="65"/>
      <c r="F33" s="6"/>
      <c r="G33" s="66">
        <f t="shared" si="0"/>
        <v>0</v>
      </c>
      <c r="H33" s="65"/>
      <c r="I33" s="6"/>
      <c r="J33" s="66">
        <f t="shared" si="1"/>
        <v>0</v>
      </c>
      <c r="K33" s="66">
        <f t="shared" si="2"/>
        <v>0</v>
      </c>
      <c r="L33" s="289">
        <v>0</v>
      </c>
      <c r="M33" s="148">
        <f t="shared" si="3"/>
        <v>149809.72220000005</v>
      </c>
      <c r="N33" s="46"/>
      <c r="O33" s="5"/>
    </row>
    <row r="34" spans="1:15">
      <c r="A34" s="46">
        <v>29</v>
      </c>
      <c r="B34" s="218"/>
      <c r="C34" s="6"/>
      <c r="D34" s="6"/>
      <c r="E34" s="65"/>
      <c r="F34" s="6"/>
      <c r="G34" s="66">
        <f t="shared" si="0"/>
        <v>0</v>
      </c>
      <c r="H34" s="65"/>
      <c r="I34" s="6"/>
      <c r="J34" s="66">
        <f t="shared" si="1"/>
        <v>0</v>
      </c>
      <c r="K34" s="66">
        <f t="shared" si="2"/>
        <v>0</v>
      </c>
      <c r="L34" s="289">
        <v>0</v>
      </c>
      <c r="M34" s="148">
        <f t="shared" si="3"/>
        <v>149809.72220000005</v>
      </c>
      <c r="N34" s="46"/>
      <c r="O34" s="5"/>
    </row>
    <row r="35" spans="1:15">
      <c r="A35" s="46">
        <v>30</v>
      </c>
      <c r="B35" s="218"/>
      <c r="C35" s="6"/>
      <c r="D35" s="6"/>
      <c r="E35" s="65"/>
      <c r="F35" s="6"/>
      <c r="G35" s="66">
        <f t="shared" ref="G5:G41" si="4">E35*F35</f>
        <v>0</v>
      </c>
      <c r="H35" s="65"/>
      <c r="I35" s="6"/>
      <c r="J35" s="66">
        <f t="shared" ref="J5:J41" si="5">H35*I35</f>
        <v>0</v>
      </c>
      <c r="K35" s="66">
        <f t="shared" si="2"/>
        <v>0</v>
      </c>
      <c r="L35" s="289">
        <v>0</v>
      </c>
      <c r="M35" s="148">
        <f t="shared" si="3"/>
        <v>149809.72220000005</v>
      </c>
      <c r="N35" s="46"/>
      <c r="O35" s="5"/>
    </row>
    <row r="36" spans="1:15">
      <c r="A36" s="195">
        <v>31</v>
      </c>
      <c r="B36" s="218"/>
      <c r="C36" s="6"/>
      <c r="D36" s="6"/>
      <c r="E36" s="65"/>
      <c r="F36" s="6"/>
      <c r="G36" s="66">
        <f t="shared" si="4"/>
        <v>0</v>
      </c>
      <c r="H36" s="65"/>
      <c r="I36" s="6"/>
      <c r="J36" s="66">
        <f t="shared" si="5"/>
        <v>0</v>
      </c>
      <c r="K36" s="66">
        <f t="shared" si="2"/>
        <v>0</v>
      </c>
      <c r="L36" s="289">
        <v>0</v>
      </c>
      <c r="M36" s="148">
        <f t="shared" si="3"/>
        <v>149809.72220000005</v>
      </c>
      <c r="N36" s="46"/>
      <c r="O36" s="5"/>
    </row>
    <row r="37" spans="1:15">
      <c r="A37" s="46">
        <v>32</v>
      </c>
      <c r="B37" s="218"/>
      <c r="C37" s="6"/>
      <c r="D37" s="6"/>
      <c r="E37" s="65"/>
      <c r="F37" s="6"/>
      <c r="G37" s="66">
        <f t="shared" si="4"/>
        <v>0</v>
      </c>
      <c r="H37" s="65"/>
      <c r="I37" s="6"/>
      <c r="J37" s="66">
        <f t="shared" si="5"/>
        <v>0</v>
      </c>
      <c r="K37" s="66">
        <f t="shared" si="2"/>
        <v>0</v>
      </c>
      <c r="L37" s="289">
        <v>0</v>
      </c>
      <c r="M37" s="148">
        <f t="shared" si="3"/>
        <v>149809.72220000005</v>
      </c>
      <c r="N37" s="46"/>
      <c r="O37" s="5"/>
    </row>
    <row r="38" spans="1:15">
      <c r="A38" s="46">
        <v>33</v>
      </c>
      <c r="B38" s="218"/>
      <c r="C38" s="6"/>
      <c r="D38" s="6"/>
      <c r="E38" s="65"/>
      <c r="F38" s="6"/>
      <c r="G38" s="66">
        <f t="shared" si="4"/>
        <v>0</v>
      </c>
      <c r="H38" s="65"/>
      <c r="I38" s="6"/>
      <c r="J38" s="66">
        <f t="shared" si="5"/>
        <v>0</v>
      </c>
      <c r="K38" s="66">
        <f t="shared" si="2"/>
        <v>0</v>
      </c>
      <c r="L38" s="289">
        <v>0</v>
      </c>
      <c r="M38" s="148">
        <f t="shared" si="3"/>
        <v>149809.72220000005</v>
      </c>
      <c r="N38" s="46"/>
      <c r="O38" s="5"/>
    </row>
    <row r="39" spans="1:15">
      <c r="A39" s="195">
        <v>34</v>
      </c>
      <c r="B39" s="218"/>
      <c r="C39" s="6"/>
      <c r="D39" s="6"/>
      <c r="E39" s="65"/>
      <c r="F39" s="6"/>
      <c r="G39" s="66">
        <f t="shared" si="4"/>
        <v>0</v>
      </c>
      <c r="H39" s="65"/>
      <c r="I39" s="6"/>
      <c r="J39" s="66">
        <f t="shared" si="5"/>
        <v>0</v>
      </c>
      <c r="K39" s="66">
        <f t="shared" si="2"/>
        <v>0</v>
      </c>
      <c r="L39" s="289">
        <v>0</v>
      </c>
      <c r="M39" s="148">
        <f t="shared" si="3"/>
        <v>149809.72220000005</v>
      </c>
      <c r="N39" s="46"/>
      <c r="O39" s="5"/>
    </row>
    <row r="40" spans="1:15">
      <c r="A40" s="46">
        <v>35</v>
      </c>
      <c r="B40" s="218"/>
      <c r="C40" s="6"/>
      <c r="D40" s="6"/>
      <c r="E40" s="65"/>
      <c r="F40" s="6"/>
      <c r="G40" s="66">
        <f t="shared" si="4"/>
        <v>0</v>
      </c>
      <c r="H40" s="65"/>
      <c r="I40" s="6"/>
      <c r="J40" s="66">
        <f t="shared" si="5"/>
        <v>0</v>
      </c>
      <c r="K40" s="66">
        <f t="shared" si="2"/>
        <v>0</v>
      </c>
      <c r="L40" s="289">
        <v>0</v>
      </c>
      <c r="M40" s="148">
        <f t="shared" si="3"/>
        <v>149809.72220000005</v>
      </c>
      <c r="N40" s="46"/>
      <c r="O40" s="5"/>
    </row>
    <row r="41" spans="1:15">
      <c r="A41" s="46">
        <v>36</v>
      </c>
      <c r="B41" s="218"/>
      <c r="C41" s="6"/>
      <c r="D41" s="6"/>
      <c r="E41" s="65"/>
      <c r="F41" s="6"/>
      <c r="G41" s="66">
        <f t="shared" si="4"/>
        <v>0</v>
      </c>
      <c r="H41" s="65"/>
      <c r="I41" s="6"/>
      <c r="J41" s="66">
        <f t="shared" si="5"/>
        <v>0</v>
      </c>
      <c r="K41" s="66">
        <f t="shared" si="2"/>
        <v>0</v>
      </c>
      <c r="L41" s="289">
        <v>0</v>
      </c>
      <c r="M41" s="148">
        <f t="shared" si="3"/>
        <v>149809.72220000005</v>
      </c>
      <c r="N41" s="6"/>
      <c r="O41" s="5"/>
    </row>
    <row r="42" spans="1:15">
      <c r="A42" s="195">
        <v>37</v>
      </c>
      <c r="B42" s="218"/>
      <c r="C42" s="6"/>
      <c r="D42" s="6"/>
      <c r="E42" s="65"/>
      <c r="F42" s="6"/>
      <c r="G42" s="66">
        <f t="shared" ref="G25:G49" si="6">E42*F42</f>
        <v>0</v>
      </c>
      <c r="H42" s="65"/>
      <c r="I42" s="6"/>
      <c r="J42" s="66">
        <f t="shared" ref="J25:J49" si="7">H42*I42</f>
        <v>0</v>
      </c>
      <c r="K42" s="66">
        <f t="shared" ref="K5:K49" si="8">G42+J42</f>
        <v>0</v>
      </c>
      <c r="L42" s="289">
        <v>0</v>
      </c>
      <c r="M42" s="148">
        <f t="shared" si="3"/>
        <v>149809.72220000005</v>
      </c>
      <c r="N42" s="6"/>
      <c r="O42" s="5"/>
    </row>
    <row r="43" spans="1:15">
      <c r="A43" s="46">
        <v>38</v>
      </c>
      <c r="B43" s="218"/>
      <c r="C43" s="6"/>
      <c r="D43" s="6"/>
      <c r="E43" s="65"/>
      <c r="F43" s="6"/>
      <c r="G43" s="66">
        <f t="shared" si="6"/>
        <v>0</v>
      </c>
      <c r="H43" s="65"/>
      <c r="I43" s="6"/>
      <c r="J43" s="66">
        <f t="shared" si="7"/>
        <v>0</v>
      </c>
      <c r="K43" s="66">
        <f t="shared" si="8"/>
        <v>0</v>
      </c>
      <c r="L43" s="289">
        <v>0</v>
      </c>
      <c r="M43" s="148">
        <f t="shared" si="3"/>
        <v>149809.72220000005</v>
      </c>
      <c r="N43" s="6"/>
      <c r="O43" s="5"/>
    </row>
    <row r="44" spans="1:15">
      <c r="A44" s="46">
        <v>39</v>
      </c>
      <c r="B44" s="218"/>
      <c r="C44" s="6"/>
      <c r="D44" s="6"/>
      <c r="E44" s="65"/>
      <c r="F44" s="6"/>
      <c r="G44" s="66">
        <f t="shared" si="6"/>
        <v>0</v>
      </c>
      <c r="H44" s="65"/>
      <c r="I44" s="6"/>
      <c r="J44" s="66">
        <f t="shared" si="7"/>
        <v>0</v>
      </c>
      <c r="K44" s="66">
        <f t="shared" si="8"/>
        <v>0</v>
      </c>
      <c r="L44" s="289">
        <v>0</v>
      </c>
      <c r="M44" s="148">
        <f t="shared" si="3"/>
        <v>149809.72220000005</v>
      </c>
      <c r="N44" s="6"/>
      <c r="O44" s="5"/>
    </row>
    <row r="45" spans="1:15">
      <c r="A45" s="195">
        <v>40</v>
      </c>
      <c r="B45" s="218"/>
      <c r="C45" s="6"/>
      <c r="D45" s="6"/>
      <c r="E45" s="65"/>
      <c r="F45" s="6"/>
      <c r="G45" s="66">
        <f t="shared" si="6"/>
        <v>0</v>
      </c>
      <c r="H45" s="65"/>
      <c r="I45" s="6"/>
      <c r="J45" s="66">
        <f t="shared" si="7"/>
        <v>0</v>
      </c>
      <c r="K45" s="66">
        <f t="shared" si="8"/>
        <v>0</v>
      </c>
      <c r="L45" s="289">
        <v>0</v>
      </c>
      <c r="M45" s="148">
        <f t="shared" si="3"/>
        <v>149809.72220000005</v>
      </c>
      <c r="N45" s="6"/>
      <c r="O45" s="5"/>
    </row>
    <row r="46" spans="1:15">
      <c r="A46" s="46">
        <v>41</v>
      </c>
      <c r="B46" s="169"/>
      <c r="C46" s="168"/>
      <c r="D46" s="6"/>
      <c r="E46" s="65"/>
      <c r="F46" s="6"/>
      <c r="G46" s="66">
        <f t="shared" si="6"/>
        <v>0</v>
      </c>
      <c r="H46" s="65"/>
      <c r="I46" s="6"/>
      <c r="J46" s="66">
        <f t="shared" si="7"/>
        <v>0</v>
      </c>
      <c r="K46" s="66">
        <f t="shared" si="8"/>
        <v>0</v>
      </c>
      <c r="L46" s="289">
        <v>0</v>
      </c>
      <c r="M46" s="148">
        <f t="shared" si="3"/>
        <v>149809.72220000005</v>
      </c>
      <c r="N46" s="168"/>
      <c r="O46" s="5"/>
    </row>
    <row r="47" spans="1:15">
      <c r="A47" s="46">
        <v>42</v>
      </c>
      <c r="B47" s="6"/>
      <c r="C47" s="6"/>
      <c r="D47" s="6"/>
      <c r="E47" s="65"/>
      <c r="F47" s="6"/>
      <c r="G47" s="66">
        <f t="shared" si="6"/>
        <v>0</v>
      </c>
      <c r="H47" s="65"/>
      <c r="I47" s="6"/>
      <c r="J47" s="66">
        <f t="shared" si="7"/>
        <v>0</v>
      </c>
      <c r="K47" s="66">
        <f t="shared" si="8"/>
        <v>0</v>
      </c>
      <c r="L47" s="289">
        <v>0</v>
      </c>
      <c r="M47" s="148">
        <f t="shared" si="3"/>
        <v>149809.72220000005</v>
      </c>
      <c r="N47" s="6"/>
      <c r="O47" s="5"/>
    </row>
    <row r="48" spans="1:15">
      <c r="A48" s="195">
        <v>43</v>
      </c>
      <c r="B48" s="168"/>
      <c r="C48" s="168"/>
      <c r="D48" s="6"/>
      <c r="E48" s="65"/>
      <c r="F48" s="6"/>
      <c r="G48" s="66">
        <f t="shared" si="6"/>
        <v>0</v>
      </c>
      <c r="H48" s="65"/>
      <c r="I48" s="6"/>
      <c r="J48" s="66">
        <f t="shared" si="7"/>
        <v>0</v>
      </c>
      <c r="K48" s="170">
        <f t="shared" si="8"/>
        <v>0</v>
      </c>
      <c r="L48" s="161">
        <f t="shared" ref="L48:L49" si="9">+K48</f>
        <v>0</v>
      </c>
      <c r="M48" s="148">
        <f t="shared" si="3"/>
        <v>149809.72220000005</v>
      </c>
      <c r="N48" s="168"/>
      <c r="O48" s="5"/>
    </row>
    <row r="49" spans="1:15">
      <c r="A49" s="46"/>
      <c r="B49" s="168"/>
      <c r="C49" s="168"/>
      <c r="D49" s="6"/>
      <c r="E49" s="65"/>
      <c r="F49" s="6"/>
      <c r="G49" s="66">
        <f t="shared" si="6"/>
        <v>0</v>
      </c>
      <c r="H49" s="65"/>
      <c r="I49" s="6"/>
      <c r="J49" s="66">
        <f t="shared" si="7"/>
        <v>0</v>
      </c>
      <c r="K49" s="170">
        <f t="shared" si="8"/>
        <v>0</v>
      </c>
      <c r="L49" s="171">
        <f t="shared" si="9"/>
        <v>0</v>
      </c>
      <c r="M49" s="148">
        <f t="shared" si="3"/>
        <v>149809.72220000005</v>
      </c>
      <c r="N49" s="168"/>
      <c r="O49" s="5"/>
    </row>
    <row r="50" spans="1:15">
      <c r="A50" s="62"/>
      <c r="B50" s="62"/>
      <c r="C50" s="62"/>
      <c r="D50" s="62"/>
      <c r="E50" s="63">
        <f>SUM(E4:E49)</f>
        <v>1309.7</v>
      </c>
      <c r="F50" s="63"/>
      <c r="G50" s="63">
        <f>SUM(G4:G49)</f>
        <v>127569.63720000001</v>
      </c>
      <c r="H50" s="63">
        <f>SUM(H4:H49)</f>
        <v>41.01</v>
      </c>
      <c r="I50" s="63"/>
      <c r="J50" s="63">
        <f>SUM(J4:J49)</f>
        <v>4468.8648000000003</v>
      </c>
      <c r="K50" s="63">
        <f>SUM(K4:K49)</f>
        <v>132038.50200000001</v>
      </c>
      <c r="L50" s="63">
        <f>SUM(L4:L49)</f>
        <v>120000</v>
      </c>
      <c r="M50" s="63"/>
      <c r="N50" s="63"/>
      <c r="O50" s="59"/>
    </row>
    <row r="51" spans="1:15">
      <c r="A51" s="5"/>
      <c r="B51" s="5"/>
      <c r="C51" s="5"/>
      <c r="D51" s="5"/>
      <c r="E51" s="5"/>
      <c r="F51" s="5"/>
      <c r="G51" s="101"/>
      <c r="H51" s="5"/>
      <c r="I51" s="5"/>
      <c r="J51" s="101"/>
      <c r="K51" s="5"/>
      <c r="L51" s="101"/>
      <c r="M51" s="101"/>
      <c r="N51" s="5"/>
      <c r="O51" s="5"/>
    </row>
    <row r="52" spans="1:15">
      <c r="A52" s="5"/>
      <c r="B52" s="5"/>
      <c r="C52" s="5"/>
      <c r="D52" s="5"/>
      <c r="E52" s="5"/>
      <c r="F52" s="5"/>
      <c r="G52" s="101"/>
      <c r="H52" s="5"/>
      <c r="I52" s="5"/>
      <c r="J52" s="101"/>
      <c r="K52" s="5"/>
      <c r="L52" s="101"/>
      <c r="M52" s="101"/>
      <c r="N52" s="5"/>
      <c r="O52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topLeftCell="A22" workbookViewId="0">
      <selection activeCell="M33" sqref="M33"/>
    </sheetView>
  </sheetViews>
  <sheetFormatPr defaultRowHeight="15"/>
  <cols>
    <col min="1" max="1" width="6.140625" customWidth="1"/>
    <col min="2" max="2" width="11.5703125" bestFit="1" customWidth="1"/>
    <col min="6" max="6" width="9.42578125" bestFit="1" customWidth="1"/>
    <col min="7" max="7" width="11.85546875" bestFit="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560" t="s">
        <v>160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"/>
    </row>
    <row r="2" spans="1:15" ht="45">
      <c r="A2" s="64" t="s">
        <v>0</v>
      </c>
      <c r="B2" s="83" t="s">
        <v>166</v>
      </c>
      <c r="C2" s="83" t="s">
        <v>167</v>
      </c>
      <c r="D2" s="83" t="s">
        <v>198</v>
      </c>
      <c r="E2" s="83" t="s">
        <v>169</v>
      </c>
      <c r="F2" s="83" t="s">
        <v>170</v>
      </c>
      <c r="G2" s="90" t="s">
        <v>171</v>
      </c>
      <c r="H2" s="83" t="s">
        <v>172</v>
      </c>
      <c r="I2" s="83" t="s">
        <v>170</v>
      </c>
      <c r="J2" s="90" t="s">
        <v>171</v>
      </c>
      <c r="K2" s="64" t="s">
        <v>173</v>
      </c>
      <c r="L2" s="91" t="s">
        <v>174</v>
      </c>
      <c r="M2" s="85" t="s">
        <v>199</v>
      </c>
      <c r="N2" s="83" t="s">
        <v>176</v>
      </c>
      <c r="O2" s="5"/>
    </row>
    <row r="3" spans="1:15">
      <c r="A3" s="593" t="s">
        <v>177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5"/>
      <c r="M3" s="596">
        <v>15850.338799999998</v>
      </c>
      <c r="N3" s="597"/>
      <c r="O3" s="5"/>
    </row>
    <row r="4" spans="1:15">
      <c r="A4" s="195">
        <v>1</v>
      </c>
      <c r="B4" s="218">
        <v>46143</v>
      </c>
      <c r="C4" s="6"/>
      <c r="D4" s="6"/>
      <c r="E4" s="65"/>
      <c r="F4" s="6"/>
      <c r="G4" s="66">
        <f>E4*F4</f>
        <v>0</v>
      </c>
      <c r="H4" s="65"/>
      <c r="I4" s="6"/>
      <c r="J4" s="66">
        <f>H4*I4</f>
        <v>0</v>
      </c>
      <c r="K4" s="66">
        <f>G4+J4</f>
        <v>0</v>
      </c>
      <c r="L4" s="161">
        <v>0</v>
      </c>
      <c r="M4" s="292">
        <f>M3+K4-L4</f>
        <v>15850.338799999998</v>
      </c>
      <c r="N4" s="46" t="s">
        <v>359</v>
      </c>
      <c r="O4" s="5"/>
    </row>
    <row r="5" spans="1:15">
      <c r="A5" s="46">
        <v>2</v>
      </c>
      <c r="B5" s="218">
        <v>46144</v>
      </c>
      <c r="C5" s="6"/>
      <c r="D5" s="6"/>
      <c r="E5" s="65">
        <v>20</v>
      </c>
      <c r="F5" s="6">
        <v>91.46</v>
      </c>
      <c r="G5" s="66">
        <f t="shared" ref="G5:G34" si="0">E5*F5</f>
        <v>1829.1999999999998</v>
      </c>
      <c r="H5" s="65">
        <v>18.39</v>
      </c>
      <c r="I5" s="6">
        <v>103.4</v>
      </c>
      <c r="J5" s="66">
        <f t="shared" ref="J5:J41" si="1">H5*I5</f>
        <v>1901.5260000000001</v>
      </c>
      <c r="K5" s="66">
        <f t="shared" ref="K5:K41" si="2">G5+J5</f>
        <v>3730.7259999999997</v>
      </c>
      <c r="L5" s="161">
        <v>0</v>
      </c>
      <c r="M5" s="292">
        <f t="shared" ref="M5:M18" si="3">M4+K5-L5</f>
        <v>19581.064799999996</v>
      </c>
      <c r="N5" s="46" t="s">
        <v>359</v>
      </c>
      <c r="O5" s="5"/>
    </row>
    <row r="6" spans="1:15">
      <c r="A6" s="46">
        <v>3</v>
      </c>
      <c r="B6" s="218">
        <v>46145</v>
      </c>
      <c r="C6" s="6"/>
      <c r="D6" s="6"/>
      <c r="E6" s="65"/>
      <c r="F6" s="6"/>
      <c r="G6" s="66">
        <f t="shared" si="0"/>
        <v>0</v>
      </c>
      <c r="H6" s="65">
        <v>5</v>
      </c>
      <c r="I6" s="6">
        <v>103.4</v>
      </c>
      <c r="J6" s="66">
        <f t="shared" si="1"/>
        <v>517</v>
      </c>
      <c r="K6" s="66">
        <f t="shared" si="2"/>
        <v>517</v>
      </c>
      <c r="L6" s="161">
        <v>0</v>
      </c>
      <c r="M6" s="292">
        <f t="shared" si="3"/>
        <v>20098.064799999996</v>
      </c>
      <c r="N6" s="46" t="s">
        <v>359</v>
      </c>
      <c r="O6" s="5"/>
    </row>
    <row r="7" spans="1:15">
      <c r="A7" s="46">
        <v>4</v>
      </c>
      <c r="B7" s="218">
        <v>46146</v>
      </c>
      <c r="C7" s="168"/>
      <c r="D7" s="168"/>
      <c r="E7" s="65"/>
      <c r="F7" s="6"/>
      <c r="G7" s="66">
        <f t="shared" si="0"/>
        <v>0</v>
      </c>
      <c r="H7" s="65"/>
      <c r="I7" s="6"/>
      <c r="J7" s="66">
        <f t="shared" si="1"/>
        <v>0</v>
      </c>
      <c r="K7" s="66">
        <f t="shared" si="2"/>
        <v>0</v>
      </c>
      <c r="L7" s="161">
        <v>0</v>
      </c>
      <c r="M7" s="292">
        <f t="shared" si="3"/>
        <v>20098.064799999996</v>
      </c>
      <c r="N7" s="46" t="s">
        <v>359</v>
      </c>
      <c r="O7" s="5"/>
    </row>
    <row r="8" spans="1:15">
      <c r="A8" s="220">
        <v>5</v>
      </c>
      <c r="B8" s="218">
        <v>46147</v>
      </c>
      <c r="C8" s="6"/>
      <c r="D8" s="6"/>
      <c r="E8" s="65"/>
      <c r="F8" s="6"/>
      <c r="G8" s="66">
        <f t="shared" si="0"/>
        <v>0</v>
      </c>
      <c r="H8" s="65">
        <v>2</v>
      </c>
      <c r="I8" s="6">
        <v>103.4</v>
      </c>
      <c r="J8" s="66">
        <f t="shared" si="1"/>
        <v>206.8</v>
      </c>
      <c r="K8" s="66">
        <f t="shared" si="2"/>
        <v>206.8</v>
      </c>
      <c r="L8" s="161">
        <v>0</v>
      </c>
      <c r="M8" s="292">
        <f t="shared" si="3"/>
        <v>20304.864799999996</v>
      </c>
      <c r="N8" s="46" t="s">
        <v>359</v>
      </c>
      <c r="O8" s="5"/>
    </row>
    <row r="9" spans="1:15">
      <c r="A9" s="220">
        <v>6</v>
      </c>
      <c r="B9" s="218">
        <v>46148</v>
      </c>
      <c r="C9" s="6"/>
      <c r="D9" s="6"/>
      <c r="E9" s="65"/>
      <c r="F9" s="6"/>
      <c r="G9" s="66">
        <f t="shared" si="0"/>
        <v>0</v>
      </c>
      <c r="H9" s="65"/>
      <c r="I9" s="6"/>
      <c r="J9" s="66">
        <f t="shared" si="1"/>
        <v>0</v>
      </c>
      <c r="K9" s="66">
        <f t="shared" si="2"/>
        <v>0</v>
      </c>
      <c r="L9" s="161">
        <v>0</v>
      </c>
      <c r="M9" s="292">
        <f t="shared" si="3"/>
        <v>20304.864799999996</v>
      </c>
      <c r="N9" s="46" t="s">
        <v>359</v>
      </c>
      <c r="O9" s="5"/>
    </row>
    <row r="10" spans="1:15">
      <c r="A10" s="220">
        <v>7</v>
      </c>
      <c r="B10" s="218">
        <v>46149</v>
      </c>
      <c r="C10" s="6"/>
      <c r="D10" s="6"/>
      <c r="E10" s="65">
        <v>128.57999999999998</v>
      </c>
      <c r="F10" s="6">
        <v>91.46</v>
      </c>
      <c r="G10" s="66">
        <f t="shared" si="0"/>
        <v>11759.926799999997</v>
      </c>
      <c r="H10" s="65">
        <v>5</v>
      </c>
      <c r="I10" s="6">
        <v>103.4</v>
      </c>
      <c r="J10" s="66">
        <f t="shared" si="1"/>
        <v>517</v>
      </c>
      <c r="K10" s="66">
        <f t="shared" si="2"/>
        <v>12276.926799999997</v>
      </c>
      <c r="L10" s="161">
        <v>0</v>
      </c>
      <c r="M10" s="292">
        <f t="shared" si="3"/>
        <v>32581.791599999993</v>
      </c>
      <c r="N10" s="46" t="s">
        <v>359</v>
      </c>
      <c r="O10" s="5"/>
    </row>
    <row r="11" spans="1:15">
      <c r="A11" s="220">
        <v>8</v>
      </c>
      <c r="B11" s="218">
        <v>46150</v>
      </c>
      <c r="C11" s="6"/>
      <c r="D11" s="6"/>
      <c r="E11" s="65"/>
      <c r="F11" s="6"/>
      <c r="G11" s="66">
        <f t="shared" si="0"/>
        <v>0</v>
      </c>
      <c r="H11" s="65"/>
      <c r="I11" s="6"/>
      <c r="J11" s="66">
        <f t="shared" si="1"/>
        <v>0</v>
      </c>
      <c r="K11" s="66">
        <f>G11+J11</f>
        <v>0</v>
      </c>
      <c r="L11" s="161">
        <v>0</v>
      </c>
      <c r="M11" s="292">
        <f t="shared" si="3"/>
        <v>32581.791599999993</v>
      </c>
      <c r="N11" s="46" t="s">
        <v>359</v>
      </c>
      <c r="O11" s="5"/>
    </row>
    <row r="12" spans="1:15">
      <c r="A12" s="220">
        <v>9</v>
      </c>
      <c r="B12" s="218">
        <v>46151</v>
      </c>
      <c r="C12" s="6"/>
      <c r="D12" s="6"/>
      <c r="E12" s="65"/>
      <c r="F12" s="6"/>
      <c r="G12" s="66">
        <f t="shared" si="0"/>
        <v>0</v>
      </c>
      <c r="H12" s="65"/>
      <c r="I12" s="6"/>
      <c r="J12" s="66">
        <f t="shared" si="1"/>
        <v>0</v>
      </c>
      <c r="K12" s="66">
        <f>G12+J12</f>
        <v>0</v>
      </c>
      <c r="L12" s="161">
        <v>0</v>
      </c>
      <c r="M12" s="292">
        <f t="shared" si="3"/>
        <v>32581.791599999993</v>
      </c>
      <c r="N12" s="46" t="s">
        <v>359</v>
      </c>
      <c r="O12" s="5"/>
    </row>
    <row r="13" spans="1:15">
      <c r="A13" s="220">
        <v>10</v>
      </c>
      <c r="B13" s="218">
        <v>46152</v>
      </c>
      <c r="C13" s="6"/>
      <c r="D13" s="6"/>
      <c r="E13" s="65">
        <v>12.03</v>
      </c>
      <c r="F13" s="6">
        <v>91.46</v>
      </c>
      <c r="G13" s="66">
        <f t="shared" si="0"/>
        <v>1100.2637999999999</v>
      </c>
      <c r="H13" s="65">
        <v>6</v>
      </c>
      <c r="I13" s="6">
        <v>103.4</v>
      </c>
      <c r="J13" s="66">
        <f t="shared" si="1"/>
        <v>620.40000000000009</v>
      </c>
      <c r="K13" s="66">
        <f>G13+J13</f>
        <v>1720.6638</v>
      </c>
      <c r="L13" s="161">
        <v>0</v>
      </c>
      <c r="M13" s="292">
        <f t="shared" si="3"/>
        <v>34302.455399999992</v>
      </c>
      <c r="N13" s="46" t="s">
        <v>359</v>
      </c>
      <c r="O13" s="5"/>
    </row>
    <row r="14" spans="1:15">
      <c r="A14" s="220">
        <v>11</v>
      </c>
      <c r="B14" s="218">
        <v>46153</v>
      </c>
      <c r="C14" s="6"/>
      <c r="D14" s="6"/>
      <c r="E14" s="65">
        <v>85.09</v>
      </c>
      <c r="F14" s="6">
        <v>91.46</v>
      </c>
      <c r="G14" s="66">
        <f t="shared" si="0"/>
        <v>7782.3314</v>
      </c>
      <c r="H14" s="65">
        <v>13.940000000000001</v>
      </c>
      <c r="I14" s="6">
        <v>103.4</v>
      </c>
      <c r="J14" s="66">
        <f t="shared" si="1"/>
        <v>1441.3960000000002</v>
      </c>
      <c r="K14" s="66">
        <f t="shared" si="2"/>
        <v>9223.7273999999998</v>
      </c>
      <c r="L14" s="161">
        <v>0</v>
      </c>
      <c r="M14" s="292">
        <f t="shared" si="3"/>
        <v>43526.182799999995</v>
      </c>
      <c r="N14" s="46" t="s">
        <v>359</v>
      </c>
      <c r="O14" s="5"/>
    </row>
    <row r="15" spans="1:15">
      <c r="A15" s="220">
        <v>12</v>
      </c>
      <c r="B15" s="218">
        <v>46154</v>
      </c>
      <c r="C15" s="6"/>
      <c r="D15" s="6"/>
      <c r="E15" s="65"/>
      <c r="F15" s="6"/>
      <c r="G15" s="66">
        <f t="shared" si="0"/>
        <v>0</v>
      </c>
      <c r="H15" s="65"/>
      <c r="I15" s="6"/>
      <c r="J15" s="66">
        <f t="shared" si="1"/>
        <v>0</v>
      </c>
      <c r="K15" s="66">
        <f t="shared" si="2"/>
        <v>0</v>
      </c>
      <c r="L15" s="161">
        <v>0</v>
      </c>
      <c r="M15" s="292">
        <f t="shared" si="3"/>
        <v>43526.182799999995</v>
      </c>
      <c r="N15" s="46" t="s">
        <v>359</v>
      </c>
      <c r="O15" s="5"/>
    </row>
    <row r="16" spans="1:15">
      <c r="A16" s="220">
        <v>13</v>
      </c>
      <c r="B16" s="218">
        <v>46155</v>
      </c>
      <c r="C16" s="6"/>
      <c r="D16" s="6"/>
      <c r="E16" s="65">
        <v>45.71</v>
      </c>
      <c r="F16" s="6">
        <v>91.46</v>
      </c>
      <c r="G16" s="66">
        <f t="shared" si="0"/>
        <v>4180.6365999999998</v>
      </c>
      <c r="H16" s="65">
        <v>6</v>
      </c>
      <c r="I16" s="6">
        <v>103.4</v>
      </c>
      <c r="J16" s="66">
        <f t="shared" si="1"/>
        <v>620.40000000000009</v>
      </c>
      <c r="K16" s="66">
        <f t="shared" si="2"/>
        <v>4801.0365999999995</v>
      </c>
      <c r="L16" s="161">
        <v>0</v>
      </c>
      <c r="M16" s="292">
        <f t="shared" si="3"/>
        <v>48327.219399999994</v>
      </c>
      <c r="N16" s="46" t="s">
        <v>359</v>
      </c>
      <c r="O16" s="5"/>
    </row>
    <row r="17" spans="1:15">
      <c r="A17" s="220">
        <v>14</v>
      </c>
      <c r="B17" s="218">
        <v>46156</v>
      </c>
      <c r="C17" s="6"/>
      <c r="D17" s="6"/>
      <c r="E17" s="65"/>
      <c r="F17" s="6"/>
      <c r="G17" s="66">
        <f t="shared" si="0"/>
        <v>0</v>
      </c>
      <c r="H17" s="65"/>
      <c r="I17" s="6"/>
      <c r="J17" s="66">
        <f t="shared" si="1"/>
        <v>0</v>
      </c>
      <c r="K17" s="66">
        <f t="shared" si="2"/>
        <v>0</v>
      </c>
      <c r="L17" s="161">
        <v>0</v>
      </c>
      <c r="M17" s="292">
        <f t="shared" si="3"/>
        <v>48327.219399999994</v>
      </c>
      <c r="N17" s="46" t="s">
        <v>359</v>
      </c>
      <c r="O17" s="5"/>
    </row>
    <row r="18" spans="1:15">
      <c r="A18" s="220">
        <v>15</v>
      </c>
      <c r="B18" s="218">
        <v>46157</v>
      </c>
      <c r="C18" s="6"/>
      <c r="D18" s="6"/>
      <c r="E18" s="65">
        <v>82.66</v>
      </c>
      <c r="F18" s="6">
        <v>94.58</v>
      </c>
      <c r="G18" s="66">
        <f t="shared" si="0"/>
        <v>7817.9827999999998</v>
      </c>
      <c r="H18" s="65">
        <v>5</v>
      </c>
      <c r="I18" s="6">
        <v>106.66</v>
      </c>
      <c r="J18" s="66">
        <f t="shared" si="1"/>
        <v>533.29999999999995</v>
      </c>
      <c r="K18" s="66">
        <f t="shared" si="2"/>
        <v>8351.282799999999</v>
      </c>
      <c r="L18" s="161">
        <v>48000</v>
      </c>
      <c r="M18" s="292">
        <f t="shared" si="3"/>
        <v>8678.5021999999954</v>
      </c>
      <c r="N18" s="46" t="s">
        <v>202</v>
      </c>
      <c r="O18" s="5"/>
    </row>
    <row r="19" spans="1:15">
      <c r="A19" s="220">
        <v>16</v>
      </c>
      <c r="B19" s="218">
        <v>46158</v>
      </c>
      <c r="C19" s="6"/>
      <c r="D19" s="6"/>
      <c r="E19" s="65">
        <v>32.01</v>
      </c>
      <c r="F19" s="6">
        <v>94.58</v>
      </c>
      <c r="G19" s="66">
        <f t="shared" si="0"/>
        <v>3027.5057999999999</v>
      </c>
      <c r="H19" s="65">
        <v>11.3</v>
      </c>
      <c r="I19" s="6">
        <v>106.66</v>
      </c>
      <c r="J19" s="66">
        <f t="shared" si="1"/>
        <v>1205.258</v>
      </c>
      <c r="K19" s="66">
        <f t="shared" si="2"/>
        <v>4232.7637999999997</v>
      </c>
      <c r="L19" s="161">
        <v>0</v>
      </c>
      <c r="M19" s="293">
        <f t="shared" ref="M15:M42" si="4">M18+K19-L19</f>
        <v>12911.265999999996</v>
      </c>
      <c r="N19" s="46" t="s">
        <v>359</v>
      </c>
      <c r="O19" s="5"/>
    </row>
    <row r="20" spans="1:15">
      <c r="A20" s="220">
        <v>17</v>
      </c>
      <c r="B20" s="218">
        <v>46159</v>
      </c>
      <c r="C20" s="6"/>
      <c r="D20" s="6"/>
      <c r="E20" s="65"/>
      <c r="F20" s="6"/>
      <c r="G20" s="66">
        <f t="shared" si="0"/>
        <v>0</v>
      </c>
      <c r="H20" s="65"/>
      <c r="I20" s="6"/>
      <c r="J20" s="66">
        <f t="shared" si="1"/>
        <v>0</v>
      </c>
      <c r="K20" s="66">
        <f t="shared" si="2"/>
        <v>0</v>
      </c>
      <c r="L20" s="161">
        <v>0</v>
      </c>
      <c r="M20" s="293">
        <f t="shared" si="4"/>
        <v>12911.265999999996</v>
      </c>
      <c r="N20" s="46" t="s">
        <v>359</v>
      </c>
      <c r="O20" s="5"/>
    </row>
    <row r="21" spans="1:15">
      <c r="A21" s="220">
        <v>18</v>
      </c>
      <c r="B21" s="218">
        <v>46160</v>
      </c>
      <c r="C21" s="6"/>
      <c r="D21" s="6"/>
      <c r="E21" s="65">
        <v>76.02000000000001</v>
      </c>
      <c r="F21" s="6">
        <v>94.58</v>
      </c>
      <c r="G21" s="66">
        <f t="shared" si="0"/>
        <v>7189.9716000000008</v>
      </c>
      <c r="H21" s="65">
        <v>3</v>
      </c>
      <c r="I21" s="6">
        <v>106.66</v>
      </c>
      <c r="J21" s="66">
        <f t="shared" si="1"/>
        <v>319.98</v>
      </c>
      <c r="K21" s="66">
        <f t="shared" si="2"/>
        <v>7509.9516000000003</v>
      </c>
      <c r="L21" s="161">
        <v>0</v>
      </c>
      <c r="M21" s="293">
        <f t="shared" si="4"/>
        <v>20421.217599999996</v>
      </c>
      <c r="N21" s="46" t="s">
        <v>359</v>
      </c>
      <c r="O21" s="5"/>
    </row>
    <row r="22" spans="1:15">
      <c r="A22" s="220">
        <v>19</v>
      </c>
      <c r="B22" s="218">
        <v>46161</v>
      </c>
      <c r="C22" s="6"/>
      <c r="D22" s="6"/>
      <c r="E22" s="65"/>
      <c r="F22" s="6"/>
      <c r="G22" s="66">
        <f t="shared" si="0"/>
        <v>0</v>
      </c>
      <c r="H22" s="65">
        <v>5</v>
      </c>
      <c r="I22" s="6">
        <v>107.61</v>
      </c>
      <c r="J22" s="66">
        <f t="shared" si="1"/>
        <v>538.04999999999995</v>
      </c>
      <c r="K22" s="66">
        <f t="shared" si="2"/>
        <v>538.04999999999995</v>
      </c>
      <c r="L22" s="161">
        <v>0</v>
      </c>
      <c r="M22" s="293">
        <f t="shared" si="4"/>
        <v>20959.267599999996</v>
      </c>
      <c r="N22" s="46" t="s">
        <v>359</v>
      </c>
      <c r="O22" s="5"/>
    </row>
    <row r="23" spans="1:15">
      <c r="A23" s="220">
        <v>20</v>
      </c>
      <c r="B23" s="218">
        <v>46162</v>
      </c>
      <c r="C23" s="6"/>
      <c r="D23" s="6"/>
      <c r="E23" s="65"/>
      <c r="F23" s="6"/>
      <c r="G23" s="66">
        <f t="shared" si="0"/>
        <v>0</v>
      </c>
      <c r="H23" s="65">
        <v>15</v>
      </c>
      <c r="I23" s="6">
        <v>107.61</v>
      </c>
      <c r="J23" s="66">
        <f t="shared" si="1"/>
        <v>1614.15</v>
      </c>
      <c r="K23" s="66">
        <f t="shared" si="2"/>
        <v>1614.15</v>
      </c>
      <c r="L23" s="161">
        <v>0</v>
      </c>
      <c r="M23" s="293">
        <f t="shared" si="4"/>
        <v>22573.417599999997</v>
      </c>
      <c r="N23" s="46"/>
      <c r="O23" s="5"/>
    </row>
    <row r="24" spans="1:15">
      <c r="A24" s="220">
        <v>21</v>
      </c>
      <c r="B24" s="218">
        <v>46163</v>
      </c>
      <c r="C24" s="6"/>
      <c r="D24" s="6"/>
      <c r="E24" s="65">
        <v>61.4</v>
      </c>
      <c r="F24" s="6">
        <v>95.52</v>
      </c>
      <c r="G24" s="66">
        <f t="shared" si="0"/>
        <v>5864.9279999999999</v>
      </c>
      <c r="H24" s="65"/>
      <c r="I24" s="6"/>
      <c r="J24" s="66">
        <f t="shared" si="1"/>
        <v>0</v>
      </c>
      <c r="K24" s="66">
        <f t="shared" si="2"/>
        <v>5864.9279999999999</v>
      </c>
      <c r="L24" s="161">
        <v>0</v>
      </c>
      <c r="M24" s="293">
        <f t="shared" si="4"/>
        <v>28438.345599999997</v>
      </c>
      <c r="N24" s="46"/>
      <c r="O24" s="5"/>
    </row>
    <row r="25" spans="1:15">
      <c r="A25" s="46">
        <v>22</v>
      </c>
      <c r="B25" s="218">
        <v>46164</v>
      </c>
      <c r="C25" s="317"/>
      <c r="D25" s="317"/>
      <c r="E25" s="65">
        <v>92.64</v>
      </c>
      <c r="F25" s="6">
        <v>95.52</v>
      </c>
      <c r="G25" s="66">
        <f t="shared" si="0"/>
        <v>8848.9727999999996</v>
      </c>
      <c r="H25" s="65"/>
      <c r="I25" s="6"/>
      <c r="J25" s="66">
        <f t="shared" si="1"/>
        <v>0</v>
      </c>
      <c r="K25" s="66">
        <f t="shared" si="2"/>
        <v>8848.9727999999996</v>
      </c>
      <c r="L25" s="161">
        <v>0</v>
      </c>
      <c r="M25" s="257">
        <f t="shared" si="4"/>
        <v>37287.318399999996</v>
      </c>
      <c r="N25" s="46"/>
      <c r="O25" s="5"/>
    </row>
    <row r="26" spans="1:15">
      <c r="A26" s="46">
        <v>23</v>
      </c>
      <c r="B26" s="218">
        <v>46165</v>
      </c>
      <c r="C26" s="6"/>
      <c r="D26" s="6"/>
      <c r="E26" s="65">
        <v>20</v>
      </c>
      <c r="F26" s="6">
        <v>96.47</v>
      </c>
      <c r="G26" s="66">
        <f t="shared" si="0"/>
        <v>1929.4</v>
      </c>
      <c r="H26" s="65">
        <v>8</v>
      </c>
      <c r="I26" s="6">
        <v>108.54</v>
      </c>
      <c r="J26" s="66">
        <f t="shared" si="1"/>
        <v>868.32</v>
      </c>
      <c r="K26" s="66">
        <f t="shared" si="2"/>
        <v>2797.7200000000003</v>
      </c>
      <c r="L26" s="161">
        <v>0</v>
      </c>
      <c r="M26" s="257">
        <f t="shared" si="4"/>
        <v>40085.038399999998</v>
      </c>
      <c r="N26" s="6"/>
      <c r="O26" s="5"/>
    </row>
    <row r="27" spans="1:15">
      <c r="A27" s="46">
        <v>24</v>
      </c>
      <c r="B27" s="218">
        <v>46166</v>
      </c>
      <c r="C27" s="6"/>
      <c r="D27" s="6"/>
      <c r="E27" s="65">
        <v>30</v>
      </c>
      <c r="F27" s="6">
        <v>96.47</v>
      </c>
      <c r="G27" s="66">
        <f t="shared" si="0"/>
        <v>2894.1</v>
      </c>
      <c r="H27" s="65"/>
      <c r="I27" s="6"/>
      <c r="J27" s="66">
        <f t="shared" si="1"/>
        <v>0</v>
      </c>
      <c r="K27" s="66">
        <f t="shared" si="2"/>
        <v>2894.1</v>
      </c>
      <c r="L27" s="161">
        <v>0</v>
      </c>
      <c r="M27" s="257">
        <f t="shared" si="4"/>
        <v>42979.138399999996</v>
      </c>
      <c r="N27" s="6"/>
      <c r="O27" s="5"/>
    </row>
    <row r="28" spans="1:15">
      <c r="A28" s="220">
        <v>25</v>
      </c>
      <c r="B28" s="218">
        <v>46167</v>
      </c>
      <c r="C28" s="6"/>
      <c r="D28" s="6"/>
      <c r="E28" s="65">
        <v>20.149999999999999</v>
      </c>
      <c r="F28" s="6">
        <v>99.28</v>
      </c>
      <c r="G28" s="66">
        <f t="shared" si="0"/>
        <v>2000.492</v>
      </c>
      <c r="H28" s="65">
        <v>11</v>
      </c>
      <c r="I28" s="6">
        <v>111.38</v>
      </c>
      <c r="J28" s="66">
        <f t="shared" si="1"/>
        <v>1225.1799999999998</v>
      </c>
      <c r="K28" s="66">
        <f t="shared" si="2"/>
        <v>3225.6719999999996</v>
      </c>
      <c r="L28" s="161">
        <v>2000.49</v>
      </c>
      <c r="M28" s="257">
        <f t="shared" si="4"/>
        <v>44204.320399999997</v>
      </c>
      <c r="N28" s="6"/>
      <c r="O28" s="5"/>
    </row>
    <row r="29" spans="1:15">
      <c r="A29" s="220">
        <v>26</v>
      </c>
      <c r="B29" s="218">
        <v>46168</v>
      </c>
      <c r="C29" s="6"/>
      <c r="D29" s="6"/>
      <c r="E29" s="65">
        <v>87.57</v>
      </c>
      <c r="F29" s="6">
        <v>99.28</v>
      </c>
      <c r="G29" s="66">
        <f t="shared" si="0"/>
        <v>8693.9495999999999</v>
      </c>
      <c r="H29" s="65">
        <v>6</v>
      </c>
      <c r="I29" s="6">
        <v>111.38</v>
      </c>
      <c r="J29" s="66">
        <f t="shared" si="1"/>
        <v>668.28</v>
      </c>
      <c r="K29" s="66">
        <f t="shared" si="2"/>
        <v>9362.2296000000006</v>
      </c>
      <c r="L29" s="161">
        <v>0</v>
      </c>
      <c r="M29" s="257">
        <f t="shared" si="4"/>
        <v>53566.549999999996</v>
      </c>
      <c r="N29" s="6"/>
      <c r="O29" s="5"/>
    </row>
    <row r="30" spans="1:15">
      <c r="A30" s="220">
        <v>27</v>
      </c>
      <c r="B30" s="218">
        <v>46169</v>
      </c>
      <c r="C30" s="6"/>
      <c r="D30" s="6"/>
      <c r="E30" s="65"/>
      <c r="F30" s="6"/>
      <c r="G30" s="66">
        <f t="shared" si="0"/>
        <v>0</v>
      </c>
      <c r="H30" s="65"/>
      <c r="I30" s="6"/>
      <c r="J30" s="66">
        <f t="shared" si="1"/>
        <v>0</v>
      </c>
      <c r="K30" s="66">
        <f t="shared" si="2"/>
        <v>0</v>
      </c>
      <c r="L30" s="161">
        <v>0</v>
      </c>
      <c r="M30" s="257">
        <f t="shared" si="4"/>
        <v>53566.549999999996</v>
      </c>
      <c r="N30" s="6"/>
      <c r="O30" s="5"/>
    </row>
    <row r="31" spans="1:15">
      <c r="A31" s="220">
        <v>28</v>
      </c>
      <c r="B31" s="218">
        <v>46170</v>
      </c>
      <c r="C31" s="6"/>
      <c r="D31" s="6"/>
      <c r="E31" s="65"/>
      <c r="F31" s="6"/>
      <c r="G31" s="66">
        <f t="shared" si="0"/>
        <v>0</v>
      </c>
      <c r="H31" s="65"/>
      <c r="I31" s="6"/>
      <c r="J31" s="66">
        <f t="shared" si="1"/>
        <v>0</v>
      </c>
      <c r="K31" s="66">
        <f t="shared" si="2"/>
        <v>0</v>
      </c>
      <c r="L31" s="161">
        <v>0</v>
      </c>
      <c r="M31" s="257">
        <f t="shared" si="4"/>
        <v>53566.549999999996</v>
      </c>
      <c r="N31" s="6"/>
      <c r="O31" s="5"/>
    </row>
    <row r="32" spans="1:15">
      <c r="A32" s="221">
        <v>29</v>
      </c>
      <c r="B32" s="218">
        <v>46171</v>
      </c>
      <c r="C32" s="6"/>
      <c r="D32" s="6"/>
      <c r="E32" s="65">
        <v>20</v>
      </c>
      <c r="F32" s="6">
        <v>99.28</v>
      </c>
      <c r="G32" s="66">
        <f t="shared" si="0"/>
        <v>1985.6</v>
      </c>
      <c r="H32" s="65"/>
      <c r="I32" s="6"/>
      <c r="J32" s="66">
        <f t="shared" si="1"/>
        <v>0</v>
      </c>
      <c r="K32" s="66">
        <f t="shared" si="2"/>
        <v>1985.6</v>
      </c>
      <c r="L32" s="161">
        <v>0</v>
      </c>
      <c r="M32" s="257">
        <f t="shared" si="4"/>
        <v>55552.149999999994</v>
      </c>
      <c r="N32" s="6"/>
      <c r="O32" s="5"/>
    </row>
    <row r="33" spans="1:15">
      <c r="A33" s="221">
        <v>30</v>
      </c>
      <c r="B33" s="218">
        <v>46172</v>
      </c>
      <c r="C33" s="6"/>
      <c r="D33" s="6"/>
      <c r="E33" s="65"/>
      <c r="F33" s="6"/>
      <c r="G33" s="66">
        <f t="shared" si="0"/>
        <v>0</v>
      </c>
      <c r="H33" s="65">
        <v>5</v>
      </c>
      <c r="I33" s="6">
        <v>111.38</v>
      </c>
      <c r="J33" s="66">
        <f t="shared" si="1"/>
        <v>556.9</v>
      </c>
      <c r="K33" s="66">
        <f t="shared" si="2"/>
        <v>556.9</v>
      </c>
      <c r="L33" s="161">
        <v>0</v>
      </c>
      <c r="M33" s="257">
        <f t="shared" si="4"/>
        <v>56109.049999999996</v>
      </c>
      <c r="N33" s="6"/>
      <c r="O33" s="5"/>
    </row>
    <row r="34" spans="1:15">
      <c r="A34" s="221">
        <v>31</v>
      </c>
      <c r="B34" s="218">
        <v>46173</v>
      </c>
      <c r="C34" s="6"/>
      <c r="D34" s="6"/>
      <c r="E34" s="65">
        <v>90.9</v>
      </c>
      <c r="F34" s="6">
        <v>99.28</v>
      </c>
      <c r="G34" s="66">
        <f t="shared" si="0"/>
        <v>9024.5520000000015</v>
      </c>
      <c r="H34" s="65"/>
      <c r="I34" s="6"/>
      <c r="J34" s="66">
        <f t="shared" si="1"/>
        <v>0</v>
      </c>
      <c r="K34" s="66">
        <f t="shared" si="2"/>
        <v>9024.5520000000015</v>
      </c>
      <c r="L34" s="161">
        <v>0</v>
      </c>
      <c r="M34" s="257">
        <f t="shared" si="4"/>
        <v>65133.601999999999</v>
      </c>
      <c r="N34" s="6"/>
      <c r="O34" s="5"/>
    </row>
    <row r="35" spans="1:15">
      <c r="A35" s="6">
        <v>35</v>
      </c>
      <c r="B35" s="78"/>
      <c r="C35" s="6"/>
      <c r="D35" s="6"/>
      <c r="E35" s="65"/>
      <c r="F35" s="6"/>
      <c r="G35" s="66">
        <v>0</v>
      </c>
      <c r="H35" s="65"/>
      <c r="I35" s="6"/>
      <c r="J35" s="66">
        <f t="shared" si="1"/>
        <v>0</v>
      </c>
      <c r="K35" s="66">
        <f t="shared" si="2"/>
        <v>0</v>
      </c>
      <c r="L35" s="161">
        <v>0</v>
      </c>
      <c r="M35" s="257">
        <f t="shared" si="4"/>
        <v>65133.601999999999</v>
      </c>
      <c r="N35" s="6"/>
      <c r="O35" s="5"/>
    </row>
    <row r="36" spans="1:15">
      <c r="A36" s="6">
        <v>36</v>
      </c>
      <c r="B36" s="78"/>
      <c r="C36" s="6"/>
      <c r="D36" s="6"/>
      <c r="E36" s="65"/>
      <c r="F36" s="6"/>
      <c r="G36" s="66">
        <v>0</v>
      </c>
      <c r="H36" s="65"/>
      <c r="I36" s="6"/>
      <c r="J36" s="66">
        <f t="shared" si="1"/>
        <v>0</v>
      </c>
      <c r="K36" s="66">
        <f t="shared" si="2"/>
        <v>0</v>
      </c>
      <c r="L36" s="161">
        <v>0</v>
      </c>
      <c r="M36" s="257">
        <f t="shared" si="4"/>
        <v>65133.601999999999</v>
      </c>
      <c r="N36" s="6"/>
      <c r="O36" s="5"/>
    </row>
    <row r="37" spans="1:15">
      <c r="A37" s="6">
        <v>37</v>
      </c>
      <c r="B37" s="78"/>
      <c r="C37" s="6"/>
      <c r="D37" s="6"/>
      <c r="E37" s="65"/>
      <c r="F37" s="6"/>
      <c r="G37" s="66">
        <v>0</v>
      </c>
      <c r="H37" s="65"/>
      <c r="I37" s="6"/>
      <c r="J37" s="66">
        <f t="shared" si="1"/>
        <v>0</v>
      </c>
      <c r="K37" s="66">
        <f t="shared" si="2"/>
        <v>0</v>
      </c>
      <c r="L37" s="161">
        <v>0</v>
      </c>
      <c r="M37" s="257">
        <f t="shared" si="4"/>
        <v>65133.601999999999</v>
      </c>
      <c r="N37" s="6"/>
      <c r="O37" s="5"/>
    </row>
    <row r="38" spans="1:15">
      <c r="A38" s="6">
        <v>38</v>
      </c>
      <c r="B38" s="78"/>
      <c r="C38" s="6"/>
      <c r="D38" s="6"/>
      <c r="E38" s="65"/>
      <c r="F38" s="6"/>
      <c r="G38" s="66">
        <v>0</v>
      </c>
      <c r="H38" s="65"/>
      <c r="I38" s="6"/>
      <c r="J38" s="66">
        <f t="shared" si="1"/>
        <v>0</v>
      </c>
      <c r="K38" s="66">
        <f t="shared" si="2"/>
        <v>0</v>
      </c>
      <c r="L38" s="161">
        <v>0</v>
      </c>
      <c r="M38" s="257">
        <f t="shared" si="4"/>
        <v>65133.601999999999</v>
      </c>
      <c r="N38" s="6"/>
      <c r="O38" s="5"/>
    </row>
    <row r="39" spans="1:15">
      <c r="A39" s="168">
        <v>39</v>
      </c>
      <c r="B39" s="169"/>
      <c r="C39" s="168"/>
      <c r="D39" s="6"/>
      <c r="E39" s="65"/>
      <c r="F39" s="6"/>
      <c r="G39" s="66">
        <v>0</v>
      </c>
      <c r="H39" s="65"/>
      <c r="I39" s="6"/>
      <c r="J39" s="66">
        <f t="shared" si="1"/>
        <v>0</v>
      </c>
      <c r="K39" s="66">
        <f t="shared" si="2"/>
        <v>0</v>
      </c>
      <c r="L39" s="161">
        <v>0</v>
      </c>
      <c r="M39" s="257">
        <f t="shared" si="4"/>
        <v>65133.601999999999</v>
      </c>
      <c r="N39" s="168"/>
      <c r="O39" s="5"/>
    </row>
    <row r="40" spans="1:15">
      <c r="A40" s="6">
        <v>40</v>
      </c>
      <c r="B40" s="6"/>
      <c r="C40" s="6"/>
      <c r="D40" s="6"/>
      <c r="E40" s="65"/>
      <c r="F40" s="6"/>
      <c r="G40" s="66">
        <v>0</v>
      </c>
      <c r="H40" s="65"/>
      <c r="I40" s="6"/>
      <c r="J40" s="66">
        <f t="shared" si="1"/>
        <v>0</v>
      </c>
      <c r="K40" s="66">
        <f t="shared" si="2"/>
        <v>0</v>
      </c>
      <c r="L40" s="161">
        <v>0</v>
      </c>
      <c r="M40" s="257">
        <f t="shared" si="4"/>
        <v>65133.601999999999</v>
      </c>
      <c r="N40" s="6"/>
      <c r="O40" s="5"/>
    </row>
    <row r="41" spans="1:15">
      <c r="A41" s="168">
        <v>41</v>
      </c>
      <c r="B41" s="168"/>
      <c r="C41" s="168"/>
      <c r="D41" s="6"/>
      <c r="E41" s="65"/>
      <c r="F41" s="6"/>
      <c r="G41" s="66">
        <v>0</v>
      </c>
      <c r="H41" s="65"/>
      <c r="I41" s="6"/>
      <c r="J41" s="66">
        <f t="shared" si="1"/>
        <v>0</v>
      </c>
      <c r="K41" s="66">
        <f t="shared" si="2"/>
        <v>0</v>
      </c>
      <c r="L41" s="161">
        <v>0</v>
      </c>
      <c r="M41" s="257">
        <f t="shared" si="4"/>
        <v>65133.601999999999</v>
      </c>
      <c r="N41" s="168"/>
      <c r="O41" s="5"/>
    </row>
    <row r="42" spans="1:15">
      <c r="A42" s="168">
        <v>42</v>
      </c>
      <c r="B42" s="168"/>
      <c r="C42" s="168"/>
      <c r="D42" s="6"/>
      <c r="E42" s="65"/>
      <c r="F42" s="6"/>
      <c r="G42" s="66">
        <f t="shared" ref="G42" si="5">E42*F42</f>
        <v>0</v>
      </c>
      <c r="H42" s="65"/>
      <c r="I42" s="6"/>
      <c r="J42" s="66">
        <f t="shared" ref="J42" si="6">H42*I42</f>
        <v>0</v>
      </c>
      <c r="K42" s="170">
        <f t="shared" ref="K42" si="7">G42+J42</f>
        <v>0</v>
      </c>
      <c r="L42" s="171">
        <f t="shared" ref="L42" si="8">+K42</f>
        <v>0</v>
      </c>
      <c r="M42" s="257">
        <f t="shared" si="4"/>
        <v>65133.601999999999</v>
      </c>
      <c r="N42" s="168"/>
      <c r="O42" s="5"/>
    </row>
    <row r="43" spans="1:15">
      <c r="A43" s="62"/>
      <c r="B43" s="62"/>
      <c r="C43" s="62"/>
      <c r="D43" s="62"/>
      <c r="E43" s="63">
        <f>SUM(E4:E42)</f>
        <v>904.75999999999988</v>
      </c>
      <c r="F43" s="63"/>
      <c r="G43" s="63">
        <f>SUM(G4:G42)</f>
        <v>85929.813200000004</v>
      </c>
      <c r="H43" s="63">
        <f>SUM(H4:H42)</f>
        <v>125.63</v>
      </c>
      <c r="I43" s="63"/>
      <c r="J43" s="63">
        <f>SUM(J4:J42)</f>
        <v>13353.94</v>
      </c>
      <c r="K43" s="63">
        <f>SUM(K4:K42)</f>
        <v>99283.753200000021</v>
      </c>
      <c r="L43" s="63">
        <f>SUM(L4:L42)</f>
        <v>50000.49</v>
      </c>
      <c r="M43" s="63"/>
      <c r="N43" s="63"/>
      <c r="O43" s="59"/>
    </row>
    <row r="44" spans="1:15">
      <c r="A44" s="5"/>
      <c r="B44" s="5"/>
      <c r="C44" s="5"/>
      <c r="D44" s="5"/>
      <c r="E44" s="5"/>
      <c r="F44" s="5"/>
      <c r="G44" s="101"/>
      <c r="H44" s="5"/>
      <c r="I44" s="5"/>
      <c r="J44" s="101"/>
      <c r="K44" s="5"/>
      <c r="L44" s="101"/>
      <c r="M44" s="101"/>
      <c r="N44" s="5"/>
      <c r="O44" s="5"/>
    </row>
    <row r="45" spans="1:15">
      <c r="A45" s="5"/>
      <c r="B45" s="5"/>
      <c r="C45" s="5"/>
      <c r="D45" s="5"/>
      <c r="E45" s="5"/>
      <c r="F45" s="5"/>
      <c r="G45" s="101"/>
      <c r="H45" s="5"/>
      <c r="I45" s="5"/>
      <c r="J45" s="101"/>
      <c r="K45" s="5"/>
      <c r="L45" s="101"/>
      <c r="M45" s="101"/>
      <c r="N45" s="5"/>
      <c r="O45" s="5"/>
    </row>
    <row r="46" spans="1:15">
      <c r="L46">
        <v>41648.541499999999</v>
      </c>
    </row>
    <row r="47" spans="1:15">
      <c r="L47" s="173">
        <f>L43+L46</f>
        <v>91649.031499999997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topLeftCell="A17" workbookViewId="0">
      <selection activeCell="M33" sqref="M33"/>
    </sheetView>
  </sheetViews>
  <sheetFormatPr defaultRowHeight="15"/>
  <cols>
    <col min="2" max="2" width="10.5703125" bestFit="1" customWidth="1"/>
    <col min="7" max="7" width="11.85546875" bestFit="1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560" t="s">
        <v>162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8" ht="45">
      <c r="A2" s="64" t="s">
        <v>0</v>
      </c>
      <c r="B2" s="83" t="s">
        <v>166</v>
      </c>
      <c r="C2" s="83" t="s">
        <v>167</v>
      </c>
      <c r="D2" s="83" t="s">
        <v>198</v>
      </c>
      <c r="E2" s="83" t="s">
        <v>169</v>
      </c>
      <c r="F2" s="83" t="s">
        <v>170</v>
      </c>
      <c r="G2" s="90" t="s">
        <v>171</v>
      </c>
      <c r="H2" s="83" t="s">
        <v>172</v>
      </c>
      <c r="I2" s="83" t="s">
        <v>170</v>
      </c>
      <c r="J2" s="90" t="s">
        <v>171</v>
      </c>
      <c r="K2" s="64" t="s">
        <v>173</v>
      </c>
      <c r="L2" s="91" t="s">
        <v>174</v>
      </c>
      <c r="M2" s="85" t="s">
        <v>199</v>
      </c>
      <c r="N2" s="83" t="s">
        <v>176</v>
      </c>
    </row>
    <row r="3" spans="1:18">
      <c r="A3" s="593" t="s">
        <v>177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5"/>
      <c r="M3" s="596">
        <v>83089.933699999994</v>
      </c>
      <c r="N3" s="597"/>
    </row>
    <row r="4" spans="1:18">
      <c r="A4" s="195">
        <v>1</v>
      </c>
      <c r="B4" s="218">
        <v>46143</v>
      </c>
      <c r="C4" s="6"/>
      <c r="D4" s="6"/>
      <c r="E4" s="65"/>
      <c r="F4" s="301"/>
      <c r="G4" s="66">
        <f>E4*F4</f>
        <v>0</v>
      </c>
      <c r="H4" s="65"/>
      <c r="I4" s="6"/>
      <c r="J4" s="66">
        <f>H4*I4</f>
        <v>0</v>
      </c>
      <c r="K4" s="66">
        <f>G4+J4</f>
        <v>0</v>
      </c>
      <c r="L4" s="161">
        <v>0</v>
      </c>
      <c r="M4" s="148">
        <f>M3+K4-L4</f>
        <v>83089.933699999994</v>
      </c>
      <c r="N4" s="46" t="s">
        <v>359</v>
      </c>
    </row>
    <row r="5" spans="1:18">
      <c r="A5" s="46">
        <v>2</v>
      </c>
      <c r="B5" s="218">
        <v>46144</v>
      </c>
      <c r="C5" s="6"/>
      <c r="D5" s="6"/>
      <c r="E5" s="65">
        <v>10.91</v>
      </c>
      <c r="F5" s="301">
        <v>91.62</v>
      </c>
      <c r="G5" s="66">
        <f t="shared" ref="G5:G38" si="0">E5*F5</f>
        <v>999.57420000000002</v>
      </c>
      <c r="H5" s="65"/>
      <c r="I5" s="6"/>
      <c r="J5" s="66">
        <f t="shared" ref="J5:J40" si="1">H5*I5</f>
        <v>0</v>
      </c>
      <c r="K5" s="66">
        <f t="shared" ref="K5:K40" si="2">G5+J5</f>
        <v>999.57420000000002</v>
      </c>
      <c r="L5" s="161">
        <v>0</v>
      </c>
      <c r="M5" s="148">
        <f t="shared" ref="M5:M33" si="3">M4+K5-L5</f>
        <v>84089.507899999997</v>
      </c>
      <c r="N5" s="46" t="s">
        <v>359</v>
      </c>
    </row>
    <row r="6" spans="1:18">
      <c r="A6" s="46">
        <v>3</v>
      </c>
      <c r="B6" s="218">
        <v>46145</v>
      </c>
      <c r="C6" s="6"/>
      <c r="D6" s="6"/>
      <c r="E6" s="65"/>
      <c r="F6" s="301"/>
      <c r="G6" s="66">
        <f t="shared" si="0"/>
        <v>0</v>
      </c>
      <c r="H6" s="65"/>
      <c r="I6" s="6"/>
      <c r="J6" s="66">
        <f t="shared" si="1"/>
        <v>0</v>
      </c>
      <c r="K6" s="66">
        <f t="shared" si="2"/>
        <v>0</v>
      </c>
      <c r="L6" s="161">
        <v>0</v>
      </c>
      <c r="M6" s="148">
        <f t="shared" si="3"/>
        <v>84089.507899999997</v>
      </c>
      <c r="N6" s="46" t="s">
        <v>359</v>
      </c>
    </row>
    <row r="7" spans="1:18">
      <c r="A7" s="46">
        <v>4</v>
      </c>
      <c r="B7" s="218">
        <v>46146</v>
      </c>
      <c r="C7" s="6"/>
      <c r="D7" s="6"/>
      <c r="E7" s="65"/>
      <c r="F7" s="301"/>
      <c r="G7" s="66">
        <f t="shared" si="0"/>
        <v>0</v>
      </c>
      <c r="H7" s="65"/>
      <c r="I7" s="6"/>
      <c r="J7" s="66">
        <f t="shared" si="1"/>
        <v>0</v>
      </c>
      <c r="K7" s="66">
        <f t="shared" si="2"/>
        <v>0</v>
      </c>
      <c r="L7" s="161">
        <v>0</v>
      </c>
      <c r="M7" s="148">
        <f>M6+K7-L7</f>
        <v>84089.507899999997</v>
      </c>
      <c r="N7" s="46" t="s">
        <v>359</v>
      </c>
    </row>
    <row r="8" spans="1:18">
      <c r="A8" s="46">
        <v>5</v>
      </c>
      <c r="B8" s="218">
        <v>46147</v>
      </c>
      <c r="C8" s="6"/>
      <c r="D8" s="6"/>
      <c r="E8" s="65"/>
      <c r="F8" s="301"/>
      <c r="G8" s="66">
        <f t="shared" si="0"/>
        <v>0</v>
      </c>
      <c r="H8" s="65"/>
      <c r="I8" s="6"/>
      <c r="J8" s="66">
        <f t="shared" si="1"/>
        <v>0</v>
      </c>
      <c r="K8" s="66">
        <f t="shared" si="2"/>
        <v>0</v>
      </c>
      <c r="L8" s="161">
        <v>0</v>
      </c>
      <c r="M8" s="148">
        <f t="shared" si="3"/>
        <v>84089.507899999997</v>
      </c>
      <c r="N8" s="46" t="s">
        <v>359</v>
      </c>
    </row>
    <row r="9" spans="1:18">
      <c r="A9" s="46">
        <v>6</v>
      </c>
      <c r="B9" s="218">
        <v>46148</v>
      </c>
      <c r="C9" s="6"/>
      <c r="D9" s="6"/>
      <c r="E9" s="65"/>
      <c r="F9" s="301"/>
      <c r="G9" s="66">
        <f t="shared" si="0"/>
        <v>0</v>
      </c>
      <c r="H9" s="65"/>
      <c r="I9" s="6"/>
      <c r="J9" s="66">
        <f t="shared" si="1"/>
        <v>0</v>
      </c>
      <c r="K9" s="66">
        <f t="shared" si="2"/>
        <v>0</v>
      </c>
      <c r="L9" s="161">
        <v>0</v>
      </c>
      <c r="M9" s="148">
        <f t="shared" si="3"/>
        <v>84089.507899999997</v>
      </c>
      <c r="N9" s="46" t="s">
        <v>359</v>
      </c>
    </row>
    <row r="10" spans="1:18">
      <c r="A10" s="46">
        <v>7</v>
      </c>
      <c r="B10" s="218">
        <v>46149</v>
      </c>
      <c r="C10" s="6"/>
      <c r="D10" s="6"/>
      <c r="E10" s="65"/>
      <c r="F10" s="301"/>
      <c r="G10" s="66">
        <f t="shared" si="0"/>
        <v>0</v>
      </c>
      <c r="H10" s="65"/>
      <c r="I10" s="6"/>
      <c r="J10" s="66">
        <f t="shared" si="1"/>
        <v>0</v>
      </c>
      <c r="K10" s="66">
        <f t="shared" si="2"/>
        <v>0</v>
      </c>
      <c r="L10" s="161">
        <v>0</v>
      </c>
      <c r="M10" s="148">
        <f t="shared" si="3"/>
        <v>84089.507899999997</v>
      </c>
      <c r="N10" s="46" t="s">
        <v>359</v>
      </c>
    </row>
    <row r="11" spans="1:18">
      <c r="A11" s="46">
        <v>8</v>
      </c>
      <c r="B11" s="218">
        <v>46150</v>
      </c>
      <c r="C11" s="6"/>
      <c r="D11" s="6"/>
      <c r="E11" s="65"/>
      <c r="F11" s="301"/>
      <c r="G11" s="66">
        <f t="shared" si="0"/>
        <v>0</v>
      </c>
      <c r="H11" s="65">
        <v>4.83</v>
      </c>
      <c r="I11" s="6">
        <v>103.57</v>
      </c>
      <c r="J11" s="66">
        <f t="shared" si="1"/>
        <v>500.24309999999997</v>
      </c>
      <c r="K11" s="66">
        <f t="shared" si="2"/>
        <v>500.24309999999997</v>
      </c>
      <c r="L11" s="161">
        <v>0</v>
      </c>
      <c r="M11" s="148">
        <f t="shared" si="3"/>
        <v>84589.751000000004</v>
      </c>
      <c r="N11" s="46" t="s">
        <v>359</v>
      </c>
    </row>
    <row r="12" spans="1:18">
      <c r="A12" s="46">
        <v>9</v>
      </c>
      <c r="B12" s="218">
        <v>46151</v>
      </c>
      <c r="C12" s="6"/>
      <c r="D12" s="6"/>
      <c r="E12" s="65"/>
      <c r="F12" s="301"/>
      <c r="G12" s="66">
        <f t="shared" si="0"/>
        <v>0</v>
      </c>
      <c r="H12" s="65"/>
      <c r="I12" s="6"/>
      <c r="J12" s="66">
        <f t="shared" si="1"/>
        <v>0</v>
      </c>
      <c r="K12" s="66">
        <f t="shared" si="2"/>
        <v>0</v>
      </c>
      <c r="L12" s="161">
        <v>0</v>
      </c>
      <c r="M12" s="148">
        <f t="shared" si="3"/>
        <v>84589.751000000004</v>
      </c>
      <c r="N12" s="46" t="s">
        <v>359</v>
      </c>
      <c r="R12" s="236"/>
    </row>
    <row r="13" spans="1:18">
      <c r="A13" s="46">
        <v>10</v>
      </c>
      <c r="B13" s="218">
        <v>46152</v>
      </c>
      <c r="C13" s="6"/>
      <c r="D13" s="6"/>
      <c r="E13" s="65">
        <v>25.09</v>
      </c>
      <c r="F13" s="301">
        <v>91.62</v>
      </c>
      <c r="G13" s="66">
        <f t="shared" si="0"/>
        <v>2298.7458000000001</v>
      </c>
      <c r="H13" s="65"/>
      <c r="I13" s="6"/>
      <c r="J13" s="66">
        <f t="shared" si="1"/>
        <v>0</v>
      </c>
      <c r="K13" s="66">
        <f t="shared" si="2"/>
        <v>2298.7458000000001</v>
      </c>
      <c r="L13" s="161">
        <v>0</v>
      </c>
      <c r="M13" s="148">
        <f t="shared" si="3"/>
        <v>86888.496800000008</v>
      </c>
      <c r="N13" s="46" t="s">
        <v>359</v>
      </c>
    </row>
    <row r="14" spans="1:18">
      <c r="A14" s="46">
        <v>11</v>
      </c>
      <c r="B14" s="218">
        <v>46153</v>
      </c>
      <c r="C14" s="6"/>
      <c r="D14" s="6"/>
      <c r="E14" s="65">
        <v>69.14</v>
      </c>
      <c r="F14" s="301">
        <v>91.62</v>
      </c>
      <c r="G14" s="66">
        <f t="shared" si="0"/>
        <v>6334.6068000000005</v>
      </c>
      <c r="H14" s="65"/>
      <c r="I14" s="6"/>
      <c r="J14" s="66">
        <f t="shared" si="1"/>
        <v>0</v>
      </c>
      <c r="K14" s="66">
        <f t="shared" si="2"/>
        <v>6334.6068000000005</v>
      </c>
      <c r="L14" s="161">
        <v>0</v>
      </c>
      <c r="M14" s="148">
        <f t="shared" si="3"/>
        <v>93223.103600000002</v>
      </c>
      <c r="N14" s="46" t="s">
        <v>359</v>
      </c>
    </row>
    <row r="15" spans="1:18">
      <c r="A15" s="46">
        <v>12</v>
      </c>
      <c r="B15" s="218">
        <v>46154</v>
      </c>
      <c r="C15" s="6"/>
      <c r="D15" s="6"/>
      <c r="E15" s="65"/>
      <c r="F15" s="301"/>
      <c r="G15" s="66">
        <f t="shared" si="0"/>
        <v>0</v>
      </c>
      <c r="H15" s="65"/>
      <c r="I15" s="6"/>
      <c r="J15" s="66">
        <f t="shared" si="1"/>
        <v>0</v>
      </c>
      <c r="K15" s="66">
        <f t="shared" si="2"/>
        <v>0</v>
      </c>
      <c r="L15" s="161">
        <v>0</v>
      </c>
      <c r="M15" s="148">
        <f>M14+K15-L15</f>
        <v>93223.103600000002</v>
      </c>
      <c r="N15" s="46" t="s">
        <v>359</v>
      </c>
    </row>
    <row r="16" spans="1:18">
      <c r="A16" s="46">
        <v>13</v>
      </c>
      <c r="B16" s="218">
        <v>46155</v>
      </c>
      <c r="C16" s="6"/>
      <c r="D16" s="6"/>
      <c r="E16" s="65">
        <v>10.91</v>
      </c>
      <c r="F16" s="301">
        <v>91.62</v>
      </c>
      <c r="G16" s="66">
        <f t="shared" si="0"/>
        <v>999.57420000000002</v>
      </c>
      <c r="H16" s="65">
        <v>9.66</v>
      </c>
      <c r="I16" s="6">
        <v>103.57</v>
      </c>
      <c r="J16" s="66">
        <f t="shared" si="1"/>
        <v>1000.4861999999999</v>
      </c>
      <c r="K16" s="66">
        <f t="shared" si="2"/>
        <v>2000.0603999999998</v>
      </c>
      <c r="L16" s="161">
        <v>0</v>
      </c>
      <c r="M16" s="148">
        <f t="shared" si="3"/>
        <v>95223.164000000004</v>
      </c>
      <c r="N16" s="46" t="s">
        <v>359</v>
      </c>
    </row>
    <row r="17" spans="1:14">
      <c r="A17" s="46">
        <v>14</v>
      </c>
      <c r="B17" s="218">
        <v>46156</v>
      </c>
      <c r="C17" s="6"/>
      <c r="D17" s="6"/>
      <c r="E17" s="65">
        <v>42.49</v>
      </c>
      <c r="F17" s="301">
        <v>91.62</v>
      </c>
      <c r="G17" s="66">
        <f t="shared" si="0"/>
        <v>3892.9338000000002</v>
      </c>
      <c r="H17" s="65">
        <v>4.83</v>
      </c>
      <c r="I17" s="6">
        <v>103.57</v>
      </c>
      <c r="J17" s="66">
        <f t="shared" si="1"/>
        <v>500.24309999999997</v>
      </c>
      <c r="K17" s="66">
        <f t="shared" si="2"/>
        <v>4393.1769000000004</v>
      </c>
      <c r="L17" s="161">
        <v>0</v>
      </c>
      <c r="M17" s="148">
        <f t="shared" si="3"/>
        <v>99616.34090000001</v>
      </c>
      <c r="N17" s="46" t="s">
        <v>359</v>
      </c>
    </row>
    <row r="18" spans="1:14">
      <c r="A18" s="46">
        <v>15</v>
      </c>
      <c r="B18" s="218">
        <v>46157</v>
      </c>
      <c r="C18" s="6"/>
      <c r="D18" s="6"/>
      <c r="E18" s="65"/>
      <c r="F18" s="301"/>
      <c r="G18" s="66">
        <f t="shared" si="0"/>
        <v>0</v>
      </c>
      <c r="H18" s="65"/>
      <c r="I18" s="6"/>
      <c r="J18" s="66">
        <f t="shared" si="1"/>
        <v>0</v>
      </c>
      <c r="K18" s="66">
        <f t="shared" si="2"/>
        <v>0</v>
      </c>
      <c r="L18" s="161">
        <v>0</v>
      </c>
      <c r="M18" s="148">
        <f t="shared" si="3"/>
        <v>99616.34090000001</v>
      </c>
      <c r="N18" s="46" t="s">
        <v>359</v>
      </c>
    </row>
    <row r="19" spans="1:14">
      <c r="A19" s="46">
        <v>16</v>
      </c>
      <c r="B19" s="218">
        <v>46158</v>
      </c>
      <c r="C19" s="6"/>
      <c r="D19" s="6"/>
      <c r="E19" s="65"/>
      <c r="F19" s="301"/>
      <c r="G19" s="66">
        <f t="shared" si="0"/>
        <v>0</v>
      </c>
      <c r="H19" s="65"/>
      <c r="I19" s="6"/>
      <c r="J19" s="66">
        <f t="shared" si="1"/>
        <v>0</v>
      </c>
      <c r="K19" s="66">
        <f t="shared" si="2"/>
        <v>0</v>
      </c>
      <c r="L19" s="161">
        <v>0</v>
      </c>
      <c r="M19" s="148">
        <f t="shared" si="3"/>
        <v>99616.34090000001</v>
      </c>
      <c r="N19" s="46" t="s">
        <v>359</v>
      </c>
    </row>
    <row r="20" spans="1:14">
      <c r="A20" s="46">
        <v>17</v>
      </c>
      <c r="B20" s="218">
        <v>46159</v>
      </c>
      <c r="C20" s="6"/>
      <c r="D20" s="6"/>
      <c r="E20" s="65"/>
      <c r="F20" s="301"/>
      <c r="G20" s="66">
        <f t="shared" si="0"/>
        <v>0</v>
      </c>
      <c r="H20" s="65"/>
      <c r="I20" s="6"/>
      <c r="J20" s="66">
        <f t="shared" si="1"/>
        <v>0</v>
      </c>
      <c r="K20" s="66">
        <f t="shared" si="2"/>
        <v>0</v>
      </c>
      <c r="L20" s="161">
        <v>0</v>
      </c>
      <c r="M20" s="148">
        <f t="shared" si="3"/>
        <v>99616.34090000001</v>
      </c>
      <c r="N20" s="46" t="s">
        <v>359</v>
      </c>
    </row>
    <row r="21" spans="1:14">
      <c r="A21" s="46">
        <v>18</v>
      </c>
      <c r="B21" s="218">
        <v>46160</v>
      </c>
      <c r="C21" s="6"/>
      <c r="D21" s="6"/>
      <c r="E21" s="65"/>
      <c r="F21" s="301"/>
      <c r="G21" s="66">
        <f t="shared" si="0"/>
        <v>0</v>
      </c>
      <c r="H21" s="65">
        <v>11.23</v>
      </c>
      <c r="I21" s="6">
        <v>106.83</v>
      </c>
      <c r="J21" s="66">
        <f t="shared" si="1"/>
        <v>1199.7009</v>
      </c>
      <c r="K21" s="66">
        <f t="shared" si="2"/>
        <v>1199.7009</v>
      </c>
      <c r="L21" s="161">
        <v>0</v>
      </c>
      <c r="M21" s="148">
        <f t="shared" si="3"/>
        <v>100816.04180000001</v>
      </c>
      <c r="N21" s="46" t="s">
        <v>359</v>
      </c>
    </row>
    <row r="22" spans="1:14">
      <c r="A22" s="46">
        <v>19</v>
      </c>
      <c r="B22" s="218">
        <v>46161</v>
      </c>
      <c r="C22" s="6"/>
      <c r="D22" s="6"/>
      <c r="E22" s="65">
        <v>28.33</v>
      </c>
      <c r="F22" s="301">
        <v>95.68</v>
      </c>
      <c r="G22" s="66">
        <f t="shared" si="0"/>
        <v>2710.6143999999999</v>
      </c>
      <c r="H22" s="65">
        <v>4.6399999999999997</v>
      </c>
      <c r="I22" s="6">
        <v>107.78</v>
      </c>
      <c r="J22" s="66">
        <f t="shared" si="1"/>
        <v>500.0992</v>
      </c>
      <c r="K22" s="66">
        <f t="shared" si="2"/>
        <v>3210.7136</v>
      </c>
      <c r="L22" s="161">
        <v>0</v>
      </c>
      <c r="M22" s="148">
        <f t="shared" si="3"/>
        <v>104026.75540000001</v>
      </c>
      <c r="N22" s="46" t="s">
        <v>359</v>
      </c>
    </row>
    <row r="23" spans="1:14">
      <c r="A23" s="46">
        <v>20</v>
      </c>
      <c r="B23" s="218">
        <v>46162</v>
      </c>
      <c r="C23" s="6"/>
      <c r="D23" s="6"/>
      <c r="E23" s="65"/>
      <c r="F23" s="301"/>
      <c r="G23" s="66">
        <f t="shared" si="0"/>
        <v>0</v>
      </c>
      <c r="H23" s="65"/>
      <c r="I23" s="6"/>
      <c r="J23" s="66">
        <f t="shared" si="1"/>
        <v>0</v>
      </c>
      <c r="K23" s="66">
        <f t="shared" si="2"/>
        <v>0</v>
      </c>
      <c r="L23" s="161">
        <v>0</v>
      </c>
      <c r="M23" s="148">
        <f t="shared" si="3"/>
        <v>104026.75540000001</v>
      </c>
      <c r="N23" s="46"/>
    </row>
    <row r="24" spans="1:14">
      <c r="A24" s="46">
        <v>21</v>
      </c>
      <c r="B24" s="218">
        <v>46163</v>
      </c>
      <c r="C24" s="6"/>
      <c r="D24" s="6"/>
      <c r="E24" s="65">
        <v>20.9</v>
      </c>
      <c r="F24" s="301">
        <v>95.68</v>
      </c>
      <c r="G24" s="66">
        <f t="shared" si="0"/>
        <v>1999.712</v>
      </c>
      <c r="H24" s="65">
        <v>6.49</v>
      </c>
      <c r="I24" s="6">
        <v>107.78</v>
      </c>
      <c r="J24" s="66">
        <f t="shared" si="1"/>
        <v>699.49220000000003</v>
      </c>
      <c r="K24" s="66">
        <f t="shared" si="2"/>
        <v>2699.2042000000001</v>
      </c>
      <c r="L24" s="161">
        <v>0</v>
      </c>
      <c r="M24" s="148">
        <f>M23+K24-L24</f>
        <v>106725.9596</v>
      </c>
      <c r="N24" s="46"/>
    </row>
    <row r="25" spans="1:14">
      <c r="A25" s="46">
        <v>22</v>
      </c>
      <c r="B25" s="218">
        <v>46164</v>
      </c>
      <c r="C25" s="6"/>
      <c r="D25" s="6"/>
      <c r="E25" s="65"/>
      <c r="F25" s="301"/>
      <c r="G25" s="66">
        <f t="shared" si="0"/>
        <v>0</v>
      </c>
      <c r="H25" s="65"/>
      <c r="I25" s="6"/>
      <c r="J25" s="66">
        <f t="shared" si="1"/>
        <v>0</v>
      </c>
      <c r="K25" s="66">
        <f t="shared" si="2"/>
        <v>0</v>
      </c>
      <c r="L25" s="161">
        <v>0</v>
      </c>
      <c r="M25" s="148">
        <f t="shared" si="3"/>
        <v>106725.9596</v>
      </c>
      <c r="N25" s="46"/>
    </row>
    <row r="26" spans="1:14">
      <c r="A26" s="46">
        <v>23</v>
      </c>
      <c r="B26" s="218">
        <v>46165</v>
      </c>
      <c r="C26" s="6"/>
      <c r="D26" s="6"/>
      <c r="E26" s="65"/>
      <c r="F26" s="301"/>
      <c r="G26" s="66">
        <f t="shared" si="0"/>
        <v>0</v>
      </c>
      <c r="H26" s="65"/>
      <c r="I26" s="6"/>
      <c r="J26" s="66">
        <f t="shared" si="1"/>
        <v>0</v>
      </c>
      <c r="K26" s="66">
        <f t="shared" si="2"/>
        <v>0</v>
      </c>
      <c r="L26" s="161">
        <v>0</v>
      </c>
      <c r="M26" s="148">
        <f t="shared" si="3"/>
        <v>106725.9596</v>
      </c>
      <c r="N26" s="6"/>
    </row>
    <row r="27" spans="1:14">
      <c r="A27" s="46">
        <v>24</v>
      </c>
      <c r="B27" s="218">
        <v>46166</v>
      </c>
      <c r="C27" s="6"/>
      <c r="D27" s="6"/>
      <c r="E27" s="65"/>
      <c r="F27" s="301"/>
      <c r="G27" s="66">
        <f t="shared" si="0"/>
        <v>0</v>
      </c>
      <c r="H27" s="65">
        <v>4.5999999999999996</v>
      </c>
      <c r="I27" s="6">
        <v>108.71</v>
      </c>
      <c r="J27" s="66">
        <f t="shared" si="1"/>
        <v>500.06599999999992</v>
      </c>
      <c r="K27" s="66">
        <f t="shared" si="2"/>
        <v>500.06599999999992</v>
      </c>
      <c r="L27" s="161">
        <v>0</v>
      </c>
      <c r="M27" s="148">
        <f t="shared" si="3"/>
        <v>107226.02560000001</v>
      </c>
      <c r="N27" s="6"/>
    </row>
    <row r="28" spans="1:14">
      <c r="A28" s="220">
        <v>25</v>
      </c>
      <c r="B28" s="218">
        <v>46167</v>
      </c>
      <c r="C28" s="6"/>
      <c r="D28" s="6"/>
      <c r="E28" s="65"/>
      <c r="F28" s="301"/>
      <c r="G28" s="66">
        <f t="shared" si="0"/>
        <v>0</v>
      </c>
      <c r="H28" s="65">
        <v>4.4800000000000004</v>
      </c>
      <c r="I28" s="6">
        <v>111.55</v>
      </c>
      <c r="J28" s="66">
        <f t="shared" si="1"/>
        <v>499.74400000000003</v>
      </c>
      <c r="K28" s="66">
        <f t="shared" si="2"/>
        <v>499.74400000000003</v>
      </c>
      <c r="L28" s="161">
        <v>0</v>
      </c>
      <c r="M28" s="148">
        <f t="shared" si="3"/>
        <v>107725.76960000001</v>
      </c>
      <c r="N28" s="6"/>
    </row>
    <row r="29" spans="1:14">
      <c r="A29" s="220">
        <v>26</v>
      </c>
      <c r="B29" s="218">
        <v>46168</v>
      </c>
      <c r="C29" s="6"/>
      <c r="D29" s="6"/>
      <c r="E29" s="65"/>
      <c r="F29" s="301"/>
      <c r="G29" s="66">
        <f t="shared" si="0"/>
        <v>0</v>
      </c>
      <c r="H29" s="65">
        <v>4.93</v>
      </c>
      <c r="I29" s="6">
        <v>111.55</v>
      </c>
      <c r="J29" s="66">
        <f t="shared" si="1"/>
        <v>549.94149999999991</v>
      </c>
      <c r="K29" s="66">
        <f t="shared" si="2"/>
        <v>549.94149999999991</v>
      </c>
      <c r="L29" s="161">
        <v>0</v>
      </c>
      <c r="M29" s="148">
        <f t="shared" si="3"/>
        <v>108275.71110000001</v>
      </c>
      <c r="N29" s="6"/>
    </row>
    <row r="30" spans="1:14">
      <c r="A30" s="220">
        <v>27</v>
      </c>
      <c r="B30" s="218">
        <v>46169</v>
      </c>
      <c r="C30" s="6"/>
      <c r="D30" s="6"/>
      <c r="E30" s="65"/>
      <c r="F30" s="301"/>
      <c r="G30" s="66">
        <f t="shared" si="0"/>
        <v>0</v>
      </c>
      <c r="H30" s="65">
        <v>4.67</v>
      </c>
      <c r="I30" s="6">
        <v>111.55</v>
      </c>
      <c r="J30" s="66">
        <f t="shared" si="1"/>
        <v>520.93849999999998</v>
      </c>
      <c r="K30" s="66">
        <f t="shared" si="2"/>
        <v>520.93849999999998</v>
      </c>
      <c r="L30" s="161">
        <v>0</v>
      </c>
      <c r="M30" s="148">
        <f t="shared" si="3"/>
        <v>108796.64960000002</v>
      </c>
      <c r="N30" s="6"/>
    </row>
    <row r="31" spans="1:14">
      <c r="A31" s="220">
        <v>28</v>
      </c>
      <c r="B31" s="218">
        <v>46170</v>
      </c>
      <c r="C31" s="6"/>
      <c r="D31" s="6"/>
      <c r="E31" s="65"/>
      <c r="F31" s="301"/>
      <c r="G31" s="66">
        <f t="shared" si="0"/>
        <v>0</v>
      </c>
      <c r="H31" s="65"/>
      <c r="I31" s="6"/>
      <c r="J31" s="66">
        <f t="shared" si="1"/>
        <v>0</v>
      </c>
      <c r="K31" s="66">
        <f t="shared" si="2"/>
        <v>0</v>
      </c>
      <c r="L31" s="161">
        <v>0</v>
      </c>
      <c r="M31" s="148">
        <f t="shared" si="3"/>
        <v>108796.64960000002</v>
      </c>
      <c r="N31" s="6"/>
    </row>
    <row r="32" spans="1:14">
      <c r="A32" s="221">
        <v>29</v>
      </c>
      <c r="B32" s="218">
        <v>46171</v>
      </c>
      <c r="C32" s="6"/>
      <c r="D32" s="6"/>
      <c r="E32" s="65"/>
      <c r="F32" s="301"/>
      <c r="G32" s="66">
        <f t="shared" si="0"/>
        <v>0</v>
      </c>
      <c r="H32" s="65"/>
      <c r="I32" s="6"/>
      <c r="J32" s="66">
        <f t="shared" si="1"/>
        <v>0</v>
      </c>
      <c r="K32" s="66">
        <f t="shared" si="2"/>
        <v>0</v>
      </c>
      <c r="L32" s="161">
        <v>0</v>
      </c>
      <c r="M32" s="148">
        <f t="shared" si="3"/>
        <v>108796.64960000002</v>
      </c>
      <c r="N32" s="6"/>
    </row>
    <row r="33" spans="1:17">
      <c r="A33" s="221">
        <v>30</v>
      </c>
      <c r="B33" s="218">
        <v>46172</v>
      </c>
      <c r="C33" s="6"/>
      <c r="D33" s="6"/>
      <c r="E33" s="65"/>
      <c r="F33" s="301"/>
      <c r="G33" s="66">
        <f t="shared" si="0"/>
        <v>0</v>
      </c>
      <c r="H33" s="65">
        <v>13.440000000000001</v>
      </c>
      <c r="I33" s="6">
        <v>111.55</v>
      </c>
      <c r="J33" s="66">
        <f t="shared" si="1"/>
        <v>1499.2320000000002</v>
      </c>
      <c r="K33" s="66">
        <f t="shared" si="2"/>
        <v>1499.2320000000002</v>
      </c>
      <c r="L33" s="161">
        <v>0</v>
      </c>
      <c r="M33" s="148">
        <f t="shared" si="3"/>
        <v>110295.88160000002</v>
      </c>
      <c r="N33" s="6"/>
    </row>
    <row r="34" spans="1:17">
      <c r="A34" s="221">
        <v>31</v>
      </c>
      <c r="B34" s="218">
        <v>46173</v>
      </c>
      <c r="C34" s="6"/>
      <c r="D34" s="6"/>
      <c r="E34" s="301"/>
      <c r="F34" s="66"/>
      <c r="G34" s="66">
        <f t="shared" si="0"/>
        <v>0</v>
      </c>
      <c r="H34" s="65"/>
      <c r="I34" s="6"/>
      <c r="J34" s="66">
        <f t="shared" si="1"/>
        <v>0</v>
      </c>
      <c r="K34" s="66">
        <f t="shared" si="2"/>
        <v>0</v>
      </c>
      <c r="L34" s="161">
        <v>0</v>
      </c>
      <c r="M34" s="148">
        <f t="shared" ref="M34:M39" si="4">M33+K34-L34</f>
        <v>110295.88160000002</v>
      </c>
      <c r="N34" s="6"/>
    </row>
    <row r="35" spans="1:17">
      <c r="A35" s="6">
        <v>35</v>
      </c>
      <c r="B35" s="78"/>
      <c r="C35" s="6"/>
      <c r="D35" s="6"/>
      <c r="E35" s="65"/>
      <c r="F35" s="301"/>
      <c r="G35" s="66">
        <f t="shared" si="0"/>
        <v>0</v>
      </c>
      <c r="H35" s="65"/>
      <c r="I35" s="6"/>
      <c r="J35" s="66">
        <f t="shared" si="1"/>
        <v>0</v>
      </c>
      <c r="K35" s="66">
        <f t="shared" si="2"/>
        <v>0</v>
      </c>
      <c r="L35" s="161">
        <v>0</v>
      </c>
      <c r="M35" s="148">
        <f t="shared" si="4"/>
        <v>110295.88160000002</v>
      </c>
      <c r="N35" s="6"/>
    </row>
    <row r="36" spans="1:17">
      <c r="A36" s="6">
        <v>36</v>
      </c>
      <c r="B36" s="78"/>
      <c r="C36" s="6"/>
      <c r="D36" s="6"/>
      <c r="E36" s="65"/>
      <c r="F36" s="301"/>
      <c r="G36" s="66">
        <f t="shared" si="0"/>
        <v>0</v>
      </c>
      <c r="H36" s="65"/>
      <c r="I36" s="6"/>
      <c r="J36" s="66">
        <f t="shared" si="1"/>
        <v>0</v>
      </c>
      <c r="K36" s="66">
        <f t="shared" si="2"/>
        <v>0</v>
      </c>
      <c r="L36" s="161">
        <v>0</v>
      </c>
      <c r="M36" s="148">
        <f t="shared" si="4"/>
        <v>110295.88160000002</v>
      </c>
      <c r="N36" s="6"/>
    </row>
    <row r="37" spans="1:17">
      <c r="A37" s="6">
        <v>37</v>
      </c>
      <c r="B37" s="78"/>
      <c r="C37" s="6"/>
      <c r="D37" s="6"/>
      <c r="E37" s="65"/>
      <c r="F37" s="301"/>
      <c r="G37" s="66">
        <f t="shared" si="0"/>
        <v>0</v>
      </c>
      <c r="H37" s="65"/>
      <c r="I37" s="6"/>
      <c r="J37" s="66">
        <f t="shared" si="1"/>
        <v>0</v>
      </c>
      <c r="K37" s="66">
        <f t="shared" si="2"/>
        <v>0</v>
      </c>
      <c r="L37" s="161">
        <v>0</v>
      </c>
      <c r="M37" s="148">
        <f t="shared" si="4"/>
        <v>110295.88160000002</v>
      </c>
      <c r="N37" s="6"/>
    </row>
    <row r="38" spans="1:17">
      <c r="A38" s="6">
        <v>38</v>
      </c>
      <c r="B38" s="78"/>
      <c r="C38" s="6"/>
      <c r="D38" s="6"/>
      <c r="E38" s="65"/>
      <c r="F38" s="301"/>
      <c r="G38" s="66">
        <f t="shared" si="0"/>
        <v>0</v>
      </c>
      <c r="H38" s="65"/>
      <c r="I38" s="6"/>
      <c r="J38" s="66">
        <f t="shared" si="1"/>
        <v>0</v>
      </c>
      <c r="K38" s="66">
        <f t="shared" si="2"/>
        <v>0</v>
      </c>
      <c r="L38" s="161">
        <v>0</v>
      </c>
      <c r="M38" s="148">
        <f t="shared" si="4"/>
        <v>110295.88160000002</v>
      </c>
      <c r="N38" s="6"/>
    </row>
    <row r="39" spans="1:17">
      <c r="A39" s="168">
        <v>39</v>
      </c>
      <c r="B39" s="169"/>
      <c r="C39" s="168"/>
      <c r="D39" s="6"/>
      <c r="E39" s="65"/>
      <c r="F39" s="301"/>
      <c r="G39" s="66">
        <f t="shared" ref="G5:G40" si="5">E39*F39</f>
        <v>0</v>
      </c>
      <c r="H39" s="65"/>
      <c r="I39" s="6"/>
      <c r="J39" s="66">
        <f t="shared" si="1"/>
        <v>0</v>
      </c>
      <c r="K39" s="66">
        <f t="shared" si="2"/>
        <v>0</v>
      </c>
      <c r="L39" s="161">
        <v>0</v>
      </c>
      <c r="M39" s="148">
        <f>M38+K39-L39</f>
        <v>110295.88160000002</v>
      </c>
      <c r="N39" s="168"/>
    </row>
    <row r="40" spans="1:17">
      <c r="A40" s="6">
        <v>40</v>
      </c>
      <c r="B40" s="6"/>
      <c r="C40" s="6"/>
      <c r="D40" s="6"/>
      <c r="E40" s="65"/>
      <c r="F40" s="301"/>
      <c r="G40" s="66">
        <f t="shared" ref="G40:G42" si="6">E40*F40</f>
        <v>0</v>
      </c>
      <c r="H40" s="65"/>
      <c r="I40" s="6"/>
      <c r="J40" s="66">
        <f t="shared" si="1"/>
        <v>0</v>
      </c>
      <c r="K40" s="66">
        <f t="shared" si="2"/>
        <v>0</v>
      </c>
      <c r="L40" s="161">
        <v>0</v>
      </c>
      <c r="M40" s="148">
        <v>0</v>
      </c>
      <c r="N40" s="6"/>
    </row>
    <row r="41" spans="1:17">
      <c r="A41" s="168">
        <v>41</v>
      </c>
      <c r="B41" s="168"/>
      <c r="C41" s="168"/>
      <c r="D41" s="6"/>
      <c r="E41" s="65"/>
      <c r="F41" s="301"/>
      <c r="G41" s="66">
        <f t="shared" si="6"/>
        <v>0</v>
      </c>
      <c r="H41" s="65"/>
      <c r="I41" s="6"/>
      <c r="J41" s="66">
        <f t="shared" ref="J5:J41" si="7">H41*I41</f>
        <v>0</v>
      </c>
      <c r="K41" s="66">
        <f t="shared" ref="K5:K41" si="8">G41+J41</f>
        <v>0</v>
      </c>
      <c r="L41" s="161">
        <v>0</v>
      </c>
      <c r="M41" s="172">
        <v>0</v>
      </c>
      <c r="N41" s="168"/>
    </row>
    <row r="42" spans="1:17">
      <c r="A42" s="168">
        <v>42</v>
      </c>
      <c r="B42" s="168"/>
      <c r="C42" s="168"/>
      <c r="D42" s="6"/>
      <c r="E42" s="65"/>
      <c r="F42" s="301"/>
      <c r="G42" s="66">
        <f t="shared" si="6"/>
        <v>0</v>
      </c>
      <c r="H42" s="65"/>
      <c r="I42" s="6"/>
      <c r="J42" s="66">
        <f t="shared" ref="J42" si="9">H42*I42</f>
        <v>0</v>
      </c>
      <c r="K42" s="170">
        <f t="shared" ref="K42" si="10">G42+J42</f>
        <v>0</v>
      </c>
      <c r="L42" s="171">
        <f t="shared" ref="L42" si="11">+K42</f>
        <v>0</v>
      </c>
      <c r="M42" s="172">
        <v>0</v>
      </c>
      <c r="N42" s="168"/>
    </row>
    <row r="43" spans="1:17">
      <c r="A43" s="62"/>
      <c r="B43" s="62"/>
      <c r="C43" s="62"/>
      <c r="D43" s="62"/>
      <c r="E43" s="63">
        <f>SUM(E4:E42)</f>
        <v>207.77</v>
      </c>
      <c r="F43" s="63"/>
      <c r="G43" s="63">
        <f>SUM(G4:G42)</f>
        <v>19235.761200000001</v>
      </c>
      <c r="H43" s="63">
        <f>SUM(H4:H42)</f>
        <v>73.800000000000011</v>
      </c>
      <c r="I43" s="63"/>
      <c r="J43" s="63">
        <f>SUM(J4:J42)</f>
        <v>7970.1866999999993</v>
      </c>
      <c r="K43" s="63">
        <f>SUM(K4:K42)</f>
        <v>27205.947899999999</v>
      </c>
      <c r="L43" s="63">
        <f>SUM(L4:L42)</f>
        <v>0</v>
      </c>
      <c r="M43" s="63"/>
      <c r="N43" s="63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O44"/>
  <sheetViews>
    <sheetView workbookViewId="0">
      <pane ySplit="2" topLeftCell="A15" activePane="bottomLeft" state="frozen"/>
      <selection pane="bottomLeft" activeCell="P30" sqref="P30"/>
    </sheetView>
  </sheetViews>
  <sheetFormatPr defaultRowHeight="15"/>
  <cols>
    <col min="1" max="1" width="5.140625" bestFit="1" customWidth="1"/>
    <col min="2" max="2" width="10.1406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546" t="s">
        <v>164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82"/>
    </row>
    <row r="2" spans="1:15" ht="16.5" customHeight="1">
      <c r="A2" s="97" t="s">
        <v>0</v>
      </c>
      <c r="B2" s="98" t="s">
        <v>166</v>
      </c>
      <c r="C2" s="98" t="s">
        <v>167</v>
      </c>
      <c r="D2" s="98" t="s">
        <v>198</v>
      </c>
      <c r="E2" s="98" t="s">
        <v>169</v>
      </c>
      <c r="F2" s="98" t="s">
        <v>170</v>
      </c>
      <c r="G2" s="98" t="s">
        <v>171</v>
      </c>
      <c r="H2" s="98" t="s">
        <v>172</v>
      </c>
      <c r="I2" s="98" t="s">
        <v>170</v>
      </c>
      <c r="J2" s="137" t="s">
        <v>171</v>
      </c>
      <c r="K2" s="99" t="s">
        <v>173</v>
      </c>
      <c r="L2" s="138" t="s">
        <v>174</v>
      </c>
      <c r="M2" s="142" t="s">
        <v>199</v>
      </c>
      <c r="N2" s="100" t="s">
        <v>176</v>
      </c>
      <c r="O2" s="59"/>
    </row>
    <row r="3" spans="1:15" ht="16.5" customHeight="1">
      <c r="A3" s="547" t="s">
        <v>177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9"/>
      <c r="M3" s="147">
        <v>0</v>
      </c>
      <c r="N3" s="155"/>
      <c r="O3" s="59"/>
    </row>
    <row r="4" spans="1:15">
      <c r="A4" s="195">
        <v>1</v>
      </c>
      <c r="B4" s="218">
        <v>46113</v>
      </c>
      <c r="C4" s="67"/>
      <c r="D4" s="158"/>
      <c r="E4" s="65"/>
      <c r="F4" s="65"/>
      <c r="G4" s="8">
        <f>E4*F4</f>
        <v>0</v>
      </c>
      <c r="H4" s="65"/>
      <c r="I4" s="66"/>
      <c r="J4" s="8">
        <f>H4*I4</f>
        <v>0</v>
      </c>
      <c r="K4" s="8">
        <f>G4+J4</f>
        <v>0</v>
      </c>
      <c r="L4" s="68">
        <f>+K4</f>
        <v>0</v>
      </c>
      <c r="M4" s="68">
        <v>0</v>
      </c>
      <c r="N4" s="8"/>
    </row>
    <row r="5" spans="1:15">
      <c r="A5" s="46">
        <v>2</v>
      </c>
      <c r="B5" s="218">
        <v>46114</v>
      </c>
      <c r="C5" s="67"/>
      <c r="D5" s="158"/>
      <c r="E5" s="65"/>
      <c r="F5" s="65"/>
      <c r="G5" s="8">
        <f t="shared" ref="G5:G34" si="0">E5*F5</f>
        <v>0</v>
      </c>
      <c r="H5" s="65"/>
      <c r="I5" s="66"/>
      <c r="J5" s="8">
        <f t="shared" ref="J5:J8" si="1">H5*I5</f>
        <v>0</v>
      </c>
      <c r="K5" s="8">
        <f t="shared" ref="K5:K33" si="2">G5+J5</f>
        <v>0</v>
      </c>
      <c r="L5" s="68">
        <f t="shared" ref="L5:L33" si="3">+K5</f>
        <v>0</v>
      </c>
      <c r="M5" s="68">
        <v>0</v>
      </c>
      <c r="N5" s="8"/>
    </row>
    <row r="6" spans="1:15">
      <c r="A6" s="46">
        <v>3</v>
      </c>
      <c r="B6" s="218">
        <v>46115</v>
      </c>
      <c r="C6" s="67"/>
      <c r="D6" s="158"/>
      <c r="E6" s="65"/>
      <c r="F6" s="65"/>
      <c r="G6" s="8">
        <f t="shared" si="0"/>
        <v>0</v>
      </c>
      <c r="H6" s="65"/>
      <c r="I6" s="66"/>
      <c r="J6" s="8">
        <f t="shared" si="1"/>
        <v>0</v>
      </c>
      <c r="K6" s="8">
        <f t="shared" si="2"/>
        <v>0</v>
      </c>
      <c r="L6" s="68">
        <f t="shared" si="3"/>
        <v>0</v>
      </c>
      <c r="M6" s="68">
        <v>0</v>
      </c>
      <c r="N6" s="8"/>
    </row>
    <row r="7" spans="1:15">
      <c r="A7" s="46">
        <v>4</v>
      </c>
      <c r="B7" s="218">
        <v>46116</v>
      </c>
      <c r="C7" s="67"/>
      <c r="D7" s="158"/>
      <c r="E7" s="65"/>
      <c r="F7" s="65"/>
      <c r="G7" s="8">
        <f t="shared" si="0"/>
        <v>0</v>
      </c>
      <c r="H7" s="65"/>
      <c r="I7" s="66"/>
      <c r="J7" s="8">
        <f t="shared" ref="J7" si="4">H7*I7</f>
        <v>0</v>
      </c>
      <c r="K7" s="8">
        <f t="shared" si="2"/>
        <v>0</v>
      </c>
      <c r="L7" s="68">
        <f t="shared" si="3"/>
        <v>0</v>
      </c>
      <c r="M7" s="68">
        <v>0</v>
      </c>
      <c r="N7" s="8"/>
    </row>
    <row r="8" spans="1:15">
      <c r="A8" s="46">
        <v>5</v>
      </c>
      <c r="B8" s="218">
        <v>46117</v>
      </c>
      <c r="C8" s="67"/>
      <c r="D8" s="158"/>
      <c r="E8" s="65"/>
      <c r="F8" s="65"/>
      <c r="G8" s="8">
        <f t="shared" si="0"/>
        <v>0</v>
      </c>
      <c r="H8" s="65"/>
      <c r="I8" s="66"/>
      <c r="J8" s="8">
        <f t="shared" si="1"/>
        <v>0</v>
      </c>
      <c r="K8" s="8">
        <f t="shared" si="2"/>
        <v>0</v>
      </c>
      <c r="L8" s="68">
        <f t="shared" si="3"/>
        <v>0</v>
      </c>
      <c r="M8" s="68">
        <v>0</v>
      </c>
      <c r="N8" s="8"/>
      <c r="O8" s="69"/>
    </row>
    <row r="9" spans="1:15">
      <c r="A9" s="46">
        <v>6</v>
      </c>
      <c r="B9" s="218">
        <v>46118</v>
      </c>
      <c r="C9" s="67"/>
      <c r="D9" s="158"/>
      <c r="E9" s="65"/>
      <c r="F9" s="65"/>
      <c r="G9" s="8">
        <f t="shared" si="0"/>
        <v>0</v>
      </c>
      <c r="H9" s="65"/>
      <c r="I9" s="66"/>
      <c r="J9" s="8">
        <f t="shared" ref="J9:J34" si="5">H9*I9</f>
        <v>0</v>
      </c>
      <c r="K9" s="8">
        <f t="shared" si="2"/>
        <v>0</v>
      </c>
      <c r="L9" s="68">
        <f t="shared" si="3"/>
        <v>0</v>
      </c>
      <c r="M9" s="68">
        <v>0</v>
      </c>
      <c r="N9" s="8"/>
      <c r="O9" s="69"/>
    </row>
    <row r="10" spans="1:15">
      <c r="A10" s="46">
        <v>7</v>
      </c>
      <c r="B10" s="218">
        <v>46119</v>
      </c>
      <c r="C10" s="67"/>
      <c r="D10" s="158"/>
      <c r="E10" s="65"/>
      <c r="F10" s="65"/>
      <c r="G10" s="8">
        <f t="shared" si="0"/>
        <v>0</v>
      </c>
      <c r="H10" s="65"/>
      <c r="I10" s="66"/>
      <c r="J10" s="8">
        <f t="shared" si="5"/>
        <v>0</v>
      </c>
      <c r="K10" s="8">
        <f t="shared" si="2"/>
        <v>0</v>
      </c>
      <c r="L10" s="68">
        <f t="shared" si="3"/>
        <v>0</v>
      </c>
      <c r="M10" s="68">
        <v>0</v>
      </c>
      <c r="N10" s="8"/>
      <c r="O10" s="69"/>
    </row>
    <row r="11" spans="1:15">
      <c r="A11" s="46">
        <v>8</v>
      </c>
      <c r="B11" s="218">
        <v>46120</v>
      </c>
      <c r="C11" s="67"/>
      <c r="D11" s="158"/>
      <c r="E11" s="65"/>
      <c r="F11" s="65"/>
      <c r="G11" s="8">
        <f t="shared" si="0"/>
        <v>0</v>
      </c>
      <c r="H11" s="65">
        <v>4.0999999999999996</v>
      </c>
      <c r="I11" s="66">
        <v>109.62</v>
      </c>
      <c r="J11" s="8">
        <f t="shared" si="5"/>
        <v>449.44200000000001</v>
      </c>
      <c r="K11" s="8">
        <f t="shared" si="2"/>
        <v>449.44200000000001</v>
      </c>
      <c r="L11" s="68">
        <f t="shared" si="3"/>
        <v>449.44200000000001</v>
      </c>
      <c r="M11" s="68">
        <v>0</v>
      </c>
      <c r="N11" s="8"/>
      <c r="O11" s="69"/>
    </row>
    <row r="12" spans="1:15">
      <c r="A12" s="46">
        <v>9</v>
      </c>
      <c r="B12" s="218">
        <v>46121</v>
      </c>
      <c r="C12" s="67"/>
      <c r="D12" s="158"/>
      <c r="E12" s="65"/>
      <c r="F12" s="65"/>
      <c r="G12" s="8">
        <f t="shared" si="0"/>
        <v>0</v>
      </c>
      <c r="H12" s="65"/>
      <c r="I12" s="66"/>
      <c r="J12" s="8">
        <f t="shared" si="5"/>
        <v>0</v>
      </c>
      <c r="K12" s="8">
        <f t="shared" si="2"/>
        <v>0</v>
      </c>
      <c r="L12" s="68">
        <f t="shared" si="3"/>
        <v>0</v>
      </c>
      <c r="M12" s="68">
        <v>0</v>
      </c>
      <c r="N12" s="8"/>
      <c r="O12" s="69"/>
    </row>
    <row r="13" spans="1:15">
      <c r="A13" s="46">
        <v>10</v>
      </c>
      <c r="B13" s="218">
        <v>46122</v>
      </c>
      <c r="C13" s="67"/>
      <c r="D13" s="158"/>
      <c r="E13" s="65"/>
      <c r="F13" s="65"/>
      <c r="G13" s="8">
        <f t="shared" si="0"/>
        <v>0</v>
      </c>
      <c r="H13" s="65"/>
      <c r="I13" s="66"/>
      <c r="J13" s="8">
        <f t="shared" si="5"/>
        <v>0</v>
      </c>
      <c r="K13" s="8">
        <f t="shared" si="2"/>
        <v>0</v>
      </c>
      <c r="L13" s="68">
        <f t="shared" si="3"/>
        <v>0</v>
      </c>
      <c r="M13" s="68">
        <v>0</v>
      </c>
      <c r="N13" s="8"/>
      <c r="O13" s="69"/>
    </row>
    <row r="14" spans="1:15">
      <c r="A14" s="46">
        <v>11</v>
      </c>
      <c r="B14" s="218">
        <v>46123</v>
      </c>
      <c r="C14" s="67"/>
      <c r="D14" s="158"/>
      <c r="E14" s="65"/>
      <c r="F14" s="65"/>
      <c r="G14" s="8">
        <f t="shared" si="0"/>
        <v>0</v>
      </c>
      <c r="H14" s="65"/>
      <c r="I14" s="66"/>
      <c r="J14" s="8">
        <f t="shared" si="5"/>
        <v>0</v>
      </c>
      <c r="K14" s="8">
        <f t="shared" si="2"/>
        <v>0</v>
      </c>
      <c r="L14" s="68">
        <f t="shared" si="3"/>
        <v>0</v>
      </c>
      <c r="M14" s="68">
        <v>0</v>
      </c>
      <c r="N14" s="8"/>
      <c r="O14" s="69"/>
    </row>
    <row r="15" spans="1:15">
      <c r="A15" s="46">
        <v>12</v>
      </c>
      <c r="B15" s="218">
        <v>46124</v>
      </c>
      <c r="C15" s="67"/>
      <c r="D15" s="158"/>
      <c r="E15" s="65"/>
      <c r="F15" s="65"/>
      <c r="G15" s="8">
        <f t="shared" si="0"/>
        <v>0</v>
      </c>
      <c r="H15" s="65"/>
      <c r="I15" s="66"/>
      <c r="J15" s="8">
        <f t="shared" si="5"/>
        <v>0</v>
      </c>
      <c r="K15" s="8">
        <f t="shared" si="2"/>
        <v>0</v>
      </c>
      <c r="L15" s="68">
        <f t="shared" si="3"/>
        <v>0</v>
      </c>
      <c r="M15" s="68">
        <v>0</v>
      </c>
      <c r="N15" s="8"/>
      <c r="O15" s="69"/>
    </row>
    <row r="16" spans="1:15">
      <c r="A16" s="46">
        <v>13</v>
      </c>
      <c r="B16" s="218">
        <v>46125</v>
      </c>
      <c r="C16" s="67"/>
      <c r="D16" s="158"/>
      <c r="E16" s="65"/>
      <c r="F16" s="65"/>
      <c r="G16" s="8">
        <f t="shared" si="0"/>
        <v>0</v>
      </c>
      <c r="H16" s="65"/>
      <c r="I16" s="66"/>
      <c r="J16" s="8">
        <f t="shared" si="5"/>
        <v>0</v>
      </c>
      <c r="K16" s="8">
        <f t="shared" si="2"/>
        <v>0</v>
      </c>
      <c r="L16" s="68">
        <f t="shared" si="3"/>
        <v>0</v>
      </c>
      <c r="M16" s="68">
        <v>0</v>
      </c>
      <c r="N16" s="8"/>
      <c r="O16" s="69"/>
    </row>
    <row r="17" spans="1:15">
      <c r="A17" s="46">
        <v>14</v>
      </c>
      <c r="B17" s="218">
        <v>46126</v>
      </c>
      <c r="C17" s="67"/>
      <c r="D17" s="158"/>
      <c r="E17" s="65"/>
      <c r="F17" s="65"/>
      <c r="G17" s="8">
        <f t="shared" si="0"/>
        <v>0</v>
      </c>
      <c r="H17" s="65">
        <v>8.89</v>
      </c>
      <c r="I17" s="66">
        <v>102.47</v>
      </c>
      <c r="J17" s="8">
        <f t="shared" si="5"/>
        <v>910.95830000000001</v>
      </c>
      <c r="K17" s="8">
        <f t="shared" si="2"/>
        <v>910.95830000000001</v>
      </c>
      <c r="L17" s="68">
        <f t="shared" si="3"/>
        <v>910.95830000000001</v>
      </c>
      <c r="M17" s="68">
        <v>0</v>
      </c>
      <c r="N17" s="8"/>
      <c r="O17" s="69"/>
    </row>
    <row r="18" spans="1:15">
      <c r="A18" s="46">
        <v>15</v>
      </c>
      <c r="B18" s="218">
        <v>46127</v>
      </c>
      <c r="C18" s="67"/>
      <c r="D18" s="158"/>
      <c r="E18" s="65"/>
      <c r="F18" s="65"/>
      <c r="G18" s="8">
        <f t="shared" si="0"/>
        <v>0</v>
      </c>
      <c r="H18" s="65"/>
      <c r="I18" s="66"/>
      <c r="J18" s="8">
        <f t="shared" si="5"/>
        <v>0</v>
      </c>
      <c r="K18" s="8">
        <f t="shared" si="2"/>
        <v>0</v>
      </c>
      <c r="L18" s="68">
        <f t="shared" si="3"/>
        <v>0</v>
      </c>
      <c r="M18" s="68">
        <v>0</v>
      </c>
      <c r="N18" s="8"/>
      <c r="O18" s="69"/>
    </row>
    <row r="19" spans="1:15">
      <c r="A19" s="46">
        <v>16</v>
      </c>
      <c r="B19" s="218">
        <v>46128</v>
      </c>
      <c r="C19" s="67"/>
      <c r="D19" s="158"/>
      <c r="E19" s="65">
        <v>73.72</v>
      </c>
      <c r="F19" s="65">
        <v>93.69</v>
      </c>
      <c r="G19" s="8">
        <f t="shared" si="0"/>
        <v>6906.8267999999998</v>
      </c>
      <c r="H19" s="65"/>
      <c r="I19" s="66"/>
      <c r="J19" s="8">
        <f t="shared" si="5"/>
        <v>0</v>
      </c>
      <c r="K19" s="8">
        <f t="shared" si="2"/>
        <v>6906.8267999999998</v>
      </c>
      <c r="L19" s="68">
        <f>+K19</f>
        <v>6906.8267999999998</v>
      </c>
      <c r="M19" s="68">
        <v>0</v>
      </c>
      <c r="N19" s="8"/>
      <c r="O19" s="69"/>
    </row>
    <row r="20" spans="1:15">
      <c r="A20" s="46">
        <v>17</v>
      </c>
      <c r="B20" s="218">
        <v>46129</v>
      </c>
      <c r="C20" s="67"/>
      <c r="D20" s="158"/>
      <c r="E20" s="65"/>
      <c r="F20" s="65"/>
      <c r="G20" s="8">
        <f t="shared" si="0"/>
        <v>0</v>
      </c>
      <c r="H20" s="65"/>
      <c r="I20" s="66"/>
      <c r="J20" s="8">
        <f t="shared" si="5"/>
        <v>0</v>
      </c>
      <c r="K20" s="8">
        <f t="shared" si="2"/>
        <v>0</v>
      </c>
      <c r="L20" s="68">
        <f t="shared" si="3"/>
        <v>0</v>
      </c>
      <c r="M20" s="68">
        <v>0</v>
      </c>
      <c r="N20" s="8"/>
      <c r="O20" s="69"/>
    </row>
    <row r="21" spans="1:15">
      <c r="A21" s="46">
        <v>18</v>
      </c>
      <c r="B21" s="218">
        <v>46130</v>
      </c>
      <c r="C21" s="67"/>
      <c r="D21" s="158"/>
      <c r="E21" s="65"/>
      <c r="F21" s="65"/>
      <c r="G21" s="8">
        <f t="shared" si="0"/>
        <v>0</v>
      </c>
      <c r="H21" s="65"/>
      <c r="I21" s="66"/>
      <c r="J21" s="8">
        <f t="shared" si="5"/>
        <v>0</v>
      </c>
      <c r="K21" s="8">
        <f t="shared" si="2"/>
        <v>0</v>
      </c>
      <c r="L21" s="68">
        <f t="shared" si="3"/>
        <v>0</v>
      </c>
      <c r="M21" s="68">
        <v>0</v>
      </c>
      <c r="N21" s="8"/>
      <c r="O21" s="69"/>
    </row>
    <row r="22" spans="1:15">
      <c r="A22" s="46">
        <v>19</v>
      </c>
      <c r="B22" s="218">
        <v>46131</v>
      </c>
      <c r="C22" s="67"/>
      <c r="D22" s="158"/>
      <c r="E22" s="65"/>
      <c r="F22" s="65"/>
      <c r="G22" s="8">
        <f t="shared" si="0"/>
        <v>0</v>
      </c>
      <c r="H22" s="65"/>
      <c r="I22" s="66"/>
      <c r="J22" s="8">
        <f t="shared" si="5"/>
        <v>0</v>
      </c>
      <c r="K22" s="8">
        <f t="shared" si="2"/>
        <v>0</v>
      </c>
      <c r="L22" s="68">
        <f t="shared" si="3"/>
        <v>0</v>
      </c>
      <c r="M22" s="68">
        <v>0</v>
      </c>
      <c r="N22" s="8"/>
      <c r="O22" s="69"/>
    </row>
    <row r="23" spans="1:15">
      <c r="A23" s="46">
        <v>20</v>
      </c>
      <c r="B23" s="218">
        <v>46132</v>
      </c>
      <c r="C23" s="67"/>
      <c r="D23" s="158"/>
      <c r="E23" s="65"/>
      <c r="F23" s="65"/>
      <c r="G23" s="8">
        <f t="shared" si="0"/>
        <v>0</v>
      </c>
      <c r="H23" s="65"/>
      <c r="I23" s="66"/>
      <c r="J23" s="8">
        <f t="shared" si="5"/>
        <v>0</v>
      </c>
      <c r="K23" s="8">
        <f t="shared" si="2"/>
        <v>0</v>
      </c>
      <c r="L23" s="68">
        <f t="shared" si="3"/>
        <v>0</v>
      </c>
      <c r="M23" s="68">
        <v>0</v>
      </c>
      <c r="N23" s="8"/>
      <c r="O23" s="69"/>
    </row>
    <row r="24" spans="1:15">
      <c r="A24" s="46">
        <v>21</v>
      </c>
      <c r="B24" s="218">
        <v>46133</v>
      </c>
      <c r="C24" s="67"/>
      <c r="D24" s="158"/>
      <c r="E24" s="65"/>
      <c r="F24" s="65"/>
      <c r="G24" s="8">
        <f t="shared" si="0"/>
        <v>0</v>
      </c>
      <c r="H24" s="65"/>
      <c r="I24" s="66"/>
      <c r="J24" s="8">
        <f t="shared" si="5"/>
        <v>0</v>
      </c>
      <c r="K24" s="8">
        <f t="shared" si="2"/>
        <v>0</v>
      </c>
      <c r="L24" s="68">
        <f t="shared" si="3"/>
        <v>0</v>
      </c>
      <c r="M24" s="68">
        <v>0</v>
      </c>
      <c r="N24" s="8"/>
      <c r="O24" s="69"/>
    </row>
    <row r="25" spans="1:15">
      <c r="A25" s="46">
        <v>22</v>
      </c>
      <c r="B25" s="218">
        <v>46134</v>
      </c>
      <c r="C25" s="67"/>
      <c r="D25" s="158"/>
      <c r="E25" s="65"/>
      <c r="F25" s="65"/>
      <c r="G25" s="8">
        <f t="shared" si="0"/>
        <v>0</v>
      </c>
      <c r="H25" s="65"/>
      <c r="I25" s="66"/>
      <c r="J25" s="8">
        <f t="shared" si="5"/>
        <v>0</v>
      </c>
      <c r="K25" s="8">
        <f t="shared" si="2"/>
        <v>0</v>
      </c>
      <c r="L25" s="68">
        <f t="shared" si="3"/>
        <v>0</v>
      </c>
      <c r="M25" s="68">
        <v>0</v>
      </c>
      <c r="N25" s="8"/>
      <c r="O25" s="69"/>
    </row>
    <row r="26" spans="1:15">
      <c r="A26" s="46">
        <v>23</v>
      </c>
      <c r="B26" s="218">
        <v>46135</v>
      </c>
      <c r="C26" s="67"/>
      <c r="D26" s="158"/>
      <c r="E26" s="65"/>
      <c r="F26" s="65"/>
      <c r="G26" s="8">
        <f t="shared" si="0"/>
        <v>0</v>
      </c>
      <c r="H26" s="65"/>
      <c r="I26" s="66"/>
      <c r="J26" s="8">
        <f t="shared" si="5"/>
        <v>0</v>
      </c>
      <c r="K26" s="8">
        <f t="shared" si="2"/>
        <v>0</v>
      </c>
      <c r="L26" s="68">
        <f t="shared" si="3"/>
        <v>0</v>
      </c>
      <c r="M26" s="68">
        <v>0</v>
      </c>
      <c r="N26" s="8"/>
      <c r="O26" s="69"/>
    </row>
    <row r="27" spans="1:15">
      <c r="A27" s="46">
        <v>24</v>
      </c>
      <c r="B27" s="218">
        <v>46136</v>
      </c>
      <c r="C27" s="67"/>
      <c r="D27" s="158"/>
      <c r="E27" s="65"/>
      <c r="F27" s="65"/>
      <c r="G27" s="8">
        <f t="shared" si="0"/>
        <v>0</v>
      </c>
      <c r="H27" s="65"/>
      <c r="I27" s="66"/>
      <c r="J27" s="8">
        <f t="shared" si="5"/>
        <v>0</v>
      </c>
      <c r="K27" s="8">
        <f t="shared" si="2"/>
        <v>0</v>
      </c>
      <c r="L27" s="68">
        <f t="shared" si="3"/>
        <v>0</v>
      </c>
      <c r="M27" s="68">
        <v>0</v>
      </c>
      <c r="N27" s="8"/>
      <c r="O27" s="69"/>
    </row>
    <row r="28" spans="1:15">
      <c r="A28" s="220">
        <v>25</v>
      </c>
      <c r="B28" s="218">
        <v>46137</v>
      </c>
      <c r="C28" s="67"/>
      <c r="D28" s="158"/>
      <c r="E28" s="65">
        <v>79</v>
      </c>
      <c r="F28" s="65">
        <v>98.39</v>
      </c>
      <c r="G28" s="8">
        <f t="shared" si="0"/>
        <v>7772.81</v>
      </c>
      <c r="H28" s="65"/>
      <c r="I28" s="66"/>
      <c r="J28" s="8">
        <f t="shared" si="5"/>
        <v>0</v>
      </c>
      <c r="K28" s="8">
        <f t="shared" si="2"/>
        <v>7772.81</v>
      </c>
      <c r="L28" s="68">
        <f t="shared" si="3"/>
        <v>7772.81</v>
      </c>
      <c r="M28" s="68">
        <v>0</v>
      </c>
      <c r="N28" s="8"/>
      <c r="O28" s="69"/>
    </row>
    <row r="29" spans="1:15">
      <c r="A29" s="220">
        <v>26</v>
      </c>
      <c r="B29" s="218">
        <v>46138</v>
      </c>
      <c r="C29" s="67"/>
      <c r="D29" s="158"/>
      <c r="E29" s="65"/>
      <c r="F29" s="65"/>
      <c r="G29" s="8">
        <f t="shared" si="0"/>
        <v>0</v>
      </c>
      <c r="H29" s="65"/>
      <c r="I29" s="66"/>
      <c r="J29" s="8">
        <f t="shared" si="5"/>
        <v>0</v>
      </c>
      <c r="K29" s="8">
        <f t="shared" si="2"/>
        <v>0</v>
      </c>
      <c r="L29" s="68">
        <f t="shared" si="3"/>
        <v>0</v>
      </c>
      <c r="M29" s="68">
        <v>0</v>
      </c>
      <c r="N29" s="8"/>
      <c r="O29" s="69"/>
    </row>
    <row r="30" spans="1:15">
      <c r="A30" s="220">
        <v>27</v>
      </c>
      <c r="B30" s="218">
        <v>46139</v>
      </c>
      <c r="C30" s="67"/>
      <c r="D30" s="158"/>
      <c r="E30" s="65"/>
      <c r="F30" s="65"/>
      <c r="G30" s="8">
        <f t="shared" si="0"/>
        <v>0</v>
      </c>
      <c r="H30" s="65"/>
      <c r="I30" s="66"/>
      <c r="J30" s="8">
        <f t="shared" si="5"/>
        <v>0</v>
      </c>
      <c r="K30" s="8">
        <f t="shared" si="2"/>
        <v>0</v>
      </c>
      <c r="L30" s="68">
        <f t="shared" si="3"/>
        <v>0</v>
      </c>
      <c r="M30" s="68">
        <v>0</v>
      </c>
      <c r="N30" s="8"/>
      <c r="O30" s="69"/>
    </row>
    <row r="31" spans="1:15">
      <c r="A31" s="220">
        <v>28</v>
      </c>
      <c r="B31" s="218">
        <v>46140</v>
      </c>
      <c r="C31" s="67"/>
      <c r="D31" s="158"/>
      <c r="E31" s="65"/>
      <c r="F31" s="65"/>
      <c r="G31" s="8">
        <f t="shared" si="0"/>
        <v>0</v>
      </c>
      <c r="H31" s="65">
        <v>8.15</v>
      </c>
      <c r="I31" s="66">
        <v>110.44</v>
      </c>
      <c r="J31" s="8">
        <f t="shared" si="5"/>
        <v>900.08600000000001</v>
      </c>
      <c r="K31" s="8">
        <f t="shared" si="2"/>
        <v>900.08600000000001</v>
      </c>
      <c r="L31" s="68">
        <f t="shared" si="3"/>
        <v>900.08600000000001</v>
      </c>
      <c r="M31" s="68">
        <v>0</v>
      </c>
      <c r="N31" s="8"/>
      <c r="O31" s="69"/>
    </row>
    <row r="32" spans="1:15">
      <c r="A32" s="221">
        <v>29</v>
      </c>
      <c r="B32" s="218">
        <v>46141</v>
      </c>
      <c r="C32" s="67"/>
      <c r="D32" s="158"/>
      <c r="E32" s="65"/>
      <c r="F32" s="65"/>
      <c r="G32" s="8">
        <f t="shared" ref="G32:G33" si="6">E32*F32</f>
        <v>0</v>
      </c>
      <c r="H32" s="65"/>
      <c r="I32" s="66"/>
      <c r="J32" s="8">
        <f t="shared" si="5"/>
        <v>0</v>
      </c>
      <c r="K32" s="8">
        <f t="shared" si="2"/>
        <v>0</v>
      </c>
      <c r="L32" s="68">
        <f t="shared" si="3"/>
        <v>0</v>
      </c>
      <c r="M32" s="68">
        <v>0</v>
      </c>
      <c r="N32" s="8"/>
      <c r="O32" s="69"/>
    </row>
    <row r="33" spans="1:15">
      <c r="A33" s="221">
        <v>30</v>
      </c>
      <c r="B33" s="218">
        <v>46142</v>
      </c>
      <c r="C33" s="67"/>
      <c r="D33" s="158"/>
      <c r="E33" s="65"/>
      <c r="F33" s="65"/>
      <c r="G33" s="8">
        <f t="shared" si="6"/>
        <v>0</v>
      </c>
      <c r="H33" s="65"/>
      <c r="I33" s="66"/>
      <c r="J33" s="8">
        <f t="shared" si="5"/>
        <v>0</v>
      </c>
      <c r="K33" s="8">
        <f t="shared" si="2"/>
        <v>0</v>
      </c>
      <c r="L33" s="68">
        <f t="shared" si="3"/>
        <v>0</v>
      </c>
      <c r="M33" s="68">
        <v>0</v>
      </c>
      <c r="N33" s="8"/>
      <c r="O33" s="69"/>
    </row>
    <row r="34" spans="1:15">
      <c r="A34" s="221">
        <v>31</v>
      </c>
      <c r="B34" s="218">
        <v>46143</v>
      </c>
      <c r="C34" s="67"/>
      <c r="D34" s="158"/>
      <c r="E34" s="65"/>
      <c r="F34" s="65"/>
      <c r="G34" s="8">
        <f t="shared" si="0"/>
        <v>0</v>
      </c>
      <c r="H34" s="65"/>
      <c r="I34" s="66"/>
      <c r="J34" s="8">
        <f t="shared" si="5"/>
        <v>0</v>
      </c>
      <c r="K34" s="8">
        <f t="shared" ref="K34" si="7">G34+J34</f>
        <v>0</v>
      </c>
      <c r="L34" s="68">
        <f t="shared" ref="L34" si="8">+K34</f>
        <v>0</v>
      </c>
      <c r="M34" s="68">
        <v>0</v>
      </c>
      <c r="N34" s="8"/>
      <c r="O34" s="69"/>
    </row>
    <row r="35" spans="1:15">
      <c r="A35" s="62"/>
      <c r="B35" s="62"/>
      <c r="C35" s="62"/>
      <c r="D35" s="62"/>
      <c r="E35" s="63">
        <f>SUM(E4:E34)</f>
        <v>152.72</v>
      </c>
      <c r="F35" s="63"/>
      <c r="G35" s="63">
        <f>SUM(G4:G34)</f>
        <v>14679.6368</v>
      </c>
      <c r="H35" s="63">
        <f>SUM(H4:H34)</f>
        <v>21.14</v>
      </c>
      <c r="I35" s="63"/>
      <c r="J35" s="63">
        <f>SUM(J4:J34)</f>
        <v>2260.4863</v>
      </c>
      <c r="K35" s="63">
        <f>SUM(K4:K34)</f>
        <v>16940.123100000001</v>
      </c>
      <c r="L35" s="63">
        <f>SUM(L4:L34)</f>
        <v>16940.123100000001</v>
      </c>
      <c r="M35" s="63"/>
      <c r="N35" s="63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  <row r="37" spans="1:15"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A42" s="69"/>
      <c r="B42" s="59"/>
      <c r="C42" s="69"/>
      <c r="D42" s="69"/>
      <c r="E42" s="69"/>
      <c r="F42" s="69"/>
      <c r="G42" s="76"/>
      <c r="H42" s="69"/>
      <c r="I42" s="69"/>
      <c r="J42" s="59"/>
      <c r="K42" s="59"/>
      <c r="L42" s="59"/>
      <c r="M42" s="59"/>
      <c r="N42" s="69"/>
      <c r="O42" s="74"/>
    </row>
    <row r="43" spans="1:15">
      <c r="A43" s="69"/>
      <c r="B43" s="554"/>
      <c r="C43" s="554"/>
      <c r="D43" s="554"/>
      <c r="E43" s="554"/>
      <c r="F43" s="69"/>
      <c r="G43" s="69"/>
      <c r="H43" s="69"/>
      <c r="I43" s="554"/>
      <c r="J43" s="554"/>
      <c r="K43" s="554"/>
      <c r="L43" s="554"/>
      <c r="M43" s="554"/>
      <c r="N43" s="554"/>
      <c r="O43" s="74"/>
    </row>
    <row r="44" spans="1:15">
      <c r="A44" s="69"/>
      <c r="B44" s="59"/>
      <c r="C44" s="69"/>
      <c r="D44" s="69"/>
      <c r="E44" s="69"/>
      <c r="F44" s="69"/>
      <c r="G44" s="69"/>
      <c r="H44" s="69"/>
      <c r="I44" s="69"/>
      <c r="J44" s="59"/>
      <c r="K44" s="59"/>
      <c r="L44" s="59"/>
      <c r="M44" s="59"/>
      <c r="N44" s="69"/>
      <c r="O44" s="74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160"/>
  <sheetViews>
    <sheetView workbookViewId="0">
      <pane ySplit="3" topLeftCell="C158" activePane="bottomLeft" state="frozen"/>
      <selection pane="bottomLeft" activeCell="K164" sqref="K164"/>
    </sheetView>
  </sheetViews>
  <sheetFormatPr defaultRowHeight="15"/>
  <cols>
    <col min="1" max="1" width="15" style="77" customWidth="1"/>
    <col min="2" max="2" width="18.7109375" style="77" customWidth="1"/>
    <col min="3" max="3" width="63.5703125" bestFit="1" customWidth="1"/>
    <col min="4" max="4" width="15.5703125" style="77" customWidth="1"/>
    <col min="5" max="5" width="12.28515625" style="77" customWidth="1"/>
    <col min="6" max="6" width="12.85546875" style="77" customWidth="1"/>
    <col min="7" max="7" width="12.5703125" style="77" bestFit="1" customWidth="1"/>
    <col min="8" max="8" width="12.5703125" style="77" customWidth="1"/>
    <col min="9" max="10" width="9.140625" style="77"/>
    <col min="11" max="11" width="18.7109375" style="77" customWidth="1"/>
    <col min="12" max="12" width="24.140625" style="184" customWidth="1"/>
    <col min="13" max="13" width="16.5703125" style="184" customWidth="1"/>
    <col min="14" max="14" width="19.85546875" style="184" customWidth="1"/>
    <col min="15" max="15" width="13.42578125" style="184" customWidth="1"/>
    <col min="16" max="16" width="11.42578125" style="184" bestFit="1" customWidth="1"/>
    <col min="17" max="21" width="9.140625" style="184"/>
  </cols>
  <sheetData>
    <row r="1" spans="1:16" ht="15.75">
      <c r="A1" s="244" t="s">
        <v>360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78"/>
      <c r="M1" s="278"/>
      <c r="N1" s="278"/>
      <c r="O1" s="278"/>
    </row>
    <row r="2" spans="1:16" ht="26.25" customHeight="1">
      <c r="A2" s="64" t="s">
        <v>0</v>
      </c>
      <c r="B2" s="83" t="s">
        <v>166</v>
      </c>
      <c r="C2" s="83" t="s">
        <v>361</v>
      </c>
      <c r="D2" s="83" t="s">
        <v>362</v>
      </c>
      <c r="E2" s="83" t="s">
        <v>169</v>
      </c>
      <c r="F2" s="83" t="s">
        <v>170</v>
      </c>
      <c r="G2" s="90" t="s">
        <v>171</v>
      </c>
      <c r="H2" s="83" t="s">
        <v>172</v>
      </c>
      <c r="I2" s="83" t="s">
        <v>170</v>
      </c>
      <c r="J2" s="90" t="s">
        <v>171</v>
      </c>
      <c r="K2" s="64" t="s">
        <v>173</v>
      </c>
      <c r="L2" s="280" t="s">
        <v>363</v>
      </c>
      <c r="M2" s="281" t="s">
        <v>199</v>
      </c>
      <c r="N2" s="279" t="s">
        <v>176</v>
      </c>
      <c r="O2" s="279" t="s">
        <v>364</v>
      </c>
    </row>
    <row r="3" spans="1:16" ht="15.75">
      <c r="A3" s="245" t="s">
        <v>177</v>
      </c>
      <c r="B3" s="245"/>
      <c r="C3" s="245"/>
      <c r="D3" s="245"/>
      <c r="E3" s="245"/>
      <c r="F3" s="245"/>
      <c r="G3" s="245"/>
      <c r="H3" s="245"/>
      <c r="I3" s="245"/>
      <c r="J3" s="245"/>
      <c r="K3" s="527">
        <v>782143.31</v>
      </c>
      <c r="L3" s="298"/>
      <c r="M3" s="298"/>
      <c r="N3" s="298"/>
      <c r="O3" s="399"/>
    </row>
    <row r="4" spans="1:16">
      <c r="A4" s="418">
        <v>1</v>
      </c>
      <c r="B4" s="505">
        <v>46143</v>
      </c>
      <c r="C4" s="103" t="s">
        <v>365</v>
      </c>
      <c r="D4" s="499" t="s">
        <v>40</v>
      </c>
      <c r="E4" s="208"/>
      <c r="F4" s="208"/>
      <c r="G4" s="208">
        <f>E4*F4</f>
        <v>0</v>
      </c>
      <c r="H4" s="499">
        <v>3.67</v>
      </c>
      <c r="I4" s="499">
        <v>107.46</v>
      </c>
      <c r="J4" s="208">
        <f>H4*I4</f>
        <v>394.37819999999999</v>
      </c>
      <c r="K4" s="208">
        <f t="shared" ref="K4:K67" si="0">G4+J4</f>
        <v>394.37819999999999</v>
      </c>
      <c r="L4" s="283"/>
      <c r="M4" s="283">
        <f>K3+L4-K4</f>
        <v>781748.93180000002</v>
      </c>
      <c r="N4" s="283"/>
      <c r="O4" s="283"/>
      <c r="P4" s="184" t="s">
        <v>366</v>
      </c>
    </row>
    <row r="5" spans="1:16">
      <c r="A5" s="193">
        <v>2</v>
      </c>
      <c r="B5" s="505">
        <v>46143</v>
      </c>
      <c r="C5" s="103" t="s">
        <v>367</v>
      </c>
      <c r="D5" s="499" t="s">
        <v>368</v>
      </c>
      <c r="E5" s="499">
        <v>1000.01</v>
      </c>
      <c r="F5" s="499">
        <v>91.67</v>
      </c>
      <c r="G5" s="208">
        <f>E5*F5</f>
        <v>91670.916700000002</v>
      </c>
      <c r="H5" s="499"/>
      <c r="I5" s="499"/>
      <c r="J5" s="208">
        <f t="shared" ref="J5:J73" si="1">H5*I5</f>
        <v>0</v>
      </c>
      <c r="K5" s="208">
        <f>G5+J5</f>
        <v>91670.916700000002</v>
      </c>
      <c r="L5" s="283"/>
      <c r="M5" s="282">
        <f>M4+L5-K5</f>
        <v>690078.01509999996</v>
      </c>
      <c r="N5" s="282"/>
      <c r="O5" s="282"/>
    </row>
    <row r="6" spans="1:16">
      <c r="A6" s="193">
        <v>3</v>
      </c>
      <c r="B6" s="505">
        <v>46143</v>
      </c>
      <c r="C6" s="166" t="s">
        <v>369</v>
      </c>
      <c r="D6" s="499" t="s">
        <v>368</v>
      </c>
      <c r="E6" s="193">
        <v>800</v>
      </c>
      <c r="F6" s="193">
        <v>91.67</v>
      </c>
      <c r="G6" s="208">
        <f>E6*F6</f>
        <v>73336</v>
      </c>
      <c r="H6" s="499"/>
      <c r="I6" s="499"/>
      <c r="J6" s="208">
        <f t="shared" si="1"/>
        <v>0</v>
      </c>
      <c r="K6" s="208">
        <f>G6+J6</f>
        <v>73336</v>
      </c>
      <c r="L6" s="283"/>
      <c r="M6" s="282">
        <f>M5+L6-K6</f>
        <v>616742.01509999996</v>
      </c>
      <c r="N6" s="282"/>
      <c r="O6" s="282"/>
    </row>
    <row r="7" spans="1:16">
      <c r="A7" s="418">
        <v>4</v>
      </c>
      <c r="B7" s="505">
        <v>46143</v>
      </c>
      <c r="C7" s="103" t="s">
        <v>370</v>
      </c>
      <c r="D7" s="499" t="s">
        <v>371</v>
      </c>
      <c r="E7" s="193">
        <v>100</v>
      </c>
      <c r="F7" s="193">
        <v>97</v>
      </c>
      <c r="G7" s="208">
        <f>E7*F7</f>
        <v>9700</v>
      </c>
      <c r="H7" s="208"/>
      <c r="I7" s="499"/>
      <c r="J7" s="208">
        <f t="shared" si="1"/>
        <v>0</v>
      </c>
      <c r="K7" s="208">
        <f>G7+J7</f>
        <v>9700</v>
      </c>
      <c r="L7" s="283"/>
      <c r="M7" s="282">
        <f>M6+L7-K7</f>
        <v>607042.01509999996</v>
      </c>
      <c r="N7" s="282"/>
      <c r="O7" s="282"/>
    </row>
    <row r="8" spans="1:16">
      <c r="A8" s="193">
        <v>5</v>
      </c>
      <c r="B8" s="505">
        <v>46143</v>
      </c>
      <c r="C8" s="103" t="s">
        <v>372</v>
      </c>
      <c r="D8" s="499" t="s">
        <v>373</v>
      </c>
      <c r="E8" s="193">
        <v>30</v>
      </c>
      <c r="F8" s="193">
        <v>92.07</v>
      </c>
      <c r="G8" s="208">
        <f>E8*F8</f>
        <v>2762.1</v>
      </c>
      <c r="H8" s="208"/>
      <c r="I8" s="499"/>
      <c r="J8" s="208">
        <f t="shared" si="1"/>
        <v>0</v>
      </c>
      <c r="K8" s="208">
        <f>G8+J8</f>
        <v>2762.1</v>
      </c>
      <c r="L8" s="283"/>
      <c r="M8" s="282">
        <f>M7+L8-K8</f>
        <v>604279.91509999998</v>
      </c>
      <c r="N8" s="282"/>
      <c r="O8" s="282"/>
    </row>
    <row r="9" spans="1:16">
      <c r="A9" s="193">
        <v>6</v>
      </c>
      <c r="B9" s="505">
        <v>46143</v>
      </c>
      <c r="C9" s="166" t="s">
        <v>374</v>
      </c>
      <c r="D9" s="499" t="s">
        <v>53</v>
      </c>
      <c r="E9" s="208">
        <v>43</v>
      </c>
      <c r="F9" s="208">
        <v>92.22</v>
      </c>
      <c r="G9" s="208">
        <f>E9*F9</f>
        <v>3965.46</v>
      </c>
      <c r="H9" s="208"/>
      <c r="I9" s="499"/>
      <c r="J9" s="208">
        <f t="shared" si="1"/>
        <v>0</v>
      </c>
      <c r="K9" s="208">
        <f>G9+J9</f>
        <v>3965.46</v>
      </c>
      <c r="L9" s="283"/>
      <c r="M9" s="282">
        <f>M8+L9-K9</f>
        <v>600314.45510000002</v>
      </c>
      <c r="N9" s="282"/>
      <c r="O9" s="282"/>
    </row>
    <row r="10" spans="1:16">
      <c r="A10" s="418">
        <v>7</v>
      </c>
      <c r="B10" s="505">
        <v>46143</v>
      </c>
      <c r="C10" s="166" t="s">
        <v>375</v>
      </c>
      <c r="D10" s="499" t="s">
        <v>376</v>
      </c>
      <c r="E10" s="208">
        <v>50.98</v>
      </c>
      <c r="F10" s="208">
        <v>96.66</v>
      </c>
      <c r="G10" s="208">
        <f>E10*F10</f>
        <v>4927.7267999999995</v>
      </c>
      <c r="H10" s="499"/>
      <c r="I10" s="499"/>
      <c r="J10" s="208">
        <f t="shared" si="1"/>
        <v>0</v>
      </c>
      <c r="K10" s="208">
        <f>G10+J10</f>
        <v>4927.7267999999995</v>
      </c>
      <c r="L10" s="283"/>
      <c r="M10" s="282">
        <f>M9+L10-K10</f>
        <v>595386.72830000008</v>
      </c>
      <c r="N10" s="282"/>
      <c r="O10" s="282"/>
    </row>
    <row r="11" spans="1:16">
      <c r="A11" s="193">
        <v>8</v>
      </c>
      <c r="B11" s="505">
        <v>46144</v>
      </c>
      <c r="C11" s="166" t="s">
        <v>369</v>
      </c>
      <c r="D11" s="499" t="s">
        <v>368</v>
      </c>
      <c r="E11" s="208">
        <v>200</v>
      </c>
      <c r="F11" s="208">
        <v>91.67</v>
      </c>
      <c r="G11" s="208">
        <f>E11*F11</f>
        <v>18334</v>
      </c>
      <c r="H11" s="499"/>
      <c r="I11" s="499"/>
      <c r="J11" s="208">
        <f t="shared" si="1"/>
        <v>0</v>
      </c>
      <c r="K11" s="208">
        <f>G11+J11</f>
        <v>18334</v>
      </c>
      <c r="L11" s="283"/>
      <c r="M11" s="282">
        <f>M10+L11-K11</f>
        <v>577052.72830000008</v>
      </c>
      <c r="N11" s="282"/>
      <c r="O11" s="282"/>
    </row>
    <row r="12" spans="1:16">
      <c r="A12" s="193">
        <v>9</v>
      </c>
      <c r="B12" s="505">
        <v>46144</v>
      </c>
      <c r="C12" s="166" t="s">
        <v>372</v>
      </c>
      <c r="D12" s="499" t="s">
        <v>373</v>
      </c>
      <c r="E12" s="208"/>
      <c r="F12" s="208"/>
      <c r="G12" s="208">
        <f>E12*F12</f>
        <v>0</v>
      </c>
      <c r="H12" s="499">
        <v>3</v>
      </c>
      <c r="I12" s="499">
        <v>103.82</v>
      </c>
      <c r="J12" s="208">
        <f t="shared" si="1"/>
        <v>311.45999999999998</v>
      </c>
      <c r="K12" s="208">
        <f>G12+J12</f>
        <v>311.45999999999998</v>
      </c>
      <c r="L12" s="283"/>
      <c r="M12" s="282">
        <f>M11+L12-K12</f>
        <v>576741.26830000011</v>
      </c>
      <c r="N12" s="282"/>
      <c r="O12" s="282"/>
    </row>
    <row r="13" spans="1:16">
      <c r="A13" s="418">
        <v>10</v>
      </c>
      <c r="B13" s="505">
        <v>46144</v>
      </c>
      <c r="C13" s="103" t="s">
        <v>377</v>
      </c>
      <c r="D13" s="499" t="s">
        <v>378</v>
      </c>
      <c r="E13" s="499">
        <v>45</v>
      </c>
      <c r="F13" s="499">
        <v>91.85</v>
      </c>
      <c r="G13" s="208">
        <f>E13*F13</f>
        <v>4133.25</v>
      </c>
      <c r="H13" s="499"/>
      <c r="I13" s="499"/>
      <c r="J13" s="208">
        <f t="shared" si="1"/>
        <v>0</v>
      </c>
      <c r="K13" s="208">
        <f>G13+J13</f>
        <v>4133.25</v>
      </c>
      <c r="L13" s="283"/>
      <c r="M13" s="282">
        <f>M12+L13-K13</f>
        <v>572608.01830000011</v>
      </c>
      <c r="N13" s="282"/>
      <c r="O13" s="282"/>
    </row>
    <row r="14" spans="1:16">
      <c r="A14" s="193">
        <v>11</v>
      </c>
      <c r="B14" s="505">
        <v>46144</v>
      </c>
      <c r="C14" s="103" t="s">
        <v>379</v>
      </c>
      <c r="D14" s="499" t="s">
        <v>378</v>
      </c>
      <c r="E14" s="499">
        <v>200</v>
      </c>
      <c r="F14" s="499">
        <v>91.32</v>
      </c>
      <c r="G14" s="208">
        <f>E14*F14</f>
        <v>18264</v>
      </c>
      <c r="H14" s="499"/>
      <c r="I14" s="499"/>
      <c r="J14" s="208">
        <f t="shared" si="1"/>
        <v>0</v>
      </c>
      <c r="K14" s="208">
        <f>G14+J14</f>
        <v>18264</v>
      </c>
      <c r="L14" s="283"/>
      <c r="M14" s="282">
        <f>M13+L14-K14</f>
        <v>554344.01830000011</v>
      </c>
      <c r="N14" s="282"/>
      <c r="O14" s="282"/>
    </row>
    <row r="15" spans="1:16">
      <c r="A15" s="193">
        <v>12</v>
      </c>
      <c r="B15" s="505">
        <v>46144</v>
      </c>
      <c r="C15" s="103" t="s">
        <v>252</v>
      </c>
      <c r="D15" s="499" t="s">
        <v>376</v>
      </c>
      <c r="E15" s="208">
        <v>47.2</v>
      </c>
      <c r="F15" s="208">
        <v>97.71</v>
      </c>
      <c r="G15" s="208">
        <f>E15*F15</f>
        <v>4611.9120000000003</v>
      </c>
      <c r="H15" s="499"/>
      <c r="I15" s="499"/>
      <c r="J15" s="208">
        <f t="shared" si="1"/>
        <v>0</v>
      </c>
      <c r="K15" s="208">
        <f>G15+J15</f>
        <v>4611.9120000000003</v>
      </c>
      <c r="L15" s="283"/>
      <c r="M15" s="282">
        <f>M14+L15-K15</f>
        <v>549732.1063000001</v>
      </c>
      <c r="N15" s="282"/>
      <c r="O15" s="282"/>
    </row>
    <row r="16" spans="1:16">
      <c r="A16" s="418">
        <v>13</v>
      </c>
      <c r="B16" s="505">
        <v>46144</v>
      </c>
      <c r="C16" s="103" t="s">
        <v>211</v>
      </c>
      <c r="D16" s="499" t="s">
        <v>376</v>
      </c>
      <c r="E16" s="208"/>
      <c r="F16" s="208"/>
      <c r="G16" s="208">
        <f>E16*F16</f>
        <v>0</v>
      </c>
      <c r="H16" s="499">
        <v>5</v>
      </c>
      <c r="I16" s="499">
        <v>109.71</v>
      </c>
      <c r="J16" s="208">
        <f t="shared" si="1"/>
        <v>548.54999999999995</v>
      </c>
      <c r="K16" s="208">
        <f>G16+J16</f>
        <v>548.54999999999995</v>
      </c>
      <c r="L16" s="283"/>
      <c r="M16" s="282">
        <f>M15+L16-K16</f>
        <v>549183.55630000005</v>
      </c>
      <c r="N16" s="282"/>
      <c r="O16" s="282"/>
    </row>
    <row r="17" spans="1:15">
      <c r="A17" s="193">
        <v>14</v>
      </c>
      <c r="B17" s="505">
        <v>46145</v>
      </c>
      <c r="C17" s="166" t="s">
        <v>380</v>
      </c>
      <c r="D17" s="499" t="s">
        <v>368</v>
      </c>
      <c r="E17" s="208">
        <v>1199.8</v>
      </c>
      <c r="F17" s="208">
        <v>91.81</v>
      </c>
      <c r="G17" s="208">
        <f>E17*F17</f>
        <v>110153.63799999999</v>
      </c>
      <c r="H17" s="499"/>
      <c r="I17" s="499"/>
      <c r="J17" s="208">
        <f t="shared" si="1"/>
        <v>0</v>
      </c>
      <c r="K17" s="208">
        <f>G17+J17</f>
        <v>110153.63799999999</v>
      </c>
      <c r="L17" s="283">
        <v>300000</v>
      </c>
      <c r="M17" s="282">
        <f>M16+L17-K17</f>
        <v>739029.91830000002</v>
      </c>
      <c r="N17" s="282"/>
      <c r="O17" s="282"/>
    </row>
    <row r="18" spans="1:15">
      <c r="A18" s="193">
        <v>15</v>
      </c>
      <c r="B18" s="505">
        <v>46145</v>
      </c>
      <c r="C18" s="166" t="s">
        <v>367</v>
      </c>
      <c r="D18" s="499" t="s">
        <v>368</v>
      </c>
      <c r="E18" s="208">
        <v>500</v>
      </c>
      <c r="F18" s="208">
        <v>91.67</v>
      </c>
      <c r="G18" s="208">
        <f>E18*F18</f>
        <v>45835</v>
      </c>
      <c r="H18" s="499"/>
      <c r="I18" s="499"/>
      <c r="J18" s="208">
        <f t="shared" si="1"/>
        <v>0</v>
      </c>
      <c r="K18" s="208">
        <f>G18+J18</f>
        <v>45835</v>
      </c>
      <c r="L18" s="283"/>
      <c r="M18" s="282">
        <f>M17+L18-K18</f>
        <v>693194.91830000002</v>
      </c>
      <c r="N18" s="282"/>
      <c r="O18" s="282"/>
    </row>
    <row r="19" spans="1:15">
      <c r="A19" s="418">
        <v>16</v>
      </c>
      <c r="B19" s="505">
        <v>46145</v>
      </c>
      <c r="C19" s="166" t="s">
        <v>370</v>
      </c>
      <c r="D19" s="499" t="s">
        <v>371</v>
      </c>
      <c r="E19" s="208">
        <v>200</v>
      </c>
      <c r="F19" s="208">
        <v>97</v>
      </c>
      <c r="G19" s="208">
        <f>E19*F19</f>
        <v>19400</v>
      </c>
      <c r="H19" s="499"/>
      <c r="I19" s="499"/>
      <c r="J19" s="208">
        <f t="shared" si="1"/>
        <v>0</v>
      </c>
      <c r="K19" s="208">
        <f>G19+J19</f>
        <v>19400</v>
      </c>
      <c r="L19" s="283"/>
      <c r="M19" s="282">
        <f>M18+L19-K19</f>
        <v>673794.91830000002</v>
      </c>
      <c r="N19" s="282"/>
      <c r="O19" s="282"/>
    </row>
    <row r="20" spans="1:15">
      <c r="A20" s="193">
        <v>17</v>
      </c>
      <c r="B20" s="505">
        <v>46145</v>
      </c>
      <c r="C20" s="166" t="s">
        <v>381</v>
      </c>
      <c r="D20" s="499" t="s">
        <v>53</v>
      </c>
      <c r="E20" s="208">
        <v>40</v>
      </c>
      <c r="F20" s="208">
        <v>91.64</v>
      </c>
      <c r="G20" s="208">
        <f>E20*F20</f>
        <v>3665.6</v>
      </c>
      <c r="H20" s="499"/>
      <c r="I20" s="499"/>
      <c r="J20" s="208">
        <f t="shared" si="1"/>
        <v>0</v>
      </c>
      <c r="K20" s="208">
        <f>G20+J20</f>
        <v>3665.6</v>
      </c>
      <c r="L20" s="283"/>
      <c r="M20" s="282">
        <f>M19+L20-K20</f>
        <v>670129.31830000004</v>
      </c>
      <c r="N20" s="282"/>
      <c r="O20" s="282"/>
    </row>
    <row r="21" spans="1:15">
      <c r="A21" s="193">
        <v>18</v>
      </c>
      <c r="B21" s="505">
        <v>46146</v>
      </c>
      <c r="C21" s="166" t="s">
        <v>382</v>
      </c>
      <c r="D21" s="499" t="s">
        <v>383</v>
      </c>
      <c r="E21" s="208">
        <v>1499.99</v>
      </c>
      <c r="F21" s="208">
        <v>96.42</v>
      </c>
      <c r="G21" s="208">
        <f>E21*F21</f>
        <v>144629.03580000001</v>
      </c>
      <c r="H21" s="499"/>
      <c r="I21" s="499"/>
      <c r="J21" s="208">
        <f t="shared" si="1"/>
        <v>0</v>
      </c>
      <c r="K21" s="208">
        <f>G21+J21</f>
        <v>144629.03580000001</v>
      </c>
      <c r="L21" s="283">
        <v>1800000</v>
      </c>
      <c r="M21" s="282">
        <f>M20+L21-K21</f>
        <v>2325500.2824999997</v>
      </c>
      <c r="N21" s="282"/>
      <c r="O21" s="282"/>
    </row>
    <row r="22" spans="1:15">
      <c r="A22" s="418">
        <v>19</v>
      </c>
      <c r="B22" s="505">
        <v>46146</v>
      </c>
      <c r="C22" s="166" t="s">
        <v>369</v>
      </c>
      <c r="D22" s="499" t="s">
        <v>368</v>
      </c>
      <c r="E22" s="208">
        <v>500</v>
      </c>
      <c r="F22" s="208">
        <v>91.67</v>
      </c>
      <c r="G22" s="208">
        <f>E22*F22</f>
        <v>45835</v>
      </c>
      <c r="H22" s="499"/>
      <c r="I22" s="499"/>
      <c r="J22" s="208">
        <f t="shared" si="1"/>
        <v>0</v>
      </c>
      <c r="K22" s="208">
        <f>G22+J22</f>
        <v>45835</v>
      </c>
      <c r="L22" s="283"/>
      <c r="M22" s="282">
        <f>M21+L22-K22</f>
        <v>2279665.2824999997</v>
      </c>
      <c r="N22" s="282"/>
      <c r="O22" s="282"/>
    </row>
    <row r="23" spans="1:15">
      <c r="A23" s="193">
        <v>20</v>
      </c>
      <c r="B23" s="505">
        <v>46146</v>
      </c>
      <c r="C23" s="166" t="s">
        <v>384</v>
      </c>
      <c r="D23" s="499" t="s">
        <v>48</v>
      </c>
      <c r="E23" s="208">
        <v>33.799999999999997</v>
      </c>
      <c r="F23" s="208">
        <v>95.7</v>
      </c>
      <c r="G23" s="208">
        <f>E23*F23</f>
        <v>3234.66</v>
      </c>
      <c r="H23" s="499"/>
      <c r="I23" s="499"/>
      <c r="J23" s="208">
        <f t="shared" si="1"/>
        <v>0</v>
      </c>
      <c r="K23" s="208">
        <f>G23+J23</f>
        <v>3234.66</v>
      </c>
      <c r="L23" s="283"/>
      <c r="M23" s="282">
        <f>M22+L23-K23</f>
        <v>2276430.6224999996</v>
      </c>
      <c r="N23" s="282"/>
      <c r="O23" s="282"/>
    </row>
    <row r="24" spans="1:15">
      <c r="A24" s="193">
        <v>21</v>
      </c>
      <c r="B24" s="505">
        <v>46146</v>
      </c>
      <c r="C24" s="166" t="s">
        <v>385</v>
      </c>
      <c r="D24" s="499" t="s">
        <v>373</v>
      </c>
      <c r="E24" s="208">
        <v>30</v>
      </c>
      <c r="F24" s="208">
        <v>92.06</v>
      </c>
      <c r="G24" s="208">
        <f>E24*F24</f>
        <v>2761.8</v>
      </c>
      <c r="H24" s="499"/>
      <c r="I24" s="499"/>
      <c r="J24" s="208">
        <f t="shared" si="1"/>
        <v>0</v>
      </c>
      <c r="K24" s="208">
        <f>G24+J24</f>
        <v>2761.8</v>
      </c>
      <c r="L24" s="283"/>
      <c r="M24" s="282">
        <f>M23+L24-K24</f>
        <v>2273668.8224999998</v>
      </c>
      <c r="N24" s="282"/>
      <c r="O24" s="282"/>
    </row>
    <row r="25" spans="1:15">
      <c r="A25" s="418">
        <v>22</v>
      </c>
      <c r="B25" s="505">
        <v>46146</v>
      </c>
      <c r="C25" s="166" t="s">
        <v>386</v>
      </c>
      <c r="D25" s="499" t="s">
        <v>378</v>
      </c>
      <c r="E25" s="499">
        <v>1312.63</v>
      </c>
      <c r="F25" s="208">
        <v>91.42</v>
      </c>
      <c r="G25" s="208">
        <f>E25*F25</f>
        <v>120000.63460000002</v>
      </c>
      <c r="H25" s="499"/>
      <c r="I25" s="499"/>
      <c r="J25" s="208">
        <f t="shared" si="1"/>
        <v>0</v>
      </c>
      <c r="K25" s="208">
        <f>G25+J25</f>
        <v>120000.63460000002</v>
      </c>
      <c r="L25" s="283"/>
      <c r="M25" s="282">
        <f>M24+L25-K25</f>
        <v>2153668.1878999998</v>
      </c>
      <c r="N25" s="282"/>
      <c r="O25" s="282"/>
    </row>
    <row r="26" spans="1:15">
      <c r="A26" s="193">
        <v>23</v>
      </c>
      <c r="B26" s="505">
        <v>46146</v>
      </c>
      <c r="C26" s="166" t="s">
        <v>387</v>
      </c>
      <c r="D26" s="499" t="s">
        <v>378</v>
      </c>
      <c r="E26" s="208">
        <v>611.28</v>
      </c>
      <c r="F26" s="208">
        <v>92.06</v>
      </c>
      <c r="G26" s="208">
        <f>E26*F26</f>
        <v>56274.436799999996</v>
      </c>
      <c r="H26" s="499"/>
      <c r="I26" s="499"/>
      <c r="J26" s="208">
        <f t="shared" si="1"/>
        <v>0</v>
      </c>
      <c r="K26" s="208">
        <f>G26+J26</f>
        <v>56274.436799999996</v>
      </c>
      <c r="L26" s="283"/>
      <c r="M26" s="282">
        <f>M25+L26-K26</f>
        <v>2097393.7511</v>
      </c>
      <c r="N26" s="282"/>
      <c r="O26" s="282"/>
    </row>
    <row r="27" spans="1:15">
      <c r="A27" s="193">
        <v>24</v>
      </c>
      <c r="B27" s="505">
        <v>46146</v>
      </c>
      <c r="C27" s="166" t="s">
        <v>388</v>
      </c>
      <c r="D27" s="499" t="s">
        <v>378</v>
      </c>
      <c r="E27" s="208">
        <v>6243.63</v>
      </c>
      <c r="F27" s="208">
        <v>91.93</v>
      </c>
      <c r="G27" s="208">
        <f>E27*F27</f>
        <v>573976.90590000001</v>
      </c>
      <c r="H27" s="499"/>
      <c r="I27" s="499"/>
      <c r="J27" s="208">
        <f t="shared" si="1"/>
        <v>0</v>
      </c>
      <c r="K27" s="208">
        <f>G27+J27</f>
        <v>573976.90590000001</v>
      </c>
      <c r="L27" s="283"/>
      <c r="M27" s="282">
        <f>M26+L27-K27</f>
        <v>1523416.8451999999</v>
      </c>
      <c r="N27" s="282"/>
      <c r="O27" s="282"/>
    </row>
    <row r="28" spans="1:15">
      <c r="A28" s="418">
        <v>25</v>
      </c>
      <c r="B28" s="505">
        <v>46146</v>
      </c>
      <c r="C28" s="166" t="s">
        <v>389</v>
      </c>
      <c r="D28" s="499" t="s">
        <v>378</v>
      </c>
      <c r="E28" s="208">
        <v>2151.94</v>
      </c>
      <c r="F28" s="208">
        <v>92.01</v>
      </c>
      <c r="G28" s="208">
        <f>E28*F28</f>
        <v>197999.99940000003</v>
      </c>
      <c r="H28" s="499"/>
      <c r="I28" s="499"/>
      <c r="J28" s="208">
        <f t="shared" si="1"/>
        <v>0</v>
      </c>
      <c r="K28" s="208">
        <f>G28+J28</f>
        <v>197999.99940000003</v>
      </c>
      <c r="L28" s="283"/>
      <c r="M28" s="282">
        <f>M27+L28-K28</f>
        <v>1325416.8457999998</v>
      </c>
      <c r="N28" s="282"/>
      <c r="O28" s="282"/>
    </row>
    <row r="29" spans="1:15" ht="14.25" customHeight="1">
      <c r="A29" s="193">
        <v>26</v>
      </c>
      <c r="B29" s="505">
        <v>46146</v>
      </c>
      <c r="C29" s="166" t="s">
        <v>390</v>
      </c>
      <c r="D29" s="499" t="s">
        <v>376</v>
      </c>
      <c r="E29" s="208">
        <v>0</v>
      </c>
      <c r="F29" s="208">
        <v>0</v>
      </c>
      <c r="G29" s="208">
        <f>E29*F29</f>
        <v>0</v>
      </c>
      <c r="H29" s="499">
        <v>5</v>
      </c>
      <c r="I29" s="499">
        <v>109.94</v>
      </c>
      <c r="J29" s="208">
        <f t="shared" si="1"/>
        <v>549.70000000000005</v>
      </c>
      <c r="K29" s="208">
        <f>G29+J29</f>
        <v>549.70000000000005</v>
      </c>
      <c r="L29" s="283"/>
      <c r="M29" s="282">
        <f>M28+L29-K29</f>
        <v>1324867.1457999998</v>
      </c>
      <c r="N29" s="282"/>
      <c r="O29" s="282"/>
    </row>
    <row r="30" spans="1:15">
      <c r="A30" s="193">
        <v>27</v>
      </c>
      <c r="B30" s="505">
        <v>46147</v>
      </c>
      <c r="C30" s="166" t="s">
        <v>370</v>
      </c>
      <c r="D30" s="499" t="s">
        <v>371</v>
      </c>
      <c r="E30" s="208">
        <v>200</v>
      </c>
      <c r="F30" s="208">
        <v>97</v>
      </c>
      <c r="G30" s="208">
        <f>E30*F30</f>
        <v>19400</v>
      </c>
      <c r="H30" s="499"/>
      <c r="I30" s="499"/>
      <c r="J30" s="208">
        <f t="shared" si="1"/>
        <v>0</v>
      </c>
      <c r="K30" s="208">
        <f>G30+J30</f>
        <v>19400</v>
      </c>
      <c r="L30" s="283"/>
      <c r="M30" s="282">
        <f>M29+L30-K30</f>
        <v>1305467.1457999998</v>
      </c>
      <c r="N30" s="282"/>
      <c r="O30" s="282"/>
    </row>
    <row r="31" spans="1:15">
      <c r="A31" s="418">
        <v>28</v>
      </c>
      <c r="B31" s="505">
        <v>46147</v>
      </c>
      <c r="C31" s="166" t="s">
        <v>372</v>
      </c>
      <c r="D31" s="499" t="s">
        <v>373</v>
      </c>
      <c r="E31" s="208">
        <v>70</v>
      </c>
      <c r="F31" s="208">
        <v>92.07</v>
      </c>
      <c r="G31" s="208">
        <f>E31*F31</f>
        <v>6444.9</v>
      </c>
      <c r="H31" s="499">
        <v>10</v>
      </c>
      <c r="I31" s="499">
        <v>103.82</v>
      </c>
      <c r="J31" s="208">
        <f t="shared" si="1"/>
        <v>1038.1999999999998</v>
      </c>
      <c r="K31" s="208">
        <f>G31+J31</f>
        <v>7483.0999999999995</v>
      </c>
      <c r="L31" s="283"/>
      <c r="M31" s="282">
        <f>M30+L31-K31</f>
        <v>1297984.0457999997</v>
      </c>
      <c r="N31" s="282"/>
      <c r="O31" s="282"/>
    </row>
    <row r="32" spans="1:15">
      <c r="A32" s="193">
        <v>29</v>
      </c>
      <c r="B32" s="505">
        <v>46147</v>
      </c>
      <c r="C32" s="103" t="s">
        <v>381</v>
      </c>
      <c r="D32" s="499" t="s">
        <v>53</v>
      </c>
      <c r="E32" s="499">
        <v>34.54</v>
      </c>
      <c r="F32" s="499">
        <v>91.64</v>
      </c>
      <c r="G32" s="208">
        <f>E32*F32</f>
        <v>3165.2455999999997</v>
      </c>
      <c r="H32" s="499"/>
      <c r="I32" s="499"/>
      <c r="J32" s="208">
        <f t="shared" si="1"/>
        <v>0</v>
      </c>
      <c r="K32" s="208">
        <f>G32+J32</f>
        <v>3165.2455999999997</v>
      </c>
      <c r="L32" s="283"/>
      <c r="M32" s="282">
        <f>M31+L32-K32</f>
        <v>1294818.8001999997</v>
      </c>
      <c r="N32" s="282"/>
      <c r="O32" s="282"/>
    </row>
    <row r="33" spans="1:16">
      <c r="A33" s="193">
        <v>30</v>
      </c>
      <c r="B33" s="505">
        <v>46147</v>
      </c>
      <c r="C33" s="103" t="s">
        <v>391</v>
      </c>
      <c r="D33" s="499" t="s">
        <v>392</v>
      </c>
      <c r="E33" s="499">
        <v>4380.2</v>
      </c>
      <c r="F33" s="499">
        <v>91.32</v>
      </c>
      <c r="G33" s="208">
        <f>E33*F33</f>
        <v>399999.86399999994</v>
      </c>
      <c r="H33" s="499"/>
      <c r="I33" s="499"/>
      <c r="J33" s="208">
        <f t="shared" si="1"/>
        <v>0</v>
      </c>
      <c r="K33" s="208">
        <f>G33+J33</f>
        <v>399999.86399999994</v>
      </c>
      <c r="L33" s="283"/>
      <c r="M33" s="282">
        <f>M32+L33-K33</f>
        <v>894818.93619999976</v>
      </c>
      <c r="N33" s="282"/>
      <c r="O33" s="282"/>
    </row>
    <row r="34" spans="1:16">
      <c r="A34" s="418">
        <v>31</v>
      </c>
      <c r="B34" s="505">
        <v>46147</v>
      </c>
      <c r="C34" s="103" t="s">
        <v>372</v>
      </c>
      <c r="D34" s="499" t="s">
        <v>378</v>
      </c>
      <c r="E34" s="499">
        <v>1250.08</v>
      </c>
      <c r="F34" s="499">
        <v>92.07</v>
      </c>
      <c r="G34" s="208">
        <f>E34*F34</f>
        <v>115094.86559999999</v>
      </c>
      <c r="H34" s="499"/>
      <c r="I34" s="499"/>
      <c r="J34" s="208">
        <f t="shared" si="1"/>
        <v>0</v>
      </c>
      <c r="K34" s="208">
        <f>G34+J34</f>
        <v>115094.86559999999</v>
      </c>
      <c r="L34" s="283"/>
      <c r="M34" s="282">
        <f>M33+L34-K34</f>
        <v>779724.07059999974</v>
      </c>
      <c r="N34" s="282"/>
      <c r="O34" s="282"/>
    </row>
    <row r="35" spans="1:16">
      <c r="A35" s="193">
        <v>32</v>
      </c>
      <c r="B35" s="505">
        <v>46147</v>
      </c>
      <c r="C35" s="166" t="s">
        <v>375</v>
      </c>
      <c r="D35" s="499" t="s">
        <v>376</v>
      </c>
      <c r="E35" s="499">
        <v>45.64</v>
      </c>
      <c r="F35" s="499">
        <v>96.66</v>
      </c>
      <c r="G35" s="208">
        <f>E35*F35</f>
        <v>4411.5623999999998</v>
      </c>
      <c r="H35" s="499"/>
      <c r="I35" s="499"/>
      <c r="J35" s="208">
        <f t="shared" si="1"/>
        <v>0</v>
      </c>
      <c r="K35" s="208">
        <f>G35+J35</f>
        <v>4411.5623999999998</v>
      </c>
      <c r="L35" s="283"/>
      <c r="M35" s="282">
        <f>M34+L35-K35</f>
        <v>775312.50819999969</v>
      </c>
      <c r="N35" s="282"/>
      <c r="O35" s="282"/>
    </row>
    <row r="36" spans="1:16">
      <c r="A36" s="193">
        <v>33</v>
      </c>
      <c r="B36" s="505">
        <v>46147</v>
      </c>
      <c r="C36" s="166" t="s">
        <v>390</v>
      </c>
      <c r="D36" s="499" t="s">
        <v>376</v>
      </c>
      <c r="E36" s="208"/>
      <c r="F36" s="208"/>
      <c r="G36" s="208">
        <f>E36*F36</f>
        <v>0</v>
      </c>
      <c r="H36" s="499">
        <v>5</v>
      </c>
      <c r="I36" s="499">
        <v>109.94</v>
      </c>
      <c r="J36" s="208">
        <f t="shared" si="1"/>
        <v>549.70000000000005</v>
      </c>
      <c r="K36" s="208">
        <f>G36+J36</f>
        <v>549.70000000000005</v>
      </c>
      <c r="L36" s="283"/>
      <c r="M36" s="282">
        <f>M35+L36-K36</f>
        <v>774762.80819999974</v>
      </c>
      <c r="N36" s="282"/>
      <c r="O36" s="282"/>
    </row>
    <row r="37" spans="1:16">
      <c r="A37" s="418">
        <v>34</v>
      </c>
      <c r="B37" s="505">
        <v>46147</v>
      </c>
      <c r="C37" s="103" t="s">
        <v>393</v>
      </c>
      <c r="D37" s="499" t="s">
        <v>376</v>
      </c>
      <c r="E37" s="208"/>
      <c r="F37" s="208"/>
      <c r="G37" s="208">
        <f>E37*F37</f>
        <v>0</v>
      </c>
      <c r="H37" s="499">
        <v>5</v>
      </c>
      <c r="I37" s="499">
        <v>109.68</v>
      </c>
      <c r="J37" s="208">
        <f t="shared" si="1"/>
        <v>548.40000000000009</v>
      </c>
      <c r="K37" s="208">
        <f>G37+J37</f>
        <v>548.40000000000009</v>
      </c>
      <c r="L37" s="283"/>
      <c r="M37" s="282">
        <f>M36+L37-K37</f>
        <v>774214.40819999971</v>
      </c>
      <c r="N37" s="282"/>
      <c r="O37" s="282"/>
    </row>
    <row r="38" spans="1:16">
      <c r="A38" s="193">
        <v>35</v>
      </c>
      <c r="B38" s="505">
        <v>46147</v>
      </c>
      <c r="C38" s="103" t="s">
        <v>252</v>
      </c>
      <c r="D38" s="499" t="s">
        <v>376</v>
      </c>
      <c r="E38" s="499">
        <v>43.7</v>
      </c>
      <c r="F38" s="499">
        <v>97.71</v>
      </c>
      <c r="G38" s="208">
        <f>E38*F38</f>
        <v>4269.9269999999997</v>
      </c>
      <c r="H38" s="499"/>
      <c r="I38" s="499"/>
      <c r="J38" s="208">
        <f t="shared" si="1"/>
        <v>0</v>
      </c>
      <c r="K38" s="208">
        <f>G38+J38</f>
        <v>4269.9269999999997</v>
      </c>
      <c r="L38" s="283"/>
      <c r="M38" s="282">
        <f>M37+L38-K38</f>
        <v>769944.48119999969</v>
      </c>
      <c r="N38" s="282"/>
      <c r="O38" s="282"/>
    </row>
    <row r="39" spans="1:16">
      <c r="A39" s="193">
        <v>36</v>
      </c>
      <c r="B39" s="505">
        <v>46148</v>
      </c>
      <c r="C39" s="103" t="s">
        <v>382</v>
      </c>
      <c r="D39" s="499" t="s">
        <v>383</v>
      </c>
      <c r="E39" s="499">
        <v>1037.27</v>
      </c>
      <c r="F39" s="499">
        <v>96.42</v>
      </c>
      <c r="G39" s="208">
        <f>E39*F39</f>
        <v>100013.57339999999</v>
      </c>
      <c r="H39" s="499"/>
      <c r="I39" s="499"/>
      <c r="J39" s="208">
        <f t="shared" si="1"/>
        <v>0</v>
      </c>
      <c r="K39" s="208">
        <f>G39+J39</f>
        <v>100013.57339999999</v>
      </c>
      <c r="L39" s="283">
        <v>300000</v>
      </c>
      <c r="M39" s="282">
        <f>M38+L39-K39</f>
        <v>969930.90779999981</v>
      </c>
      <c r="N39" s="282"/>
      <c r="O39" s="282"/>
    </row>
    <row r="40" spans="1:16">
      <c r="A40" s="418">
        <v>37</v>
      </c>
      <c r="B40" s="505">
        <v>46148</v>
      </c>
      <c r="C40" s="103" t="s">
        <v>380</v>
      </c>
      <c r="D40" s="499" t="s">
        <v>368</v>
      </c>
      <c r="E40" s="499">
        <v>1500</v>
      </c>
      <c r="F40" s="499">
        <v>91.81</v>
      </c>
      <c r="G40" s="208">
        <f>E40*F40</f>
        <v>137715</v>
      </c>
      <c r="H40" s="499"/>
      <c r="I40" s="499"/>
      <c r="J40" s="208">
        <f t="shared" si="1"/>
        <v>0</v>
      </c>
      <c r="K40" s="208">
        <f>G40+J40</f>
        <v>137715</v>
      </c>
      <c r="L40" s="283"/>
      <c r="M40" s="282">
        <f>M39+L40-K40</f>
        <v>832215.90779999981</v>
      </c>
      <c r="N40" s="282"/>
      <c r="O40" s="282"/>
    </row>
    <row r="41" spans="1:16">
      <c r="A41" s="193">
        <v>38</v>
      </c>
      <c r="B41" s="505">
        <v>46148</v>
      </c>
      <c r="C41" s="103" t="s">
        <v>394</v>
      </c>
      <c r="D41" s="499" t="s">
        <v>395</v>
      </c>
      <c r="E41" s="499">
        <v>1100.3599999999999</v>
      </c>
      <c r="F41" s="499">
        <v>90.88</v>
      </c>
      <c r="G41" s="208">
        <f>E41*F41</f>
        <v>100000.71679999998</v>
      </c>
      <c r="H41" s="499"/>
      <c r="I41" s="499"/>
      <c r="J41" s="208">
        <f t="shared" si="1"/>
        <v>0</v>
      </c>
      <c r="K41" s="208">
        <f>G41+J41</f>
        <v>100000.71679999998</v>
      </c>
      <c r="L41" s="283"/>
      <c r="M41" s="282">
        <f>M40+L41-K41</f>
        <v>732215.19099999988</v>
      </c>
      <c r="N41" s="282"/>
      <c r="O41" s="282"/>
    </row>
    <row r="42" spans="1:16">
      <c r="A42" s="193">
        <v>39</v>
      </c>
      <c r="B42" s="505">
        <v>46148</v>
      </c>
      <c r="C42" s="103" t="s">
        <v>372</v>
      </c>
      <c r="D42" s="499" t="s">
        <v>378</v>
      </c>
      <c r="E42" s="208">
        <v>1686.19</v>
      </c>
      <c r="F42" s="208">
        <v>92.07</v>
      </c>
      <c r="G42" s="208">
        <f>E42*F42</f>
        <v>155247.51329999999</v>
      </c>
      <c r="H42" s="499"/>
      <c r="I42" s="499"/>
      <c r="J42" s="208">
        <f t="shared" si="1"/>
        <v>0</v>
      </c>
      <c r="K42" s="208">
        <f>G42+J42</f>
        <v>155247.51329999999</v>
      </c>
      <c r="L42" s="283"/>
      <c r="M42" s="282">
        <f>M41+L42-K42</f>
        <v>576967.67769999988</v>
      </c>
      <c r="N42" s="282"/>
      <c r="O42" s="282"/>
    </row>
    <row r="43" spans="1:16">
      <c r="A43" s="418">
        <v>40</v>
      </c>
      <c r="B43" s="506">
        <v>46148</v>
      </c>
      <c r="C43" s="454" t="s">
        <v>396</v>
      </c>
      <c r="D43" s="500" t="s">
        <v>378</v>
      </c>
      <c r="E43" s="208">
        <v>1530</v>
      </c>
      <c r="F43" s="208">
        <v>91.49</v>
      </c>
      <c r="G43" s="208">
        <f>E43*F43</f>
        <v>139979.69999999998</v>
      </c>
      <c r="H43" s="499"/>
      <c r="I43" s="499"/>
      <c r="J43" s="208">
        <f t="shared" si="1"/>
        <v>0</v>
      </c>
      <c r="K43" s="208">
        <f>G43+J43</f>
        <v>139979.69999999998</v>
      </c>
      <c r="L43" s="283"/>
      <c r="M43" s="282">
        <f>M42+L43-K43</f>
        <v>436987.97769999993</v>
      </c>
      <c r="N43" s="282"/>
      <c r="O43" s="282"/>
    </row>
    <row r="44" spans="1:16">
      <c r="A44" s="480">
        <v>41</v>
      </c>
      <c r="B44" s="505">
        <v>46148</v>
      </c>
      <c r="C44" s="103" t="s">
        <v>397</v>
      </c>
      <c r="D44" s="499" t="s">
        <v>376</v>
      </c>
      <c r="E44" s="513"/>
      <c r="F44" s="213"/>
      <c r="G44" s="208">
        <f>E44*F44</f>
        <v>0</v>
      </c>
      <c r="H44" s="499">
        <v>15</v>
      </c>
      <c r="I44" s="499">
        <v>108.86</v>
      </c>
      <c r="J44" s="208">
        <f t="shared" si="1"/>
        <v>1632.9</v>
      </c>
      <c r="K44" s="208">
        <f>G44+J44</f>
        <v>1632.9</v>
      </c>
      <c r="L44" s="283"/>
      <c r="M44" s="282">
        <f>M43+L44-K44</f>
        <v>435355.07769999991</v>
      </c>
      <c r="N44" s="282"/>
      <c r="O44" s="282">
        <v>564582.48</v>
      </c>
      <c r="P44" s="379">
        <f>O44-M44</f>
        <v>129227.40230000007</v>
      </c>
    </row>
    <row r="45" spans="1:16">
      <c r="A45" s="480">
        <v>42</v>
      </c>
      <c r="B45" s="505">
        <v>46149</v>
      </c>
      <c r="C45" s="103" t="s">
        <v>211</v>
      </c>
      <c r="D45" s="499" t="s">
        <v>376</v>
      </c>
      <c r="E45" s="514">
        <v>46.87</v>
      </c>
      <c r="F45" s="499">
        <v>97.49</v>
      </c>
      <c r="G45" s="208">
        <f>E45*F45</f>
        <v>4569.3562999999995</v>
      </c>
      <c r="H45" s="499"/>
      <c r="I45" s="499"/>
      <c r="J45" s="208">
        <f t="shared" si="1"/>
        <v>0</v>
      </c>
      <c r="K45" s="208">
        <f>G45+J45</f>
        <v>4569.3562999999995</v>
      </c>
      <c r="L45" s="283"/>
      <c r="M45" s="282">
        <f>M44+L45-K45</f>
        <v>430785.72139999992</v>
      </c>
      <c r="N45" s="282"/>
      <c r="O45" s="282"/>
    </row>
    <row r="46" spans="1:16">
      <c r="A46" s="510">
        <v>43</v>
      </c>
      <c r="B46" s="505">
        <v>46149</v>
      </c>
      <c r="C46" s="103" t="s">
        <v>398</v>
      </c>
      <c r="D46" s="499" t="s">
        <v>376</v>
      </c>
      <c r="E46" s="515">
        <v>48.23</v>
      </c>
      <c r="F46" s="523">
        <v>97.34</v>
      </c>
      <c r="G46" s="208">
        <f>E46*F46</f>
        <v>4694.7082</v>
      </c>
      <c r="H46" s="500"/>
      <c r="I46" s="499"/>
      <c r="J46" s="208">
        <f t="shared" si="1"/>
        <v>0</v>
      </c>
      <c r="K46" s="208">
        <f>G46+J46</f>
        <v>4694.7082</v>
      </c>
      <c r="L46" s="283"/>
      <c r="M46" s="282">
        <f>M45+L46-K46</f>
        <v>426091.01319999993</v>
      </c>
      <c r="N46" s="282">
        <v>458115.19</v>
      </c>
      <c r="O46" s="282">
        <f>N46-M46</f>
        <v>32024.176800000074</v>
      </c>
    </row>
    <row r="47" spans="1:16">
      <c r="A47" s="480">
        <v>44</v>
      </c>
      <c r="B47" s="505">
        <v>46149</v>
      </c>
      <c r="C47" s="103" t="s">
        <v>397</v>
      </c>
      <c r="D47" s="499" t="s">
        <v>376</v>
      </c>
      <c r="E47" s="516"/>
      <c r="F47" s="213"/>
      <c r="G47" s="208">
        <f>E47*F47</f>
        <v>0</v>
      </c>
      <c r="H47" s="499">
        <v>5</v>
      </c>
      <c r="I47" s="523">
        <v>108.86</v>
      </c>
      <c r="J47" s="208">
        <f t="shared" si="1"/>
        <v>544.29999999999995</v>
      </c>
      <c r="K47" s="208">
        <f>G47+J47</f>
        <v>544.29999999999995</v>
      </c>
      <c r="L47" s="283"/>
      <c r="M47" s="282">
        <f>M46+L47-K47</f>
        <v>425546.71319999994</v>
      </c>
      <c r="N47" s="282"/>
      <c r="O47" s="282"/>
    </row>
    <row r="48" spans="1:16">
      <c r="A48" s="480">
        <v>45</v>
      </c>
      <c r="B48" s="505">
        <v>46150</v>
      </c>
      <c r="C48" s="103" t="s">
        <v>372</v>
      </c>
      <c r="D48" s="499" t="s">
        <v>373</v>
      </c>
      <c r="E48" s="514">
        <v>60</v>
      </c>
      <c r="F48" s="499">
        <v>92.07</v>
      </c>
      <c r="G48" s="208">
        <f>E48*F48</f>
        <v>5524.2</v>
      </c>
      <c r="H48" s="501"/>
      <c r="I48" s="499"/>
      <c r="J48" s="208">
        <f t="shared" si="1"/>
        <v>0</v>
      </c>
      <c r="K48" s="208">
        <f>G48+J48</f>
        <v>5524.2</v>
      </c>
      <c r="L48" s="283">
        <v>200000</v>
      </c>
      <c r="M48" s="282">
        <f>M47+L48-K48</f>
        <v>620022.51319999993</v>
      </c>
      <c r="N48" s="282"/>
      <c r="O48" s="282"/>
    </row>
    <row r="49" spans="1:15">
      <c r="A49" s="510">
        <v>46</v>
      </c>
      <c r="B49" s="505">
        <v>46150</v>
      </c>
      <c r="C49" s="103" t="s">
        <v>399</v>
      </c>
      <c r="D49" s="499" t="s">
        <v>376</v>
      </c>
      <c r="E49" s="515">
        <v>46.45</v>
      </c>
      <c r="F49" s="523">
        <v>96.87</v>
      </c>
      <c r="G49" s="208">
        <f>E49*F49</f>
        <v>4499.6115000000009</v>
      </c>
      <c r="H49" s="502"/>
      <c r="I49" s="499"/>
      <c r="J49" s="208">
        <f t="shared" si="1"/>
        <v>0</v>
      </c>
      <c r="K49" s="208">
        <f>G49+J49</f>
        <v>4499.6115000000009</v>
      </c>
      <c r="L49" s="283"/>
      <c r="M49" s="282">
        <f>M48+L49-K49</f>
        <v>615522.90169999993</v>
      </c>
      <c r="N49" s="282"/>
      <c r="O49" s="282"/>
    </row>
    <row r="50" spans="1:15">
      <c r="A50" s="480">
        <v>47</v>
      </c>
      <c r="B50" s="505">
        <v>46150</v>
      </c>
      <c r="C50" s="103" t="s">
        <v>400</v>
      </c>
      <c r="D50" s="499" t="s">
        <v>376</v>
      </c>
      <c r="E50" s="517"/>
      <c r="F50" s="499"/>
      <c r="G50" s="208">
        <f>E50*F50</f>
        <v>0</v>
      </c>
      <c r="H50" s="47">
        <v>5.01</v>
      </c>
      <c r="I50" s="523">
        <v>109.7</v>
      </c>
      <c r="J50" s="208">
        <f t="shared" si="1"/>
        <v>549.59699999999998</v>
      </c>
      <c r="K50" s="208">
        <f>G50+J50</f>
        <v>549.59699999999998</v>
      </c>
      <c r="L50" s="283"/>
      <c r="M50" s="282">
        <f>M49+L50-K50</f>
        <v>614973.30469999998</v>
      </c>
      <c r="N50" s="282"/>
      <c r="O50" s="282"/>
    </row>
    <row r="51" spans="1:15">
      <c r="A51" s="480">
        <v>48</v>
      </c>
      <c r="B51" s="505">
        <v>46150</v>
      </c>
      <c r="C51" s="103" t="s">
        <v>252</v>
      </c>
      <c r="D51" s="499" t="s">
        <v>376</v>
      </c>
      <c r="E51" s="515">
        <v>101.97</v>
      </c>
      <c r="F51" s="523">
        <v>97.71</v>
      </c>
      <c r="G51" s="208">
        <f>E51*F51</f>
        <v>9963.4886999999999</v>
      </c>
      <c r="H51" s="525"/>
      <c r="I51" s="499"/>
      <c r="J51" s="208">
        <f t="shared" si="1"/>
        <v>0</v>
      </c>
      <c r="K51" s="208">
        <f>G51+J51</f>
        <v>9963.4886999999999</v>
      </c>
      <c r="L51" s="283"/>
      <c r="M51" s="282">
        <f>M50+L51-K51</f>
        <v>605009.81599999999</v>
      </c>
      <c r="N51" s="282"/>
      <c r="O51" s="282"/>
    </row>
    <row r="52" spans="1:15">
      <c r="A52" s="510">
        <v>49</v>
      </c>
      <c r="B52" s="505">
        <v>46151</v>
      </c>
      <c r="C52" s="103" t="s">
        <v>401</v>
      </c>
      <c r="D52" s="499" t="s">
        <v>40</v>
      </c>
      <c r="E52" s="515"/>
      <c r="F52" s="499"/>
      <c r="G52" s="208">
        <f>E52*F52</f>
        <v>0</v>
      </c>
      <c r="H52" s="499">
        <v>3.63</v>
      </c>
      <c r="I52" s="523">
        <v>107.46</v>
      </c>
      <c r="J52" s="208">
        <f t="shared" si="1"/>
        <v>390.07979999999998</v>
      </c>
      <c r="K52" s="208">
        <f>G52+J52</f>
        <v>390.07979999999998</v>
      </c>
      <c r="L52" s="283"/>
      <c r="M52" s="282">
        <f>M51+L52-K52</f>
        <v>604619.73620000004</v>
      </c>
      <c r="N52" s="282"/>
      <c r="O52" s="282"/>
    </row>
    <row r="53" spans="1:15">
      <c r="A53" s="480">
        <v>50</v>
      </c>
      <c r="B53" s="505">
        <v>46151</v>
      </c>
      <c r="C53" s="103" t="s">
        <v>402</v>
      </c>
      <c r="D53" s="499" t="s">
        <v>376</v>
      </c>
      <c r="E53" s="515">
        <v>81.760000000000005</v>
      </c>
      <c r="F53" s="523">
        <v>86.75</v>
      </c>
      <c r="G53" s="208">
        <f>E53*F53</f>
        <v>7092.68</v>
      </c>
      <c r="H53" s="501"/>
      <c r="I53" s="499"/>
      <c r="J53" s="208">
        <f t="shared" si="1"/>
        <v>0</v>
      </c>
      <c r="K53" s="208">
        <f>G53+J53</f>
        <v>7092.68</v>
      </c>
      <c r="L53" s="283"/>
      <c r="M53" s="282">
        <f>M52+L53-K53</f>
        <v>597527.05619999999</v>
      </c>
      <c r="N53" s="282"/>
      <c r="O53" s="282"/>
    </row>
    <row r="54" spans="1:15">
      <c r="A54" s="480">
        <v>51</v>
      </c>
      <c r="B54" s="505">
        <v>46152</v>
      </c>
      <c r="C54" s="454" t="s">
        <v>380</v>
      </c>
      <c r="D54" s="500" t="s">
        <v>368</v>
      </c>
      <c r="E54" s="513">
        <v>2200</v>
      </c>
      <c r="F54" s="523">
        <v>91.81</v>
      </c>
      <c r="G54" s="208">
        <f>E54*F54</f>
        <v>201982</v>
      </c>
      <c r="H54" s="500"/>
      <c r="I54" s="500"/>
      <c r="J54" s="213">
        <f t="shared" si="1"/>
        <v>0</v>
      </c>
      <c r="K54" s="208">
        <f>G54+J54</f>
        <v>201982</v>
      </c>
      <c r="L54" s="283"/>
      <c r="M54" s="282">
        <f>M53+L54-K54</f>
        <v>395545.05619999999</v>
      </c>
      <c r="N54" s="282"/>
      <c r="O54" s="282"/>
    </row>
    <row r="55" spans="1:15">
      <c r="A55" s="425">
        <v>52</v>
      </c>
      <c r="B55" s="507">
        <v>46152</v>
      </c>
      <c r="C55" s="103" t="s">
        <v>390</v>
      </c>
      <c r="D55" s="499" t="s">
        <v>376</v>
      </c>
      <c r="E55" s="499"/>
      <c r="F55" s="499"/>
      <c r="G55" s="208">
        <f>E55*F55</f>
        <v>0</v>
      </c>
      <c r="H55" s="499">
        <v>5</v>
      </c>
      <c r="I55" s="499">
        <v>109.94</v>
      </c>
      <c r="J55" s="208">
        <f t="shared" si="1"/>
        <v>549.70000000000005</v>
      </c>
      <c r="K55" s="208">
        <f>G55+J55</f>
        <v>549.70000000000005</v>
      </c>
      <c r="L55" s="457"/>
      <c r="M55" s="282">
        <f>M54+L55-K55</f>
        <v>394995.35619999998</v>
      </c>
      <c r="N55" s="282"/>
      <c r="O55" s="282"/>
    </row>
    <row r="56" spans="1:15">
      <c r="A56" s="193">
        <v>53</v>
      </c>
      <c r="B56" s="508">
        <v>46153</v>
      </c>
      <c r="C56" s="103" t="s">
        <v>401</v>
      </c>
      <c r="D56" s="499" t="s">
        <v>40</v>
      </c>
      <c r="E56" s="499"/>
      <c r="F56" s="499"/>
      <c r="G56" s="208">
        <f>E56*F56</f>
        <v>0</v>
      </c>
      <c r="H56" s="499">
        <v>5.86</v>
      </c>
      <c r="I56" s="499">
        <v>107.46</v>
      </c>
      <c r="J56" s="208">
        <f t="shared" si="1"/>
        <v>629.71559999999999</v>
      </c>
      <c r="K56" s="208">
        <f>G56+J56</f>
        <v>629.71559999999999</v>
      </c>
      <c r="L56" s="458"/>
      <c r="M56" s="284">
        <f>M55+L56-K56</f>
        <v>394365.64059999998</v>
      </c>
      <c r="N56" s="282"/>
      <c r="O56" s="282"/>
    </row>
    <row r="57" spans="1:15" ht="15" customHeight="1">
      <c r="A57" s="193">
        <v>54</v>
      </c>
      <c r="B57" s="508">
        <v>46153</v>
      </c>
      <c r="C57" s="103" t="s">
        <v>372</v>
      </c>
      <c r="D57" s="499" t="s">
        <v>373</v>
      </c>
      <c r="E57" s="499">
        <v>30</v>
      </c>
      <c r="F57" s="499">
        <v>92.07</v>
      </c>
      <c r="G57" s="208">
        <f>E57*F57</f>
        <v>2762.1</v>
      </c>
      <c r="H57" s="499">
        <v>6</v>
      </c>
      <c r="I57" s="499">
        <v>103.82</v>
      </c>
      <c r="J57" s="208">
        <f t="shared" si="1"/>
        <v>622.91999999999996</v>
      </c>
      <c r="K57" s="208">
        <f>G57+J57</f>
        <v>3385.02</v>
      </c>
      <c r="L57" s="458"/>
      <c r="M57" s="284">
        <f>M56+L57-K57</f>
        <v>390980.62059999997</v>
      </c>
      <c r="N57" s="282"/>
      <c r="O57" s="282"/>
    </row>
    <row r="58" spans="1:15" ht="15" customHeight="1">
      <c r="A58" s="193">
        <v>55</v>
      </c>
      <c r="B58" s="508">
        <v>46154</v>
      </c>
      <c r="C58" s="103" t="s">
        <v>403</v>
      </c>
      <c r="D58" s="499" t="s">
        <v>48</v>
      </c>
      <c r="E58" s="499">
        <v>54.89</v>
      </c>
      <c r="F58" s="499">
        <v>95.82</v>
      </c>
      <c r="G58" s="208">
        <f>E58*F58</f>
        <v>5259.5598</v>
      </c>
      <c r="H58" s="499"/>
      <c r="I58" s="499"/>
      <c r="J58" s="208">
        <f t="shared" si="1"/>
        <v>0</v>
      </c>
      <c r="K58" s="208">
        <f>G58+J58</f>
        <v>5259.5598</v>
      </c>
      <c r="L58" s="458"/>
      <c r="M58" s="284">
        <f>M57+L58-K58</f>
        <v>385721.06079999998</v>
      </c>
      <c r="N58" s="282"/>
      <c r="O58" s="282"/>
    </row>
    <row r="59" spans="1:15" ht="15" customHeight="1">
      <c r="A59" s="193">
        <v>56</v>
      </c>
      <c r="B59" s="508">
        <v>46154</v>
      </c>
      <c r="C59" s="103" t="s">
        <v>390</v>
      </c>
      <c r="D59" s="499" t="s">
        <v>376</v>
      </c>
      <c r="E59" s="499">
        <v>51.84</v>
      </c>
      <c r="F59" s="499">
        <v>97.71</v>
      </c>
      <c r="G59" s="208">
        <f>E59*F59</f>
        <v>5065.2864</v>
      </c>
      <c r="H59" s="499"/>
      <c r="I59" s="499"/>
      <c r="J59" s="208">
        <f t="shared" si="1"/>
        <v>0</v>
      </c>
      <c r="K59" s="208">
        <f>G59+J59</f>
        <v>5065.2864</v>
      </c>
      <c r="L59" s="458"/>
      <c r="M59" s="284">
        <f>M58+L59-K59</f>
        <v>380655.77439999999</v>
      </c>
      <c r="N59" s="282"/>
      <c r="O59" s="282"/>
    </row>
    <row r="60" spans="1:15" ht="15" customHeight="1">
      <c r="A60" s="193">
        <v>57</v>
      </c>
      <c r="B60" s="508">
        <v>46155</v>
      </c>
      <c r="C60" s="103" t="s">
        <v>380</v>
      </c>
      <c r="D60" s="499" t="s">
        <v>368</v>
      </c>
      <c r="E60" s="499">
        <v>2000</v>
      </c>
      <c r="F60" s="499">
        <v>91.81</v>
      </c>
      <c r="G60" s="208">
        <f>E60*F60</f>
        <v>183620</v>
      </c>
      <c r="H60" s="499"/>
      <c r="I60" s="499"/>
      <c r="J60" s="208">
        <f t="shared" si="1"/>
        <v>0</v>
      </c>
      <c r="K60" s="208">
        <f>G60+J60</f>
        <v>183620</v>
      </c>
      <c r="L60" s="458"/>
      <c r="M60" s="284">
        <f>M59+L60-K60</f>
        <v>197035.77439999999</v>
      </c>
      <c r="N60" s="282"/>
      <c r="O60" s="282"/>
    </row>
    <row r="61" spans="1:15" ht="15" customHeight="1">
      <c r="A61" s="193">
        <v>58</v>
      </c>
      <c r="B61" s="508">
        <v>46155</v>
      </c>
      <c r="C61" s="103" t="s">
        <v>404</v>
      </c>
      <c r="D61" s="499" t="s">
        <v>376</v>
      </c>
      <c r="E61" s="499">
        <v>50.99</v>
      </c>
      <c r="F61" s="499">
        <v>96.88</v>
      </c>
      <c r="G61" s="208">
        <f>E61*F61</f>
        <v>4939.9111999999996</v>
      </c>
      <c r="H61" s="499"/>
      <c r="I61" s="499"/>
      <c r="J61" s="208">
        <f t="shared" si="1"/>
        <v>0</v>
      </c>
      <c r="K61" s="208">
        <f>G61+J61</f>
        <v>4939.9111999999996</v>
      </c>
      <c r="L61" s="458"/>
      <c r="M61" s="284">
        <f>M60+L61-K61</f>
        <v>192095.86319999999</v>
      </c>
      <c r="N61" s="282"/>
      <c r="O61" s="282"/>
    </row>
    <row r="62" spans="1:15" ht="15" customHeight="1">
      <c r="A62" s="193">
        <v>59</v>
      </c>
      <c r="B62" s="508">
        <v>46155</v>
      </c>
      <c r="C62" s="103" t="s">
        <v>390</v>
      </c>
      <c r="D62" s="499" t="s">
        <v>376</v>
      </c>
      <c r="E62" s="499">
        <v>50</v>
      </c>
      <c r="F62" s="499">
        <v>97.71</v>
      </c>
      <c r="G62" s="208">
        <f>E62*F62</f>
        <v>4885.5</v>
      </c>
      <c r="H62" s="499">
        <v>10</v>
      </c>
      <c r="I62" s="499">
        <v>109.94</v>
      </c>
      <c r="J62" s="208">
        <f t="shared" si="1"/>
        <v>1099.4000000000001</v>
      </c>
      <c r="K62" s="208">
        <f>G62+J62</f>
        <v>5984.9</v>
      </c>
      <c r="L62" s="458"/>
      <c r="M62" s="284">
        <f>M61+L62-K62</f>
        <v>186110.9632</v>
      </c>
      <c r="N62" s="282"/>
      <c r="O62" s="282"/>
    </row>
    <row r="63" spans="1:15">
      <c r="A63" s="418">
        <v>60</v>
      </c>
      <c r="B63" s="508">
        <v>46156</v>
      </c>
      <c r="C63" s="103" t="s">
        <v>380</v>
      </c>
      <c r="D63" s="499" t="s">
        <v>368</v>
      </c>
      <c r="E63" s="208">
        <v>2000</v>
      </c>
      <c r="F63" s="499">
        <v>91.81</v>
      </c>
      <c r="G63" s="208">
        <f>E63*F63</f>
        <v>183620</v>
      </c>
      <c r="H63" s="499"/>
      <c r="I63" s="499"/>
      <c r="J63" s="208">
        <f t="shared" si="1"/>
        <v>0</v>
      </c>
      <c r="K63" s="208">
        <f>G63+J63</f>
        <v>183620</v>
      </c>
      <c r="L63" s="458"/>
      <c r="M63" s="284">
        <f>M62+L63-K63</f>
        <v>2490.9631999999983</v>
      </c>
      <c r="N63" s="282"/>
      <c r="O63" s="282"/>
    </row>
    <row r="64" spans="1:15">
      <c r="A64" s="511">
        <v>61</v>
      </c>
      <c r="B64" s="509">
        <v>46156</v>
      </c>
      <c r="C64" s="103" t="s">
        <v>385</v>
      </c>
      <c r="D64" s="499" t="s">
        <v>373</v>
      </c>
      <c r="E64" s="208">
        <v>40</v>
      </c>
      <c r="F64" s="499">
        <v>92.06</v>
      </c>
      <c r="G64" s="208">
        <f>E64*F64</f>
        <v>3682.4</v>
      </c>
      <c r="H64" s="499"/>
      <c r="I64" s="499"/>
      <c r="J64" s="208">
        <f t="shared" si="1"/>
        <v>0</v>
      </c>
      <c r="K64" s="208">
        <f>G64+J64</f>
        <v>3682.4</v>
      </c>
      <c r="L64" s="459"/>
      <c r="M64" s="284">
        <f>M63+L64-K64</f>
        <v>-1191.4368000000018</v>
      </c>
      <c r="N64" s="282"/>
      <c r="O64" s="282"/>
    </row>
    <row r="65" spans="1:15">
      <c r="A65" s="480">
        <v>62</v>
      </c>
      <c r="B65" s="508">
        <v>46156</v>
      </c>
      <c r="C65" s="103" t="s">
        <v>405</v>
      </c>
      <c r="D65" s="499" t="s">
        <v>53</v>
      </c>
      <c r="E65" s="499">
        <v>48</v>
      </c>
      <c r="F65" s="499">
        <v>90.98</v>
      </c>
      <c r="G65" s="208">
        <f>E65*F65</f>
        <v>4367.04</v>
      </c>
      <c r="H65" s="499"/>
      <c r="I65" s="499"/>
      <c r="J65" s="208">
        <f t="shared" si="1"/>
        <v>0</v>
      </c>
      <c r="K65" s="208">
        <f>G65+J65</f>
        <v>4367.04</v>
      </c>
      <c r="L65" s="458"/>
      <c r="M65" s="284">
        <f>M64+L65-K65</f>
        <v>-5558.4768000000022</v>
      </c>
      <c r="N65" s="282"/>
      <c r="O65" s="282"/>
    </row>
    <row r="66" spans="1:15">
      <c r="A66" s="510">
        <v>63</v>
      </c>
      <c r="B66" s="505">
        <v>46156</v>
      </c>
      <c r="C66" s="297" t="s">
        <v>406</v>
      </c>
      <c r="D66" s="501" t="s">
        <v>376</v>
      </c>
      <c r="E66" s="517">
        <v>45.31</v>
      </c>
      <c r="F66" s="523">
        <v>97.47</v>
      </c>
      <c r="G66" s="208">
        <f>E66*F66</f>
        <v>4416.3657000000003</v>
      </c>
      <c r="H66" s="526"/>
      <c r="I66" s="501"/>
      <c r="J66" s="251">
        <f t="shared" si="1"/>
        <v>0</v>
      </c>
      <c r="K66" s="208">
        <f>G66+J66</f>
        <v>4416.3657000000003</v>
      </c>
      <c r="L66" s="283"/>
      <c r="M66" s="284">
        <f>M65+L66-K66</f>
        <v>-9974.8425000000025</v>
      </c>
      <c r="N66" s="282"/>
      <c r="O66" s="282"/>
    </row>
    <row r="67" spans="1:15">
      <c r="A67" s="480">
        <v>64</v>
      </c>
      <c r="B67" s="505">
        <v>46157</v>
      </c>
      <c r="C67" s="103" t="s">
        <v>401</v>
      </c>
      <c r="D67" s="499" t="s">
        <v>40</v>
      </c>
      <c r="E67" s="516"/>
      <c r="F67" s="213"/>
      <c r="G67" s="208">
        <f>E67*F67</f>
        <v>0</v>
      </c>
      <c r="H67" s="499">
        <v>4.0599999999999996</v>
      </c>
      <c r="I67" s="523">
        <v>110.85</v>
      </c>
      <c r="J67" s="208">
        <f t="shared" si="1"/>
        <v>450.05099999999993</v>
      </c>
      <c r="K67" s="208">
        <f>G67+J67</f>
        <v>450.05099999999993</v>
      </c>
      <c r="L67" s="283">
        <v>300000</v>
      </c>
      <c r="M67" s="284">
        <f>M66+L67-K67</f>
        <v>289575.10649999999</v>
      </c>
      <c r="N67" s="282"/>
      <c r="O67" s="282"/>
    </row>
    <row r="68" spans="1:15">
      <c r="A68" s="480">
        <v>65</v>
      </c>
      <c r="B68" s="505">
        <v>46157</v>
      </c>
      <c r="C68" s="103" t="s">
        <v>380</v>
      </c>
      <c r="D68" s="499" t="s">
        <v>368</v>
      </c>
      <c r="E68" s="518">
        <v>2500</v>
      </c>
      <c r="F68" s="499">
        <v>94.92</v>
      </c>
      <c r="G68" s="208">
        <f>E68*F68</f>
        <v>237300</v>
      </c>
      <c r="H68" s="526"/>
      <c r="I68" s="500"/>
      <c r="J68" s="208">
        <f t="shared" si="1"/>
        <v>0</v>
      </c>
      <c r="K68" s="208">
        <f>G68+J68</f>
        <v>237300</v>
      </c>
      <c r="L68" s="283"/>
      <c r="M68" s="284">
        <f>M67+L68-K68</f>
        <v>52275.106499999994</v>
      </c>
      <c r="N68" s="282"/>
      <c r="O68" s="282"/>
    </row>
    <row r="69" spans="1:15">
      <c r="A69" s="510">
        <v>66</v>
      </c>
      <c r="B69" s="505">
        <v>46157</v>
      </c>
      <c r="C69" s="103" t="s">
        <v>372</v>
      </c>
      <c r="D69" s="499" t="s">
        <v>373</v>
      </c>
      <c r="E69" s="519">
        <v>37.99</v>
      </c>
      <c r="F69" s="523">
        <v>95.18</v>
      </c>
      <c r="G69" s="208">
        <f>E69*F69</f>
        <v>3615.8882000000003</v>
      </c>
      <c r="H69" s="503">
        <v>5</v>
      </c>
      <c r="I69" s="500">
        <v>107.07</v>
      </c>
      <c r="J69" s="208">
        <f t="shared" si="1"/>
        <v>535.34999999999991</v>
      </c>
      <c r="K69" s="208">
        <f>G69+J69</f>
        <v>4151.2381999999998</v>
      </c>
      <c r="L69" s="283"/>
      <c r="M69" s="284">
        <f>M68+L69-K69</f>
        <v>48123.868299999995</v>
      </c>
      <c r="N69" s="282"/>
      <c r="O69" s="282"/>
    </row>
    <row r="70" spans="1:15">
      <c r="A70" s="480">
        <v>67</v>
      </c>
      <c r="B70" s="505">
        <v>46157</v>
      </c>
      <c r="C70" s="103" t="s">
        <v>390</v>
      </c>
      <c r="D70" s="499" t="s">
        <v>376</v>
      </c>
      <c r="E70" s="519"/>
      <c r="F70" s="208"/>
      <c r="G70" s="208">
        <f>E70*F70</f>
        <v>0</v>
      </c>
      <c r="H70" s="503">
        <v>5</v>
      </c>
      <c r="I70" s="499">
        <v>113.22</v>
      </c>
      <c r="J70" s="208">
        <f t="shared" si="1"/>
        <v>566.1</v>
      </c>
      <c r="K70" s="208">
        <f>G70+J70</f>
        <v>566.1</v>
      </c>
      <c r="L70" s="283"/>
      <c r="M70" s="284">
        <f>M69+L70-K70</f>
        <v>47557.768299999996</v>
      </c>
      <c r="N70" s="362"/>
      <c r="O70" s="282"/>
    </row>
    <row r="71" spans="1:15">
      <c r="A71" s="480">
        <v>68</v>
      </c>
      <c r="B71" s="505">
        <v>46157</v>
      </c>
      <c r="C71" s="103" t="s">
        <v>393</v>
      </c>
      <c r="D71" s="499" t="s">
        <v>376</v>
      </c>
      <c r="E71" s="520"/>
      <c r="F71" s="500"/>
      <c r="G71" s="208">
        <f>E71*F71</f>
        <v>0</v>
      </c>
      <c r="H71" s="499">
        <v>5</v>
      </c>
      <c r="I71" s="523">
        <v>112.96</v>
      </c>
      <c r="J71" s="208">
        <f t="shared" si="1"/>
        <v>564.79999999999995</v>
      </c>
      <c r="K71" s="208">
        <f>G71+J71</f>
        <v>564.79999999999995</v>
      </c>
      <c r="L71" s="283"/>
      <c r="M71" s="284">
        <f>M70+L71-K71</f>
        <v>46992.968299999993</v>
      </c>
      <c r="N71" s="183"/>
      <c r="O71" s="183"/>
    </row>
    <row r="72" spans="1:15">
      <c r="A72" s="510">
        <v>69</v>
      </c>
      <c r="B72" s="505">
        <v>46157</v>
      </c>
      <c r="C72" s="103" t="s">
        <v>252</v>
      </c>
      <c r="D72" s="499" t="s">
        <v>376</v>
      </c>
      <c r="E72" s="521">
        <v>48.42</v>
      </c>
      <c r="F72" s="499">
        <v>100.85</v>
      </c>
      <c r="G72" s="208">
        <f>E72*F72</f>
        <v>4883.1570000000002</v>
      </c>
      <c r="H72" s="501"/>
      <c r="I72" s="499"/>
      <c r="J72" s="208">
        <f t="shared" si="1"/>
        <v>0</v>
      </c>
      <c r="K72" s="208">
        <f>G72+J72</f>
        <v>4883.1570000000002</v>
      </c>
      <c r="L72" s="283"/>
      <c r="M72" s="284">
        <f>M71+L72-K72</f>
        <v>42109.811299999994</v>
      </c>
      <c r="N72" s="183"/>
      <c r="O72" s="183"/>
    </row>
    <row r="73" spans="1:15">
      <c r="A73" s="433">
        <v>70</v>
      </c>
      <c r="B73" s="506">
        <v>46157</v>
      </c>
      <c r="C73" s="454" t="s">
        <v>402</v>
      </c>
      <c r="D73" s="500" t="s">
        <v>376</v>
      </c>
      <c r="E73" s="522">
        <v>51.37</v>
      </c>
      <c r="F73" s="523">
        <v>89.67</v>
      </c>
      <c r="G73" s="208">
        <f>E73*F73</f>
        <v>4606.3478999999998</v>
      </c>
      <c r="H73" s="213"/>
      <c r="I73" s="213"/>
      <c r="J73" s="213">
        <f t="shared" si="1"/>
        <v>0</v>
      </c>
      <c r="K73" s="208">
        <f>G73+J73</f>
        <v>4606.3478999999998</v>
      </c>
      <c r="L73" s="460"/>
      <c r="M73" s="284">
        <f>M72+L73-K73</f>
        <v>37503.463399999993</v>
      </c>
      <c r="N73" s="183"/>
      <c r="O73" s="183"/>
    </row>
    <row r="74" spans="1:15">
      <c r="A74" s="193">
        <v>71</v>
      </c>
      <c r="B74" s="505">
        <v>46158</v>
      </c>
      <c r="C74" s="44" t="s">
        <v>372</v>
      </c>
      <c r="D74" s="47" t="s">
        <v>373</v>
      </c>
      <c r="E74" s="47">
        <v>35</v>
      </c>
      <c r="F74" s="47">
        <v>95.18</v>
      </c>
      <c r="G74" s="208">
        <f>E74*F74</f>
        <v>3331.3</v>
      </c>
      <c r="H74" s="208">
        <v>11.17</v>
      </c>
      <c r="I74" s="47">
        <v>107.07</v>
      </c>
      <c r="J74" s="208">
        <f t="shared" ref="J73:J136" si="2">H74*I74</f>
        <v>1195.9719</v>
      </c>
      <c r="K74" s="208">
        <f>G74+J74</f>
        <v>4527.2718999999997</v>
      </c>
      <c r="L74" s="283"/>
      <c r="M74" s="284">
        <f>M73+L74-K74</f>
        <v>32976.191499999994</v>
      </c>
      <c r="N74" s="183"/>
      <c r="O74" s="183"/>
    </row>
    <row r="75" spans="1:15">
      <c r="A75" s="418">
        <v>72</v>
      </c>
      <c r="B75" s="505">
        <v>46158</v>
      </c>
      <c r="C75" s="44" t="s">
        <v>211</v>
      </c>
      <c r="D75" s="47" t="s">
        <v>376</v>
      </c>
      <c r="E75" s="47">
        <v>46.1</v>
      </c>
      <c r="F75" s="47">
        <v>100.63</v>
      </c>
      <c r="G75" s="208">
        <f>E75*F75</f>
        <v>4639.0429999999997</v>
      </c>
      <c r="H75" s="208"/>
      <c r="I75" s="208"/>
      <c r="J75" s="208">
        <f t="shared" si="2"/>
        <v>0</v>
      </c>
      <c r="K75" s="208">
        <f>G75+J75</f>
        <v>4639.0429999999997</v>
      </c>
      <c r="L75" s="283"/>
      <c r="M75" s="284">
        <f>M74+L75-K75</f>
        <v>28337.148499999996</v>
      </c>
      <c r="N75" s="183"/>
      <c r="O75" s="183"/>
    </row>
    <row r="76" spans="1:15">
      <c r="A76" s="193">
        <v>73</v>
      </c>
      <c r="B76" s="505">
        <v>46159</v>
      </c>
      <c r="C76" s="44" t="s">
        <v>372</v>
      </c>
      <c r="D76" s="47" t="s">
        <v>373</v>
      </c>
      <c r="E76" s="47">
        <v>25</v>
      </c>
      <c r="F76" s="47">
        <v>95.18</v>
      </c>
      <c r="G76" s="208">
        <f>E76*F76</f>
        <v>2379.5</v>
      </c>
      <c r="H76" s="499"/>
      <c r="I76" s="499"/>
      <c r="J76" s="208">
        <f t="shared" si="2"/>
        <v>0</v>
      </c>
      <c r="K76" s="208">
        <f>G76+J76</f>
        <v>2379.5</v>
      </c>
      <c r="L76" s="283"/>
      <c r="M76" s="284">
        <f>M75+L76-K76</f>
        <v>25957.648499999996</v>
      </c>
      <c r="N76" s="183"/>
      <c r="O76" s="183"/>
    </row>
    <row r="77" spans="1:15">
      <c r="A77" s="193">
        <v>74</v>
      </c>
      <c r="B77" s="505">
        <v>46159</v>
      </c>
      <c r="C77" s="44" t="s">
        <v>407</v>
      </c>
      <c r="D77" s="47" t="s">
        <v>376</v>
      </c>
      <c r="E77" s="47">
        <v>10</v>
      </c>
      <c r="F77" s="47">
        <v>99.96</v>
      </c>
      <c r="G77" s="208">
        <f>E77*F77</f>
        <v>999.59999999999991</v>
      </c>
      <c r="H77" s="499"/>
      <c r="I77" s="499"/>
      <c r="J77" s="208">
        <f t="shared" si="2"/>
        <v>0</v>
      </c>
      <c r="K77" s="208">
        <f>G77+J77</f>
        <v>999.59999999999991</v>
      </c>
      <c r="L77" s="283"/>
      <c r="M77" s="284">
        <f>M76+L77-K77</f>
        <v>24958.048499999997</v>
      </c>
      <c r="N77" s="183"/>
      <c r="O77" s="183"/>
    </row>
    <row r="78" spans="1:15">
      <c r="A78" s="418">
        <v>75</v>
      </c>
      <c r="B78" s="506">
        <v>46159</v>
      </c>
      <c r="C78" s="222" t="s">
        <v>390</v>
      </c>
      <c r="D78" s="502" t="s">
        <v>376</v>
      </c>
      <c r="E78" s="502">
        <v>51.87</v>
      </c>
      <c r="F78" s="502">
        <v>100.85</v>
      </c>
      <c r="G78" s="213">
        <f>E78*F78</f>
        <v>5231.0894999999991</v>
      </c>
      <c r="H78" s="208"/>
      <c r="I78" s="208"/>
      <c r="J78" s="208">
        <f t="shared" si="2"/>
        <v>0</v>
      </c>
      <c r="K78" s="208">
        <f>G78+J78</f>
        <v>5231.0894999999991</v>
      </c>
      <c r="L78" s="283"/>
      <c r="M78" s="284">
        <f>M77+L78-K78</f>
        <v>19726.958999999999</v>
      </c>
      <c r="N78" s="183"/>
      <c r="O78" s="183"/>
    </row>
    <row r="79" spans="1:15">
      <c r="A79" s="510">
        <v>76</v>
      </c>
      <c r="B79" s="505">
        <v>46160</v>
      </c>
      <c r="C79" s="103" t="s">
        <v>401</v>
      </c>
      <c r="D79" s="499" t="s">
        <v>46</v>
      </c>
      <c r="E79" s="499">
        <v>32.33</v>
      </c>
      <c r="F79" s="499">
        <v>98.97</v>
      </c>
      <c r="G79" s="208">
        <f>E79*F79</f>
        <v>3199.7001</v>
      </c>
      <c r="H79" s="516"/>
      <c r="I79" s="251"/>
      <c r="J79" s="251">
        <f t="shared" si="2"/>
        <v>0</v>
      </c>
      <c r="K79" s="208">
        <f>G79+J79</f>
        <v>3199.7001</v>
      </c>
      <c r="L79" s="461"/>
      <c r="M79" s="284">
        <f>M78+L79-K79</f>
        <v>16527.258900000001</v>
      </c>
      <c r="N79" s="183"/>
      <c r="O79" s="183"/>
    </row>
    <row r="80" spans="1:15">
      <c r="A80" s="510">
        <v>77</v>
      </c>
      <c r="B80" s="505">
        <v>46160</v>
      </c>
      <c r="C80" s="103" t="s">
        <v>407</v>
      </c>
      <c r="D80" s="499" t="s">
        <v>376</v>
      </c>
      <c r="E80" s="208">
        <v>143.5</v>
      </c>
      <c r="F80" s="499">
        <v>99.96</v>
      </c>
      <c r="G80" s="208">
        <f>E80*F80</f>
        <v>14344.259999999998</v>
      </c>
      <c r="H80" s="519"/>
      <c r="I80" s="208"/>
      <c r="J80" s="208">
        <f t="shared" si="2"/>
        <v>0</v>
      </c>
      <c r="K80" s="208">
        <f>G80+J80</f>
        <v>14344.259999999998</v>
      </c>
      <c r="L80" s="283"/>
      <c r="M80" s="284">
        <f>M79+L80-K80</f>
        <v>2182.9989000000023</v>
      </c>
      <c r="N80" s="183"/>
      <c r="O80" s="183"/>
    </row>
    <row r="81" spans="1:15">
      <c r="A81" s="510">
        <v>78</v>
      </c>
      <c r="B81" s="505">
        <v>46160</v>
      </c>
      <c r="C81" s="103" t="s">
        <v>390</v>
      </c>
      <c r="D81" s="499" t="s">
        <v>376</v>
      </c>
      <c r="E81" s="499">
        <v>51.53</v>
      </c>
      <c r="F81" s="499">
        <v>100.85</v>
      </c>
      <c r="G81" s="208">
        <f>E81*F81</f>
        <v>5196.8004999999994</v>
      </c>
      <c r="H81" s="519"/>
      <c r="I81" s="208"/>
      <c r="J81" s="208">
        <f t="shared" si="2"/>
        <v>0</v>
      </c>
      <c r="K81" s="208">
        <f>G81+J81</f>
        <v>5196.8004999999994</v>
      </c>
      <c r="L81" s="283"/>
      <c r="M81" s="284">
        <f>M80+L81-K81</f>
        <v>-3013.8015999999971</v>
      </c>
      <c r="N81" s="183"/>
      <c r="O81" s="183"/>
    </row>
    <row r="82" spans="1:15">
      <c r="A82" s="510">
        <v>79</v>
      </c>
      <c r="B82" s="505">
        <v>46160</v>
      </c>
      <c r="C82" s="103" t="s">
        <v>408</v>
      </c>
      <c r="D82" s="499" t="s">
        <v>376</v>
      </c>
      <c r="E82" s="499">
        <v>100</v>
      </c>
      <c r="F82" s="499">
        <v>100.47</v>
      </c>
      <c r="G82" s="208">
        <f>E82*F82</f>
        <v>10047</v>
      </c>
      <c r="H82" s="513"/>
      <c r="I82" s="208"/>
      <c r="J82" s="208">
        <f t="shared" si="2"/>
        <v>0</v>
      </c>
      <c r="K82" s="208">
        <f>G82+J82</f>
        <v>10047</v>
      </c>
      <c r="L82" s="283"/>
      <c r="M82" s="284">
        <f>M81+L82-K82</f>
        <v>-13060.801599999997</v>
      </c>
      <c r="N82" s="183"/>
      <c r="O82" s="183"/>
    </row>
    <row r="83" spans="1:15">
      <c r="A83" s="510">
        <v>80</v>
      </c>
      <c r="B83" s="505">
        <v>46160</v>
      </c>
      <c r="C83" s="454" t="s">
        <v>252</v>
      </c>
      <c r="D83" s="500" t="s">
        <v>376</v>
      </c>
      <c r="E83" s="213"/>
      <c r="F83" s="213"/>
      <c r="G83" s="524">
        <f>E83*F83</f>
        <v>0</v>
      </c>
      <c r="H83" s="499">
        <v>5</v>
      </c>
      <c r="I83" s="523">
        <v>113.22</v>
      </c>
      <c r="J83" s="208">
        <f>H83*I83</f>
        <v>566.1</v>
      </c>
      <c r="K83" s="208">
        <f t="shared" ref="K75:K98" si="3">G83+J83</f>
        <v>566.1</v>
      </c>
      <c r="L83" s="283"/>
      <c r="M83" s="284">
        <f>M82+L83-K83</f>
        <v>-13626.901599999997</v>
      </c>
      <c r="N83" s="183"/>
      <c r="O83" s="183"/>
    </row>
    <row r="84" spans="1:15">
      <c r="A84" s="418">
        <v>81</v>
      </c>
      <c r="B84" s="509">
        <v>46161</v>
      </c>
      <c r="C84" s="103" t="s">
        <v>372</v>
      </c>
      <c r="D84" s="499" t="s">
        <v>373</v>
      </c>
      <c r="E84" s="499">
        <v>30</v>
      </c>
      <c r="F84" s="499">
        <v>96.12</v>
      </c>
      <c r="G84" s="516">
        <f>E84*F84</f>
        <v>2883.6000000000004</v>
      </c>
      <c r="H84" s="251"/>
      <c r="I84" s="208"/>
      <c r="J84" s="208">
        <f>H84*I84</f>
        <v>0</v>
      </c>
      <c r="K84" s="208">
        <f t="shared" si="3"/>
        <v>2883.6000000000004</v>
      </c>
      <c r="L84" s="283"/>
      <c r="M84" s="284">
        <f>M83+L84-K84</f>
        <v>-16510.501599999996</v>
      </c>
      <c r="N84" s="183"/>
      <c r="O84" s="183"/>
    </row>
    <row r="85" spans="1:15">
      <c r="A85" s="418">
        <v>82</v>
      </c>
      <c r="B85" s="508">
        <v>46161</v>
      </c>
      <c r="C85" s="103" t="s">
        <v>385</v>
      </c>
      <c r="D85" s="499" t="s">
        <v>373</v>
      </c>
      <c r="E85" s="499">
        <v>30</v>
      </c>
      <c r="F85" s="499">
        <v>96.11</v>
      </c>
      <c r="G85" s="519">
        <f>E85*F85</f>
        <v>2883.3</v>
      </c>
      <c r="H85" s="208"/>
      <c r="I85" s="208"/>
      <c r="J85" s="208">
        <f>H85*I85</f>
        <v>0</v>
      </c>
      <c r="K85" s="208">
        <f t="shared" si="3"/>
        <v>2883.3</v>
      </c>
      <c r="L85" s="283"/>
      <c r="M85" s="284">
        <f>M84+L85-K85</f>
        <v>-19393.801599999995</v>
      </c>
      <c r="N85" s="183"/>
      <c r="O85" s="183"/>
    </row>
    <row r="86" spans="1:15">
      <c r="A86" s="418">
        <v>83</v>
      </c>
      <c r="B86" s="508">
        <v>46161</v>
      </c>
      <c r="C86" s="103" t="s">
        <v>252</v>
      </c>
      <c r="D86" s="499" t="s">
        <v>376</v>
      </c>
      <c r="E86" s="499">
        <v>36</v>
      </c>
      <c r="F86" s="499">
        <v>101.79</v>
      </c>
      <c r="G86" s="519">
        <f>E86*F86</f>
        <v>3664.44</v>
      </c>
      <c r="H86" s="208"/>
      <c r="I86" s="208"/>
      <c r="J86" s="208">
        <f>H86*I86</f>
        <v>0</v>
      </c>
      <c r="K86" s="208">
        <f t="shared" si="3"/>
        <v>3664.44</v>
      </c>
      <c r="L86" s="283"/>
      <c r="M86" s="284">
        <f>M85+L86-K86</f>
        <v>-23058.241599999994</v>
      </c>
      <c r="N86" s="183"/>
      <c r="O86" s="183"/>
    </row>
    <row r="87" spans="1:15">
      <c r="A87" s="418">
        <v>84</v>
      </c>
      <c r="B87" s="508">
        <v>46161</v>
      </c>
      <c r="C87" s="103" t="s">
        <v>409</v>
      </c>
      <c r="D87" s="499" t="s">
        <v>376</v>
      </c>
      <c r="E87" s="500">
        <v>49.48</v>
      </c>
      <c r="F87" s="500">
        <v>101.37</v>
      </c>
      <c r="G87" s="513">
        <f>E87*F87</f>
        <v>5015.7875999999997</v>
      </c>
      <c r="H87" s="213"/>
      <c r="I87" s="213"/>
      <c r="J87" s="213">
        <f t="shared" ref="J87:J91" si="4">H87*I87</f>
        <v>0</v>
      </c>
      <c r="K87" s="208">
        <f t="shared" si="3"/>
        <v>5015.7875999999997</v>
      </c>
      <c r="L87" s="283"/>
      <c r="M87" s="284">
        <f>M86+L87-K87</f>
        <v>-28074.029199999994</v>
      </c>
      <c r="N87" s="183"/>
      <c r="O87" s="183"/>
    </row>
    <row r="88" spans="1:15">
      <c r="A88" s="418">
        <v>85</v>
      </c>
      <c r="B88" s="508">
        <v>46161</v>
      </c>
      <c r="C88" s="454" t="s">
        <v>400</v>
      </c>
      <c r="D88" s="503" t="s">
        <v>376</v>
      </c>
      <c r="E88" s="208"/>
      <c r="F88" s="208"/>
      <c r="G88" s="208">
        <f>E88*F88</f>
        <v>0</v>
      </c>
      <c r="H88" s="499">
        <v>5</v>
      </c>
      <c r="I88" s="499">
        <v>113.93</v>
      </c>
      <c r="J88" s="208">
        <f t="shared" si="4"/>
        <v>569.65000000000009</v>
      </c>
      <c r="K88" s="519">
        <f t="shared" si="3"/>
        <v>569.65000000000009</v>
      </c>
      <c r="L88" s="283"/>
      <c r="M88" s="284">
        <f>M87+L88-K88</f>
        <v>-28643.679199999995</v>
      </c>
      <c r="N88" s="183"/>
      <c r="O88" s="183"/>
    </row>
    <row r="89" spans="1:15">
      <c r="A89" s="418">
        <v>86</v>
      </c>
      <c r="B89" s="508">
        <v>46162</v>
      </c>
      <c r="C89" s="455" t="s">
        <v>387</v>
      </c>
      <c r="D89" s="503" t="s">
        <v>378</v>
      </c>
      <c r="E89" s="499">
        <v>218.01</v>
      </c>
      <c r="F89" s="499">
        <v>96.11</v>
      </c>
      <c r="G89" s="208">
        <f>E89*F89</f>
        <v>20952.9411</v>
      </c>
      <c r="H89" s="208"/>
      <c r="I89" s="208"/>
      <c r="J89" s="208">
        <f t="shared" si="4"/>
        <v>0</v>
      </c>
      <c r="K89" s="519">
        <f t="shared" si="3"/>
        <v>20952.9411</v>
      </c>
      <c r="L89" s="283"/>
      <c r="M89" s="284">
        <f>M88+L89-K89</f>
        <v>-49596.620299999995</v>
      </c>
      <c r="N89" s="183"/>
      <c r="O89" s="183"/>
    </row>
    <row r="90" spans="1:15">
      <c r="A90" s="418">
        <v>87</v>
      </c>
      <c r="B90" s="508">
        <v>46162</v>
      </c>
      <c r="C90" s="103" t="s">
        <v>393</v>
      </c>
      <c r="D90" s="504" t="s">
        <v>376</v>
      </c>
      <c r="E90" s="499">
        <v>49.04</v>
      </c>
      <c r="F90" s="499">
        <v>101.55</v>
      </c>
      <c r="G90" s="208">
        <f>E90*F90</f>
        <v>4980.0119999999997</v>
      </c>
      <c r="H90" s="208"/>
      <c r="I90" s="208"/>
      <c r="J90" s="208">
        <f t="shared" si="4"/>
        <v>0</v>
      </c>
      <c r="K90" s="519">
        <f t="shared" si="3"/>
        <v>4980.0119999999997</v>
      </c>
      <c r="L90" s="283"/>
      <c r="M90" s="284">
        <f>M89+L90-K90</f>
        <v>-54576.632299999997</v>
      </c>
      <c r="N90" s="183"/>
      <c r="O90" s="183"/>
    </row>
    <row r="91" spans="1:15">
      <c r="A91" s="418">
        <v>88</v>
      </c>
      <c r="B91" s="508">
        <v>46162</v>
      </c>
      <c r="C91" s="103" t="s">
        <v>252</v>
      </c>
      <c r="D91" s="504" t="s">
        <v>376</v>
      </c>
      <c r="E91" s="208"/>
      <c r="F91" s="208"/>
      <c r="G91" s="208">
        <f>E91*F91</f>
        <v>0</v>
      </c>
      <c r="H91" s="499">
        <v>5</v>
      </c>
      <c r="I91" s="499">
        <v>114.18</v>
      </c>
      <c r="J91" s="208">
        <f t="shared" si="4"/>
        <v>570.90000000000009</v>
      </c>
      <c r="K91" s="519">
        <f t="shared" si="3"/>
        <v>570.90000000000009</v>
      </c>
      <c r="L91" s="282"/>
      <c r="M91" s="284">
        <f>M90+L91-K91</f>
        <v>-55147.532299999999</v>
      </c>
      <c r="N91" s="183"/>
      <c r="O91" s="183"/>
    </row>
    <row r="92" spans="1:15">
      <c r="A92" s="418">
        <v>89</v>
      </c>
      <c r="B92" s="509">
        <v>46162</v>
      </c>
      <c r="C92" s="454" t="s">
        <v>397</v>
      </c>
      <c r="D92" s="503" t="s">
        <v>376</v>
      </c>
      <c r="E92" s="213"/>
      <c r="F92" s="213"/>
      <c r="G92" s="213">
        <f>E92*F92</f>
        <v>0</v>
      </c>
      <c r="H92" s="500">
        <v>8.11</v>
      </c>
      <c r="I92" s="500">
        <v>113.1</v>
      </c>
      <c r="J92" s="213">
        <f t="shared" si="2"/>
        <v>917.24099999999987</v>
      </c>
      <c r="K92" s="513">
        <f t="shared" si="3"/>
        <v>917.24099999999987</v>
      </c>
      <c r="L92" s="285"/>
      <c r="M92" s="284">
        <f>M91+L92-K92</f>
        <v>-56064.773300000001</v>
      </c>
      <c r="N92" s="400"/>
      <c r="O92" s="400"/>
    </row>
    <row r="93" spans="1:15">
      <c r="A93" s="418">
        <v>90</v>
      </c>
      <c r="B93" s="508">
        <v>46163</v>
      </c>
      <c r="C93" s="103" t="s">
        <v>380</v>
      </c>
      <c r="D93" s="499" t="s">
        <v>368</v>
      </c>
      <c r="E93" s="208">
        <v>400</v>
      </c>
      <c r="F93" s="499">
        <v>95.86</v>
      </c>
      <c r="G93" s="208">
        <f>E93*F93</f>
        <v>38344</v>
      </c>
      <c r="H93" s="208"/>
      <c r="I93" s="208"/>
      <c r="J93" s="208">
        <f t="shared" si="2"/>
        <v>0</v>
      </c>
      <c r="K93" s="208">
        <f t="shared" si="3"/>
        <v>38344</v>
      </c>
      <c r="L93" s="284"/>
      <c r="M93" s="284">
        <f>M92+L93-K93</f>
        <v>-94408.773300000001</v>
      </c>
      <c r="N93" s="183"/>
      <c r="O93" s="183"/>
    </row>
    <row r="94" spans="1:15">
      <c r="A94" s="418">
        <v>91</v>
      </c>
      <c r="B94" s="508">
        <v>46163</v>
      </c>
      <c r="C94" s="103" t="s">
        <v>372</v>
      </c>
      <c r="D94" s="499" t="s">
        <v>373</v>
      </c>
      <c r="E94" s="499">
        <v>42</v>
      </c>
      <c r="F94" s="499">
        <v>96.12</v>
      </c>
      <c r="G94" s="208">
        <f>E94*F94</f>
        <v>4037.04</v>
      </c>
      <c r="H94" s="499">
        <v>6</v>
      </c>
      <c r="I94" s="499">
        <v>108.02</v>
      </c>
      <c r="J94" s="208">
        <f t="shared" si="2"/>
        <v>648.12</v>
      </c>
      <c r="K94" s="208">
        <f t="shared" si="3"/>
        <v>4685.16</v>
      </c>
      <c r="L94" s="284"/>
      <c r="M94" s="284">
        <f>M93+L94-K94</f>
        <v>-99093.933300000004</v>
      </c>
      <c r="N94" s="183"/>
      <c r="O94" s="183"/>
    </row>
    <row r="95" spans="1:15">
      <c r="A95" s="418">
        <v>92</v>
      </c>
      <c r="B95" s="508">
        <v>46163</v>
      </c>
      <c r="C95" s="454" t="s">
        <v>374</v>
      </c>
      <c r="D95" s="500" t="s">
        <v>53</v>
      </c>
      <c r="E95" s="500">
        <v>16</v>
      </c>
      <c r="F95" s="500">
        <v>96.27</v>
      </c>
      <c r="G95" s="208">
        <f t="shared" ref="G95:G158" si="5">E95*F95</f>
        <v>1540.32</v>
      </c>
      <c r="H95" s="208"/>
      <c r="I95" s="208"/>
      <c r="J95" s="208">
        <f t="shared" si="2"/>
        <v>0</v>
      </c>
      <c r="K95" s="208">
        <f t="shared" si="3"/>
        <v>1540.32</v>
      </c>
      <c r="L95" s="284"/>
      <c r="M95" s="284">
        <f>M94+L95-K95</f>
        <v>-100634.25330000001</v>
      </c>
      <c r="N95" s="372"/>
      <c r="O95" s="372"/>
    </row>
    <row r="96" spans="1:15">
      <c r="A96" s="418">
        <v>93</v>
      </c>
      <c r="B96" s="507">
        <v>46163</v>
      </c>
      <c r="C96" s="454" t="s">
        <v>410</v>
      </c>
      <c r="D96" s="500" t="s">
        <v>395</v>
      </c>
      <c r="E96" s="500">
        <v>21.07</v>
      </c>
      <c r="F96" s="500">
        <v>94.94</v>
      </c>
      <c r="G96" s="513">
        <f t="shared" si="5"/>
        <v>2000.3858</v>
      </c>
      <c r="H96" s="213"/>
      <c r="I96" s="213"/>
      <c r="J96" s="213">
        <f t="shared" si="2"/>
        <v>0</v>
      </c>
      <c r="K96" s="213">
        <f t="shared" si="3"/>
        <v>2000.3858</v>
      </c>
      <c r="L96" s="284"/>
      <c r="M96" s="284">
        <f>M95+L96-K96</f>
        <v>-102634.63910000001</v>
      </c>
      <c r="N96" s="183"/>
      <c r="O96" s="183"/>
    </row>
    <row r="97" spans="1:15">
      <c r="A97" s="510">
        <v>94</v>
      </c>
      <c r="B97" s="505">
        <v>46163</v>
      </c>
      <c r="C97" s="103" t="s">
        <v>388</v>
      </c>
      <c r="D97" s="499" t="s">
        <v>378</v>
      </c>
      <c r="E97" s="208">
        <v>2000.08</v>
      </c>
      <c r="F97" s="499">
        <v>95.98</v>
      </c>
      <c r="G97" s="208">
        <f t="shared" si="5"/>
        <v>191967.6784</v>
      </c>
      <c r="H97" s="208"/>
      <c r="I97" s="208"/>
      <c r="J97" s="208">
        <f t="shared" si="2"/>
        <v>0</v>
      </c>
      <c r="K97" s="208">
        <f t="shared" si="3"/>
        <v>191967.6784</v>
      </c>
      <c r="L97" s="284"/>
      <c r="M97" s="284">
        <f>M96+L97-K97</f>
        <v>-294602.3175</v>
      </c>
      <c r="N97" s="362">
        <v>78625.02</v>
      </c>
      <c r="O97" s="362">
        <f>N97-M97</f>
        <v>373227.33750000002</v>
      </c>
    </row>
    <row r="98" spans="1:15">
      <c r="A98" s="425">
        <v>95</v>
      </c>
      <c r="B98" s="505">
        <v>46163</v>
      </c>
      <c r="C98" s="103" t="s">
        <v>407</v>
      </c>
      <c r="D98" s="499" t="s">
        <v>376</v>
      </c>
      <c r="E98" s="208">
        <v>105.19</v>
      </c>
      <c r="F98" s="499">
        <v>100.91</v>
      </c>
      <c r="G98" s="208">
        <f t="shared" si="5"/>
        <v>10614.722899999999</v>
      </c>
      <c r="H98" s="499">
        <v>20</v>
      </c>
      <c r="I98" s="499">
        <v>113.18</v>
      </c>
      <c r="J98" s="208">
        <f t="shared" si="2"/>
        <v>2263.6000000000004</v>
      </c>
      <c r="K98" s="208">
        <f t="shared" si="3"/>
        <v>12878.322899999999</v>
      </c>
      <c r="L98" s="456"/>
      <c r="M98" s="456">
        <f>M97+L98-K98</f>
        <v>-307480.64040000003</v>
      </c>
      <c r="N98" s="466"/>
      <c r="O98" s="466"/>
    </row>
    <row r="99" spans="1:15">
      <c r="A99" s="480">
        <v>96</v>
      </c>
      <c r="B99" s="505">
        <v>46163</v>
      </c>
      <c r="C99" s="103" t="s">
        <v>390</v>
      </c>
      <c r="D99" s="499" t="s">
        <v>376</v>
      </c>
      <c r="E99" s="193">
        <v>78.67</v>
      </c>
      <c r="F99" s="499">
        <v>101.79</v>
      </c>
      <c r="G99" s="208">
        <f t="shared" si="5"/>
        <v>8007.819300000001</v>
      </c>
      <c r="H99" s="499">
        <v>5</v>
      </c>
      <c r="I99" s="499">
        <v>114.18</v>
      </c>
      <c r="J99" s="208">
        <f t="shared" si="2"/>
        <v>570.90000000000009</v>
      </c>
      <c r="K99" s="193"/>
      <c r="L99" s="495"/>
      <c r="M99" s="183"/>
      <c r="N99" s="183"/>
      <c r="O99" s="183"/>
    </row>
    <row r="100" spans="1:15">
      <c r="A100" s="480">
        <v>97</v>
      </c>
      <c r="B100" s="505">
        <v>46163</v>
      </c>
      <c r="C100" s="454" t="s">
        <v>252</v>
      </c>
      <c r="D100" s="500" t="s">
        <v>376</v>
      </c>
      <c r="E100" s="500">
        <v>25.44</v>
      </c>
      <c r="F100" s="500">
        <v>101.79</v>
      </c>
      <c r="G100" s="213">
        <f t="shared" si="5"/>
        <v>2589.5376000000001</v>
      </c>
      <c r="H100" s="512"/>
      <c r="I100" s="512"/>
      <c r="J100" s="213">
        <f t="shared" si="2"/>
        <v>0</v>
      </c>
      <c r="K100" s="512"/>
      <c r="L100" s="495"/>
      <c r="M100" s="183"/>
      <c r="N100" s="183"/>
      <c r="O100" s="183"/>
    </row>
    <row r="101" spans="1:15">
      <c r="A101" s="193">
        <v>98</v>
      </c>
      <c r="B101" s="508">
        <v>46164</v>
      </c>
      <c r="C101" s="103" t="s">
        <v>401</v>
      </c>
      <c r="D101" s="499" t="s">
        <v>40</v>
      </c>
      <c r="E101" s="193"/>
      <c r="F101" s="193"/>
      <c r="G101" s="208">
        <f t="shared" si="5"/>
        <v>0</v>
      </c>
      <c r="H101" s="499">
        <v>2.68</v>
      </c>
      <c r="I101" s="499">
        <v>111.83</v>
      </c>
      <c r="J101" s="208">
        <f t="shared" si="2"/>
        <v>299.70440000000002</v>
      </c>
      <c r="K101" s="193"/>
      <c r="L101" s="495"/>
      <c r="M101" s="183"/>
      <c r="N101" s="183"/>
      <c r="O101" s="183"/>
    </row>
    <row r="102" spans="1:15">
      <c r="A102" s="193">
        <v>99</v>
      </c>
      <c r="B102" s="508">
        <v>46164</v>
      </c>
      <c r="C102" s="103" t="s">
        <v>372</v>
      </c>
      <c r="D102" s="499" t="s">
        <v>373</v>
      </c>
      <c r="E102" s="499">
        <v>33</v>
      </c>
      <c r="F102" s="499">
        <v>96.12</v>
      </c>
      <c r="G102" s="208">
        <f t="shared" si="5"/>
        <v>3171.96</v>
      </c>
      <c r="H102" s="193"/>
      <c r="I102" s="193"/>
      <c r="J102" s="208">
        <f t="shared" si="2"/>
        <v>0</v>
      </c>
      <c r="K102" s="193"/>
      <c r="L102" s="495"/>
      <c r="M102" s="183"/>
      <c r="N102" s="183"/>
      <c r="O102" s="183"/>
    </row>
    <row r="103" spans="1:15">
      <c r="A103" s="512">
        <v>100</v>
      </c>
      <c r="B103" s="508">
        <v>46164</v>
      </c>
      <c r="C103" s="103" t="s">
        <v>387</v>
      </c>
      <c r="D103" s="499" t="s">
        <v>378</v>
      </c>
      <c r="E103" s="193">
        <v>365.73</v>
      </c>
      <c r="F103" s="499">
        <v>96.11</v>
      </c>
      <c r="G103" s="208">
        <f t="shared" si="5"/>
        <v>35150.310300000005</v>
      </c>
      <c r="H103" s="193"/>
      <c r="I103" s="193"/>
      <c r="J103" s="208">
        <f t="shared" si="2"/>
        <v>0</v>
      </c>
      <c r="K103" s="193"/>
      <c r="L103" s="496"/>
      <c r="M103" s="466"/>
      <c r="N103" s="466"/>
      <c r="O103" s="466"/>
    </row>
    <row r="104" spans="1:15">
      <c r="A104" s="512">
        <v>101</v>
      </c>
      <c r="B104" s="508">
        <v>46164</v>
      </c>
      <c r="C104" s="454" t="s">
        <v>407</v>
      </c>
      <c r="D104" s="500" t="s">
        <v>376</v>
      </c>
      <c r="E104" s="512"/>
      <c r="F104" s="512"/>
      <c r="G104" s="213">
        <f t="shared" si="5"/>
        <v>0</v>
      </c>
      <c r="H104" s="500">
        <v>10</v>
      </c>
      <c r="I104" s="500">
        <v>113.18</v>
      </c>
      <c r="J104" s="213">
        <f t="shared" si="2"/>
        <v>1131.8000000000002</v>
      </c>
      <c r="K104" s="512"/>
      <c r="L104" s="495"/>
      <c r="M104" s="183"/>
      <c r="N104" s="183"/>
      <c r="O104" s="183"/>
    </row>
    <row r="105" spans="1:15">
      <c r="A105" s="512">
        <v>102</v>
      </c>
      <c r="B105" s="508">
        <v>46164</v>
      </c>
      <c r="C105" s="103" t="s">
        <v>393</v>
      </c>
      <c r="D105" s="499" t="s">
        <v>376</v>
      </c>
      <c r="E105" s="193"/>
      <c r="F105" s="193"/>
      <c r="G105" s="208">
        <f t="shared" si="5"/>
        <v>0</v>
      </c>
      <c r="H105" s="193">
        <v>10</v>
      </c>
      <c r="I105" s="499">
        <v>113.92</v>
      </c>
      <c r="J105" s="208">
        <f t="shared" si="2"/>
        <v>1139.2</v>
      </c>
      <c r="K105" s="193"/>
      <c r="L105" s="495"/>
      <c r="M105" s="183"/>
      <c r="N105" s="183"/>
      <c r="O105" s="183"/>
    </row>
    <row r="106" spans="1:15">
      <c r="A106" s="512">
        <v>103</v>
      </c>
      <c r="B106" s="508">
        <v>46165</v>
      </c>
      <c r="C106" s="103" t="s">
        <v>411</v>
      </c>
      <c r="D106" s="499" t="s">
        <v>48</v>
      </c>
      <c r="E106" s="499">
        <v>53.41</v>
      </c>
      <c r="F106" s="499">
        <v>100.97</v>
      </c>
      <c r="G106" s="208">
        <f t="shared" si="5"/>
        <v>5392.8076999999994</v>
      </c>
      <c r="H106" s="193"/>
      <c r="I106" s="193"/>
      <c r="J106" s="208">
        <f t="shared" si="2"/>
        <v>0</v>
      </c>
      <c r="K106" s="193"/>
      <c r="L106" s="495"/>
      <c r="M106" s="183"/>
      <c r="N106" s="183"/>
      <c r="O106" s="183"/>
    </row>
    <row r="107" spans="1:15">
      <c r="A107" s="512">
        <v>104</v>
      </c>
      <c r="B107" s="508">
        <v>46165</v>
      </c>
      <c r="C107" s="103" t="s">
        <v>412</v>
      </c>
      <c r="D107" s="499" t="s">
        <v>53</v>
      </c>
      <c r="E107" s="499">
        <v>40.04</v>
      </c>
      <c r="F107" s="499">
        <v>95.98</v>
      </c>
      <c r="G107" s="208">
        <f t="shared" si="5"/>
        <v>3843.0392000000002</v>
      </c>
      <c r="H107" s="193"/>
      <c r="I107" s="193"/>
      <c r="J107" s="208">
        <f t="shared" si="2"/>
        <v>0</v>
      </c>
      <c r="K107" s="193"/>
      <c r="L107" s="495"/>
      <c r="M107" s="183"/>
      <c r="N107" s="183"/>
      <c r="O107" s="183"/>
    </row>
    <row r="108" spans="1:15">
      <c r="A108" s="512">
        <v>105</v>
      </c>
      <c r="B108" s="508">
        <v>46165</v>
      </c>
      <c r="C108" s="103" t="s">
        <v>407</v>
      </c>
      <c r="D108" s="499" t="s">
        <v>376</v>
      </c>
      <c r="E108" s="499">
        <v>97.13</v>
      </c>
      <c r="F108" s="499">
        <v>101.86</v>
      </c>
      <c r="G108" s="208">
        <f t="shared" si="5"/>
        <v>9893.6617999999999</v>
      </c>
      <c r="H108" s="193"/>
      <c r="I108" s="193"/>
      <c r="J108" s="208">
        <f t="shared" si="2"/>
        <v>0</v>
      </c>
      <c r="K108" s="193"/>
      <c r="L108" s="495"/>
      <c r="M108" s="183"/>
      <c r="N108" s="183"/>
      <c r="O108" s="183"/>
    </row>
    <row r="109" spans="1:15">
      <c r="A109" s="512">
        <v>106</v>
      </c>
      <c r="B109" s="508">
        <v>46165</v>
      </c>
      <c r="C109" s="103" t="s">
        <v>390</v>
      </c>
      <c r="D109" s="499" t="s">
        <v>376</v>
      </c>
      <c r="E109" s="193"/>
      <c r="F109" s="193"/>
      <c r="G109" s="208">
        <f t="shared" si="5"/>
        <v>0</v>
      </c>
      <c r="H109" s="193">
        <v>10</v>
      </c>
      <c r="I109" s="499">
        <v>115.12</v>
      </c>
      <c r="J109" s="208">
        <f t="shared" si="2"/>
        <v>1151.2</v>
      </c>
      <c r="K109" s="193"/>
      <c r="L109" s="495"/>
      <c r="M109" s="183"/>
      <c r="N109" s="183"/>
      <c r="O109" s="183"/>
    </row>
    <row r="110" spans="1:15">
      <c r="A110" s="512">
        <v>107</v>
      </c>
      <c r="B110" s="508">
        <v>46165</v>
      </c>
      <c r="C110" s="103" t="s">
        <v>397</v>
      </c>
      <c r="D110" s="499" t="s">
        <v>376</v>
      </c>
      <c r="E110" s="499">
        <v>46.28</v>
      </c>
      <c r="F110" s="499">
        <v>101.78</v>
      </c>
      <c r="G110" s="208">
        <f t="shared" si="5"/>
        <v>4710.3784000000005</v>
      </c>
      <c r="H110" s="193">
        <v>20</v>
      </c>
      <c r="I110" s="499">
        <v>114.04</v>
      </c>
      <c r="J110" s="208">
        <f t="shared" si="2"/>
        <v>2280.8000000000002</v>
      </c>
      <c r="K110" s="193"/>
      <c r="L110" s="495"/>
      <c r="M110" s="183"/>
      <c r="N110" s="183"/>
      <c r="O110" s="183"/>
    </row>
    <row r="111" spans="1:15">
      <c r="A111" s="512">
        <v>108</v>
      </c>
      <c r="B111" s="507">
        <v>46165</v>
      </c>
      <c r="C111" s="454" t="s">
        <v>408</v>
      </c>
      <c r="D111" s="500" t="s">
        <v>376</v>
      </c>
      <c r="E111" s="500">
        <v>52.11</v>
      </c>
      <c r="F111" s="500">
        <v>102.38</v>
      </c>
      <c r="G111" s="213">
        <f t="shared" si="5"/>
        <v>5335.0217999999995</v>
      </c>
      <c r="H111" s="512"/>
      <c r="I111" s="512"/>
      <c r="J111" s="213">
        <f t="shared" si="2"/>
        <v>0</v>
      </c>
      <c r="K111" s="512"/>
      <c r="L111" s="495"/>
      <c r="M111" s="183"/>
      <c r="N111" s="183"/>
      <c r="O111" s="183"/>
    </row>
    <row r="112" spans="1:15">
      <c r="A112" s="433">
        <v>109</v>
      </c>
      <c r="B112" s="505">
        <v>46165</v>
      </c>
      <c r="C112" s="103" t="s">
        <v>413</v>
      </c>
      <c r="D112" s="499" t="s">
        <v>376</v>
      </c>
      <c r="E112" s="499">
        <v>46.07</v>
      </c>
      <c r="F112" s="499">
        <v>102.45</v>
      </c>
      <c r="G112" s="208">
        <f t="shared" si="5"/>
        <v>4719.8715000000002</v>
      </c>
      <c r="H112" s="193"/>
      <c r="I112" s="193"/>
      <c r="J112" s="208">
        <f t="shared" si="2"/>
        <v>0</v>
      </c>
      <c r="K112" s="193"/>
      <c r="L112" s="495"/>
      <c r="M112" s="183"/>
      <c r="N112" s="183"/>
      <c r="O112" s="183"/>
    </row>
    <row r="113" spans="1:15">
      <c r="A113" s="433">
        <v>110</v>
      </c>
      <c r="B113" s="505">
        <v>46166</v>
      </c>
      <c r="C113" s="103" t="s">
        <v>252</v>
      </c>
      <c r="D113" s="499" t="s">
        <v>376</v>
      </c>
      <c r="E113" s="499">
        <v>46.44</v>
      </c>
      <c r="F113" s="499">
        <v>102.75</v>
      </c>
      <c r="G113" s="208">
        <f t="shared" si="5"/>
        <v>4771.71</v>
      </c>
      <c r="H113" s="193"/>
      <c r="I113" s="193"/>
      <c r="J113" s="208">
        <f t="shared" si="2"/>
        <v>0</v>
      </c>
      <c r="K113" s="193"/>
      <c r="L113" s="495"/>
      <c r="M113" s="183"/>
      <c r="N113" s="183"/>
      <c r="O113" s="183"/>
    </row>
    <row r="114" spans="1:15">
      <c r="A114" s="433">
        <v>111</v>
      </c>
      <c r="B114" s="505">
        <v>46166</v>
      </c>
      <c r="C114" s="103" t="s">
        <v>402</v>
      </c>
      <c r="D114" s="499" t="s">
        <v>376</v>
      </c>
      <c r="E114" s="499">
        <v>49.8</v>
      </c>
      <c r="F114" s="499">
        <v>91.44</v>
      </c>
      <c r="G114" s="208">
        <f t="shared" si="5"/>
        <v>4553.7119999999995</v>
      </c>
      <c r="H114" s="193"/>
      <c r="I114" s="193"/>
      <c r="J114" s="208">
        <f t="shared" si="2"/>
        <v>0</v>
      </c>
      <c r="K114" s="193"/>
      <c r="L114" s="495"/>
      <c r="M114" s="183"/>
      <c r="N114" s="183"/>
      <c r="O114" s="183"/>
    </row>
    <row r="115" spans="1:15">
      <c r="A115" s="433">
        <v>112</v>
      </c>
      <c r="B115" s="505">
        <v>46166</v>
      </c>
      <c r="C115" s="454" t="s">
        <v>414</v>
      </c>
      <c r="D115" s="500" t="s">
        <v>376</v>
      </c>
      <c r="E115" s="512"/>
      <c r="F115" s="512"/>
      <c r="G115" s="213">
        <f t="shared" si="5"/>
        <v>0</v>
      </c>
      <c r="H115" s="512">
        <v>5</v>
      </c>
      <c r="I115" s="500">
        <v>115.12</v>
      </c>
      <c r="J115" s="213">
        <f t="shared" si="2"/>
        <v>575.6</v>
      </c>
      <c r="K115" s="512"/>
      <c r="L115" s="495"/>
      <c r="M115" s="183"/>
      <c r="N115" s="183"/>
      <c r="O115" s="183"/>
    </row>
    <row r="116" spans="1:15">
      <c r="A116" s="433">
        <v>113</v>
      </c>
      <c r="B116" s="508">
        <v>46167</v>
      </c>
      <c r="C116" s="103" t="s">
        <v>401</v>
      </c>
      <c r="D116" s="499" t="s">
        <v>40</v>
      </c>
      <c r="E116" s="193"/>
      <c r="F116" s="193"/>
      <c r="G116" s="208">
        <f t="shared" si="5"/>
        <v>0</v>
      </c>
      <c r="H116" s="499">
        <v>4.84</v>
      </c>
      <c r="I116" s="499">
        <v>125.46</v>
      </c>
      <c r="J116" s="208">
        <f t="shared" si="2"/>
        <v>607.2263999999999</v>
      </c>
      <c r="K116" s="193"/>
      <c r="L116" s="495"/>
      <c r="M116" s="183"/>
      <c r="N116" s="183"/>
      <c r="O116" s="183"/>
    </row>
    <row r="117" spans="1:15">
      <c r="A117" s="433">
        <v>114</v>
      </c>
      <c r="B117" s="508">
        <v>46167</v>
      </c>
      <c r="C117" s="103" t="s">
        <v>367</v>
      </c>
      <c r="D117" s="499" t="s">
        <v>368</v>
      </c>
      <c r="E117" s="193">
        <v>590.91999999999996</v>
      </c>
      <c r="F117" s="499">
        <v>99.47</v>
      </c>
      <c r="G117" s="208">
        <f t="shared" si="5"/>
        <v>58778.812399999995</v>
      </c>
      <c r="H117" s="193"/>
      <c r="I117" s="193"/>
      <c r="J117" s="208">
        <f t="shared" si="2"/>
        <v>0</v>
      </c>
      <c r="K117" s="193"/>
      <c r="L117" s="495"/>
      <c r="M117" s="183"/>
      <c r="N117" s="183"/>
      <c r="O117" s="183"/>
    </row>
    <row r="118" spans="1:15">
      <c r="A118" s="512">
        <v>115</v>
      </c>
      <c r="B118" s="508">
        <v>46167</v>
      </c>
      <c r="C118" s="103" t="s">
        <v>372</v>
      </c>
      <c r="D118" s="499" t="s">
        <v>373</v>
      </c>
      <c r="E118" s="499">
        <v>35</v>
      </c>
      <c r="F118" s="499">
        <v>99.88</v>
      </c>
      <c r="G118" s="208">
        <f t="shared" si="5"/>
        <v>3495.7999999999997</v>
      </c>
      <c r="H118" s="193">
        <v>5</v>
      </c>
      <c r="I118" s="499">
        <v>111.79</v>
      </c>
      <c r="J118" s="208">
        <f t="shared" si="2"/>
        <v>558.95000000000005</v>
      </c>
      <c r="K118" s="193"/>
      <c r="L118" s="495"/>
      <c r="M118" s="183"/>
      <c r="N118" s="183"/>
      <c r="O118" s="183"/>
    </row>
    <row r="119" spans="1:15">
      <c r="A119" s="512">
        <v>116</v>
      </c>
      <c r="B119" s="508">
        <v>46167</v>
      </c>
      <c r="C119" s="103" t="s">
        <v>415</v>
      </c>
      <c r="D119" s="499" t="s">
        <v>53</v>
      </c>
      <c r="E119" s="499">
        <v>45.01</v>
      </c>
      <c r="F119" s="499">
        <v>99.92</v>
      </c>
      <c r="G119" s="208">
        <f t="shared" si="5"/>
        <v>4497.3991999999998</v>
      </c>
      <c r="H119" s="193"/>
      <c r="I119" s="193"/>
      <c r="J119" s="208">
        <f t="shared" si="2"/>
        <v>0</v>
      </c>
      <c r="K119" s="193"/>
      <c r="L119" s="495"/>
      <c r="M119" s="183"/>
      <c r="N119" s="183"/>
      <c r="O119" s="183"/>
    </row>
    <row r="120" spans="1:15">
      <c r="A120" s="512">
        <v>117</v>
      </c>
      <c r="B120" s="508">
        <v>46167</v>
      </c>
      <c r="C120" s="103" t="s">
        <v>407</v>
      </c>
      <c r="D120" s="499" t="s">
        <v>376</v>
      </c>
      <c r="E120" s="499">
        <v>173.01</v>
      </c>
      <c r="F120" s="499">
        <v>104.7</v>
      </c>
      <c r="G120" s="208">
        <f t="shared" si="5"/>
        <v>18114.147000000001</v>
      </c>
      <c r="H120" s="193"/>
      <c r="I120" s="193"/>
      <c r="J120" s="208">
        <f t="shared" si="2"/>
        <v>0</v>
      </c>
      <c r="K120" s="193"/>
      <c r="L120" s="495"/>
      <c r="M120" s="183"/>
      <c r="N120" s="183"/>
      <c r="O120" s="183"/>
    </row>
    <row r="121" spans="1:15">
      <c r="A121" s="512">
        <v>118</v>
      </c>
      <c r="B121" s="508">
        <v>46167</v>
      </c>
      <c r="C121" s="103" t="s">
        <v>416</v>
      </c>
      <c r="D121" s="499" t="s">
        <v>376</v>
      </c>
      <c r="E121" s="499">
        <v>53.13</v>
      </c>
      <c r="F121" s="499">
        <v>104.93</v>
      </c>
      <c r="G121" s="208">
        <f t="shared" si="5"/>
        <v>5574.9309000000003</v>
      </c>
      <c r="H121" s="193"/>
      <c r="I121" s="193"/>
      <c r="J121" s="208">
        <f t="shared" si="2"/>
        <v>0</v>
      </c>
      <c r="K121" s="193"/>
      <c r="L121" s="495"/>
      <c r="M121" s="183"/>
      <c r="N121" s="183"/>
      <c r="O121" s="183"/>
    </row>
    <row r="122" spans="1:15">
      <c r="A122" s="512">
        <v>119</v>
      </c>
      <c r="B122" s="508">
        <v>46167</v>
      </c>
      <c r="C122" s="454" t="s">
        <v>408</v>
      </c>
      <c r="D122" s="500" t="s">
        <v>376</v>
      </c>
      <c r="E122" s="512">
        <v>82.42</v>
      </c>
      <c r="F122" s="500">
        <v>105.21</v>
      </c>
      <c r="G122" s="213">
        <f t="shared" si="5"/>
        <v>8671.4081999999999</v>
      </c>
      <c r="H122" s="512"/>
      <c r="I122" s="512"/>
      <c r="J122" s="213">
        <f t="shared" si="2"/>
        <v>0</v>
      </c>
      <c r="K122" s="512"/>
      <c r="L122" s="495"/>
      <c r="M122" s="183"/>
      <c r="N122" s="183"/>
      <c r="O122" s="183"/>
    </row>
    <row r="123" spans="1:15">
      <c r="A123" s="512">
        <v>120</v>
      </c>
      <c r="B123" s="508">
        <v>46168</v>
      </c>
      <c r="C123" s="103" t="s">
        <v>410</v>
      </c>
      <c r="D123" s="499" t="s">
        <v>395</v>
      </c>
      <c r="E123" s="193">
        <v>59.89</v>
      </c>
      <c r="F123" s="499">
        <v>98.69</v>
      </c>
      <c r="G123" s="208">
        <f t="shared" si="5"/>
        <v>5910.5441000000001</v>
      </c>
      <c r="H123" s="193">
        <v>5</v>
      </c>
      <c r="I123" s="499">
        <v>110.74</v>
      </c>
      <c r="J123" s="208">
        <f t="shared" si="2"/>
        <v>553.69999999999993</v>
      </c>
      <c r="K123" s="193"/>
      <c r="L123" s="495"/>
      <c r="M123" s="183"/>
      <c r="N123" s="183"/>
      <c r="O123" s="183"/>
    </row>
    <row r="124" spans="1:15">
      <c r="A124" s="512">
        <v>121</v>
      </c>
      <c r="B124" s="508">
        <v>46168</v>
      </c>
      <c r="C124" s="103" t="s">
        <v>401</v>
      </c>
      <c r="D124" s="499" t="s">
        <v>46</v>
      </c>
      <c r="E124" s="499">
        <v>36.31</v>
      </c>
      <c r="F124" s="499">
        <v>103.82</v>
      </c>
      <c r="G124" s="208">
        <f t="shared" si="5"/>
        <v>3769.7042000000001</v>
      </c>
      <c r="H124" s="193"/>
      <c r="I124" s="193"/>
      <c r="J124" s="208">
        <f t="shared" si="2"/>
        <v>0</v>
      </c>
      <c r="K124" s="193"/>
      <c r="L124" s="495"/>
      <c r="M124" s="183"/>
      <c r="N124" s="183"/>
      <c r="O124" s="183"/>
    </row>
    <row r="125" spans="1:15">
      <c r="A125" s="512">
        <v>122</v>
      </c>
      <c r="B125" s="508">
        <v>46168</v>
      </c>
      <c r="C125" s="103" t="s">
        <v>407</v>
      </c>
      <c r="D125" s="499" t="s">
        <v>376</v>
      </c>
      <c r="E125" s="193">
        <v>10</v>
      </c>
      <c r="F125" s="499">
        <v>104.7</v>
      </c>
      <c r="G125" s="208">
        <f t="shared" si="5"/>
        <v>1047</v>
      </c>
      <c r="H125" s="193"/>
      <c r="I125" s="193"/>
      <c r="J125" s="208">
        <f t="shared" si="2"/>
        <v>0</v>
      </c>
      <c r="K125" s="193"/>
      <c r="L125" s="495"/>
      <c r="M125" s="183"/>
      <c r="N125" s="183"/>
      <c r="O125" s="183"/>
    </row>
    <row r="126" spans="1:15">
      <c r="A126" s="512">
        <v>123</v>
      </c>
      <c r="B126" s="508">
        <v>46168</v>
      </c>
      <c r="C126" s="103" t="s">
        <v>390</v>
      </c>
      <c r="D126" s="499" t="s">
        <v>376</v>
      </c>
      <c r="E126" s="193"/>
      <c r="F126" s="193"/>
      <c r="G126" s="208">
        <f t="shared" si="5"/>
        <v>0</v>
      </c>
      <c r="H126" s="193">
        <v>5</v>
      </c>
      <c r="I126" s="499">
        <v>117.98</v>
      </c>
      <c r="J126" s="208">
        <f t="shared" si="2"/>
        <v>589.9</v>
      </c>
      <c r="K126" s="193"/>
      <c r="L126" s="495"/>
      <c r="M126" s="183"/>
      <c r="N126" s="183"/>
      <c r="O126" s="183"/>
    </row>
    <row r="127" spans="1:15">
      <c r="A127" s="512">
        <v>124</v>
      </c>
      <c r="B127" s="508">
        <v>46168</v>
      </c>
      <c r="C127" s="103" t="s">
        <v>397</v>
      </c>
      <c r="D127" s="499" t="s">
        <v>376</v>
      </c>
      <c r="E127" s="499">
        <v>48.9</v>
      </c>
      <c r="F127" s="499">
        <v>104.62</v>
      </c>
      <c r="G127" s="208">
        <f t="shared" si="5"/>
        <v>5115.9179999999997</v>
      </c>
      <c r="H127" s="193">
        <v>25</v>
      </c>
      <c r="I127" s="499">
        <v>116.9</v>
      </c>
      <c r="J127" s="208">
        <f t="shared" si="2"/>
        <v>2922.5</v>
      </c>
      <c r="K127" s="193"/>
      <c r="L127" s="495"/>
      <c r="M127" s="183"/>
      <c r="N127" s="183"/>
      <c r="O127" s="183"/>
    </row>
    <row r="128" spans="1:15">
      <c r="A128" s="512">
        <v>125</v>
      </c>
      <c r="B128" s="508">
        <v>46168</v>
      </c>
      <c r="C128" s="103" t="s">
        <v>393</v>
      </c>
      <c r="D128" s="499" t="s">
        <v>376</v>
      </c>
      <c r="E128" s="499">
        <v>46.36</v>
      </c>
      <c r="F128" s="499">
        <v>105.35</v>
      </c>
      <c r="G128" s="208">
        <f t="shared" si="5"/>
        <v>4884.0259999999998</v>
      </c>
      <c r="H128" s="193">
        <v>5</v>
      </c>
      <c r="I128" s="499">
        <v>117.72</v>
      </c>
      <c r="J128" s="208">
        <f t="shared" si="2"/>
        <v>588.6</v>
      </c>
      <c r="K128" s="193"/>
      <c r="L128" s="495"/>
      <c r="M128" s="183"/>
      <c r="N128" s="183"/>
      <c r="O128" s="183"/>
    </row>
    <row r="129" spans="1:15">
      <c r="A129" s="512">
        <v>126</v>
      </c>
      <c r="B129" s="507">
        <v>46168</v>
      </c>
      <c r="C129" s="454" t="s">
        <v>417</v>
      </c>
      <c r="D129" s="500" t="s">
        <v>376</v>
      </c>
      <c r="E129" s="500">
        <v>44.56</v>
      </c>
      <c r="F129" s="500">
        <v>105.33</v>
      </c>
      <c r="G129" s="213">
        <f t="shared" si="5"/>
        <v>4693.5048000000006</v>
      </c>
      <c r="H129" s="512"/>
      <c r="I129" s="512"/>
      <c r="J129" s="213">
        <f t="shared" si="2"/>
        <v>0</v>
      </c>
      <c r="K129" s="193"/>
      <c r="L129" s="495"/>
      <c r="M129" s="183"/>
      <c r="N129" s="183"/>
      <c r="O129" s="183"/>
    </row>
    <row r="130" spans="1:15">
      <c r="A130" s="433">
        <v>127</v>
      </c>
      <c r="B130" s="505">
        <v>46169</v>
      </c>
      <c r="C130" s="103" t="s">
        <v>382</v>
      </c>
      <c r="D130" s="499" t="s">
        <v>383</v>
      </c>
      <c r="E130" s="193">
        <v>382.62</v>
      </c>
      <c r="F130" s="499">
        <v>104.54</v>
      </c>
      <c r="G130" s="208">
        <f t="shared" si="5"/>
        <v>39999.094800000006</v>
      </c>
      <c r="H130" s="193"/>
      <c r="I130" s="193"/>
      <c r="J130" s="208">
        <f t="shared" si="2"/>
        <v>0</v>
      </c>
      <c r="K130" s="497"/>
      <c r="L130" s="495"/>
      <c r="M130" s="183"/>
      <c r="N130" s="183"/>
      <c r="O130" s="183"/>
    </row>
    <row r="131" spans="1:15">
      <c r="A131" s="433">
        <v>128</v>
      </c>
      <c r="B131" s="505">
        <v>46169</v>
      </c>
      <c r="C131" s="103" t="s">
        <v>401</v>
      </c>
      <c r="D131" s="499" t="s">
        <v>40</v>
      </c>
      <c r="E131" s="499">
        <v>9.6300000000000008</v>
      </c>
      <c r="F131" s="499">
        <v>103.82</v>
      </c>
      <c r="G131" s="208">
        <f t="shared" si="5"/>
        <v>999.78660000000002</v>
      </c>
      <c r="H131" s="193"/>
      <c r="I131" s="193"/>
      <c r="J131" s="208">
        <f t="shared" si="2"/>
        <v>0</v>
      </c>
      <c r="K131" s="528"/>
      <c r="L131" s="183"/>
      <c r="M131" s="183"/>
      <c r="N131" s="183"/>
      <c r="O131" s="183"/>
    </row>
    <row r="132" spans="1:15">
      <c r="A132" s="433">
        <v>129</v>
      </c>
      <c r="B132" s="505">
        <v>46169</v>
      </c>
      <c r="C132" s="103" t="s">
        <v>372</v>
      </c>
      <c r="D132" s="499" t="s">
        <v>373</v>
      </c>
      <c r="E132" s="499">
        <v>40</v>
      </c>
      <c r="F132" s="499">
        <v>99.88</v>
      </c>
      <c r="G132" s="208">
        <f t="shared" si="5"/>
        <v>3995.2</v>
      </c>
      <c r="H132" s="193"/>
      <c r="I132" s="193"/>
      <c r="J132" s="208">
        <f t="shared" si="2"/>
        <v>0</v>
      </c>
      <c r="K132" s="497"/>
      <c r="L132" s="183"/>
      <c r="M132" s="183"/>
      <c r="N132" s="183"/>
      <c r="O132" s="183"/>
    </row>
    <row r="133" spans="1:15">
      <c r="A133" s="433">
        <v>130</v>
      </c>
      <c r="B133" s="505">
        <v>46169</v>
      </c>
      <c r="C133" s="103" t="s">
        <v>407</v>
      </c>
      <c r="D133" s="499" t="s">
        <v>376</v>
      </c>
      <c r="E133" s="499">
        <v>97.34</v>
      </c>
      <c r="F133" s="499">
        <v>104.7</v>
      </c>
      <c r="G133" s="208">
        <f t="shared" si="5"/>
        <v>10191.498000000001</v>
      </c>
      <c r="H133" s="193">
        <v>5</v>
      </c>
      <c r="I133" s="499">
        <v>116.99</v>
      </c>
      <c r="J133" s="208">
        <f t="shared" si="2"/>
        <v>584.94999999999993</v>
      </c>
      <c r="K133" s="497"/>
      <c r="L133" s="183"/>
      <c r="M133" s="183"/>
      <c r="N133" s="183"/>
      <c r="O133" s="183"/>
    </row>
    <row r="134" spans="1:15">
      <c r="A134" s="433">
        <v>131</v>
      </c>
      <c r="B134" s="506">
        <v>46169</v>
      </c>
      <c r="C134" s="454" t="s">
        <v>397</v>
      </c>
      <c r="D134" s="500" t="s">
        <v>376</v>
      </c>
      <c r="E134" s="512"/>
      <c r="F134" s="512"/>
      <c r="G134" s="213">
        <f t="shared" si="5"/>
        <v>0</v>
      </c>
      <c r="H134" s="512">
        <v>15</v>
      </c>
      <c r="I134" s="500">
        <v>116.9</v>
      </c>
      <c r="J134" s="213">
        <f t="shared" si="2"/>
        <v>1753.5</v>
      </c>
      <c r="K134" s="498"/>
      <c r="L134" s="183"/>
      <c r="M134" s="183"/>
      <c r="N134" s="183"/>
      <c r="O134" s="183"/>
    </row>
    <row r="135" spans="1:15">
      <c r="A135" s="433">
        <v>132</v>
      </c>
      <c r="B135" s="505">
        <v>46169</v>
      </c>
      <c r="C135" s="103" t="s">
        <v>408</v>
      </c>
      <c r="D135" s="499" t="s">
        <v>376</v>
      </c>
      <c r="E135" s="193">
        <v>120</v>
      </c>
      <c r="F135" s="499">
        <v>105.21</v>
      </c>
      <c r="G135" s="208">
        <f t="shared" si="5"/>
        <v>12625.199999999999</v>
      </c>
      <c r="H135" s="193"/>
      <c r="I135" s="193"/>
      <c r="J135" s="208">
        <f t="shared" si="2"/>
        <v>0</v>
      </c>
      <c r="K135" s="193"/>
      <c r="L135" s="495"/>
      <c r="M135" s="183"/>
      <c r="N135" s="183"/>
      <c r="O135" s="183"/>
    </row>
    <row r="136" spans="1:15">
      <c r="A136" s="433">
        <v>133</v>
      </c>
      <c r="B136" s="505">
        <v>46169</v>
      </c>
      <c r="C136" s="103" t="s">
        <v>413</v>
      </c>
      <c r="D136" s="499" t="s">
        <v>376</v>
      </c>
      <c r="E136" s="499">
        <v>48.06</v>
      </c>
      <c r="F136" s="499">
        <v>105.29</v>
      </c>
      <c r="G136" s="208">
        <f t="shared" si="5"/>
        <v>5060.2374000000009</v>
      </c>
      <c r="H136" s="193"/>
      <c r="I136" s="193"/>
      <c r="J136" s="208">
        <f t="shared" si="2"/>
        <v>0</v>
      </c>
      <c r="K136" s="193"/>
      <c r="L136" s="495"/>
      <c r="M136" s="183"/>
      <c r="N136" s="183"/>
      <c r="O136" s="183"/>
    </row>
    <row r="137" spans="1:15">
      <c r="A137" s="433">
        <v>134</v>
      </c>
      <c r="B137" s="505">
        <v>46170</v>
      </c>
      <c r="C137" s="103" t="s">
        <v>365</v>
      </c>
      <c r="D137" s="499" t="s">
        <v>40</v>
      </c>
      <c r="E137" s="193"/>
      <c r="F137" s="193"/>
      <c r="G137" s="208">
        <f t="shared" si="5"/>
        <v>0</v>
      </c>
      <c r="H137" s="499">
        <v>3.63</v>
      </c>
      <c r="I137" s="499">
        <v>115.69</v>
      </c>
      <c r="J137" s="208">
        <f t="shared" ref="J137:J160" si="6">H137*I137</f>
        <v>419.9547</v>
      </c>
      <c r="K137" s="193"/>
      <c r="L137" s="495"/>
      <c r="M137" s="183"/>
      <c r="N137" s="183"/>
      <c r="O137" s="183"/>
    </row>
    <row r="138" spans="1:15">
      <c r="A138" s="433">
        <v>135</v>
      </c>
      <c r="B138" s="506">
        <v>46170</v>
      </c>
      <c r="C138" s="454" t="s">
        <v>374</v>
      </c>
      <c r="D138" s="500" t="s">
        <v>53</v>
      </c>
      <c r="E138" s="500">
        <v>27.53</v>
      </c>
      <c r="F138" s="500">
        <v>100.03</v>
      </c>
      <c r="G138" s="213">
        <f t="shared" si="5"/>
        <v>2753.8259000000003</v>
      </c>
      <c r="H138" s="512"/>
      <c r="I138" s="512"/>
      <c r="J138" s="213">
        <f t="shared" si="6"/>
        <v>0</v>
      </c>
      <c r="K138" s="512"/>
      <c r="L138" s="495"/>
      <c r="M138" s="183"/>
      <c r="N138" s="183"/>
      <c r="O138" s="183"/>
    </row>
    <row r="139" spans="1:15">
      <c r="A139" s="433">
        <v>136</v>
      </c>
      <c r="B139" s="505">
        <v>46170</v>
      </c>
      <c r="C139" s="103" t="s">
        <v>408</v>
      </c>
      <c r="D139" s="499" t="s">
        <v>376</v>
      </c>
      <c r="E139" s="193">
        <v>50</v>
      </c>
      <c r="F139" s="499">
        <v>105.21</v>
      </c>
      <c r="G139" s="208">
        <f t="shared" si="5"/>
        <v>5260.5</v>
      </c>
      <c r="H139" s="193"/>
      <c r="I139" s="193"/>
      <c r="J139" s="208">
        <f t="shared" si="6"/>
        <v>0</v>
      </c>
      <c r="K139" s="193"/>
      <c r="L139" s="496"/>
      <c r="M139" s="466"/>
      <c r="N139" s="466"/>
      <c r="O139" s="466"/>
    </row>
    <row r="140" spans="1:15">
      <c r="A140" s="480">
        <v>137</v>
      </c>
      <c r="B140" s="505">
        <v>46171</v>
      </c>
      <c r="C140" s="228" t="s">
        <v>372</v>
      </c>
      <c r="D140" s="499" t="s">
        <v>373</v>
      </c>
      <c r="E140" s="499">
        <v>30.66</v>
      </c>
      <c r="F140" s="499">
        <v>99.88</v>
      </c>
      <c r="G140" s="208">
        <f t="shared" si="5"/>
        <v>3062.3208</v>
      </c>
      <c r="H140" s="193">
        <v>5</v>
      </c>
      <c r="I140" s="499">
        <v>111.79</v>
      </c>
      <c r="J140" s="208">
        <f t="shared" si="6"/>
        <v>558.95000000000005</v>
      </c>
      <c r="K140" s="193"/>
      <c r="L140" s="495"/>
      <c r="M140" s="183"/>
      <c r="N140" s="183"/>
      <c r="O140" s="183"/>
    </row>
    <row r="141" spans="1:15">
      <c r="A141" s="480">
        <v>138</v>
      </c>
      <c r="B141" s="505">
        <v>46171</v>
      </c>
      <c r="C141" s="103" t="s">
        <v>381</v>
      </c>
      <c r="D141" s="499" t="s">
        <v>53</v>
      </c>
      <c r="E141" s="499">
        <v>38.79</v>
      </c>
      <c r="F141" s="499">
        <v>99.45</v>
      </c>
      <c r="G141" s="208">
        <f t="shared" si="5"/>
        <v>3857.6655000000001</v>
      </c>
      <c r="H141" s="193"/>
      <c r="I141" s="193"/>
      <c r="J141" s="208">
        <f t="shared" si="6"/>
        <v>0</v>
      </c>
      <c r="K141" s="193"/>
      <c r="L141" s="495"/>
      <c r="M141" s="183"/>
      <c r="N141" s="183"/>
      <c r="O141" s="183"/>
    </row>
    <row r="142" spans="1:15">
      <c r="A142" s="480">
        <v>139</v>
      </c>
      <c r="B142" s="505">
        <v>46171</v>
      </c>
      <c r="C142" s="103" t="s">
        <v>390</v>
      </c>
      <c r="D142" s="499" t="s">
        <v>376</v>
      </c>
      <c r="E142" s="499">
        <v>45.19</v>
      </c>
      <c r="F142" s="499">
        <v>105.59</v>
      </c>
      <c r="G142" s="208">
        <f t="shared" si="5"/>
        <v>4771.6121000000003</v>
      </c>
      <c r="H142" s="193"/>
      <c r="I142" s="193"/>
      <c r="J142" s="208">
        <f t="shared" si="6"/>
        <v>0</v>
      </c>
      <c r="K142" s="193"/>
      <c r="L142" s="495"/>
      <c r="M142" s="183"/>
      <c r="N142" s="183"/>
      <c r="O142" s="183"/>
    </row>
    <row r="143" spans="1:15">
      <c r="A143" s="480">
        <v>140</v>
      </c>
      <c r="B143" s="505">
        <v>46171</v>
      </c>
      <c r="C143" s="103" t="s">
        <v>408</v>
      </c>
      <c r="D143" s="499" t="s">
        <v>376</v>
      </c>
      <c r="E143" s="193">
        <v>100</v>
      </c>
      <c r="F143" s="499">
        <v>105.21</v>
      </c>
      <c r="G143" s="208">
        <f t="shared" si="5"/>
        <v>10521</v>
      </c>
      <c r="H143" s="193"/>
      <c r="I143" s="193"/>
      <c r="J143" s="208">
        <f t="shared" si="6"/>
        <v>0</v>
      </c>
      <c r="K143" s="193"/>
      <c r="L143" s="495"/>
      <c r="M143" s="183"/>
      <c r="N143" s="183"/>
      <c r="O143" s="183"/>
    </row>
    <row r="144" spans="1:15">
      <c r="A144" s="480">
        <v>141</v>
      </c>
      <c r="B144" s="506">
        <v>46171</v>
      </c>
      <c r="C144" s="454" t="s">
        <v>252</v>
      </c>
      <c r="D144" s="500" t="s">
        <v>376</v>
      </c>
      <c r="E144" s="500">
        <v>37.18</v>
      </c>
      <c r="F144" s="500">
        <v>105.59</v>
      </c>
      <c r="G144" s="213">
        <f t="shared" si="5"/>
        <v>3925.8362000000002</v>
      </c>
      <c r="H144" s="512">
        <v>5</v>
      </c>
      <c r="I144" s="500">
        <v>117.98</v>
      </c>
      <c r="J144" s="213">
        <f t="shared" si="6"/>
        <v>589.9</v>
      </c>
      <c r="K144" s="512"/>
      <c r="L144" s="495"/>
      <c r="M144" s="183"/>
      <c r="N144" s="183"/>
      <c r="O144" s="183"/>
    </row>
    <row r="145" spans="1:15">
      <c r="A145" s="480">
        <v>142</v>
      </c>
      <c r="B145" s="505">
        <v>46172</v>
      </c>
      <c r="C145" s="103" t="s">
        <v>401</v>
      </c>
      <c r="D145" s="499" t="s">
        <v>44</v>
      </c>
      <c r="E145" s="499">
        <v>37.39</v>
      </c>
      <c r="F145" s="499">
        <v>103.82</v>
      </c>
      <c r="G145" s="208">
        <f t="shared" si="5"/>
        <v>3881.8298</v>
      </c>
      <c r="H145" s="193"/>
      <c r="I145" s="193"/>
      <c r="J145" s="208">
        <f t="shared" si="6"/>
        <v>0</v>
      </c>
      <c r="K145" s="193"/>
      <c r="L145" s="495"/>
      <c r="M145" s="183"/>
      <c r="N145" s="183"/>
      <c r="O145" s="183"/>
    </row>
    <row r="146" spans="1:15">
      <c r="A146" s="480">
        <v>143</v>
      </c>
      <c r="B146" s="505">
        <v>46172</v>
      </c>
      <c r="C146" s="103" t="s">
        <v>372</v>
      </c>
      <c r="D146" s="499" t="s">
        <v>373</v>
      </c>
      <c r="E146" s="193"/>
      <c r="F146" s="193"/>
      <c r="G146" s="208">
        <f t="shared" si="5"/>
        <v>0</v>
      </c>
      <c r="H146" s="193">
        <v>6</v>
      </c>
      <c r="I146" s="499">
        <v>111.79</v>
      </c>
      <c r="J146" s="208">
        <f t="shared" si="6"/>
        <v>670.74</v>
      </c>
      <c r="K146" s="193"/>
      <c r="L146" s="495"/>
      <c r="M146" s="183"/>
      <c r="N146" s="183"/>
      <c r="O146" s="183"/>
    </row>
    <row r="147" spans="1:15">
      <c r="A147" s="480">
        <v>144</v>
      </c>
      <c r="B147" s="505">
        <v>46172</v>
      </c>
      <c r="C147" s="103" t="s">
        <v>381</v>
      </c>
      <c r="D147" s="499" t="s">
        <v>53</v>
      </c>
      <c r="E147" s="499">
        <v>40.53</v>
      </c>
      <c r="F147" s="499">
        <v>99.45</v>
      </c>
      <c r="G147" s="208">
        <f t="shared" si="5"/>
        <v>4030.7085000000002</v>
      </c>
      <c r="H147" s="193"/>
      <c r="I147" s="193"/>
      <c r="J147" s="208">
        <f t="shared" si="6"/>
        <v>0</v>
      </c>
      <c r="K147" s="193"/>
      <c r="L147" s="495"/>
      <c r="M147" s="183"/>
      <c r="N147" s="183"/>
      <c r="O147" s="183"/>
    </row>
    <row r="148" spans="1:15">
      <c r="A148" s="480">
        <v>145</v>
      </c>
      <c r="B148" s="505">
        <v>46172</v>
      </c>
      <c r="C148" s="103" t="s">
        <v>407</v>
      </c>
      <c r="D148" s="499" t="s">
        <v>376</v>
      </c>
      <c r="E148" s="193">
        <v>106</v>
      </c>
      <c r="F148" s="499">
        <v>104.7</v>
      </c>
      <c r="G148" s="208">
        <f t="shared" si="5"/>
        <v>11098.2</v>
      </c>
      <c r="H148" s="193"/>
      <c r="I148" s="193"/>
      <c r="J148" s="208">
        <f t="shared" si="6"/>
        <v>0</v>
      </c>
      <c r="K148" s="193"/>
      <c r="L148" s="495"/>
      <c r="M148" s="183"/>
      <c r="N148" s="183"/>
      <c r="O148" s="183"/>
    </row>
    <row r="149" spans="1:15">
      <c r="A149" s="480">
        <v>146</v>
      </c>
      <c r="B149" s="505">
        <v>46172</v>
      </c>
      <c r="C149" s="103" t="s">
        <v>418</v>
      </c>
      <c r="D149" s="499" t="s">
        <v>376</v>
      </c>
      <c r="E149" s="193"/>
      <c r="F149" s="193"/>
      <c r="G149" s="208">
        <f t="shared" si="5"/>
        <v>0</v>
      </c>
      <c r="H149" s="193">
        <v>5</v>
      </c>
      <c r="I149" s="499">
        <v>118.01</v>
      </c>
      <c r="J149" s="208">
        <f t="shared" si="6"/>
        <v>590.05000000000007</v>
      </c>
      <c r="K149" s="193"/>
      <c r="L149" s="495"/>
      <c r="M149" s="183"/>
      <c r="N149" s="183"/>
      <c r="O149" s="183"/>
    </row>
    <row r="150" spans="1:15">
      <c r="A150" s="480">
        <v>147</v>
      </c>
      <c r="B150" s="506">
        <v>46172</v>
      </c>
      <c r="C150" s="454" t="s">
        <v>408</v>
      </c>
      <c r="D150" s="500" t="s">
        <v>376</v>
      </c>
      <c r="E150" s="512">
        <v>90</v>
      </c>
      <c r="F150" s="500">
        <v>105.21</v>
      </c>
      <c r="G150" s="213">
        <f t="shared" si="5"/>
        <v>9468.9</v>
      </c>
      <c r="H150" s="512">
        <v>5</v>
      </c>
      <c r="I150" s="500">
        <v>117.58</v>
      </c>
      <c r="J150" s="213">
        <f t="shared" si="6"/>
        <v>587.9</v>
      </c>
      <c r="K150" s="512"/>
      <c r="L150" s="495"/>
      <c r="M150" s="183"/>
      <c r="N150" s="183"/>
      <c r="O150" s="183"/>
    </row>
    <row r="151" spans="1:15">
      <c r="A151" s="480">
        <v>148</v>
      </c>
      <c r="B151" s="505">
        <v>46172</v>
      </c>
      <c r="C151" s="103" t="s">
        <v>252</v>
      </c>
      <c r="D151" s="499" t="s">
        <v>376</v>
      </c>
      <c r="E151" s="193"/>
      <c r="F151" s="193"/>
      <c r="G151" s="208">
        <f t="shared" si="5"/>
        <v>0</v>
      </c>
      <c r="H151" s="193">
        <v>5</v>
      </c>
      <c r="I151" s="499">
        <v>117.98</v>
      </c>
      <c r="J151" s="208">
        <f t="shared" si="6"/>
        <v>589.9</v>
      </c>
      <c r="K151" s="193"/>
      <c r="L151" s="495"/>
      <c r="M151" s="183"/>
      <c r="N151" s="183"/>
      <c r="O151" s="183"/>
    </row>
    <row r="152" spans="1:15">
      <c r="A152" s="480">
        <v>149</v>
      </c>
      <c r="B152" s="505">
        <v>46173</v>
      </c>
      <c r="C152" s="103" t="s">
        <v>372</v>
      </c>
      <c r="D152" s="499" t="s">
        <v>373</v>
      </c>
      <c r="E152" s="193">
        <v>35</v>
      </c>
      <c r="F152" s="499">
        <v>99.88</v>
      </c>
      <c r="G152" s="208">
        <f t="shared" si="5"/>
        <v>3495.7999999999997</v>
      </c>
      <c r="H152" s="193"/>
      <c r="I152" s="193"/>
      <c r="J152" s="208">
        <f t="shared" si="6"/>
        <v>0</v>
      </c>
      <c r="K152" s="193"/>
      <c r="L152" s="495"/>
      <c r="M152" s="183"/>
      <c r="N152" s="183"/>
      <c r="O152" s="183"/>
    </row>
    <row r="153" spans="1:15">
      <c r="A153" s="480">
        <v>150</v>
      </c>
      <c r="B153" s="505">
        <v>46173</v>
      </c>
      <c r="C153" s="103" t="s">
        <v>401</v>
      </c>
      <c r="D153" s="499" t="s">
        <v>378</v>
      </c>
      <c r="E153" s="499">
        <v>32.53</v>
      </c>
      <c r="F153" s="499">
        <v>103.82</v>
      </c>
      <c r="G153" s="208">
        <f t="shared" si="5"/>
        <v>3377.2646</v>
      </c>
      <c r="H153" s="193"/>
      <c r="I153" s="193"/>
      <c r="J153" s="208">
        <f t="shared" si="6"/>
        <v>0</v>
      </c>
      <c r="K153" s="193"/>
      <c r="L153" s="495"/>
      <c r="M153" s="183"/>
      <c r="N153" s="183"/>
      <c r="O153" s="183"/>
    </row>
    <row r="154" spans="1:15">
      <c r="A154" s="480">
        <v>151</v>
      </c>
      <c r="B154" s="505">
        <v>46173</v>
      </c>
      <c r="C154" s="103" t="s">
        <v>407</v>
      </c>
      <c r="D154" s="499" t="s">
        <v>376</v>
      </c>
      <c r="E154" s="499">
        <v>49.95</v>
      </c>
      <c r="F154" s="499">
        <v>104.7</v>
      </c>
      <c r="G154" s="208">
        <f t="shared" si="5"/>
        <v>5229.7650000000003</v>
      </c>
      <c r="H154" s="193">
        <v>5</v>
      </c>
      <c r="I154" s="499">
        <v>116.99</v>
      </c>
      <c r="J154" s="208">
        <f t="shared" si="6"/>
        <v>584.94999999999993</v>
      </c>
      <c r="K154" s="193"/>
      <c r="L154" s="495"/>
      <c r="M154" s="183"/>
      <c r="N154" s="183"/>
      <c r="O154" s="183"/>
    </row>
    <row r="155" spans="1:15">
      <c r="A155" s="480">
        <v>152</v>
      </c>
      <c r="B155" s="505">
        <v>46173</v>
      </c>
      <c r="C155" s="103" t="s">
        <v>397</v>
      </c>
      <c r="D155" s="499" t="s">
        <v>376</v>
      </c>
      <c r="E155" s="499">
        <v>50.31</v>
      </c>
      <c r="F155" s="499">
        <v>104.62</v>
      </c>
      <c r="G155" s="208">
        <f t="shared" si="5"/>
        <v>5263.4322000000002</v>
      </c>
      <c r="H155" s="193">
        <v>20</v>
      </c>
      <c r="I155" s="499">
        <v>116.9</v>
      </c>
      <c r="J155" s="208">
        <f t="shared" si="6"/>
        <v>2338</v>
      </c>
      <c r="K155" s="193"/>
      <c r="L155" s="495"/>
      <c r="M155" s="183"/>
      <c r="N155" s="183"/>
      <c r="O155" s="183"/>
    </row>
    <row r="156" spans="1:15">
      <c r="A156" s="480">
        <v>153</v>
      </c>
      <c r="B156" s="505">
        <v>46173</v>
      </c>
      <c r="C156" s="103" t="s">
        <v>408</v>
      </c>
      <c r="D156" s="499" t="s">
        <v>376</v>
      </c>
      <c r="E156" s="499">
        <v>48.07</v>
      </c>
      <c r="F156" s="499">
        <v>105.21</v>
      </c>
      <c r="G156" s="208">
        <f t="shared" si="5"/>
        <v>5057.4447</v>
      </c>
      <c r="H156" s="193"/>
      <c r="I156" s="193"/>
      <c r="J156" s="208">
        <f t="shared" si="6"/>
        <v>0</v>
      </c>
      <c r="K156" s="193"/>
      <c r="L156" s="495"/>
      <c r="M156" s="183"/>
      <c r="N156" s="183"/>
      <c r="O156" s="183"/>
    </row>
    <row r="157" spans="1:15">
      <c r="A157" s="480">
        <v>154</v>
      </c>
      <c r="B157" s="505">
        <v>46173</v>
      </c>
      <c r="C157" s="103" t="s">
        <v>252</v>
      </c>
      <c r="D157" s="499" t="s">
        <v>376</v>
      </c>
      <c r="E157" s="499">
        <v>49.32</v>
      </c>
      <c r="F157" s="499">
        <v>105.59</v>
      </c>
      <c r="G157" s="208">
        <f t="shared" si="5"/>
        <v>5207.6988000000001</v>
      </c>
      <c r="H157" s="193"/>
      <c r="I157" s="193"/>
      <c r="J157" s="208">
        <f t="shared" si="6"/>
        <v>0</v>
      </c>
      <c r="K157" s="193"/>
      <c r="L157" s="495"/>
      <c r="M157" s="183"/>
      <c r="N157" s="183"/>
      <c r="O157" s="183"/>
    </row>
    <row r="158" spans="1:15">
      <c r="A158" s="480">
        <v>155</v>
      </c>
      <c r="B158" s="193"/>
      <c r="C158" s="17"/>
      <c r="D158" s="193"/>
      <c r="E158" s="193"/>
      <c r="F158" s="193"/>
      <c r="G158" s="208">
        <f t="shared" si="5"/>
        <v>0</v>
      </c>
      <c r="H158" s="193"/>
      <c r="I158" s="193"/>
      <c r="J158" s="208">
        <f t="shared" si="6"/>
        <v>0</v>
      </c>
      <c r="K158" s="193"/>
      <c r="L158" s="495"/>
      <c r="M158" s="183"/>
      <c r="N158" s="183"/>
      <c r="O158" s="183"/>
    </row>
    <row r="159" spans="1:15">
      <c r="A159" s="193">
        <v>156</v>
      </c>
      <c r="B159" s="243"/>
      <c r="C159" s="136"/>
      <c r="D159" s="243"/>
      <c r="E159" s="243"/>
      <c r="F159" s="243"/>
      <c r="G159" s="251">
        <f>E159*F159</f>
        <v>0</v>
      </c>
      <c r="H159" s="243"/>
      <c r="I159" s="243"/>
      <c r="J159" s="251">
        <f t="shared" si="6"/>
        <v>0</v>
      </c>
      <c r="K159" s="243"/>
      <c r="L159" s="183"/>
      <c r="M159" s="183"/>
      <c r="N159" s="183"/>
      <c r="O159" s="183"/>
    </row>
    <row r="160" spans="1:15">
      <c r="A160" s="193">
        <v>157</v>
      </c>
      <c r="B160" s="193"/>
      <c r="C160" s="17"/>
      <c r="D160" s="193"/>
      <c r="E160" s="193"/>
      <c r="F160" s="193"/>
      <c r="G160" s="208">
        <f>E160*F160</f>
        <v>0</v>
      </c>
      <c r="H160" s="193"/>
      <c r="I160" s="193"/>
      <c r="J160" s="208">
        <f t="shared" si="6"/>
        <v>0</v>
      </c>
      <c r="K160" s="193"/>
      <c r="L160" s="183"/>
      <c r="M160" s="183"/>
      <c r="N160" s="183"/>
      <c r="O160" s="183"/>
    </row>
  </sheetData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P110"/>
  <sheetViews>
    <sheetView workbookViewId="0">
      <selection activeCell="E4" sqref="E4"/>
    </sheetView>
  </sheetViews>
  <sheetFormatPr defaultRowHeight="15"/>
  <cols>
    <col min="1" max="1" width="9.140625" style="5"/>
    <col min="2" max="2" width="14.5703125" style="5" customWidth="1"/>
    <col min="3" max="3" width="46" style="5" bestFit="1" customWidth="1"/>
    <col min="4" max="4" width="34.5703125" style="5" customWidth="1"/>
    <col min="5" max="5" width="36.5703125" style="5" customWidth="1"/>
    <col min="6" max="6" width="15.7109375" style="5" customWidth="1"/>
    <col min="7" max="7" width="9.140625" style="5"/>
    <col min="8" max="8" width="22.42578125" style="5" customWidth="1"/>
    <col min="9" max="9" width="22.140625" style="5" customWidth="1"/>
    <col min="10" max="10" width="17.7109375" style="5" bestFit="1" customWidth="1"/>
    <col min="11" max="11" width="10.42578125" style="5" bestFit="1" customWidth="1"/>
    <col min="12" max="12" width="15.42578125" style="5" customWidth="1"/>
    <col min="13" max="13" width="17.7109375" style="5" customWidth="1"/>
    <col min="14" max="14" width="12.7109375" style="5" customWidth="1"/>
    <col min="15" max="15" width="15.140625" style="5" customWidth="1"/>
    <col min="16" max="16" width="20.5703125" style="5" customWidth="1"/>
    <col min="17" max="16384" width="9.140625" style="5"/>
  </cols>
  <sheetData>
    <row r="1" spans="1:16" ht="15.75">
      <c r="A1" s="560" t="s">
        <v>419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</row>
    <row r="2" spans="1:16">
      <c r="A2" s="64" t="s">
        <v>0</v>
      </c>
      <c r="B2" s="83" t="s">
        <v>166</v>
      </c>
      <c r="C2" s="83" t="s">
        <v>361</v>
      </c>
      <c r="D2" s="83"/>
      <c r="E2" s="83" t="s">
        <v>362</v>
      </c>
      <c r="F2" s="83" t="s">
        <v>169</v>
      </c>
      <c r="G2" s="83" t="s">
        <v>170</v>
      </c>
      <c r="H2" s="90" t="s">
        <v>171</v>
      </c>
      <c r="I2" s="83" t="s">
        <v>172</v>
      </c>
      <c r="J2" s="83" t="s">
        <v>170</v>
      </c>
      <c r="K2" s="90" t="s">
        <v>171</v>
      </c>
      <c r="L2" s="64" t="s">
        <v>173</v>
      </c>
      <c r="M2" s="91" t="s">
        <v>363</v>
      </c>
      <c r="N2" s="85" t="s">
        <v>199</v>
      </c>
      <c r="O2" s="83" t="s">
        <v>176</v>
      </c>
      <c r="P2" s="83" t="s">
        <v>364</v>
      </c>
    </row>
    <row r="3" spans="1:16">
      <c r="A3" s="598" t="s">
        <v>177</v>
      </c>
      <c r="B3" s="598"/>
      <c r="C3" s="598"/>
      <c r="D3" s="598"/>
      <c r="E3" s="598"/>
      <c r="F3" s="598"/>
      <c r="G3" s="598"/>
      <c r="H3" s="598"/>
      <c r="I3" s="598"/>
      <c r="J3" s="598"/>
      <c r="K3" s="598"/>
      <c r="L3" s="101"/>
      <c r="M3" s="222"/>
      <c r="N3" s="467">
        <v>1138971.58</v>
      </c>
      <c r="O3" s="168"/>
      <c r="P3" s="168"/>
    </row>
    <row r="4" spans="1:16" ht="16.5">
      <c r="A4" s="6">
        <v>1</v>
      </c>
      <c r="B4" s="78">
        <v>46144</v>
      </c>
      <c r="C4" s="468" t="s">
        <v>420</v>
      </c>
      <c r="D4" s="6" t="s">
        <v>178</v>
      </c>
      <c r="E4" s="533" t="s">
        <v>421</v>
      </c>
      <c r="F4" s="472">
        <v>2700</v>
      </c>
      <c r="G4" s="472">
        <v>95.68</v>
      </c>
      <c r="H4" s="472">
        <v>258336</v>
      </c>
      <c r="I4" s="474"/>
      <c r="J4" s="474"/>
      <c r="K4" s="474"/>
      <c r="L4" s="474">
        <f>H4+K4</f>
        <v>258336</v>
      </c>
      <c r="M4" s="468"/>
      <c r="N4" s="469">
        <f>SUM(N3+M4-L4)</f>
        <v>880635.58000000007</v>
      </c>
      <c r="O4" s="6"/>
      <c r="P4" s="6"/>
    </row>
    <row r="5" spans="1:16" ht="15.75">
      <c r="A5" s="6">
        <v>2</v>
      </c>
      <c r="B5" s="78">
        <v>46144</v>
      </c>
      <c r="C5" s="468" t="s">
        <v>422</v>
      </c>
      <c r="D5" s="6" t="s">
        <v>178</v>
      </c>
      <c r="E5" s="468" t="s">
        <v>421</v>
      </c>
      <c r="F5" s="468">
        <v>2800</v>
      </c>
      <c r="G5" s="468">
        <v>95.68</v>
      </c>
      <c r="H5" s="468">
        <v>267904</v>
      </c>
      <c r="I5" s="599"/>
      <c r="J5" s="599"/>
      <c r="K5" s="599"/>
      <c r="L5" s="474">
        <f t="shared" ref="L5:L58" si="0">H5+K5</f>
        <v>267904</v>
      </c>
      <c r="M5" s="468"/>
      <c r="N5" s="469">
        <f t="shared" ref="N5:N68" si="1">SUM(N4+M5-L5)</f>
        <v>612731.58000000007</v>
      </c>
      <c r="O5" s="6"/>
      <c r="P5" s="6"/>
    </row>
    <row r="6" spans="1:16" ht="15.75">
      <c r="A6" s="6">
        <v>3</v>
      </c>
      <c r="B6" s="78">
        <v>46144</v>
      </c>
      <c r="C6" s="468" t="s">
        <v>423</v>
      </c>
      <c r="D6" s="468" t="s">
        <v>424</v>
      </c>
      <c r="E6" s="468" t="s">
        <v>425</v>
      </c>
      <c r="F6" s="468">
        <v>500</v>
      </c>
      <c r="G6" s="468">
        <v>91.51</v>
      </c>
      <c r="H6" s="468">
        <v>45755</v>
      </c>
      <c r="I6" s="599"/>
      <c r="J6" s="599"/>
      <c r="K6" s="599"/>
      <c r="L6" s="474">
        <f t="shared" si="0"/>
        <v>45755</v>
      </c>
      <c r="M6" s="468"/>
      <c r="N6" s="469">
        <f t="shared" si="1"/>
        <v>566976.58000000007</v>
      </c>
      <c r="O6" s="6"/>
      <c r="P6" s="6"/>
    </row>
    <row r="7" spans="1:16" ht="15.75">
      <c r="A7" s="6">
        <v>4</v>
      </c>
      <c r="B7" s="78">
        <v>46145</v>
      </c>
      <c r="C7" s="468" t="s">
        <v>420</v>
      </c>
      <c r="D7" s="468" t="s">
        <v>178</v>
      </c>
      <c r="E7" s="468" t="s">
        <v>421</v>
      </c>
      <c r="F7" s="468">
        <v>2000</v>
      </c>
      <c r="G7" s="468">
        <v>95.68</v>
      </c>
      <c r="H7" s="468">
        <v>191359.64</v>
      </c>
      <c r="I7" s="599"/>
      <c r="J7" s="599"/>
      <c r="K7" s="599"/>
      <c r="L7" s="474">
        <f t="shared" si="0"/>
        <v>191359.64</v>
      </c>
      <c r="M7" s="468"/>
      <c r="N7" s="469">
        <f t="shared" si="1"/>
        <v>375616.94000000006</v>
      </c>
      <c r="O7" s="6"/>
      <c r="P7" s="6"/>
    </row>
    <row r="8" spans="1:16" ht="15.75">
      <c r="A8" s="6">
        <v>5</v>
      </c>
      <c r="B8" s="78">
        <v>46145</v>
      </c>
      <c r="C8" s="468" t="s">
        <v>423</v>
      </c>
      <c r="D8" s="468" t="s">
        <v>424</v>
      </c>
      <c r="E8" s="468" t="s">
        <v>425</v>
      </c>
      <c r="F8" s="468"/>
      <c r="G8" s="468"/>
      <c r="H8" s="468">
        <v>0</v>
      </c>
      <c r="I8" s="473">
        <v>4.83</v>
      </c>
      <c r="J8" s="473">
        <v>103.4</v>
      </c>
      <c r="K8" s="473">
        <v>500</v>
      </c>
      <c r="L8" s="474">
        <f t="shared" si="0"/>
        <v>500</v>
      </c>
      <c r="M8" s="468"/>
      <c r="N8" s="469">
        <f t="shared" si="1"/>
        <v>375116.94000000006</v>
      </c>
      <c r="O8" s="6"/>
      <c r="P8" s="6"/>
    </row>
    <row r="9" spans="1:16" ht="15.75">
      <c r="A9" s="6">
        <v>6</v>
      </c>
      <c r="B9" s="78">
        <v>46145</v>
      </c>
      <c r="C9" s="468" t="s">
        <v>322</v>
      </c>
      <c r="D9" s="468" t="s">
        <v>426</v>
      </c>
      <c r="E9" s="468" t="s">
        <v>427</v>
      </c>
      <c r="F9" s="468">
        <v>763.24</v>
      </c>
      <c r="G9" s="468">
        <v>91.66</v>
      </c>
      <c r="H9" s="468">
        <v>69959</v>
      </c>
      <c r="I9" s="599"/>
      <c r="J9" s="599"/>
      <c r="K9" s="599"/>
      <c r="L9" s="474">
        <f t="shared" si="0"/>
        <v>69959</v>
      </c>
      <c r="M9" s="468"/>
      <c r="N9" s="469">
        <f t="shared" si="1"/>
        <v>305157.94000000006</v>
      </c>
      <c r="O9" s="6"/>
      <c r="P9" s="6"/>
    </row>
    <row r="10" spans="1:16" ht="15.75">
      <c r="A10" s="6">
        <v>7</v>
      </c>
      <c r="B10" s="78">
        <v>46146</v>
      </c>
      <c r="C10" s="468" t="s">
        <v>428</v>
      </c>
      <c r="D10" s="468" t="s">
        <v>426</v>
      </c>
      <c r="E10" s="468" t="s">
        <v>421</v>
      </c>
      <c r="F10" s="468">
        <v>1000</v>
      </c>
      <c r="G10" s="468">
        <v>95.68</v>
      </c>
      <c r="H10" s="468">
        <v>95680</v>
      </c>
      <c r="I10" s="599">
        <v>0</v>
      </c>
      <c r="J10" s="599">
        <v>0</v>
      </c>
      <c r="K10" s="599">
        <v>0</v>
      </c>
      <c r="L10" s="474">
        <f t="shared" si="0"/>
        <v>95680</v>
      </c>
      <c r="M10" s="468">
        <v>2500000</v>
      </c>
      <c r="N10" s="469">
        <f t="shared" si="1"/>
        <v>2709477.94</v>
      </c>
      <c r="O10" s="6"/>
      <c r="P10" s="6"/>
    </row>
    <row r="11" spans="1:16" ht="15.75">
      <c r="A11" s="6">
        <v>8</v>
      </c>
      <c r="B11" s="78">
        <v>46146</v>
      </c>
      <c r="C11" s="468" t="s">
        <v>420</v>
      </c>
      <c r="D11" s="468" t="s">
        <v>178</v>
      </c>
      <c r="E11" s="468" t="s">
        <v>421</v>
      </c>
      <c r="F11" s="468">
        <v>1500</v>
      </c>
      <c r="G11" s="468">
        <v>95.68</v>
      </c>
      <c r="H11" s="468">
        <v>143520</v>
      </c>
      <c r="I11" s="599"/>
      <c r="J11" s="599"/>
      <c r="K11" s="599"/>
      <c r="L11" s="474">
        <f t="shared" si="0"/>
        <v>143520</v>
      </c>
      <c r="M11" s="274"/>
      <c r="N11" s="469">
        <f t="shared" si="1"/>
        <v>2565957.94</v>
      </c>
      <c r="O11" s="6"/>
      <c r="P11" s="6"/>
    </row>
    <row r="12" spans="1:16" ht="15.75">
      <c r="A12" s="6">
        <v>9</v>
      </c>
      <c r="B12" s="78">
        <v>46146</v>
      </c>
      <c r="C12" s="468" t="s">
        <v>429</v>
      </c>
      <c r="D12" s="468" t="s">
        <v>430</v>
      </c>
      <c r="E12" s="468" t="s">
        <v>431</v>
      </c>
      <c r="F12" s="468">
        <v>110</v>
      </c>
      <c r="G12" s="468">
        <v>95.64</v>
      </c>
      <c r="H12" s="468">
        <v>10520.4</v>
      </c>
      <c r="I12" s="599"/>
      <c r="J12" s="599"/>
      <c r="K12" s="599"/>
      <c r="L12" s="474">
        <f t="shared" si="0"/>
        <v>10520.4</v>
      </c>
      <c r="M12" s="468"/>
      <c r="N12" s="469">
        <f t="shared" si="1"/>
        <v>2555437.54</v>
      </c>
      <c r="O12" s="6"/>
      <c r="P12" s="6"/>
    </row>
    <row r="13" spans="1:16" ht="15.75">
      <c r="A13" s="6">
        <v>10</v>
      </c>
      <c r="B13" s="78">
        <v>46146</v>
      </c>
      <c r="C13" s="468" t="s">
        <v>432</v>
      </c>
      <c r="D13" s="468" t="s">
        <v>433</v>
      </c>
      <c r="E13" s="468" t="s">
        <v>434</v>
      </c>
      <c r="F13" s="468">
        <v>2397.04</v>
      </c>
      <c r="G13" s="468">
        <v>91.78</v>
      </c>
      <c r="H13" s="468">
        <v>220000</v>
      </c>
      <c r="I13" s="599"/>
      <c r="J13" s="599"/>
      <c r="K13" s="599"/>
      <c r="L13" s="474">
        <f t="shared" si="0"/>
        <v>220000</v>
      </c>
      <c r="M13" s="363"/>
      <c r="N13" s="469">
        <f t="shared" si="1"/>
        <v>2335437.54</v>
      </c>
      <c r="O13" s="6"/>
      <c r="P13" s="6"/>
    </row>
    <row r="14" spans="1:16" ht="15.75">
      <c r="A14" s="6">
        <v>11</v>
      </c>
      <c r="B14" s="78">
        <v>46146</v>
      </c>
      <c r="C14" s="468" t="s">
        <v>435</v>
      </c>
      <c r="D14" s="468" t="s">
        <v>436</v>
      </c>
      <c r="E14" s="468" t="s">
        <v>437</v>
      </c>
      <c r="F14" s="468">
        <v>2189.87</v>
      </c>
      <c r="G14" s="468">
        <v>91.33</v>
      </c>
      <c r="H14" s="468">
        <v>200000</v>
      </c>
      <c r="I14" s="599"/>
      <c r="J14" s="599"/>
      <c r="K14" s="599"/>
      <c r="L14" s="474">
        <f t="shared" si="0"/>
        <v>200000</v>
      </c>
      <c r="M14" s="66"/>
      <c r="N14" s="469">
        <f t="shared" si="1"/>
        <v>2135437.54</v>
      </c>
      <c r="O14" s="6"/>
      <c r="P14" s="6"/>
    </row>
    <row r="15" spans="1:16" ht="15.75">
      <c r="A15" s="6">
        <v>12</v>
      </c>
      <c r="B15" s="78">
        <v>46146</v>
      </c>
      <c r="C15" s="468" t="s">
        <v>438</v>
      </c>
      <c r="D15" s="468"/>
      <c r="E15" s="468" t="s">
        <v>425</v>
      </c>
      <c r="F15" s="468">
        <v>6194.02</v>
      </c>
      <c r="G15" s="468">
        <v>91.54</v>
      </c>
      <c r="H15" s="468">
        <v>567000</v>
      </c>
      <c r="I15" s="473">
        <v>4.83</v>
      </c>
      <c r="J15" s="473">
        <v>103.5</v>
      </c>
      <c r="K15" s="473">
        <v>500</v>
      </c>
      <c r="L15" s="474">
        <f t="shared" si="0"/>
        <v>567500</v>
      </c>
      <c r="M15" s="66"/>
      <c r="N15" s="469">
        <f t="shared" si="1"/>
        <v>1567937.54</v>
      </c>
      <c r="O15" s="6"/>
      <c r="P15" s="6"/>
    </row>
    <row r="16" spans="1:16" ht="15.75">
      <c r="A16" s="6">
        <v>13</v>
      </c>
      <c r="B16" s="78">
        <v>46147</v>
      </c>
      <c r="C16" s="468" t="s">
        <v>420</v>
      </c>
      <c r="D16" s="468" t="s">
        <v>178</v>
      </c>
      <c r="E16" s="468" t="s">
        <v>421</v>
      </c>
      <c r="F16" s="468">
        <v>2700</v>
      </c>
      <c r="G16" s="468">
        <v>95.68</v>
      </c>
      <c r="H16" s="468">
        <v>258336</v>
      </c>
      <c r="I16" s="599"/>
      <c r="J16" s="599"/>
      <c r="K16" s="599"/>
      <c r="L16" s="474">
        <f t="shared" si="0"/>
        <v>258336</v>
      </c>
      <c r="M16" s="66"/>
      <c r="N16" s="469">
        <f t="shared" si="1"/>
        <v>1309601.54</v>
      </c>
      <c r="O16" s="6"/>
      <c r="P16" s="6"/>
    </row>
    <row r="17" spans="1:16" ht="15.75">
      <c r="A17" s="6">
        <v>14</v>
      </c>
      <c r="B17" s="78">
        <v>46147</v>
      </c>
      <c r="C17" s="468" t="s">
        <v>422</v>
      </c>
      <c r="D17" s="468" t="s">
        <v>178</v>
      </c>
      <c r="E17" s="468" t="s">
        <v>421</v>
      </c>
      <c r="F17" s="468">
        <v>2800</v>
      </c>
      <c r="G17" s="468">
        <v>95.68</v>
      </c>
      <c r="H17" s="468">
        <v>267904</v>
      </c>
      <c r="I17" s="599"/>
      <c r="J17" s="599"/>
      <c r="K17" s="599"/>
      <c r="L17" s="474">
        <f t="shared" si="0"/>
        <v>267904</v>
      </c>
      <c r="M17" s="66"/>
      <c r="N17" s="469">
        <f t="shared" si="1"/>
        <v>1041697.54</v>
      </c>
      <c r="O17" s="6"/>
      <c r="P17" s="6"/>
    </row>
    <row r="18" spans="1:16" ht="15.75">
      <c r="A18" s="6">
        <v>15</v>
      </c>
      <c r="B18" s="78">
        <v>46147</v>
      </c>
      <c r="C18" s="468" t="s">
        <v>428</v>
      </c>
      <c r="D18" s="468" t="s">
        <v>426</v>
      </c>
      <c r="E18" s="468" t="s">
        <v>421</v>
      </c>
      <c r="F18" s="468">
        <v>1000</v>
      </c>
      <c r="G18" s="468">
        <v>95.68</v>
      </c>
      <c r="H18" s="468">
        <v>95680</v>
      </c>
      <c r="I18" s="599"/>
      <c r="J18" s="599"/>
      <c r="K18" s="599"/>
      <c r="L18" s="474">
        <f t="shared" si="0"/>
        <v>95680</v>
      </c>
      <c r="M18" s="66"/>
      <c r="N18" s="469">
        <f t="shared" si="1"/>
        <v>946017.54</v>
      </c>
      <c r="O18" s="6"/>
      <c r="P18" s="6"/>
    </row>
    <row r="19" spans="1:16" ht="15.75">
      <c r="A19" s="6">
        <v>16</v>
      </c>
      <c r="B19" s="78">
        <v>46147</v>
      </c>
      <c r="C19" s="468" t="s">
        <v>439</v>
      </c>
      <c r="D19" s="468" t="s">
        <v>440</v>
      </c>
      <c r="E19" s="468" t="s">
        <v>431</v>
      </c>
      <c r="F19" s="468">
        <v>2732.85</v>
      </c>
      <c r="G19" s="468">
        <v>91.48</v>
      </c>
      <c r="H19" s="468">
        <v>250000</v>
      </c>
      <c r="I19" s="599"/>
      <c r="J19" s="599"/>
      <c r="K19" s="599"/>
      <c r="L19" s="474">
        <f t="shared" si="0"/>
        <v>250000</v>
      </c>
      <c r="M19" s="66"/>
      <c r="N19" s="469">
        <f t="shared" si="1"/>
        <v>696017.54</v>
      </c>
      <c r="O19" s="6"/>
      <c r="P19" s="6"/>
    </row>
    <row r="20" spans="1:16" ht="15.75">
      <c r="A20" s="6">
        <v>17</v>
      </c>
      <c r="B20" s="78">
        <v>46147</v>
      </c>
      <c r="C20" s="468" t="s">
        <v>441</v>
      </c>
      <c r="D20" s="468"/>
      <c r="E20" s="468" t="s">
        <v>431</v>
      </c>
      <c r="F20" s="468">
        <v>200</v>
      </c>
      <c r="G20" s="468">
        <v>91.89</v>
      </c>
      <c r="H20" s="468">
        <v>18378</v>
      </c>
      <c r="I20" s="599"/>
      <c r="J20" s="599"/>
      <c r="K20" s="599"/>
      <c r="L20" s="474">
        <f t="shared" si="0"/>
        <v>18378</v>
      </c>
      <c r="M20" s="44"/>
      <c r="N20" s="469">
        <f t="shared" si="1"/>
        <v>677639.54</v>
      </c>
      <c r="O20" s="6"/>
      <c r="P20" s="6"/>
    </row>
    <row r="21" spans="1:16" ht="15.75">
      <c r="A21" s="6">
        <v>18</v>
      </c>
      <c r="B21" s="78">
        <v>46147</v>
      </c>
      <c r="C21" s="468" t="s">
        <v>442</v>
      </c>
      <c r="D21" s="468"/>
      <c r="E21" s="468" t="s">
        <v>443</v>
      </c>
      <c r="F21" s="468">
        <v>2176.5300000000002</v>
      </c>
      <c r="G21" s="468">
        <v>91.89</v>
      </c>
      <c r="H21" s="468">
        <v>200000</v>
      </c>
      <c r="I21" s="599"/>
      <c r="J21" s="599"/>
      <c r="K21" s="599"/>
      <c r="L21" s="474">
        <f t="shared" si="0"/>
        <v>200000</v>
      </c>
      <c r="M21" s="44"/>
      <c r="N21" s="469">
        <f t="shared" si="1"/>
        <v>477639.54000000004</v>
      </c>
      <c r="O21" s="6"/>
      <c r="P21" s="6"/>
    </row>
    <row r="22" spans="1:16" ht="15.75">
      <c r="A22" s="6">
        <v>19</v>
      </c>
      <c r="B22" s="78">
        <v>46147</v>
      </c>
      <c r="C22" s="468" t="s">
        <v>423</v>
      </c>
      <c r="D22" s="468" t="s">
        <v>424</v>
      </c>
      <c r="E22" s="468" t="s">
        <v>425</v>
      </c>
      <c r="F22" s="468"/>
      <c r="G22" s="468"/>
      <c r="H22" s="468"/>
      <c r="I22" s="473">
        <v>4.83</v>
      </c>
      <c r="J22" s="473">
        <v>103.4</v>
      </c>
      <c r="K22" s="599">
        <v>500</v>
      </c>
      <c r="L22" s="474">
        <f t="shared" si="0"/>
        <v>500</v>
      </c>
      <c r="M22" s="44"/>
      <c r="N22" s="469">
        <f t="shared" si="1"/>
        <v>477139.54000000004</v>
      </c>
      <c r="O22" s="6"/>
      <c r="P22" s="6"/>
    </row>
    <row r="23" spans="1:16" ht="15.75">
      <c r="A23" s="6">
        <v>20</v>
      </c>
      <c r="B23" s="78">
        <v>46148</v>
      </c>
      <c r="C23" s="468" t="s">
        <v>420</v>
      </c>
      <c r="D23" s="468" t="s">
        <v>178</v>
      </c>
      <c r="E23" s="468" t="s">
        <v>421</v>
      </c>
      <c r="F23" s="468">
        <v>1400</v>
      </c>
      <c r="G23" s="468">
        <v>95.68</v>
      </c>
      <c r="H23" s="468">
        <v>133952</v>
      </c>
      <c r="I23" s="599"/>
      <c r="J23" s="599"/>
      <c r="K23" s="599"/>
      <c r="L23" s="474">
        <f t="shared" si="0"/>
        <v>133952</v>
      </c>
      <c r="M23" s="44">
        <v>700000</v>
      </c>
      <c r="N23" s="469">
        <f t="shared" si="1"/>
        <v>1043187.54</v>
      </c>
      <c r="O23" s="6"/>
      <c r="P23" s="6"/>
    </row>
    <row r="24" spans="1:16" ht="15.75">
      <c r="A24" s="6">
        <v>21</v>
      </c>
      <c r="B24" s="78">
        <v>46148</v>
      </c>
      <c r="C24" s="468" t="s">
        <v>422</v>
      </c>
      <c r="D24" s="468" t="s">
        <v>178</v>
      </c>
      <c r="E24" s="468" t="s">
        <v>421</v>
      </c>
      <c r="F24" s="468">
        <v>2800</v>
      </c>
      <c r="G24" s="468">
        <v>95.68</v>
      </c>
      <c r="H24" s="468">
        <v>267904</v>
      </c>
      <c r="I24" s="599"/>
      <c r="J24" s="599"/>
      <c r="K24" s="599"/>
      <c r="L24" s="474">
        <f t="shared" si="0"/>
        <v>267904</v>
      </c>
      <c r="M24" s="44"/>
      <c r="N24" s="469">
        <f t="shared" si="1"/>
        <v>775283.54</v>
      </c>
      <c r="O24" s="6"/>
      <c r="P24" s="6"/>
    </row>
    <row r="25" spans="1:16" ht="15.75">
      <c r="A25" s="6">
        <v>22</v>
      </c>
      <c r="B25" s="78">
        <v>46148</v>
      </c>
      <c r="C25" s="468" t="s">
        <v>423</v>
      </c>
      <c r="D25" s="468" t="s">
        <v>424</v>
      </c>
      <c r="E25" s="468" t="s">
        <v>425</v>
      </c>
      <c r="F25" s="468"/>
      <c r="G25" s="468"/>
      <c r="H25" s="468"/>
      <c r="I25" s="599">
        <v>24.16</v>
      </c>
      <c r="J25" s="473">
        <v>103.44</v>
      </c>
      <c r="K25" s="599">
        <v>2500</v>
      </c>
      <c r="L25" s="474">
        <f t="shared" si="0"/>
        <v>2500</v>
      </c>
      <c r="M25" s="44"/>
      <c r="N25" s="469">
        <f t="shared" si="1"/>
        <v>772783.54</v>
      </c>
      <c r="O25" s="6"/>
      <c r="P25" s="6"/>
    </row>
    <row r="26" spans="1:16" ht="15.75">
      <c r="A26" s="6">
        <v>23</v>
      </c>
      <c r="B26" s="78">
        <v>46148</v>
      </c>
      <c r="C26" s="468" t="s">
        <v>322</v>
      </c>
      <c r="D26" s="468" t="s">
        <v>426</v>
      </c>
      <c r="E26" s="468" t="s">
        <v>427</v>
      </c>
      <c r="F26" s="468">
        <v>1500</v>
      </c>
      <c r="G26" s="468">
        <v>91.66</v>
      </c>
      <c r="H26" s="468">
        <v>137490</v>
      </c>
      <c r="I26" s="599"/>
      <c r="J26" s="599"/>
      <c r="K26" s="599"/>
      <c r="L26" s="474">
        <f t="shared" si="0"/>
        <v>137490</v>
      </c>
      <c r="M26" s="44"/>
      <c r="N26" s="469">
        <f t="shared" si="1"/>
        <v>635293.54</v>
      </c>
      <c r="O26" s="6"/>
      <c r="P26" s="6"/>
    </row>
    <row r="27" spans="1:16" ht="15.75">
      <c r="A27" s="6">
        <v>24</v>
      </c>
      <c r="B27" s="78">
        <v>46149</v>
      </c>
      <c r="C27" s="468" t="s">
        <v>422</v>
      </c>
      <c r="D27" s="468" t="s">
        <v>444</v>
      </c>
      <c r="E27" s="468" t="s">
        <v>421</v>
      </c>
      <c r="F27" s="468">
        <v>2597.1999999999998</v>
      </c>
      <c r="G27" s="468">
        <v>95.68</v>
      </c>
      <c r="H27" s="468">
        <v>248500</v>
      </c>
      <c r="I27" s="599"/>
      <c r="J27" s="599"/>
      <c r="K27" s="599"/>
      <c r="L27" s="474">
        <f t="shared" si="0"/>
        <v>248500</v>
      </c>
      <c r="M27" s="44"/>
      <c r="N27" s="469">
        <f t="shared" si="1"/>
        <v>386793.54000000004</v>
      </c>
      <c r="O27" s="6"/>
      <c r="P27" s="6"/>
    </row>
    <row r="28" spans="1:16" ht="15.75">
      <c r="A28" s="6">
        <v>25</v>
      </c>
      <c r="B28" s="78">
        <v>46149</v>
      </c>
      <c r="C28" s="468" t="s">
        <v>445</v>
      </c>
      <c r="D28" s="468" t="s">
        <v>430</v>
      </c>
      <c r="E28" s="468" t="s">
        <v>431</v>
      </c>
      <c r="F28" s="468">
        <v>70</v>
      </c>
      <c r="G28" s="468">
        <v>95.64</v>
      </c>
      <c r="H28" s="468">
        <v>6694.8</v>
      </c>
      <c r="I28" s="599"/>
      <c r="J28" s="599"/>
      <c r="K28" s="599"/>
      <c r="L28" s="474">
        <f t="shared" si="0"/>
        <v>6694.8</v>
      </c>
      <c r="M28" s="44"/>
      <c r="N28" s="469">
        <f t="shared" si="1"/>
        <v>380098.74000000005</v>
      </c>
      <c r="O28" s="6"/>
      <c r="P28" s="6"/>
    </row>
    <row r="29" spans="1:16" ht="15.75">
      <c r="A29" s="6">
        <v>26</v>
      </c>
      <c r="B29" s="78">
        <v>46149</v>
      </c>
      <c r="C29" s="468" t="s">
        <v>429</v>
      </c>
      <c r="D29" s="468" t="s">
        <v>430</v>
      </c>
      <c r="E29" s="468" t="s">
        <v>431</v>
      </c>
      <c r="F29" s="468">
        <v>35</v>
      </c>
      <c r="G29" s="468">
        <v>95.64</v>
      </c>
      <c r="H29" s="468">
        <v>3347.4</v>
      </c>
      <c r="I29" s="599"/>
      <c r="J29" s="599"/>
      <c r="K29" s="599"/>
      <c r="L29" s="474">
        <f t="shared" si="0"/>
        <v>3347.4</v>
      </c>
      <c r="M29" s="44"/>
      <c r="N29" s="469">
        <f t="shared" si="1"/>
        <v>376751.34</v>
      </c>
      <c r="O29" s="6"/>
      <c r="P29" s="6"/>
    </row>
    <row r="30" spans="1:16" ht="15.75">
      <c r="A30" s="6">
        <v>27</v>
      </c>
      <c r="B30" s="78">
        <v>46149</v>
      </c>
      <c r="C30" s="468" t="s">
        <v>322</v>
      </c>
      <c r="D30" s="468" t="s">
        <v>426</v>
      </c>
      <c r="E30" s="468" t="s">
        <v>427</v>
      </c>
      <c r="F30" s="468">
        <v>2000</v>
      </c>
      <c r="G30" s="468">
        <v>91.66</v>
      </c>
      <c r="H30" s="468">
        <v>183320</v>
      </c>
      <c r="I30" s="599"/>
      <c r="J30" s="599"/>
      <c r="K30" s="599"/>
      <c r="L30" s="474">
        <f t="shared" si="0"/>
        <v>183320</v>
      </c>
      <c r="M30" s="47"/>
      <c r="N30" s="469">
        <f t="shared" si="1"/>
        <v>193431.34000000003</v>
      </c>
      <c r="O30" s="6"/>
      <c r="P30" s="6"/>
    </row>
    <row r="31" spans="1:16" ht="15.75">
      <c r="A31" s="6">
        <v>28</v>
      </c>
      <c r="B31" s="78">
        <v>46149</v>
      </c>
      <c r="C31" s="468" t="s">
        <v>335</v>
      </c>
      <c r="D31" s="468" t="s">
        <v>426</v>
      </c>
      <c r="E31" s="468" t="s">
        <v>427</v>
      </c>
      <c r="F31" s="468">
        <v>1091.58</v>
      </c>
      <c r="G31" s="468">
        <v>91.61</v>
      </c>
      <c r="H31" s="468">
        <v>100000</v>
      </c>
      <c r="I31" s="599"/>
      <c r="J31" s="599"/>
      <c r="K31" s="599"/>
      <c r="L31" s="474">
        <f t="shared" si="0"/>
        <v>100000</v>
      </c>
      <c r="M31" s="47"/>
      <c r="N31" s="469">
        <f t="shared" si="1"/>
        <v>93431.340000000026</v>
      </c>
      <c r="O31" s="6"/>
      <c r="P31" s="6"/>
    </row>
    <row r="32" spans="1:16" ht="15.75">
      <c r="A32" s="6">
        <v>29</v>
      </c>
      <c r="B32" s="78">
        <v>46150</v>
      </c>
      <c r="C32" s="468" t="s">
        <v>420</v>
      </c>
      <c r="D32" s="468" t="s">
        <v>178</v>
      </c>
      <c r="E32" s="468" t="s">
        <v>421</v>
      </c>
      <c r="F32" s="468">
        <v>2800</v>
      </c>
      <c r="G32" s="468">
        <v>95.68</v>
      </c>
      <c r="H32" s="468">
        <v>267904</v>
      </c>
      <c r="I32" s="599"/>
      <c r="J32" s="599"/>
      <c r="K32" s="599"/>
      <c r="L32" s="474">
        <f t="shared" si="0"/>
        <v>267904</v>
      </c>
      <c r="M32" s="47">
        <v>1400000</v>
      </c>
      <c r="N32" s="469">
        <f t="shared" si="1"/>
        <v>1225527.3400000001</v>
      </c>
      <c r="O32" s="6"/>
      <c r="P32" s="6"/>
    </row>
    <row r="33" spans="1:16" ht="15.75">
      <c r="A33" s="6">
        <v>30</v>
      </c>
      <c r="B33" s="78">
        <v>46150</v>
      </c>
      <c r="C33" s="468" t="s">
        <v>441</v>
      </c>
      <c r="D33" s="468" t="s">
        <v>106</v>
      </c>
      <c r="E33" s="468" t="s">
        <v>431</v>
      </c>
      <c r="F33" s="468"/>
      <c r="G33" s="468"/>
      <c r="H33" s="468"/>
      <c r="I33" s="473">
        <v>25</v>
      </c>
      <c r="J33" s="473">
        <v>103.81</v>
      </c>
      <c r="K33" s="473">
        <v>2595.25</v>
      </c>
      <c r="L33" s="474">
        <f t="shared" si="0"/>
        <v>2595.25</v>
      </c>
      <c r="M33" s="47"/>
      <c r="N33" s="469">
        <f t="shared" si="1"/>
        <v>1222932.0900000001</v>
      </c>
      <c r="O33" s="6"/>
      <c r="P33" s="6"/>
    </row>
    <row r="34" spans="1:16" ht="15.75">
      <c r="A34" s="6">
        <v>31</v>
      </c>
      <c r="B34" s="78">
        <v>46150</v>
      </c>
      <c r="C34" s="468" t="s">
        <v>429</v>
      </c>
      <c r="D34" s="468" t="s">
        <v>430</v>
      </c>
      <c r="E34" s="468" t="s">
        <v>431</v>
      </c>
      <c r="F34" s="468">
        <v>120</v>
      </c>
      <c r="G34" s="468">
        <v>95.64</v>
      </c>
      <c r="H34" s="468">
        <v>11476.8</v>
      </c>
      <c r="I34" s="599"/>
      <c r="J34" s="599"/>
      <c r="K34" s="599"/>
      <c r="L34" s="474">
        <f t="shared" si="0"/>
        <v>11476.8</v>
      </c>
      <c r="M34" s="47"/>
      <c r="N34" s="469">
        <f t="shared" si="1"/>
        <v>1211455.29</v>
      </c>
      <c r="O34" s="6"/>
      <c r="P34" s="6"/>
    </row>
    <row r="35" spans="1:16" ht="15.75">
      <c r="A35" s="6">
        <v>32</v>
      </c>
      <c r="B35" s="78">
        <v>46150</v>
      </c>
      <c r="C35" s="468" t="s">
        <v>335</v>
      </c>
      <c r="D35" s="468" t="s">
        <v>426</v>
      </c>
      <c r="E35" s="468" t="s">
        <v>427</v>
      </c>
      <c r="F35" s="468">
        <v>908.42</v>
      </c>
      <c r="G35" s="468">
        <v>91.61</v>
      </c>
      <c r="H35" s="468">
        <v>83220</v>
      </c>
      <c r="I35" s="600"/>
      <c r="J35" s="600"/>
      <c r="K35" s="600"/>
      <c r="L35" s="474">
        <f t="shared" si="0"/>
        <v>83220</v>
      </c>
      <c r="M35" s="6"/>
      <c r="N35" s="469">
        <f t="shared" si="1"/>
        <v>1128235.29</v>
      </c>
      <c r="O35" s="6"/>
      <c r="P35" s="6"/>
    </row>
    <row r="36" spans="1:16" ht="15.75">
      <c r="A36" s="6">
        <v>33</v>
      </c>
      <c r="B36" s="78">
        <v>46150</v>
      </c>
      <c r="C36" s="468" t="s">
        <v>423</v>
      </c>
      <c r="D36" s="468" t="s">
        <v>424</v>
      </c>
      <c r="E36" s="468" t="s">
        <v>425</v>
      </c>
      <c r="F36" s="468">
        <v>16.39</v>
      </c>
      <c r="G36" s="468">
        <v>91.51</v>
      </c>
      <c r="H36" s="468">
        <v>1500</v>
      </c>
      <c r="I36" s="600"/>
      <c r="J36" s="600"/>
      <c r="K36" s="600"/>
      <c r="L36" s="474">
        <f t="shared" si="0"/>
        <v>1500</v>
      </c>
      <c r="M36" s="6"/>
      <c r="N36" s="469">
        <f t="shared" si="1"/>
        <v>1126735.29</v>
      </c>
      <c r="O36" s="6"/>
      <c r="P36" s="6"/>
    </row>
    <row r="37" spans="1:16" ht="15.75">
      <c r="A37" s="6">
        <v>34</v>
      </c>
      <c r="B37" s="78">
        <v>46151</v>
      </c>
      <c r="C37" s="468" t="s">
        <v>422</v>
      </c>
      <c r="D37" s="468" t="s">
        <v>178</v>
      </c>
      <c r="E37" s="468" t="s">
        <v>421</v>
      </c>
      <c r="F37" s="468">
        <v>2800</v>
      </c>
      <c r="G37" s="468">
        <v>95.68</v>
      </c>
      <c r="H37" s="468">
        <v>267904</v>
      </c>
      <c r="I37" s="600"/>
      <c r="J37" s="600"/>
      <c r="K37" s="600"/>
      <c r="L37" s="474">
        <f t="shared" si="0"/>
        <v>267904</v>
      </c>
      <c r="M37" s="6"/>
      <c r="N37" s="469">
        <f t="shared" si="1"/>
        <v>858831.29</v>
      </c>
      <c r="O37" s="6"/>
      <c r="P37" s="6"/>
    </row>
    <row r="38" spans="1:16" ht="15.75">
      <c r="A38" s="6">
        <v>35</v>
      </c>
      <c r="B38" s="78">
        <v>46151</v>
      </c>
      <c r="C38" s="468" t="s">
        <v>423</v>
      </c>
      <c r="D38" s="468" t="s">
        <v>424</v>
      </c>
      <c r="E38" s="468" t="s">
        <v>425</v>
      </c>
      <c r="F38" s="468">
        <v>5.46</v>
      </c>
      <c r="G38" s="468">
        <v>91.51</v>
      </c>
      <c r="H38" s="468">
        <v>500</v>
      </c>
      <c r="I38" s="600"/>
      <c r="J38" s="600"/>
      <c r="K38" s="600"/>
      <c r="L38" s="474">
        <f t="shared" si="0"/>
        <v>500</v>
      </c>
      <c r="M38" s="6"/>
      <c r="N38" s="469">
        <f t="shared" si="1"/>
        <v>858331.29</v>
      </c>
      <c r="O38" s="6"/>
      <c r="P38" s="6"/>
    </row>
    <row r="39" spans="1:16" ht="15.75">
      <c r="A39" s="6">
        <v>36</v>
      </c>
      <c r="B39" s="78">
        <v>46152</v>
      </c>
      <c r="C39" s="468" t="s">
        <v>423</v>
      </c>
      <c r="D39" s="468" t="s">
        <v>424</v>
      </c>
      <c r="E39" s="468" t="s">
        <v>425</v>
      </c>
      <c r="F39" s="468"/>
      <c r="G39" s="468"/>
      <c r="H39" s="468"/>
      <c r="I39" s="473">
        <v>4.83</v>
      </c>
      <c r="J39" s="473">
        <v>103.44</v>
      </c>
      <c r="K39" s="473">
        <v>500</v>
      </c>
      <c r="L39" s="474">
        <f t="shared" si="0"/>
        <v>500</v>
      </c>
      <c r="M39" s="6"/>
      <c r="N39" s="469">
        <f t="shared" si="1"/>
        <v>857831.29</v>
      </c>
      <c r="O39" s="6"/>
      <c r="P39" s="6"/>
    </row>
    <row r="40" spans="1:16" ht="15.75">
      <c r="A40" s="6">
        <v>37</v>
      </c>
      <c r="B40" s="78">
        <v>46152</v>
      </c>
      <c r="C40" s="468" t="s">
        <v>420</v>
      </c>
      <c r="D40" s="468" t="s">
        <v>178</v>
      </c>
      <c r="E40" s="468" t="s">
        <v>421</v>
      </c>
      <c r="F40" s="468">
        <v>2500</v>
      </c>
      <c r="G40" s="468">
        <v>95.68</v>
      </c>
      <c r="H40" s="468">
        <v>239200</v>
      </c>
      <c r="I40" s="600"/>
      <c r="J40" s="600"/>
      <c r="K40" s="600"/>
      <c r="L40" s="474">
        <f t="shared" si="0"/>
        <v>239200</v>
      </c>
      <c r="M40" s="6"/>
      <c r="N40" s="469">
        <f t="shared" si="1"/>
        <v>618631.29</v>
      </c>
      <c r="O40" s="6"/>
      <c r="P40" s="6"/>
    </row>
    <row r="41" spans="1:16" ht="15.75">
      <c r="A41" s="6">
        <v>38</v>
      </c>
      <c r="B41" s="78">
        <v>46153</v>
      </c>
      <c r="C41" s="468" t="s">
        <v>446</v>
      </c>
      <c r="D41" s="468"/>
      <c r="E41" s="468" t="s">
        <v>431</v>
      </c>
      <c r="F41" s="468">
        <v>300</v>
      </c>
      <c r="G41" s="468">
        <v>91.39</v>
      </c>
      <c r="H41" s="468">
        <v>27417</v>
      </c>
      <c r="I41" s="600"/>
      <c r="J41" s="600"/>
      <c r="K41" s="600"/>
      <c r="L41" s="474">
        <f t="shared" si="0"/>
        <v>27417</v>
      </c>
      <c r="M41" s="6"/>
      <c r="N41" s="469">
        <f t="shared" si="1"/>
        <v>591214.29</v>
      </c>
      <c r="O41" s="6"/>
      <c r="P41" s="66"/>
    </row>
    <row r="42" spans="1:16" ht="15.75">
      <c r="A42" s="6">
        <v>39</v>
      </c>
      <c r="B42" s="470">
        <v>46153</v>
      </c>
      <c r="C42" s="468" t="s">
        <v>429</v>
      </c>
      <c r="D42" s="468"/>
      <c r="E42" s="468" t="s">
        <v>431</v>
      </c>
      <c r="F42" s="468">
        <v>107.18</v>
      </c>
      <c r="G42" s="468">
        <v>95.64</v>
      </c>
      <c r="H42" s="468">
        <v>10250.4</v>
      </c>
      <c r="I42" s="601"/>
      <c r="J42" s="601"/>
      <c r="K42" s="601"/>
      <c r="L42" s="474">
        <f t="shared" si="0"/>
        <v>10250.4</v>
      </c>
      <c r="M42" s="168"/>
      <c r="N42" s="469">
        <f t="shared" si="1"/>
        <v>580963.89</v>
      </c>
      <c r="O42" s="168"/>
      <c r="P42" s="168"/>
    </row>
    <row r="43" spans="1:16" ht="15.75">
      <c r="A43" s="6">
        <v>40</v>
      </c>
      <c r="B43" s="470">
        <v>46153</v>
      </c>
      <c r="C43" s="468" t="s">
        <v>423</v>
      </c>
      <c r="D43" s="468"/>
      <c r="E43" s="468" t="s">
        <v>425</v>
      </c>
      <c r="F43" s="468"/>
      <c r="G43" s="468"/>
      <c r="H43" s="468"/>
      <c r="I43" s="473">
        <v>4.83</v>
      </c>
      <c r="J43" s="473">
        <v>103.44</v>
      </c>
      <c r="K43" s="473">
        <v>500</v>
      </c>
      <c r="L43" s="474">
        <f t="shared" si="0"/>
        <v>500</v>
      </c>
      <c r="M43" s="168"/>
      <c r="N43" s="469">
        <f t="shared" si="1"/>
        <v>580463.89</v>
      </c>
      <c r="O43" s="168"/>
      <c r="P43" s="168"/>
    </row>
    <row r="44" spans="1:16" ht="15.75">
      <c r="A44" s="6">
        <v>41</v>
      </c>
      <c r="B44" s="471">
        <v>46153</v>
      </c>
      <c r="C44" s="468" t="s">
        <v>435</v>
      </c>
      <c r="D44" s="468"/>
      <c r="E44" s="468" t="s">
        <v>437</v>
      </c>
      <c r="F44" s="468">
        <v>1970.88</v>
      </c>
      <c r="G44" s="468">
        <v>91.33</v>
      </c>
      <c r="H44" s="468">
        <v>180000</v>
      </c>
      <c r="I44" s="600"/>
      <c r="J44" s="600"/>
      <c r="K44" s="600"/>
      <c r="L44" s="474">
        <f t="shared" si="0"/>
        <v>180000</v>
      </c>
      <c r="M44" s="6"/>
      <c r="N44" s="469">
        <f t="shared" si="1"/>
        <v>400463.89</v>
      </c>
      <c r="O44" s="6"/>
      <c r="P44" s="6"/>
    </row>
    <row r="45" spans="1:16" ht="15.75">
      <c r="A45" s="6">
        <v>42</v>
      </c>
      <c r="B45" s="471">
        <v>46154</v>
      </c>
      <c r="C45" s="468" t="s">
        <v>447</v>
      </c>
      <c r="D45" s="468"/>
      <c r="E45" s="468" t="s">
        <v>448</v>
      </c>
      <c r="F45" s="468">
        <v>500</v>
      </c>
      <c r="G45" s="468">
        <v>96.3</v>
      </c>
      <c r="H45" s="468">
        <v>48150</v>
      </c>
      <c r="I45" s="600"/>
      <c r="J45" s="600"/>
      <c r="K45" s="600"/>
      <c r="L45" s="474">
        <f t="shared" si="0"/>
        <v>48150</v>
      </c>
      <c r="M45" s="6"/>
      <c r="N45" s="469">
        <f t="shared" si="1"/>
        <v>352313.89</v>
      </c>
      <c r="O45" s="6"/>
      <c r="P45" s="6"/>
    </row>
    <row r="46" spans="1:16" ht="15.75">
      <c r="A46" s="6">
        <v>43</v>
      </c>
      <c r="B46" s="471">
        <v>46154</v>
      </c>
      <c r="C46" s="468" t="s">
        <v>423</v>
      </c>
      <c r="D46" s="468"/>
      <c r="E46" s="468" t="s">
        <v>425</v>
      </c>
      <c r="F46" s="468"/>
      <c r="G46" s="468"/>
      <c r="H46" s="468"/>
      <c r="I46" s="600">
        <v>14.5</v>
      </c>
      <c r="J46" s="600">
        <v>103.44</v>
      </c>
      <c r="K46" s="600">
        <v>1500</v>
      </c>
      <c r="L46" s="474">
        <f t="shared" si="0"/>
        <v>1500</v>
      </c>
      <c r="M46" s="6"/>
      <c r="N46" s="469">
        <f t="shared" si="1"/>
        <v>350813.89</v>
      </c>
      <c r="O46" s="6"/>
      <c r="P46" s="6"/>
    </row>
    <row r="47" spans="1:16" ht="15.75">
      <c r="A47" s="6">
        <v>44</v>
      </c>
      <c r="B47" s="471">
        <v>46154</v>
      </c>
      <c r="C47" s="468" t="s">
        <v>422</v>
      </c>
      <c r="D47" s="468"/>
      <c r="E47" s="468" t="s">
        <v>421</v>
      </c>
      <c r="F47" s="468">
        <v>3019.99</v>
      </c>
      <c r="G47" s="468">
        <v>95.68</v>
      </c>
      <c r="H47" s="468">
        <v>288953</v>
      </c>
      <c r="I47" s="600"/>
      <c r="J47" s="600"/>
      <c r="K47" s="600"/>
      <c r="L47" s="474">
        <f t="shared" si="0"/>
        <v>288953</v>
      </c>
      <c r="M47" s="6"/>
      <c r="N47" s="469">
        <f t="shared" si="1"/>
        <v>61860.890000000014</v>
      </c>
      <c r="O47" s="6"/>
      <c r="P47" s="6"/>
    </row>
    <row r="48" spans="1:16" ht="15.75">
      <c r="A48" s="6">
        <v>45</v>
      </c>
      <c r="B48" s="471">
        <v>46155</v>
      </c>
      <c r="C48" s="468" t="s">
        <v>447</v>
      </c>
      <c r="D48" s="468"/>
      <c r="E48" s="468" t="s">
        <v>448</v>
      </c>
      <c r="F48" s="468">
        <v>500</v>
      </c>
      <c r="G48" s="468">
        <v>96.3</v>
      </c>
      <c r="H48" s="468">
        <v>48150</v>
      </c>
      <c r="I48" s="600"/>
      <c r="J48" s="600"/>
      <c r="K48" s="600"/>
      <c r="L48" s="474">
        <f t="shared" si="0"/>
        <v>48150</v>
      </c>
      <c r="M48" s="6">
        <v>600000</v>
      </c>
      <c r="N48" s="469">
        <f t="shared" si="1"/>
        <v>613710.89</v>
      </c>
      <c r="O48" s="6"/>
      <c r="P48" s="6"/>
    </row>
    <row r="49" spans="1:16" ht="15.75">
      <c r="A49" s="6">
        <v>46</v>
      </c>
      <c r="B49" s="471">
        <v>46155</v>
      </c>
      <c r="C49" s="468" t="s">
        <v>420</v>
      </c>
      <c r="D49" s="468"/>
      <c r="E49" s="468" t="s">
        <v>421</v>
      </c>
      <c r="F49" s="468">
        <v>4875.88</v>
      </c>
      <c r="G49" s="468">
        <v>95.68</v>
      </c>
      <c r="H49" s="468">
        <v>466524.19</v>
      </c>
      <c r="I49" s="600"/>
      <c r="J49" s="600"/>
      <c r="K49" s="600"/>
      <c r="L49" s="474">
        <f t="shared" si="0"/>
        <v>466524.19</v>
      </c>
      <c r="M49" s="6"/>
      <c r="N49" s="469">
        <f t="shared" si="1"/>
        <v>147186.70000000001</v>
      </c>
      <c r="O49" s="6"/>
      <c r="P49" s="6"/>
    </row>
    <row r="50" spans="1:16" ht="15.75">
      <c r="A50" s="6">
        <v>47</v>
      </c>
      <c r="B50" s="471">
        <v>46155</v>
      </c>
      <c r="C50" s="468" t="s">
        <v>432</v>
      </c>
      <c r="D50" s="468"/>
      <c r="E50" s="468" t="s">
        <v>434</v>
      </c>
      <c r="F50" s="468">
        <v>1089.56</v>
      </c>
      <c r="G50" s="468">
        <v>91.78</v>
      </c>
      <c r="H50" s="468">
        <v>100000</v>
      </c>
      <c r="I50" s="600"/>
      <c r="J50" s="600"/>
      <c r="K50" s="600"/>
      <c r="L50" s="474">
        <f t="shared" si="0"/>
        <v>100000</v>
      </c>
      <c r="M50" s="6"/>
      <c r="N50" s="469">
        <f t="shared" si="1"/>
        <v>47186.700000000012</v>
      </c>
      <c r="O50" s="6"/>
      <c r="P50" s="6"/>
    </row>
    <row r="51" spans="1:16" ht="15.75">
      <c r="A51" s="6">
        <v>48</v>
      </c>
      <c r="B51" s="471">
        <v>46155</v>
      </c>
      <c r="C51" s="468" t="s">
        <v>449</v>
      </c>
      <c r="D51" s="468"/>
      <c r="E51" s="468" t="s">
        <v>425</v>
      </c>
      <c r="F51" s="468">
        <v>100</v>
      </c>
      <c r="G51" s="468">
        <v>91.19</v>
      </c>
      <c r="H51" s="468">
        <v>9119</v>
      </c>
      <c r="I51" s="600"/>
      <c r="J51" s="600"/>
      <c r="K51" s="600"/>
      <c r="L51" s="474">
        <f t="shared" si="0"/>
        <v>9119</v>
      </c>
      <c r="M51" s="6"/>
      <c r="N51" s="469">
        <f t="shared" si="1"/>
        <v>38067.700000000012</v>
      </c>
      <c r="O51" s="6"/>
      <c r="P51" s="6"/>
    </row>
    <row r="52" spans="1:16" ht="15.75">
      <c r="A52" s="6">
        <v>49</v>
      </c>
      <c r="B52" s="471">
        <v>46155</v>
      </c>
      <c r="C52" s="468" t="s">
        <v>423</v>
      </c>
      <c r="D52" s="468"/>
      <c r="E52" s="468" t="s">
        <v>425</v>
      </c>
      <c r="F52" s="468">
        <v>5.46</v>
      </c>
      <c r="G52" s="468">
        <v>91.51</v>
      </c>
      <c r="H52" s="468">
        <v>500</v>
      </c>
      <c r="I52" s="600"/>
      <c r="J52" s="600"/>
      <c r="K52" s="600"/>
      <c r="L52" s="474">
        <f t="shared" si="0"/>
        <v>500</v>
      </c>
      <c r="M52" s="6"/>
      <c r="N52" s="469">
        <f t="shared" si="1"/>
        <v>37567.700000000012</v>
      </c>
      <c r="O52" s="6"/>
      <c r="P52" s="6"/>
    </row>
    <row r="53" spans="1:16" ht="15.75">
      <c r="A53" s="6">
        <v>50</v>
      </c>
      <c r="B53" s="471">
        <v>46156</v>
      </c>
      <c r="C53" s="468" t="s">
        <v>423</v>
      </c>
      <c r="D53" s="468"/>
      <c r="E53" s="468" t="s">
        <v>425</v>
      </c>
      <c r="F53" s="468"/>
      <c r="G53" s="468"/>
      <c r="H53" s="468"/>
      <c r="I53" s="600">
        <v>24.16</v>
      </c>
      <c r="J53" s="473">
        <v>103.44</v>
      </c>
      <c r="K53" s="600">
        <v>2500</v>
      </c>
      <c r="L53" s="474">
        <f t="shared" si="0"/>
        <v>2500</v>
      </c>
      <c r="M53" s="6"/>
      <c r="N53" s="469">
        <f t="shared" si="1"/>
        <v>35067.700000000012</v>
      </c>
      <c r="O53" s="6"/>
      <c r="P53" s="6"/>
    </row>
    <row r="54" spans="1:16" ht="15.75">
      <c r="A54" s="6">
        <v>51</v>
      </c>
      <c r="B54" s="471">
        <v>46156</v>
      </c>
      <c r="C54" s="468" t="s">
        <v>429</v>
      </c>
      <c r="D54" s="468"/>
      <c r="E54" s="468" t="s">
        <v>431</v>
      </c>
      <c r="F54" s="468">
        <v>110</v>
      </c>
      <c r="G54" s="468">
        <v>95.64</v>
      </c>
      <c r="H54" s="468">
        <v>10520</v>
      </c>
      <c r="I54" s="600"/>
      <c r="J54" s="600"/>
      <c r="K54" s="600"/>
      <c r="L54" s="474">
        <f t="shared" si="0"/>
        <v>10520</v>
      </c>
      <c r="M54" s="6"/>
      <c r="N54" s="469">
        <f t="shared" si="1"/>
        <v>24547.700000000012</v>
      </c>
      <c r="O54" s="6"/>
      <c r="P54" s="6"/>
    </row>
    <row r="55" spans="1:16" ht="15.75">
      <c r="A55" s="6">
        <v>52</v>
      </c>
      <c r="B55" s="471">
        <v>46157</v>
      </c>
      <c r="C55" s="468" t="s">
        <v>420</v>
      </c>
      <c r="D55" s="468"/>
      <c r="E55" s="468" t="s">
        <v>421</v>
      </c>
      <c r="F55" s="468">
        <v>2728.92</v>
      </c>
      <c r="G55" s="468">
        <v>98.94</v>
      </c>
      <c r="H55" s="468">
        <v>270000</v>
      </c>
      <c r="I55" s="600"/>
      <c r="J55" s="600"/>
      <c r="K55" s="600"/>
      <c r="L55" s="474">
        <f t="shared" si="0"/>
        <v>270000</v>
      </c>
      <c r="M55" s="6">
        <v>500000</v>
      </c>
      <c r="N55" s="469">
        <f t="shared" si="1"/>
        <v>254547.69999999995</v>
      </c>
      <c r="O55" s="6"/>
      <c r="P55" s="6"/>
    </row>
    <row r="56" spans="1:16" ht="15.75">
      <c r="A56" s="6">
        <v>53</v>
      </c>
      <c r="B56" s="471">
        <v>46157</v>
      </c>
      <c r="C56" s="468" t="s">
        <v>445</v>
      </c>
      <c r="D56" s="468"/>
      <c r="E56" s="468" t="s">
        <v>431</v>
      </c>
      <c r="F56" s="468">
        <v>110</v>
      </c>
      <c r="G56" s="468">
        <v>98.9</v>
      </c>
      <c r="H56" s="468">
        <v>10879</v>
      </c>
      <c r="I56" s="600"/>
      <c r="J56" s="600"/>
      <c r="K56" s="600"/>
      <c r="L56" s="474">
        <f t="shared" si="0"/>
        <v>10879</v>
      </c>
      <c r="M56" s="6"/>
      <c r="N56" s="469">
        <f t="shared" si="1"/>
        <v>243668.69999999995</v>
      </c>
      <c r="O56" s="6"/>
      <c r="P56" s="6"/>
    </row>
    <row r="57" spans="1:16" ht="15.75">
      <c r="A57" s="6">
        <v>54</v>
      </c>
      <c r="B57" s="471">
        <v>46157</v>
      </c>
      <c r="C57" s="468" t="s">
        <v>435</v>
      </c>
      <c r="D57" s="468"/>
      <c r="E57" s="468" t="s">
        <v>437</v>
      </c>
      <c r="F57" s="468">
        <v>1588.31</v>
      </c>
      <c r="G57" s="468">
        <v>94.44</v>
      </c>
      <c r="H57" s="468">
        <v>150000</v>
      </c>
      <c r="I57" s="600"/>
      <c r="J57" s="600"/>
      <c r="K57" s="600"/>
      <c r="L57" s="474">
        <f t="shared" si="0"/>
        <v>150000</v>
      </c>
      <c r="M57" s="6"/>
      <c r="N57" s="469">
        <f t="shared" si="1"/>
        <v>93668.699999999953</v>
      </c>
      <c r="O57" s="6"/>
      <c r="P57" s="6"/>
    </row>
    <row r="58" spans="1:16" ht="15.75">
      <c r="A58" s="6">
        <v>55</v>
      </c>
      <c r="B58" s="471">
        <v>46157</v>
      </c>
      <c r="C58" s="468" t="s">
        <v>423</v>
      </c>
      <c r="D58" s="468"/>
      <c r="E58" s="468" t="s">
        <v>425</v>
      </c>
      <c r="F58" s="468"/>
      <c r="G58" s="468"/>
      <c r="H58" s="468"/>
      <c r="I58" s="600">
        <v>9.3800000000000008</v>
      </c>
      <c r="J58" s="473">
        <v>106.7</v>
      </c>
      <c r="K58" s="600">
        <v>1000</v>
      </c>
      <c r="L58" s="474">
        <f t="shared" si="0"/>
        <v>1000</v>
      </c>
      <c r="M58" s="6"/>
      <c r="N58" s="469">
        <f t="shared" si="1"/>
        <v>92668.699999999953</v>
      </c>
      <c r="O58" s="6"/>
      <c r="P58" s="6"/>
    </row>
    <row r="59" spans="1:16" ht="15.75">
      <c r="A59" s="271">
        <v>56</v>
      </c>
      <c r="B59" s="531">
        <v>46158</v>
      </c>
      <c r="C59" s="529" t="s">
        <v>322</v>
      </c>
      <c r="D59" s="271"/>
      <c r="E59" s="529" t="s">
        <v>427</v>
      </c>
      <c r="F59" s="529">
        <v>940</v>
      </c>
      <c r="G59" s="529">
        <v>94.77</v>
      </c>
      <c r="H59" s="529">
        <v>89083.8</v>
      </c>
      <c r="I59" s="530"/>
      <c r="J59" s="530"/>
      <c r="K59" s="530"/>
      <c r="L59" s="530"/>
      <c r="M59" s="271"/>
      <c r="N59" s="469">
        <f t="shared" si="1"/>
        <v>92668.699999999953</v>
      </c>
      <c r="O59" s="271"/>
      <c r="P59" s="271"/>
    </row>
    <row r="60" spans="1:16" ht="15.75">
      <c r="A60" s="271">
        <v>57</v>
      </c>
      <c r="B60" s="531">
        <v>46158</v>
      </c>
      <c r="C60" s="529" t="s">
        <v>423</v>
      </c>
      <c r="D60" s="271"/>
      <c r="E60" s="529" t="s">
        <v>425</v>
      </c>
      <c r="F60" s="529">
        <v>5.28</v>
      </c>
      <c r="G60" s="529">
        <v>94.63</v>
      </c>
      <c r="H60" s="529">
        <v>500</v>
      </c>
      <c r="I60" s="271">
        <v>5</v>
      </c>
      <c r="J60" s="529">
        <v>106.7</v>
      </c>
      <c r="K60" s="529">
        <v>534</v>
      </c>
      <c r="L60" s="271"/>
      <c r="M60" s="271"/>
      <c r="N60" s="469">
        <f t="shared" si="1"/>
        <v>92668.699999999953</v>
      </c>
      <c r="O60" s="271"/>
      <c r="P60" s="271"/>
    </row>
    <row r="61" spans="1:16" ht="15.75">
      <c r="A61" s="271">
        <v>58</v>
      </c>
      <c r="B61" s="531">
        <v>46159</v>
      </c>
      <c r="C61" s="529" t="s">
        <v>420</v>
      </c>
      <c r="D61" s="271"/>
      <c r="E61" s="529" t="s">
        <v>450</v>
      </c>
      <c r="F61" s="271">
        <v>2880.53</v>
      </c>
      <c r="G61" s="529">
        <v>98.94</v>
      </c>
      <c r="H61" s="271">
        <v>285000</v>
      </c>
      <c r="I61" s="271"/>
      <c r="J61" s="271"/>
      <c r="K61" s="271"/>
      <c r="L61" s="271"/>
      <c r="M61" s="271"/>
      <c r="N61" s="469">
        <f t="shared" si="1"/>
        <v>92668.699999999953</v>
      </c>
      <c r="O61" s="271"/>
      <c r="P61" s="271"/>
    </row>
    <row r="62" spans="1:16" ht="15.75">
      <c r="A62" s="271">
        <v>59</v>
      </c>
      <c r="B62" s="531">
        <v>46160</v>
      </c>
      <c r="C62" s="529" t="s">
        <v>420</v>
      </c>
      <c r="D62" s="271"/>
      <c r="E62" s="529" t="s">
        <v>450</v>
      </c>
      <c r="F62" s="271">
        <v>2000</v>
      </c>
      <c r="G62" s="529">
        <v>98.94</v>
      </c>
      <c r="H62" s="271">
        <v>197880</v>
      </c>
      <c r="I62" s="271"/>
      <c r="J62" s="271"/>
      <c r="K62" s="271"/>
      <c r="L62" s="271"/>
      <c r="M62" s="271"/>
      <c r="N62" s="469">
        <f t="shared" si="1"/>
        <v>92668.699999999953</v>
      </c>
      <c r="O62" s="271"/>
      <c r="P62" s="271"/>
    </row>
    <row r="63" spans="1:16" ht="15.75">
      <c r="A63" s="271">
        <v>60</v>
      </c>
      <c r="B63" s="531">
        <v>46160</v>
      </c>
      <c r="C63" s="529" t="s">
        <v>422</v>
      </c>
      <c r="D63" s="271"/>
      <c r="E63" s="529" t="s">
        <v>450</v>
      </c>
      <c r="F63" s="271">
        <v>1021.29</v>
      </c>
      <c r="G63" s="529">
        <v>98.94</v>
      </c>
      <c r="H63" s="271">
        <v>101046</v>
      </c>
      <c r="I63" s="271"/>
      <c r="J63" s="271"/>
      <c r="K63" s="271"/>
      <c r="L63" s="271"/>
      <c r="M63" s="271"/>
      <c r="N63" s="469">
        <f t="shared" si="1"/>
        <v>92668.699999999953</v>
      </c>
      <c r="O63" s="271"/>
      <c r="P63" s="271"/>
    </row>
    <row r="64" spans="1:16" ht="15.75">
      <c r="A64" s="271">
        <v>61</v>
      </c>
      <c r="B64" s="531">
        <v>46160</v>
      </c>
      <c r="C64" s="529" t="s">
        <v>438</v>
      </c>
      <c r="D64" s="271"/>
      <c r="E64" s="529" t="s">
        <v>451</v>
      </c>
      <c r="F64" s="271">
        <v>3169.23</v>
      </c>
      <c r="G64" s="529">
        <v>94.66</v>
      </c>
      <c r="H64" s="271">
        <v>300000</v>
      </c>
      <c r="I64" s="271"/>
      <c r="J64" s="271"/>
      <c r="K64" s="271"/>
      <c r="L64" s="271"/>
      <c r="M64" s="271"/>
      <c r="N64" s="469">
        <f t="shared" si="1"/>
        <v>92668.699999999953</v>
      </c>
      <c r="O64" s="271"/>
      <c r="P64" s="271"/>
    </row>
    <row r="65" spans="1:16" ht="15.75">
      <c r="A65" s="271">
        <v>62</v>
      </c>
      <c r="B65" s="531">
        <v>46160</v>
      </c>
      <c r="C65" s="529" t="s">
        <v>441</v>
      </c>
      <c r="D65" s="271"/>
      <c r="E65" s="529" t="s">
        <v>451</v>
      </c>
      <c r="F65" s="271">
        <v>105</v>
      </c>
      <c r="G65" s="271">
        <v>95</v>
      </c>
      <c r="H65" s="529">
        <v>9975</v>
      </c>
      <c r="I65" s="271"/>
      <c r="J65" s="271"/>
      <c r="K65" s="271"/>
      <c r="L65" s="271"/>
      <c r="M65" s="271"/>
      <c r="N65" s="469">
        <f t="shared" si="1"/>
        <v>92668.699999999953</v>
      </c>
      <c r="O65" s="271"/>
      <c r="P65" s="271"/>
    </row>
    <row r="66" spans="1:16" ht="15.75">
      <c r="A66" s="271">
        <v>63</v>
      </c>
      <c r="B66" s="531">
        <v>46160</v>
      </c>
      <c r="C66" s="529" t="s">
        <v>423</v>
      </c>
      <c r="D66" s="271"/>
      <c r="E66" s="529" t="s">
        <v>425</v>
      </c>
      <c r="F66" s="271"/>
      <c r="G66" s="271"/>
      <c r="H66" s="271"/>
      <c r="I66" s="529">
        <v>4.6900000000000004</v>
      </c>
      <c r="J66" s="529">
        <v>106.7</v>
      </c>
      <c r="K66" s="529">
        <v>500</v>
      </c>
      <c r="L66" s="271"/>
      <c r="M66" s="271"/>
      <c r="N66" s="469">
        <f t="shared" si="1"/>
        <v>92668.699999999953</v>
      </c>
      <c r="O66" s="271"/>
      <c r="P66" s="271"/>
    </row>
    <row r="67" spans="1:16" ht="15.75">
      <c r="A67" s="271">
        <v>64</v>
      </c>
      <c r="B67" s="531">
        <v>46161</v>
      </c>
      <c r="C67" s="529" t="s">
        <v>439</v>
      </c>
      <c r="D67" s="271"/>
      <c r="E67" s="529" t="s">
        <v>451</v>
      </c>
      <c r="F67" s="271">
        <v>2616.98</v>
      </c>
      <c r="G67" s="529">
        <v>95.53</v>
      </c>
      <c r="H67" s="271">
        <v>250000</v>
      </c>
      <c r="I67" s="271"/>
      <c r="J67" s="271"/>
      <c r="K67" s="271"/>
      <c r="L67" s="271"/>
      <c r="M67" s="271"/>
      <c r="N67" s="469">
        <f t="shared" si="1"/>
        <v>92668.699999999953</v>
      </c>
      <c r="O67" s="271"/>
      <c r="P67" s="271"/>
    </row>
    <row r="68" spans="1:16" ht="15.75">
      <c r="A68" s="271">
        <v>65</v>
      </c>
      <c r="B68" s="531">
        <v>46161</v>
      </c>
      <c r="C68" s="529" t="s">
        <v>429</v>
      </c>
      <c r="D68" s="271"/>
      <c r="E68" s="529" t="s">
        <v>451</v>
      </c>
      <c r="F68" s="271">
        <v>75</v>
      </c>
      <c r="G68" s="529">
        <v>99.89</v>
      </c>
      <c r="H68" s="271">
        <v>7491.91</v>
      </c>
      <c r="I68" s="271"/>
      <c r="J68" s="271"/>
      <c r="K68" s="271"/>
      <c r="L68" s="271"/>
      <c r="M68" s="271"/>
      <c r="N68" s="469">
        <f t="shared" si="1"/>
        <v>92668.699999999953</v>
      </c>
      <c r="O68" s="271"/>
      <c r="P68" s="271"/>
    </row>
    <row r="69" spans="1:16" ht="15.75">
      <c r="A69" s="271">
        <v>66</v>
      </c>
      <c r="B69" s="531">
        <v>46161</v>
      </c>
      <c r="C69" s="529" t="s">
        <v>446</v>
      </c>
      <c r="D69" s="271"/>
      <c r="E69" s="529" t="s">
        <v>452</v>
      </c>
      <c r="F69" s="271">
        <v>400</v>
      </c>
      <c r="G69" s="529">
        <v>95.44</v>
      </c>
      <c r="H69" s="271">
        <v>38176</v>
      </c>
      <c r="I69" s="271"/>
      <c r="J69" s="271"/>
      <c r="K69" s="271"/>
      <c r="L69" s="271"/>
      <c r="M69" s="271"/>
      <c r="N69" s="469">
        <f t="shared" ref="N69:N100" si="2">SUM(N68+M69-L69)</f>
        <v>92668.699999999953</v>
      </c>
      <c r="O69" s="271"/>
      <c r="P69" s="271"/>
    </row>
    <row r="70" spans="1:16" ht="15.75">
      <c r="A70" s="271">
        <v>67</v>
      </c>
      <c r="B70" s="531">
        <v>46161</v>
      </c>
      <c r="C70" s="529" t="s">
        <v>423</v>
      </c>
      <c r="D70" s="271"/>
      <c r="E70" s="529" t="s">
        <v>425</v>
      </c>
      <c r="F70" s="271">
        <v>10.46</v>
      </c>
      <c r="G70" s="529">
        <v>95.57</v>
      </c>
      <c r="H70" s="271">
        <v>1000</v>
      </c>
      <c r="I70" s="271"/>
      <c r="J70" s="271"/>
      <c r="K70" s="271"/>
      <c r="L70" s="271"/>
      <c r="M70" s="271"/>
      <c r="N70" s="469">
        <f t="shared" si="2"/>
        <v>92668.699999999953</v>
      </c>
      <c r="O70" s="271"/>
      <c r="P70" s="271"/>
    </row>
    <row r="71" spans="1:16" ht="15.75">
      <c r="A71" s="271">
        <v>68</v>
      </c>
      <c r="B71" s="531">
        <v>46162</v>
      </c>
      <c r="C71" s="529" t="s">
        <v>420</v>
      </c>
      <c r="D71" s="271"/>
      <c r="E71" s="529" t="s">
        <v>450</v>
      </c>
      <c r="F71" s="529">
        <v>1000.7</v>
      </c>
      <c r="G71" s="529">
        <v>99.93</v>
      </c>
      <c r="H71" s="529">
        <v>100000</v>
      </c>
      <c r="I71" s="529">
        <v>894.21</v>
      </c>
      <c r="J71" s="529">
        <v>111.83</v>
      </c>
      <c r="K71" s="529">
        <v>100000</v>
      </c>
      <c r="L71" s="271"/>
      <c r="M71" s="271"/>
      <c r="N71" s="469">
        <f t="shared" si="2"/>
        <v>92668.699999999953</v>
      </c>
      <c r="O71" s="271"/>
      <c r="P71" s="271"/>
    </row>
    <row r="72" spans="1:16" ht="15.75">
      <c r="A72" s="271">
        <v>69</v>
      </c>
      <c r="B72" s="531">
        <v>46162</v>
      </c>
      <c r="C72" s="529" t="s">
        <v>429</v>
      </c>
      <c r="D72" s="271"/>
      <c r="E72" s="529" t="s">
        <v>451</v>
      </c>
      <c r="F72" s="529">
        <v>70</v>
      </c>
      <c r="G72" s="529">
        <v>99.89</v>
      </c>
      <c r="H72" s="529">
        <v>6992.3</v>
      </c>
      <c r="I72" s="271"/>
      <c r="J72" s="271"/>
      <c r="K72" s="271"/>
      <c r="L72" s="271"/>
      <c r="M72" s="271"/>
      <c r="N72" s="469">
        <f t="shared" si="2"/>
        <v>92668.699999999953</v>
      </c>
      <c r="O72" s="271"/>
      <c r="P72" s="271"/>
    </row>
    <row r="73" spans="1:16" ht="15.75">
      <c r="A73" s="271">
        <v>70</v>
      </c>
      <c r="B73" s="531">
        <v>46162</v>
      </c>
      <c r="C73" s="529" t="s">
        <v>423</v>
      </c>
      <c r="D73" s="271"/>
      <c r="E73" s="529" t="s">
        <v>425</v>
      </c>
      <c r="F73" s="529">
        <v>10.46</v>
      </c>
      <c r="G73" s="529">
        <v>95.57</v>
      </c>
      <c r="H73" s="529">
        <v>1000</v>
      </c>
      <c r="I73" s="529">
        <v>9.2899999999999991</v>
      </c>
      <c r="J73" s="529">
        <v>107.64</v>
      </c>
      <c r="K73" s="529">
        <v>1000</v>
      </c>
      <c r="L73" s="271"/>
      <c r="M73" s="271"/>
      <c r="N73" s="469">
        <f t="shared" si="2"/>
        <v>92668.699999999953</v>
      </c>
      <c r="O73" s="271"/>
      <c r="P73" s="271"/>
    </row>
    <row r="74" spans="1:16" ht="15.75">
      <c r="A74" s="271">
        <v>71</v>
      </c>
      <c r="B74" s="531">
        <v>46163</v>
      </c>
      <c r="C74" s="529" t="s">
        <v>420</v>
      </c>
      <c r="D74" s="271"/>
      <c r="E74" s="529" t="s">
        <v>450</v>
      </c>
      <c r="F74" s="271">
        <v>2501.75</v>
      </c>
      <c r="G74" s="529">
        <v>99.93</v>
      </c>
      <c r="H74" s="271">
        <v>250000</v>
      </c>
      <c r="I74" s="271"/>
      <c r="J74" s="271"/>
      <c r="K74" s="271"/>
      <c r="L74" s="271"/>
      <c r="M74" s="271"/>
      <c r="N74" s="469">
        <f t="shared" si="2"/>
        <v>92668.699999999953</v>
      </c>
      <c r="O74" s="271"/>
      <c r="P74" s="271"/>
    </row>
    <row r="75" spans="1:16" ht="15.75">
      <c r="A75" s="271">
        <v>72</v>
      </c>
      <c r="B75" s="531">
        <v>46163</v>
      </c>
      <c r="C75" s="529" t="s">
        <v>428</v>
      </c>
      <c r="D75" s="271"/>
      <c r="E75" s="529" t="s">
        <v>450</v>
      </c>
      <c r="F75" s="271">
        <v>500</v>
      </c>
      <c r="G75" s="529">
        <v>99.93</v>
      </c>
      <c r="H75" s="271">
        <v>49965</v>
      </c>
      <c r="I75" s="271"/>
      <c r="J75" s="271"/>
      <c r="K75" s="271"/>
      <c r="L75" s="271"/>
      <c r="M75" s="271"/>
      <c r="N75" s="469">
        <f t="shared" si="2"/>
        <v>92668.699999999953</v>
      </c>
      <c r="O75" s="271"/>
      <c r="P75" s="271"/>
    </row>
    <row r="76" spans="1:16" ht="15.75">
      <c r="A76" s="271">
        <v>73</v>
      </c>
      <c r="B76" s="531">
        <v>46163</v>
      </c>
      <c r="C76" s="529" t="s">
        <v>439</v>
      </c>
      <c r="D76" s="271"/>
      <c r="E76" s="529" t="s">
        <v>451</v>
      </c>
      <c r="F76" s="271">
        <v>2732.12</v>
      </c>
      <c r="G76" s="529">
        <v>95.53</v>
      </c>
      <c r="H76" s="271">
        <v>261000</v>
      </c>
      <c r="I76" s="271"/>
      <c r="J76" s="271"/>
      <c r="K76" s="271"/>
      <c r="L76" s="271"/>
      <c r="M76" s="271"/>
      <c r="N76" s="469">
        <f t="shared" si="2"/>
        <v>92668.699999999953</v>
      </c>
      <c r="O76" s="271"/>
      <c r="P76" s="271"/>
    </row>
    <row r="77" spans="1:16" ht="15.75">
      <c r="A77" s="271">
        <v>74</v>
      </c>
      <c r="B77" s="531">
        <v>46163</v>
      </c>
      <c r="C77" s="529" t="s">
        <v>453</v>
      </c>
      <c r="D77" s="271"/>
      <c r="E77" s="529" t="s">
        <v>451</v>
      </c>
      <c r="F77" s="529">
        <v>30.03</v>
      </c>
      <c r="G77" s="529">
        <v>99.89</v>
      </c>
      <c r="H77" s="529">
        <v>3000</v>
      </c>
      <c r="I77" s="271"/>
      <c r="J77" s="271"/>
      <c r="K77" s="271"/>
      <c r="L77" s="271"/>
      <c r="M77" s="271"/>
      <c r="N77" s="469">
        <f t="shared" si="2"/>
        <v>92668.699999999953</v>
      </c>
      <c r="O77" s="271"/>
      <c r="P77" s="271"/>
    </row>
    <row r="78" spans="1:16" ht="15.75">
      <c r="A78" s="271">
        <v>75</v>
      </c>
      <c r="B78" s="531">
        <v>46163</v>
      </c>
      <c r="C78" s="529" t="s">
        <v>429</v>
      </c>
      <c r="D78" s="271"/>
      <c r="E78" s="529" t="s">
        <v>451</v>
      </c>
      <c r="F78" s="529">
        <v>65</v>
      </c>
      <c r="G78" s="529">
        <v>99.89</v>
      </c>
      <c r="H78" s="529">
        <v>6492.85</v>
      </c>
      <c r="I78" s="271"/>
      <c r="J78" s="271"/>
      <c r="K78" s="271"/>
      <c r="L78" s="271"/>
      <c r="M78" s="271"/>
      <c r="N78" s="469">
        <f t="shared" si="2"/>
        <v>92668.699999999953</v>
      </c>
      <c r="O78" s="271"/>
      <c r="P78" s="271"/>
    </row>
    <row r="79" spans="1:16" ht="15.75">
      <c r="A79" s="532">
        <v>76</v>
      </c>
      <c r="B79" s="531">
        <v>46163</v>
      </c>
      <c r="C79" s="529" t="s">
        <v>432</v>
      </c>
      <c r="D79" s="532"/>
      <c r="E79" s="529" t="s">
        <v>434</v>
      </c>
      <c r="F79" s="532">
        <v>1043.4000000000001</v>
      </c>
      <c r="G79" s="529">
        <v>95.84</v>
      </c>
      <c r="H79" s="532">
        <v>100000</v>
      </c>
      <c r="I79" s="532"/>
      <c r="J79" s="532"/>
      <c r="K79" s="532"/>
      <c r="L79" s="532"/>
      <c r="M79" s="532"/>
      <c r="N79" s="469">
        <f t="shared" si="2"/>
        <v>92668.699999999953</v>
      </c>
      <c r="O79" s="532"/>
      <c r="P79" s="532"/>
    </row>
    <row r="80" spans="1:16" ht="15.75">
      <c r="A80" s="271">
        <v>77</v>
      </c>
      <c r="B80" s="531">
        <v>46163</v>
      </c>
      <c r="C80" s="529" t="s">
        <v>442</v>
      </c>
      <c r="D80" s="271"/>
      <c r="E80" s="529" t="s">
        <v>443</v>
      </c>
      <c r="F80" s="271">
        <v>1042.31</v>
      </c>
      <c r="G80" s="529">
        <v>95.94</v>
      </c>
      <c r="H80" s="271">
        <v>100000</v>
      </c>
      <c r="I80" s="271"/>
      <c r="J80" s="271"/>
      <c r="K80" s="271"/>
      <c r="L80" s="271"/>
      <c r="M80" s="271"/>
      <c r="N80" s="469">
        <f t="shared" si="2"/>
        <v>92668.699999999953</v>
      </c>
      <c r="O80" s="271"/>
      <c r="P80" s="271"/>
    </row>
    <row r="81" spans="1:16" ht="15.75">
      <c r="A81" s="271">
        <v>78</v>
      </c>
      <c r="B81" s="531">
        <v>46163</v>
      </c>
      <c r="C81" s="529" t="s">
        <v>435</v>
      </c>
      <c r="D81" s="271"/>
      <c r="E81" s="529" t="s">
        <v>452</v>
      </c>
      <c r="F81" s="271">
        <v>1467.81</v>
      </c>
      <c r="G81" s="529">
        <v>95.38</v>
      </c>
      <c r="H81" s="271">
        <v>140000</v>
      </c>
      <c r="I81" s="271"/>
      <c r="J81" s="271"/>
      <c r="K81" s="271"/>
      <c r="L81" s="271"/>
      <c r="M81" s="271"/>
      <c r="N81" s="469">
        <f t="shared" si="2"/>
        <v>92668.699999999953</v>
      </c>
      <c r="O81" s="271"/>
      <c r="P81" s="271"/>
    </row>
    <row r="82" spans="1:16" ht="15.75">
      <c r="A82" s="271">
        <v>79</v>
      </c>
      <c r="B82" s="531">
        <v>46164</v>
      </c>
      <c r="C82" s="529" t="s">
        <v>438</v>
      </c>
      <c r="D82" s="271"/>
      <c r="E82" s="529" t="s">
        <v>451</v>
      </c>
      <c r="F82" s="529">
        <v>1046.03</v>
      </c>
      <c r="G82" s="529">
        <v>95.6</v>
      </c>
      <c r="H82" s="529">
        <v>100000</v>
      </c>
      <c r="I82" s="271"/>
      <c r="J82" s="271"/>
      <c r="K82" s="271"/>
      <c r="L82" s="271"/>
      <c r="M82" s="271"/>
      <c r="N82" s="469">
        <f t="shared" si="2"/>
        <v>92668.699999999953</v>
      </c>
      <c r="O82" s="271"/>
      <c r="P82" s="271"/>
    </row>
    <row r="83" spans="1:16" ht="15.75">
      <c r="A83" s="271">
        <v>80</v>
      </c>
      <c r="B83" s="531">
        <v>46164</v>
      </c>
      <c r="C83" s="529" t="s">
        <v>429</v>
      </c>
      <c r="D83" s="271"/>
      <c r="E83" s="529" t="s">
        <v>451</v>
      </c>
      <c r="F83" s="529">
        <v>70</v>
      </c>
      <c r="G83" s="529">
        <v>99.89</v>
      </c>
      <c r="H83" s="529">
        <v>6992.3</v>
      </c>
      <c r="I83" s="271"/>
      <c r="J83" s="271"/>
      <c r="K83" s="271"/>
      <c r="L83" s="271"/>
      <c r="M83" s="271"/>
      <c r="N83" s="469">
        <f t="shared" si="2"/>
        <v>92668.699999999953</v>
      </c>
      <c r="O83" s="271"/>
      <c r="P83" s="271"/>
    </row>
    <row r="84" spans="1:16" ht="15.75">
      <c r="A84" s="271">
        <v>81</v>
      </c>
      <c r="B84" s="531">
        <v>46165</v>
      </c>
      <c r="C84" s="529" t="s">
        <v>429</v>
      </c>
      <c r="D84" s="271"/>
      <c r="E84" s="529" t="s">
        <v>451</v>
      </c>
      <c r="F84" s="529">
        <v>70</v>
      </c>
      <c r="G84" s="529">
        <v>100.88</v>
      </c>
      <c r="H84" s="529">
        <v>7061.6</v>
      </c>
      <c r="I84" s="271"/>
      <c r="J84" s="271"/>
      <c r="K84" s="271"/>
      <c r="L84" s="271"/>
      <c r="M84" s="271"/>
      <c r="N84" s="469">
        <f t="shared" si="2"/>
        <v>92668.699999999953</v>
      </c>
      <c r="O84" s="271"/>
      <c r="P84" s="271"/>
    </row>
    <row r="85" spans="1:16" ht="15.75">
      <c r="A85" s="271">
        <v>82</v>
      </c>
      <c r="B85" s="531">
        <v>46165</v>
      </c>
      <c r="C85" s="529" t="s">
        <v>322</v>
      </c>
      <c r="D85" s="271"/>
      <c r="E85" s="529" t="s">
        <v>427</v>
      </c>
      <c r="F85" s="271">
        <v>1994.2</v>
      </c>
      <c r="G85" s="529">
        <v>96.66</v>
      </c>
      <c r="H85" s="271">
        <v>192760</v>
      </c>
      <c r="I85" s="271"/>
      <c r="J85" s="271"/>
      <c r="K85" s="271"/>
      <c r="L85" s="271"/>
      <c r="M85" s="271"/>
      <c r="N85" s="469">
        <f t="shared" si="2"/>
        <v>92668.699999999953</v>
      </c>
      <c r="O85" s="271"/>
      <c r="P85" s="271"/>
    </row>
    <row r="86" spans="1:16" ht="15.75">
      <c r="A86" s="271">
        <v>83</v>
      </c>
      <c r="B86" s="531">
        <v>46167</v>
      </c>
      <c r="C86" s="529" t="s">
        <v>441</v>
      </c>
      <c r="D86" s="271"/>
      <c r="E86" s="529" t="s">
        <v>451</v>
      </c>
      <c r="F86" s="529">
        <v>200</v>
      </c>
      <c r="G86" s="529">
        <v>99.7</v>
      </c>
      <c r="H86" s="529">
        <v>19940</v>
      </c>
      <c r="I86" s="529">
        <v>44.73</v>
      </c>
      <c r="J86" s="529">
        <v>111.78</v>
      </c>
      <c r="K86" s="529">
        <v>5000</v>
      </c>
      <c r="L86" s="271"/>
      <c r="M86" s="271"/>
      <c r="N86" s="469">
        <f t="shared" si="2"/>
        <v>92668.699999999953</v>
      </c>
      <c r="O86" s="271"/>
      <c r="P86" s="271"/>
    </row>
    <row r="87" spans="1:16" ht="15.75">
      <c r="A87" s="271">
        <v>84</v>
      </c>
      <c r="B87" s="531">
        <v>46167</v>
      </c>
      <c r="C87" s="529" t="s">
        <v>429</v>
      </c>
      <c r="D87" s="271"/>
      <c r="E87" s="529" t="s">
        <v>451</v>
      </c>
      <c r="F87" s="529">
        <v>70</v>
      </c>
      <c r="G87" s="529">
        <v>103.76</v>
      </c>
      <c r="H87" s="529">
        <v>7263.2</v>
      </c>
      <c r="I87" s="271"/>
      <c r="J87" s="271"/>
      <c r="K87" s="271"/>
      <c r="L87" s="271"/>
      <c r="M87" s="271"/>
      <c r="N87" s="469">
        <f t="shared" si="2"/>
        <v>92668.699999999953</v>
      </c>
      <c r="O87" s="271"/>
      <c r="P87" s="271"/>
    </row>
    <row r="88" spans="1:16" ht="15.75">
      <c r="A88" s="271">
        <v>85</v>
      </c>
      <c r="B88" s="531">
        <v>46167</v>
      </c>
      <c r="C88" s="529" t="s">
        <v>442</v>
      </c>
      <c r="D88" s="271"/>
      <c r="E88" s="529" t="s">
        <v>443</v>
      </c>
      <c r="F88" s="271">
        <v>1504.51</v>
      </c>
      <c r="G88" s="529">
        <v>99.7</v>
      </c>
      <c r="H88" s="271">
        <v>150000</v>
      </c>
      <c r="I88" s="271"/>
      <c r="J88" s="271"/>
      <c r="K88" s="271"/>
      <c r="L88" s="271"/>
      <c r="M88" s="271"/>
      <c r="N88" s="469">
        <f t="shared" si="2"/>
        <v>92668.699999999953</v>
      </c>
      <c r="O88" s="271"/>
      <c r="P88" s="271"/>
    </row>
    <row r="89" spans="1:16" ht="15.75">
      <c r="A89" s="271">
        <v>86</v>
      </c>
      <c r="B89" s="531">
        <v>46167</v>
      </c>
      <c r="C89" s="529" t="s">
        <v>435</v>
      </c>
      <c r="D89" s="271"/>
      <c r="E89" s="529" t="s">
        <v>452</v>
      </c>
      <c r="F89" s="271">
        <v>1008.68</v>
      </c>
      <c r="G89" s="529">
        <v>99.14</v>
      </c>
      <c r="H89" s="271">
        <v>100000</v>
      </c>
      <c r="I89" s="271"/>
      <c r="J89" s="271"/>
      <c r="K89" s="271"/>
      <c r="L89" s="271"/>
      <c r="M89" s="271"/>
      <c r="N89" s="469">
        <f t="shared" si="2"/>
        <v>92668.699999999953</v>
      </c>
      <c r="O89" s="271"/>
      <c r="P89" s="271"/>
    </row>
    <row r="90" spans="1:16" ht="15.75">
      <c r="A90" s="271">
        <v>87</v>
      </c>
      <c r="B90" s="531">
        <v>46168</v>
      </c>
      <c r="C90" s="529" t="s">
        <v>420</v>
      </c>
      <c r="D90" s="271"/>
      <c r="E90" s="529" t="s">
        <v>450</v>
      </c>
      <c r="F90" s="271">
        <v>5780.34</v>
      </c>
      <c r="G90" s="529">
        <v>103.8</v>
      </c>
      <c r="H90" s="271">
        <v>600000</v>
      </c>
      <c r="I90" s="271"/>
      <c r="J90" s="271"/>
      <c r="K90" s="271"/>
      <c r="L90" s="271"/>
      <c r="M90" s="271"/>
      <c r="N90" s="469">
        <f t="shared" si="2"/>
        <v>92668.699999999953</v>
      </c>
      <c r="O90" s="271"/>
      <c r="P90" s="271"/>
    </row>
    <row r="91" spans="1:16" ht="15.75">
      <c r="A91" s="271">
        <v>88</v>
      </c>
      <c r="B91" s="531">
        <v>46168</v>
      </c>
      <c r="C91" s="529" t="s">
        <v>429</v>
      </c>
      <c r="D91" s="271"/>
      <c r="E91" s="529" t="s">
        <v>451</v>
      </c>
      <c r="F91" s="529">
        <v>110</v>
      </c>
      <c r="G91" s="529">
        <v>103.76</v>
      </c>
      <c r="H91" s="529">
        <v>11413.6</v>
      </c>
      <c r="I91" s="271"/>
      <c r="J91" s="271"/>
      <c r="K91" s="271"/>
      <c r="L91" s="271"/>
      <c r="M91" s="271"/>
      <c r="N91" s="469">
        <f t="shared" si="2"/>
        <v>92668.699999999953</v>
      </c>
      <c r="O91" s="271"/>
      <c r="P91" s="271"/>
    </row>
    <row r="92" spans="1:16" ht="15.75">
      <c r="A92" s="271">
        <v>89</v>
      </c>
      <c r="B92" s="531">
        <v>46168</v>
      </c>
      <c r="C92" s="529" t="s">
        <v>343</v>
      </c>
      <c r="D92" s="271"/>
      <c r="E92" s="529" t="s">
        <v>427</v>
      </c>
      <c r="F92" s="529">
        <v>503.47</v>
      </c>
      <c r="G92" s="529">
        <v>99.31</v>
      </c>
      <c r="H92" s="529">
        <v>50000</v>
      </c>
      <c r="I92" s="271"/>
      <c r="J92" s="271"/>
      <c r="K92" s="271"/>
      <c r="L92" s="271"/>
      <c r="M92" s="271"/>
      <c r="N92" s="469">
        <f t="shared" si="2"/>
        <v>92668.699999999953</v>
      </c>
      <c r="O92" s="271"/>
      <c r="P92" s="271"/>
    </row>
    <row r="93" spans="1:16" ht="15.75">
      <c r="A93" s="271">
        <v>90</v>
      </c>
      <c r="B93" s="531">
        <v>46169</v>
      </c>
      <c r="C93" s="529" t="s">
        <v>429</v>
      </c>
      <c r="D93" s="271"/>
      <c r="E93" s="529" t="s">
        <v>451</v>
      </c>
      <c r="F93" s="529">
        <v>70</v>
      </c>
      <c r="G93" s="529">
        <v>103.76</v>
      </c>
      <c r="H93" s="529">
        <v>7263.2</v>
      </c>
      <c r="I93" s="271"/>
      <c r="J93" s="271"/>
      <c r="K93" s="271"/>
      <c r="L93" s="271"/>
      <c r="M93" s="271"/>
      <c r="N93" s="469">
        <f t="shared" si="2"/>
        <v>92668.699999999953</v>
      </c>
      <c r="O93" s="271"/>
      <c r="P93" s="271"/>
    </row>
    <row r="94" spans="1:16" ht="15.75">
      <c r="A94" s="532">
        <v>91</v>
      </c>
      <c r="B94" s="531">
        <v>46169</v>
      </c>
      <c r="C94" s="529" t="s">
        <v>454</v>
      </c>
      <c r="D94" s="532"/>
      <c r="E94" s="529" t="s">
        <v>451</v>
      </c>
      <c r="F94" s="529">
        <v>55.41</v>
      </c>
      <c r="G94" s="529">
        <v>94.03</v>
      </c>
      <c r="H94" s="529">
        <v>5210</v>
      </c>
      <c r="I94" s="532"/>
      <c r="J94" s="532"/>
      <c r="K94" s="532"/>
      <c r="L94" s="532"/>
      <c r="M94" s="532"/>
      <c r="N94" s="469">
        <f t="shared" si="2"/>
        <v>92668.699999999953</v>
      </c>
      <c r="O94" s="532"/>
      <c r="P94" s="532"/>
    </row>
    <row r="95" spans="1:16" ht="15.75">
      <c r="A95" s="532">
        <v>92</v>
      </c>
      <c r="B95" s="531">
        <v>46170</v>
      </c>
      <c r="C95" s="529" t="s">
        <v>420</v>
      </c>
      <c r="D95" s="271"/>
      <c r="E95" s="529" t="s">
        <v>450</v>
      </c>
      <c r="F95" s="271">
        <v>1156.07</v>
      </c>
      <c r="G95" s="529">
        <v>103.8</v>
      </c>
      <c r="H95" s="271">
        <v>120000</v>
      </c>
      <c r="I95" s="271"/>
      <c r="J95" s="271"/>
      <c r="K95" s="271"/>
      <c r="L95" s="271"/>
      <c r="M95" s="271"/>
      <c r="N95" s="469">
        <f t="shared" si="2"/>
        <v>92668.699999999953</v>
      </c>
      <c r="O95" s="271"/>
      <c r="P95" s="271"/>
    </row>
    <row r="96" spans="1:16" ht="15.75">
      <c r="A96" s="532">
        <v>93</v>
      </c>
      <c r="B96" s="531">
        <v>46170</v>
      </c>
      <c r="C96" s="529" t="s">
        <v>422</v>
      </c>
      <c r="D96" s="271"/>
      <c r="E96" s="529" t="s">
        <v>450</v>
      </c>
      <c r="F96" s="271">
        <v>1200</v>
      </c>
      <c r="G96" s="529">
        <v>103.8</v>
      </c>
      <c r="H96" s="271">
        <v>124560</v>
      </c>
      <c r="I96" s="271"/>
      <c r="J96" s="271"/>
      <c r="K96" s="271"/>
      <c r="L96" s="271"/>
      <c r="M96" s="271"/>
      <c r="N96" s="469">
        <f t="shared" si="2"/>
        <v>92668.699999999953</v>
      </c>
      <c r="O96" s="271"/>
      <c r="P96" s="271"/>
    </row>
    <row r="97" spans="1:16" ht="15.75">
      <c r="A97" s="532">
        <v>94</v>
      </c>
      <c r="B97" s="531">
        <v>46170</v>
      </c>
      <c r="C97" s="529" t="s">
        <v>428</v>
      </c>
      <c r="D97" s="271"/>
      <c r="E97" s="529" t="s">
        <v>450</v>
      </c>
      <c r="F97" s="529">
        <v>700</v>
      </c>
      <c r="G97" s="529">
        <v>103.8</v>
      </c>
      <c r="H97" s="529">
        <v>72660</v>
      </c>
      <c r="I97" s="271"/>
      <c r="J97" s="271"/>
      <c r="K97" s="271"/>
      <c r="L97" s="271"/>
      <c r="M97" s="271"/>
      <c r="N97" s="469">
        <f t="shared" si="2"/>
        <v>92668.699999999953</v>
      </c>
      <c r="O97" s="271"/>
      <c r="P97" s="271"/>
    </row>
    <row r="98" spans="1:16" ht="15.75">
      <c r="A98" s="532">
        <v>95</v>
      </c>
      <c r="B98" s="531">
        <v>46171</v>
      </c>
      <c r="C98" s="529" t="s">
        <v>429</v>
      </c>
      <c r="D98" s="271"/>
      <c r="E98" s="529" t="s">
        <v>451</v>
      </c>
      <c r="F98" s="529">
        <v>35</v>
      </c>
      <c r="G98" s="529">
        <v>103.76</v>
      </c>
      <c r="H98" s="529">
        <v>3631.6</v>
      </c>
      <c r="I98" s="271"/>
      <c r="J98" s="271"/>
      <c r="K98" s="271"/>
      <c r="L98" s="271"/>
      <c r="M98" s="271"/>
      <c r="N98" s="469">
        <f t="shared" si="2"/>
        <v>92668.699999999953</v>
      </c>
      <c r="O98" s="271"/>
      <c r="P98" s="271"/>
    </row>
    <row r="99" spans="1:16" ht="15.75">
      <c r="A99" s="532">
        <v>96</v>
      </c>
      <c r="B99" s="531">
        <v>46173</v>
      </c>
      <c r="C99" s="529" t="s">
        <v>455</v>
      </c>
      <c r="D99" s="271"/>
      <c r="E99" s="529" t="s">
        <v>451</v>
      </c>
      <c r="F99" s="529">
        <v>19.28</v>
      </c>
      <c r="G99" s="529">
        <v>103.76</v>
      </c>
      <c r="H99" s="529">
        <v>2000</v>
      </c>
      <c r="I99" s="271"/>
      <c r="J99" s="271"/>
      <c r="K99" s="271"/>
      <c r="L99" s="271"/>
      <c r="M99" s="271"/>
      <c r="N99" s="469">
        <f t="shared" si="2"/>
        <v>92668.699999999953</v>
      </c>
      <c r="O99" s="271"/>
      <c r="P99" s="271"/>
    </row>
    <row r="100" spans="1:16" ht="15.75">
      <c r="A100" s="532">
        <v>97</v>
      </c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469">
        <f t="shared" si="2"/>
        <v>92668.699999999953</v>
      </c>
      <c r="O100" s="271"/>
      <c r="P100" s="271"/>
    </row>
    <row r="101" spans="1:16" ht="15.75">
      <c r="A101" s="532">
        <v>98</v>
      </c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</row>
    <row r="102" spans="1:16" ht="15.75">
      <c r="A102" s="532">
        <v>99</v>
      </c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</row>
    <row r="103" spans="1:16" ht="15.75">
      <c r="A103" s="532">
        <v>100</v>
      </c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</row>
    <row r="104" spans="1:16" ht="15.75">
      <c r="A104" s="532">
        <v>101</v>
      </c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</row>
    <row r="105" spans="1:16" ht="15.75">
      <c r="A105" s="532">
        <v>102</v>
      </c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</row>
    <row r="106" spans="1:16" ht="15.75">
      <c r="A106" s="532">
        <v>103</v>
      </c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</row>
    <row r="107" spans="1:16" ht="15.75">
      <c r="A107" s="532">
        <v>104</v>
      </c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</row>
    <row r="108" spans="1:16" ht="15.75">
      <c r="A108" s="532">
        <v>105</v>
      </c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</row>
    <row r="109" spans="1:16" ht="15.75">
      <c r="A109" s="532">
        <v>106</v>
      </c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</row>
    <row r="110" spans="1:16" ht="15.75">
      <c r="A110" s="532">
        <v>107</v>
      </c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</row>
  </sheetData>
  <mergeCells count="2">
    <mergeCell ref="A1:P1"/>
    <mergeCell ref="A3:K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36F0-8AEE-4D71-B274-AD3D9F13445A}">
  <dimension ref="B2:B7"/>
  <sheetViews>
    <sheetView workbookViewId="0">
      <selection activeCell="C2" sqref="C2:D6"/>
    </sheetView>
  </sheetViews>
  <sheetFormatPr defaultRowHeight="15"/>
  <cols>
    <col min="2" max="2" width="29.28515625" customWidth="1"/>
  </cols>
  <sheetData>
    <row r="2" spans="2:2" ht="30" customHeight="1">
      <c r="B2" s="367" t="s">
        <v>53</v>
      </c>
    </row>
    <row r="3" spans="2:2" ht="30" customHeight="1">
      <c r="B3" s="367" t="s">
        <v>373</v>
      </c>
    </row>
    <row r="4" spans="2:2" ht="30" customHeight="1">
      <c r="B4" s="367" t="s">
        <v>376</v>
      </c>
    </row>
    <row r="5" spans="2:2" ht="30" customHeight="1">
      <c r="B5" s="367" t="s">
        <v>40</v>
      </c>
    </row>
    <row r="6" spans="2:2" ht="30" customHeight="1">
      <c r="B6" s="367" t="s">
        <v>456</v>
      </c>
    </row>
    <row r="7" spans="2:2" ht="30" customHeight="1">
      <c r="B7" s="368"/>
    </row>
  </sheetData>
  <dataValidations count="1">
    <dataValidation type="list" allowBlank="1" showInputMessage="1" showErrorMessage="1" sqref="C15" xr:uid="{D64AB095-6DAA-485D-A4E6-9BA7B6FD6BF7}">
      <formula1>$B$2:$B$5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2026-10-07T05:20:39Z</dcterms:modified>
  <cp:category/>
  <cp:contentStatus/>
</cp:coreProperties>
</file>