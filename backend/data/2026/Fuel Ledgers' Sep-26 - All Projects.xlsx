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filterPrivacy="1"/>
  <xr:revisionPtr revIDLastSave="38303" documentId="8_{21E78461-8472-4FC4-9B9A-C4551723630E}" xr6:coauthVersionLast="47" xr6:coauthVersionMax="47" xr10:uidLastSave="{CEAC3CB8-2BAE-4DC9-8D88-77EA72C04B59}"/>
  <bookViews>
    <workbookView xWindow="-60" yWindow="-60" windowWidth="15480" windowHeight="11640" firstSheet="46" activeTab="46" xr2:uid="{00000000-000D-0000-FFFF-FFFF00000000}"/>
  </bookViews>
  <sheets>
    <sheet name=" MIs" sheetId="84" state="hidden" r:id="rId1"/>
    <sheet name=" Sep-26" sheetId="56" r:id="rId2"/>
    <sheet name="HO(DG)" sheetId="81" r:id="rId3"/>
    <sheet name="Khammam-1" sheetId="50" r:id="rId4"/>
    <sheet name="Khammam-2" sheetId="47" r:id="rId5"/>
    <sheet name="Khammam-4" sheetId="109" r:id="rId6"/>
    <sheet name=" Khammam-5" sheetId="110" r:id="rId7"/>
    <sheet name=" Khammam&amp;Cash" sheetId="95" r:id="rId8"/>
    <sheet name="Jadcherla-4" sheetId="78" r:id="rId9"/>
    <sheet name=" Sangareddy-2" sheetId="89" r:id="rId10"/>
    <sheet name=" Sangareddy-3" sheetId="93" r:id="rId11"/>
    <sheet name="Narayankhed" sheetId="98" r:id="rId12"/>
    <sheet name="Dindi" sheetId="58" r:id="rId13"/>
    <sheet name="Multiple bunks(KKD)" sheetId="65" r:id="rId14"/>
    <sheet name=" Pitapram(KKD)" sheetId="105" r:id="rId15"/>
    <sheet name="Yeleshwaram(KKD)" sheetId="104" r:id="rId16"/>
    <sheet name="Amalapuram(KKD)" sheetId="106" r:id="rId17"/>
    <sheet name=" Solasa Krishna OIl" sheetId="107" r:id="rId18"/>
    <sheet name="Sri Venkateshwara Services" sheetId="108" r:id="rId19"/>
    <sheet name=" Raja Filling Statuion" sheetId="111" r:id="rId20"/>
    <sheet name="Madana palli" sheetId="71" r:id="rId21"/>
    <sheet name="Kadur" sheetId="7" r:id="rId22"/>
    <sheet name="YG Gudda" sheetId="62" r:id="rId23"/>
    <sheet name=" YG Gudda-2" sheetId="103" r:id="rId24"/>
    <sheet name="Hosadurga -2" sheetId="52" r:id="rId25"/>
    <sheet name="Hiriyur(VJNL)" sheetId="3" r:id="rId26"/>
    <sheet name="Malebenur(KUWSDB)" sheetId="16" r:id="rId27"/>
    <sheet name="Molakamuru" sheetId="63" r:id="rId28"/>
    <sheet name="Chellakere -1" sheetId="68" r:id="rId29"/>
    <sheet name=" Chellakere-PKG-9" sheetId="73" r:id="rId30"/>
    <sheet name=" Chennagiri" sheetId="74" r:id="rId31"/>
    <sheet name="Khanapur" sheetId="24" r:id="rId32"/>
    <sheet name="Munavali-2" sheetId="80" r:id="rId33"/>
    <sheet name=" Munavali" sheetId="99" r:id="rId34"/>
    <sheet name="Ugar,Khagwad,Kudichi" sheetId="11" r:id="rId35"/>
    <sheet name="shedbal" sheetId="101" r:id="rId36"/>
    <sheet name="Kabbur" sheetId="40" r:id="rId37"/>
    <sheet name="kumta" sheetId="25" r:id="rId38"/>
    <sheet name="Jalgoan-2" sheetId="85" r:id="rId39"/>
    <sheet name="MKBD" sheetId="14" r:id="rId40"/>
    <sheet name=" Haveri-2" sheetId="75" r:id="rId41"/>
    <sheet name=" Guttal-2" sheetId="79" r:id="rId42"/>
    <sheet name="Rattihali-2" sheetId="76" r:id="rId43"/>
    <sheet name="Gajendragada" sheetId="12" r:id="rId44"/>
    <sheet name="Gokak Dharwad PKG 3" sheetId="41" r:id="rId45"/>
    <sheet name="Ankalgi" sheetId="60" r:id="rId46"/>
    <sheet name=" TR Associates" sheetId="83" r:id="rId47"/>
    <sheet name="SHRI DESHPANDE" sheetId="100" r:id="rId48"/>
    <sheet name=" Shankeshwar" sheetId="57" r:id="rId49"/>
    <sheet name=" Talikote" sheetId="26" r:id="rId50"/>
    <sheet name="Chadchan" sheetId="9" r:id="rId51"/>
    <sheet name="Sindagi" sheetId="33" r:id="rId52"/>
    <sheet name="Muddebhihal-2" sheetId="69" r:id="rId53"/>
    <sheet name="Alemela" sheetId="35" r:id="rId54"/>
    <sheet name="Nalatwad" sheetId="51" r:id="rId55"/>
    <sheet name="Srirangapatna" sheetId="19" r:id="rId56"/>
    <sheet name="BPCL Aug-26" sheetId="44" r:id="rId57"/>
    <sheet name=" HPCL Aug -26" sheetId="45" r:id="rId58"/>
    <sheet name="Sheet1" sheetId="86" r:id="rId59"/>
    <sheet name="Sheet2" sheetId="102" r:id="rId60"/>
  </sheets>
  <definedNames>
    <definedName name="_xlnm._FilterDatabase" localSheetId="57" hidden="1">' HPCL Aug -26'!$A$1:$O$78</definedName>
    <definedName name="_xlnm._FilterDatabase" localSheetId="56" hidden="1">'BPCL Aug-26'!$A$4:$U$4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06" l="1"/>
  <c r="R8" i="24"/>
  <c r="G6" i="24"/>
  <c r="K6" i="24"/>
  <c r="M35" i="93"/>
  <c r="M35" i="50"/>
  <c r="K33" i="24"/>
  <c r="K34" i="24"/>
  <c r="E35" i="79"/>
  <c r="M33" i="73"/>
  <c r="M34" i="73"/>
  <c r="M35" i="73"/>
  <c r="L37" i="76"/>
  <c r="M31" i="76"/>
  <c r="M32" i="76"/>
  <c r="M33" i="76"/>
  <c r="M34" i="76"/>
  <c r="J35" i="56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7" i="40"/>
  <c r="K35" i="56"/>
  <c r="G33" i="99"/>
  <c r="M30" i="100"/>
  <c r="M31" i="100"/>
  <c r="M32" i="100"/>
  <c r="M33" i="100"/>
  <c r="M34" i="100"/>
  <c r="J13" i="56"/>
  <c r="I13" i="56"/>
  <c r="G13" i="56"/>
  <c r="F13" i="56"/>
  <c r="L35" i="111"/>
  <c r="H35" i="111"/>
  <c r="E35" i="111"/>
  <c r="D13" i="56" s="1"/>
  <c r="J34" i="111"/>
  <c r="G34" i="111"/>
  <c r="K34" i="111" s="1"/>
  <c r="J33" i="111"/>
  <c r="G33" i="111"/>
  <c r="K33" i="111" s="1"/>
  <c r="J32" i="111"/>
  <c r="G32" i="111"/>
  <c r="K32" i="111" s="1"/>
  <c r="J31" i="111"/>
  <c r="K31" i="111" s="1"/>
  <c r="J30" i="111"/>
  <c r="K30" i="111" s="1"/>
  <c r="J29" i="111"/>
  <c r="K29" i="111" s="1"/>
  <c r="J28" i="111"/>
  <c r="K28" i="111" s="1"/>
  <c r="J27" i="111"/>
  <c r="K27" i="111" s="1"/>
  <c r="J26" i="111"/>
  <c r="K26" i="111" s="1"/>
  <c r="J25" i="111"/>
  <c r="K25" i="111" s="1"/>
  <c r="J24" i="111"/>
  <c r="K24" i="111" s="1"/>
  <c r="J23" i="111"/>
  <c r="K23" i="111" s="1"/>
  <c r="J22" i="111"/>
  <c r="K22" i="111" s="1"/>
  <c r="J21" i="111"/>
  <c r="G21" i="111"/>
  <c r="K21" i="111" s="1"/>
  <c r="J20" i="111"/>
  <c r="G20" i="111"/>
  <c r="K20" i="111" s="1"/>
  <c r="J19" i="111"/>
  <c r="G19" i="111"/>
  <c r="K19" i="111" s="1"/>
  <c r="J18" i="111"/>
  <c r="G18" i="111"/>
  <c r="K18" i="111" s="1"/>
  <c r="J17" i="111"/>
  <c r="G17" i="111"/>
  <c r="K17" i="111" s="1"/>
  <c r="J16" i="111"/>
  <c r="G16" i="111"/>
  <c r="K16" i="111" s="1"/>
  <c r="J15" i="111"/>
  <c r="G15" i="111"/>
  <c r="K15" i="111" s="1"/>
  <c r="J14" i="111"/>
  <c r="G14" i="111"/>
  <c r="K14" i="111" s="1"/>
  <c r="J13" i="111"/>
  <c r="G13" i="111"/>
  <c r="K13" i="111" s="1"/>
  <c r="J12" i="111"/>
  <c r="G12" i="111"/>
  <c r="K12" i="111" s="1"/>
  <c r="J11" i="111"/>
  <c r="G11" i="111"/>
  <c r="K11" i="111" s="1"/>
  <c r="J10" i="111"/>
  <c r="G10" i="111"/>
  <c r="K10" i="111" s="1"/>
  <c r="J9" i="111"/>
  <c r="G9" i="111"/>
  <c r="K9" i="111" s="1"/>
  <c r="J8" i="111"/>
  <c r="G8" i="111"/>
  <c r="K8" i="111" s="1"/>
  <c r="J7" i="111"/>
  <c r="G7" i="111"/>
  <c r="K7" i="111" s="1"/>
  <c r="J6" i="111"/>
  <c r="G6" i="111"/>
  <c r="K6" i="111" s="1"/>
  <c r="J5" i="111"/>
  <c r="G5" i="111"/>
  <c r="K5" i="111" s="1"/>
  <c r="J4" i="111"/>
  <c r="J35" i="111" s="1"/>
  <c r="G4" i="111"/>
  <c r="K24" i="100"/>
  <c r="E35" i="100"/>
  <c r="K35" i="65"/>
  <c r="K34" i="65"/>
  <c r="K33" i="65"/>
  <c r="K32" i="65"/>
  <c r="K31" i="65"/>
  <c r="K30" i="65"/>
  <c r="K29" i="65"/>
  <c r="K28" i="65"/>
  <c r="K27" i="65"/>
  <c r="K26" i="65"/>
  <c r="K25" i="65"/>
  <c r="K24" i="65"/>
  <c r="K23" i="65"/>
  <c r="K22" i="65"/>
  <c r="K21" i="65"/>
  <c r="K20" i="65"/>
  <c r="K19" i="65"/>
  <c r="K18" i="65"/>
  <c r="K17" i="65"/>
  <c r="K16" i="65"/>
  <c r="K15" i="65"/>
  <c r="K14" i="65"/>
  <c r="K13" i="65"/>
  <c r="K12" i="65"/>
  <c r="K11" i="65"/>
  <c r="K10" i="65"/>
  <c r="K9" i="65"/>
  <c r="K8" i="65"/>
  <c r="K7" i="65"/>
  <c r="K6" i="65"/>
  <c r="K5" i="65"/>
  <c r="J4" i="65"/>
  <c r="K4" i="65" s="1"/>
  <c r="L33" i="81"/>
  <c r="L35" i="81"/>
  <c r="K33" i="81"/>
  <c r="K35" i="81"/>
  <c r="G30" i="81"/>
  <c r="G31" i="81"/>
  <c r="K31" i="81" s="1"/>
  <c r="L31" i="81" s="1"/>
  <c r="G32" i="81"/>
  <c r="K32" i="81" s="1"/>
  <c r="L32" i="81" s="1"/>
  <c r="G33" i="81"/>
  <c r="G34" i="81"/>
  <c r="K34" i="81" s="1"/>
  <c r="L34" i="81" s="1"/>
  <c r="G35" i="81"/>
  <c r="K29" i="57"/>
  <c r="K30" i="103"/>
  <c r="K32" i="103"/>
  <c r="J31" i="103"/>
  <c r="K31" i="103" s="1"/>
  <c r="E29" i="26"/>
  <c r="E30" i="79"/>
  <c r="K29" i="103"/>
  <c r="J28" i="103"/>
  <c r="G28" i="103"/>
  <c r="K28" i="103" s="1"/>
  <c r="J26" i="73"/>
  <c r="J27" i="73"/>
  <c r="J28" i="73"/>
  <c r="J29" i="73"/>
  <c r="J30" i="73"/>
  <c r="K26" i="73"/>
  <c r="K27" i="73"/>
  <c r="K28" i="73"/>
  <c r="M25" i="16"/>
  <c r="M26" i="16"/>
  <c r="M27" i="16"/>
  <c r="M28" i="16"/>
  <c r="M29" i="16"/>
  <c r="K27" i="16"/>
  <c r="G27" i="16"/>
  <c r="G26" i="73"/>
  <c r="E25" i="51"/>
  <c r="M26" i="47"/>
  <c r="M25" i="47"/>
  <c r="K25" i="47"/>
  <c r="G25" i="47"/>
  <c r="J16" i="68"/>
  <c r="J17" i="68"/>
  <c r="J18" i="68"/>
  <c r="J19" i="68"/>
  <c r="J20" i="68"/>
  <c r="J21" i="68"/>
  <c r="J22" i="68"/>
  <c r="J23" i="68"/>
  <c r="J24" i="68"/>
  <c r="K16" i="68"/>
  <c r="K17" i="68"/>
  <c r="K18" i="68"/>
  <c r="K19" i="68"/>
  <c r="K20" i="68"/>
  <c r="K21" i="68"/>
  <c r="K22" i="68"/>
  <c r="K23" i="68"/>
  <c r="K24" i="68"/>
  <c r="G16" i="68"/>
  <c r="G17" i="68"/>
  <c r="G18" i="68"/>
  <c r="G19" i="68"/>
  <c r="G20" i="68"/>
  <c r="G21" i="68"/>
  <c r="G22" i="68"/>
  <c r="G23" i="68"/>
  <c r="G24" i="68"/>
  <c r="G27" i="26"/>
  <c r="J20" i="69"/>
  <c r="J19" i="69"/>
  <c r="J18" i="69"/>
  <c r="K19" i="69"/>
  <c r="K20" i="69"/>
  <c r="K21" i="69"/>
  <c r="K18" i="69"/>
  <c r="J20" i="26"/>
  <c r="K20" i="26"/>
  <c r="J21" i="26"/>
  <c r="K21" i="26"/>
  <c r="M20" i="105"/>
  <c r="K19" i="103"/>
  <c r="M14" i="105"/>
  <c r="M15" i="105"/>
  <c r="M16" i="105"/>
  <c r="M17" i="105"/>
  <c r="M15" i="25"/>
  <c r="M17" i="76"/>
  <c r="J13" i="62"/>
  <c r="J14" i="62"/>
  <c r="J15" i="62"/>
  <c r="J16" i="62"/>
  <c r="M14" i="50"/>
  <c r="M15" i="50"/>
  <c r="L14" i="57"/>
  <c r="M5" i="80"/>
  <c r="M6" i="80"/>
  <c r="M7" i="80"/>
  <c r="M8" i="80"/>
  <c r="M9" i="80"/>
  <c r="M10" i="80"/>
  <c r="K10" i="51"/>
  <c r="K5" i="51"/>
  <c r="K6" i="51"/>
  <c r="K7" i="51"/>
  <c r="K9" i="51"/>
  <c r="G10" i="100"/>
  <c r="K10" i="100"/>
  <c r="M5" i="100"/>
  <c r="M6" i="100"/>
  <c r="M7" i="100"/>
  <c r="M8" i="100"/>
  <c r="M9" i="100"/>
  <c r="M10" i="100"/>
  <c r="K5" i="100"/>
  <c r="K6" i="100"/>
  <c r="K7" i="100"/>
  <c r="K9" i="100"/>
  <c r="L8" i="57"/>
  <c r="I23" i="56"/>
  <c r="I22" i="56"/>
  <c r="I42" i="56"/>
  <c r="I49" i="56"/>
  <c r="I48" i="56"/>
  <c r="I47" i="56"/>
  <c r="L35" i="3"/>
  <c r="I28" i="56"/>
  <c r="M5" i="25"/>
  <c r="M6" i="25"/>
  <c r="G5" i="69"/>
  <c r="M6" i="12"/>
  <c r="J19" i="56"/>
  <c r="G19" i="56"/>
  <c r="F19" i="56"/>
  <c r="E19" i="56"/>
  <c r="H19" i="56" s="1"/>
  <c r="D19" i="56"/>
  <c r="P36" i="9"/>
  <c r="M4" i="26"/>
  <c r="M5" i="26"/>
  <c r="G5" i="89"/>
  <c r="G6" i="89"/>
  <c r="G7" i="89"/>
  <c r="G8" i="89"/>
  <c r="G9" i="89"/>
  <c r="M5" i="98"/>
  <c r="H68" i="65"/>
  <c r="G68" i="65"/>
  <c r="J68" i="65"/>
  <c r="K68" i="65"/>
  <c r="E68" i="65"/>
  <c r="J50" i="65"/>
  <c r="J51" i="65"/>
  <c r="J52" i="65"/>
  <c r="J53" i="65"/>
  <c r="J54" i="65"/>
  <c r="J55" i="65"/>
  <c r="J56" i="65"/>
  <c r="J57" i="65"/>
  <c r="J58" i="65"/>
  <c r="J59" i="65"/>
  <c r="J60" i="65"/>
  <c r="J61" i="65"/>
  <c r="J62" i="65"/>
  <c r="J63" i="65"/>
  <c r="J64" i="65"/>
  <c r="J65" i="65"/>
  <c r="J66" i="65"/>
  <c r="J48" i="65"/>
  <c r="J44" i="65"/>
  <c r="J40" i="65"/>
  <c r="J41" i="65"/>
  <c r="J36" i="65"/>
  <c r="J37" i="65"/>
  <c r="J38" i="65"/>
  <c r="G54" i="65"/>
  <c r="K54" i="65" s="1"/>
  <c r="G55" i="65"/>
  <c r="K55" i="65" s="1"/>
  <c r="G56" i="65"/>
  <c r="K56" i="65" s="1"/>
  <c r="G57" i="65"/>
  <c r="K57" i="65" s="1"/>
  <c r="G58" i="65"/>
  <c r="K58" i="65" s="1"/>
  <c r="G59" i="65"/>
  <c r="K59" i="65" s="1"/>
  <c r="G60" i="65"/>
  <c r="K60" i="65" s="1"/>
  <c r="G61" i="65"/>
  <c r="K61" i="65" s="1"/>
  <c r="G62" i="65"/>
  <c r="K62" i="65" s="1"/>
  <c r="G63" i="65"/>
  <c r="K63" i="65" s="1"/>
  <c r="G64" i="65"/>
  <c r="K64" i="65" s="1"/>
  <c r="G65" i="65"/>
  <c r="K65" i="65" s="1"/>
  <c r="G66" i="65"/>
  <c r="K66" i="65" s="1"/>
  <c r="G36" i="65"/>
  <c r="G37" i="65"/>
  <c r="G38" i="65"/>
  <c r="G39" i="65"/>
  <c r="G40" i="65"/>
  <c r="G41" i="65"/>
  <c r="G42" i="65"/>
  <c r="G43" i="65"/>
  <c r="G44" i="65"/>
  <c r="G45" i="65"/>
  <c r="G46" i="65"/>
  <c r="G47" i="65"/>
  <c r="G48" i="65"/>
  <c r="G49" i="65"/>
  <c r="G50" i="65"/>
  <c r="K50" i="65" s="1"/>
  <c r="G51" i="65"/>
  <c r="K51" i="65" s="1"/>
  <c r="G52" i="65"/>
  <c r="K52" i="65" s="1"/>
  <c r="G53" i="65"/>
  <c r="K53" i="65" s="1"/>
  <c r="J4" i="103"/>
  <c r="J5" i="103"/>
  <c r="J6" i="103"/>
  <c r="J7" i="103"/>
  <c r="J8" i="103"/>
  <c r="J9" i="103"/>
  <c r="J10" i="103"/>
  <c r="J11" i="103"/>
  <c r="J12" i="103"/>
  <c r="J13" i="103"/>
  <c r="J14" i="103"/>
  <c r="J15" i="103"/>
  <c r="J17" i="80"/>
  <c r="K5" i="50"/>
  <c r="G31" i="101"/>
  <c r="G32" i="101"/>
  <c r="K32" i="101" s="1"/>
  <c r="J21" i="101"/>
  <c r="J22" i="101"/>
  <c r="J23" i="101"/>
  <c r="G34" i="103"/>
  <c r="J34" i="103"/>
  <c r="E48" i="26"/>
  <c r="G30" i="108"/>
  <c r="G29" i="107"/>
  <c r="G30" i="107"/>
  <c r="M5" i="45"/>
  <c r="M6" i="45"/>
  <c r="M7" i="45"/>
  <c r="M8" i="45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39" i="45"/>
  <c r="M40" i="45"/>
  <c r="M41" i="45"/>
  <c r="M42" i="45"/>
  <c r="M43" i="45"/>
  <c r="M44" i="45"/>
  <c r="M45" i="45"/>
  <c r="M46" i="45"/>
  <c r="M47" i="45"/>
  <c r="M48" i="45"/>
  <c r="M49" i="45"/>
  <c r="M50" i="45"/>
  <c r="M51" i="45"/>
  <c r="M52" i="45"/>
  <c r="M53" i="45"/>
  <c r="M54" i="45"/>
  <c r="M55" i="45"/>
  <c r="M56" i="45"/>
  <c r="M57" i="45"/>
  <c r="G5" i="45"/>
  <c r="J5" i="45"/>
  <c r="K5" i="45"/>
  <c r="J6" i="45"/>
  <c r="J7" i="45"/>
  <c r="J8" i="45"/>
  <c r="J9" i="45"/>
  <c r="J29" i="106"/>
  <c r="G29" i="106"/>
  <c r="G30" i="106"/>
  <c r="J22" i="45"/>
  <c r="J23" i="45"/>
  <c r="J24" i="45"/>
  <c r="J25" i="45"/>
  <c r="G24" i="45"/>
  <c r="K24" i="45" s="1"/>
  <c r="G7" i="45"/>
  <c r="K7" i="45" s="1"/>
  <c r="G55" i="45"/>
  <c r="J49" i="45"/>
  <c r="J50" i="45"/>
  <c r="J51" i="45"/>
  <c r="J52" i="45"/>
  <c r="J53" i="45"/>
  <c r="J54" i="45"/>
  <c r="J55" i="45"/>
  <c r="G54" i="45"/>
  <c r="G53" i="45"/>
  <c r="G52" i="45"/>
  <c r="G51" i="45"/>
  <c r="G50" i="45"/>
  <c r="J44" i="45"/>
  <c r="J45" i="45"/>
  <c r="J46" i="45"/>
  <c r="J47" i="45"/>
  <c r="J48" i="45"/>
  <c r="G49" i="45"/>
  <c r="G47" i="45"/>
  <c r="G48" i="45"/>
  <c r="G46" i="45"/>
  <c r="G45" i="45"/>
  <c r="J26" i="45"/>
  <c r="J27" i="45"/>
  <c r="J28" i="45"/>
  <c r="J29" i="45"/>
  <c r="J30" i="45"/>
  <c r="J31" i="45"/>
  <c r="J32" i="45"/>
  <c r="J33" i="45"/>
  <c r="J34" i="45"/>
  <c r="J35" i="45"/>
  <c r="J36" i="45"/>
  <c r="J37" i="45"/>
  <c r="J38" i="45"/>
  <c r="J39" i="45"/>
  <c r="J40" i="45"/>
  <c r="J41" i="45"/>
  <c r="J42" i="45"/>
  <c r="J43" i="45"/>
  <c r="G44" i="45"/>
  <c r="G43" i="45"/>
  <c r="G42" i="45"/>
  <c r="G41" i="45"/>
  <c r="G40" i="45"/>
  <c r="G39" i="45"/>
  <c r="G38" i="45"/>
  <c r="G37" i="45"/>
  <c r="G36" i="45"/>
  <c r="G35" i="45"/>
  <c r="G34" i="45"/>
  <c r="G33" i="45"/>
  <c r="G32" i="45"/>
  <c r="G31" i="45"/>
  <c r="G30" i="45"/>
  <c r="G8" i="58"/>
  <c r="G9" i="58"/>
  <c r="G10" i="58"/>
  <c r="G11" i="58"/>
  <c r="G12" i="58"/>
  <c r="G13" i="58"/>
  <c r="G14" i="58"/>
  <c r="G15" i="58"/>
  <c r="G16" i="58"/>
  <c r="G17" i="58"/>
  <c r="G18" i="58"/>
  <c r="G19" i="58"/>
  <c r="G20" i="58"/>
  <c r="G21" i="58"/>
  <c r="G22" i="58"/>
  <c r="G23" i="58"/>
  <c r="G24" i="58"/>
  <c r="G25" i="58"/>
  <c r="G26" i="58"/>
  <c r="G27" i="58"/>
  <c r="G28" i="58"/>
  <c r="G29" i="58"/>
  <c r="G30" i="58"/>
  <c r="G39" i="44"/>
  <c r="J39" i="44"/>
  <c r="K39" i="44"/>
  <c r="G97" i="44"/>
  <c r="G98" i="44"/>
  <c r="G99" i="44"/>
  <c r="J95" i="44"/>
  <c r="J96" i="44"/>
  <c r="J97" i="44"/>
  <c r="G95" i="44"/>
  <c r="G96" i="44"/>
  <c r="J56" i="44"/>
  <c r="I5" i="56"/>
  <c r="I4" i="56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L35" i="110"/>
  <c r="J5" i="56" s="1"/>
  <c r="H35" i="110"/>
  <c r="F5" i="56" s="1"/>
  <c r="E35" i="110"/>
  <c r="D5" i="56" s="1"/>
  <c r="J34" i="110"/>
  <c r="G34" i="110"/>
  <c r="K34" i="110" s="1"/>
  <c r="J33" i="110"/>
  <c r="G33" i="110"/>
  <c r="K33" i="110" s="1"/>
  <c r="J32" i="110"/>
  <c r="G32" i="110"/>
  <c r="K32" i="110" s="1"/>
  <c r="J31" i="110"/>
  <c r="G31" i="110"/>
  <c r="K31" i="110" s="1"/>
  <c r="J30" i="110"/>
  <c r="G30" i="110"/>
  <c r="K30" i="110" s="1"/>
  <c r="J29" i="110"/>
  <c r="G29" i="110"/>
  <c r="K29" i="110" s="1"/>
  <c r="J28" i="110"/>
  <c r="G28" i="110"/>
  <c r="K28" i="110" s="1"/>
  <c r="J27" i="110"/>
  <c r="G27" i="110"/>
  <c r="K27" i="110" s="1"/>
  <c r="J26" i="110"/>
  <c r="G26" i="110"/>
  <c r="K26" i="110" s="1"/>
  <c r="J25" i="110"/>
  <c r="G25" i="110"/>
  <c r="K25" i="110" s="1"/>
  <c r="J24" i="110"/>
  <c r="G24" i="110"/>
  <c r="K24" i="110" s="1"/>
  <c r="J23" i="110"/>
  <c r="G23" i="110"/>
  <c r="K23" i="110" s="1"/>
  <c r="J22" i="110"/>
  <c r="G22" i="110"/>
  <c r="K22" i="110" s="1"/>
  <c r="J21" i="110"/>
  <c r="G21" i="110"/>
  <c r="K21" i="110" s="1"/>
  <c r="J20" i="110"/>
  <c r="G20" i="110"/>
  <c r="K20" i="110" s="1"/>
  <c r="J19" i="110"/>
  <c r="G19" i="110"/>
  <c r="K19" i="110" s="1"/>
  <c r="J18" i="110"/>
  <c r="G18" i="110"/>
  <c r="K18" i="110" s="1"/>
  <c r="J17" i="110"/>
  <c r="G17" i="110"/>
  <c r="K17" i="110" s="1"/>
  <c r="J16" i="110"/>
  <c r="G16" i="110"/>
  <c r="K16" i="110" s="1"/>
  <c r="J15" i="110"/>
  <c r="G15" i="110"/>
  <c r="K15" i="110" s="1"/>
  <c r="J14" i="110"/>
  <c r="G14" i="110"/>
  <c r="K14" i="110" s="1"/>
  <c r="J13" i="110"/>
  <c r="G13" i="110"/>
  <c r="K13" i="110" s="1"/>
  <c r="J12" i="110"/>
  <c r="G12" i="110"/>
  <c r="K12" i="110" s="1"/>
  <c r="J11" i="110"/>
  <c r="G11" i="110"/>
  <c r="K11" i="110" s="1"/>
  <c r="J10" i="110"/>
  <c r="G10" i="110"/>
  <c r="K10" i="110" s="1"/>
  <c r="J9" i="110"/>
  <c r="G9" i="110"/>
  <c r="K9" i="110" s="1"/>
  <c r="J8" i="110"/>
  <c r="G8" i="110"/>
  <c r="K8" i="110" s="1"/>
  <c r="J7" i="110"/>
  <c r="G7" i="110"/>
  <c r="K7" i="110" s="1"/>
  <c r="J6" i="110"/>
  <c r="G6" i="110"/>
  <c r="K6" i="110" s="1"/>
  <c r="J5" i="110"/>
  <c r="G5" i="110"/>
  <c r="K5" i="110" s="1"/>
  <c r="J4" i="110"/>
  <c r="J35" i="110" s="1"/>
  <c r="G5" i="56" s="1"/>
  <c r="G4" i="110"/>
  <c r="L35" i="109"/>
  <c r="J4" i="56" s="1"/>
  <c r="H35" i="109"/>
  <c r="F4" i="56" s="1"/>
  <c r="E35" i="109"/>
  <c r="D4" i="56" s="1"/>
  <c r="J34" i="109"/>
  <c r="G34" i="109"/>
  <c r="K34" i="109" s="1"/>
  <c r="J33" i="109"/>
  <c r="G33" i="109"/>
  <c r="K33" i="109" s="1"/>
  <c r="J32" i="109"/>
  <c r="G32" i="109"/>
  <c r="K32" i="109" s="1"/>
  <c r="J31" i="109"/>
  <c r="G31" i="109"/>
  <c r="K31" i="109" s="1"/>
  <c r="J30" i="109"/>
  <c r="G30" i="109"/>
  <c r="K30" i="109" s="1"/>
  <c r="J29" i="109"/>
  <c r="G29" i="109"/>
  <c r="K29" i="109" s="1"/>
  <c r="J28" i="109"/>
  <c r="G28" i="109"/>
  <c r="K28" i="109" s="1"/>
  <c r="J27" i="109"/>
  <c r="G27" i="109"/>
  <c r="K27" i="109" s="1"/>
  <c r="J26" i="109"/>
  <c r="G26" i="109"/>
  <c r="K26" i="109" s="1"/>
  <c r="J25" i="109"/>
  <c r="G25" i="109"/>
  <c r="K25" i="109" s="1"/>
  <c r="J24" i="109"/>
  <c r="G24" i="109"/>
  <c r="K24" i="109" s="1"/>
  <c r="J23" i="109"/>
  <c r="G23" i="109"/>
  <c r="K23" i="109" s="1"/>
  <c r="J22" i="109"/>
  <c r="G22" i="109"/>
  <c r="K22" i="109" s="1"/>
  <c r="J21" i="109"/>
  <c r="G21" i="109"/>
  <c r="K21" i="109" s="1"/>
  <c r="J20" i="109"/>
  <c r="G20" i="109"/>
  <c r="K20" i="109" s="1"/>
  <c r="J19" i="109"/>
  <c r="G19" i="109"/>
  <c r="K19" i="109" s="1"/>
  <c r="J18" i="109"/>
  <c r="G18" i="109"/>
  <c r="K18" i="109" s="1"/>
  <c r="J17" i="109"/>
  <c r="G17" i="109"/>
  <c r="K17" i="109" s="1"/>
  <c r="J16" i="109"/>
  <c r="G16" i="109"/>
  <c r="K16" i="109" s="1"/>
  <c r="J15" i="109"/>
  <c r="G15" i="109"/>
  <c r="K15" i="109" s="1"/>
  <c r="J14" i="109"/>
  <c r="G14" i="109"/>
  <c r="K14" i="109" s="1"/>
  <c r="J13" i="109"/>
  <c r="G13" i="109"/>
  <c r="K13" i="109" s="1"/>
  <c r="J12" i="109"/>
  <c r="G12" i="109"/>
  <c r="K12" i="109" s="1"/>
  <c r="J11" i="109"/>
  <c r="G11" i="109"/>
  <c r="K11" i="109" s="1"/>
  <c r="J10" i="109"/>
  <c r="G10" i="109"/>
  <c r="K10" i="109" s="1"/>
  <c r="J9" i="109"/>
  <c r="G9" i="109"/>
  <c r="K9" i="109" s="1"/>
  <c r="J8" i="109"/>
  <c r="G8" i="109"/>
  <c r="K8" i="109" s="1"/>
  <c r="J7" i="109"/>
  <c r="G7" i="109"/>
  <c r="K7" i="109" s="1"/>
  <c r="J6" i="109"/>
  <c r="G6" i="109"/>
  <c r="K6" i="109" s="1"/>
  <c r="J5" i="109"/>
  <c r="G5" i="109"/>
  <c r="K5" i="109" s="1"/>
  <c r="J4" i="109"/>
  <c r="J35" i="109" s="1"/>
  <c r="G4" i="56" s="1"/>
  <c r="G4" i="109"/>
  <c r="G16" i="80"/>
  <c r="G17" i="80"/>
  <c r="K17" i="80" s="1"/>
  <c r="G18" i="80"/>
  <c r="G19" i="80"/>
  <c r="G20" i="80"/>
  <c r="G21" i="80"/>
  <c r="G22" i="80"/>
  <c r="G23" i="80"/>
  <c r="K23" i="80" s="1"/>
  <c r="G24" i="80"/>
  <c r="G25" i="80"/>
  <c r="G26" i="80"/>
  <c r="G21" i="9"/>
  <c r="G22" i="9"/>
  <c r="G22" i="41"/>
  <c r="J18" i="41"/>
  <c r="J19" i="41"/>
  <c r="J20" i="41"/>
  <c r="J21" i="41"/>
  <c r="J22" i="41"/>
  <c r="J23" i="41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10" i="14"/>
  <c r="J25" i="14"/>
  <c r="J26" i="14"/>
  <c r="J27" i="14"/>
  <c r="J20" i="83"/>
  <c r="J21" i="83"/>
  <c r="G20" i="83"/>
  <c r="G21" i="83"/>
  <c r="J21" i="100"/>
  <c r="G21" i="100"/>
  <c r="I14" i="56"/>
  <c r="H37" i="108"/>
  <c r="F14" i="56" s="1"/>
  <c r="E37" i="108"/>
  <c r="D14" i="56" s="1"/>
  <c r="J36" i="108"/>
  <c r="G36" i="108"/>
  <c r="K36" i="108" s="1"/>
  <c r="J35" i="108"/>
  <c r="G35" i="108"/>
  <c r="K35" i="108" s="1"/>
  <c r="J34" i="108"/>
  <c r="G34" i="108"/>
  <c r="K34" i="108" s="1"/>
  <c r="J33" i="108"/>
  <c r="G33" i="108"/>
  <c r="K33" i="108" s="1"/>
  <c r="J32" i="108"/>
  <c r="G32" i="108"/>
  <c r="K32" i="108" s="1"/>
  <c r="J31" i="108"/>
  <c r="G31" i="108"/>
  <c r="K31" i="108" s="1"/>
  <c r="J30" i="108"/>
  <c r="K30" i="108" s="1"/>
  <c r="J29" i="108"/>
  <c r="G29" i="108"/>
  <c r="K29" i="108" s="1"/>
  <c r="J28" i="108"/>
  <c r="G28" i="108"/>
  <c r="K28" i="108" s="1"/>
  <c r="J27" i="108"/>
  <c r="G27" i="108"/>
  <c r="K27" i="108" s="1"/>
  <c r="J26" i="108"/>
  <c r="G26" i="108"/>
  <c r="K26" i="108" s="1"/>
  <c r="J25" i="108"/>
  <c r="G25" i="108"/>
  <c r="K25" i="108" s="1"/>
  <c r="J24" i="108"/>
  <c r="G24" i="108"/>
  <c r="K24" i="108" s="1"/>
  <c r="J23" i="108"/>
  <c r="G23" i="108"/>
  <c r="K23" i="108" s="1"/>
  <c r="J22" i="108"/>
  <c r="G22" i="108"/>
  <c r="K22" i="108" s="1"/>
  <c r="L37" i="108" s="1"/>
  <c r="J14" i="56" s="1"/>
  <c r="J21" i="108"/>
  <c r="G21" i="108"/>
  <c r="K21" i="108" s="1"/>
  <c r="J20" i="108"/>
  <c r="G20" i="108"/>
  <c r="K20" i="108" s="1"/>
  <c r="J19" i="108"/>
  <c r="G19" i="108"/>
  <c r="K19" i="108" s="1"/>
  <c r="J18" i="108"/>
  <c r="G18" i="108"/>
  <c r="K18" i="108" s="1"/>
  <c r="J17" i="108"/>
  <c r="G17" i="108"/>
  <c r="K17" i="108" s="1"/>
  <c r="J16" i="108"/>
  <c r="G16" i="108"/>
  <c r="K16" i="108" s="1"/>
  <c r="J15" i="108"/>
  <c r="G15" i="108"/>
  <c r="K15" i="108" s="1"/>
  <c r="J14" i="108"/>
  <c r="G14" i="108"/>
  <c r="K14" i="108" s="1"/>
  <c r="J13" i="108"/>
  <c r="G13" i="108"/>
  <c r="K13" i="108" s="1"/>
  <c r="J12" i="108"/>
  <c r="G12" i="108"/>
  <c r="K12" i="108" s="1"/>
  <c r="J11" i="108"/>
  <c r="G11" i="108"/>
  <c r="K11" i="108" s="1"/>
  <c r="J10" i="108"/>
  <c r="G10" i="108"/>
  <c r="K10" i="108" s="1"/>
  <c r="J9" i="108"/>
  <c r="G9" i="108"/>
  <c r="K9" i="108" s="1"/>
  <c r="J8" i="108"/>
  <c r="G8" i="108"/>
  <c r="K8" i="108" s="1"/>
  <c r="J7" i="108"/>
  <c r="G7" i="108"/>
  <c r="K7" i="108" s="1"/>
  <c r="J6" i="108"/>
  <c r="G6" i="108"/>
  <c r="K6" i="108" s="1"/>
  <c r="J5" i="108"/>
  <c r="G5" i="108"/>
  <c r="K5" i="108" s="1"/>
  <c r="J4" i="108"/>
  <c r="J37" i="108" s="1"/>
  <c r="G14" i="56" s="1"/>
  <c r="G4" i="108"/>
  <c r="H35" i="79"/>
  <c r="G17" i="81"/>
  <c r="G18" i="81"/>
  <c r="K17" i="81"/>
  <c r="K18" i="81"/>
  <c r="G17" i="100"/>
  <c r="G18" i="100"/>
  <c r="G21" i="75"/>
  <c r="G15" i="9"/>
  <c r="G16" i="9"/>
  <c r="O3" i="50"/>
  <c r="J49" i="65"/>
  <c r="K49" i="65" s="1"/>
  <c r="L49" i="65" s="1"/>
  <c r="K48" i="65"/>
  <c r="L48" i="65" s="1"/>
  <c r="J47" i="65"/>
  <c r="K47" i="65" s="1"/>
  <c r="L47" i="65" s="1"/>
  <c r="J46" i="65"/>
  <c r="K46" i="65" s="1"/>
  <c r="L46" i="65" s="1"/>
  <c r="J45" i="65"/>
  <c r="K45" i="65" s="1"/>
  <c r="L45" i="65" s="1"/>
  <c r="K44" i="65"/>
  <c r="L44" i="65" s="1"/>
  <c r="J43" i="65"/>
  <c r="K43" i="65" s="1"/>
  <c r="L43" i="65" s="1"/>
  <c r="J42" i="65"/>
  <c r="K42" i="65" s="1"/>
  <c r="L42" i="65" s="1"/>
  <c r="K41" i="65"/>
  <c r="L41" i="65" s="1"/>
  <c r="K40" i="65"/>
  <c r="L40" i="65" s="1"/>
  <c r="J39" i="65"/>
  <c r="K39" i="65" s="1"/>
  <c r="L39" i="65" s="1"/>
  <c r="K38" i="65"/>
  <c r="L38" i="65" s="1"/>
  <c r="K37" i="65"/>
  <c r="L37" i="65" s="1"/>
  <c r="K36" i="65"/>
  <c r="L36" i="65" s="1"/>
  <c r="L35" i="65"/>
  <c r="L34" i="65"/>
  <c r="L33" i="65"/>
  <c r="L32" i="65"/>
  <c r="L31" i="65"/>
  <c r="L30" i="65"/>
  <c r="L29" i="65"/>
  <c r="L28" i="65"/>
  <c r="L27" i="65"/>
  <c r="L26" i="65"/>
  <c r="L25" i="65"/>
  <c r="L24" i="65"/>
  <c r="L23" i="65"/>
  <c r="L22" i="65"/>
  <c r="L21" i="65"/>
  <c r="L20" i="65"/>
  <c r="L19" i="65"/>
  <c r="L18" i="65"/>
  <c r="L17" i="65"/>
  <c r="L16" i="65"/>
  <c r="L15" i="65"/>
  <c r="L14" i="65"/>
  <c r="L13" i="65"/>
  <c r="L12" i="65"/>
  <c r="L11" i="65"/>
  <c r="L10" i="65"/>
  <c r="L9" i="65"/>
  <c r="L8" i="65"/>
  <c r="L7" i="65"/>
  <c r="L6" i="65"/>
  <c r="L5" i="65"/>
  <c r="L4" i="65"/>
  <c r="I18" i="56"/>
  <c r="I15" i="56"/>
  <c r="I16" i="56"/>
  <c r="H37" i="107"/>
  <c r="F15" i="56" s="1"/>
  <c r="E37" i="107"/>
  <c r="D15" i="56" s="1"/>
  <c r="J36" i="107"/>
  <c r="G36" i="107"/>
  <c r="K36" i="107" s="1"/>
  <c r="J35" i="107"/>
  <c r="G35" i="107"/>
  <c r="K35" i="107" s="1"/>
  <c r="J34" i="107"/>
  <c r="G34" i="107"/>
  <c r="K34" i="107" s="1"/>
  <c r="J33" i="107"/>
  <c r="G33" i="107"/>
  <c r="K33" i="107" s="1"/>
  <c r="J32" i="107"/>
  <c r="G32" i="107"/>
  <c r="K32" i="107" s="1"/>
  <c r="J31" i="107"/>
  <c r="G31" i="107"/>
  <c r="K31" i="107" s="1"/>
  <c r="J30" i="107"/>
  <c r="K30" i="107" s="1"/>
  <c r="J29" i="107"/>
  <c r="K29" i="107"/>
  <c r="J28" i="107"/>
  <c r="G28" i="107"/>
  <c r="K28" i="107" s="1"/>
  <c r="J27" i="107"/>
  <c r="G27" i="107"/>
  <c r="K27" i="107" s="1"/>
  <c r="J26" i="107"/>
  <c r="G26" i="107"/>
  <c r="K26" i="107" s="1"/>
  <c r="J25" i="107"/>
  <c r="G25" i="107"/>
  <c r="K25" i="107" s="1"/>
  <c r="J24" i="107"/>
  <c r="G24" i="107"/>
  <c r="K24" i="107" s="1"/>
  <c r="J23" i="107"/>
  <c r="G23" i="107"/>
  <c r="K23" i="107" s="1"/>
  <c r="J22" i="107"/>
  <c r="G22" i="107"/>
  <c r="K22" i="107" s="1"/>
  <c r="J21" i="107"/>
  <c r="G21" i="107"/>
  <c r="K21" i="107" s="1"/>
  <c r="J20" i="107"/>
  <c r="G20" i="107"/>
  <c r="K20" i="107" s="1"/>
  <c r="J19" i="107"/>
  <c r="G19" i="107"/>
  <c r="K19" i="107" s="1"/>
  <c r="J18" i="107"/>
  <c r="G18" i="107"/>
  <c r="K18" i="107" s="1"/>
  <c r="J17" i="107"/>
  <c r="G17" i="107"/>
  <c r="K17" i="107" s="1"/>
  <c r="J16" i="107"/>
  <c r="G16" i="107"/>
  <c r="K16" i="107" s="1"/>
  <c r="L37" i="107" s="1"/>
  <c r="J15" i="56" s="1"/>
  <c r="J15" i="107"/>
  <c r="G15" i="107"/>
  <c r="K15" i="107" s="1"/>
  <c r="J14" i="107"/>
  <c r="G14" i="107"/>
  <c r="K14" i="107" s="1"/>
  <c r="J13" i="107"/>
  <c r="G13" i="107"/>
  <c r="K13" i="107" s="1"/>
  <c r="J12" i="107"/>
  <c r="G12" i="107"/>
  <c r="K12" i="107" s="1"/>
  <c r="J11" i="107"/>
  <c r="G11" i="107"/>
  <c r="K11" i="107" s="1"/>
  <c r="J10" i="107"/>
  <c r="G10" i="107"/>
  <c r="K10" i="107" s="1"/>
  <c r="J9" i="107"/>
  <c r="G9" i="107"/>
  <c r="K9" i="107" s="1"/>
  <c r="J8" i="107"/>
  <c r="G8" i="107"/>
  <c r="K8" i="107" s="1"/>
  <c r="J7" i="107"/>
  <c r="G7" i="107"/>
  <c r="K7" i="107" s="1"/>
  <c r="J6" i="107"/>
  <c r="G6" i="107"/>
  <c r="K6" i="107" s="1"/>
  <c r="J5" i="107"/>
  <c r="G5" i="107"/>
  <c r="K5" i="107" s="1"/>
  <c r="J4" i="107"/>
  <c r="J37" i="107" s="1"/>
  <c r="G15" i="56" s="1"/>
  <c r="G4" i="107"/>
  <c r="G11" i="9"/>
  <c r="H37" i="106"/>
  <c r="F16" i="56" s="1"/>
  <c r="E37" i="106"/>
  <c r="D16" i="56" s="1"/>
  <c r="J36" i="106"/>
  <c r="G36" i="106"/>
  <c r="K36" i="106" s="1"/>
  <c r="J35" i="106"/>
  <c r="G35" i="106"/>
  <c r="K35" i="106" s="1"/>
  <c r="J34" i="106"/>
  <c r="G34" i="106"/>
  <c r="K34" i="106" s="1"/>
  <c r="J33" i="106"/>
  <c r="G33" i="106"/>
  <c r="K33" i="106" s="1"/>
  <c r="J32" i="106"/>
  <c r="G32" i="106"/>
  <c r="K32" i="106" s="1"/>
  <c r="J31" i="106"/>
  <c r="G31" i="106"/>
  <c r="K31" i="106" s="1"/>
  <c r="J30" i="106"/>
  <c r="K30" i="106" s="1"/>
  <c r="K29" i="106"/>
  <c r="J28" i="106"/>
  <c r="G28" i="106"/>
  <c r="K28" i="106" s="1"/>
  <c r="J27" i="106"/>
  <c r="G27" i="106"/>
  <c r="K27" i="106" s="1"/>
  <c r="J26" i="106"/>
  <c r="G26" i="106"/>
  <c r="K26" i="106" s="1"/>
  <c r="J25" i="106"/>
  <c r="G25" i="106"/>
  <c r="K25" i="106" s="1"/>
  <c r="J24" i="106"/>
  <c r="G24" i="106"/>
  <c r="K24" i="106" s="1"/>
  <c r="J23" i="106"/>
  <c r="G23" i="106"/>
  <c r="K23" i="106" s="1"/>
  <c r="J22" i="106"/>
  <c r="G22" i="106"/>
  <c r="K22" i="106" s="1"/>
  <c r="J21" i="106"/>
  <c r="G21" i="106"/>
  <c r="K21" i="106" s="1"/>
  <c r="J20" i="106"/>
  <c r="G20" i="106"/>
  <c r="K20" i="106" s="1"/>
  <c r="J19" i="106"/>
  <c r="G19" i="106"/>
  <c r="K19" i="106" s="1"/>
  <c r="J18" i="106"/>
  <c r="G18" i="106"/>
  <c r="K18" i="106" s="1"/>
  <c r="J17" i="106"/>
  <c r="G17" i="106"/>
  <c r="K17" i="106" s="1"/>
  <c r="J16" i="106"/>
  <c r="G16" i="106"/>
  <c r="K16" i="106" s="1"/>
  <c r="J15" i="106"/>
  <c r="G15" i="106"/>
  <c r="K15" i="106" s="1"/>
  <c r="J14" i="106"/>
  <c r="G14" i="106"/>
  <c r="K14" i="106" s="1"/>
  <c r="J13" i="106"/>
  <c r="G13" i="106"/>
  <c r="K13" i="106" s="1"/>
  <c r="J12" i="106"/>
  <c r="G12" i="106"/>
  <c r="K12" i="106" s="1"/>
  <c r="J11" i="106"/>
  <c r="G11" i="106"/>
  <c r="K11" i="106" s="1"/>
  <c r="J10" i="106"/>
  <c r="G10" i="106"/>
  <c r="K10" i="106" s="1"/>
  <c r="J9" i="106"/>
  <c r="G9" i="106"/>
  <c r="K9" i="106" s="1"/>
  <c r="J8" i="106"/>
  <c r="G8" i="106"/>
  <c r="K8" i="106" s="1"/>
  <c r="J7" i="106"/>
  <c r="G7" i="106"/>
  <c r="K7" i="106" s="1"/>
  <c r="J6" i="106"/>
  <c r="G6" i="106"/>
  <c r="K6" i="106" s="1"/>
  <c r="J5" i="106"/>
  <c r="G5" i="106"/>
  <c r="K5" i="106" s="1"/>
  <c r="J4" i="106"/>
  <c r="J37" i="106" s="1"/>
  <c r="G16" i="56" s="1"/>
  <c r="G4" i="106"/>
  <c r="J10" i="19"/>
  <c r="J11" i="19"/>
  <c r="G9" i="62"/>
  <c r="G6" i="47"/>
  <c r="J34" i="74"/>
  <c r="G34" i="74"/>
  <c r="G5" i="104"/>
  <c r="G5" i="105"/>
  <c r="G4" i="9"/>
  <c r="J12" i="69"/>
  <c r="J13" i="69"/>
  <c r="J14" i="69"/>
  <c r="J15" i="69"/>
  <c r="J16" i="69"/>
  <c r="J17" i="69"/>
  <c r="J21" i="69"/>
  <c r="J22" i="69"/>
  <c r="K22" i="69" s="1"/>
  <c r="J23" i="69"/>
  <c r="J24" i="69"/>
  <c r="J25" i="69"/>
  <c r="J26" i="69"/>
  <c r="J27" i="69"/>
  <c r="J28" i="69"/>
  <c r="J29" i="69"/>
  <c r="J30" i="69"/>
  <c r="G4" i="57"/>
  <c r="K5" i="103"/>
  <c r="K6" i="103"/>
  <c r="K7" i="103"/>
  <c r="K8" i="103"/>
  <c r="K9" i="103"/>
  <c r="K10" i="103"/>
  <c r="K11" i="103"/>
  <c r="K12" i="103"/>
  <c r="K13" i="103"/>
  <c r="K14" i="103"/>
  <c r="K15" i="103"/>
  <c r="K4" i="103"/>
  <c r="G5" i="103"/>
  <c r="G6" i="103"/>
  <c r="G7" i="103"/>
  <c r="G8" i="103"/>
  <c r="G9" i="103"/>
  <c r="G10" i="103"/>
  <c r="G11" i="103"/>
  <c r="G12" i="103"/>
  <c r="G13" i="103"/>
  <c r="G14" i="103"/>
  <c r="G15" i="103"/>
  <c r="G16" i="103"/>
  <c r="G17" i="103"/>
  <c r="G18" i="103"/>
  <c r="G19" i="103"/>
  <c r="G20" i="103"/>
  <c r="G21" i="103"/>
  <c r="G22" i="103"/>
  <c r="G23" i="103"/>
  <c r="G24" i="103"/>
  <c r="G25" i="103"/>
  <c r="G26" i="103"/>
  <c r="G27" i="103"/>
  <c r="G29" i="103"/>
  <c r="G30" i="103"/>
  <c r="G31" i="103"/>
  <c r="G32" i="103"/>
  <c r="G33" i="103"/>
  <c r="G35" i="103"/>
  <c r="G36" i="103"/>
  <c r="G37" i="103"/>
  <c r="G38" i="103"/>
  <c r="G4" i="103"/>
  <c r="J16" i="103"/>
  <c r="K16" i="103" s="1"/>
  <c r="J17" i="103"/>
  <c r="K17" i="103" s="1"/>
  <c r="J18" i="103"/>
  <c r="K18" i="103" s="1"/>
  <c r="J19" i="103"/>
  <c r="J20" i="103"/>
  <c r="K20" i="103" s="1"/>
  <c r="J21" i="103"/>
  <c r="K21" i="103" s="1"/>
  <c r="J22" i="103"/>
  <c r="K22" i="103" s="1"/>
  <c r="J23" i="103"/>
  <c r="K23" i="103" s="1"/>
  <c r="J24" i="103"/>
  <c r="K24" i="103" s="1"/>
  <c r="J25" i="103"/>
  <c r="K25" i="103" s="1"/>
  <c r="J26" i="103"/>
  <c r="K26" i="103" s="1"/>
  <c r="J27" i="103"/>
  <c r="K27" i="103" s="1"/>
  <c r="J29" i="103"/>
  <c r="J30" i="103"/>
  <c r="J32" i="103"/>
  <c r="J33" i="103"/>
  <c r="K33" i="103" s="1"/>
  <c r="J35" i="103"/>
  <c r="K35" i="103" s="1"/>
  <c r="J34" i="25"/>
  <c r="G34" i="100"/>
  <c r="G32" i="76"/>
  <c r="J32" i="76"/>
  <c r="K32" i="76"/>
  <c r="E37" i="76"/>
  <c r="H37" i="76"/>
  <c r="J31" i="75"/>
  <c r="G30" i="105"/>
  <c r="J28" i="78"/>
  <c r="J28" i="89"/>
  <c r="J24" i="75"/>
  <c r="J25" i="75"/>
  <c r="J26" i="75"/>
  <c r="J27" i="75"/>
  <c r="L66" i="65"/>
  <c r="L65" i="65"/>
  <c r="L64" i="65"/>
  <c r="L63" i="65"/>
  <c r="L62" i="65"/>
  <c r="L61" i="65"/>
  <c r="L60" i="65"/>
  <c r="L59" i="65"/>
  <c r="L58" i="65"/>
  <c r="L57" i="65"/>
  <c r="L56" i="65"/>
  <c r="L55" i="65"/>
  <c r="L50" i="65"/>
  <c r="L51" i="65"/>
  <c r="L52" i="65"/>
  <c r="L53" i="65"/>
  <c r="L54" i="65"/>
  <c r="I17" i="56"/>
  <c r="H37" i="105"/>
  <c r="F18" i="56" s="1"/>
  <c r="E37" i="105"/>
  <c r="D18" i="56" s="1"/>
  <c r="J36" i="105"/>
  <c r="G36" i="105"/>
  <c r="K36" i="105" s="1"/>
  <c r="J35" i="105"/>
  <c r="G35" i="105"/>
  <c r="K35" i="105" s="1"/>
  <c r="J34" i="105"/>
  <c r="G34" i="105"/>
  <c r="K34" i="105" s="1"/>
  <c r="J33" i="105"/>
  <c r="G33" i="105"/>
  <c r="K33" i="105" s="1"/>
  <c r="J32" i="105"/>
  <c r="G32" i="105"/>
  <c r="K32" i="105" s="1"/>
  <c r="J31" i="105"/>
  <c r="G31" i="105"/>
  <c r="K31" i="105" s="1"/>
  <c r="J30" i="105"/>
  <c r="K30" i="105" s="1"/>
  <c r="J29" i="105"/>
  <c r="G29" i="105"/>
  <c r="K29" i="105" s="1"/>
  <c r="J28" i="105"/>
  <c r="G28" i="105"/>
  <c r="K28" i="105" s="1"/>
  <c r="J27" i="105"/>
  <c r="G27" i="105"/>
  <c r="K27" i="105" s="1"/>
  <c r="J26" i="105"/>
  <c r="G26" i="105"/>
  <c r="K26" i="105" s="1"/>
  <c r="J25" i="105"/>
  <c r="G25" i="105"/>
  <c r="K25" i="105" s="1"/>
  <c r="J24" i="105"/>
  <c r="G24" i="105"/>
  <c r="K24" i="105" s="1"/>
  <c r="J23" i="105"/>
  <c r="G23" i="105"/>
  <c r="K23" i="105" s="1"/>
  <c r="J22" i="105"/>
  <c r="G22" i="105"/>
  <c r="K22" i="105" s="1"/>
  <c r="J21" i="105"/>
  <c r="G21" i="105"/>
  <c r="K21" i="105" s="1"/>
  <c r="J20" i="105"/>
  <c r="G20" i="105"/>
  <c r="K20" i="105" s="1"/>
  <c r="J19" i="105"/>
  <c r="G19" i="105"/>
  <c r="K19" i="105" s="1"/>
  <c r="J18" i="105"/>
  <c r="G18" i="105"/>
  <c r="K18" i="105" s="1"/>
  <c r="M18" i="105" s="1"/>
  <c r="M19" i="105" s="1"/>
  <c r="M21" i="105" s="1"/>
  <c r="J17" i="105"/>
  <c r="G17" i="105"/>
  <c r="K17" i="105" s="1"/>
  <c r="J16" i="105"/>
  <c r="G16" i="105"/>
  <c r="K16" i="105" s="1"/>
  <c r="J15" i="105"/>
  <c r="G15" i="105"/>
  <c r="K15" i="105" s="1"/>
  <c r="J14" i="105"/>
  <c r="G14" i="105"/>
  <c r="K14" i="105" s="1"/>
  <c r="J13" i="105"/>
  <c r="G13" i="105"/>
  <c r="K13" i="105" s="1"/>
  <c r="J12" i="105"/>
  <c r="G12" i="105"/>
  <c r="K12" i="105" s="1"/>
  <c r="J11" i="105"/>
  <c r="G11" i="105"/>
  <c r="K11" i="105" s="1"/>
  <c r="J10" i="105"/>
  <c r="G10" i="105"/>
  <c r="K10" i="105" s="1"/>
  <c r="J9" i="105"/>
  <c r="G9" i="105"/>
  <c r="J8" i="105"/>
  <c r="G8" i="105"/>
  <c r="K8" i="105" s="1"/>
  <c r="J7" i="105"/>
  <c r="G7" i="105"/>
  <c r="K7" i="105" s="1"/>
  <c r="J6" i="105"/>
  <c r="G6" i="105"/>
  <c r="K6" i="105" s="1"/>
  <c r="J5" i="105"/>
  <c r="K5" i="105" s="1"/>
  <c r="J4" i="105"/>
  <c r="J37" i="105" s="1"/>
  <c r="G18" i="56" s="1"/>
  <c r="G4" i="105"/>
  <c r="H37" i="104"/>
  <c r="F17" i="56" s="1"/>
  <c r="E37" i="104"/>
  <c r="D17" i="56" s="1"/>
  <c r="J36" i="104"/>
  <c r="G36" i="104"/>
  <c r="K36" i="104" s="1"/>
  <c r="J35" i="104"/>
  <c r="G35" i="104"/>
  <c r="K35" i="104" s="1"/>
  <c r="J34" i="104"/>
  <c r="G34" i="104"/>
  <c r="K34" i="104" s="1"/>
  <c r="J33" i="104"/>
  <c r="G33" i="104"/>
  <c r="K33" i="104" s="1"/>
  <c r="J32" i="104"/>
  <c r="G32" i="104"/>
  <c r="K32" i="104" s="1"/>
  <c r="J31" i="104"/>
  <c r="G31" i="104"/>
  <c r="K31" i="104" s="1"/>
  <c r="J30" i="104"/>
  <c r="K30" i="104" s="1"/>
  <c r="J29" i="104"/>
  <c r="G29" i="104"/>
  <c r="K29" i="104" s="1"/>
  <c r="J28" i="104"/>
  <c r="G28" i="104"/>
  <c r="K28" i="104" s="1"/>
  <c r="J27" i="104"/>
  <c r="G27" i="104"/>
  <c r="K27" i="104" s="1"/>
  <c r="J26" i="104"/>
  <c r="G26" i="104"/>
  <c r="K26" i="104" s="1"/>
  <c r="J25" i="104"/>
  <c r="G25" i="104"/>
  <c r="K25" i="104" s="1"/>
  <c r="J24" i="104"/>
  <c r="G24" i="104"/>
  <c r="K24" i="104" s="1"/>
  <c r="J23" i="104"/>
  <c r="G23" i="104"/>
  <c r="K23" i="104" s="1"/>
  <c r="J22" i="104"/>
  <c r="G22" i="104"/>
  <c r="K22" i="104" s="1"/>
  <c r="J21" i="104"/>
  <c r="G21" i="104"/>
  <c r="K21" i="104" s="1"/>
  <c r="J20" i="104"/>
  <c r="G20" i="104"/>
  <c r="K20" i="104" s="1"/>
  <c r="J19" i="104"/>
  <c r="G19" i="104"/>
  <c r="K19" i="104" s="1"/>
  <c r="J18" i="104"/>
  <c r="G18" i="104"/>
  <c r="K18" i="104" s="1"/>
  <c r="J17" i="104"/>
  <c r="G17" i="104"/>
  <c r="K17" i="104" s="1"/>
  <c r="J16" i="104"/>
  <c r="G16" i="104"/>
  <c r="K16" i="104" s="1"/>
  <c r="J15" i="104"/>
  <c r="G15" i="104"/>
  <c r="K15" i="104" s="1"/>
  <c r="J14" i="104"/>
  <c r="G14" i="104"/>
  <c r="K14" i="104" s="1"/>
  <c r="J13" i="104"/>
  <c r="G13" i="104"/>
  <c r="K13" i="104" s="1"/>
  <c r="J12" i="104"/>
  <c r="G12" i="104"/>
  <c r="K12" i="104" s="1"/>
  <c r="J11" i="104"/>
  <c r="G11" i="104"/>
  <c r="K11" i="104" s="1"/>
  <c r="J10" i="104"/>
  <c r="G10" i="104"/>
  <c r="K10" i="104" s="1"/>
  <c r="J9" i="104"/>
  <c r="G9" i="104"/>
  <c r="K9" i="104" s="1"/>
  <c r="J8" i="104"/>
  <c r="G8" i="104"/>
  <c r="K8" i="104" s="1"/>
  <c r="J7" i="104"/>
  <c r="G7" i="104"/>
  <c r="K7" i="104" s="1"/>
  <c r="J6" i="104"/>
  <c r="G6" i="104"/>
  <c r="K6" i="104" s="1"/>
  <c r="J5" i="104"/>
  <c r="J4" i="104"/>
  <c r="J37" i="104" s="1"/>
  <c r="G17" i="56" s="1"/>
  <c r="G4" i="104"/>
  <c r="K4" i="104" s="1"/>
  <c r="M4" i="104" s="1"/>
  <c r="J27" i="26"/>
  <c r="K27" i="26" s="1"/>
  <c r="G20" i="9"/>
  <c r="G22" i="75"/>
  <c r="G23" i="75"/>
  <c r="G21" i="101"/>
  <c r="K21" i="101" s="1"/>
  <c r="G22" i="101"/>
  <c r="K22" i="101" s="1"/>
  <c r="G20" i="24"/>
  <c r="K20" i="24" s="1"/>
  <c r="G21" i="26"/>
  <c r="G19" i="98"/>
  <c r="K19" i="98" s="1"/>
  <c r="L19" i="98" s="1"/>
  <c r="G19" i="3"/>
  <c r="G29" i="45"/>
  <c r="G28" i="45"/>
  <c r="G27" i="45"/>
  <c r="K27" i="45" s="1"/>
  <c r="G26" i="45"/>
  <c r="K26" i="45" s="1"/>
  <c r="G25" i="45"/>
  <c r="K25" i="45" s="1"/>
  <c r="G23" i="45"/>
  <c r="K23" i="45" s="1"/>
  <c r="J21" i="45"/>
  <c r="G22" i="45"/>
  <c r="K22" i="45" s="1"/>
  <c r="G20" i="45"/>
  <c r="G21" i="45"/>
  <c r="K21" i="45" s="1"/>
  <c r="J18" i="45"/>
  <c r="J19" i="45"/>
  <c r="J20" i="45"/>
  <c r="G19" i="45"/>
  <c r="G18" i="45"/>
  <c r="J16" i="45"/>
  <c r="J17" i="45"/>
  <c r="G17" i="45"/>
  <c r="G15" i="45"/>
  <c r="G16" i="45"/>
  <c r="J14" i="45"/>
  <c r="J15" i="45"/>
  <c r="G12" i="45"/>
  <c r="G13" i="45"/>
  <c r="G14" i="45"/>
  <c r="J10" i="45"/>
  <c r="J12" i="45"/>
  <c r="J13" i="45"/>
  <c r="J4" i="45"/>
  <c r="G10" i="45"/>
  <c r="G9" i="45"/>
  <c r="G8" i="45"/>
  <c r="G6" i="45"/>
  <c r="G4" i="45"/>
  <c r="J13" i="47"/>
  <c r="G13" i="47"/>
  <c r="K13" i="47" s="1"/>
  <c r="G10" i="75"/>
  <c r="J8" i="85"/>
  <c r="J9" i="85"/>
  <c r="J10" i="85"/>
  <c r="J11" i="85"/>
  <c r="J12" i="85"/>
  <c r="J13" i="85"/>
  <c r="J14" i="85"/>
  <c r="J15" i="85"/>
  <c r="J16" i="85"/>
  <c r="J14" i="50"/>
  <c r="J5" i="50"/>
  <c r="J33" i="83"/>
  <c r="G33" i="83"/>
  <c r="K33" i="83"/>
  <c r="G8" i="99"/>
  <c r="G9" i="99"/>
  <c r="G10" i="99"/>
  <c r="G11" i="99"/>
  <c r="G12" i="99"/>
  <c r="G13" i="99"/>
  <c r="G14" i="99"/>
  <c r="J41" i="26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I53" i="56"/>
  <c r="G23" i="51"/>
  <c r="J33" i="50"/>
  <c r="G33" i="100"/>
  <c r="J30" i="50"/>
  <c r="J31" i="50"/>
  <c r="J32" i="50"/>
  <c r="J32" i="35"/>
  <c r="G32" i="100"/>
  <c r="J23" i="75"/>
  <c r="K23" i="75" s="1"/>
  <c r="E39" i="47"/>
  <c r="G31" i="24"/>
  <c r="K31" i="24" s="1"/>
  <c r="G30" i="24"/>
  <c r="K30" i="24" s="1"/>
  <c r="G30" i="100"/>
  <c r="G31" i="100"/>
  <c r="G26" i="26"/>
  <c r="G28" i="26"/>
  <c r="G29" i="26"/>
  <c r="G30" i="26"/>
  <c r="G31" i="26"/>
  <c r="G32" i="26"/>
  <c r="J29" i="50"/>
  <c r="G29" i="100"/>
  <c r="K52" i="45"/>
  <c r="K53" i="45"/>
  <c r="K50" i="45"/>
  <c r="K49" i="45"/>
  <c r="K44" i="45"/>
  <c r="K42" i="45"/>
  <c r="K41" i="45"/>
  <c r="K39" i="45"/>
  <c r="K37" i="45"/>
  <c r="K36" i="45"/>
  <c r="K30" i="45"/>
  <c r="K29" i="45"/>
  <c r="K28" i="45"/>
  <c r="K34" i="45"/>
  <c r="K4" i="45"/>
  <c r="M4" i="45" s="1"/>
  <c r="K33" i="45"/>
  <c r="K31" i="45"/>
  <c r="K32" i="45"/>
  <c r="K35" i="45"/>
  <c r="K38" i="45"/>
  <c r="K40" i="45"/>
  <c r="K43" i="45"/>
  <c r="K45" i="45"/>
  <c r="K46" i="45"/>
  <c r="K47" i="45"/>
  <c r="K48" i="45"/>
  <c r="K51" i="45"/>
  <c r="K54" i="45"/>
  <c r="K6" i="45"/>
  <c r="K8" i="45"/>
  <c r="K9" i="45"/>
  <c r="K10" i="45"/>
  <c r="K12" i="45"/>
  <c r="K13" i="45"/>
  <c r="K14" i="45"/>
  <c r="K15" i="45"/>
  <c r="K16" i="45"/>
  <c r="K17" i="45"/>
  <c r="K18" i="45"/>
  <c r="K19" i="45"/>
  <c r="I21" i="56"/>
  <c r="J28" i="50"/>
  <c r="J21" i="99"/>
  <c r="J22" i="99"/>
  <c r="J23" i="99"/>
  <c r="G29" i="99"/>
  <c r="G28" i="100"/>
  <c r="J27" i="78"/>
  <c r="G27" i="78"/>
  <c r="K27" i="78" s="1"/>
  <c r="J26" i="78"/>
  <c r="G26" i="78"/>
  <c r="K26" i="78" s="1"/>
  <c r="J25" i="78"/>
  <c r="G25" i="78"/>
  <c r="K25" i="78" s="1"/>
  <c r="J24" i="78"/>
  <c r="G24" i="78"/>
  <c r="K24" i="78" s="1"/>
  <c r="J23" i="78"/>
  <c r="G23" i="78"/>
  <c r="K23" i="78" s="1"/>
  <c r="J22" i="78"/>
  <c r="G22" i="78"/>
  <c r="K22" i="78" s="1"/>
  <c r="J21" i="78"/>
  <c r="G21" i="78"/>
  <c r="K21" i="78" s="1"/>
  <c r="J26" i="50"/>
  <c r="J27" i="50"/>
  <c r="G27" i="11"/>
  <c r="G27" i="100"/>
  <c r="G25" i="100"/>
  <c r="G26" i="100"/>
  <c r="J24" i="50"/>
  <c r="J25" i="50"/>
  <c r="J19" i="50"/>
  <c r="J20" i="50"/>
  <c r="J21" i="50"/>
  <c r="J22" i="50"/>
  <c r="J23" i="50"/>
  <c r="G24" i="100"/>
  <c r="G23" i="100"/>
  <c r="G19" i="69"/>
  <c r="J23" i="12"/>
  <c r="G22" i="100"/>
  <c r="G21" i="11"/>
  <c r="G22" i="81"/>
  <c r="G19" i="100"/>
  <c r="G20" i="100"/>
  <c r="G21" i="81"/>
  <c r="J15" i="50"/>
  <c r="J16" i="50"/>
  <c r="J17" i="50"/>
  <c r="J18" i="50"/>
  <c r="G16" i="100"/>
  <c r="G8" i="19"/>
  <c r="J8" i="19"/>
  <c r="K8" i="19"/>
  <c r="G9" i="19"/>
  <c r="J9" i="19"/>
  <c r="K9" i="19"/>
  <c r="G10" i="19"/>
  <c r="K10" i="19"/>
  <c r="G11" i="19"/>
  <c r="K11" i="19"/>
  <c r="G12" i="19"/>
  <c r="J12" i="19"/>
  <c r="K12" i="19"/>
  <c r="G13" i="19"/>
  <c r="J13" i="19"/>
  <c r="K13" i="19"/>
  <c r="G14" i="19"/>
  <c r="J14" i="19"/>
  <c r="K14" i="19"/>
  <c r="G15" i="19"/>
  <c r="J15" i="19"/>
  <c r="K15" i="19"/>
  <c r="G16" i="19"/>
  <c r="J16" i="19"/>
  <c r="K16" i="19"/>
  <c r="J17" i="19"/>
  <c r="K17" i="19"/>
  <c r="G18" i="19"/>
  <c r="J18" i="19"/>
  <c r="K18" i="19"/>
  <c r="G19" i="19"/>
  <c r="J19" i="19"/>
  <c r="K19" i="19"/>
  <c r="G20" i="19"/>
  <c r="J20" i="19"/>
  <c r="K20" i="19"/>
  <c r="G21" i="19"/>
  <c r="J21" i="19"/>
  <c r="K21" i="19"/>
  <c r="G22" i="19"/>
  <c r="J22" i="19"/>
  <c r="K22" i="19"/>
  <c r="G23" i="19"/>
  <c r="J23" i="19"/>
  <c r="K23" i="19"/>
  <c r="G24" i="19"/>
  <c r="J24" i="19"/>
  <c r="K24" i="19"/>
  <c r="G25" i="19"/>
  <c r="J25" i="19"/>
  <c r="K25" i="19"/>
  <c r="G26" i="19"/>
  <c r="J26" i="19"/>
  <c r="K26" i="19"/>
  <c r="G27" i="19"/>
  <c r="J27" i="19"/>
  <c r="K27" i="19"/>
  <c r="G28" i="19"/>
  <c r="J28" i="19"/>
  <c r="K28" i="19"/>
  <c r="G29" i="19"/>
  <c r="J29" i="19"/>
  <c r="K29" i="19"/>
  <c r="G30" i="19"/>
  <c r="J30" i="19"/>
  <c r="K30" i="19"/>
  <c r="G31" i="19"/>
  <c r="J31" i="19"/>
  <c r="K31" i="19"/>
  <c r="G32" i="19"/>
  <c r="J32" i="19"/>
  <c r="K32" i="19"/>
  <c r="G33" i="19"/>
  <c r="J33" i="19"/>
  <c r="K33" i="19"/>
  <c r="G17" i="89"/>
  <c r="G15" i="100"/>
  <c r="G14" i="100"/>
  <c r="G13" i="100"/>
  <c r="J15" i="75"/>
  <c r="H39" i="103"/>
  <c r="F21" i="56" s="1"/>
  <c r="E39" i="103"/>
  <c r="D21" i="56" s="1"/>
  <c r="J38" i="103"/>
  <c r="K38" i="103" s="1"/>
  <c r="J37" i="103"/>
  <c r="K37" i="103" s="1"/>
  <c r="J36" i="103"/>
  <c r="K36" i="103" s="1"/>
  <c r="L39" i="103"/>
  <c r="J21" i="56" s="1"/>
  <c r="J39" i="103"/>
  <c r="G21" i="56" s="1"/>
  <c r="G15" i="93"/>
  <c r="K15" i="93" s="1"/>
  <c r="G12" i="100"/>
  <c r="G11" i="100"/>
  <c r="G12" i="85"/>
  <c r="J10" i="47"/>
  <c r="J11" i="47"/>
  <c r="J12" i="47"/>
  <c r="J14" i="47"/>
  <c r="J15" i="47"/>
  <c r="G10" i="47"/>
  <c r="K10" i="47" s="1"/>
  <c r="G11" i="47"/>
  <c r="K11" i="47" s="1"/>
  <c r="G12" i="47"/>
  <c r="K12" i="47" s="1"/>
  <c r="G14" i="47"/>
  <c r="K14" i="47" s="1"/>
  <c r="G15" i="47"/>
  <c r="K15" i="47" s="1"/>
  <c r="G16" i="47"/>
  <c r="G17" i="47"/>
  <c r="G18" i="47"/>
  <c r="G16" i="62"/>
  <c r="K16" i="62" s="1"/>
  <c r="G9" i="100"/>
  <c r="G8" i="100"/>
  <c r="K8" i="100" s="1"/>
  <c r="J8" i="9"/>
  <c r="G8" i="9"/>
  <c r="K8" i="9" s="1"/>
  <c r="J10" i="25"/>
  <c r="G10" i="25"/>
  <c r="K10" i="25" s="1"/>
  <c r="J7" i="35"/>
  <c r="G5" i="100"/>
  <c r="G6" i="100"/>
  <c r="G7" i="100"/>
  <c r="G7" i="83"/>
  <c r="G7" i="14"/>
  <c r="J7" i="14"/>
  <c r="K7" i="14"/>
  <c r="J5" i="101"/>
  <c r="J5" i="71"/>
  <c r="K5" i="71" s="1"/>
  <c r="L5" i="71" s="1"/>
  <c r="G4" i="100"/>
  <c r="J5" i="25"/>
  <c r="G5" i="25"/>
  <c r="K5" i="25" s="1"/>
  <c r="J6" i="24"/>
  <c r="J7" i="24"/>
  <c r="J8" i="24"/>
  <c r="J5" i="24"/>
  <c r="J4" i="24"/>
  <c r="G14" i="24"/>
  <c r="K14" i="24" s="1"/>
  <c r="J14" i="24"/>
  <c r="G15" i="24"/>
  <c r="K15" i="24" s="1"/>
  <c r="J15" i="24"/>
  <c r="G16" i="24"/>
  <c r="K16" i="24" s="1"/>
  <c r="J16" i="24"/>
  <c r="G17" i="24"/>
  <c r="K17" i="24" s="1"/>
  <c r="J17" i="24"/>
  <c r="G18" i="24"/>
  <c r="K18" i="24" s="1"/>
  <c r="J18" i="24"/>
  <c r="G19" i="24"/>
  <c r="K19" i="24" s="1"/>
  <c r="J19" i="24"/>
  <c r="J20" i="24"/>
  <c r="G4" i="76"/>
  <c r="G5" i="76"/>
  <c r="G5" i="62"/>
  <c r="K5" i="62" s="1"/>
  <c r="G5" i="85"/>
  <c r="J34" i="73"/>
  <c r="J35" i="73"/>
  <c r="J36" i="73"/>
  <c r="G33" i="73"/>
  <c r="G34" i="73"/>
  <c r="G35" i="73"/>
  <c r="G36" i="73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8" i="16"/>
  <c r="G29" i="16"/>
  <c r="G30" i="16"/>
  <c r="G31" i="16"/>
  <c r="G32" i="16"/>
  <c r="G33" i="16"/>
  <c r="G34" i="16"/>
  <c r="G35" i="16"/>
  <c r="I32" i="56"/>
  <c r="H35" i="100"/>
  <c r="G35" i="100"/>
  <c r="I34" i="56"/>
  <c r="L38" i="101"/>
  <c r="J34" i="56" s="1"/>
  <c r="H38" i="101"/>
  <c r="F34" i="56" s="1"/>
  <c r="E38" i="101"/>
  <c r="D34" i="56" s="1"/>
  <c r="J37" i="101"/>
  <c r="G37" i="101"/>
  <c r="K37" i="101" s="1"/>
  <c r="J36" i="101"/>
  <c r="G36" i="101"/>
  <c r="K36" i="101" s="1"/>
  <c r="J35" i="101"/>
  <c r="G35" i="101"/>
  <c r="K35" i="101" s="1"/>
  <c r="J34" i="101"/>
  <c r="G34" i="101"/>
  <c r="K34" i="101" s="1"/>
  <c r="J33" i="101"/>
  <c r="G33" i="101"/>
  <c r="K33" i="101" s="1"/>
  <c r="J31" i="101"/>
  <c r="K31" i="101"/>
  <c r="J30" i="101"/>
  <c r="G30" i="101"/>
  <c r="K30" i="101" s="1"/>
  <c r="J29" i="101"/>
  <c r="G29" i="101"/>
  <c r="K29" i="101" s="1"/>
  <c r="J28" i="101"/>
  <c r="G28" i="101"/>
  <c r="K28" i="101" s="1"/>
  <c r="J27" i="101"/>
  <c r="G27" i="101"/>
  <c r="K27" i="101" s="1"/>
  <c r="J26" i="101"/>
  <c r="G26" i="101"/>
  <c r="K26" i="101" s="1"/>
  <c r="J25" i="101"/>
  <c r="G25" i="101"/>
  <c r="K25" i="101" s="1"/>
  <c r="J24" i="101"/>
  <c r="G24" i="101"/>
  <c r="K24" i="101" s="1"/>
  <c r="G23" i="101"/>
  <c r="K23" i="101" s="1"/>
  <c r="J20" i="101"/>
  <c r="G20" i="101"/>
  <c r="K20" i="101" s="1"/>
  <c r="J19" i="101"/>
  <c r="G19" i="101"/>
  <c r="K19" i="101" s="1"/>
  <c r="J18" i="101"/>
  <c r="G18" i="101"/>
  <c r="K18" i="101" s="1"/>
  <c r="J17" i="101"/>
  <c r="G17" i="101"/>
  <c r="K17" i="101" s="1"/>
  <c r="J16" i="101"/>
  <c r="G16" i="101"/>
  <c r="K16" i="101" s="1"/>
  <c r="J15" i="101"/>
  <c r="G15" i="101"/>
  <c r="K15" i="101" s="1"/>
  <c r="J14" i="101"/>
  <c r="G14" i="101"/>
  <c r="K14" i="101" s="1"/>
  <c r="J13" i="101"/>
  <c r="G13" i="101"/>
  <c r="K13" i="101" s="1"/>
  <c r="J12" i="101"/>
  <c r="G12" i="101"/>
  <c r="K12" i="101" s="1"/>
  <c r="J11" i="101"/>
  <c r="G11" i="101"/>
  <c r="K11" i="101" s="1"/>
  <c r="J10" i="101"/>
  <c r="G10" i="101"/>
  <c r="K10" i="101" s="1"/>
  <c r="J9" i="101"/>
  <c r="G9" i="101"/>
  <c r="K9" i="101" s="1"/>
  <c r="J8" i="101"/>
  <c r="G8" i="101"/>
  <c r="K8" i="101" s="1"/>
  <c r="J7" i="101"/>
  <c r="G7" i="101"/>
  <c r="K7" i="101" s="1"/>
  <c r="J6" i="101"/>
  <c r="G6" i="101"/>
  <c r="K6" i="101" s="1"/>
  <c r="G5" i="101"/>
  <c r="K5" i="101" s="1"/>
  <c r="J4" i="101"/>
  <c r="J38" i="101" s="1"/>
  <c r="G34" i="56" s="1"/>
  <c r="G4" i="101"/>
  <c r="I46" i="56"/>
  <c r="F46" i="56"/>
  <c r="E46" i="56"/>
  <c r="D46" i="56"/>
  <c r="G37" i="81"/>
  <c r="K37" i="81" s="1"/>
  <c r="J34" i="100"/>
  <c r="K34" i="100"/>
  <c r="G33" i="35"/>
  <c r="G34" i="35"/>
  <c r="G33" i="51"/>
  <c r="G34" i="51"/>
  <c r="G37" i="14"/>
  <c r="K38" i="81"/>
  <c r="G36" i="81"/>
  <c r="K36" i="81" s="1"/>
  <c r="L36" i="81" s="1"/>
  <c r="J27" i="11"/>
  <c r="K27" i="11" s="1"/>
  <c r="G30" i="35"/>
  <c r="G31" i="35"/>
  <c r="G32" i="35"/>
  <c r="G34" i="25"/>
  <c r="K34" i="25" s="1"/>
  <c r="K34" i="52"/>
  <c r="J15" i="25"/>
  <c r="G15" i="25"/>
  <c r="K15" i="25" s="1"/>
  <c r="G27" i="24"/>
  <c r="K27" i="24" s="1"/>
  <c r="G28" i="24"/>
  <c r="K28" i="24" s="1"/>
  <c r="G29" i="81"/>
  <c r="K29" i="81" s="1"/>
  <c r="L29" i="81" s="1"/>
  <c r="K30" i="81"/>
  <c r="L30" i="81" s="1"/>
  <c r="G20" i="12"/>
  <c r="G21" i="12"/>
  <c r="G22" i="12"/>
  <c r="G23" i="12"/>
  <c r="K23" i="12" s="1"/>
  <c r="G24" i="12"/>
  <c r="G31" i="75"/>
  <c r="K31" i="75" s="1"/>
  <c r="G28" i="81"/>
  <c r="K28" i="81" s="1"/>
  <c r="L28" i="81" s="1"/>
  <c r="G26" i="24"/>
  <c r="K26" i="24" s="1"/>
  <c r="G25" i="24"/>
  <c r="L35" i="100"/>
  <c r="J46" i="56" s="1"/>
  <c r="J33" i="100"/>
  <c r="K33" i="100"/>
  <c r="K35" i="100" s="1"/>
  <c r="J32" i="100"/>
  <c r="K32" i="100"/>
  <c r="J31" i="100"/>
  <c r="K31" i="100"/>
  <c r="J30" i="100"/>
  <c r="K30" i="100"/>
  <c r="J29" i="100"/>
  <c r="K29" i="100"/>
  <c r="J28" i="100"/>
  <c r="K28" i="100"/>
  <c r="J27" i="100"/>
  <c r="K27" i="100"/>
  <c r="J26" i="100"/>
  <c r="K26" i="100"/>
  <c r="J25" i="100"/>
  <c r="K25" i="100"/>
  <c r="J24" i="100"/>
  <c r="J23" i="100"/>
  <c r="K23" i="100"/>
  <c r="J22" i="100"/>
  <c r="K22" i="100"/>
  <c r="K21" i="100"/>
  <c r="J20" i="100"/>
  <c r="K20" i="100"/>
  <c r="J19" i="100"/>
  <c r="K19" i="100"/>
  <c r="J18" i="100"/>
  <c r="K18" i="100"/>
  <c r="J17" i="100"/>
  <c r="K17" i="100"/>
  <c r="J16" i="100"/>
  <c r="K16" i="100"/>
  <c r="J15" i="100"/>
  <c r="K15" i="100"/>
  <c r="J14" i="100"/>
  <c r="K14" i="100"/>
  <c r="J13" i="100"/>
  <c r="K13" i="100"/>
  <c r="J12" i="100"/>
  <c r="K12" i="100"/>
  <c r="J11" i="100"/>
  <c r="K11" i="100" s="1"/>
  <c r="M11" i="100" s="1"/>
  <c r="M12" i="100" s="1"/>
  <c r="M13" i="100" s="1"/>
  <c r="M14" i="100" s="1"/>
  <c r="J10" i="100"/>
  <c r="J9" i="100"/>
  <c r="J8" i="100"/>
  <c r="J7" i="100"/>
  <c r="J6" i="100"/>
  <c r="J5" i="100"/>
  <c r="J4" i="100"/>
  <c r="G24" i="24"/>
  <c r="G27" i="81"/>
  <c r="K27" i="81" s="1"/>
  <c r="L27" i="81" s="1"/>
  <c r="G26" i="81"/>
  <c r="K26" i="81" s="1"/>
  <c r="L26" i="81" s="1"/>
  <c r="G26" i="75"/>
  <c r="K26" i="75" s="1"/>
  <c r="G24" i="75"/>
  <c r="G25" i="75"/>
  <c r="K25" i="75" s="1"/>
  <c r="G24" i="3"/>
  <c r="G23" i="24"/>
  <c r="K23" i="24" s="1"/>
  <c r="G25" i="81"/>
  <c r="K25" i="81" s="1"/>
  <c r="L25" i="81" s="1"/>
  <c r="J24" i="85"/>
  <c r="G24" i="85"/>
  <c r="K24" i="85" s="1"/>
  <c r="G23" i="73"/>
  <c r="K23" i="73" s="1"/>
  <c r="L23" i="73" s="1"/>
  <c r="G23" i="99"/>
  <c r="K23" i="99"/>
  <c r="J16" i="99"/>
  <c r="J17" i="99"/>
  <c r="J18" i="99"/>
  <c r="J19" i="99"/>
  <c r="L39" i="99"/>
  <c r="J32" i="56" s="1"/>
  <c r="H39" i="99"/>
  <c r="F32" i="56" s="1"/>
  <c r="E39" i="99"/>
  <c r="D32" i="56" s="1"/>
  <c r="J38" i="99"/>
  <c r="G38" i="99"/>
  <c r="K38" i="99" s="1"/>
  <c r="J37" i="99"/>
  <c r="G37" i="99"/>
  <c r="K37" i="99" s="1"/>
  <c r="J36" i="99"/>
  <c r="G36" i="99"/>
  <c r="K36" i="99" s="1"/>
  <c r="J35" i="99"/>
  <c r="G35" i="99"/>
  <c r="K35" i="99" s="1"/>
  <c r="J34" i="99"/>
  <c r="G34" i="99"/>
  <c r="K34" i="99" s="1"/>
  <c r="J33" i="99"/>
  <c r="K33" i="99"/>
  <c r="J32" i="99"/>
  <c r="G32" i="99"/>
  <c r="K32" i="99" s="1"/>
  <c r="J31" i="99"/>
  <c r="G31" i="99"/>
  <c r="K31" i="99" s="1"/>
  <c r="J30" i="99"/>
  <c r="G30" i="99"/>
  <c r="K30" i="99" s="1"/>
  <c r="J29" i="99"/>
  <c r="K29" i="99"/>
  <c r="J28" i="99"/>
  <c r="G28" i="99"/>
  <c r="K28" i="99" s="1"/>
  <c r="J27" i="99"/>
  <c r="G27" i="99"/>
  <c r="K27" i="99" s="1"/>
  <c r="J26" i="99"/>
  <c r="G26" i="99"/>
  <c r="K26" i="99" s="1"/>
  <c r="J25" i="99"/>
  <c r="G25" i="99"/>
  <c r="K25" i="99" s="1"/>
  <c r="J24" i="99"/>
  <c r="G24" i="99"/>
  <c r="K24" i="99" s="1"/>
  <c r="G22" i="99"/>
  <c r="K22" i="99" s="1"/>
  <c r="G21" i="99"/>
  <c r="K21" i="99" s="1"/>
  <c r="J20" i="99"/>
  <c r="G20" i="99"/>
  <c r="K20" i="99" s="1"/>
  <c r="G19" i="99"/>
  <c r="K19" i="99" s="1"/>
  <c r="G18" i="99"/>
  <c r="K18" i="99" s="1"/>
  <c r="G17" i="99"/>
  <c r="K17" i="99" s="1"/>
  <c r="G16" i="99"/>
  <c r="K16" i="99" s="1"/>
  <c r="J15" i="99"/>
  <c r="G15" i="99"/>
  <c r="K15" i="99" s="1"/>
  <c r="J14" i="99"/>
  <c r="K14" i="99"/>
  <c r="J13" i="99"/>
  <c r="K13" i="99"/>
  <c r="J12" i="99"/>
  <c r="K12" i="99"/>
  <c r="J11" i="99"/>
  <c r="K11" i="99"/>
  <c r="J10" i="99"/>
  <c r="K10" i="99"/>
  <c r="J9" i="99"/>
  <c r="K9" i="99"/>
  <c r="J8" i="99"/>
  <c r="K8" i="99"/>
  <c r="J7" i="99"/>
  <c r="G7" i="99"/>
  <c r="K7" i="99" s="1"/>
  <c r="J6" i="99"/>
  <c r="G6" i="99"/>
  <c r="K6" i="99" s="1"/>
  <c r="J5" i="99"/>
  <c r="G5" i="99"/>
  <c r="K5" i="99" s="1"/>
  <c r="J4" i="99"/>
  <c r="J39" i="99" s="1"/>
  <c r="G32" i="56" s="1"/>
  <c r="G4" i="99"/>
  <c r="G21" i="24"/>
  <c r="K21" i="24" s="1"/>
  <c r="G22" i="24"/>
  <c r="K22" i="24" s="1"/>
  <c r="G24" i="81"/>
  <c r="K24" i="81" s="1"/>
  <c r="L24" i="81" s="1"/>
  <c r="K21" i="81"/>
  <c r="K22" i="81"/>
  <c r="G23" i="81"/>
  <c r="K23" i="81" s="1"/>
  <c r="J25" i="76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G57" i="44"/>
  <c r="G58" i="44"/>
  <c r="G59" i="44"/>
  <c r="G60" i="44"/>
  <c r="G61" i="44"/>
  <c r="G62" i="44"/>
  <c r="G63" i="44"/>
  <c r="G64" i="44"/>
  <c r="G65" i="44"/>
  <c r="G66" i="44"/>
  <c r="G67" i="44"/>
  <c r="G68" i="44"/>
  <c r="G69" i="44"/>
  <c r="G70" i="44"/>
  <c r="G71" i="44"/>
  <c r="G72" i="44"/>
  <c r="G73" i="44"/>
  <c r="G74" i="44"/>
  <c r="G75" i="44"/>
  <c r="G76" i="44"/>
  <c r="G77" i="44"/>
  <c r="G78" i="44"/>
  <c r="G82" i="44"/>
  <c r="J21" i="11"/>
  <c r="K21" i="11" s="1"/>
  <c r="J19" i="75"/>
  <c r="J20" i="75"/>
  <c r="J57" i="44"/>
  <c r="K57" i="44" s="1"/>
  <c r="J58" i="44"/>
  <c r="K58" i="44" s="1"/>
  <c r="J59" i="44"/>
  <c r="K59" i="44" s="1"/>
  <c r="J60" i="44"/>
  <c r="K60" i="44" s="1"/>
  <c r="J61" i="44"/>
  <c r="K61" i="44" s="1"/>
  <c r="J62" i="44"/>
  <c r="K62" i="44" s="1"/>
  <c r="K96" i="44"/>
  <c r="K97" i="44"/>
  <c r="K98" i="44"/>
  <c r="J5" i="44"/>
  <c r="K5" i="44" s="1"/>
  <c r="J6" i="44"/>
  <c r="K6" i="44" s="1"/>
  <c r="J7" i="44"/>
  <c r="K7" i="44" s="1"/>
  <c r="J8" i="44"/>
  <c r="K8" i="44" s="1"/>
  <c r="J9" i="44"/>
  <c r="K9" i="44" s="1"/>
  <c r="J10" i="44"/>
  <c r="K10" i="44" s="1"/>
  <c r="J11" i="44"/>
  <c r="K11" i="44" s="1"/>
  <c r="J12" i="44"/>
  <c r="K12" i="44" s="1"/>
  <c r="J13" i="44"/>
  <c r="K13" i="44" s="1"/>
  <c r="J14" i="44"/>
  <c r="K14" i="44" s="1"/>
  <c r="J15" i="44"/>
  <c r="K15" i="44" s="1"/>
  <c r="J16" i="44"/>
  <c r="K16" i="44" s="1"/>
  <c r="J17" i="44"/>
  <c r="K17" i="44" s="1"/>
  <c r="J18" i="44"/>
  <c r="K18" i="44" s="1"/>
  <c r="J19" i="44"/>
  <c r="K19" i="44" s="1"/>
  <c r="J20" i="44"/>
  <c r="K20" i="44" s="1"/>
  <c r="J21" i="44"/>
  <c r="K21" i="44" s="1"/>
  <c r="J22" i="44"/>
  <c r="K22" i="44" s="1"/>
  <c r="J23" i="44"/>
  <c r="K23" i="44" s="1"/>
  <c r="J24" i="44"/>
  <c r="K24" i="44" s="1"/>
  <c r="J25" i="44"/>
  <c r="K25" i="44" s="1"/>
  <c r="J26" i="44"/>
  <c r="K26" i="44" s="1"/>
  <c r="J27" i="44"/>
  <c r="K27" i="44" s="1"/>
  <c r="J28" i="44"/>
  <c r="K28" i="44" s="1"/>
  <c r="J29" i="44"/>
  <c r="K29" i="44" s="1"/>
  <c r="J30" i="44"/>
  <c r="K30" i="44" s="1"/>
  <c r="J31" i="44"/>
  <c r="K31" i="44" s="1"/>
  <c r="J32" i="44"/>
  <c r="K32" i="44" s="1"/>
  <c r="J33" i="44"/>
  <c r="K33" i="44" s="1"/>
  <c r="J34" i="44"/>
  <c r="K34" i="44" s="1"/>
  <c r="J35" i="44"/>
  <c r="K35" i="44" s="1"/>
  <c r="J36" i="44"/>
  <c r="K36" i="44" s="1"/>
  <c r="J37" i="44"/>
  <c r="K37" i="44" s="1"/>
  <c r="J38" i="44"/>
  <c r="K38" i="44" s="1"/>
  <c r="J40" i="44"/>
  <c r="K40" i="44" s="1"/>
  <c r="J41" i="44"/>
  <c r="K41" i="44" s="1"/>
  <c r="J42" i="44"/>
  <c r="K42" i="44" s="1"/>
  <c r="J43" i="44"/>
  <c r="K43" i="44" s="1"/>
  <c r="J44" i="44"/>
  <c r="K44" i="44" s="1"/>
  <c r="J45" i="44"/>
  <c r="K45" i="44" s="1"/>
  <c r="J46" i="44"/>
  <c r="K46" i="44" s="1"/>
  <c r="J47" i="44"/>
  <c r="K47" i="44" s="1"/>
  <c r="J48" i="44"/>
  <c r="K48" i="44" s="1"/>
  <c r="J49" i="44"/>
  <c r="K49" i="44" s="1"/>
  <c r="J50" i="44"/>
  <c r="K50" i="44" s="1"/>
  <c r="J51" i="44"/>
  <c r="K51" i="44" s="1"/>
  <c r="J52" i="44"/>
  <c r="K52" i="44" s="1"/>
  <c r="J53" i="44"/>
  <c r="K53" i="44" s="1"/>
  <c r="J54" i="44"/>
  <c r="K54" i="44" s="1"/>
  <c r="J55" i="44"/>
  <c r="K55" i="44" s="1"/>
  <c r="K56" i="44"/>
  <c r="J63" i="44"/>
  <c r="K63" i="44" s="1"/>
  <c r="J64" i="44"/>
  <c r="K64" i="44" s="1"/>
  <c r="J65" i="44"/>
  <c r="K65" i="44" s="1"/>
  <c r="J66" i="44"/>
  <c r="K66" i="44" s="1"/>
  <c r="J67" i="44"/>
  <c r="K67" i="44" s="1"/>
  <c r="J68" i="44"/>
  <c r="K68" i="44" s="1"/>
  <c r="J69" i="44"/>
  <c r="K69" i="44" s="1"/>
  <c r="J70" i="44"/>
  <c r="K70" i="44" s="1"/>
  <c r="J71" i="44"/>
  <c r="K71" i="44" s="1"/>
  <c r="J72" i="44"/>
  <c r="K72" i="44" s="1"/>
  <c r="J73" i="44"/>
  <c r="K73" i="44" s="1"/>
  <c r="J22" i="25"/>
  <c r="G22" i="25"/>
  <c r="K22" i="25" s="1"/>
  <c r="G16" i="81"/>
  <c r="K16" i="81" s="1"/>
  <c r="G19" i="81"/>
  <c r="K19" i="81" s="1"/>
  <c r="L19" i="81" s="1"/>
  <c r="G20" i="81"/>
  <c r="K20" i="81" s="1"/>
  <c r="S32" i="25"/>
  <c r="T32" i="25"/>
  <c r="U32" i="25"/>
  <c r="J10" i="24"/>
  <c r="J11" i="24"/>
  <c r="J12" i="24"/>
  <c r="J13" i="24"/>
  <c r="K16" i="14"/>
  <c r="K17" i="14"/>
  <c r="I10" i="56"/>
  <c r="G10" i="56"/>
  <c r="F10" i="56"/>
  <c r="I6" i="56"/>
  <c r="H35" i="98"/>
  <c r="E35" i="98"/>
  <c r="D10" i="56" s="1"/>
  <c r="J34" i="98"/>
  <c r="G34" i="98"/>
  <c r="K34" i="98" s="1"/>
  <c r="L34" i="98" s="1"/>
  <c r="J33" i="98"/>
  <c r="G33" i="98"/>
  <c r="K33" i="98" s="1"/>
  <c r="L33" i="98" s="1"/>
  <c r="J32" i="98"/>
  <c r="G32" i="98"/>
  <c r="K32" i="98" s="1"/>
  <c r="L32" i="98" s="1"/>
  <c r="J31" i="98"/>
  <c r="G31" i="98"/>
  <c r="K31" i="98" s="1"/>
  <c r="L31" i="98" s="1"/>
  <c r="J30" i="98"/>
  <c r="G30" i="98"/>
  <c r="K30" i="98" s="1"/>
  <c r="L30" i="98" s="1"/>
  <c r="J29" i="98"/>
  <c r="G29" i="98"/>
  <c r="K29" i="98" s="1"/>
  <c r="L29" i="98" s="1"/>
  <c r="J28" i="98"/>
  <c r="G28" i="98"/>
  <c r="K28" i="98" s="1"/>
  <c r="L28" i="98" s="1"/>
  <c r="J27" i="98"/>
  <c r="G27" i="98"/>
  <c r="K27" i="98" s="1"/>
  <c r="L27" i="98" s="1"/>
  <c r="J26" i="98"/>
  <c r="G26" i="98"/>
  <c r="K26" i="98" s="1"/>
  <c r="L26" i="98" s="1"/>
  <c r="J25" i="98"/>
  <c r="G25" i="98"/>
  <c r="K25" i="98" s="1"/>
  <c r="L25" i="98" s="1"/>
  <c r="J24" i="98"/>
  <c r="G24" i="98"/>
  <c r="K24" i="98" s="1"/>
  <c r="L24" i="98" s="1"/>
  <c r="J23" i="98"/>
  <c r="G23" i="98"/>
  <c r="K23" i="98" s="1"/>
  <c r="L23" i="98" s="1"/>
  <c r="J22" i="98"/>
  <c r="G22" i="98"/>
  <c r="K22" i="98" s="1"/>
  <c r="L22" i="98" s="1"/>
  <c r="J21" i="98"/>
  <c r="G21" i="98"/>
  <c r="K21" i="98" s="1"/>
  <c r="L21" i="98" s="1"/>
  <c r="J20" i="98"/>
  <c r="G20" i="98"/>
  <c r="K20" i="98" s="1"/>
  <c r="L20" i="98" s="1"/>
  <c r="J19" i="98"/>
  <c r="J18" i="98"/>
  <c r="G18" i="98"/>
  <c r="J17" i="98"/>
  <c r="G17" i="98"/>
  <c r="K17" i="98" s="1"/>
  <c r="L17" i="98" s="1"/>
  <c r="J16" i="98"/>
  <c r="G16" i="98"/>
  <c r="K16" i="98" s="1"/>
  <c r="L16" i="98" s="1"/>
  <c r="J15" i="98"/>
  <c r="G15" i="98"/>
  <c r="K15" i="98" s="1"/>
  <c r="L15" i="98" s="1"/>
  <c r="J14" i="98"/>
  <c r="G14" i="98"/>
  <c r="K14" i="98" s="1"/>
  <c r="L14" i="98" s="1"/>
  <c r="J13" i="98"/>
  <c r="G13" i="98"/>
  <c r="K13" i="98" s="1"/>
  <c r="L13" i="98" s="1"/>
  <c r="J12" i="98"/>
  <c r="G12" i="98"/>
  <c r="K12" i="98" s="1"/>
  <c r="J11" i="98"/>
  <c r="G11" i="98"/>
  <c r="K11" i="98" s="1"/>
  <c r="L11" i="98" s="1"/>
  <c r="J10" i="98"/>
  <c r="G10" i="98"/>
  <c r="K10" i="98" s="1"/>
  <c r="J9" i="98"/>
  <c r="G9" i="98"/>
  <c r="K9" i="98" s="1"/>
  <c r="J8" i="98"/>
  <c r="G8" i="98"/>
  <c r="K8" i="98" s="1"/>
  <c r="L8" i="98" s="1"/>
  <c r="J7" i="98"/>
  <c r="G7" i="98"/>
  <c r="K7" i="98" s="1"/>
  <c r="L7" i="98" s="1"/>
  <c r="J6" i="98"/>
  <c r="G6" i="98"/>
  <c r="K6" i="98" s="1"/>
  <c r="L6" i="98" s="1"/>
  <c r="J5" i="98"/>
  <c r="G5" i="98"/>
  <c r="K5" i="98" s="1"/>
  <c r="L5" i="98" s="1"/>
  <c r="J4" i="98"/>
  <c r="J35" i="98" s="1"/>
  <c r="G4" i="98"/>
  <c r="G5" i="24"/>
  <c r="K5" i="24" s="1"/>
  <c r="G7" i="24"/>
  <c r="K7" i="24" s="1"/>
  <c r="G8" i="24"/>
  <c r="K8" i="24" s="1"/>
  <c r="G9" i="24"/>
  <c r="K9" i="24" s="1"/>
  <c r="G10" i="24"/>
  <c r="K10" i="24" s="1"/>
  <c r="G11" i="24"/>
  <c r="K11" i="24" s="1"/>
  <c r="G12" i="24"/>
  <c r="K12" i="24" s="1"/>
  <c r="G13" i="24"/>
  <c r="K13" i="24" s="1"/>
  <c r="G13" i="81"/>
  <c r="K13" i="81" s="1"/>
  <c r="G14" i="81"/>
  <c r="K14" i="81" s="1"/>
  <c r="G15" i="81"/>
  <c r="K15" i="81" s="1"/>
  <c r="L15" i="81" s="1"/>
  <c r="G12" i="81"/>
  <c r="K12" i="81" s="1"/>
  <c r="G11" i="81"/>
  <c r="K11" i="81" s="1"/>
  <c r="G8" i="81"/>
  <c r="K8" i="81" s="1"/>
  <c r="G9" i="81"/>
  <c r="K9" i="81" s="1"/>
  <c r="G10" i="81"/>
  <c r="K10" i="81" s="1"/>
  <c r="L10" i="81" s="1"/>
  <c r="J4" i="44"/>
  <c r="J9" i="24"/>
  <c r="J8" i="14"/>
  <c r="G5" i="81"/>
  <c r="K5" i="81" s="1"/>
  <c r="G6" i="81"/>
  <c r="K6" i="81" s="1"/>
  <c r="G7" i="81"/>
  <c r="K7" i="81" s="1"/>
  <c r="L7" i="81" s="1"/>
  <c r="G5" i="79"/>
  <c r="G6" i="79"/>
  <c r="J6" i="79"/>
  <c r="G4" i="25"/>
  <c r="G4" i="24"/>
  <c r="G40" i="95"/>
  <c r="K40" i="95" s="1"/>
  <c r="L40" i="95" s="1"/>
  <c r="G38" i="95"/>
  <c r="K38" i="95" s="1"/>
  <c r="L38" i="95" s="1"/>
  <c r="G39" i="95"/>
  <c r="K39" i="95" s="1"/>
  <c r="L39" i="95" s="1"/>
  <c r="J36" i="14"/>
  <c r="G36" i="14"/>
  <c r="J25" i="41"/>
  <c r="G37" i="25"/>
  <c r="J37" i="25"/>
  <c r="K37" i="25"/>
  <c r="G31" i="14"/>
  <c r="G32" i="14"/>
  <c r="G33" i="14"/>
  <c r="G34" i="14"/>
  <c r="G35" i="14"/>
  <c r="J31" i="14"/>
  <c r="J32" i="14"/>
  <c r="J33" i="14"/>
  <c r="J34" i="14"/>
  <c r="J35" i="14"/>
  <c r="G27" i="95"/>
  <c r="K27" i="95" s="1"/>
  <c r="L27" i="95" s="1"/>
  <c r="H46" i="95"/>
  <c r="F6" i="56" s="1"/>
  <c r="E46" i="95"/>
  <c r="D6" i="56" s="1"/>
  <c r="J45" i="95"/>
  <c r="G45" i="95"/>
  <c r="K45" i="95" s="1"/>
  <c r="J37" i="95"/>
  <c r="G37" i="95"/>
  <c r="K37" i="95" s="1"/>
  <c r="L37" i="95" s="1"/>
  <c r="J36" i="95"/>
  <c r="G36" i="95"/>
  <c r="K36" i="95" s="1"/>
  <c r="L36" i="95" s="1"/>
  <c r="G35" i="95"/>
  <c r="K35" i="95" s="1"/>
  <c r="L35" i="95" s="1"/>
  <c r="J34" i="95"/>
  <c r="G34" i="95"/>
  <c r="K34" i="95" s="1"/>
  <c r="L34" i="95" s="1"/>
  <c r="J33" i="95"/>
  <c r="G33" i="95"/>
  <c r="K33" i="95" s="1"/>
  <c r="L33" i="95" s="1"/>
  <c r="J32" i="95"/>
  <c r="G32" i="95"/>
  <c r="K32" i="95" s="1"/>
  <c r="L32" i="95" s="1"/>
  <c r="J31" i="95"/>
  <c r="G31" i="95"/>
  <c r="K31" i="95" s="1"/>
  <c r="L31" i="95" s="1"/>
  <c r="J30" i="95"/>
  <c r="G30" i="95"/>
  <c r="K30" i="95" s="1"/>
  <c r="L30" i="95" s="1"/>
  <c r="J29" i="95"/>
  <c r="G29" i="95"/>
  <c r="K29" i="95" s="1"/>
  <c r="L29" i="95" s="1"/>
  <c r="J28" i="95"/>
  <c r="G28" i="95"/>
  <c r="K28" i="95" s="1"/>
  <c r="L28" i="95" s="1"/>
  <c r="J26" i="95"/>
  <c r="G26" i="95"/>
  <c r="K26" i="95" s="1"/>
  <c r="L26" i="95" s="1"/>
  <c r="J25" i="95"/>
  <c r="G25" i="95"/>
  <c r="K25" i="95" s="1"/>
  <c r="L25" i="95" s="1"/>
  <c r="J24" i="95"/>
  <c r="G24" i="95"/>
  <c r="K24" i="95" s="1"/>
  <c r="L24" i="95" s="1"/>
  <c r="J23" i="95"/>
  <c r="G23" i="95"/>
  <c r="K23" i="95" s="1"/>
  <c r="J22" i="95"/>
  <c r="G22" i="95"/>
  <c r="K22" i="95" s="1"/>
  <c r="L22" i="95" s="1"/>
  <c r="J21" i="95"/>
  <c r="G21" i="95"/>
  <c r="K21" i="95" s="1"/>
  <c r="L21" i="95" s="1"/>
  <c r="J20" i="95"/>
  <c r="G20" i="95"/>
  <c r="K20" i="95" s="1"/>
  <c r="L20" i="95" s="1"/>
  <c r="J19" i="95"/>
  <c r="G19" i="95"/>
  <c r="K19" i="95" s="1"/>
  <c r="L19" i="95" s="1"/>
  <c r="J18" i="95"/>
  <c r="G18" i="95"/>
  <c r="K18" i="95" s="1"/>
  <c r="L18" i="95" s="1"/>
  <c r="J17" i="95"/>
  <c r="G17" i="95"/>
  <c r="K17" i="95" s="1"/>
  <c r="L17" i="95" s="1"/>
  <c r="J16" i="95"/>
  <c r="G16" i="95"/>
  <c r="K16" i="95" s="1"/>
  <c r="L16" i="95" s="1"/>
  <c r="J15" i="95"/>
  <c r="G15" i="95"/>
  <c r="K15" i="95" s="1"/>
  <c r="L15" i="95" s="1"/>
  <c r="J14" i="95"/>
  <c r="G14" i="95"/>
  <c r="K14" i="95" s="1"/>
  <c r="L14" i="95" s="1"/>
  <c r="J13" i="95"/>
  <c r="G13" i="95"/>
  <c r="K13" i="95" s="1"/>
  <c r="L13" i="95" s="1"/>
  <c r="J12" i="95"/>
  <c r="G12" i="95"/>
  <c r="K12" i="95" s="1"/>
  <c r="L12" i="95" s="1"/>
  <c r="J11" i="95"/>
  <c r="G11" i="95"/>
  <c r="K11" i="95" s="1"/>
  <c r="L11" i="95" s="1"/>
  <c r="J10" i="95"/>
  <c r="G10" i="95"/>
  <c r="K10" i="95" s="1"/>
  <c r="L10" i="95" s="1"/>
  <c r="J9" i="95"/>
  <c r="G9" i="95"/>
  <c r="K9" i="95" s="1"/>
  <c r="L9" i="95" s="1"/>
  <c r="J8" i="95"/>
  <c r="G8" i="95"/>
  <c r="K8" i="95" s="1"/>
  <c r="L8" i="95" s="1"/>
  <c r="J7" i="95"/>
  <c r="G7" i="95"/>
  <c r="K7" i="95" s="1"/>
  <c r="L7" i="95" s="1"/>
  <c r="J6" i="95"/>
  <c r="G6" i="95"/>
  <c r="K6" i="95" s="1"/>
  <c r="L6" i="95" s="1"/>
  <c r="J5" i="95"/>
  <c r="J46" i="95" s="1"/>
  <c r="G6" i="56" s="1"/>
  <c r="G5" i="95"/>
  <c r="K5" i="95" s="1"/>
  <c r="L5" i="95" s="1"/>
  <c r="G4" i="95"/>
  <c r="J30" i="14"/>
  <c r="G30" i="14"/>
  <c r="G29" i="14"/>
  <c r="J29" i="14"/>
  <c r="K29" i="14"/>
  <c r="U22" i="76"/>
  <c r="J87" i="44"/>
  <c r="J88" i="44"/>
  <c r="J89" i="44"/>
  <c r="J90" i="44"/>
  <c r="J91" i="44"/>
  <c r="G90" i="44"/>
  <c r="K90" i="44" s="1"/>
  <c r="G89" i="44"/>
  <c r="K89" i="44" s="1"/>
  <c r="G88" i="44"/>
  <c r="K88" i="44" s="1"/>
  <c r="G87" i="44"/>
  <c r="K87" i="44" s="1"/>
  <c r="J86" i="44"/>
  <c r="G86" i="44"/>
  <c r="K86" i="44" s="1"/>
  <c r="G85" i="44"/>
  <c r="J85" i="44"/>
  <c r="J82" i="44"/>
  <c r="J28" i="14"/>
  <c r="G28" i="14"/>
  <c r="G21" i="85"/>
  <c r="G21" i="3"/>
  <c r="K24" i="14"/>
  <c r="K18" i="14"/>
  <c r="K20" i="14"/>
  <c r="I9" i="56"/>
  <c r="G16" i="41"/>
  <c r="J16" i="41"/>
  <c r="K16" i="41" s="1"/>
  <c r="J14" i="41"/>
  <c r="G14" i="41"/>
  <c r="K14" i="41" s="1"/>
  <c r="J22" i="76"/>
  <c r="K15" i="14"/>
  <c r="K14" i="14"/>
  <c r="G14" i="68"/>
  <c r="J11" i="50"/>
  <c r="J12" i="50"/>
  <c r="J13" i="50"/>
  <c r="G12" i="14"/>
  <c r="H36" i="93"/>
  <c r="F9" i="56" s="1"/>
  <c r="E36" i="93"/>
  <c r="D9" i="56" s="1"/>
  <c r="J35" i="93"/>
  <c r="G35" i="93"/>
  <c r="K35" i="93" s="1"/>
  <c r="J34" i="93"/>
  <c r="G34" i="93"/>
  <c r="K34" i="93" s="1"/>
  <c r="J33" i="93"/>
  <c r="G33" i="93"/>
  <c r="K33" i="93" s="1"/>
  <c r="J32" i="93"/>
  <c r="G32" i="93"/>
  <c r="K32" i="93" s="1"/>
  <c r="J31" i="93"/>
  <c r="G31" i="93"/>
  <c r="K31" i="93" s="1"/>
  <c r="J30" i="93"/>
  <c r="G30" i="93"/>
  <c r="K30" i="93" s="1"/>
  <c r="J29" i="93"/>
  <c r="G29" i="93"/>
  <c r="K29" i="93" s="1"/>
  <c r="J28" i="93"/>
  <c r="G28" i="93"/>
  <c r="K28" i="93" s="1"/>
  <c r="J27" i="93"/>
  <c r="G27" i="93"/>
  <c r="K27" i="93" s="1"/>
  <c r="J26" i="93"/>
  <c r="G26" i="93"/>
  <c r="K26" i="93" s="1"/>
  <c r="J25" i="93"/>
  <c r="G25" i="93"/>
  <c r="K25" i="93" s="1"/>
  <c r="J24" i="93"/>
  <c r="G24" i="93"/>
  <c r="K24" i="93" s="1"/>
  <c r="J23" i="93"/>
  <c r="G23" i="93"/>
  <c r="K23" i="93" s="1"/>
  <c r="J22" i="93"/>
  <c r="G22" i="93"/>
  <c r="K22" i="93" s="1"/>
  <c r="J21" i="93"/>
  <c r="G21" i="93"/>
  <c r="K21" i="93" s="1"/>
  <c r="J20" i="93"/>
  <c r="G20" i="93"/>
  <c r="K20" i="93" s="1"/>
  <c r="J19" i="93"/>
  <c r="G19" i="93"/>
  <c r="K19" i="93" s="1"/>
  <c r="J18" i="93"/>
  <c r="G18" i="93"/>
  <c r="K18" i="93" s="1"/>
  <c r="J17" i="93"/>
  <c r="G17" i="93"/>
  <c r="K17" i="93" s="1"/>
  <c r="J16" i="93"/>
  <c r="G16" i="93"/>
  <c r="K16" i="93" s="1"/>
  <c r="J14" i="93"/>
  <c r="G14" i="93"/>
  <c r="K14" i="93" s="1"/>
  <c r="J13" i="93"/>
  <c r="G13" i="93"/>
  <c r="K13" i="93" s="1"/>
  <c r="J12" i="93"/>
  <c r="G12" i="93"/>
  <c r="K12" i="93" s="1"/>
  <c r="J11" i="93"/>
  <c r="G11" i="93"/>
  <c r="K11" i="93" s="1"/>
  <c r="J10" i="93"/>
  <c r="G10" i="93"/>
  <c r="K10" i="93" s="1"/>
  <c r="J9" i="93"/>
  <c r="G9" i="93"/>
  <c r="K9" i="93" s="1"/>
  <c r="J8" i="93"/>
  <c r="G8" i="93"/>
  <c r="K8" i="93" s="1"/>
  <c r="J7" i="93"/>
  <c r="G7" i="93"/>
  <c r="K7" i="93" s="1"/>
  <c r="J6" i="93"/>
  <c r="G6" i="93"/>
  <c r="K6" i="93" s="1"/>
  <c r="J5" i="93"/>
  <c r="G5" i="93"/>
  <c r="K5" i="93" s="1"/>
  <c r="J4" i="93"/>
  <c r="J36" i="93" s="1"/>
  <c r="G9" i="56" s="1"/>
  <c r="G4" i="93"/>
  <c r="J9" i="50"/>
  <c r="J10" i="50"/>
  <c r="J11" i="80"/>
  <c r="G11" i="80"/>
  <c r="K11" i="80" s="1"/>
  <c r="G11" i="14"/>
  <c r="J9" i="35"/>
  <c r="G10" i="14"/>
  <c r="G5" i="14"/>
  <c r="G6" i="14"/>
  <c r="G8" i="14"/>
  <c r="G9" i="14"/>
  <c r="J7" i="50"/>
  <c r="J8" i="50"/>
  <c r="G8" i="57"/>
  <c r="J6" i="50"/>
  <c r="G40" i="51"/>
  <c r="G41" i="51"/>
  <c r="G42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4" i="51"/>
  <c r="G25" i="51"/>
  <c r="G26" i="51"/>
  <c r="G27" i="51"/>
  <c r="G28" i="51"/>
  <c r="G29" i="51"/>
  <c r="G30" i="51"/>
  <c r="G31" i="51"/>
  <c r="G32" i="51"/>
  <c r="G35" i="51"/>
  <c r="G36" i="51"/>
  <c r="G37" i="51"/>
  <c r="G38" i="51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J5" i="69"/>
  <c r="G6" i="69"/>
  <c r="J6" i="69"/>
  <c r="G7" i="69"/>
  <c r="J7" i="69"/>
  <c r="G8" i="69"/>
  <c r="J8" i="69"/>
  <c r="G9" i="69"/>
  <c r="J9" i="69"/>
  <c r="G10" i="69"/>
  <c r="J10" i="69"/>
  <c r="G11" i="69"/>
  <c r="J11" i="69"/>
  <c r="G12" i="69"/>
  <c r="G13" i="69"/>
  <c r="G14" i="69"/>
  <c r="G15" i="69"/>
  <c r="G16" i="69"/>
  <c r="G17" i="69"/>
  <c r="G18" i="69"/>
  <c r="G20" i="69"/>
  <c r="G21" i="69"/>
  <c r="G22" i="69"/>
  <c r="G23" i="69"/>
  <c r="K23" i="69" s="1"/>
  <c r="G24" i="69"/>
  <c r="G25" i="69"/>
  <c r="G26" i="69"/>
  <c r="G27" i="69"/>
  <c r="G28" i="69"/>
  <c r="G29" i="69"/>
  <c r="G30" i="69"/>
  <c r="G31" i="69"/>
  <c r="J31" i="69"/>
  <c r="G32" i="69"/>
  <c r="J32" i="69"/>
  <c r="G33" i="69"/>
  <c r="J33" i="69"/>
  <c r="G34" i="69"/>
  <c r="J34" i="69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5" i="9"/>
  <c r="J5" i="9"/>
  <c r="G6" i="9"/>
  <c r="J6" i="9"/>
  <c r="G7" i="9"/>
  <c r="J7" i="9"/>
  <c r="G9" i="9"/>
  <c r="J9" i="9"/>
  <c r="G10" i="9"/>
  <c r="J10" i="9"/>
  <c r="J11" i="9"/>
  <c r="G12" i="9"/>
  <c r="J12" i="9"/>
  <c r="G13" i="9"/>
  <c r="J13" i="9"/>
  <c r="G14" i="9"/>
  <c r="J14" i="9"/>
  <c r="J15" i="9"/>
  <c r="J16" i="9"/>
  <c r="G17" i="9"/>
  <c r="J17" i="9"/>
  <c r="G18" i="9"/>
  <c r="J18" i="9"/>
  <c r="G19" i="9"/>
  <c r="J19" i="9"/>
  <c r="J20" i="9"/>
  <c r="J21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2" i="26"/>
  <c r="G23" i="26"/>
  <c r="G24" i="26"/>
  <c r="G25" i="26"/>
  <c r="G5" i="57"/>
  <c r="J5" i="57"/>
  <c r="G6" i="57"/>
  <c r="J6" i="57"/>
  <c r="G7" i="57"/>
  <c r="J7" i="57"/>
  <c r="J8" i="57"/>
  <c r="G9" i="57"/>
  <c r="J9" i="57"/>
  <c r="G10" i="57"/>
  <c r="J10" i="57"/>
  <c r="G11" i="57"/>
  <c r="J11" i="57"/>
  <c r="G12" i="57"/>
  <c r="J12" i="57"/>
  <c r="G13" i="57"/>
  <c r="J13" i="57"/>
  <c r="G14" i="57"/>
  <c r="J14" i="57"/>
  <c r="G15" i="57"/>
  <c r="J15" i="57"/>
  <c r="G16" i="57"/>
  <c r="J16" i="57"/>
  <c r="G17" i="57"/>
  <c r="J17" i="57"/>
  <c r="G18" i="57"/>
  <c r="J18" i="57"/>
  <c r="G19" i="57"/>
  <c r="J19" i="57"/>
  <c r="G20" i="57"/>
  <c r="J20" i="57"/>
  <c r="G21" i="57"/>
  <c r="J21" i="57"/>
  <c r="G22" i="57"/>
  <c r="J22" i="57"/>
  <c r="G23" i="57"/>
  <c r="J23" i="57"/>
  <c r="G24" i="57"/>
  <c r="J24" i="57"/>
  <c r="G25" i="57"/>
  <c r="J25" i="57"/>
  <c r="G26" i="57"/>
  <c r="J26" i="57"/>
  <c r="G27" i="57"/>
  <c r="J27" i="57"/>
  <c r="G28" i="57"/>
  <c r="J28" i="57"/>
  <c r="G29" i="57"/>
  <c r="J29" i="57"/>
  <c r="G30" i="57"/>
  <c r="J30" i="57"/>
  <c r="G31" i="57"/>
  <c r="J31" i="57"/>
  <c r="G32" i="57"/>
  <c r="J32" i="57"/>
  <c r="G33" i="57"/>
  <c r="J33" i="57"/>
  <c r="G34" i="57"/>
  <c r="J34" i="57"/>
  <c r="G5" i="60"/>
  <c r="G6" i="60"/>
  <c r="G7" i="60"/>
  <c r="G8" i="60"/>
  <c r="G9" i="60"/>
  <c r="G10" i="60"/>
  <c r="G11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32" i="60"/>
  <c r="G33" i="60"/>
  <c r="G34" i="60"/>
  <c r="G4" i="60"/>
  <c r="G5" i="41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5" i="41"/>
  <c r="J15" i="41"/>
  <c r="G17" i="41"/>
  <c r="J17" i="41"/>
  <c r="G18" i="41"/>
  <c r="G19" i="41"/>
  <c r="G20" i="41"/>
  <c r="G21" i="41"/>
  <c r="G23" i="41"/>
  <c r="G24" i="41"/>
  <c r="J24" i="41"/>
  <c r="G25" i="41"/>
  <c r="K25" i="41" s="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G37" i="41"/>
  <c r="J37" i="41"/>
  <c r="G38" i="41"/>
  <c r="J38" i="41"/>
  <c r="G39" i="41"/>
  <c r="J39" i="41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5" i="12"/>
  <c r="G26" i="12"/>
  <c r="G27" i="12"/>
  <c r="G28" i="12"/>
  <c r="G29" i="12"/>
  <c r="G30" i="12"/>
  <c r="G31" i="12"/>
  <c r="G32" i="12"/>
  <c r="G33" i="12"/>
  <c r="G34" i="12"/>
  <c r="G35" i="12"/>
  <c r="J5" i="76"/>
  <c r="G6" i="76"/>
  <c r="J6" i="76"/>
  <c r="G7" i="76"/>
  <c r="J7" i="76"/>
  <c r="G8" i="76"/>
  <c r="J8" i="76"/>
  <c r="G9" i="76"/>
  <c r="J9" i="76"/>
  <c r="G10" i="76"/>
  <c r="J10" i="76"/>
  <c r="G11" i="76"/>
  <c r="J11" i="76"/>
  <c r="G12" i="76"/>
  <c r="J12" i="76"/>
  <c r="G13" i="76"/>
  <c r="J13" i="76"/>
  <c r="G14" i="76"/>
  <c r="J14" i="76"/>
  <c r="G15" i="76"/>
  <c r="J15" i="76"/>
  <c r="G16" i="76"/>
  <c r="J16" i="76"/>
  <c r="G17" i="76"/>
  <c r="J17" i="76"/>
  <c r="G18" i="76"/>
  <c r="J18" i="76"/>
  <c r="G19" i="76"/>
  <c r="J19" i="76"/>
  <c r="G20" i="76"/>
  <c r="J20" i="76"/>
  <c r="G21" i="76"/>
  <c r="J21" i="76"/>
  <c r="G22" i="76"/>
  <c r="K22" i="76" s="1"/>
  <c r="G23" i="76"/>
  <c r="J23" i="76"/>
  <c r="G24" i="76"/>
  <c r="J24" i="76"/>
  <c r="G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3" i="76"/>
  <c r="J33" i="76"/>
  <c r="G34" i="76"/>
  <c r="J34" i="76"/>
  <c r="G35" i="76"/>
  <c r="J35" i="76"/>
  <c r="J5" i="79"/>
  <c r="G7" i="79"/>
  <c r="J7" i="79"/>
  <c r="G8" i="79"/>
  <c r="J8" i="79"/>
  <c r="G9" i="79"/>
  <c r="J9" i="79"/>
  <c r="G10" i="79"/>
  <c r="J10" i="79"/>
  <c r="G11" i="79"/>
  <c r="J11" i="79"/>
  <c r="G12" i="79"/>
  <c r="J12" i="79"/>
  <c r="G13" i="79"/>
  <c r="J13" i="79"/>
  <c r="G14" i="79"/>
  <c r="J14" i="79"/>
  <c r="G15" i="79"/>
  <c r="J15" i="79"/>
  <c r="G16" i="79"/>
  <c r="J16" i="79"/>
  <c r="G17" i="79"/>
  <c r="J17" i="79"/>
  <c r="G18" i="79"/>
  <c r="J18" i="79"/>
  <c r="G19" i="79"/>
  <c r="J19" i="79"/>
  <c r="G20" i="79"/>
  <c r="J20" i="79"/>
  <c r="G21" i="79"/>
  <c r="J21" i="79"/>
  <c r="G22" i="79"/>
  <c r="J22" i="79"/>
  <c r="G23" i="79"/>
  <c r="J23" i="79"/>
  <c r="G24" i="79"/>
  <c r="J24" i="79"/>
  <c r="G25" i="79"/>
  <c r="J25" i="79"/>
  <c r="G26" i="79"/>
  <c r="J26" i="79"/>
  <c r="G27" i="79"/>
  <c r="J27" i="79"/>
  <c r="G28" i="79"/>
  <c r="J28" i="79"/>
  <c r="G29" i="79"/>
  <c r="J29" i="79"/>
  <c r="G30" i="79"/>
  <c r="J30" i="79"/>
  <c r="G31" i="79"/>
  <c r="J31" i="79"/>
  <c r="G32" i="79"/>
  <c r="J32" i="79"/>
  <c r="G33" i="79"/>
  <c r="J33" i="79"/>
  <c r="G34" i="79"/>
  <c r="J34" i="79"/>
  <c r="G5" i="75"/>
  <c r="J5" i="75"/>
  <c r="G6" i="75"/>
  <c r="J6" i="75"/>
  <c r="G7" i="75"/>
  <c r="J7" i="75"/>
  <c r="G8" i="75"/>
  <c r="J8" i="75"/>
  <c r="G9" i="75"/>
  <c r="J9" i="75"/>
  <c r="J10" i="75"/>
  <c r="G11" i="75"/>
  <c r="J11" i="75"/>
  <c r="G12" i="75"/>
  <c r="J12" i="75"/>
  <c r="G13" i="75"/>
  <c r="J13" i="75"/>
  <c r="G14" i="75"/>
  <c r="J14" i="75"/>
  <c r="G15" i="75"/>
  <c r="G16" i="75"/>
  <c r="J16" i="75"/>
  <c r="G17" i="75"/>
  <c r="J17" i="75"/>
  <c r="G18" i="75"/>
  <c r="J18" i="75"/>
  <c r="G19" i="75"/>
  <c r="G20" i="75"/>
  <c r="J21" i="75"/>
  <c r="J22" i="75"/>
  <c r="G27" i="75"/>
  <c r="G28" i="75"/>
  <c r="J28" i="75"/>
  <c r="G29" i="75"/>
  <c r="J29" i="75"/>
  <c r="G30" i="75"/>
  <c r="J30" i="75"/>
  <c r="G32" i="75"/>
  <c r="J32" i="75"/>
  <c r="G33" i="75"/>
  <c r="J33" i="75"/>
  <c r="G34" i="75"/>
  <c r="J34" i="75"/>
  <c r="J5" i="85"/>
  <c r="K5" i="85"/>
  <c r="G6" i="85"/>
  <c r="J6" i="85"/>
  <c r="K6" i="85"/>
  <c r="G7" i="85"/>
  <c r="J7" i="85"/>
  <c r="K7" i="85"/>
  <c r="G8" i="85"/>
  <c r="K8" i="85"/>
  <c r="G9" i="85"/>
  <c r="K9" i="85"/>
  <c r="G10" i="85"/>
  <c r="K10" i="85"/>
  <c r="G11" i="85"/>
  <c r="K11" i="85"/>
  <c r="K12" i="85"/>
  <c r="G13" i="85"/>
  <c r="K13" i="85"/>
  <c r="G14" i="85"/>
  <c r="K14" i="85"/>
  <c r="G15" i="85"/>
  <c r="K15" i="85"/>
  <c r="G16" i="85"/>
  <c r="K16" i="85"/>
  <c r="G17" i="85"/>
  <c r="J17" i="85"/>
  <c r="K17" i="85"/>
  <c r="G18" i="85"/>
  <c r="J18" i="85"/>
  <c r="K18" i="85"/>
  <c r="G19" i="85"/>
  <c r="J19" i="85"/>
  <c r="K19" i="85"/>
  <c r="G20" i="85"/>
  <c r="J20" i="85"/>
  <c r="K20" i="85"/>
  <c r="J21" i="85"/>
  <c r="K21" i="85"/>
  <c r="G22" i="85"/>
  <c r="J22" i="85"/>
  <c r="K22" i="85"/>
  <c r="G23" i="85"/>
  <c r="J23" i="85"/>
  <c r="K23" i="85"/>
  <c r="G25" i="85"/>
  <c r="J25" i="85"/>
  <c r="K25" i="85"/>
  <c r="G26" i="85"/>
  <c r="J26" i="85"/>
  <c r="K26" i="85"/>
  <c r="G27" i="85"/>
  <c r="J27" i="85"/>
  <c r="K27" i="85"/>
  <c r="G28" i="85"/>
  <c r="J28" i="85"/>
  <c r="K28" i="85"/>
  <c r="G29" i="85"/>
  <c r="J29" i="85"/>
  <c r="K29" i="85"/>
  <c r="G30" i="85"/>
  <c r="J30" i="85"/>
  <c r="K30" i="85"/>
  <c r="G31" i="85"/>
  <c r="J31" i="85"/>
  <c r="K31" i="85"/>
  <c r="G32" i="85"/>
  <c r="J32" i="85"/>
  <c r="K32" i="85"/>
  <c r="G33" i="85"/>
  <c r="J33" i="85"/>
  <c r="K33" i="85"/>
  <c r="G34" i="85"/>
  <c r="J34" i="85"/>
  <c r="K34" i="85"/>
  <c r="G35" i="85"/>
  <c r="J35" i="85"/>
  <c r="K35" i="85"/>
  <c r="G36" i="85"/>
  <c r="J36" i="85"/>
  <c r="K36" i="85"/>
  <c r="G6" i="25"/>
  <c r="G7" i="25"/>
  <c r="G8" i="25"/>
  <c r="G9" i="25"/>
  <c r="G11" i="25"/>
  <c r="G12" i="25"/>
  <c r="G13" i="25"/>
  <c r="G14" i="25"/>
  <c r="G16" i="25"/>
  <c r="G17" i="25"/>
  <c r="G18" i="25"/>
  <c r="G19" i="25"/>
  <c r="G20" i="25"/>
  <c r="G21" i="25"/>
  <c r="G23" i="25"/>
  <c r="G24" i="25"/>
  <c r="G25" i="25"/>
  <c r="G26" i="25"/>
  <c r="G27" i="25"/>
  <c r="G28" i="25"/>
  <c r="G29" i="25"/>
  <c r="G30" i="25"/>
  <c r="G31" i="25"/>
  <c r="G32" i="25"/>
  <c r="G33" i="25"/>
  <c r="G35" i="25"/>
  <c r="G36" i="25"/>
  <c r="G38" i="25"/>
  <c r="G39" i="25"/>
  <c r="G40" i="25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2" i="11"/>
  <c r="J22" i="11"/>
  <c r="G23" i="11"/>
  <c r="J23" i="11"/>
  <c r="G24" i="11"/>
  <c r="J24" i="11"/>
  <c r="G25" i="11"/>
  <c r="J25" i="11"/>
  <c r="G26" i="11"/>
  <c r="J26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5" i="80"/>
  <c r="J5" i="80"/>
  <c r="G6" i="80"/>
  <c r="J6" i="80"/>
  <c r="G7" i="80"/>
  <c r="J7" i="80"/>
  <c r="G8" i="80"/>
  <c r="J8" i="80"/>
  <c r="G9" i="80"/>
  <c r="J9" i="80"/>
  <c r="G10" i="80"/>
  <c r="J10" i="80"/>
  <c r="G12" i="80"/>
  <c r="J12" i="80"/>
  <c r="G13" i="80"/>
  <c r="J13" i="80"/>
  <c r="G14" i="80"/>
  <c r="J14" i="80"/>
  <c r="G15" i="80"/>
  <c r="J15" i="80"/>
  <c r="J16" i="80"/>
  <c r="J18" i="80"/>
  <c r="J19" i="80"/>
  <c r="J20" i="80"/>
  <c r="J21" i="80"/>
  <c r="J22" i="80"/>
  <c r="J24" i="80"/>
  <c r="J25" i="80"/>
  <c r="J26" i="80"/>
  <c r="G27" i="80"/>
  <c r="J27" i="80"/>
  <c r="G28" i="80"/>
  <c r="J28" i="80"/>
  <c r="G29" i="80"/>
  <c r="J29" i="80"/>
  <c r="G30" i="80"/>
  <c r="J30" i="80"/>
  <c r="G31" i="80"/>
  <c r="J31" i="80"/>
  <c r="G32" i="80"/>
  <c r="J32" i="80"/>
  <c r="G33" i="80"/>
  <c r="J33" i="80"/>
  <c r="G34" i="80"/>
  <c r="J34" i="80"/>
  <c r="G35" i="80"/>
  <c r="J35" i="80"/>
  <c r="G36" i="80"/>
  <c r="J36" i="80"/>
  <c r="G37" i="80"/>
  <c r="J37" i="80"/>
  <c r="G38" i="80"/>
  <c r="J38" i="80"/>
  <c r="J4" i="80"/>
  <c r="G4" i="80"/>
  <c r="J21" i="24"/>
  <c r="J22" i="24"/>
  <c r="J23" i="24"/>
  <c r="J24" i="24"/>
  <c r="J25" i="24"/>
  <c r="J26" i="24"/>
  <c r="J27" i="24"/>
  <c r="J28" i="24"/>
  <c r="G29" i="24"/>
  <c r="J29" i="24"/>
  <c r="J30" i="24"/>
  <c r="J31" i="24"/>
  <c r="G32" i="24"/>
  <c r="K32" i="24" s="1"/>
  <c r="J32" i="24"/>
  <c r="G33" i="24"/>
  <c r="J33" i="24"/>
  <c r="G34" i="24"/>
  <c r="J34" i="24"/>
  <c r="G6" i="74"/>
  <c r="J6" i="74"/>
  <c r="G7" i="74"/>
  <c r="J7" i="74"/>
  <c r="G8" i="74"/>
  <c r="J8" i="74"/>
  <c r="G9" i="74"/>
  <c r="J9" i="74"/>
  <c r="G10" i="74"/>
  <c r="J10" i="74"/>
  <c r="G11" i="74"/>
  <c r="J11" i="74"/>
  <c r="G12" i="74"/>
  <c r="J12" i="74"/>
  <c r="G13" i="74"/>
  <c r="J13" i="74"/>
  <c r="G14" i="74"/>
  <c r="J14" i="74"/>
  <c r="G15" i="74"/>
  <c r="J15" i="74"/>
  <c r="G16" i="74"/>
  <c r="J16" i="74"/>
  <c r="G17" i="74"/>
  <c r="J17" i="74"/>
  <c r="G18" i="74"/>
  <c r="J18" i="74"/>
  <c r="G19" i="74"/>
  <c r="J19" i="74"/>
  <c r="G20" i="74"/>
  <c r="J20" i="74"/>
  <c r="G21" i="74"/>
  <c r="J21" i="74"/>
  <c r="G22" i="74"/>
  <c r="J22" i="74"/>
  <c r="G23" i="74"/>
  <c r="J23" i="74"/>
  <c r="G24" i="74"/>
  <c r="J24" i="74"/>
  <c r="G25" i="74"/>
  <c r="J25" i="74"/>
  <c r="G26" i="74"/>
  <c r="J26" i="74"/>
  <c r="G27" i="74"/>
  <c r="J27" i="74"/>
  <c r="G28" i="74"/>
  <c r="J28" i="74"/>
  <c r="G29" i="74"/>
  <c r="J29" i="74"/>
  <c r="G30" i="74"/>
  <c r="J30" i="74"/>
  <c r="G31" i="74"/>
  <c r="J31" i="74"/>
  <c r="G32" i="74"/>
  <c r="J32" i="74"/>
  <c r="G33" i="74"/>
  <c r="J33" i="74"/>
  <c r="G5" i="73"/>
  <c r="J5" i="73"/>
  <c r="G6" i="73"/>
  <c r="J6" i="73"/>
  <c r="G7" i="73"/>
  <c r="J7" i="73"/>
  <c r="G8" i="73"/>
  <c r="J8" i="73"/>
  <c r="G9" i="73"/>
  <c r="J9" i="73"/>
  <c r="G10" i="73"/>
  <c r="J10" i="73"/>
  <c r="G11" i="73"/>
  <c r="J11" i="73"/>
  <c r="G12" i="73"/>
  <c r="J12" i="73"/>
  <c r="G13" i="73"/>
  <c r="J13" i="73"/>
  <c r="G14" i="73"/>
  <c r="J14" i="73"/>
  <c r="G15" i="73"/>
  <c r="J15" i="73"/>
  <c r="G16" i="73"/>
  <c r="J16" i="73"/>
  <c r="G17" i="73"/>
  <c r="J17" i="73"/>
  <c r="G18" i="73"/>
  <c r="J18" i="73"/>
  <c r="G19" i="73"/>
  <c r="J19" i="73"/>
  <c r="G20" i="73"/>
  <c r="J20" i="73"/>
  <c r="G21" i="73"/>
  <c r="J21" i="73"/>
  <c r="G22" i="73"/>
  <c r="J22" i="73"/>
  <c r="G24" i="73"/>
  <c r="J24" i="73"/>
  <c r="G25" i="73"/>
  <c r="J25" i="73"/>
  <c r="G27" i="73"/>
  <c r="G29" i="73"/>
  <c r="G30" i="73"/>
  <c r="G31" i="73"/>
  <c r="J31" i="73"/>
  <c r="G32" i="73"/>
  <c r="J32" i="73"/>
  <c r="J33" i="73"/>
  <c r="G5" i="68"/>
  <c r="J5" i="68"/>
  <c r="K5" i="68"/>
  <c r="G6" i="68"/>
  <c r="J6" i="68"/>
  <c r="K6" i="68"/>
  <c r="G7" i="68"/>
  <c r="J7" i="68"/>
  <c r="K7" i="68"/>
  <c r="G8" i="68"/>
  <c r="J8" i="68"/>
  <c r="K8" i="68"/>
  <c r="G9" i="68"/>
  <c r="J9" i="68"/>
  <c r="K9" i="68"/>
  <c r="G10" i="68"/>
  <c r="J10" i="68"/>
  <c r="K10" i="68"/>
  <c r="G11" i="68"/>
  <c r="J11" i="68"/>
  <c r="K11" i="68"/>
  <c r="G12" i="68"/>
  <c r="J12" i="68"/>
  <c r="K12" i="68"/>
  <c r="G13" i="68"/>
  <c r="J13" i="68"/>
  <c r="K13" i="68"/>
  <c r="J14" i="68"/>
  <c r="K14" i="68"/>
  <c r="G15" i="68"/>
  <c r="J15" i="68"/>
  <c r="K15" i="68"/>
  <c r="G25" i="68"/>
  <c r="J25" i="68"/>
  <c r="K25" i="68"/>
  <c r="G26" i="68"/>
  <c r="J26" i="68"/>
  <c r="K26" i="68"/>
  <c r="G27" i="68"/>
  <c r="J27" i="68"/>
  <c r="K27" i="68"/>
  <c r="G28" i="68"/>
  <c r="J28" i="68"/>
  <c r="K28" i="68"/>
  <c r="G29" i="68"/>
  <c r="J29" i="68"/>
  <c r="K29" i="68"/>
  <c r="G30" i="68"/>
  <c r="J30" i="68"/>
  <c r="K30" i="68"/>
  <c r="G31" i="68"/>
  <c r="J31" i="68"/>
  <c r="K31" i="68"/>
  <c r="G32" i="68"/>
  <c r="J32" i="68"/>
  <c r="K32" i="68"/>
  <c r="G33" i="68"/>
  <c r="J33" i="68"/>
  <c r="K33" i="68"/>
  <c r="G34" i="68"/>
  <c r="J34" i="68"/>
  <c r="K34" i="68"/>
  <c r="G35" i="68"/>
  <c r="J35" i="68"/>
  <c r="K35" i="68"/>
  <c r="J4" i="68"/>
  <c r="G4" i="68"/>
  <c r="G6" i="63"/>
  <c r="J6" i="63"/>
  <c r="K6" i="63"/>
  <c r="G7" i="63"/>
  <c r="J7" i="63"/>
  <c r="K7" i="63"/>
  <c r="G8" i="63"/>
  <c r="J8" i="63"/>
  <c r="K8" i="63"/>
  <c r="G9" i="63"/>
  <c r="J9" i="63"/>
  <c r="K9" i="63"/>
  <c r="G10" i="63"/>
  <c r="J10" i="63"/>
  <c r="K10" i="63"/>
  <c r="G11" i="63"/>
  <c r="J11" i="63"/>
  <c r="K11" i="63"/>
  <c r="G12" i="63"/>
  <c r="J12" i="63"/>
  <c r="K12" i="63"/>
  <c r="G13" i="63"/>
  <c r="J13" i="63"/>
  <c r="K13" i="63"/>
  <c r="G14" i="63"/>
  <c r="J14" i="63"/>
  <c r="K14" i="63"/>
  <c r="G15" i="63"/>
  <c r="J15" i="63"/>
  <c r="K15" i="63"/>
  <c r="G16" i="63"/>
  <c r="J16" i="63"/>
  <c r="K16" i="63"/>
  <c r="G17" i="63"/>
  <c r="J17" i="63"/>
  <c r="K17" i="63"/>
  <c r="G18" i="63"/>
  <c r="J18" i="63"/>
  <c r="K18" i="63"/>
  <c r="G19" i="63"/>
  <c r="J19" i="63"/>
  <c r="K19" i="63"/>
  <c r="G20" i="63"/>
  <c r="J20" i="63"/>
  <c r="K20" i="63"/>
  <c r="G21" i="63"/>
  <c r="J21" i="63"/>
  <c r="K21" i="63"/>
  <c r="G22" i="63"/>
  <c r="J22" i="63"/>
  <c r="K22" i="63"/>
  <c r="G23" i="63"/>
  <c r="J23" i="63"/>
  <c r="K23" i="63"/>
  <c r="G24" i="63"/>
  <c r="J24" i="63"/>
  <c r="K24" i="63"/>
  <c r="G25" i="63"/>
  <c r="J25" i="63"/>
  <c r="K25" i="63"/>
  <c r="G26" i="63"/>
  <c r="J26" i="63"/>
  <c r="K26" i="63"/>
  <c r="G27" i="63"/>
  <c r="J27" i="63"/>
  <c r="K27" i="63"/>
  <c r="G28" i="63"/>
  <c r="J28" i="63"/>
  <c r="K28" i="63"/>
  <c r="G29" i="63"/>
  <c r="J29" i="63"/>
  <c r="K29" i="63"/>
  <c r="G30" i="63"/>
  <c r="J30" i="63"/>
  <c r="K30" i="63"/>
  <c r="G31" i="63"/>
  <c r="J31" i="63"/>
  <c r="K31" i="63"/>
  <c r="G32" i="63"/>
  <c r="J32" i="63"/>
  <c r="K32" i="63"/>
  <c r="G33" i="63"/>
  <c r="J33" i="63"/>
  <c r="K33" i="63"/>
  <c r="G5" i="16"/>
  <c r="J5" i="16"/>
  <c r="K5" i="16"/>
  <c r="G6" i="16"/>
  <c r="J6" i="16"/>
  <c r="K6" i="16"/>
  <c r="G7" i="16"/>
  <c r="J7" i="16"/>
  <c r="K7" i="16"/>
  <c r="J8" i="16"/>
  <c r="K8" i="16"/>
  <c r="J9" i="16"/>
  <c r="K9" i="16"/>
  <c r="J10" i="16"/>
  <c r="K10" i="16"/>
  <c r="J11" i="16"/>
  <c r="K11" i="16"/>
  <c r="J12" i="16"/>
  <c r="K12" i="16"/>
  <c r="J13" i="16"/>
  <c r="K13" i="16"/>
  <c r="J14" i="16"/>
  <c r="K14" i="16"/>
  <c r="J15" i="16"/>
  <c r="K15" i="16"/>
  <c r="J16" i="16"/>
  <c r="K16" i="16"/>
  <c r="J17" i="16"/>
  <c r="K17" i="16"/>
  <c r="J18" i="16"/>
  <c r="K18" i="16"/>
  <c r="J19" i="16"/>
  <c r="K19" i="16"/>
  <c r="J20" i="16"/>
  <c r="K20" i="16"/>
  <c r="J21" i="16"/>
  <c r="K21" i="16"/>
  <c r="J22" i="16"/>
  <c r="K22" i="16"/>
  <c r="J23" i="16"/>
  <c r="K23" i="16"/>
  <c r="J24" i="16"/>
  <c r="K24" i="16"/>
  <c r="J25" i="16"/>
  <c r="K25" i="16"/>
  <c r="J26" i="16"/>
  <c r="K26" i="16"/>
  <c r="J28" i="16"/>
  <c r="K28" i="16"/>
  <c r="J29" i="16"/>
  <c r="K29" i="16"/>
  <c r="J30" i="16"/>
  <c r="K30" i="16"/>
  <c r="M30" i="16" s="1"/>
  <c r="M31" i="16" s="1"/>
  <c r="J31" i="16"/>
  <c r="K31" i="16"/>
  <c r="J32" i="16"/>
  <c r="J33" i="16"/>
  <c r="K33" i="16"/>
  <c r="J34" i="16"/>
  <c r="K34" i="16"/>
  <c r="J35" i="16"/>
  <c r="K35" i="16"/>
  <c r="G36" i="16"/>
  <c r="J36" i="16"/>
  <c r="K36" i="16"/>
  <c r="G5" i="3"/>
  <c r="J5" i="3"/>
  <c r="K5" i="3"/>
  <c r="G6" i="3"/>
  <c r="J6" i="3"/>
  <c r="K6" i="3"/>
  <c r="G7" i="3"/>
  <c r="J7" i="3"/>
  <c r="K7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J19" i="3"/>
  <c r="K19" i="3"/>
  <c r="G20" i="3"/>
  <c r="J20" i="3"/>
  <c r="K20" i="3"/>
  <c r="J21" i="3"/>
  <c r="K21" i="3"/>
  <c r="G22" i="3"/>
  <c r="J22" i="3"/>
  <c r="K22" i="3"/>
  <c r="G23" i="3"/>
  <c r="J23" i="3"/>
  <c r="K23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25" i="52"/>
  <c r="J25" i="52"/>
  <c r="G26" i="52"/>
  <c r="J26" i="52"/>
  <c r="G27" i="52"/>
  <c r="J27" i="52"/>
  <c r="G28" i="52"/>
  <c r="J28" i="52"/>
  <c r="G29" i="52"/>
  <c r="J29" i="52"/>
  <c r="G30" i="52"/>
  <c r="J30" i="52"/>
  <c r="G31" i="52"/>
  <c r="J31" i="52"/>
  <c r="G32" i="52"/>
  <c r="J32" i="52"/>
  <c r="G33" i="52"/>
  <c r="J33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G10" i="62"/>
  <c r="G11" i="62"/>
  <c r="G12" i="62"/>
  <c r="G13" i="62"/>
  <c r="G14" i="62"/>
  <c r="G15" i="62"/>
  <c r="G17" i="62"/>
  <c r="G18" i="62"/>
  <c r="G19" i="62"/>
  <c r="G20" i="62"/>
  <c r="G21" i="62"/>
  <c r="G22" i="62"/>
  <c r="G23" i="62"/>
  <c r="G24" i="62"/>
  <c r="G25" i="62"/>
  <c r="G26" i="62"/>
  <c r="G27" i="62"/>
  <c r="G28" i="62"/>
  <c r="G29" i="62"/>
  <c r="G30" i="62"/>
  <c r="G31" i="62"/>
  <c r="G32" i="62"/>
  <c r="G33" i="62"/>
  <c r="G34" i="62"/>
  <c r="G35" i="62"/>
  <c r="G36" i="62"/>
  <c r="G37" i="62"/>
  <c r="J5" i="89"/>
  <c r="K5" i="89"/>
  <c r="J6" i="89"/>
  <c r="K6" i="89"/>
  <c r="J7" i="89"/>
  <c r="K7" i="89"/>
  <c r="J8" i="89"/>
  <c r="K8" i="89"/>
  <c r="J9" i="89"/>
  <c r="K9" i="89"/>
  <c r="G10" i="89"/>
  <c r="J10" i="89"/>
  <c r="K10" i="89"/>
  <c r="G11" i="89"/>
  <c r="J11" i="89"/>
  <c r="K11" i="89"/>
  <c r="G12" i="89"/>
  <c r="J12" i="89"/>
  <c r="K12" i="89"/>
  <c r="G13" i="89"/>
  <c r="J13" i="89"/>
  <c r="K13" i="89"/>
  <c r="G14" i="89"/>
  <c r="J14" i="89"/>
  <c r="K14" i="89"/>
  <c r="G15" i="89"/>
  <c r="J15" i="89"/>
  <c r="K15" i="89"/>
  <c r="G16" i="89"/>
  <c r="J16" i="89"/>
  <c r="K16" i="89"/>
  <c r="J17" i="89"/>
  <c r="K17" i="89"/>
  <c r="G18" i="89"/>
  <c r="J18" i="89"/>
  <c r="K18" i="89"/>
  <c r="G19" i="89"/>
  <c r="J19" i="89"/>
  <c r="K19" i="89"/>
  <c r="G20" i="89"/>
  <c r="J20" i="89"/>
  <c r="K20" i="89"/>
  <c r="G21" i="89"/>
  <c r="J21" i="89"/>
  <c r="K21" i="89"/>
  <c r="G22" i="89"/>
  <c r="J22" i="89"/>
  <c r="K22" i="89"/>
  <c r="G23" i="89"/>
  <c r="J23" i="89"/>
  <c r="K23" i="89"/>
  <c r="G24" i="89"/>
  <c r="J24" i="89"/>
  <c r="K24" i="89"/>
  <c r="G25" i="89"/>
  <c r="J25" i="89"/>
  <c r="K25" i="89"/>
  <c r="G26" i="89"/>
  <c r="J26" i="89"/>
  <c r="K26" i="89"/>
  <c r="G27" i="89"/>
  <c r="J27" i="89"/>
  <c r="K27" i="89"/>
  <c r="G28" i="89"/>
  <c r="K28" i="89"/>
  <c r="G29" i="89"/>
  <c r="J29" i="89"/>
  <c r="K29" i="89"/>
  <c r="G30" i="89"/>
  <c r="J30" i="89"/>
  <c r="K30" i="89"/>
  <c r="G31" i="89"/>
  <c r="J31" i="89"/>
  <c r="K31" i="89"/>
  <c r="G32" i="89"/>
  <c r="J32" i="89"/>
  <c r="K32" i="89"/>
  <c r="G33" i="89"/>
  <c r="J33" i="89"/>
  <c r="K33" i="89"/>
  <c r="G34" i="89"/>
  <c r="J34" i="89"/>
  <c r="K34" i="89"/>
  <c r="J5" i="78"/>
  <c r="J6" i="78"/>
  <c r="J7" i="78"/>
  <c r="J8" i="78"/>
  <c r="J9" i="78"/>
  <c r="J10" i="78"/>
  <c r="J11" i="78"/>
  <c r="J12" i="78"/>
  <c r="J13" i="78"/>
  <c r="J14" i="78"/>
  <c r="J15" i="78"/>
  <c r="J16" i="78"/>
  <c r="J17" i="78"/>
  <c r="J18" i="78"/>
  <c r="J20" i="78"/>
  <c r="J29" i="78"/>
  <c r="J30" i="78"/>
  <c r="J31" i="78"/>
  <c r="J32" i="78"/>
  <c r="J6" i="47"/>
  <c r="K6" i="47"/>
  <c r="G7" i="47"/>
  <c r="J7" i="47"/>
  <c r="K7" i="47"/>
  <c r="G8" i="47"/>
  <c r="J8" i="47"/>
  <c r="K8" i="47"/>
  <c r="G9" i="47"/>
  <c r="J9" i="47"/>
  <c r="J16" i="47"/>
  <c r="J17" i="47"/>
  <c r="J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3" i="47"/>
  <c r="J23" i="47"/>
  <c r="K23" i="47"/>
  <c r="G24" i="47"/>
  <c r="J24" i="47"/>
  <c r="K24" i="47"/>
  <c r="G26" i="47"/>
  <c r="J26" i="47"/>
  <c r="K26" i="47"/>
  <c r="G27" i="47"/>
  <c r="J27" i="47"/>
  <c r="K27" i="47"/>
  <c r="M27" i="47" s="1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36" i="47"/>
  <c r="J36" i="47"/>
  <c r="K36" i="47"/>
  <c r="G37" i="47"/>
  <c r="J37" i="47"/>
  <c r="K37" i="47"/>
  <c r="G5" i="50"/>
  <c r="G6" i="50"/>
  <c r="K6" i="50"/>
  <c r="G7" i="50"/>
  <c r="K7" i="50"/>
  <c r="G8" i="50"/>
  <c r="K8" i="50"/>
  <c r="G9" i="50"/>
  <c r="K9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 s="1"/>
  <c r="M16" i="50" s="1"/>
  <c r="M17" i="50" s="1"/>
  <c r="M18" i="50" s="1"/>
  <c r="G17" i="50"/>
  <c r="K17" i="50" s="1"/>
  <c r="G18" i="50"/>
  <c r="K18" i="50" s="1"/>
  <c r="G19" i="50"/>
  <c r="K19" i="50" s="1"/>
  <c r="G20" i="50"/>
  <c r="K20" i="50" s="1"/>
  <c r="G21" i="50"/>
  <c r="K21" i="50" s="1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G30" i="50"/>
  <c r="K30" i="50"/>
  <c r="G31" i="50"/>
  <c r="K31" i="50"/>
  <c r="G32" i="50"/>
  <c r="K32" i="50"/>
  <c r="G33" i="50"/>
  <c r="K33" i="50"/>
  <c r="H40" i="80"/>
  <c r="J80" i="44"/>
  <c r="J81" i="44"/>
  <c r="J83" i="44"/>
  <c r="J84" i="44"/>
  <c r="J92" i="44"/>
  <c r="J93" i="44"/>
  <c r="J94" i="44"/>
  <c r="K95" i="44"/>
  <c r="G94" i="44"/>
  <c r="K94" i="44" s="1"/>
  <c r="G93" i="44"/>
  <c r="K93" i="44" s="1"/>
  <c r="G92" i="44"/>
  <c r="K92" i="44" s="1"/>
  <c r="G91" i="44"/>
  <c r="K91" i="44" s="1"/>
  <c r="G84" i="44"/>
  <c r="K84" i="44" s="1"/>
  <c r="G83" i="44"/>
  <c r="K83" i="44" s="1"/>
  <c r="G81" i="44"/>
  <c r="K81" i="44" s="1"/>
  <c r="G79" i="44"/>
  <c r="G80" i="44"/>
  <c r="K80" i="44" s="1"/>
  <c r="J79" i="44"/>
  <c r="J76" i="44"/>
  <c r="K76" i="44" s="1"/>
  <c r="J77" i="44"/>
  <c r="K77" i="44" s="1"/>
  <c r="J78" i="44"/>
  <c r="K78" i="44" s="1"/>
  <c r="J74" i="44"/>
  <c r="K74" i="44" s="1"/>
  <c r="J75" i="44"/>
  <c r="K75" i="44" s="1"/>
  <c r="H43" i="51"/>
  <c r="E35" i="24"/>
  <c r="K15" i="69"/>
  <c r="E50" i="69"/>
  <c r="J31" i="62"/>
  <c r="K31" i="62"/>
  <c r="J30" i="71"/>
  <c r="K30" i="71" s="1"/>
  <c r="L30" i="71" s="1"/>
  <c r="I8" i="56"/>
  <c r="H35" i="89"/>
  <c r="F8" i="56" s="1"/>
  <c r="E35" i="89"/>
  <c r="D8" i="56" s="1"/>
  <c r="J4" i="89"/>
  <c r="G4" i="89"/>
  <c r="K4" i="89" s="1"/>
  <c r="K15" i="75"/>
  <c r="J7" i="33"/>
  <c r="J6" i="33"/>
  <c r="J8" i="26"/>
  <c r="J9" i="26"/>
  <c r="G6" i="83"/>
  <c r="G6" i="71"/>
  <c r="G4" i="35"/>
  <c r="I36" i="56"/>
  <c r="J4" i="57"/>
  <c r="G11" i="40"/>
  <c r="G12" i="40"/>
  <c r="G13" i="40"/>
  <c r="G14" i="40"/>
  <c r="G8" i="62"/>
  <c r="G9" i="7"/>
  <c r="G10" i="7"/>
  <c r="G11" i="7"/>
  <c r="G12" i="7"/>
  <c r="G13" i="7"/>
  <c r="G14" i="7"/>
  <c r="G15" i="7"/>
  <c r="G16" i="7"/>
  <c r="G17" i="7"/>
  <c r="G18" i="7"/>
  <c r="K22" i="9"/>
  <c r="K10" i="9"/>
  <c r="K11" i="9"/>
  <c r="K9" i="9"/>
  <c r="H56" i="85"/>
  <c r="F37" i="56" s="1"/>
  <c r="E56" i="85"/>
  <c r="D37" i="56" s="1"/>
  <c r="J55" i="85"/>
  <c r="G55" i="85"/>
  <c r="K55" i="85" s="1"/>
  <c r="J54" i="85"/>
  <c r="G54" i="85"/>
  <c r="K54" i="85" s="1"/>
  <c r="J53" i="85"/>
  <c r="G53" i="85"/>
  <c r="K53" i="85" s="1"/>
  <c r="J52" i="85"/>
  <c r="G52" i="85"/>
  <c r="K52" i="85" s="1"/>
  <c r="J51" i="85"/>
  <c r="G51" i="85"/>
  <c r="K51" i="85" s="1"/>
  <c r="J50" i="85"/>
  <c r="G50" i="85"/>
  <c r="K50" i="85" s="1"/>
  <c r="J49" i="85"/>
  <c r="G49" i="85"/>
  <c r="K49" i="85" s="1"/>
  <c r="J48" i="85"/>
  <c r="G48" i="85"/>
  <c r="K48" i="85" s="1"/>
  <c r="J47" i="85"/>
  <c r="G47" i="85"/>
  <c r="K47" i="85" s="1"/>
  <c r="J46" i="85"/>
  <c r="G46" i="85"/>
  <c r="K46" i="85" s="1"/>
  <c r="J45" i="85"/>
  <c r="G45" i="85"/>
  <c r="K45" i="85" s="1"/>
  <c r="J44" i="85"/>
  <c r="G44" i="85"/>
  <c r="K44" i="85" s="1"/>
  <c r="J43" i="85"/>
  <c r="G43" i="85"/>
  <c r="K43" i="85" s="1"/>
  <c r="J42" i="85"/>
  <c r="G42" i="85"/>
  <c r="K42" i="85" s="1"/>
  <c r="J41" i="85"/>
  <c r="G41" i="85"/>
  <c r="K41" i="85" s="1"/>
  <c r="J40" i="85"/>
  <c r="G40" i="85"/>
  <c r="K40" i="85" s="1"/>
  <c r="J39" i="85"/>
  <c r="G39" i="85"/>
  <c r="K39" i="85" s="1"/>
  <c r="J38" i="85"/>
  <c r="G38" i="85"/>
  <c r="K38" i="85" s="1"/>
  <c r="J37" i="85"/>
  <c r="G37" i="85"/>
  <c r="K37" i="85" s="1"/>
  <c r="L56" i="85"/>
  <c r="J37" i="56" s="1"/>
  <c r="J4" i="85"/>
  <c r="J56" i="85" s="1"/>
  <c r="G37" i="56" s="1"/>
  <c r="G4" i="85"/>
  <c r="I37" i="56"/>
  <c r="G5" i="63"/>
  <c r="J5" i="63"/>
  <c r="K5" i="63"/>
  <c r="G5" i="52"/>
  <c r="J5" i="52"/>
  <c r="K5" i="52"/>
  <c r="G6" i="52"/>
  <c r="J6" i="52"/>
  <c r="K6" i="52"/>
  <c r="G7" i="52"/>
  <c r="J7" i="52"/>
  <c r="K7" i="52"/>
  <c r="G21" i="52"/>
  <c r="J21" i="52"/>
  <c r="G22" i="52"/>
  <c r="J22" i="52"/>
  <c r="G23" i="52"/>
  <c r="J23" i="52"/>
  <c r="G24" i="52"/>
  <c r="J24" i="52"/>
  <c r="G6" i="62"/>
  <c r="J6" i="62"/>
  <c r="K6" i="62"/>
  <c r="G7" i="62"/>
  <c r="J7" i="62"/>
  <c r="K7" i="62"/>
  <c r="J8" i="62"/>
  <c r="K8" i="62"/>
  <c r="J9" i="62"/>
  <c r="K9" i="62" s="1"/>
  <c r="J10" i="62"/>
  <c r="K10" i="62"/>
  <c r="J11" i="62"/>
  <c r="K11" i="62"/>
  <c r="J12" i="62"/>
  <c r="K12" i="62"/>
  <c r="K13" i="62"/>
  <c r="K14" i="62"/>
  <c r="K15" i="62"/>
  <c r="J17" i="62"/>
  <c r="K17" i="62"/>
  <c r="J18" i="62"/>
  <c r="K18" i="62"/>
  <c r="J19" i="62"/>
  <c r="K19" i="62"/>
  <c r="J20" i="62"/>
  <c r="K20" i="62"/>
  <c r="J21" i="62"/>
  <c r="K21" i="62"/>
  <c r="J22" i="62"/>
  <c r="K22" i="62"/>
  <c r="J23" i="62"/>
  <c r="K23" i="62"/>
  <c r="J24" i="62"/>
  <c r="K24" i="62"/>
  <c r="J25" i="62"/>
  <c r="K25" i="62"/>
  <c r="J26" i="62"/>
  <c r="K26" i="62"/>
  <c r="J27" i="62"/>
  <c r="K27" i="62"/>
  <c r="J28" i="62"/>
  <c r="K28" i="62"/>
  <c r="J29" i="62"/>
  <c r="K29" i="62"/>
  <c r="J30" i="62"/>
  <c r="K30" i="62"/>
  <c r="J32" i="62"/>
  <c r="K32" i="62"/>
  <c r="J33" i="62"/>
  <c r="K33" i="62"/>
  <c r="J34" i="62"/>
  <c r="K34" i="62"/>
  <c r="J35" i="62"/>
  <c r="K35" i="62"/>
  <c r="J36" i="62"/>
  <c r="K36" i="62"/>
  <c r="G33" i="58"/>
  <c r="J5" i="47"/>
  <c r="J33" i="78"/>
  <c r="H35" i="24"/>
  <c r="J29" i="35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G5" i="78"/>
  <c r="I44" i="56"/>
  <c r="L35" i="83"/>
  <c r="J44" i="56" s="1"/>
  <c r="H35" i="83"/>
  <c r="F44" i="56" s="1"/>
  <c r="E35" i="83"/>
  <c r="D44" i="56" s="1"/>
  <c r="J34" i="83"/>
  <c r="G34" i="83"/>
  <c r="K34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K21" i="83"/>
  <c r="K20" i="83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K7" i="83"/>
  <c r="J6" i="83"/>
  <c r="K6" i="83" s="1"/>
  <c r="J5" i="83"/>
  <c r="G5" i="83"/>
  <c r="K5" i="83" s="1"/>
  <c r="J4" i="83"/>
  <c r="J35" i="83" s="1"/>
  <c r="G44" i="56" s="1"/>
  <c r="G4" i="83"/>
  <c r="J13" i="25"/>
  <c r="J14" i="25"/>
  <c r="J16" i="25"/>
  <c r="J17" i="25"/>
  <c r="I55" i="56"/>
  <c r="M59" i="81"/>
  <c r="H48" i="81"/>
  <c r="F55" i="56" s="1"/>
  <c r="E48" i="81"/>
  <c r="D55" i="56" s="1"/>
  <c r="J47" i="81"/>
  <c r="G47" i="81"/>
  <c r="K47" i="81" s="1"/>
  <c r="J4" i="81"/>
  <c r="J48" i="81" s="1"/>
  <c r="G55" i="56" s="1"/>
  <c r="G4" i="81"/>
  <c r="I31" i="56"/>
  <c r="I40" i="56"/>
  <c r="L40" i="80"/>
  <c r="J31" i="56" s="1"/>
  <c r="F31" i="56"/>
  <c r="E40" i="80"/>
  <c r="D31" i="56" s="1"/>
  <c r="J39" i="80"/>
  <c r="G39" i="80"/>
  <c r="K39" i="80" s="1"/>
  <c r="K38" i="80"/>
  <c r="K37" i="80"/>
  <c r="K36" i="80"/>
  <c r="K35" i="80"/>
  <c r="K34" i="80"/>
  <c r="K33" i="80"/>
  <c r="K32" i="80"/>
  <c r="K31" i="80"/>
  <c r="K30" i="80"/>
  <c r="K29" i="80"/>
  <c r="K28" i="80"/>
  <c r="K27" i="80"/>
  <c r="K26" i="80"/>
  <c r="K25" i="80"/>
  <c r="K24" i="80"/>
  <c r="K15" i="80"/>
  <c r="K14" i="80"/>
  <c r="K13" i="80"/>
  <c r="K12" i="80"/>
  <c r="K10" i="80"/>
  <c r="K9" i="80"/>
  <c r="K8" i="80"/>
  <c r="K7" i="80"/>
  <c r="K6" i="80"/>
  <c r="K5" i="80"/>
  <c r="J40" i="80"/>
  <c r="G31" i="56" s="1"/>
  <c r="L35" i="79"/>
  <c r="J40" i="56" s="1"/>
  <c r="F40" i="56"/>
  <c r="D40" i="56"/>
  <c r="K34" i="79"/>
  <c r="K33" i="79"/>
  <c r="K32" i="79"/>
  <c r="K31" i="79"/>
  <c r="K30" i="79"/>
  <c r="K29" i="79"/>
  <c r="K28" i="79"/>
  <c r="K27" i="79"/>
  <c r="K26" i="79"/>
  <c r="K25" i="79"/>
  <c r="K24" i="79"/>
  <c r="K23" i="79"/>
  <c r="K22" i="79"/>
  <c r="K21" i="79"/>
  <c r="K20" i="79"/>
  <c r="K19" i="79"/>
  <c r="K18" i="79"/>
  <c r="K17" i="79"/>
  <c r="K16" i="79"/>
  <c r="K15" i="79"/>
  <c r="K14" i="79"/>
  <c r="K13" i="79"/>
  <c r="K12" i="79"/>
  <c r="K11" i="79"/>
  <c r="K10" i="79"/>
  <c r="K9" i="79"/>
  <c r="K8" i="79"/>
  <c r="K7" i="79"/>
  <c r="K6" i="79"/>
  <c r="K5" i="79"/>
  <c r="J4" i="79"/>
  <c r="J35" i="79" s="1"/>
  <c r="G40" i="56" s="1"/>
  <c r="G4" i="79"/>
  <c r="J7" i="25"/>
  <c r="J8" i="25"/>
  <c r="J9" i="25"/>
  <c r="J11" i="25"/>
  <c r="J12" i="25"/>
  <c r="J18" i="25"/>
  <c r="J19" i="25"/>
  <c r="J20" i="25"/>
  <c r="J21" i="25"/>
  <c r="J23" i="25"/>
  <c r="J24" i="25"/>
  <c r="J25" i="25"/>
  <c r="J26" i="25"/>
  <c r="J27" i="25"/>
  <c r="J28" i="25"/>
  <c r="J29" i="25"/>
  <c r="J30" i="25"/>
  <c r="J31" i="25"/>
  <c r="J32" i="25"/>
  <c r="J33" i="25"/>
  <c r="J35" i="25"/>
  <c r="J36" i="25"/>
  <c r="J38" i="25"/>
  <c r="J39" i="25"/>
  <c r="J40" i="25"/>
  <c r="K5" i="57"/>
  <c r="K6" i="57"/>
  <c r="K7" i="57"/>
  <c r="K8" i="57"/>
  <c r="K9" i="57"/>
  <c r="K10" i="57"/>
  <c r="K11" i="57"/>
  <c r="K12" i="57"/>
  <c r="K13" i="57"/>
  <c r="K14" i="57"/>
  <c r="K15" i="57"/>
  <c r="K16" i="57"/>
  <c r="K17" i="57"/>
  <c r="K18" i="57"/>
  <c r="K19" i="57"/>
  <c r="K20" i="57"/>
  <c r="K21" i="57"/>
  <c r="K22" i="57"/>
  <c r="K23" i="57"/>
  <c r="K24" i="57"/>
  <c r="K25" i="57"/>
  <c r="K26" i="57"/>
  <c r="K27" i="57"/>
  <c r="K28" i="57"/>
  <c r="K30" i="57"/>
  <c r="K31" i="57"/>
  <c r="K32" i="57"/>
  <c r="K33" i="57"/>
  <c r="K34" i="57"/>
  <c r="G4" i="41"/>
  <c r="J5" i="60"/>
  <c r="J6" i="60"/>
  <c r="J7" i="60"/>
  <c r="J8" i="60"/>
  <c r="J9" i="60"/>
  <c r="J10" i="60"/>
  <c r="J11" i="60"/>
  <c r="J12" i="60"/>
  <c r="J13" i="60"/>
  <c r="J14" i="60"/>
  <c r="J15" i="60"/>
  <c r="J16" i="60"/>
  <c r="K16" i="60" s="1"/>
  <c r="J17" i="60"/>
  <c r="J18" i="60"/>
  <c r="J19" i="60"/>
  <c r="J20" i="60"/>
  <c r="J21" i="60"/>
  <c r="J22" i="60"/>
  <c r="J23" i="60"/>
  <c r="J24" i="60"/>
  <c r="J25" i="60"/>
  <c r="J26" i="60"/>
  <c r="J27" i="60"/>
  <c r="J28" i="60"/>
  <c r="J29" i="60"/>
  <c r="J30" i="60"/>
  <c r="J31" i="60"/>
  <c r="J32" i="60"/>
  <c r="J33" i="60"/>
  <c r="J34" i="60"/>
  <c r="J5" i="51"/>
  <c r="J6" i="51"/>
  <c r="J7" i="51"/>
  <c r="J8" i="51"/>
  <c r="K8" i="51" s="1"/>
  <c r="J9" i="51"/>
  <c r="J10" i="51"/>
  <c r="J11" i="51"/>
  <c r="K11" i="51"/>
  <c r="J12" i="51"/>
  <c r="K12" i="51"/>
  <c r="J13" i="51"/>
  <c r="K13" i="51"/>
  <c r="J14" i="51"/>
  <c r="K14" i="51"/>
  <c r="J15" i="51"/>
  <c r="K15" i="51"/>
  <c r="J16" i="51"/>
  <c r="K16" i="51"/>
  <c r="J17" i="51"/>
  <c r="K17" i="51"/>
  <c r="J18" i="51"/>
  <c r="K18" i="51"/>
  <c r="J19" i="51"/>
  <c r="K19" i="51"/>
  <c r="J20" i="51"/>
  <c r="K20" i="51"/>
  <c r="J21" i="51"/>
  <c r="K21" i="51"/>
  <c r="J22" i="51"/>
  <c r="K22" i="51"/>
  <c r="J23" i="51"/>
  <c r="K23" i="51"/>
  <c r="J24" i="51"/>
  <c r="K24" i="51"/>
  <c r="J25" i="51"/>
  <c r="K25" i="51"/>
  <c r="J26" i="51"/>
  <c r="K26" i="51"/>
  <c r="J27" i="51"/>
  <c r="K27" i="51"/>
  <c r="J28" i="51"/>
  <c r="K28" i="51"/>
  <c r="J29" i="51"/>
  <c r="K29" i="51"/>
  <c r="J30" i="51"/>
  <c r="K30" i="51"/>
  <c r="J31" i="51"/>
  <c r="K31" i="51"/>
  <c r="J32" i="51"/>
  <c r="K32" i="51"/>
  <c r="J33" i="51"/>
  <c r="K33" i="51"/>
  <c r="J34" i="51"/>
  <c r="K34" i="51"/>
  <c r="J35" i="51"/>
  <c r="K35" i="51"/>
  <c r="J36" i="51"/>
  <c r="K36" i="51"/>
  <c r="J37" i="51"/>
  <c r="K37" i="51"/>
  <c r="J38" i="51"/>
  <c r="K38" i="51"/>
  <c r="G39" i="51"/>
  <c r="J39" i="51"/>
  <c r="K39" i="51"/>
  <c r="J40" i="51"/>
  <c r="K40" i="51"/>
  <c r="K5" i="69"/>
  <c r="K6" i="69"/>
  <c r="K7" i="69"/>
  <c r="K8" i="69"/>
  <c r="K9" i="69"/>
  <c r="K10" i="69"/>
  <c r="K11" i="69"/>
  <c r="K12" i="69"/>
  <c r="K13" i="69"/>
  <c r="K14" i="69"/>
  <c r="K16" i="69"/>
  <c r="K17" i="69"/>
  <c r="K24" i="69"/>
  <c r="K25" i="69"/>
  <c r="K26" i="69"/>
  <c r="K27" i="69"/>
  <c r="K28" i="69"/>
  <c r="K29" i="69"/>
  <c r="K30" i="69"/>
  <c r="K31" i="69"/>
  <c r="K32" i="69"/>
  <c r="K33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40" i="69"/>
  <c r="J40" i="69"/>
  <c r="K40" i="69"/>
  <c r="G41" i="69"/>
  <c r="J41" i="69"/>
  <c r="K41" i="69"/>
  <c r="G4" i="26"/>
  <c r="J37" i="62"/>
  <c r="G4" i="75"/>
  <c r="J37" i="73"/>
  <c r="G37" i="73"/>
  <c r="K37" i="73" s="1"/>
  <c r="L37" i="73" s="1"/>
  <c r="K34" i="60"/>
  <c r="G34" i="63"/>
  <c r="K34" i="63" s="1"/>
  <c r="E35" i="74"/>
  <c r="K33" i="74"/>
  <c r="L33" i="74" s="1"/>
  <c r="K34" i="74"/>
  <c r="L34" i="74" s="1"/>
  <c r="I7" i="56"/>
  <c r="G32" i="78"/>
  <c r="K32" i="78"/>
  <c r="G33" i="78"/>
  <c r="K33" i="78"/>
  <c r="G34" i="78"/>
  <c r="J34" i="78"/>
  <c r="K34" i="78"/>
  <c r="H35" i="78"/>
  <c r="F7" i="56" s="1"/>
  <c r="E35" i="78"/>
  <c r="D7" i="56" s="1"/>
  <c r="G31" i="78"/>
  <c r="K31" i="78" s="1"/>
  <c r="G30" i="78"/>
  <c r="K30" i="78" s="1"/>
  <c r="G29" i="78"/>
  <c r="K29" i="78" s="1"/>
  <c r="G28" i="78"/>
  <c r="K28" i="78" s="1"/>
  <c r="G20" i="78"/>
  <c r="K20" i="78" s="1"/>
  <c r="G18" i="78"/>
  <c r="K18" i="78" s="1"/>
  <c r="G17" i="78"/>
  <c r="K17" i="78" s="1"/>
  <c r="G16" i="78"/>
  <c r="K16" i="78" s="1"/>
  <c r="G15" i="78"/>
  <c r="K15" i="78" s="1"/>
  <c r="L35" i="78" s="1"/>
  <c r="J7" i="56" s="1"/>
  <c r="G14" i="78"/>
  <c r="K14" i="78" s="1"/>
  <c r="G13" i="78"/>
  <c r="K13" i="78" s="1"/>
  <c r="G12" i="78"/>
  <c r="K12" i="78" s="1"/>
  <c r="G11" i="78"/>
  <c r="K11" i="78" s="1"/>
  <c r="G10" i="78"/>
  <c r="K10" i="78" s="1"/>
  <c r="G9" i="78"/>
  <c r="K9" i="78" s="1"/>
  <c r="G8" i="78"/>
  <c r="K8" i="78" s="1"/>
  <c r="G7" i="78"/>
  <c r="K7" i="78" s="1"/>
  <c r="G6" i="78"/>
  <c r="K6" i="78" s="1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K33" i="14"/>
  <c r="J6" i="14"/>
  <c r="K27" i="14"/>
  <c r="I41" i="56"/>
  <c r="J41" i="56"/>
  <c r="K41" i="56" s="1"/>
  <c r="F41" i="56"/>
  <c r="D41" i="56"/>
  <c r="K35" i="76"/>
  <c r="K34" i="76"/>
  <c r="K33" i="76"/>
  <c r="K31" i="76"/>
  <c r="K30" i="76"/>
  <c r="K29" i="76"/>
  <c r="K28" i="76"/>
  <c r="K27" i="76"/>
  <c r="K26" i="76"/>
  <c r="K25" i="76"/>
  <c r="I40" i="76" s="1"/>
  <c r="K21" i="76"/>
  <c r="K20" i="76"/>
  <c r="K19" i="76"/>
  <c r="K18" i="76"/>
  <c r="K17" i="76"/>
  <c r="K16" i="76"/>
  <c r="K15" i="76"/>
  <c r="K14" i="76"/>
  <c r="K13" i="76"/>
  <c r="K12" i="76"/>
  <c r="K11" i="76"/>
  <c r="K10" i="76"/>
  <c r="K9" i="76"/>
  <c r="K8" i="76"/>
  <c r="K7" i="76"/>
  <c r="K6" i="76"/>
  <c r="J4" i="76"/>
  <c r="G21" i="7"/>
  <c r="I39" i="56"/>
  <c r="E35" i="57"/>
  <c r="L35" i="9"/>
  <c r="E35" i="60"/>
  <c r="H42" i="75"/>
  <c r="F39" i="56" s="1"/>
  <c r="E42" i="75"/>
  <c r="D39" i="56" s="1"/>
  <c r="J40" i="75"/>
  <c r="G40" i="75"/>
  <c r="K40" i="75" s="1"/>
  <c r="J39" i="75"/>
  <c r="G39" i="75"/>
  <c r="K39" i="75" s="1"/>
  <c r="J38" i="75"/>
  <c r="G38" i="75"/>
  <c r="K38" i="75" s="1"/>
  <c r="J37" i="75"/>
  <c r="G37" i="75"/>
  <c r="K37" i="75" s="1"/>
  <c r="J36" i="75"/>
  <c r="G36" i="75"/>
  <c r="K36" i="75" s="1"/>
  <c r="J35" i="75"/>
  <c r="G35" i="75"/>
  <c r="K35" i="75" s="1"/>
  <c r="K34" i="75"/>
  <c r="K33" i="75"/>
  <c r="K32" i="75"/>
  <c r="K30" i="75"/>
  <c r="K29" i="75"/>
  <c r="I45" i="75" s="1"/>
  <c r="K28" i="75"/>
  <c r="K27" i="75"/>
  <c r="K24" i="75"/>
  <c r="K22" i="75"/>
  <c r="K21" i="75"/>
  <c r="K20" i="75"/>
  <c r="K19" i="75"/>
  <c r="K18" i="75"/>
  <c r="K17" i="75"/>
  <c r="K16" i="75"/>
  <c r="K14" i="75"/>
  <c r="K13" i="75"/>
  <c r="K12" i="75"/>
  <c r="K11" i="75"/>
  <c r="K10" i="75"/>
  <c r="K9" i="75"/>
  <c r="K8" i="75"/>
  <c r="K7" i="75"/>
  <c r="K6" i="75"/>
  <c r="J4" i="75"/>
  <c r="I29" i="56"/>
  <c r="J4" i="25"/>
  <c r="K4" i="68"/>
  <c r="I27" i="56"/>
  <c r="H35" i="74"/>
  <c r="F29" i="56" s="1"/>
  <c r="D29" i="56"/>
  <c r="K29" i="74"/>
  <c r="L29" i="74" s="1"/>
  <c r="K28" i="74"/>
  <c r="L28" i="74" s="1"/>
  <c r="K27" i="74"/>
  <c r="L27" i="74" s="1"/>
  <c r="K26" i="74"/>
  <c r="L26" i="74" s="1"/>
  <c r="K25" i="74"/>
  <c r="L25" i="74" s="1"/>
  <c r="K24" i="74"/>
  <c r="L24" i="74" s="1"/>
  <c r="K23" i="74"/>
  <c r="L23" i="74" s="1"/>
  <c r="K22" i="74"/>
  <c r="L22" i="74" s="1"/>
  <c r="K21" i="74"/>
  <c r="L21" i="74" s="1"/>
  <c r="K20" i="74"/>
  <c r="L20" i="74" s="1"/>
  <c r="K19" i="74"/>
  <c r="L19" i="74" s="1"/>
  <c r="K18" i="74"/>
  <c r="L18" i="74" s="1"/>
  <c r="K17" i="74"/>
  <c r="L17" i="74" s="1"/>
  <c r="K16" i="74"/>
  <c r="L16" i="74" s="1"/>
  <c r="K15" i="74"/>
  <c r="L15" i="74" s="1"/>
  <c r="K14" i="74"/>
  <c r="L14" i="74" s="1"/>
  <c r="K13" i="74"/>
  <c r="L13" i="74" s="1"/>
  <c r="K12" i="74"/>
  <c r="L12" i="74" s="1"/>
  <c r="K11" i="74"/>
  <c r="L11" i="74" s="1"/>
  <c r="K10" i="74"/>
  <c r="L10" i="74" s="1"/>
  <c r="K9" i="74"/>
  <c r="L9" i="74" s="1"/>
  <c r="K8" i="74"/>
  <c r="L8" i="74" s="1"/>
  <c r="K7" i="74"/>
  <c r="L7" i="74" s="1"/>
  <c r="K6" i="74"/>
  <c r="L6" i="74" s="1"/>
  <c r="J5" i="74"/>
  <c r="G5" i="74"/>
  <c r="K5" i="74" s="1"/>
  <c r="L5" i="74" s="1"/>
  <c r="J4" i="74"/>
  <c r="J35" i="74" s="1"/>
  <c r="G29" i="56" s="1"/>
  <c r="G4" i="74"/>
  <c r="H38" i="73"/>
  <c r="F27" i="56" s="1"/>
  <c r="E38" i="73"/>
  <c r="D27" i="56" s="1"/>
  <c r="K36" i="73"/>
  <c r="L36" i="73" s="1"/>
  <c r="K35" i="73"/>
  <c r="L35" i="73" s="1"/>
  <c r="K34" i="73"/>
  <c r="K33" i="73"/>
  <c r="L33" i="73" s="1"/>
  <c r="K32" i="73"/>
  <c r="L32" i="73" s="1"/>
  <c r="K31" i="73"/>
  <c r="L31" i="73" s="1"/>
  <c r="K30" i="73"/>
  <c r="L30" i="73" s="1"/>
  <c r="K29" i="73"/>
  <c r="L29" i="73" s="1"/>
  <c r="K25" i="73"/>
  <c r="L25" i="73" s="1"/>
  <c r="K24" i="73"/>
  <c r="L24" i="73" s="1"/>
  <c r="K22" i="73"/>
  <c r="L22" i="73" s="1"/>
  <c r="K21" i="73"/>
  <c r="L21" i="73" s="1"/>
  <c r="K20" i="73"/>
  <c r="K19" i="73"/>
  <c r="L19" i="73" s="1"/>
  <c r="K18" i="73"/>
  <c r="K17" i="73"/>
  <c r="L17" i="73" s="1"/>
  <c r="K16" i="73"/>
  <c r="L16" i="73" s="1"/>
  <c r="K15" i="73"/>
  <c r="L15" i="73" s="1"/>
  <c r="K14" i="73"/>
  <c r="L14" i="73" s="1"/>
  <c r="K13" i="73"/>
  <c r="K12" i="73"/>
  <c r="K11" i="73"/>
  <c r="L11" i="73" s="1"/>
  <c r="K10" i="73"/>
  <c r="L10" i="73" s="1"/>
  <c r="K9" i="73"/>
  <c r="L9" i="73" s="1"/>
  <c r="K8" i="73"/>
  <c r="L8" i="73" s="1"/>
  <c r="K7" i="73"/>
  <c r="L7" i="73" s="1"/>
  <c r="K6" i="73"/>
  <c r="L6" i="73" s="1"/>
  <c r="K5" i="73"/>
  <c r="L5" i="73" s="1"/>
  <c r="J4" i="73"/>
  <c r="J38" i="73" s="1"/>
  <c r="G27" i="56" s="1"/>
  <c r="G4" i="73"/>
  <c r="H35" i="9"/>
  <c r="I11" i="56"/>
  <c r="I26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10" i="7"/>
  <c r="K10" i="7"/>
  <c r="J11" i="7"/>
  <c r="J12" i="7"/>
  <c r="K12" i="7"/>
  <c r="J13" i="7"/>
  <c r="K13" i="7"/>
  <c r="J14" i="7"/>
  <c r="K14" i="7"/>
  <c r="J15" i="7"/>
  <c r="K15" i="7"/>
  <c r="J16" i="7"/>
  <c r="K16" i="7"/>
  <c r="J17" i="7"/>
  <c r="K17" i="7"/>
  <c r="H37" i="71"/>
  <c r="H43" i="35"/>
  <c r="I12" i="56"/>
  <c r="F12" i="56"/>
  <c r="E37" i="71"/>
  <c r="D12" i="56" s="1"/>
  <c r="J36" i="71"/>
  <c r="G36" i="71"/>
  <c r="K36" i="71" s="1"/>
  <c r="L36" i="71" s="1"/>
  <c r="J35" i="71"/>
  <c r="G35" i="71"/>
  <c r="K35" i="71" s="1"/>
  <c r="L35" i="71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K6" i="71"/>
  <c r="L6" i="71" s="1"/>
  <c r="J4" i="71"/>
  <c r="J37" i="71" s="1"/>
  <c r="G12" i="56" s="1"/>
  <c r="G4" i="71"/>
  <c r="I51" i="56"/>
  <c r="H48" i="26"/>
  <c r="H50" i="69"/>
  <c r="F51" i="56" s="1"/>
  <c r="J49" i="69"/>
  <c r="G49" i="69"/>
  <c r="K49" i="69" s="1"/>
  <c r="J48" i="69"/>
  <c r="G48" i="69"/>
  <c r="K48" i="69" s="1"/>
  <c r="L50" i="69" s="1"/>
  <c r="J51" i="56" s="1"/>
  <c r="J47" i="69"/>
  <c r="G47" i="69"/>
  <c r="K47" i="69" s="1"/>
  <c r="J46" i="69"/>
  <c r="G46" i="69"/>
  <c r="K46" i="69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" i="69"/>
  <c r="J50" i="69" s="1"/>
  <c r="G51" i="56" s="1"/>
  <c r="G4" i="69"/>
  <c r="H38" i="68"/>
  <c r="F26" i="56" s="1"/>
  <c r="E38" i="68"/>
  <c r="D26" i="56" s="1"/>
  <c r="J38" i="68"/>
  <c r="G26" i="56" s="1"/>
  <c r="I30" i="56"/>
  <c r="G5" i="40"/>
  <c r="G6" i="40"/>
  <c r="G7" i="40"/>
  <c r="G8" i="40"/>
  <c r="G9" i="40"/>
  <c r="G10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K10" i="14"/>
  <c r="K11" i="14"/>
  <c r="K12" i="14"/>
  <c r="K13" i="14"/>
  <c r="K19" i="14"/>
  <c r="K21" i="14"/>
  <c r="K22" i="14"/>
  <c r="K23" i="14"/>
  <c r="K25" i="14"/>
  <c r="K26" i="14"/>
  <c r="K28" i="14"/>
  <c r="K30" i="14"/>
  <c r="K31" i="14"/>
  <c r="K32" i="14"/>
  <c r="K34" i="14"/>
  <c r="K35" i="14"/>
  <c r="K36" i="14"/>
  <c r="K37" i="14"/>
  <c r="K38" i="14"/>
  <c r="G39" i="14"/>
  <c r="J39" i="14"/>
  <c r="K39" i="14"/>
  <c r="G40" i="14"/>
  <c r="J40" i="14"/>
  <c r="K40" i="14"/>
  <c r="J5" i="12"/>
  <c r="K5" i="12"/>
  <c r="J6" i="12"/>
  <c r="K6" i="12"/>
  <c r="J7" i="12"/>
  <c r="K7" i="12"/>
  <c r="M7" i="12" s="1"/>
  <c r="J8" i="12"/>
  <c r="K8" i="12"/>
  <c r="J9" i="12"/>
  <c r="K9" i="12"/>
  <c r="J10" i="12"/>
  <c r="K10" i="12"/>
  <c r="J11" i="12"/>
  <c r="K11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J35" i="12"/>
  <c r="K35" i="12"/>
  <c r="J34" i="19"/>
  <c r="J7" i="19"/>
  <c r="J6" i="25"/>
  <c r="K6" i="25"/>
  <c r="K7" i="25"/>
  <c r="M7" i="25" s="1"/>
  <c r="K8" i="25"/>
  <c r="M8" i="25" s="1"/>
  <c r="K9" i="25"/>
  <c r="K11" i="25"/>
  <c r="K12" i="25"/>
  <c r="K13" i="25"/>
  <c r="K14" i="25"/>
  <c r="K16" i="25"/>
  <c r="K17" i="25"/>
  <c r="K18" i="25"/>
  <c r="K19" i="25"/>
  <c r="K20" i="25"/>
  <c r="K21" i="25"/>
  <c r="K23" i="25"/>
  <c r="K24" i="25"/>
  <c r="K25" i="25"/>
  <c r="K26" i="25"/>
  <c r="K27" i="25"/>
  <c r="K28" i="25"/>
  <c r="K29" i="25"/>
  <c r="K30" i="25"/>
  <c r="K31" i="25"/>
  <c r="K32" i="25"/>
  <c r="K33" i="25"/>
  <c r="K35" i="25"/>
  <c r="K36" i="25"/>
  <c r="K38" i="25"/>
  <c r="K39" i="25"/>
  <c r="K40" i="25"/>
  <c r="L35" i="24"/>
  <c r="J30" i="56" s="1"/>
  <c r="K5" i="60"/>
  <c r="K6" i="60"/>
  <c r="K7" i="60"/>
  <c r="K8" i="60"/>
  <c r="K9" i="60"/>
  <c r="K10" i="60"/>
  <c r="K11" i="60"/>
  <c r="K12" i="60"/>
  <c r="K13" i="60"/>
  <c r="K14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5" i="41"/>
  <c r="K17" i="41"/>
  <c r="K18" i="41"/>
  <c r="K19" i="41"/>
  <c r="K20" i="41"/>
  <c r="K21" i="41"/>
  <c r="K22" i="41"/>
  <c r="K23" i="41"/>
  <c r="K24" i="41"/>
  <c r="K27" i="41"/>
  <c r="K28" i="41"/>
  <c r="K29" i="41"/>
  <c r="K30" i="41"/>
  <c r="K31" i="41"/>
  <c r="K32" i="41"/>
  <c r="K33" i="41"/>
  <c r="K34" i="41"/>
  <c r="K35" i="41"/>
  <c r="K36" i="41"/>
  <c r="K37" i="41"/>
  <c r="K38" i="41"/>
  <c r="K39" i="41"/>
  <c r="G40" i="41"/>
  <c r="J40" i="41"/>
  <c r="K40" i="41"/>
  <c r="G41" i="41"/>
  <c r="J41" i="41"/>
  <c r="K41" i="41"/>
  <c r="J41" i="51"/>
  <c r="K41" i="51"/>
  <c r="J5" i="35"/>
  <c r="K5" i="35"/>
  <c r="J6" i="35"/>
  <c r="K6" i="35"/>
  <c r="K7" i="35"/>
  <c r="J8" i="35"/>
  <c r="K8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K5" i="9"/>
  <c r="K6" i="9"/>
  <c r="K7" i="9"/>
  <c r="K12" i="9"/>
  <c r="K13" i="9"/>
  <c r="K14" i="9"/>
  <c r="K15" i="9"/>
  <c r="K16" i="9"/>
  <c r="K17" i="9"/>
  <c r="K18" i="9"/>
  <c r="K19" i="9"/>
  <c r="K20" i="9"/>
  <c r="K21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K8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J18" i="26"/>
  <c r="K18" i="26"/>
  <c r="J19" i="26"/>
  <c r="K19" i="26"/>
  <c r="J22" i="26"/>
  <c r="K22" i="26"/>
  <c r="J23" i="26"/>
  <c r="K23" i="26"/>
  <c r="J24" i="26"/>
  <c r="K24" i="26"/>
  <c r="J25" i="26"/>
  <c r="K25" i="26"/>
  <c r="J26" i="26"/>
  <c r="K26" i="26"/>
  <c r="J28" i="26"/>
  <c r="K28" i="26"/>
  <c r="J29" i="26"/>
  <c r="K29" i="26"/>
  <c r="J30" i="26"/>
  <c r="K30" i="26"/>
  <c r="J31" i="26"/>
  <c r="K31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K41" i="26" s="1"/>
  <c r="G42" i="26"/>
  <c r="J42" i="26"/>
  <c r="K42" i="26"/>
  <c r="G43" i="26"/>
  <c r="J43" i="26"/>
  <c r="K43" i="26"/>
  <c r="G44" i="26"/>
  <c r="J44" i="26"/>
  <c r="K44" i="26"/>
  <c r="G45" i="26"/>
  <c r="J45" i="26"/>
  <c r="K45" i="26"/>
  <c r="G46" i="26"/>
  <c r="J46" i="26"/>
  <c r="K46" i="26"/>
  <c r="G5" i="19"/>
  <c r="J5" i="19"/>
  <c r="G6" i="19"/>
  <c r="J6" i="19"/>
  <c r="G7" i="19"/>
  <c r="G34" i="19"/>
  <c r="J5" i="33"/>
  <c r="K5" i="33"/>
  <c r="K6" i="33"/>
  <c r="K7" i="33"/>
  <c r="J8" i="33"/>
  <c r="K8" i="33"/>
  <c r="J9" i="33"/>
  <c r="K9" i="33"/>
  <c r="J10" i="33"/>
  <c r="K10" i="33"/>
  <c r="J11" i="33"/>
  <c r="K11" i="33"/>
  <c r="J12" i="33"/>
  <c r="K12" i="33"/>
  <c r="J13" i="33"/>
  <c r="K13" i="33"/>
  <c r="J14" i="33"/>
  <c r="K14" i="33"/>
  <c r="J15" i="33"/>
  <c r="K15" i="33"/>
  <c r="J16" i="33"/>
  <c r="K16" i="33"/>
  <c r="J17" i="33"/>
  <c r="K17" i="33"/>
  <c r="G18" i="33"/>
  <c r="J18" i="33"/>
  <c r="K18" i="33"/>
  <c r="G19" i="33"/>
  <c r="J19" i="33"/>
  <c r="K19" i="33"/>
  <c r="G20" i="33"/>
  <c r="J20" i="33"/>
  <c r="K20" i="33"/>
  <c r="K9" i="14"/>
  <c r="G41" i="14"/>
  <c r="J41" i="14"/>
  <c r="K41" i="14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2" i="11"/>
  <c r="K23" i="11"/>
  <c r="K24" i="11"/>
  <c r="K25" i="11"/>
  <c r="K26" i="11"/>
  <c r="K28" i="11"/>
  <c r="K29" i="11"/>
  <c r="K30" i="11"/>
  <c r="K31" i="11"/>
  <c r="K32" i="11"/>
  <c r="K33" i="11"/>
  <c r="K34" i="11"/>
  <c r="K35" i="11"/>
  <c r="K36" i="11"/>
  <c r="G37" i="16"/>
  <c r="J37" i="16"/>
  <c r="K37" i="16"/>
  <c r="K37" i="62"/>
  <c r="G38" i="62"/>
  <c r="J38" i="62"/>
  <c r="K38" i="62"/>
  <c r="G5" i="58"/>
  <c r="J5" i="58"/>
  <c r="K5" i="58"/>
  <c r="L5" i="58"/>
  <c r="G6" i="58"/>
  <c r="J6" i="58"/>
  <c r="K6" i="58"/>
  <c r="L6" i="58"/>
  <c r="G7" i="58"/>
  <c r="J7" i="58"/>
  <c r="K7" i="58"/>
  <c r="L7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K12" i="58" s="1"/>
  <c r="L12" i="58" s="1"/>
  <c r="J13" i="58"/>
  <c r="K13" i="58" s="1"/>
  <c r="L13" i="58" s="1"/>
  <c r="J14" i="58"/>
  <c r="K14" i="58" s="1"/>
  <c r="L14" i="58" s="1"/>
  <c r="J15" i="58"/>
  <c r="K15" i="58" s="1"/>
  <c r="L15" i="58" s="1"/>
  <c r="J16" i="58"/>
  <c r="K16" i="58" s="1"/>
  <c r="L16" i="58" s="1"/>
  <c r="J17" i="58"/>
  <c r="K17" i="58" s="1"/>
  <c r="L17" i="58" s="1"/>
  <c r="J18" i="58"/>
  <c r="K18" i="58" s="1"/>
  <c r="L18" i="58" s="1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J29" i="58"/>
  <c r="K29" i="58"/>
  <c r="L29" i="58"/>
  <c r="J30" i="58"/>
  <c r="K30" i="58"/>
  <c r="L30" i="58"/>
  <c r="G31" i="58"/>
  <c r="J31" i="58"/>
  <c r="K31" i="58"/>
  <c r="L31" i="58"/>
  <c r="G32" i="58"/>
  <c r="J32" i="58"/>
  <c r="K32" i="58"/>
  <c r="L32" i="58"/>
  <c r="J33" i="58"/>
  <c r="K33" i="58"/>
  <c r="L33" i="58"/>
  <c r="G5" i="47"/>
  <c r="K5" i="47"/>
  <c r="G34" i="50"/>
  <c r="K34" i="50"/>
  <c r="G35" i="50"/>
  <c r="J35" i="50"/>
  <c r="K35" i="50"/>
  <c r="G36" i="50"/>
  <c r="J36" i="50"/>
  <c r="K36" i="50"/>
  <c r="G37" i="50"/>
  <c r="J37" i="50"/>
  <c r="K37" i="50"/>
  <c r="I19" i="56"/>
  <c r="H35" i="63"/>
  <c r="F28" i="56" s="1"/>
  <c r="E35" i="63"/>
  <c r="D28" i="56" s="1"/>
  <c r="J4" i="63"/>
  <c r="J35" i="63" s="1"/>
  <c r="G28" i="56" s="1"/>
  <c r="G4" i="63"/>
  <c r="I33" i="56"/>
  <c r="L39" i="62"/>
  <c r="J20" i="56" s="1"/>
  <c r="H39" i="62"/>
  <c r="F20" i="56" s="1"/>
  <c r="E39" i="62"/>
  <c r="D20" i="56" s="1"/>
  <c r="J4" i="62"/>
  <c r="J39" i="62" s="1"/>
  <c r="G20" i="56" s="1"/>
  <c r="G4" i="62"/>
  <c r="I20" i="56"/>
  <c r="K5" i="19"/>
  <c r="L5" i="19"/>
  <c r="K6" i="19"/>
  <c r="L6" i="19"/>
  <c r="K7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E43" i="35"/>
  <c r="E37" i="11"/>
  <c r="H42" i="41"/>
  <c r="I45" i="56"/>
  <c r="H36" i="12"/>
  <c r="I52" i="56"/>
  <c r="I50" i="56"/>
  <c r="H35" i="60"/>
  <c r="F45" i="56" s="1"/>
  <c r="D45" i="56"/>
  <c r="J4" i="60"/>
  <c r="J35" i="60" s="1"/>
  <c r="G45" i="56" s="1"/>
  <c r="G4" i="52"/>
  <c r="J4" i="47"/>
  <c r="J5" i="14"/>
  <c r="L42" i="41"/>
  <c r="I43" i="56"/>
  <c r="I38" i="56"/>
  <c r="I25" i="56"/>
  <c r="I24" i="56"/>
  <c r="K34" i="19"/>
  <c r="L34" i="19"/>
  <c r="K5" i="14"/>
  <c r="G5" i="7"/>
  <c r="J5" i="7"/>
  <c r="G6" i="7"/>
  <c r="J6" i="7"/>
  <c r="G7" i="7"/>
  <c r="J7" i="7"/>
  <c r="G8" i="7"/>
  <c r="J8" i="7"/>
  <c r="J9" i="7"/>
  <c r="J18" i="7"/>
  <c r="G19" i="7"/>
  <c r="J19" i="7"/>
  <c r="G20" i="7"/>
  <c r="J20" i="7"/>
  <c r="K20" i="7" s="1"/>
  <c r="J21" i="7"/>
  <c r="J22" i="7"/>
  <c r="G33" i="7"/>
  <c r="J33" i="7"/>
  <c r="G4" i="50"/>
  <c r="K4" i="50"/>
  <c r="G34" i="58"/>
  <c r="J34" i="58"/>
  <c r="K34" i="58"/>
  <c r="L34" i="58"/>
  <c r="J4" i="58"/>
  <c r="G4" i="58"/>
  <c r="H35" i="58"/>
  <c r="F11" i="56" s="1"/>
  <c r="E35" i="58"/>
  <c r="D11" i="56" s="1"/>
  <c r="J35" i="58"/>
  <c r="G11" i="56" s="1"/>
  <c r="H35" i="19"/>
  <c r="E35" i="19"/>
  <c r="E43" i="51"/>
  <c r="F54" i="56"/>
  <c r="D54" i="56"/>
  <c r="F53" i="56"/>
  <c r="D53" i="56"/>
  <c r="D52" i="56"/>
  <c r="E35" i="33"/>
  <c r="D50" i="56" s="1"/>
  <c r="F49" i="56"/>
  <c r="E35" i="9"/>
  <c r="D49" i="56" s="1"/>
  <c r="F48" i="56"/>
  <c r="D48" i="56"/>
  <c r="H35" i="57"/>
  <c r="F47" i="56" s="1"/>
  <c r="D47" i="56"/>
  <c r="J35" i="57"/>
  <c r="G47" i="56" s="1"/>
  <c r="J43" i="56"/>
  <c r="F43" i="56"/>
  <c r="E42" i="41"/>
  <c r="D43" i="56" s="1"/>
  <c r="E36" i="12"/>
  <c r="L36" i="12"/>
  <c r="J42" i="56"/>
  <c r="F42" i="56"/>
  <c r="D42" i="56"/>
  <c r="E42" i="14"/>
  <c r="D38" i="56" s="1"/>
  <c r="E41" i="25"/>
  <c r="D36" i="56" s="1"/>
  <c r="E35" i="40"/>
  <c r="D35" i="56" s="1"/>
  <c r="D33" i="56"/>
  <c r="D30" i="56"/>
  <c r="E35" i="3"/>
  <c r="D25" i="56" s="1"/>
  <c r="E35" i="7"/>
  <c r="D24" i="56" s="1"/>
  <c r="E38" i="16"/>
  <c r="D23" i="56" s="1"/>
  <c r="L38" i="16"/>
  <c r="E35" i="52"/>
  <c r="D22" i="56" s="1"/>
  <c r="J49" i="56"/>
  <c r="L37" i="11"/>
  <c r="H37" i="11"/>
  <c r="F33" i="56" s="1"/>
  <c r="H35" i="3"/>
  <c r="F25" i="56" s="1"/>
  <c r="J25" i="56"/>
  <c r="H35" i="7"/>
  <c r="F24" i="56" s="1"/>
  <c r="I3" i="56"/>
  <c r="I2" i="56"/>
  <c r="L38" i="50"/>
  <c r="J2" i="56" s="1"/>
  <c r="H38" i="50"/>
  <c r="F2" i="56" s="1"/>
  <c r="E38" i="50"/>
  <c r="D2" i="56" s="1"/>
  <c r="F52" i="56"/>
  <c r="L42" i="14"/>
  <c r="J38" i="56" s="1"/>
  <c r="H42" i="14"/>
  <c r="F38" i="56" s="1"/>
  <c r="H41" i="25"/>
  <c r="F36" i="56" s="1"/>
  <c r="J35" i="40"/>
  <c r="G35" i="56" s="1"/>
  <c r="H35" i="40"/>
  <c r="F35" i="56" s="1"/>
  <c r="F30" i="56"/>
  <c r="L35" i="52"/>
  <c r="J22" i="56" s="1"/>
  <c r="H35" i="52"/>
  <c r="F22" i="56" s="1"/>
  <c r="D3" i="56"/>
  <c r="L39" i="47"/>
  <c r="J3" i="56" s="1"/>
  <c r="H39" i="47"/>
  <c r="F3" i="56" s="1"/>
  <c r="G4" i="44"/>
  <c r="G4" i="51"/>
  <c r="K5" i="7"/>
  <c r="K6" i="7"/>
  <c r="K7" i="7"/>
  <c r="K8" i="7"/>
  <c r="K9" i="7"/>
  <c r="K18" i="7"/>
  <c r="K19" i="7"/>
  <c r="K21" i="7"/>
  <c r="K22" i="7"/>
  <c r="K33" i="7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J47" i="26"/>
  <c r="J4" i="41"/>
  <c r="J42" i="51"/>
  <c r="K42" i="51"/>
  <c r="J4" i="51"/>
  <c r="G47" i="26"/>
  <c r="K47" i="26"/>
  <c r="G34" i="7"/>
  <c r="J34" i="7"/>
  <c r="K34" i="7"/>
  <c r="G4" i="47"/>
  <c r="G4" i="40"/>
  <c r="J35" i="24"/>
  <c r="G30" i="56" s="1"/>
  <c r="G4" i="12"/>
  <c r="G36" i="12" s="1"/>
  <c r="E42" i="56" s="1"/>
  <c r="H38" i="16"/>
  <c r="F23" i="56" s="1"/>
  <c r="M3" i="40"/>
  <c r="J42" i="35"/>
  <c r="G42" i="35"/>
  <c r="K42" i="35" s="1"/>
  <c r="J4" i="35"/>
  <c r="H35" i="33"/>
  <c r="F50" i="56" s="1"/>
  <c r="J4" i="33"/>
  <c r="J35" i="33" s="1"/>
  <c r="G50" i="56" s="1"/>
  <c r="G4" i="33"/>
  <c r="L35" i="7"/>
  <c r="J24" i="56" s="1"/>
  <c r="J4" i="26"/>
  <c r="J4" i="9"/>
  <c r="G4" i="7"/>
  <c r="G4" i="19"/>
  <c r="G35" i="19" s="1"/>
  <c r="E54" i="56" s="1"/>
  <c r="J4" i="19"/>
  <c r="K4" i="19"/>
  <c r="J4" i="16"/>
  <c r="G4" i="16"/>
  <c r="K4" i="16" s="1"/>
  <c r="J4" i="14"/>
  <c r="G4" i="14"/>
  <c r="K4" i="14"/>
  <c r="J4" i="7"/>
  <c r="J35" i="7" s="1"/>
  <c r="G24" i="56" s="1"/>
  <c r="J4" i="12"/>
  <c r="G4" i="11"/>
  <c r="J4" i="11"/>
  <c r="J37" i="11" s="1"/>
  <c r="G33" i="56" s="1"/>
  <c r="K4" i="11"/>
  <c r="M4" i="11" s="1"/>
  <c r="M5" i="11" s="1"/>
  <c r="J4" i="3"/>
  <c r="J35" i="3" s="1"/>
  <c r="G25" i="56" s="1"/>
  <c r="G4" i="3"/>
  <c r="G35" i="3" s="1"/>
  <c r="E25" i="56" s="1"/>
  <c r="K29" i="24" l="1"/>
  <c r="K25" i="24"/>
  <c r="K24" i="24"/>
  <c r="K35" i="3"/>
  <c r="G35" i="111"/>
  <c r="E13" i="56" s="1"/>
  <c r="H13" i="56" s="1"/>
  <c r="K13" i="56" s="1"/>
  <c r="K4" i="111"/>
  <c r="M28" i="47"/>
  <c r="M29" i="47" s="1"/>
  <c r="M30" i="47" s="1"/>
  <c r="M31" i="47" s="1"/>
  <c r="M9" i="25"/>
  <c r="M8" i="12"/>
  <c r="M9" i="12" s="1"/>
  <c r="M10" i="12" s="1"/>
  <c r="M11" i="12" s="1"/>
  <c r="M12" i="12" s="1"/>
  <c r="M13" i="12" s="1"/>
  <c r="M14" i="12" s="1"/>
  <c r="K5" i="104"/>
  <c r="K34" i="103"/>
  <c r="K33" i="52"/>
  <c r="K22" i="80"/>
  <c r="K21" i="80"/>
  <c r="K20" i="80"/>
  <c r="K19" i="80"/>
  <c r="K18" i="80"/>
  <c r="K16" i="80"/>
  <c r="K20" i="45"/>
  <c r="K55" i="45"/>
  <c r="K82" i="44"/>
  <c r="K79" i="44"/>
  <c r="G35" i="110"/>
  <c r="E5" i="56" s="1"/>
  <c r="H5" i="56" s="1"/>
  <c r="K5" i="56" s="1"/>
  <c r="K4" i="110"/>
  <c r="G35" i="109"/>
  <c r="E4" i="56" s="1"/>
  <c r="H4" i="56" s="1"/>
  <c r="K4" i="56" s="1"/>
  <c r="K4" i="109"/>
  <c r="G37" i="108"/>
  <c r="E14" i="56" s="1"/>
  <c r="H14" i="56" s="1"/>
  <c r="K14" i="56" s="1"/>
  <c r="K4" i="108"/>
  <c r="L37" i="106"/>
  <c r="J16" i="56" s="1"/>
  <c r="G37" i="107"/>
  <c r="E15" i="56" s="1"/>
  <c r="H15" i="56" s="1"/>
  <c r="K15" i="56" s="1"/>
  <c r="K4" i="107"/>
  <c r="G37" i="106"/>
  <c r="E16" i="56" s="1"/>
  <c r="H16" i="56" s="1"/>
  <c r="K16" i="56" s="1"/>
  <c r="K4" i="106"/>
  <c r="K9" i="105"/>
  <c r="M5" i="104"/>
  <c r="K32" i="16"/>
  <c r="M6" i="104"/>
  <c r="M7" i="104" s="1"/>
  <c r="M8" i="104" s="1"/>
  <c r="M9" i="104" s="1"/>
  <c r="M10" i="104" s="1"/>
  <c r="M11" i="104" s="1"/>
  <c r="M12" i="104" s="1"/>
  <c r="M13" i="104" s="1"/>
  <c r="M14" i="104" s="1"/>
  <c r="M15" i="104" s="1"/>
  <c r="M16" i="104" s="1"/>
  <c r="M17" i="104" s="1"/>
  <c r="M18" i="104" s="1"/>
  <c r="M19" i="104" s="1"/>
  <c r="M20" i="104" s="1"/>
  <c r="M21" i="104" s="1"/>
  <c r="M22" i="104" s="1"/>
  <c r="M23" i="104" s="1"/>
  <c r="M24" i="104" s="1"/>
  <c r="M25" i="104" s="1"/>
  <c r="M26" i="104"/>
  <c r="M27" i="104" s="1"/>
  <c r="M28" i="104" s="1"/>
  <c r="M29" i="104" s="1"/>
  <c r="M30" i="104" s="1"/>
  <c r="M31" i="104" s="1"/>
  <c r="M32" i="104" s="1"/>
  <c r="M33" i="104" s="1"/>
  <c r="M34" i="104" s="1"/>
  <c r="M35" i="104" s="1"/>
  <c r="M36" i="104" s="1"/>
  <c r="G37" i="105"/>
  <c r="E18" i="56" s="1"/>
  <c r="H18" i="56" s="1"/>
  <c r="K4" i="105"/>
  <c r="G37" i="104"/>
  <c r="E17" i="56" s="1"/>
  <c r="H17" i="56" s="1"/>
  <c r="K11" i="7"/>
  <c r="G39" i="103"/>
  <c r="E21" i="56" s="1"/>
  <c r="H21" i="56" s="1"/>
  <c r="K21" i="56" s="1"/>
  <c r="K9" i="47"/>
  <c r="K18" i="47"/>
  <c r="K17" i="47"/>
  <c r="K16" i="47"/>
  <c r="J35" i="100"/>
  <c r="G46" i="56" s="1"/>
  <c r="H46" i="56"/>
  <c r="K24" i="52"/>
  <c r="K23" i="52"/>
  <c r="K22" i="52"/>
  <c r="K21" i="52"/>
  <c r="K20" i="52"/>
  <c r="M20" i="52" s="1"/>
  <c r="M21" i="52" s="1"/>
  <c r="M22" i="52" s="1"/>
  <c r="M23" i="52" s="1"/>
  <c r="M24" i="52" s="1"/>
  <c r="K32" i="52"/>
  <c r="K30" i="52"/>
  <c r="K29" i="52"/>
  <c r="K28" i="52"/>
  <c r="K27" i="52"/>
  <c r="K26" i="52"/>
  <c r="K25" i="52"/>
  <c r="K18" i="98"/>
  <c r="L18" i="98" s="1"/>
  <c r="K46" i="56"/>
  <c r="G38" i="101"/>
  <c r="E34" i="56" s="1"/>
  <c r="H34" i="56" s="1"/>
  <c r="K34" i="56" s="1"/>
  <c r="K4" i="101"/>
  <c r="K38" i="101" s="1"/>
  <c r="K31" i="52"/>
  <c r="I56" i="56"/>
  <c r="I58" i="56" s="1"/>
  <c r="K4" i="100"/>
  <c r="L42" i="75"/>
  <c r="J39" i="56" s="1"/>
  <c r="G39" i="99"/>
  <c r="E32" i="56" s="1"/>
  <c r="H32" i="56" s="1"/>
  <c r="K32" i="56" s="1"/>
  <c r="K4" i="99"/>
  <c r="K85" i="44"/>
  <c r="K8" i="14"/>
  <c r="G35" i="98"/>
  <c r="E10" i="56" s="1"/>
  <c r="H10" i="56" s="1"/>
  <c r="K4" i="98"/>
  <c r="L4" i="98" s="1"/>
  <c r="L35" i="98" s="1"/>
  <c r="J10" i="56" s="1"/>
  <c r="K25" i="60"/>
  <c r="K24" i="60"/>
  <c r="K23" i="60"/>
  <c r="K22" i="60"/>
  <c r="K21" i="60"/>
  <c r="K20" i="60"/>
  <c r="K19" i="60"/>
  <c r="K18" i="60"/>
  <c r="K17" i="60"/>
  <c r="K15" i="60"/>
  <c r="K26" i="41"/>
  <c r="L36" i="93"/>
  <c r="J9" i="56" s="1"/>
  <c r="K24" i="76"/>
  <c r="L48" i="81"/>
  <c r="J55" i="56" s="1"/>
  <c r="G46" i="95"/>
  <c r="E6" i="56" s="1"/>
  <c r="H6" i="56" s="1"/>
  <c r="K4" i="95"/>
  <c r="L4" i="95" s="1"/>
  <c r="L46" i="95" s="1"/>
  <c r="J6" i="56" s="1"/>
  <c r="K23" i="76"/>
  <c r="G36" i="93"/>
  <c r="E9" i="56" s="1"/>
  <c r="H9" i="56" s="1"/>
  <c r="K9" i="56" s="1"/>
  <c r="K4" i="93"/>
  <c r="M4" i="89"/>
  <c r="M5" i="89" s="1"/>
  <c r="M6" i="89" s="1"/>
  <c r="M7" i="89" s="1"/>
  <c r="M8" i="89" s="1"/>
  <c r="M9" i="89" s="1"/>
  <c r="M10" i="89" s="1"/>
  <c r="J35" i="89"/>
  <c r="G8" i="56" s="1"/>
  <c r="J33" i="56"/>
  <c r="L35" i="89"/>
  <c r="J8" i="56" s="1"/>
  <c r="K35" i="89"/>
  <c r="G35" i="89"/>
  <c r="E8" i="56" s="1"/>
  <c r="H8" i="56" s="1"/>
  <c r="K8" i="56" s="1"/>
  <c r="G56" i="85"/>
  <c r="E37" i="56" s="1"/>
  <c r="H37" i="56" s="1"/>
  <c r="K37" i="56" s="1"/>
  <c r="K4" i="85"/>
  <c r="J35" i="78"/>
  <c r="G7" i="56" s="1"/>
  <c r="G35" i="83"/>
  <c r="E44" i="56" s="1"/>
  <c r="H44" i="56" s="1"/>
  <c r="K44" i="56" s="1"/>
  <c r="K4" i="83"/>
  <c r="F56" i="56"/>
  <c r="G48" i="81"/>
  <c r="E55" i="56" s="1"/>
  <c r="H55" i="56" s="1"/>
  <c r="K55" i="56" s="1"/>
  <c r="K4" i="81"/>
  <c r="G40" i="80"/>
  <c r="E31" i="56" s="1"/>
  <c r="H31" i="56" s="1"/>
  <c r="K31" i="56" s="1"/>
  <c r="K4" i="80"/>
  <c r="G35" i="79"/>
  <c r="E40" i="56" s="1"/>
  <c r="H40" i="56" s="1"/>
  <c r="K40" i="56" s="1"/>
  <c r="K4" i="79"/>
  <c r="K32" i="74"/>
  <c r="L32" i="74" s="1"/>
  <c r="K31" i="74"/>
  <c r="L31" i="74" s="1"/>
  <c r="K30" i="74"/>
  <c r="L30" i="74" s="1"/>
  <c r="G35" i="78"/>
  <c r="E7" i="56" s="1"/>
  <c r="K6" i="14"/>
  <c r="J37" i="76"/>
  <c r="G41" i="56" s="1"/>
  <c r="K4" i="76"/>
  <c r="G37" i="76"/>
  <c r="E41" i="56" s="1"/>
  <c r="H41" i="56" s="1"/>
  <c r="K5" i="76"/>
  <c r="J42" i="75"/>
  <c r="G39" i="56" s="1"/>
  <c r="K4" i="75"/>
  <c r="G42" i="75"/>
  <c r="E39" i="56" s="1"/>
  <c r="H39" i="56" s="1"/>
  <c r="K39" i="56" s="1"/>
  <c r="K5" i="75"/>
  <c r="G35" i="74"/>
  <c r="E29" i="56" s="1"/>
  <c r="H29" i="56" s="1"/>
  <c r="K4" i="74"/>
  <c r="G38" i="73"/>
  <c r="E27" i="56" s="1"/>
  <c r="H27" i="56" s="1"/>
  <c r="K4" i="73"/>
  <c r="H25" i="56"/>
  <c r="K25" i="56" s="1"/>
  <c r="K11" i="35"/>
  <c r="G37" i="71"/>
  <c r="E12" i="56" s="1"/>
  <c r="H12" i="56" s="1"/>
  <c r="K4" i="71"/>
  <c r="K4" i="69"/>
  <c r="D51" i="56"/>
  <c r="D56" i="56" s="1"/>
  <c r="G38" i="68"/>
  <c r="E26" i="56" s="1"/>
  <c r="K4" i="44"/>
  <c r="M4" i="44" s="1"/>
  <c r="M5" i="44" s="1"/>
  <c r="M6" i="44" s="1"/>
  <c r="M7" i="44" s="1"/>
  <c r="M8" i="44" s="1"/>
  <c r="M9" i="44" s="1"/>
  <c r="M10" i="44" s="1"/>
  <c r="M11" i="44" s="1"/>
  <c r="M12" i="44" s="1"/>
  <c r="M13" i="44" s="1"/>
  <c r="M14" i="44" s="1"/>
  <c r="M15" i="44" s="1"/>
  <c r="M16" i="44" s="1"/>
  <c r="M17" i="44" s="1"/>
  <c r="M18" i="44" s="1"/>
  <c r="M19" i="44" s="1"/>
  <c r="M20" i="44" s="1"/>
  <c r="M21" i="44" s="1"/>
  <c r="M22" i="44" s="1"/>
  <c r="M23" i="44" s="1"/>
  <c r="M24" i="44" s="1"/>
  <c r="M25" i="44" s="1"/>
  <c r="M26" i="44" s="1"/>
  <c r="M27" i="44" s="1"/>
  <c r="M28" i="44" s="1"/>
  <c r="M29" i="44" s="1"/>
  <c r="M30" i="44" s="1"/>
  <c r="M31" i="44" s="1"/>
  <c r="M32" i="44" s="1"/>
  <c r="M33" i="44" s="1"/>
  <c r="M34" i="44" s="1"/>
  <c r="M35" i="44" s="1"/>
  <c r="M36" i="44" s="1"/>
  <c r="M37" i="44" s="1"/>
  <c r="M6" i="11"/>
  <c r="J38" i="16"/>
  <c r="G23" i="56" s="1"/>
  <c r="L48" i="26"/>
  <c r="G35" i="63"/>
  <c r="E28" i="56" s="1"/>
  <c r="H28" i="56" s="1"/>
  <c r="K4" i="63"/>
  <c r="M7" i="11"/>
  <c r="M8" i="11" s="1"/>
  <c r="G39" i="62"/>
  <c r="E20" i="56" s="1"/>
  <c r="H20" i="56" s="1"/>
  <c r="K20" i="56" s="1"/>
  <c r="K4" i="62"/>
  <c r="G35" i="60"/>
  <c r="E45" i="56" s="1"/>
  <c r="H45" i="56" s="1"/>
  <c r="K4" i="60"/>
  <c r="J43" i="51"/>
  <c r="G53" i="56" s="1"/>
  <c r="J23" i="56"/>
  <c r="K4" i="12"/>
  <c r="K36" i="12" s="1"/>
  <c r="J36" i="12"/>
  <c r="G42" i="56" s="1"/>
  <c r="H42" i="56"/>
  <c r="K42" i="56" s="1"/>
  <c r="G35" i="33"/>
  <c r="E50" i="56" s="1"/>
  <c r="H50" i="56" s="1"/>
  <c r="J35" i="9"/>
  <c r="G49" i="56" s="1"/>
  <c r="J48" i="26"/>
  <c r="G48" i="56" s="1"/>
  <c r="K4" i="40"/>
  <c r="G35" i="40"/>
  <c r="E35" i="56" s="1"/>
  <c r="H35" i="56" s="1"/>
  <c r="L35" i="40"/>
  <c r="K35" i="40"/>
  <c r="J35" i="52"/>
  <c r="G22" i="56" s="1"/>
  <c r="K35" i="52"/>
  <c r="H22" i="56" s="1"/>
  <c r="K22" i="56" s="1"/>
  <c r="G35" i="52"/>
  <c r="J42" i="41"/>
  <c r="G43" i="56" s="1"/>
  <c r="G37" i="11"/>
  <c r="E33" i="56" s="1"/>
  <c r="G43" i="35"/>
  <c r="E52" i="56" s="1"/>
  <c r="G43" i="51"/>
  <c r="E53" i="56" s="1"/>
  <c r="H53" i="56" s="1"/>
  <c r="J48" i="56"/>
  <c r="G48" i="26"/>
  <c r="E48" i="56" s="1"/>
  <c r="J35" i="19"/>
  <c r="G54" i="56" s="1"/>
  <c r="H54" i="56" s="1"/>
  <c r="J43" i="35"/>
  <c r="G52" i="56" s="1"/>
  <c r="H52" i="56" s="1"/>
  <c r="G35" i="9"/>
  <c r="E49" i="56" s="1"/>
  <c r="G42" i="41"/>
  <c r="E43" i="56" s="1"/>
  <c r="H43" i="56" s="1"/>
  <c r="G35" i="58"/>
  <c r="E11" i="56" s="1"/>
  <c r="H11" i="56" s="1"/>
  <c r="K4" i="58"/>
  <c r="G35" i="57"/>
  <c r="E47" i="56" s="1"/>
  <c r="H47" i="56" s="1"/>
  <c r="K4" i="57"/>
  <c r="L35" i="57" s="1"/>
  <c r="J47" i="56" s="1"/>
  <c r="H33" i="56"/>
  <c r="K33" i="56" s="1"/>
  <c r="G35" i="7"/>
  <c r="E24" i="56" s="1"/>
  <c r="J39" i="47"/>
  <c r="G3" i="56" s="1"/>
  <c r="J42" i="14"/>
  <c r="G38" i="56" s="1"/>
  <c r="G42" i="14"/>
  <c r="E38" i="56" s="1"/>
  <c r="H38" i="56" s="1"/>
  <c r="K38" i="56" s="1"/>
  <c r="G39" i="47"/>
  <c r="E3" i="56" s="1"/>
  <c r="H3" i="56" s="1"/>
  <c r="K35" i="19"/>
  <c r="H26" i="56"/>
  <c r="J38" i="50"/>
  <c r="G2" i="56" s="1"/>
  <c r="G38" i="50"/>
  <c r="E2" i="56" s="1"/>
  <c r="G41" i="25"/>
  <c r="E36" i="56" s="1"/>
  <c r="J41" i="25"/>
  <c r="G36" i="56" s="1"/>
  <c r="H36" i="56" s="1"/>
  <c r="K37" i="11"/>
  <c r="G35" i="24"/>
  <c r="E30" i="56" s="1"/>
  <c r="H30" i="56" s="1"/>
  <c r="K4" i="41"/>
  <c r="K42" i="14"/>
  <c r="K4" i="51"/>
  <c r="K4" i="24"/>
  <c r="K38" i="50"/>
  <c r="K4" i="47"/>
  <c r="K39" i="47" s="1"/>
  <c r="M4" i="47"/>
  <c r="G38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4" i="12"/>
  <c r="M5" i="12" s="1"/>
  <c r="K4" i="35"/>
  <c r="M4" i="35" s="1"/>
  <c r="M5" i="35" s="1"/>
  <c r="M6" i="35" s="1"/>
  <c r="M7" i="35" s="1"/>
  <c r="M8" i="35" s="1"/>
  <c r="M9" i="35" s="1"/>
  <c r="M10" i="35" s="1"/>
  <c r="M11" i="35" s="1"/>
  <c r="M12" i="35" s="1"/>
  <c r="M13" i="35" s="1"/>
  <c r="M14" i="35" s="1"/>
  <c r="M15" i="35" s="1"/>
  <c r="M16" i="35" s="1"/>
  <c r="M17" i="35" s="1"/>
  <c r="M18" i="35" s="1"/>
  <c r="K4" i="33"/>
  <c r="L4" i="19"/>
  <c r="L35" i="19" s="1"/>
  <c r="J54" i="56" s="1"/>
  <c r="K4" i="7"/>
  <c r="K35" i="7" s="1"/>
  <c r="M4" i="14"/>
  <c r="M5" i="14" s="1"/>
  <c r="M6" i="14" s="1"/>
  <c r="M7" i="14" s="1"/>
  <c r="K4" i="9"/>
  <c r="K4" i="26"/>
  <c r="M15" i="12"/>
  <c r="K4" i="25"/>
  <c r="M4" i="25" s="1"/>
  <c r="M10" i="25" s="1"/>
  <c r="M11" i="25" s="1"/>
  <c r="M12" i="25" s="1"/>
  <c r="M13" i="25" s="1"/>
  <c r="M14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M35" i="25" s="1"/>
  <c r="M36" i="25" s="1"/>
  <c r="M37" i="25" s="1"/>
  <c r="M38" i="25" s="1"/>
  <c r="M39" i="25" s="1"/>
  <c r="M40" i="25" s="1"/>
  <c r="K4" i="3"/>
  <c r="M4" i="24" l="1"/>
  <c r="K35" i="24"/>
  <c r="K35" i="111"/>
  <c r="M4" i="111"/>
  <c r="M5" i="111" s="1"/>
  <c r="M6" i="111" s="1"/>
  <c r="M7" i="111" s="1"/>
  <c r="M8" i="111" s="1"/>
  <c r="M9" i="111" s="1"/>
  <c r="M10" i="111" s="1"/>
  <c r="M11" i="111" s="1"/>
  <c r="M12" i="111" s="1"/>
  <c r="M13" i="111" s="1"/>
  <c r="M14" i="111" s="1"/>
  <c r="M15" i="111" s="1"/>
  <c r="M16" i="111" s="1"/>
  <c r="M17" i="111" s="1"/>
  <c r="M18" i="111" s="1"/>
  <c r="M19" i="111" s="1"/>
  <c r="M20" i="111" s="1"/>
  <c r="M21" i="111" s="1"/>
  <c r="M22" i="111" s="1"/>
  <c r="M23" i="111" s="1"/>
  <c r="M24" i="111" s="1"/>
  <c r="M25" i="111" s="1"/>
  <c r="M26" i="111" s="1"/>
  <c r="M27" i="111" s="1"/>
  <c r="M28" i="111" s="1"/>
  <c r="M29" i="111" s="1"/>
  <c r="M30" i="111" s="1"/>
  <c r="M31" i="111" s="1"/>
  <c r="M32" i="111" s="1"/>
  <c r="M33" i="111" s="1"/>
  <c r="H48" i="56"/>
  <c r="M4" i="105"/>
  <c r="M5" i="105" s="1"/>
  <c r="M6" i="105" s="1"/>
  <c r="M7" i="105" s="1"/>
  <c r="M8" i="105" s="1"/>
  <c r="M9" i="105" s="1"/>
  <c r="M10" i="105" s="1"/>
  <c r="M11" i="105" s="1"/>
  <c r="M12" i="105" s="1"/>
  <c r="M13" i="105" s="1"/>
  <c r="M22" i="105" s="1"/>
  <c r="M23" i="105" s="1"/>
  <c r="M24" i="105" s="1"/>
  <c r="M25" i="105" s="1"/>
  <c r="M26" i="105" s="1"/>
  <c r="M27" i="105" s="1"/>
  <c r="M28" i="105" s="1"/>
  <c r="M29" i="105" s="1"/>
  <c r="M30" i="105" s="1"/>
  <c r="M31" i="105" s="1"/>
  <c r="M32" i="105" s="1"/>
  <c r="M33" i="105" s="1"/>
  <c r="M34" i="105" s="1"/>
  <c r="M35" i="105" s="1"/>
  <c r="M36" i="105" s="1"/>
  <c r="K6" i="56"/>
  <c r="M38" i="44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M54" i="44" s="1"/>
  <c r="M55" i="44" s="1"/>
  <c r="M56" i="44" s="1"/>
  <c r="M57" i="44" s="1"/>
  <c r="M58" i="44" s="1"/>
  <c r="M59" i="44" s="1"/>
  <c r="M60" i="44" s="1"/>
  <c r="M61" i="44" s="1"/>
  <c r="M62" i="44" s="1"/>
  <c r="M63" i="44" s="1"/>
  <c r="M64" i="44" s="1"/>
  <c r="M65" i="44" s="1"/>
  <c r="M66" i="44" s="1"/>
  <c r="M67" i="44" s="1"/>
  <c r="M68" i="44" s="1"/>
  <c r="M69" i="44" s="1"/>
  <c r="M70" i="44" s="1"/>
  <c r="M71" i="44" s="1"/>
  <c r="M72" i="44" s="1"/>
  <c r="M73" i="44" s="1"/>
  <c r="M74" i="44" s="1"/>
  <c r="M75" i="44" s="1"/>
  <c r="M76" i="44" s="1"/>
  <c r="M77" i="44" s="1"/>
  <c r="M78" i="44" s="1"/>
  <c r="M79" i="44" s="1"/>
  <c r="M80" i="44" s="1"/>
  <c r="M81" i="44" s="1"/>
  <c r="M82" i="44" s="1"/>
  <c r="M83" i="44" s="1"/>
  <c r="M84" i="44" s="1"/>
  <c r="M85" i="44" s="1"/>
  <c r="M86" i="44" s="1"/>
  <c r="M87" i="44" s="1"/>
  <c r="M88" i="44" s="1"/>
  <c r="M89" i="44" s="1"/>
  <c r="M90" i="44" s="1"/>
  <c r="M91" i="44" s="1"/>
  <c r="M92" i="44" s="1"/>
  <c r="M93" i="44" s="1"/>
  <c r="K35" i="110"/>
  <c r="M4" i="110"/>
  <c r="M5" i="110" s="1"/>
  <c r="M6" i="110" s="1"/>
  <c r="M7" i="110" s="1"/>
  <c r="M8" i="110" s="1"/>
  <c r="M9" i="110" s="1"/>
  <c r="M10" i="110" s="1"/>
  <c r="M11" i="110" s="1"/>
  <c r="M12" i="110" s="1"/>
  <c r="M13" i="110" s="1"/>
  <c r="M14" i="110" s="1"/>
  <c r="M15" i="110" s="1"/>
  <c r="M16" i="110" s="1"/>
  <c r="M17" i="110" s="1"/>
  <c r="M18" i="110" s="1"/>
  <c r="M19" i="110" s="1"/>
  <c r="M20" i="110" s="1"/>
  <c r="M21" i="110" s="1"/>
  <c r="M22" i="110" s="1"/>
  <c r="M23" i="110" s="1"/>
  <c r="M24" i="110" s="1"/>
  <c r="M25" i="110" s="1"/>
  <c r="M26" i="110" s="1"/>
  <c r="M27" i="110" s="1"/>
  <c r="M28" i="110" s="1"/>
  <c r="M29" i="110" s="1"/>
  <c r="M30" i="110" s="1"/>
  <c r="M31" i="110" s="1"/>
  <c r="M32" i="110" s="1"/>
  <c r="M33" i="110" s="1"/>
  <c r="M34" i="110" s="1"/>
  <c r="K35" i="109"/>
  <c r="M4" i="109"/>
  <c r="M5" i="109" s="1"/>
  <c r="M6" i="109" s="1"/>
  <c r="M7" i="109" s="1"/>
  <c r="M8" i="109" s="1"/>
  <c r="M9" i="109" s="1"/>
  <c r="M10" i="109" s="1"/>
  <c r="M11" i="109" s="1"/>
  <c r="M12" i="109" s="1"/>
  <c r="M13" i="109" s="1"/>
  <c r="M14" i="109" s="1"/>
  <c r="M15" i="109" s="1"/>
  <c r="M16" i="109" s="1"/>
  <c r="M17" i="109" s="1"/>
  <c r="M18" i="109" s="1"/>
  <c r="M19" i="109" s="1"/>
  <c r="M20" i="109" s="1"/>
  <c r="M21" i="109" s="1"/>
  <c r="M22" i="109" s="1"/>
  <c r="M23" i="109" s="1"/>
  <c r="M24" i="109" s="1"/>
  <c r="M25" i="109" s="1"/>
  <c r="M26" i="109" s="1"/>
  <c r="M27" i="109" s="1"/>
  <c r="M28" i="109" s="1"/>
  <c r="M29" i="109" s="1"/>
  <c r="M30" i="109" s="1"/>
  <c r="M31" i="109" s="1"/>
  <c r="M32" i="109" s="1"/>
  <c r="M33" i="109" s="1"/>
  <c r="M34" i="109" s="1"/>
  <c r="K37" i="108"/>
  <c r="M4" i="108"/>
  <c r="M5" i="108" s="1"/>
  <c r="M6" i="108" s="1"/>
  <c r="M7" i="108" s="1"/>
  <c r="M8" i="108" s="1"/>
  <c r="M9" i="108" s="1"/>
  <c r="M10" i="108" s="1"/>
  <c r="M11" i="108" s="1"/>
  <c r="M12" i="108" s="1"/>
  <c r="M13" i="108" s="1"/>
  <c r="M14" i="108" s="1"/>
  <c r="M15" i="108" s="1"/>
  <c r="M16" i="108" s="1"/>
  <c r="M17" i="108" s="1"/>
  <c r="M18" i="108" s="1"/>
  <c r="M19" i="108" s="1"/>
  <c r="M20" i="108" s="1"/>
  <c r="M21" i="108" s="1"/>
  <c r="M22" i="108" s="1"/>
  <c r="M23" i="108" s="1"/>
  <c r="M24" i="108" s="1"/>
  <c r="M25" i="108" s="1"/>
  <c r="M26" i="108" s="1"/>
  <c r="M27" i="108" s="1"/>
  <c r="M28" i="108" s="1"/>
  <c r="M29" i="108" s="1"/>
  <c r="M30" i="108" s="1"/>
  <c r="M31" i="108" s="1"/>
  <c r="M32" i="108" s="1"/>
  <c r="M33" i="108" s="1"/>
  <c r="M34" i="108" s="1"/>
  <c r="M35" i="108" s="1"/>
  <c r="M36" i="108" s="1"/>
  <c r="K37" i="107"/>
  <c r="M4" i="107"/>
  <c r="M5" i="107" s="1"/>
  <c r="M6" i="107" s="1"/>
  <c r="M7" i="107" s="1"/>
  <c r="M8" i="107" s="1"/>
  <c r="M9" i="107" s="1"/>
  <c r="M10" i="107" s="1"/>
  <c r="M11" i="107" s="1"/>
  <c r="M12" i="107" s="1"/>
  <c r="M13" i="107" s="1"/>
  <c r="M14" i="107" s="1"/>
  <c r="M15" i="107" s="1"/>
  <c r="M16" i="107" s="1"/>
  <c r="M17" i="107" s="1"/>
  <c r="M18" i="107" s="1"/>
  <c r="M19" i="107" s="1"/>
  <c r="M20" i="107" s="1"/>
  <c r="M21" i="107" s="1"/>
  <c r="M22" i="107" s="1"/>
  <c r="M23" i="107" s="1"/>
  <c r="M24" i="107" s="1"/>
  <c r="M25" i="107" s="1"/>
  <c r="M26" i="107" s="1"/>
  <c r="M27" i="107" s="1"/>
  <c r="M28" i="107" s="1"/>
  <c r="M29" i="107" s="1"/>
  <c r="M30" i="107" s="1"/>
  <c r="M31" i="107" s="1"/>
  <c r="M32" i="107" s="1"/>
  <c r="M33" i="107" s="1"/>
  <c r="M34" i="107" s="1"/>
  <c r="M35" i="107" s="1"/>
  <c r="M36" i="107" s="1"/>
  <c r="K37" i="106"/>
  <c r="M4" i="106"/>
  <c r="M5" i="106" s="1"/>
  <c r="M6" i="106" s="1"/>
  <c r="M7" i="106" s="1"/>
  <c r="M8" i="106" s="1"/>
  <c r="M9" i="106" s="1"/>
  <c r="M10" i="106" s="1"/>
  <c r="M11" i="106" s="1"/>
  <c r="M12" i="106" s="1"/>
  <c r="M11" i="89"/>
  <c r="M12" i="89" s="1"/>
  <c r="M13" i="89" s="1"/>
  <c r="M14" i="89" s="1"/>
  <c r="M15" i="89" s="1"/>
  <c r="M16" i="89" s="1"/>
  <c r="M17" i="89" s="1"/>
  <c r="M18" i="89" s="1"/>
  <c r="M19" i="89" s="1"/>
  <c r="M20" i="89" s="1"/>
  <c r="K37" i="105"/>
  <c r="L37" i="105"/>
  <c r="J18" i="56" s="1"/>
  <c r="K18" i="56" s="1"/>
  <c r="K37" i="104"/>
  <c r="M8" i="14"/>
  <c r="M9" i="14" s="1"/>
  <c r="M10" i="14" s="1"/>
  <c r="M11" i="14" s="1"/>
  <c r="M12" i="14" s="1"/>
  <c r="M13" i="14" s="1"/>
  <c r="M14" i="14" s="1"/>
  <c r="K43" i="51"/>
  <c r="M4" i="51"/>
  <c r="M21" i="89"/>
  <c r="M22" i="89" s="1"/>
  <c r="M23" i="89" s="1"/>
  <c r="M24" i="89" s="1"/>
  <c r="M25" i="89" s="1"/>
  <c r="M26" i="89" s="1"/>
  <c r="M27" i="89" s="1"/>
  <c r="K39" i="103"/>
  <c r="M4" i="103"/>
  <c r="M16" i="47"/>
  <c r="M17" i="47" s="1"/>
  <c r="M18" i="47"/>
  <c r="M19" i="47" s="1"/>
  <c r="M20" i="47" s="1"/>
  <c r="M21" i="47" s="1"/>
  <c r="M22" i="47" s="1"/>
  <c r="M23" i="47" s="1"/>
  <c r="M24" i="47" s="1"/>
  <c r="M32" i="47" s="1"/>
  <c r="M33" i="47" s="1"/>
  <c r="M34" i="47" s="1"/>
  <c r="M35" i="47" s="1"/>
  <c r="M36" i="47" s="1"/>
  <c r="M37" i="47" s="1"/>
  <c r="M15" i="14"/>
  <c r="M16" i="14" s="1"/>
  <c r="M17" i="14" s="1"/>
  <c r="M18" i="14" s="1"/>
  <c r="M19" i="14" s="1"/>
  <c r="M20" i="14" s="1"/>
  <c r="M21" i="14" s="1"/>
  <c r="M22" i="14" s="1"/>
  <c r="M23" i="14" s="1"/>
  <c r="M25" i="52"/>
  <c r="M26" i="52" s="1"/>
  <c r="M27" i="52" s="1"/>
  <c r="M28" i="52" s="1"/>
  <c r="M29" i="52" s="1"/>
  <c r="M30" i="52" s="1"/>
  <c r="M31" i="52" s="1"/>
  <c r="M32" i="52" s="1"/>
  <c r="M33" i="52" s="1"/>
  <c r="K10" i="56"/>
  <c r="M4" i="101"/>
  <c r="M5" i="101" s="1"/>
  <c r="M6" i="101" s="1"/>
  <c r="M7" i="101" s="1"/>
  <c r="M8" i="101" s="1"/>
  <c r="M9" i="101" s="1"/>
  <c r="M10" i="101" s="1"/>
  <c r="M11" i="101" s="1"/>
  <c r="M12" i="101" s="1"/>
  <c r="M13" i="101" s="1"/>
  <c r="M14" i="101" s="1"/>
  <c r="M15" i="101" s="1"/>
  <c r="M16" i="101" s="1"/>
  <c r="M17" i="101" s="1"/>
  <c r="M18" i="101" s="1"/>
  <c r="M19" i="101" s="1"/>
  <c r="M20" i="101" s="1"/>
  <c r="M21" i="101" s="1"/>
  <c r="M22" i="101" s="1"/>
  <c r="K19" i="56"/>
  <c r="M4" i="100"/>
  <c r="M15" i="100" s="1"/>
  <c r="M16" i="100" s="1"/>
  <c r="M17" i="100" s="1"/>
  <c r="M18" i="100" s="1"/>
  <c r="M19" i="100" s="1"/>
  <c r="M20" i="100" s="1"/>
  <c r="K39" i="99"/>
  <c r="M4" i="99"/>
  <c r="M5" i="99" s="1"/>
  <c r="M6" i="99" s="1"/>
  <c r="M7" i="99" s="1"/>
  <c r="M8" i="99" s="1"/>
  <c r="M9" i="99" s="1"/>
  <c r="M10" i="99" s="1"/>
  <c r="M11" i="99" s="1"/>
  <c r="M12" i="99" s="1"/>
  <c r="M13" i="99" s="1"/>
  <c r="M14" i="99" s="1"/>
  <c r="M15" i="99" s="1"/>
  <c r="K35" i="98"/>
  <c r="M4" i="98"/>
  <c r="M6" i="98" s="1"/>
  <c r="M7" i="98" s="1"/>
  <c r="M8" i="98" s="1"/>
  <c r="M9" i="98" s="1"/>
  <c r="M10" i="98" s="1"/>
  <c r="M11" i="98" s="1"/>
  <c r="M12" i="98" s="1"/>
  <c r="M13" i="98" s="1"/>
  <c r="M14" i="98" s="1"/>
  <c r="M15" i="98" s="1"/>
  <c r="M16" i="98" s="1"/>
  <c r="M17" i="98" s="1"/>
  <c r="M18" i="98" s="1"/>
  <c r="M19" i="98" s="1"/>
  <c r="M20" i="98" s="1"/>
  <c r="M21" i="98" s="1"/>
  <c r="M22" i="98" s="1"/>
  <c r="M23" i="98" s="1"/>
  <c r="M24" i="98" s="1"/>
  <c r="M25" i="98" s="1"/>
  <c r="M26" i="98" s="1"/>
  <c r="M27" i="98" s="1"/>
  <c r="M28" i="98" s="1"/>
  <c r="M29" i="98" s="1"/>
  <c r="M30" i="98" s="1"/>
  <c r="M31" i="98" s="1"/>
  <c r="M32" i="98" s="1"/>
  <c r="M33" i="98" s="1"/>
  <c r="M28" i="89"/>
  <c r="M29" i="89" s="1"/>
  <c r="M30" i="89" s="1"/>
  <c r="M31" i="89" s="1"/>
  <c r="M32" i="89" s="1"/>
  <c r="M33" i="89" s="1"/>
  <c r="M34" i="89" s="1"/>
  <c r="K46" i="95"/>
  <c r="M4" i="95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K36" i="93"/>
  <c r="M4" i="93"/>
  <c r="M5" i="93" s="1"/>
  <c r="M6" i="93" s="1"/>
  <c r="M7" i="93" s="1"/>
  <c r="M8" i="93" s="1"/>
  <c r="M9" i="93" s="1"/>
  <c r="M10" i="93" s="1"/>
  <c r="M11" i="93" s="1"/>
  <c r="M12" i="93" s="1"/>
  <c r="H7" i="56"/>
  <c r="K7" i="56" s="1"/>
  <c r="K47" i="56"/>
  <c r="M9" i="1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K56" i="85"/>
  <c r="M4" i="85"/>
  <c r="K35" i="83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G56" i="56"/>
  <c r="H2" i="56"/>
  <c r="K48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15" i="81" s="1"/>
  <c r="K40" i="80"/>
  <c r="M4" i="80"/>
  <c r="M11" i="80" s="1"/>
  <c r="M12" i="80" s="1"/>
  <c r="M13" i="80" s="1"/>
  <c r="M14" i="80" s="1"/>
  <c r="M15" i="80" s="1"/>
  <c r="M16" i="80" s="1"/>
  <c r="K35" i="79"/>
  <c r="M4" i="79"/>
  <c r="M5" i="79" s="1"/>
  <c r="M6" i="79" s="1"/>
  <c r="M7" i="79" s="1"/>
  <c r="M8" i="79" s="1"/>
  <c r="M9" i="79" s="1"/>
  <c r="M10" i="79" s="1"/>
  <c r="M11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4" i="76" s="1"/>
  <c r="M15" i="76" s="1"/>
  <c r="M16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K42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N30" i="75" s="1"/>
  <c r="M28" i="75" s="1"/>
  <c r="M29" i="75" s="1"/>
  <c r="M30" i="75" s="1"/>
  <c r="M31" i="75" s="1"/>
  <c r="M32" i="75" s="1"/>
  <c r="M33" i="75" s="1"/>
  <c r="M34" i="75" s="1"/>
  <c r="M35" i="75" s="1"/>
  <c r="M36" i="75" s="1"/>
  <c r="M37" i="75" s="1"/>
  <c r="M38" i="75" s="1"/>
  <c r="M39" i="75" s="1"/>
  <c r="M40" i="75" s="1"/>
  <c r="K35" i="74"/>
  <c r="L4" i="74"/>
  <c r="L35" i="74" s="1"/>
  <c r="J29" i="56" s="1"/>
  <c r="K29" i="56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8" i="73"/>
  <c r="L4" i="73"/>
  <c r="L38" i="73" s="1"/>
  <c r="J27" i="56" s="1"/>
  <c r="K27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5" i="24"/>
  <c r="M6" i="24" s="1"/>
  <c r="M7" i="24" s="1"/>
  <c r="M8" i="24" s="1"/>
  <c r="M9" i="24" s="1"/>
  <c r="M10" i="24" s="1"/>
  <c r="M11" i="24" s="1"/>
  <c r="M12" i="24" s="1"/>
  <c r="M13" i="24" s="1"/>
  <c r="M14" i="24" s="1"/>
  <c r="M15" i="24" s="1"/>
  <c r="M16" i="24" s="1"/>
  <c r="M17" i="24" s="1"/>
  <c r="M18" i="24" s="1"/>
  <c r="M19" i="24" s="1"/>
  <c r="M20" i="24" s="1"/>
  <c r="M21" i="24" s="1"/>
  <c r="M22" i="24" s="1"/>
  <c r="K3" i="56"/>
  <c r="K37" i="71"/>
  <c r="L4" i="71"/>
  <c r="L37" i="71" s="1"/>
  <c r="J12" i="56" s="1"/>
  <c r="K12" i="56" s="1"/>
  <c r="G50" i="69"/>
  <c r="E51" i="56" s="1"/>
  <c r="K50" i="69"/>
  <c r="H51" i="56" s="1"/>
  <c r="M4" i="69"/>
  <c r="M5" i="69" s="1"/>
  <c r="M6" i="69" s="1"/>
  <c r="M7" i="69" s="1"/>
  <c r="M8" i="69" s="1"/>
  <c r="M9" i="69" s="1"/>
  <c r="K38" i="68"/>
  <c r="L38" i="68"/>
  <c r="J26" i="56" s="1"/>
  <c r="M4" i="68"/>
  <c r="M5" i="68" s="1"/>
  <c r="M6" i="68" s="1"/>
  <c r="M7" i="68" s="1"/>
  <c r="M8" i="68" s="1"/>
  <c r="M9" i="68" s="1"/>
  <c r="K41" i="25"/>
  <c r="H49" i="56"/>
  <c r="K49" i="56" s="1"/>
  <c r="H24" i="56"/>
  <c r="K24" i="56" s="1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E23" i="56"/>
  <c r="H23" i="56" s="1"/>
  <c r="K23" i="56" s="1"/>
  <c r="K35" i="63"/>
  <c r="L35" i="63"/>
  <c r="J28" i="56" s="1"/>
  <c r="K28" i="56" s="1"/>
  <c r="M4" i="63"/>
  <c r="M5" i="63" s="1"/>
  <c r="M6" i="63" s="1"/>
  <c r="K39" i="62"/>
  <c r="M4" i="62"/>
  <c r="L43" i="51"/>
  <c r="M5" i="51"/>
  <c r="M6" i="51" s="1"/>
  <c r="M7" i="51" s="1"/>
  <c r="M8" i="51" s="1"/>
  <c r="M9" i="51" s="1"/>
  <c r="M10" i="51" s="1"/>
  <c r="M11" i="51" s="1"/>
  <c r="M12" i="51" s="1"/>
  <c r="M13" i="51" s="1"/>
  <c r="M14" i="51" s="1"/>
  <c r="M15" i="51" s="1"/>
  <c r="K48" i="56"/>
  <c r="K43" i="56"/>
  <c r="K35" i="60"/>
  <c r="K48" i="26"/>
  <c r="K35" i="33"/>
  <c r="K35" i="9"/>
  <c r="M4" i="9"/>
  <c r="M24" i="14"/>
  <c r="M25" i="14" s="1"/>
  <c r="M26" i="14" s="1"/>
  <c r="M27" i="14" s="1"/>
  <c r="M28" i="14" s="1"/>
  <c r="M29" i="14" s="1"/>
  <c r="M30" i="14" s="1"/>
  <c r="E22" i="56"/>
  <c r="E56" i="56" s="1"/>
  <c r="M16" i="12"/>
  <c r="M17" i="12" s="1"/>
  <c r="M18" i="12" s="1"/>
  <c r="M19" i="12" s="1"/>
  <c r="M20" i="12" s="1"/>
  <c r="M21" i="12" s="1"/>
  <c r="M22" i="12" s="1"/>
  <c r="M4" i="41"/>
  <c r="K42" i="41"/>
  <c r="M4" i="16"/>
  <c r="K38" i="16"/>
  <c r="K54" i="56"/>
  <c r="K35" i="58"/>
  <c r="L4" i="58"/>
  <c r="L35" i="58" s="1"/>
  <c r="J11" i="56" s="1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2" i="56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4" i="50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K43" i="35"/>
  <c r="L43" i="35"/>
  <c r="J52" i="56" s="1"/>
  <c r="K52" i="56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K26" i="56"/>
  <c r="M25" i="73" l="1"/>
  <c r="M26" i="73" s="1"/>
  <c r="M27" i="73" s="1"/>
  <c r="M16" i="8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3" i="81" s="1"/>
  <c r="M34" i="81" s="1"/>
  <c r="M35" i="81" s="1"/>
  <c r="M36" i="81" s="1"/>
  <c r="M37" i="81" s="1"/>
  <c r="M38" i="81" s="1"/>
  <c r="M39" i="81" s="1"/>
  <c r="M40" i="81" s="1"/>
  <c r="M13" i="106"/>
  <c r="M14" i="106" s="1"/>
  <c r="M15" i="106" s="1"/>
  <c r="M16" i="106" s="1"/>
  <c r="M17" i="106" s="1"/>
  <c r="M18" i="106" s="1"/>
  <c r="M20" i="106" s="1"/>
  <c r="M21" i="106" s="1"/>
  <c r="M22" i="106" s="1"/>
  <c r="M23" i="106" s="1"/>
  <c r="M24" i="106" s="1"/>
  <c r="M23" i="101"/>
  <c r="M24" i="101" s="1"/>
  <c r="M25" i="101" s="1"/>
  <c r="M26" i="101" s="1"/>
  <c r="M27" i="101" s="1"/>
  <c r="M28" i="101" s="1"/>
  <c r="M29" i="101" s="1"/>
  <c r="M30" i="101" s="1"/>
  <c r="M31" i="101" s="1"/>
  <c r="M35" i="76"/>
  <c r="M36" i="76" s="1"/>
  <c r="L37" i="104"/>
  <c r="J17" i="56" s="1"/>
  <c r="M21" i="26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21" i="100"/>
  <c r="M22" i="100" s="1"/>
  <c r="M23" i="100" s="1"/>
  <c r="M24" i="100" s="1"/>
  <c r="M25" i="100" s="1"/>
  <c r="M26" i="100" s="1"/>
  <c r="M27" i="100" s="1"/>
  <c r="M28" i="100" s="1"/>
  <c r="M29" i="100" s="1"/>
  <c r="M19" i="83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16" i="99"/>
  <c r="M17" i="99" s="1"/>
  <c r="M18" i="99" s="1"/>
  <c r="M19" i="99" s="1"/>
  <c r="M20" i="99" s="1"/>
  <c r="M21" i="99" s="1"/>
  <c r="M22" i="99" s="1"/>
  <c r="M5" i="62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M36" i="62" s="1"/>
  <c r="M37" i="62" s="1"/>
  <c r="M38" i="62" s="1"/>
  <c r="M13" i="93"/>
  <c r="M14" i="93" s="1"/>
  <c r="M15" i="93" s="1"/>
  <c r="M16" i="93" s="1"/>
  <c r="M17" i="93" s="1"/>
  <c r="M18" i="93" s="1"/>
  <c r="M19" i="93" s="1"/>
  <c r="M20" i="93" s="1"/>
  <c r="M21" i="93" s="1"/>
  <c r="M22" i="93" s="1"/>
  <c r="M23" i="93" s="1"/>
  <c r="M24" i="93" s="1"/>
  <c r="M25" i="93" s="1"/>
  <c r="M26" i="93" s="1"/>
  <c r="M27" i="93" s="1"/>
  <c r="M28" i="93" s="1"/>
  <c r="M29" i="93" s="1"/>
  <c r="M30" i="93" s="1"/>
  <c r="M31" i="93" s="1"/>
  <c r="M32" i="93" s="1"/>
  <c r="M33" i="93" s="1"/>
  <c r="M34" i="93" s="1"/>
  <c r="M6" i="103"/>
  <c r="M7" i="103" s="1"/>
  <c r="M8" i="103" s="1"/>
  <c r="M9" i="103" s="1"/>
  <c r="M10" i="103" s="1"/>
  <c r="M11" i="103" s="1"/>
  <c r="M12" i="103" s="1"/>
  <c r="M13" i="103" s="1"/>
  <c r="M14" i="103" s="1"/>
  <c r="M15" i="103" s="1"/>
  <c r="M16" i="103" s="1"/>
  <c r="M17" i="103" s="1"/>
  <c r="M18" i="103" s="1"/>
  <c r="M19" i="103" s="1"/>
  <c r="M20" i="103" s="1"/>
  <c r="M21" i="103" s="1"/>
  <c r="M22" i="103" s="1"/>
  <c r="M23" i="103" s="1"/>
  <c r="M24" i="103" s="1"/>
  <c r="M25" i="103" s="1"/>
  <c r="M26" i="103" s="1"/>
  <c r="M27" i="103" s="1"/>
  <c r="M28" i="103" s="1"/>
  <c r="M29" i="103" s="1"/>
  <c r="M30" i="103" s="1"/>
  <c r="M31" i="103" s="1"/>
  <c r="M32" i="103" s="1"/>
  <c r="M33" i="103" s="1"/>
  <c r="M34" i="103" s="1"/>
  <c r="M35" i="103" s="1"/>
  <c r="M36" i="103" s="1"/>
  <c r="M37" i="103" s="1"/>
  <c r="M38" i="103" s="1"/>
  <c r="M5" i="103"/>
  <c r="M5" i="41"/>
  <c r="M6" i="41" s="1"/>
  <c r="M7" i="41" s="1"/>
  <c r="M8" i="41" s="1"/>
  <c r="M9" i="41" s="1"/>
  <c r="M23" i="99"/>
  <c r="M24" i="99" s="1"/>
  <c r="M25" i="99" s="1"/>
  <c r="M26" i="99" s="1"/>
  <c r="M27" i="99" s="1"/>
  <c r="M28" i="99" s="1"/>
  <c r="M29" i="99" s="1"/>
  <c r="M30" i="99" s="1"/>
  <c r="M31" i="99" s="1"/>
  <c r="M32" i="99" s="1"/>
  <c r="M33" i="99" s="1"/>
  <c r="M34" i="99" s="1"/>
  <c r="M35" i="99" s="1"/>
  <c r="M36" i="99" s="1"/>
  <c r="M37" i="99" s="1"/>
  <c r="M38" i="99" s="1"/>
  <c r="H56" i="56"/>
  <c r="M25" i="11"/>
  <c r="M26" i="11" s="1"/>
  <c r="M23" i="12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M35" i="12" s="1"/>
  <c r="M7" i="63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M17" i="80"/>
  <c r="M18" i="80" s="1"/>
  <c r="M19" i="80" s="1"/>
  <c r="M20" i="80" s="1"/>
  <c r="M21" i="80" s="1"/>
  <c r="M22" i="80" s="1"/>
  <c r="M28" i="95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27" i="95"/>
  <c r="M5" i="85"/>
  <c r="M6" i="85" s="1"/>
  <c r="M7" i="85" s="1"/>
  <c r="M8" i="85" s="1"/>
  <c r="M9" i="85" s="1"/>
  <c r="M12" i="79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M10" i="68"/>
  <c r="M11" i="68" s="1"/>
  <c r="M12" i="68" s="1"/>
  <c r="M13" i="68" s="1"/>
  <c r="M14" i="68" s="1"/>
  <c r="M15" i="68" s="1"/>
  <c r="M16" i="68" s="1"/>
  <c r="M17" i="68" s="1"/>
  <c r="M18" i="68" s="1"/>
  <c r="M19" i="68" s="1"/>
  <c r="M32" i="16"/>
  <c r="M33" i="16" s="1"/>
  <c r="M34" i="16" s="1"/>
  <c r="M35" i="16" s="1"/>
  <c r="M36" i="16" s="1"/>
  <c r="M37" i="16" s="1"/>
  <c r="M10" i="85"/>
  <c r="M11" i="85" s="1"/>
  <c r="M12" i="85" s="1"/>
  <c r="M13" i="85" s="1"/>
  <c r="M14" i="85" s="1"/>
  <c r="J53" i="56"/>
  <c r="K53" i="56" s="1"/>
  <c r="M10" i="69"/>
  <c r="M11" i="69" s="1"/>
  <c r="M12" i="69" s="1"/>
  <c r="M13" i="69" s="1"/>
  <c r="M14" i="69" s="1"/>
  <c r="M15" i="69" s="1"/>
  <c r="M16" i="69" s="1"/>
  <c r="M17" i="69" s="1"/>
  <c r="C65" i="56" a="1"/>
  <c r="C65" i="56" s="1"/>
  <c r="M31" i="14"/>
  <c r="M32" i="14" s="1"/>
  <c r="M33" i="14" s="1"/>
  <c r="M34" i="14" s="1"/>
  <c r="M35" i="14" s="1"/>
  <c r="M36" i="14" s="1"/>
  <c r="M37" i="14" s="1"/>
  <c r="M38" i="14" s="1"/>
  <c r="M39" i="14" s="1"/>
  <c r="M40" i="14" s="1"/>
  <c r="M41" i="14" s="1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L41" i="25"/>
  <c r="J36" i="56" s="1"/>
  <c r="L35" i="60"/>
  <c r="J45" i="56" s="1"/>
  <c r="K45" i="56" s="1"/>
  <c r="M4" i="60"/>
  <c r="L35" i="33"/>
  <c r="J50" i="56" s="1"/>
  <c r="M4" i="33"/>
  <c r="K11" i="56"/>
  <c r="M5" i="50"/>
  <c r="M6" i="50" s="1"/>
  <c r="M7" i="50" s="1"/>
  <c r="M8" i="50" s="1"/>
  <c r="M9" i="50" s="1"/>
  <c r="M13" i="9"/>
  <c r="M14" i="9" s="1"/>
  <c r="M25" i="106" l="1"/>
  <c r="M26" i="106" s="1"/>
  <c r="M27" i="106" s="1"/>
  <c r="M28" i="106" s="1"/>
  <c r="M29" i="106" s="1"/>
  <c r="M30" i="106" s="1"/>
  <c r="M31" i="106" s="1"/>
  <c r="M32" i="106" s="1"/>
  <c r="M33" i="106" s="1"/>
  <c r="M34" i="106" s="1"/>
  <c r="M35" i="106" s="1"/>
  <c r="M36" i="106" s="1"/>
  <c r="M28" i="73"/>
  <c r="M29" i="73" s="1"/>
  <c r="M30" i="73" s="1"/>
  <c r="M31" i="73" s="1"/>
  <c r="M32" i="73" s="1"/>
  <c r="M32" i="101"/>
  <c r="M33" i="101" s="1"/>
  <c r="M34" i="101" s="1"/>
  <c r="M35" i="101" s="1"/>
  <c r="M36" i="101" s="1"/>
  <c r="M37" i="101" s="1"/>
  <c r="M15" i="85"/>
  <c r="M16" i="85" s="1"/>
  <c r="M17" i="85" s="1"/>
  <c r="M18" i="85" s="1"/>
  <c r="M19" i="85" s="1"/>
  <c r="M20" i="85" s="1"/>
  <c r="M21" i="85" s="1"/>
  <c r="M22" i="85" s="1"/>
  <c r="K17" i="56"/>
  <c r="J56" i="56"/>
  <c r="M37" i="26"/>
  <c r="M38" i="26" s="1"/>
  <c r="M39" i="26" s="1"/>
  <c r="M40" i="26" s="1"/>
  <c r="M41" i="26" s="1"/>
  <c r="M42" i="26" s="1"/>
  <c r="M43" i="26" s="1"/>
  <c r="M44" i="26" s="1"/>
  <c r="M45" i="26" s="1"/>
  <c r="M46" i="26" s="1"/>
  <c r="M47" i="26" s="1"/>
  <c r="M18" i="69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4" i="83"/>
  <c r="M33" i="83"/>
  <c r="M10" i="41"/>
  <c r="M11" i="41" s="1"/>
  <c r="M12" i="41" s="1"/>
  <c r="M13" i="41" s="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41" i="75"/>
  <c r="M23" i="85"/>
  <c r="M24" i="85" s="1"/>
  <c r="M25" i="85" s="1"/>
  <c r="M26" i="85" s="1"/>
  <c r="M27" i="85" s="1"/>
  <c r="M28" i="85" s="1"/>
  <c r="M29" i="85" s="1"/>
  <c r="M30" i="85" s="1"/>
  <c r="M31" i="85" s="1"/>
  <c r="M32" i="85" s="1"/>
  <c r="M33" i="85" s="1"/>
  <c r="M34" i="85" s="1"/>
  <c r="M35" i="85" s="1"/>
  <c r="M36" i="85" s="1"/>
  <c r="M37" i="85" s="1"/>
  <c r="M38" i="85" s="1"/>
  <c r="M39" i="85" s="1"/>
  <c r="M40" i="85" s="1"/>
  <c r="M41" i="85" s="1"/>
  <c r="M42" i="85" s="1"/>
  <c r="M43" i="85" s="1"/>
  <c r="M44" i="85" s="1"/>
  <c r="M45" i="85" s="1"/>
  <c r="M46" i="85" s="1"/>
  <c r="M47" i="85" s="1"/>
  <c r="M48" i="85" s="1"/>
  <c r="M49" i="85" s="1"/>
  <c r="M50" i="85" s="1"/>
  <c r="M51" i="85" s="1"/>
  <c r="M52" i="85" s="1"/>
  <c r="M53" i="85" s="1"/>
  <c r="M54" i="85" s="1"/>
  <c r="M55" i="85" s="1"/>
  <c r="M20" i="68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M34" i="68" s="1"/>
  <c r="M35" i="68" s="1"/>
  <c r="M27" i="11"/>
  <c r="M28" i="11" s="1"/>
  <c r="M29" i="11" s="1"/>
  <c r="M30" i="11" s="1"/>
  <c r="M31" i="11" s="1"/>
  <c r="M32" i="11" s="1"/>
  <c r="M33" i="11" s="1"/>
  <c r="M34" i="11" s="1"/>
  <c r="M35" i="11" s="1"/>
  <c r="M36" i="11" s="1"/>
  <c r="M23" i="80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M37" i="80" s="1"/>
  <c r="M38" i="80" s="1"/>
  <c r="M39" i="80" s="1"/>
  <c r="M10" i="50"/>
  <c r="M11" i="50" s="1"/>
  <c r="M12" i="50" s="1"/>
  <c r="M13" i="50" s="1"/>
  <c r="M30" i="41"/>
  <c r="M31" i="41" s="1"/>
  <c r="M32" i="41" s="1"/>
  <c r="M33" i="41" s="1"/>
  <c r="M34" i="41" s="1"/>
  <c r="M35" i="41" s="1"/>
  <c r="M36" i="41" s="1"/>
  <c r="M37" i="41" s="1"/>
  <c r="M38" i="41" s="1"/>
  <c r="M39" i="41" s="1"/>
  <c r="M40" i="41" s="1"/>
  <c r="M41" i="41" s="1"/>
  <c r="M32" i="69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M48" i="69" s="1"/>
  <c r="M49" i="69" s="1"/>
  <c r="K51" i="56" s="1"/>
  <c r="M16" i="51"/>
  <c r="M17" i="51" s="1"/>
  <c r="M18" i="51" s="1"/>
  <c r="M19" i="51" s="1"/>
  <c r="M20" i="51" s="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5" i="60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M15" i="9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K36" i="56"/>
  <c r="K50" i="56"/>
  <c r="B62" i="56" a="1"/>
  <c r="B62" i="56" s="1"/>
  <c r="M32" i="51"/>
  <c r="M33" i="51" s="1"/>
  <c r="M34" i="51" s="1"/>
  <c r="M35" i="51" s="1"/>
  <c r="M36" i="51" s="1"/>
  <c r="M37" i="51" s="1"/>
  <c r="M38" i="51" s="1"/>
  <c r="M39" i="51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28" i="9"/>
  <c r="M29" i="9" s="1"/>
  <c r="M30" i="9" s="1"/>
  <c r="M31" i="9" s="1"/>
  <c r="M32" i="9" s="1"/>
  <c r="M33" i="9" s="1"/>
  <c r="M34" i="9" s="1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l="1"/>
  <c r="M33" i="33" s="1"/>
  <c r="M34" i="33" s="1"/>
  <c r="M19" i="50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31" i="50" s="1"/>
  <c r="M32" i="50" s="1"/>
  <c r="P44" i="44"/>
  <c r="K56" i="56"/>
  <c r="K58" i="56" s="1"/>
  <c r="M33" i="50"/>
  <c r="M34" i="50" s="1"/>
  <c r="M19" i="35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94" i="44" l="1"/>
  <c r="M95" i="44" s="1"/>
  <c r="M96" i="44" s="1"/>
  <c r="M97" i="44" s="1"/>
  <c r="O46" i="44"/>
  <c r="M47" i="81"/>
  <c r="P46" i="81"/>
  <c r="M98" i="44" l="1"/>
  <c r="O97" i="44"/>
  <c r="M23" i="24" l="1"/>
  <c r="M24" i="24" l="1"/>
  <c r="M25" i="24" s="1"/>
  <c r="M26" i="24" s="1"/>
  <c r="M27" i="24" s="1"/>
  <c r="M28" i="24" s="1"/>
  <c r="M29" i="24" s="1"/>
  <c r="M30" i="24" s="1"/>
  <c r="M31" i="24" s="1"/>
  <c r="M32" i="24" l="1"/>
  <c r="M33" i="24" l="1"/>
  <c r="M34" i="24" s="1"/>
  <c r="M35" i="24"/>
  <c r="K30" i="5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MIS</author>
    <author>tc={AA23B43B-E1C2-4CCD-B489-88EE76E70833}</author>
  </authors>
  <commentList>
    <comment ref="L13" authorId="0" shapeId="0" xr:uid="{57909647-A7D4-4901-80B4-34505433C57D}">
      <text>
        <r>
          <rPr>
            <sz val="11"/>
            <color theme="1"/>
            <rFont val="Calibri"/>
            <family val="2"/>
            <scheme val="minor"/>
          </rPr>
          <t xml:space="preserve">MIS:
Redeem Cash
</t>
        </r>
      </text>
    </comment>
    <comment ref="H17" authorId="1" shapeId="0" xr:uid="{AA23B43B-E1C2-4CCD-B489-88EE76E708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received Diesel
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<sst xmlns="http://schemas.openxmlformats.org/spreadsheetml/2006/main" count="1585" uniqueCount="336">
  <si>
    <t>S.No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</si>
  <si>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</si>
  <si>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</si>
  <si>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</si>
  <si>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</si>
  <si>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</si>
  <si>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</si>
  <si>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</si>
  <si>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</si>
  <si>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</si>
  <si>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</si>
  <si>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</si>
  <si>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</si>
  <si>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</si>
  <si>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</si>
  <si>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</si>
  <si>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</si>
  <si>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</si>
  <si>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</si>
  <si>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</si>
  <si>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</si>
  <si>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</si>
  <si>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</si>
  <si>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</si>
  <si>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</si>
  <si>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</si>
  <si>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</si>
  <si>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</si>
  <si>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</si>
  <si>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</si>
  <si>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</si>
  <si>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</si>
  <si>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</si>
  <si>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</si>
  <si>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</si>
  <si>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</si>
  <si>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Total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</si>
  <si>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</si>
  <si>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</si>
  <si>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</si>
  <si>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</si>
  <si>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</si>
  <si>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</si>
  <si>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</si>
  <si>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</si>
  <si>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</si>
  <si>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</si>
  <si>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</si>
  <si>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</si>
  <si>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</si>
  <si>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</si>
  <si>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</si>
  <si>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</si>
  <si>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</si>
  <si>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</si>
  <si>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</si>
  <si>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</si>
  <si>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</si>
  <si>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</si>
  <si>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</si>
  <si>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</si>
  <si>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</si>
  <si>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</si>
  <si>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</si>
  <si>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</si>
  <si>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</si>
  <si>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</si>
  <si>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</si>
  <si>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</si>
  <si>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</si>
  <si>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</t>
  </si>
  <si>
    <t>Sai Madeana Filling Station</t>
  </si>
  <si>
    <t>Vajra mahalakshmi filling station</t>
  </si>
  <si>
    <t>Khammam-Cash&amp;Carry</t>
  </si>
  <si>
    <t xml:space="preserve">NA </t>
  </si>
  <si>
    <t>Jadcherla-2</t>
  </si>
  <si>
    <t>Shree Poornima F/S</t>
  </si>
  <si>
    <t>Sangareddy-2</t>
  </si>
  <si>
    <t>Durga Bhavani F/S</t>
  </si>
  <si>
    <t>Sangareddy-3</t>
  </si>
  <si>
    <t xml:space="preserve">Shiva Parvathi Filling Station </t>
  </si>
  <si>
    <t>NarayanaKhed</t>
  </si>
  <si>
    <t xml:space="preserve">Sai Shiva Filling Station </t>
  </si>
  <si>
    <t>Dindi</t>
  </si>
  <si>
    <t>Akarapu Balakistamma Fillling</t>
  </si>
  <si>
    <t>Madanapalli</t>
  </si>
  <si>
    <t>NA</t>
  </si>
  <si>
    <t>Kakinada</t>
  </si>
  <si>
    <t>Raja Filling Station</t>
  </si>
  <si>
    <t>Kovvur</t>
  </si>
  <si>
    <t>Sri Venkateshwara Services</t>
  </si>
  <si>
    <t>Jangareddygudem</t>
  </si>
  <si>
    <t>Solasa Krishna Oil Company</t>
  </si>
  <si>
    <t xml:space="preserve">Amalapuram  </t>
  </si>
  <si>
    <t>Royal Fill 'N' Fly</t>
  </si>
  <si>
    <t>Yeleshwaram</t>
  </si>
  <si>
    <t>Sri sathya Filling Station</t>
  </si>
  <si>
    <t>Pitapuam</t>
  </si>
  <si>
    <t>Satya Siva Durga Agencies, Chebrolu</t>
  </si>
  <si>
    <t>Multiple bunks</t>
  </si>
  <si>
    <t>YG Gudda-2</t>
  </si>
  <si>
    <t>Pankaja HP Fuel Center</t>
  </si>
  <si>
    <t xml:space="preserve">One stop 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</si>
  <si>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</si>
  <si>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</si>
  <si>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</si>
  <si>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</si>
  <si>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</si>
  <si>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</si>
  <si>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</si>
  <si>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</si>
  <si>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</si>
  <si>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</si>
  <si>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</si>
  <si>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</si>
  <si>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</si>
  <si>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</si>
  <si>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</si>
  <si>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</si>
  <si>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</t>
  </si>
  <si>
    <t>Shre Shiva Petroleum</t>
  </si>
  <si>
    <t>Daneshwari Petroleum</t>
  </si>
  <si>
    <t>Ugar,Kudichi(PKG-3)</t>
  </si>
  <si>
    <t>Shiri Bhrhmanath Petrolium</t>
  </si>
  <si>
    <t>Shedbal</t>
  </si>
  <si>
    <t xml:space="preserve">Varad Petroluem </t>
  </si>
  <si>
    <t>Kabbur(PKG-3)</t>
  </si>
  <si>
    <t>Shri Jai Hanuman Petrolium</t>
  </si>
  <si>
    <t>Kumta (PKG-1)</t>
  </si>
  <si>
    <t xml:space="preserve">V.M.Mirjankar (Kumta) Bharat </t>
  </si>
  <si>
    <t>Jalgaon-2</t>
  </si>
  <si>
    <t>Nayara</t>
  </si>
  <si>
    <t>MKBD</t>
  </si>
  <si>
    <t>Shree Sai Samarth Petroleum</t>
  </si>
  <si>
    <t>Haveri</t>
  </si>
  <si>
    <t>M/s Magavi City Fuels</t>
  </si>
  <si>
    <t>Guttal-2</t>
  </si>
  <si>
    <t>Himagiri Petroleum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</si>
  <si>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</si>
  <si>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</si>
  <si>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</si>
  <si>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</si>
  <si>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</si>
  <si>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</si>
  <si>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</si>
  <si>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</si>
  <si>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</si>
  <si>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</si>
  <si>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Ghattaprabha</t>
  </si>
  <si>
    <t>Shri Deshpande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</si>
  <si>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</si>
  <si>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</si>
  <si>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</si>
  <si>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</si>
  <si>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</si>
  <si>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</si>
  <si>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</si>
  <si>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</si>
  <si>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</si>
  <si>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</si>
  <si>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</si>
  <si>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</si>
  <si>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</si>
  <si>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</si>
  <si>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</si>
  <si>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</si>
  <si>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</si>
  <si>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 xml:space="preserve"> 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</si>
  <si>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</si>
  <si>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</si>
  <si>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</si>
  <si>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</si>
  <si>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</si>
  <si>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</si>
  <si>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</si>
  <si>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</si>
  <si>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</si>
  <si>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</si>
  <si>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</si>
  <si>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</si>
  <si>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As 0n Date</t>
  </si>
  <si>
    <t>26-27/S1 (MP3 Grease)</t>
  </si>
  <si>
    <t xml:space="preserve"> Vajra mahalakshmi filling station</t>
  </si>
  <si>
    <t xml:space="preserve"> Cash &amp;Carry</t>
  </si>
  <si>
    <t>Ind no/Bill No</t>
  </si>
  <si>
    <t>As on Date</t>
  </si>
  <si>
    <t>SHIVA PARVATHI FILLING STATION SADASHIVPET</t>
  </si>
  <si>
    <t>BT</t>
  </si>
  <si>
    <t>HPCLCard</t>
  </si>
  <si>
    <t>HPCL Card</t>
  </si>
  <si>
    <t>BPCL</t>
  </si>
  <si>
    <t>GJN TRANSLINES</t>
  </si>
  <si>
    <t>CHITTOOR</t>
  </si>
  <si>
    <t>SRI BALAJI AGENCIES</t>
  </si>
  <si>
    <t>KAKINADA</t>
  </si>
  <si>
    <t>SRI MALLIDI VENKATA REDDY AGENCIES</t>
  </si>
  <si>
    <t>MANDAPETA</t>
  </si>
  <si>
    <t>SRI S.V.AGENCIES</t>
  </si>
  <si>
    <t>SAMARLAKOTA</t>
  </si>
  <si>
    <t>BP - KAKINADA</t>
  </si>
  <si>
    <t>SATYA SIVA DURGA AGENCIES</t>
  </si>
  <si>
    <t>CHEBROLU</t>
  </si>
  <si>
    <t>SATYA SIVA DURGA AGENCIES, CHEBROLU (BPCL)</t>
  </si>
  <si>
    <t>SRI SATYA FILLING STATION, YELESWARAM (BPCL)</t>
  </si>
  <si>
    <t>ROYAL FILL 'N' FLY, AMALAPURAM(HPCL)</t>
  </si>
  <si>
    <t>SOLASA KRISHNA OIL COMPANY</t>
  </si>
  <si>
    <t> </t>
  </si>
  <si>
    <t>One Stop</t>
  </si>
  <si>
    <t>Sree Veerabhadreshwara Service Station</t>
  </si>
  <si>
    <t>Molakamuru</t>
  </si>
  <si>
    <t>Shivaganga Service Station (BPCL)</t>
  </si>
  <si>
    <t>Cash</t>
  </si>
  <si>
    <t>Chellakere-PKG-09</t>
  </si>
  <si>
    <t>IOCL</t>
  </si>
  <si>
    <t>Date of payment</t>
  </si>
  <si>
    <t>Shiri Shiva Petroluem</t>
  </si>
  <si>
    <t>DANESHWARI  PETROLIUM(YERRAGATTI)</t>
  </si>
  <si>
    <t>VARAD PETROLEUM SHEDBAL</t>
  </si>
  <si>
    <t xml:space="preserve">V.M.MIRJANKAR (KUMTA) BHARAT </t>
  </si>
  <si>
    <t>Kumta</t>
  </si>
  <si>
    <t>V.M.Mirjankar</t>
  </si>
  <si>
    <t>Month</t>
  </si>
  <si>
    <t>Disel In Litters</t>
  </si>
  <si>
    <t>Petrol In Litters</t>
  </si>
  <si>
    <t>Feb'-26</t>
  </si>
  <si>
    <t>March'-26</t>
  </si>
  <si>
    <t>April'-26</t>
  </si>
  <si>
    <t>May'-26</t>
  </si>
  <si>
    <t xml:space="preserve"> Nayara</t>
  </si>
  <si>
    <t xml:space="preserve"> Magavi fuel F/S</t>
  </si>
  <si>
    <t>.</t>
  </si>
  <si>
    <t>raja bhakshi</t>
  </si>
  <si>
    <t>Shiva ganga</t>
  </si>
  <si>
    <t xml:space="preserve">  TR Associates</t>
  </si>
  <si>
    <t xml:space="preserve"> S R PATIL</t>
  </si>
  <si>
    <t>Talikote</t>
  </si>
  <si>
    <t>09.09.2026</t>
  </si>
  <si>
    <t>11.09.2026</t>
  </si>
  <si>
    <t>20.09.2026</t>
  </si>
  <si>
    <t>27.09.2026</t>
  </si>
  <si>
    <t>`</t>
  </si>
  <si>
    <t>BPCL Card Ledger</t>
  </si>
  <si>
    <t>Petrol Bunk Name</t>
  </si>
  <si>
    <t>Card No</t>
  </si>
  <si>
    <t>Recharge Amount</t>
  </si>
  <si>
    <t>Redeem</t>
  </si>
  <si>
    <t>BP- KOVVURU BHARAT PETROLEUM CORPN LTD.</t>
  </si>
  <si>
    <t>FC8000207659</t>
  </si>
  <si>
    <t>7,84,905.31</t>
  </si>
  <si>
    <t>DEVI VYSHNAVI FILLING STATION BHARAT PETROLEUM DEALERS</t>
  </si>
  <si>
    <t>MOTILAL RUPCHAND BHARAT PETROLEUM DEALERS</t>
  </si>
  <si>
    <t>SRI BHIMESWARA AGENCIES BHARAT PETROLEUM DEALERS</t>
  </si>
  <si>
    <t>BP-CHAKRADWARABANDHAM BHARAT PETROLEUM DEALERS</t>
  </si>
  <si>
    <t>BP-QUARRY MARKET BHARAT PETROLEUM DEALERS</t>
  </si>
  <si>
    <t>HITECH FILLING STATION BHARAT PETROLEUM DEALERS</t>
  </si>
  <si>
    <t>SHIVAGANGA SERVICE STATION BHARAT PETROLEUM DEALERS</t>
  </si>
  <si>
    <t>FC3450698863</t>
  </si>
  <si>
    <t>SOLASA KRISHNA OIL COMPANY BHARAT PETROLEUM DEALERS</t>
  </si>
  <si>
    <t>TS POLICE WELFARE SOCIETY-CYD- BHARAT PETROLEUM DEALERS</t>
  </si>
  <si>
    <t>VIJAYA BHARAT FUEL &amp; SERVICES BHARAT PETROLEUM DEALERS</t>
  </si>
  <si>
    <t>KILARAM BROTHERS BHARAT PETROLEUM DEALERS</t>
  </si>
  <si>
    <t>SRI BALAJI AGENCIES BHARAT PETROLEUM DEALERS</t>
  </si>
  <si>
    <t>SRI MALLIDI VENKATA REDDY AGEN BHARAT PETROLEUM DEALERS</t>
  </si>
  <si>
    <t>TIRUMALA AGENCIES BHARAT PETROLEUM DEALERS</t>
  </si>
  <si>
    <t>JAGALUR MAHALINGAPPA PETRO AGE BHARAT PETROLEUM DEALERS</t>
  </si>
  <si>
    <t>JUBILEE HILLS FILL. STN. BHARAT PETROLEUM DEALERS</t>
  </si>
  <si>
    <t>SREE SURYAPRAKASH SERVICE STAT BHARAT PETROLEUM DEALERS</t>
  </si>
  <si>
    <t>MAHADEVI FUELS BHARAT PETROLEUM DEALERS</t>
  </si>
  <si>
    <t>FC8000207650</t>
  </si>
  <si>
    <t>MUKHYAPRANA HERITAGE FUELS BHARAT PETROLEUM DEALERS</t>
  </si>
  <si>
    <t>SAKLASPUR ENTERPRISES BHARAT PETROLEUM DEALERS</t>
  </si>
  <si>
    <t>SHRI BRAHMANATH PETROLEUM BHARAT PETROLEUM DEALERS</t>
  </si>
  <si>
    <t>FC3450698868</t>
  </si>
  <si>
    <t>FEDERATION OF LORRY OWNERS ASS BHARAT PETROLEUM DEALERS</t>
  </si>
  <si>
    <t>RAJ PETROS BHARAT PETROLEUM DEALERS</t>
  </si>
  <si>
    <t>SANDHYA FUEL STATION BHARAT PETROLEUM DEALERS</t>
  </si>
  <si>
    <t>W SRINIVAS RAO &amp; SONS BHARAT PETROLEUM DEALERS</t>
  </si>
  <si>
    <t>RATHNA FUEL STATION BHARAT PETROLEUM DEALERS</t>
  </si>
  <si>
    <t>AKARAPU BALAKISTAMMA FILLLING BHARAT PETROLEUM DEALERS</t>
  </si>
  <si>
    <t>FC3450676134</t>
  </si>
  <si>
    <t>BP-RAJANAGARAM BHARAT PETROLEUM CORPORATION L</t>
  </si>
  <si>
    <t>FC3450698866</t>
  </si>
  <si>
    <t>THIRUMALA FUEL STATION BHARAT PETROLEUM DEALERS</t>
  </si>
  <si>
    <t>SAI SHIVA FILLING STATION BHARAT PETROLEUM DEALERS</t>
  </si>
  <si>
    <t>FC3450676135</t>
  </si>
  <si>
    <t>SRI VIJAYAKRISHNA FILLING STAT BHARAT PETROLEUM DEALERS</t>
  </si>
  <si>
    <t>S S FILLING STATION BHARAT PETROLEUM DEALERS</t>
  </si>
  <si>
    <t>AJITH PETROS BHARAT PETROLEUM DEALERS</t>
  </si>
  <si>
    <t>P.S.R.G FILLING STATION BHARAT PETROLEUM DEALERS</t>
  </si>
  <si>
    <t>V G SHETRU BHARAT PETROLEUM DEALERS</t>
  </si>
  <si>
    <t>FC3450698861</t>
  </si>
  <si>
    <t>SLN FUELS BHARAT PETROLEUM DEALERS</t>
  </si>
  <si>
    <t>RAGHURAM FUELS BHARAT PETROLEUM DEALERS</t>
  </si>
  <si>
    <t>CAPITAL FUELS BHARAT PETROLEUM DEALERS</t>
  </si>
  <si>
    <t>g</t>
  </si>
  <si>
    <t>HPCL Card Ledger</t>
  </si>
  <si>
    <t>02.08.2026</t>
  </si>
  <si>
    <t>Stambhadri Fuel Park</t>
  </si>
  <si>
    <t>8200079000522057</t>
  </si>
  <si>
    <t>03.08.2026</t>
  </si>
  <si>
    <t>Venkatadri fuel Point</t>
  </si>
  <si>
    <t>8200079005271461</t>
  </si>
  <si>
    <t>04.08.2026</t>
  </si>
  <si>
    <t>05.08.2026</t>
  </si>
  <si>
    <t>AJ PETROLINKS</t>
  </si>
  <si>
    <t>8200079004507062</t>
  </si>
  <si>
    <t>PANKAJA HP FUEL CENTRE</t>
  </si>
  <si>
    <t>8200079004507153</t>
  </si>
  <si>
    <t>06.08.2026</t>
  </si>
  <si>
    <t>07.08.2026</t>
  </si>
  <si>
    <t>08.08.2026</t>
  </si>
  <si>
    <t>10.08.2026</t>
  </si>
  <si>
    <t>11.08.2026</t>
  </si>
  <si>
    <t>TUMCOS FUEL STATION</t>
  </si>
  <si>
    <t>MSHSD SHRI HEMAGIRI PETROLEUM</t>
  </si>
  <si>
    <t>8200079004507121</t>
  </si>
  <si>
    <t>12.08.2026</t>
  </si>
  <si>
    <t>ROYAL FILL &amp;#x27;N&amp;#x27; FLY</t>
  </si>
  <si>
    <t>8200079005271395</t>
  </si>
  <si>
    <t>13.08.2026</t>
  </si>
  <si>
    <t>DIVYA LAXMI GANAPATHI AUTO SERVICES</t>
  </si>
  <si>
    <t>SHIVA OIL TRADERS</t>
  </si>
  <si>
    <t>8200079004507138</t>
  </si>
  <si>
    <t>VARAD PETROLEUM</t>
  </si>
  <si>
    <t>8200079004507071</t>
  </si>
  <si>
    <t>14.08.2026</t>
  </si>
  <si>
    <t>POORNIMA FILLING STATION</t>
  </si>
  <si>
    <t>8200079000522041</t>
  </si>
  <si>
    <t>SHRI SHIVA PETROLEUM</t>
  </si>
  <si>
    <t>8200079005271387</t>
  </si>
  <si>
    <t>19.08.2026</t>
  </si>
  <si>
    <t>20.08.2026</t>
  </si>
  <si>
    <t>21.08.2026</t>
  </si>
  <si>
    <t>22.08.2026</t>
  </si>
  <si>
    <t>24.08.2026</t>
  </si>
  <si>
    <t>26.08.2026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</si>
</sst>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  <numFmt numFmtId="172" formatCode="dd/mm/yyyy"/>
    <numFmt numFmtId="173" formatCode="[$-409]d\-mmm\-yyyy;@"/>
  </numFmts>
  <fonts count="4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11"/>
      <color theme="1"/>
      <name val="Cambria"/>
      <family val="1"/>
    </font>
    <font>
      <sz val="12"/>
      <color rgb="FF000000"/>
      <name val="Calibri"/>
      <scheme val="minor"/>
    </font>
    <font>
      <sz val="11"/>
      <color rgb="FF000000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  <charset val="134"/>
    </font>
    <font>
      <sz val="11"/>
      <color rgb="FF242424"/>
      <name val="Consolas"/>
      <family val="3"/>
    </font>
    <font>
      <sz val="12"/>
      <color theme="1"/>
      <name val="Calibri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</cellStyleXfs>
  <cellXfs count="637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4" fillId="0" borderId="0" xfId="0" applyFont="1"/>
    <xf numFmtId="0" fontId="4" fillId="0" borderId="5" xfId="0" applyFont="1" applyBorder="1"/>
    <xf numFmtId="164" fontId="4" fillId="0" borderId="2" xfId="1" applyFont="1" applyBorder="1" applyAlignment="1">
      <alignment horizontal="center" vertical="center"/>
    </xf>
    <xf numFmtId="164" fontId="4" fillId="0" borderId="5" xfId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center"/>
    </xf>
    <xf numFmtId="164" fontId="4" fillId="0" borderId="2" xfId="1" applyFont="1" applyBorder="1" applyAlignment="1">
      <alignment horizontal="center" vertical="top"/>
    </xf>
    <xf numFmtId="164" fontId="4" fillId="0" borderId="6" xfId="1" applyFont="1" applyBorder="1" applyAlignment="1">
      <alignment horizontal="center" vertical="top"/>
    </xf>
    <xf numFmtId="164" fontId="4" fillId="0" borderId="4" xfId="1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2" fontId="0" fillId="0" borderId="0" xfId="0" applyNumberFormat="1"/>
    <xf numFmtId="0" fontId="8" fillId="0" borderId="2" xfId="3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2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164" fontId="11" fillId="0" borderId="5" xfId="1" applyFont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1" fillId="0" borderId="0" xfId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4" fillId="0" borderId="5" xfId="1" applyFont="1" applyBorder="1" applyAlignment="1">
      <alignment vertical="center"/>
    </xf>
    <xf numFmtId="2" fontId="10" fillId="4" borderId="5" xfId="0" applyNumberFormat="1" applyFont="1" applyFill="1" applyBorder="1" applyAlignment="1">
      <alignment horizontal="center" vertical="center"/>
    </xf>
    <xf numFmtId="164" fontId="10" fillId="4" borderId="5" xfId="1" applyFont="1" applyFill="1" applyBorder="1" applyAlignment="1">
      <alignment horizontal="center" vertical="center"/>
    </xf>
    <xf numFmtId="0" fontId="6" fillId="0" borderId="5" xfId="0" applyFont="1" applyBorder="1"/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43" fontId="4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4" fontId="13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43" fontId="14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43" fontId="14" fillId="3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1" fillId="0" borderId="0" xfId="0" applyFont="1"/>
    <xf numFmtId="2" fontId="5" fillId="4" borderId="5" xfId="0" applyNumberFormat="1" applyFont="1" applyFill="1" applyBorder="1" applyAlignment="1">
      <alignment horizontal="center" vertical="center"/>
    </xf>
    <xf numFmtId="164" fontId="5" fillId="4" borderId="5" xfId="1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/>
    <xf numFmtId="0" fontId="4" fillId="0" borderId="5" xfId="0" applyFont="1" applyBorder="1" applyAlignment="1">
      <alignment vertical="center"/>
    </xf>
    <xf numFmtId="164" fontId="4" fillId="0" borderId="5" xfId="1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4" fillId="0" borderId="0" xfId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4" fillId="0" borderId="5" xfId="1" applyFont="1" applyBorder="1" applyAlignment="1">
      <alignment horizontal="center" indent="1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 wrapText="1"/>
    </xf>
    <xf numFmtId="43" fontId="14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 wrapText="1"/>
    </xf>
    <xf numFmtId="2" fontId="14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6" fillId="0" borderId="12" xfId="0" applyFont="1" applyBorder="1"/>
    <xf numFmtId="0" fontId="0" fillId="0" borderId="13" xfId="0" applyBorder="1"/>
    <xf numFmtId="0" fontId="18" fillId="0" borderId="5" xfId="0" applyFont="1" applyBorder="1"/>
    <xf numFmtId="2" fontId="18" fillId="0" borderId="5" xfId="0" applyNumberFormat="1" applyFont="1" applyBorder="1"/>
    <xf numFmtId="0" fontId="0" fillId="0" borderId="10" xfId="0" applyBorder="1"/>
    <xf numFmtId="0" fontId="14" fillId="3" borderId="14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12" fillId="3" borderId="5" xfId="0" applyFont="1" applyFill="1" applyBorder="1" applyAlignment="1">
      <alignment horizontal="center" vertical="center"/>
    </xf>
    <xf numFmtId="0" fontId="19" fillId="0" borderId="5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8" xfId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 wrapText="1"/>
    </xf>
    <xf numFmtId="43" fontId="12" fillId="3" borderId="6" xfId="0" applyNumberFormat="1" applyFont="1" applyFill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12" fillId="3" borderId="6" xfId="0" applyFont="1" applyFill="1" applyBorder="1" applyAlignment="1">
      <alignment horizontal="center" vertical="center"/>
    </xf>
    <xf numFmtId="43" fontId="12" fillId="3" borderId="6" xfId="0" applyNumberFormat="1" applyFont="1" applyFill="1" applyBorder="1" applyAlignment="1">
      <alignment horizontal="center" vertical="center"/>
    </xf>
    <xf numFmtId="43" fontId="12" fillId="3" borderId="1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13" fillId="0" borderId="7" xfId="3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4" fontId="7" fillId="0" borderId="12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 wrapText="1"/>
    </xf>
    <xf numFmtId="43" fontId="14" fillId="3" borderId="13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164" fontId="4" fillId="0" borderId="12" xfId="0" applyNumberFormat="1" applyFont="1" applyBorder="1" applyAlignment="1">
      <alignment vertical="center"/>
    </xf>
    <xf numFmtId="164" fontId="4" fillId="0" borderId="12" xfId="1" applyFont="1" applyBorder="1" applyAlignment="1">
      <alignment horizontal="center" vertical="top"/>
    </xf>
    <xf numFmtId="164" fontId="10" fillId="0" borderId="5" xfId="1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4" fillId="3" borderId="6" xfId="0" applyNumberFormat="1" applyFont="1" applyFill="1" applyBorder="1" applyAlignment="1">
      <alignment horizontal="center" vertical="center" wrapText="1"/>
    </xf>
    <xf numFmtId="43" fontId="14" fillId="3" borderId="6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horizontal="center" vertical="center"/>
    </xf>
    <xf numFmtId="164" fontId="4" fillId="0" borderId="7" xfId="1" applyFont="1" applyBorder="1" applyAlignment="1">
      <alignment horizontal="center" vertical="top"/>
    </xf>
    <xf numFmtId="43" fontId="14" fillId="3" borderId="17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 wrapText="1"/>
    </xf>
    <xf numFmtId="43" fontId="4" fillId="2" borderId="5" xfId="0" applyNumberFormat="1" applyFont="1" applyFill="1" applyBorder="1" applyAlignment="1">
      <alignment horizontal="center" vertical="center"/>
    </xf>
    <xf numFmtId="43" fontId="6" fillId="2" borderId="5" xfId="0" applyNumberFormat="1" applyFont="1" applyFill="1" applyBorder="1" applyAlignment="1">
      <alignment horizontal="center" vertical="center"/>
    </xf>
    <xf numFmtId="2" fontId="11" fillId="0" borderId="5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/>
    </xf>
    <xf numFmtId="2" fontId="4" fillId="0" borderId="12" xfId="0" applyNumberFormat="1" applyFont="1" applyBorder="1"/>
    <xf numFmtId="0" fontId="14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 wrapText="1"/>
    </xf>
    <xf numFmtId="43" fontId="14" fillId="2" borderId="5" xfId="0" applyNumberFormat="1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vertical="center"/>
    </xf>
    <xf numFmtId="2" fontId="5" fillId="4" borderId="12" xfId="0" applyNumberFormat="1" applyFont="1" applyFill="1" applyBorder="1" applyAlignment="1">
      <alignment horizontal="center" vertical="center"/>
    </xf>
    <xf numFmtId="164" fontId="5" fillId="4" borderId="12" xfId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right"/>
    </xf>
    <xf numFmtId="164" fontId="5" fillId="0" borderId="5" xfId="1" applyFont="1" applyBorder="1" applyAlignment="1">
      <alignment horizontal="center" vertical="center" indent="1"/>
    </xf>
    <xf numFmtId="0" fontId="6" fillId="0" borderId="5" xfId="0" applyFont="1" applyBorder="1" applyAlignment="1">
      <alignment vertical="center"/>
    </xf>
    <xf numFmtId="164" fontId="4" fillId="0" borderId="5" xfId="0" applyNumberFormat="1" applyFont="1" applyBorder="1" applyAlignment="1">
      <alignment horizontal="center" vertical="center"/>
    </xf>
    <xf numFmtId="43" fontId="12" fillId="3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/>
    <xf numFmtId="0" fontId="11" fillId="0" borderId="17" xfId="0" applyFont="1" applyBorder="1" applyAlignment="1">
      <alignment horizontal="center" vertical="center"/>
    </xf>
    <xf numFmtId="0" fontId="4" fillId="0" borderId="13" xfId="0" applyFont="1" applyBorder="1"/>
    <xf numFmtId="14" fontId="4" fillId="0" borderId="13" xfId="0" applyNumberFormat="1" applyFont="1" applyBorder="1" applyAlignment="1">
      <alignment horizontal="center"/>
    </xf>
    <xf numFmtId="2" fontId="4" fillId="0" borderId="13" xfId="0" applyNumberFormat="1" applyFont="1" applyBorder="1"/>
    <xf numFmtId="2" fontId="4" fillId="0" borderId="13" xfId="0" applyNumberFormat="1" applyFont="1" applyBorder="1" applyAlignment="1">
      <alignment horizontal="right"/>
    </xf>
    <xf numFmtId="43" fontId="6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4" fillId="3" borderId="13" xfId="0" applyNumberFormat="1" applyFont="1" applyFill="1" applyBorder="1" applyAlignment="1">
      <alignment horizontal="center" vertical="center"/>
    </xf>
    <xf numFmtId="0" fontId="4" fillId="0" borderId="5" xfId="1" applyNumberFormat="1" applyFont="1" applyBorder="1" applyAlignment="1">
      <alignment vertical="center"/>
    </xf>
    <xf numFmtId="0" fontId="4" fillId="0" borderId="11" xfId="0" applyFont="1" applyBorder="1"/>
    <xf numFmtId="2" fontId="5" fillId="0" borderId="0" xfId="0" applyNumberFormat="1" applyFont="1"/>
    <xf numFmtId="2" fontId="0" fillId="0" borderId="12" xfId="0" applyNumberFormat="1" applyBorder="1"/>
    <xf numFmtId="0" fontId="11" fillId="0" borderId="13" xfId="0" applyFont="1" applyBorder="1" applyAlignment="1">
      <alignment horizontal="center" vertical="center"/>
    </xf>
    <xf numFmtId="2" fontId="10" fillId="4" borderId="26" xfId="0" applyNumberFormat="1" applyFont="1" applyFill="1" applyBorder="1" applyAlignment="1">
      <alignment horizontal="center" vertical="center"/>
    </xf>
    <xf numFmtId="164" fontId="4" fillId="0" borderId="13" xfId="1" applyFont="1" applyBorder="1" applyAlignment="1">
      <alignment horizontal="center" vertical="center"/>
    </xf>
    <xf numFmtId="0" fontId="14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5" xfId="3" applyNumberFormat="1" applyFont="1" applyBorder="1" applyAlignment="1">
      <alignment vertical="center"/>
    </xf>
    <xf numFmtId="3" fontId="4" fillId="0" borderId="5" xfId="3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4" fillId="0" borderId="17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164" fontId="4" fillId="0" borderId="13" xfId="1" applyFont="1" applyBorder="1" applyAlignment="1">
      <alignment vertical="center"/>
    </xf>
    <xf numFmtId="164" fontId="4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horizontal="center"/>
    </xf>
    <xf numFmtId="164" fontId="11" fillId="0" borderId="10" xfId="1" applyFont="1" applyBorder="1" applyAlignment="1">
      <alignment horizontal="center" vertical="center"/>
    </xf>
    <xf numFmtId="164" fontId="11" fillId="0" borderId="11" xfId="1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right" vertical="center"/>
    </xf>
    <xf numFmtId="164" fontId="11" fillId="0" borderId="5" xfId="1" applyFont="1" applyBorder="1" applyAlignment="1">
      <alignment horizontal="left" vertical="top"/>
    </xf>
    <xf numFmtId="165" fontId="4" fillId="0" borderId="10" xfId="0" applyNumberFormat="1" applyFont="1" applyBorder="1" applyAlignment="1">
      <alignment horizontal="center"/>
    </xf>
    <xf numFmtId="164" fontId="10" fillId="0" borderId="13" xfId="1" applyFont="1" applyBorder="1" applyAlignment="1">
      <alignment horizontal="center" vertical="center"/>
    </xf>
    <xf numFmtId="0" fontId="11" fillId="0" borderId="13" xfId="0" applyFont="1" applyBorder="1"/>
    <xf numFmtId="2" fontId="10" fillId="4" borderId="12" xfId="0" applyNumberFormat="1" applyFont="1" applyFill="1" applyBorder="1" applyAlignment="1">
      <alignment horizontal="center" vertical="center"/>
    </xf>
    <xf numFmtId="164" fontId="10" fillId="4" borderId="12" xfId="1" applyFont="1" applyFill="1" applyBorder="1" applyAlignment="1">
      <alignment horizontal="center" vertical="center"/>
    </xf>
    <xf numFmtId="0" fontId="13" fillId="0" borderId="5" xfId="3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4" fillId="0" borderId="12" xfId="1" applyNumberFormat="1" applyFont="1" applyBorder="1" applyAlignment="1">
      <alignment vertical="center"/>
    </xf>
    <xf numFmtId="164" fontId="4" fillId="0" borderId="12" xfId="1" applyFont="1" applyBorder="1" applyAlignment="1">
      <alignment vertical="center"/>
    </xf>
    <xf numFmtId="2" fontId="0" fillId="0" borderId="13" xfId="0" applyNumberFormat="1" applyBorder="1"/>
    <xf numFmtId="2" fontId="14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4" fillId="2" borderId="13" xfId="0" applyFont="1" applyFill="1" applyBorder="1" applyAlignment="1">
      <alignment horizontal="center" vertical="center" wrapText="1"/>
    </xf>
    <xf numFmtId="164" fontId="11" fillId="0" borderId="12" xfId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0" fontId="0" fillId="0" borderId="21" xfId="0" applyBorder="1"/>
    <xf numFmtId="0" fontId="4" fillId="0" borderId="1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5" fontId="19" fillId="2" borderId="5" xfId="0" applyNumberFormat="1" applyFont="1" applyFill="1" applyBorder="1"/>
    <xf numFmtId="0" fontId="6" fillId="0" borderId="13" xfId="0" applyFont="1" applyBorder="1"/>
    <xf numFmtId="0" fontId="21" fillId="0" borderId="0" xfId="0" applyFont="1"/>
    <xf numFmtId="2" fontId="14" fillId="3" borderId="6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/>
    </xf>
    <xf numFmtId="0" fontId="18" fillId="0" borderId="13" xfId="0" applyFont="1" applyBorder="1"/>
    <xf numFmtId="2" fontId="10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4" fillId="2" borderId="5" xfId="1" applyFont="1" applyFill="1" applyBorder="1" applyAlignment="1">
      <alignment horizontal="center" vertical="center"/>
    </xf>
    <xf numFmtId="164" fontId="10" fillId="0" borderId="10" xfId="1" applyFont="1" applyBorder="1" applyAlignment="1">
      <alignment vertical="center"/>
    </xf>
    <xf numFmtId="0" fontId="0" fillId="0" borderId="11" xfId="0" applyBorder="1"/>
    <xf numFmtId="164" fontId="11" fillId="0" borderId="8" xfId="1" applyFont="1" applyBorder="1" applyAlignment="1">
      <alignment horizontal="center" vertical="center"/>
    </xf>
    <xf numFmtId="164" fontId="11" fillId="0" borderId="4" xfId="1" applyFont="1" applyBorder="1" applyAlignment="1">
      <alignment horizontal="center" vertical="center"/>
    </xf>
    <xf numFmtId="164" fontId="11" fillId="0" borderId="18" xfId="1" applyFont="1" applyBorder="1" applyAlignment="1">
      <alignment horizontal="center" vertical="center"/>
    </xf>
    <xf numFmtId="164" fontId="11" fillId="0" borderId="24" xfId="1" applyFont="1" applyBorder="1" applyAlignment="1">
      <alignment horizontal="center" vertical="center"/>
    </xf>
    <xf numFmtId="167" fontId="0" fillId="0" borderId="0" xfId="0" applyNumberFormat="1"/>
    <xf numFmtId="4" fontId="4" fillId="0" borderId="0" xfId="0" applyNumberFormat="1" applyFont="1" applyAlignment="1">
      <alignment vertical="center" wrapText="1"/>
    </xf>
    <xf numFmtId="43" fontId="4" fillId="0" borderId="0" xfId="0" applyNumberFormat="1" applyFont="1" applyAlignment="1">
      <alignment vertical="center"/>
    </xf>
    <xf numFmtId="4" fontId="0" fillId="0" borderId="0" xfId="0" applyNumberFormat="1"/>
    <xf numFmtId="168" fontId="4" fillId="0" borderId="2" xfId="1" applyNumberFormat="1" applyFont="1" applyBorder="1" applyAlignment="1">
      <alignment horizontal="center" vertical="top"/>
    </xf>
    <xf numFmtId="0" fontId="5" fillId="7" borderId="0" xfId="0" applyFont="1" applyFill="1" applyAlignment="1">
      <alignment vertical="center"/>
    </xf>
    <xf numFmtId="0" fontId="18" fillId="7" borderId="0" xfId="0" applyFont="1" applyFill="1"/>
    <xf numFmtId="0" fontId="0" fillId="0" borderId="12" xfId="0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2" fontId="4" fillId="0" borderId="5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14" fillId="3" borderId="6" xfId="0" applyFont="1" applyFill="1" applyBorder="1" applyAlignment="1">
      <alignment vertical="center" wrapText="1"/>
    </xf>
    <xf numFmtId="166" fontId="4" fillId="0" borderId="5" xfId="0" applyNumberFormat="1" applyFont="1" applyBorder="1"/>
    <xf numFmtId="164" fontId="5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4" fillId="0" borderId="11" xfId="0" applyFont="1" applyBorder="1" applyAlignment="1">
      <alignment horizontal="center" vertical="center"/>
    </xf>
    <xf numFmtId="164" fontId="20" fillId="0" borderId="32" xfId="1" applyFont="1" applyBorder="1" applyAlignment="1">
      <alignment horizontal="center"/>
    </xf>
    <xf numFmtId="1" fontId="4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9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4" fillId="0" borderId="5" xfId="0" applyNumberFormat="1" applyFont="1" applyBorder="1" applyAlignment="1">
      <alignment horizontal="center"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0" fontId="15" fillId="5" borderId="5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right" vertical="center" wrapText="1"/>
    </xf>
    <xf numFmtId="2" fontId="14" fillId="3" borderId="5" xfId="0" applyNumberFormat="1" applyFont="1" applyFill="1" applyBorder="1" applyAlignment="1">
      <alignment horizontal="right" vertical="center" wrapText="1"/>
    </xf>
    <xf numFmtId="0" fontId="14" fillId="3" borderId="5" xfId="0" applyFont="1" applyFill="1" applyBorder="1" applyAlignment="1">
      <alignment horizontal="right" vertical="center"/>
    </xf>
    <xf numFmtId="2" fontId="14" fillId="3" borderId="5" xfId="0" applyNumberFormat="1" applyFont="1" applyFill="1" applyBorder="1" applyAlignment="1">
      <alignment horizontal="right" vertical="center"/>
    </xf>
    <xf numFmtId="43" fontId="14" fillId="3" borderId="5" xfId="0" applyNumberFormat="1" applyFont="1" applyFill="1" applyBorder="1" applyAlignment="1">
      <alignment horizontal="right" vertical="center"/>
    </xf>
    <xf numFmtId="0" fontId="23" fillId="6" borderId="13" xfId="0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2" fontId="5" fillId="2" borderId="5" xfId="0" applyNumberFormat="1" applyFont="1" applyFill="1" applyBorder="1" applyAlignment="1">
      <alignment vertical="center"/>
    </xf>
    <xf numFmtId="43" fontId="6" fillId="2" borderId="12" xfId="0" applyNumberFormat="1" applyFont="1" applyFill="1" applyBorder="1" applyAlignment="1">
      <alignment horizontal="center" vertical="center"/>
    </xf>
    <xf numFmtId="164" fontId="29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6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0" fillId="0" borderId="0" xfId="0" applyNumberFormat="1" applyFont="1"/>
    <xf numFmtId="2" fontId="0" fillId="0" borderId="11" xfId="0" applyNumberFormat="1" applyBorder="1"/>
    <xf numFmtId="0" fontId="0" fillId="2" borderId="10" xfId="0" applyFill="1" applyBorder="1"/>
    <xf numFmtId="0" fontId="19" fillId="0" borderId="12" xfId="0" applyFont="1" applyBorder="1"/>
    <xf numFmtId="2" fontId="22" fillId="6" borderId="25" xfId="0" applyNumberFormat="1" applyFont="1" applyFill="1" applyBorder="1" applyAlignment="1">
      <alignment horizontal="right"/>
    </xf>
    <xf numFmtId="0" fontId="4" fillId="2" borderId="31" xfId="0" applyFont="1" applyFill="1" applyBorder="1"/>
    <xf numFmtId="0" fontId="19" fillId="0" borderId="11" xfId="0" applyFont="1" applyBorder="1"/>
    <xf numFmtId="0" fontId="19" fillId="2" borderId="13" xfId="0" applyFont="1" applyFill="1" applyBorder="1"/>
    <xf numFmtId="0" fontId="19" fillId="2" borderId="12" xfId="0" applyFont="1" applyFill="1" applyBorder="1"/>
    <xf numFmtId="166" fontId="29" fillId="0" borderId="5" xfId="0" applyNumberFormat="1" applyFont="1" applyBorder="1" applyAlignment="1">
      <alignment horizont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29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30" fillId="0" borderId="0" xfId="0" applyFont="1"/>
    <xf numFmtId="1" fontId="0" fillId="0" borderId="0" xfId="0" applyNumberFormat="1"/>
    <xf numFmtId="0" fontId="29" fillId="0" borderId="5" xfId="0" applyFont="1" applyBorder="1"/>
    <xf numFmtId="0" fontId="19" fillId="0" borderId="33" xfId="0" applyFont="1" applyBorder="1"/>
    <xf numFmtId="164" fontId="4" fillId="0" borderId="10" xfId="0" applyNumberFormat="1" applyFont="1" applyBorder="1" applyAlignment="1">
      <alignment vertical="center"/>
    </xf>
    <xf numFmtId="166" fontId="4" fillId="0" borderId="13" xfId="0" applyNumberFormat="1" applyFont="1" applyBorder="1"/>
    <xf numFmtId="164" fontId="4" fillId="0" borderId="13" xfId="1" applyFont="1" applyBorder="1" applyAlignment="1">
      <alignment horizontal="center" vertical="top"/>
    </xf>
    <xf numFmtId="164" fontId="11" fillId="2" borderId="5" xfId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/>
    </xf>
    <xf numFmtId="0" fontId="4" fillId="0" borderId="12" xfId="0" applyFont="1" applyBorder="1"/>
    <xf numFmtId="164" fontId="20" fillId="0" borderId="2" xfId="1" applyFont="1" applyBorder="1" applyAlignment="1">
      <alignment horizontal="center"/>
    </xf>
    <xf numFmtId="16" fontId="0" fillId="0" borderId="0" xfId="0" applyNumberFormat="1"/>
    <xf numFmtId="0" fontId="31" fillId="0" borderId="5" xfId="0" applyFont="1" applyBorder="1"/>
    <xf numFmtId="0" fontId="4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" fontId="0" fillId="0" borderId="5" xfId="0" applyNumberFormat="1" applyBorder="1"/>
    <xf numFmtId="171" fontId="0" fillId="0" borderId="0" xfId="0" applyNumberFormat="1"/>
    <xf numFmtId="1" fontId="27" fillId="2" borderId="13" xfId="0" applyNumberFormat="1" applyFont="1" applyFill="1" applyBorder="1"/>
    <xf numFmtId="0" fontId="15" fillId="5" borderId="9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" fontId="10" fillId="4" borderId="42" xfId="0" applyNumberFormat="1" applyFont="1" applyFill="1" applyBorder="1" applyAlignment="1">
      <alignment horizontal="center" vertical="center"/>
    </xf>
    <xf numFmtId="164" fontId="10" fillId="4" borderId="42" xfId="1" applyFont="1" applyFill="1" applyBorder="1" applyAlignment="1">
      <alignment horizontal="center" vertical="center"/>
    </xf>
    <xf numFmtId="164" fontId="10" fillId="4" borderId="43" xfId="1" applyFont="1" applyFill="1" applyBorder="1" applyAlignment="1">
      <alignment horizontal="center" vertical="center"/>
    </xf>
    <xf numFmtId="164" fontId="10" fillId="4" borderId="44" xfId="1" applyFont="1" applyFill="1" applyBorder="1" applyAlignment="1">
      <alignment horizontal="center" vertical="center"/>
    </xf>
    <xf numFmtId="164" fontId="11" fillId="0" borderId="0" xfId="1" applyFont="1" applyAlignment="1">
      <alignment horizontal="center" vertical="center"/>
    </xf>
    <xf numFmtId="0" fontId="18" fillId="0" borderId="0" xfId="0" applyFont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0" fillId="2" borderId="0" xfId="0" applyFill="1"/>
    <xf numFmtId="2" fontId="32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2" fillId="11" borderId="5" xfId="0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left" vertical="center" wrapText="1"/>
    </xf>
    <xf numFmtId="2" fontId="32" fillId="11" borderId="5" xfId="0" applyNumberFormat="1" applyFont="1" applyFill="1" applyBorder="1" applyAlignment="1">
      <alignment horizontal="center" vertical="center" wrapText="1"/>
    </xf>
    <xf numFmtId="2" fontId="32" fillId="11" borderId="5" xfId="0" applyNumberFormat="1" applyFont="1" applyFill="1" applyBorder="1" applyAlignment="1">
      <alignment horizontal="center" vertical="center"/>
    </xf>
    <xf numFmtId="14" fontId="32" fillId="11" borderId="5" xfId="0" applyNumberFormat="1" applyFont="1" applyFill="1" applyBorder="1" applyAlignment="1">
      <alignment horizontal="center" vertical="center"/>
    </xf>
    <xf numFmtId="0" fontId="32" fillId="2" borderId="5" xfId="0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left" vertical="center" wrapText="1"/>
    </xf>
    <xf numFmtId="2" fontId="32" fillId="2" borderId="5" xfId="0" applyNumberFormat="1" applyFont="1" applyFill="1" applyBorder="1" applyAlignment="1">
      <alignment horizontal="center" vertical="center" wrapText="1"/>
    </xf>
    <xf numFmtId="2" fontId="35" fillId="2" borderId="5" xfId="0" applyNumberFormat="1" applyFont="1" applyFill="1" applyBorder="1" applyAlignment="1">
      <alignment horizontal="center" vertical="center" wrapText="1"/>
    </xf>
    <xf numFmtId="14" fontId="32" fillId="2" borderId="5" xfId="0" applyNumberFormat="1" applyFont="1" applyFill="1" applyBorder="1" applyAlignment="1">
      <alignment horizontal="center" vertical="center"/>
    </xf>
    <xf numFmtId="0" fontId="34" fillId="7" borderId="5" xfId="0" applyFont="1" applyFill="1" applyBorder="1"/>
    <xf numFmtId="0" fontId="34" fillId="6" borderId="5" xfId="0" applyFont="1" applyFill="1" applyBorder="1"/>
    <xf numFmtId="171" fontId="19" fillId="0" borderId="5" xfId="0" applyNumberFormat="1" applyFont="1" applyBorder="1"/>
    <xf numFmtId="0" fontId="34" fillId="9" borderId="5" xfId="0" applyFont="1" applyFill="1" applyBorder="1"/>
    <xf numFmtId="4" fontId="0" fillId="0" borderId="5" xfId="0" applyNumberFormat="1" applyBorder="1" applyAlignment="1">
      <alignment horizontal="right"/>
    </xf>
    <xf numFmtId="0" fontId="36" fillId="0" borderId="5" xfId="0" applyFont="1" applyBorder="1"/>
    <xf numFmtId="171" fontId="6" fillId="0" borderId="12" xfId="0" applyNumberFormat="1" applyFont="1" applyBorder="1"/>
    <xf numFmtId="1" fontId="27" fillId="2" borderId="12" xfId="0" applyNumberFormat="1" applyFont="1" applyFill="1" applyBorder="1"/>
    <xf numFmtId="164" fontId="4" fillId="0" borderId="10" xfId="1" applyFont="1" applyBorder="1" applyAlignment="1">
      <alignment horizontal="center" vertical="top"/>
    </xf>
    <xf numFmtId="2" fontId="0" fillId="0" borderId="33" xfId="0" applyNumberFormat="1" applyBorder="1" applyAlignment="1">
      <alignment horizontal="right"/>
    </xf>
    <xf numFmtId="0" fontId="25" fillId="0" borderId="5" xfId="0" applyFont="1" applyBorder="1" applyAlignment="1">
      <alignment horizontal="center" vertical="center"/>
    </xf>
    <xf numFmtId="3" fontId="0" fillId="0" borderId="0" xfId="0" applyNumberFormat="1"/>
    <xf numFmtId="4" fontId="0" fillId="0" borderId="13" xfId="0" applyNumberFormat="1" applyBorder="1" applyAlignment="1">
      <alignment horizontal="right"/>
    </xf>
    <xf numFmtId="43" fontId="4" fillId="2" borderId="13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164" fontId="11" fillId="0" borderId="33" xfId="1" applyFont="1" applyBorder="1" applyAlignment="1">
      <alignment horizontal="center" vertical="center"/>
    </xf>
    <xf numFmtId="2" fontId="0" fillId="0" borderId="0" xfId="0" applyNumberFormat="1" applyAlignment="1">
      <alignment horizontal="right"/>
    </xf>
    <xf numFmtId="0" fontId="19" fillId="0" borderId="2" xfId="0" applyFont="1" applyBorder="1"/>
    <xf numFmtId="2" fontId="25" fillId="0" borderId="5" xfId="0" applyNumberFormat="1" applyFont="1" applyBorder="1" applyAlignment="1">
      <alignment horizontal="center"/>
    </xf>
    <xf numFmtId="0" fontId="19" fillId="0" borderId="0" xfId="0" applyFont="1"/>
    <xf numFmtId="166" fontId="4" fillId="0" borderId="5" xfId="0" applyNumberFormat="1" applyFont="1" applyBorder="1" applyAlignment="1">
      <alignment horizontal="right"/>
    </xf>
    <xf numFmtId="172" fontId="29" fillId="0" borderId="11" xfId="0" applyNumberFormat="1" applyFont="1" applyBorder="1" applyAlignment="1">
      <alignment horizontal="left" vertical="center" wrapText="1"/>
    </xf>
    <xf numFmtId="166" fontId="29" fillId="0" borderId="5" xfId="0" applyNumberFormat="1" applyFont="1" applyBorder="1" applyAlignment="1">
      <alignment horizontal="right" vertical="center"/>
    </xf>
    <xf numFmtId="164" fontId="29" fillId="0" borderId="5" xfId="1" applyFont="1" applyBorder="1" applyAlignment="1">
      <alignment horizontal="right" vertical="center"/>
    </xf>
    <xf numFmtId="0" fontId="0" fillId="2" borderId="5" xfId="0" applyFill="1" applyBorder="1"/>
    <xf numFmtId="2" fontId="22" fillId="6" borderId="24" xfId="0" applyNumberFormat="1" applyFont="1" applyFill="1" applyBorder="1" applyAlignment="1">
      <alignment horizontal="right"/>
    </xf>
    <xf numFmtId="0" fontId="0" fillId="0" borderId="27" xfId="0" applyBorder="1"/>
    <xf numFmtId="15" fontId="19" fillId="2" borderId="12" xfId="0" applyNumberFormat="1" applyFont="1" applyFill="1" applyBorder="1"/>
    <xf numFmtId="0" fontId="19" fillId="2" borderId="40" xfId="0" applyFont="1" applyFill="1" applyBorder="1"/>
    <xf numFmtId="0" fontId="0" fillId="0" borderId="12" xfId="0" applyBorder="1" applyAlignment="1">
      <alignment horizontal="right"/>
    </xf>
    <xf numFmtId="2" fontId="25" fillId="0" borderId="5" xfId="0" applyNumberFormat="1" applyFont="1" applyBorder="1"/>
    <xf numFmtId="0" fontId="7" fillId="0" borderId="12" xfId="0" applyFont="1" applyBorder="1" applyAlignment="1">
      <alignment horizontal="center" vertical="top"/>
    </xf>
    <xf numFmtId="0" fontId="0" fillId="2" borderId="13" xfId="0" applyFill="1" applyBorder="1"/>
    <xf numFmtId="2" fontId="0" fillId="0" borderId="5" xfId="0" applyNumberFormat="1" applyBorder="1" applyAlignment="1">
      <alignment horizontal="left"/>
    </xf>
    <xf numFmtId="0" fontId="5" fillId="0" borderId="5" xfId="0" applyFont="1" applyBorder="1"/>
    <xf numFmtId="0" fontId="6" fillId="0" borderId="2" xfId="0" applyFont="1" applyBorder="1"/>
    <xf numFmtId="0" fontId="19" fillId="0" borderId="13" xfId="0" applyFont="1" applyBorder="1"/>
    <xf numFmtId="2" fontId="0" fillId="0" borderId="13" xfId="0" applyNumberFormat="1" applyBorder="1" applyAlignment="1">
      <alignment horizontal="right"/>
    </xf>
    <xf numFmtId="0" fontId="19" fillId="0" borderId="23" xfId="0" applyFont="1" applyBorder="1"/>
    <xf numFmtId="2" fontId="0" fillId="0" borderId="24" xfId="0" applyNumberFormat="1" applyBorder="1" applyAlignment="1">
      <alignment horizontal="right"/>
    </xf>
    <xf numFmtId="0" fontId="19" fillId="0" borderId="25" xfId="0" applyFont="1" applyBorder="1"/>
    <xf numFmtId="0" fontId="19" fillId="0" borderId="24" xfId="0" applyFont="1" applyBorder="1"/>
    <xf numFmtId="2" fontId="0" fillId="0" borderId="21" xfId="0" applyNumberFormat="1" applyBorder="1" applyAlignment="1">
      <alignment horizontal="right"/>
    </xf>
    <xf numFmtId="0" fontId="19" fillId="0" borderId="21" xfId="0" applyFont="1" applyBorder="1"/>
    <xf numFmtId="15" fontId="19" fillId="2" borderId="13" xfId="0" applyNumberFormat="1" applyFont="1" applyFill="1" applyBorder="1"/>
    <xf numFmtId="0" fontId="6" fillId="0" borderId="40" xfId="0" applyFont="1" applyBorder="1"/>
    <xf numFmtId="0" fontId="19" fillId="0" borderId="40" xfId="0" applyFont="1" applyBorder="1"/>
    <xf numFmtId="0" fontId="0" fillId="2" borderId="23" xfId="0" applyFill="1" applyBorder="1"/>
    <xf numFmtId="15" fontId="19" fillId="2" borderId="23" xfId="0" applyNumberFormat="1" applyFont="1" applyFill="1" applyBorder="1"/>
    <xf numFmtId="15" fontId="19" fillId="2" borderId="10" xfId="0" applyNumberFormat="1" applyFont="1" applyFill="1" applyBorder="1"/>
    <xf numFmtId="15" fontId="19" fillId="2" borderId="27" xfId="0" applyNumberFormat="1" applyFont="1" applyFill="1" applyBorder="1"/>
    <xf numFmtId="2" fontId="0" fillId="2" borderId="24" xfId="0" applyNumberFormat="1" applyFill="1" applyBorder="1" applyAlignment="1">
      <alignment horizontal="right"/>
    </xf>
    <xf numFmtId="2" fontId="0" fillId="2" borderId="11" xfId="0" applyNumberFormat="1" applyFill="1" applyBorder="1" applyAlignment="1">
      <alignment horizontal="right"/>
    </xf>
    <xf numFmtId="2" fontId="0" fillId="2" borderId="33" xfId="0" applyNumberFormat="1" applyFill="1" applyBorder="1" applyAlignment="1">
      <alignment horizontal="right"/>
    </xf>
    <xf numFmtId="0" fontId="0" fillId="0" borderId="23" xfId="0" applyBorder="1"/>
    <xf numFmtId="0" fontId="19" fillId="0" borderId="46" xfId="0" applyFont="1" applyBorder="1"/>
    <xf numFmtId="2" fontId="0" fillId="2" borderId="13" xfId="0" applyNumberForma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37" fillId="0" borderId="2" xfId="0" applyFont="1" applyBorder="1"/>
    <xf numFmtId="0" fontId="0" fillId="0" borderId="13" xfId="0" applyBorder="1" applyAlignment="1">
      <alignment horizontal="right"/>
    </xf>
    <xf numFmtId="0" fontId="13" fillId="0" borderId="5" xfId="0" applyFont="1" applyBorder="1"/>
    <xf numFmtId="2" fontId="13" fillId="0" borderId="5" xfId="0" applyNumberFormat="1" applyFont="1" applyBorder="1"/>
    <xf numFmtId="14" fontId="4" fillId="0" borderId="13" xfId="0" applyNumberFormat="1" applyFont="1" applyBorder="1"/>
    <xf numFmtId="14" fontId="4" fillId="0" borderId="5" xfId="0" applyNumberFormat="1" applyFont="1" applyBorder="1"/>
    <xf numFmtId="0" fontId="38" fillId="0" borderId="5" xfId="0" applyFont="1" applyBorder="1"/>
    <xf numFmtId="0" fontId="39" fillId="0" borderId="5" xfId="0" applyFont="1" applyBorder="1"/>
    <xf numFmtId="2" fontId="40" fillId="0" borderId="5" xfId="0" applyNumberFormat="1" applyFont="1" applyBorder="1"/>
    <xf numFmtId="0" fontId="0" fillId="0" borderId="10" xfId="0" applyBorder="1" applyAlignment="1">
      <alignment horizontal="center"/>
    </xf>
    <xf numFmtId="0" fontId="25" fillId="0" borderId="13" xfId="0" applyFont="1" applyBorder="1" applyAlignment="1">
      <alignment horizontal="center" vertical="center"/>
    </xf>
    <xf numFmtId="166" fontId="25" fillId="0" borderId="13" xfId="0" applyNumberFormat="1" applyFont="1" applyBorder="1" applyAlignment="1">
      <alignment horizontal="center"/>
    </xf>
    <xf numFmtId="2" fontId="0" fillId="0" borderId="10" xfId="0" applyNumberFormat="1" applyBorder="1"/>
    <xf numFmtId="166" fontId="37" fillId="0" borderId="5" xfId="0" applyNumberFormat="1" applyFont="1" applyBorder="1" applyAlignment="1">
      <alignment horizontal="center"/>
    </xf>
    <xf numFmtId="1" fontId="27" fillId="2" borderId="12" xfId="1" applyNumberFormat="1" applyFont="1" applyFill="1" applyBorder="1" applyAlignment="1">
      <alignment vertical="center"/>
    </xf>
    <xf numFmtId="166" fontId="37" fillId="0" borderId="13" xfId="0" applyNumberFormat="1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2" fontId="25" fillId="2" borderId="5" xfId="0" applyNumberFormat="1" applyFont="1" applyFill="1" applyBorder="1" applyAlignment="1">
      <alignment horizontal="center"/>
    </xf>
    <xf numFmtId="0" fontId="25" fillId="2" borderId="5" xfId="0" applyFont="1" applyFill="1" applyBorder="1"/>
    <xf numFmtId="166" fontId="25" fillId="0" borderId="12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left" indent="1"/>
    </xf>
    <xf numFmtId="166" fontId="25" fillId="0" borderId="5" xfId="0" applyNumberFormat="1" applyFont="1" applyBorder="1" applyAlignment="1">
      <alignment horizontal="center" indent="1"/>
    </xf>
    <xf numFmtId="166" fontId="29" fillId="0" borderId="5" xfId="0" applyNumberFormat="1" applyFont="1" applyBorder="1" applyAlignment="1">
      <alignment horizontal="center" vertical="center"/>
    </xf>
    <xf numFmtId="1" fontId="29" fillId="0" borderId="5" xfId="0" applyNumberFormat="1" applyFont="1" applyBorder="1" applyAlignment="1">
      <alignment horizontal="center" vertical="center"/>
    </xf>
    <xf numFmtId="43" fontId="4" fillId="0" borderId="0" xfId="0" applyNumberFormat="1" applyFont="1"/>
    <xf numFmtId="4" fontId="19" fillId="0" borderId="24" xfId="0" applyNumberFormat="1" applyFont="1" applyBorder="1"/>
    <xf numFmtId="1" fontId="0" fillId="0" borderId="10" xfId="0" applyNumberFormat="1" applyBorder="1"/>
    <xf numFmtId="0" fontId="13" fillId="0" borderId="5" xfId="0" quotePrefix="1" applyFont="1" applyBorder="1"/>
    <xf numFmtId="0" fontId="6" fillId="0" borderId="5" xfId="0" quotePrefix="1" applyFont="1" applyBorder="1"/>
    <xf numFmtId="166" fontId="37" fillId="0" borderId="2" xfId="0" applyNumberFormat="1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2" fontId="10" fillId="4" borderId="48" xfId="0" applyNumberFormat="1" applyFont="1" applyFill="1" applyBorder="1" applyAlignment="1">
      <alignment horizontal="center" vertical="center"/>
    </xf>
    <xf numFmtId="2" fontId="10" fillId="4" borderId="49" xfId="0" applyNumberFormat="1" applyFont="1" applyFill="1" applyBorder="1" applyAlignment="1">
      <alignment horizontal="center" vertical="center"/>
    </xf>
    <xf numFmtId="2" fontId="10" fillId="4" borderId="50" xfId="0" applyNumberFormat="1" applyFont="1" applyFill="1" applyBorder="1" applyAlignment="1">
      <alignment horizontal="center" vertical="center"/>
    </xf>
    <xf numFmtId="164" fontId="4" fillId="0" borderId="8" xfId="1" applyFont="1" applyBorder="1" applyAlignment="1">
      <alignment vertical="center"/>
    </xf>
    <xf numFmtId="164" fontId="4" fillId="0" borderId="4" xfId="1" applyFont="1" applyBorder="1" applyAlignment="1">
      <alignment vertical="center"/>
    </xf>
    <xf numFmtId="164" fontId="4" fillId="0" borderId="18" xfId="1" applyFont="1" applyBorder="1" applyAlignment="1">
      <alignment vertical="center"/>
    </xf>
    <xf numFmtId="164" fontId="4" fillId="0" borderId="11" xfId="1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164" fontId="4" fillId="0" borderId="51" xfId="1" applyFont="1" applyBorder="1" applyAlignment="1">
      <alignment horizontal="center" vertical="center"/>
    </xf>
    <xf numFmtId="164" fontId="5" fillId="4" borderId="27" xfId="1" applyFont="1" applyFill="1" applyBorder="1" applyAlignment="1">
      <alignment horizontal="center" vertical="center"/>
    </xf>
    <xf numFmtId="164" fontId="5" fillId="4" borderId="33" xfId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top"/>
    </xf>
    <xf numFmtId="43" fontId="4" fillId="2" borderId="10" xfId="0" applyNumberFormat="1" applyFont="1" applyFill="1" applyBorder="1" applyAlignment="1">
      <alignment horizontal="center" vertical="center" wrapText="1"/>
    </xf>
    <xf numFmtId="164" fontId="4" fillId="0" borderId="10" xfId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6" fillId="0" borderId="11" xfId="0" applyFont="1" applyBorder="1"/>
    <xf numFmtId="43" fontId="12" fillId="3" borderId="13" xfId="0" applyNumberFormat="1" applyFont="1" applyFill="1" applyBorder="1" applyAlignment="1">
      <alignment horizontal="center" vertical="center"/>
    </xf>
    <xf numFmtId="43" fontId="4" fillId="2" borderId="12" xfId="0" applyNumberFormat="1" applyFont="1" applyFill="1" applyBorder="1" applyAlignment="1">
      <alignment horizontal="center" vertical="center"/>
    </xf>
    <xf numFmtId="164" fontId="41" fillId="2" borderId="5" xfId="0" applyNumberFormat="1" applyFont="1" applyFill="1" applyBorder="1"/>
    <xf numFmtId="164" fontId="41" fillId="2" borderId="7" xfId="0" applyNumberFormat="1" applyFont="1" applyFill="1" applyBorder="1"/>
    <xf numFmtId="169" fontId="4" fillId="0" borderId="5" xfId="1" applyNumberFormat="1" applyFont="1" applyBorder="1" applyAlignment="1">
      <alignment horizontal="center" vertical="center"/>
    </xf>
    <xf numFmtId="169" fontId="4" fillId="0" borderId="5" xfId="1" applyNumberFormat="1" applyFont="1" applyBorder="1" applyAlignment="1">
      <alignment horizontal="center" vertical="top"/>
    </xf>
    <xf numFmtId="0" fontId="13" fillId="0" borderId="10" xfId="0" quotePrefix="1" applyFont="1" applyBorder="1"/>
    <xf numFmtId="0" fontId="13" fillId="0" borderId="13" xfId="0" applyFont="1" applyBorder="1"/>
    <xf numFmtId="0" fontId="13" fillId="0" borderId="12" xfId="0" applyFont="1" applyBorder="1"/>
    <xf numFmtId="166" fontId="20" fillId="0" borderId="5" xfId="0" applyNumberFormat="1" applyFont="1" applyBorder="1" applyAlignment="1">
      <alignment horizontal="center"/>
    </xf>
    <xf numFmtId="169" fontId="4" fillId="0" borderId="12" xfId="1" applyNumberFormat="1" applyFont="1" applyBorder="1" applyAlignment="1">
      <alignment horizontal="center" vertical="center"/>
    </xf>
    <xf numFmtId="0" fontId="2" fillId="0" borderId="5" xfId="4" applyBorder="1"/>
    <xf numFmtId="0" fontId="27" fillId="0" borderId="10" xfId="0" applyFont="1" applyBorder="1"/>
    <xf numFmtId="0" fontId="27" fillId="0" borderId="13" xfId="0" applyFont="1" applyBorder="1"/>
    <xf numFmtId="1" fontId="27" fillId="2" borderId="52" xfId="0" applyNumberFormat="1" applyFont="1" applyFill="1" applyBorder="1"/>
    <xf numFmtId="0" fontId="27" fillId="0" borderId="12" xfId="0" applyFont="1" applyBorder="1"/>
    <xf numFmtId="1" fontId="27" fillId="2" borderId="53" xfId="0" applyNumberFormat="1" applyFont="1" applyFill="1" applyBorder="1"/>
    <xf numFmtId="165" fontId="19" fillId="0" borderId="2" xfId="0" applyNumberFormat="1" applyFont="1" applyBorder="1" applyAlignment="1">
      <alignment horizontal="center" vertic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166" fontId="25" fillId="0" borderId="2" xfId="0" applyNumberFormat="1" applyFont="1" applyBorder="1"/>
    <xf numFmtId="166" fontId="25" fillId="0" borderId="2" xfId="0" applyNumberFormat="1" applyFont="1" applyBorder="1" applyAlignment="1">
      <alignment horizontal="center"/>
    </xf>
    <xf numFmtId="164" fontId="25" fillId="0" borderId="2" xfId="1" applyFont="1" applyBorder="1" applyAlignment="1"/>
    <xf numFmtId="0" fontId="0" fillId="2" borderId="2" xfId="0" applyFill="1" applyBorder="1"/>
    <xf numFmtId="0" fontId="25" fillId="2" borderId="2" xfId="0" applyFont="1" applyFill="1" applyBorder="1" applyAlignment="1">
      <alignment horizontal="center"/>
    </xf>
    <xf numFmtId="166" fontId="25" fillId="2" borderId="2" xfId="0" applyNumberFormat="1" applyFont="1" applyFill="1" applyBorder="1" applyAlignment="1">
      <alignment horizontal="center"/>
    </xf>
    <xf numFmtId="166" fontId="25" fillId="2" borderId="2" xfId="0" applyNumberFormat="1" applyFont="1" applyFill="1" applyBorder="1"/>
    <xf numFmtId="0" fontId="0" fillId="0" borderId="2" xfId="0" applyBorder="1"/>
    <xf numFmtId="0" fontId="25" fillId="2" borderId="2" xfId="0" applyFont="1" applyFill="1" applyBorder="1"/>
    <xf numFmtId="0" fontId="25" fillId="0" borderId="6" xfId="0" applyFont="1" applyBorder="1" applyAlignment="1">
      <alignment horizontal="center"/>
    </xf>
    <xf numFmtId="166" fontId="25" fillId="0" borderId="6" xfId="0" applyNumberFormat="1" applyFont="1" applyBorder="1"/>
    <xf numFmtId="166" fontId="25" fillId="0" borderId="6" xfId="0" applyNumberFormat="1" applyFont="1" applyBorder="1" applyAlignment="1">
      <alignment horizontal="center"/>
    </xf>
    <xf numFmtId="166" fontId="25" fillId="2" borderId="6" xfId="0" applyNumberFormat="1" applyFont="1" applyFill="1" applyBorder="1"/>
    <xf numFmtId="166" fontId="25" fillId="2" borderId="6" xfId="0" applyNumberFormat="1" applyFont="1" applyFill="1" applyBorder="1" applyAlignment="1">
      <alignment horizontal="center"/>
    </xf>
    <xf numFmtId="164" fontId="25" fillId="2" borderId="2" xfId="1" applyFont="1" applyFill="1" applyBorder="1" applyAlignment="1"/>
    <xf numFmtId="164" fontId="25" fillId="0" borderId="2" xfId="1" applyFont="1" applyFill="1" applyBorder="1" applyAlignment="1"/>
    <xf numFmtId="165" fontId="19" fillId="0" borderId="6" xfId="0" applyNumberFormat="1" applyFont="1" applyBorder="1" applyAlignment="1">
      <alignment horizontal="center" vertical="center"/>
    </xf>
    <xf numFmtId="0" fontId="27" fillId="2" borderId="0" xfId="0" applyFont="1" applyFill="1"/>
    <xf numFmtId="166" fontId="20" fillId="0" borderId="5" xfId="0" applyNumberFormat="1" applyFont="1" applyBorder="1" applyAlignment="1">
      <alignment horizontal="center" indent="1"/>
    </xf>
    <xf numFmtId="2" fontId="7" fillId="0" borderId="5" xfId="0" applyNumberFormat="1" applyFont="1" applyBorder="1"/>
    <xf numFmtId="164" fontId="25" fillId="0" borderId="6" xfId="1" applyFont="1" applyBorder="1" applyAlignment="1">
      <alignment horizontal="center"/>
    </xf>
    <xf numFmtId="164" fontId="0" fillId="2" borderId="2" xfId="1" applyFont="1" applyFill="1" applyBorder="1" applyAlignment="1"/>
    <xf numFmtId="1" fontId="27" fillId="2" borderId="23" xfId="0" applyNumberFormat="1" applyFont="1" applyFill="1" applyBorder="1"/>
    <xf numFmtId="1" fontId="27" fillId="2" borderId="27" xfId="0" applyNumberFormat="1" applyFont="1" applyFill="1" applyBorder="1"/>
    <xf numFmtId="1" fontId="18" fillId="0" borderId="5" xfId="0" applyNumberFormat="1" applyFont="1" applyBorder="1"/>
    <xf numFmtId="2" fontId="25" fillId="0" borderId="5" xfId="0" applyNumberFormat="1" applyFont="1" applyBorder="1" applyAlignment="1">
      <alignment horizontal="center" vertical="center"/>
    </xf>
    <xf numFmtId="173" fontId="25" fillId="2" borderId="2" xfId="1" applyNumberFormat="1" applyFont="1" applyFill="1" applyBorder="1" applyAlignment="1">
      <alignment horizontal="center" vertical="center"/>
    </xf>
    <xf numFmtId="164" fontId="25" fillId="2" borderId="2" xfId="1" applyFont="1" applyFill="1" applyBorder="1" applyAlignment="1">
      <alignment horizontal="center"/>
    </xf>
    <xf numFmtId="164" fontId="42" fillId="2" borderId="2" xfId="0" applyNumberFormat="1" applyFont="1" applyFill="1" applyBorder="1"/>
    <xf numFmtId="164" fontId="42" fillId="0" borderId="2" xfId="0" applyNumberFormat="1" applyFont="1" applyBorder="1"/>
    <xf numFmtId="173" fontId="25" fillId="0" borderId="2" xfId="1" applyNumberFormat="1" applyFont="1" applyFill="1" applyBorder="1" applyAlignment="1">
      <alignment horizontal="center" vertical="center"/>
    </xf>
    <xf numFmtId="164" fontId="25" fillId="2" borderId="2" xfId="0" applyNumberFormat="1" applyFont="1" applyFill="1" applyBorder="1" applyAlignment="1">
      <alignment horizontal="center"/>
    </xf>
    <xf numFmtId="2" fontId="20" fillId="0" borderId="5" xfId="0" applyNumberFormat="1" applyFont="1" applyBorder="1"/>
    <xf numFmtId="0" fontId="4" fillId="2" borderId="5" xfId="0" applyFont="1" applyFill="1" applyBorder="1"/>
    <xf numFmtId="2" fontId="0" fillId="0" borderId="10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15" fontId="0" fillId="0" borderId="13" xfId="0" applyNumberFormat="1" applyBorder="1"/>
    <xf numFmtId="15" fontId="0" fillId="0" borderId="5" xfId="0" applyNumberFormat="1" applyBorder="1"/>
    <xf numFmtId="166" fontId="20" fillId="0" borderId="5" xfId="0" applyNumberFormat="1" applyFont="1" applyBorder="1" applyAlignment="1">
      <alignment horizontal="left" indent="1"/>
    </xf>
    <xf numFmtId="0" fontId="29" fillId="0" borderId="5" xfId="0" applyFont="1" applyBorder="1" applyAlignment="1">
      <alignment horizontal="center"/>
    </xf>
    <xf numFmtId="2" fontId="14" fillId="3" borderId="10" xfId="0" applyNumberFormat="1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right"/>
    </xf>
    <xf numFmtId="43" fontId="14" fillId="3" borderId="5" xfId="0" applyNumberFormat="1" applyFont="1" applyFill="1" applyBorder="1" applyAlignment="1">
      <alignment horizontal="right" vertical="center" wrapText="1"/>
    </xf>
    <xf numFmtId="0" fontId="14" fillId="3" borderId="17" xfId="0" applyFont="1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/>
    </xf>
    <xf numFmtId="2" fontId="14" fillId="3" borderId="20" xfId="0" applyNumberFormat="1" applyFont="1" applyFill="1" applyBorder="1" applyAlignment="1">
      <alignment horizontal="center" vertical="center"/>
    </xf>
    <xf numFmtId="164" fontId="4" fillId="0" borderId="16" xfId="1" applyFont="1" applyBorder="1" applyAlignment="1">
      <alignment horizontal="center" vertical="center"/>
    </xf>
    <xf numFmtId="164" fontId="2" fillId="2" borderId="5" xfId="1" applyFont="1" applyFill="1" applyBorder="1" applyAlignment="1">
      <alignment horizontal="right" vertical="center"/>
    </xf>
    <xf numFmtId="164" fontId="2" fillId="0" borderId="5" xfId="1" applyFont="1" applyFill="1" applyBorder="1" applyAlignment="1">
      <alignment horizontal="right" vertical="center"/>
    </xf>
    <xf numFmtId="166" fontId="4" fillId="0" borderId="10" xfId="0" applyNumberFormat="1" applyFont="1" applyBorder="1"/>
    <xf numFmtId="166" fontId="4" fillId="0" borderId="13" xfId="0" applyNumberFormat="1" applyFont="1" applyBorder="1" applyAlignment="1">
      <alignment horizontal="center"/>
    </xf>
    <xf numFmtId="166" fontId="4" fillId="0" borderId="12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horizontal="right"/>
    </xf>
    <xf numFmtId="43" fontId="4" fillId="2" borderId="11" xfId="0" applyNumberFormat="1" applyFont="1" applyFill="1" applyBorder="1" applyAlignment="1">
      <alignment horizontal="center" vertical="center"/>
    </xf>
    <xf numFmtId="164" fontId="4" fillId="0" borderId="11" xfId="1" applyFont="1" applyBorder="1" applyAlignment="1">
      <alignment horizontal="center" vertical="top"/>
    </xf>
    <xf numFmtId="166" fontId="4" fillId="0" borderId="12" xfId="0" applyNumberFormat="1" applyFont="1" applyBorder="1"/>
    <xf numFmtId="166" fontId="4" fillId="0" borderId="27" xfId="0" applyNumberFormat="1" applyFont="1" applyBorder="1"/>
    <xf numFmtId="164" fontId="2" fillId="0" borderId="12" xfId="1" applyFont="1" applyFill="1" applyBorder="1" applyAlignment="1">
      <alignment horizontal="right" vertical="center"/>
    </xf>
    <xf numFmtId="164" fontId="4" fillId="0" borderId="33" xfId="1" applyFont="1" applyBorder="1" applyAlignment="1">
      <alignment horizontal="center" vertical="center"/>
    </xf>
    <xf numFmtId="166" fontId="4" fillId="0" borderId="11" xfId="0" applyNumberFormat="1" applyFont="1" applyBorder="1"/>
    <xf numFmtId="164" fontId="2" fillId="0" borderId="5" xfId="1" applyFont="1" applyBorder="1" applyAlignment="1">
      <alignment vertical="center"/>
    </xf>
    <xf numFmtId="164" fontId="4" fillId="0" borderId="27" xfId="1" applyFont="1" applyBorder="1" applyAlignment="1">
      <alignment horizontal="center" vertical="center"/>
    </xf>
    <xf numFmtId="164" fontId="4" fillId="0" borderId="23" xfId="1" applyFont="1" applyBorder="1" applyAlignment="1">
      <alignment horizontal="center" vertical="center"/>
    </xf>
    <xf numFmtId="164" fontId="4" fillId="0" borderId="24" xfId="1" applyFont="1" applyBorder="1" applyAlignment="1">
      <alignment horizontal="center" vertical="center"/>
    </xf>
    <xf numFmtId="164" fontId="4" fillId="0" borderId="24" xfId="1" applyFont="1" applyBorder="1" applyAlignment="1">
      <alignment horizontal="center" vertical="top"/>
    </xf>
    <xf numFmtId="164" fontId="4" fillId="0" borderId="33" xfId="1" applyFont="1" applyBorder="1" applyAlignment="1">
      <alignment horizontal="center" vertical="top"/>
    </xf>
    <xf numFmtId="164" fontId="4" fillId="2" borderId="2" xfId="1" applyFont="1" applyFill="1" applyBorder="1" applyAlignment="1">
      <alignment horizontal="center"/>
    </xf>
    <xf numFmtId="164" fontId="4" fillId="2" borderId="2" xfId="1" applyFont="1" applyFill="1" applyBorder="1"/>
    <xf numFmtId="164" fontId="4" fillId="2" borderId="2" xfId="0" applyNumberFormat="1" applyFont="1" applyFill="1" applyBorder="1" applyAlignment="1">
      <alignment horizontal="center"/>
    </xf>
    <xf numFmtId="0" fontId="25" fillId="0" borderId="6" xfId="0" applyFont="1" applyBorder="1"/>
    <xf numFmtId="164" fontId="25" fillId="0" borderId="6" xfId="1" applyFont="1" applyBorder="1" applyAlignment="1"/>
    <xf numFmtId="0" fontId="18" fillId="12" borderId="5" xfId="0" applyFont="1" applyFill="1" applyBorder="1"/>
    <xf numFmtId="166" fontId="18" fillId="12" borderId="5" xfId="0" applyNumberFormat="1" applyFont="1" applyFill="1" applyBorder="1"/>
    <xf numFmtId="0" fontId="4" fillId="0" borderId="10" xfId="0" applyFont="1" applyBorder="1" applyAlignment="1">
      <alignment vertical="center"/>
    </xf>
    <xf numFmtId="0" fontId="25" fillId="0" borderId="11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vertical="center"/>
    </xf>
    <xf numFmtId="166" fontId="37" fillId="2" borderId="2" xfId="0" applyNumberFormat="1" applyFont="1" applyFill="1" applyBorder="1" applyAlignment="1">
      <alignment horizontal="center"/>
    </xf>
    <xf numFmtId="0" fontId="37" fillId="2" borderId="2" xfId="0" applyFont="1" applyFill="1" applyBorder="1"/>
    <xf numFmtId="0" fontId="6" fillId="0" borderId="0" xfId="0" applyFont="1"/>
    <xf numFmtId="170" fontId="4" fillId="0" borderId="0" xfId="0" applyNumberFormat="1" applyFont="1"/>
    <xf numFmtId="43" fontId="5" fillId="2" borderId="10" xfId="0" applyNumberFormat="1" applyFont="1" applyFill="1" applyBorder="1" applyAlignment="1">
      <alignment vertical="center"/>
    </xf>
    <xf numFmtId="43" fontId="5" fillId="2" borderId="11" xfId="0" applyNumberFormat="1" applyFont="1" applyFill="1" applyBorder="1" applyAlignment="1">
      <alignment vertical="center"/>
    </xf>
    <xf numFmtId="168" fontId="4" fillId="0" borderId="5" xfId="1" applyNumberFormat="1" applyFont="1" applyBorder="1" applyAlignment="1">
      <alignment horizontal="center" vertical="center"/>
    </xf>
    <xf numFmtId="166" fontId="43" fillId="0" borderId="2" xfId="0" applyNumberFormat="1" applyFont="1" applyBorder="1" applyAlignment="1">
      <alignment horizontal="center"/>
    </xf>
    <xf numFmtId="0" fontId="43" fillId="0" borderId="2" xfId="0" applyFont="1" applyBorder="1"/>
    <xf numFmtId="0" fontId="24" fillId="7" borderId="11" xfId="0" applyFont="1" applyFill="1" applyBorder="1" applyAlignment="1">
      <alignment horizontal="center" vertical="center"/>
    </xf>
    <xf numFmtId="166" fontId="24" fillId="7" borderId="5" xfId="0" applyNumberFormat="1" applyFont="1" applyFill="1" applyBorder="1" applyAlignment="1">
      <alignment horizontal="center" vertical="center"/>
    </xf>
    <xf numFmtId="164" fontId="29" fillId="7" borderId="5" xfId="1" applyFont="1" applyFill="1" applyBorder="1" applyAlignment="1">
      <alignment vertical="center"/>
    </xf>
    <xf numFmtId="1" fontId="0" fillId="7" borderId="5" xfId="0" applyNumberFormat="1" applyFill="1" applyBorder="1"/>
    <xf numFmtId="0" fontId="0" fillId="7" borderId="5" xfId="0" applyFill="1" applyBorder="1"/>
    <xf numFmtId="2" fontId="4" fillId="2" borderId="5" xfId="0" applyNumberFormat="1" applyFont="1" applyFill="1" applyBorder="1"/>
    <xf numFmtId="0" fontId="0" fillId="2" borderId="2" xfId="0" applyFill="1" applyBorder="1" applyAlignment="1">
      <alignment vertical="center"/>
    </xf>
    <xf numFmtId="166" fontId="20" fillId="2" borderId="5" xfId="0" applyNumberFormat="1" applyFont="1" applyFill="1" applyBorder="1" applyAlignment="1">
      <alignment horizontal="center"/>
    </xf>
    <xf numFmtId="164" fontId="44" fillId="0" borderId="5" xfId="1" applyFont="1" applyBorder="1" applyAlignment="1">
      <alignment horizontal="center" vertical="center"/>
    </xf>
    <xf numFmtId="166" fontId="20" fillId="0" borderId="13" xfId="0" applyNumberFormat="1" applyFont="1" applyBorder="1" applyAlignment="1">
      <alignment horizontal="center" indent="1"/>
    </xf>
    <xf numFmtId="166" fontId="20" fillId="0" borderId="11" xfId="0" applyNumberFormat="1" applyFont="1" applyBorder="1" applyAlignment="1">
      <alignment horizontal="center"/>
    </xf>
    <xf numFmtId="2" fontId="25" fillId="2" borderId="2" xfId="0" applyNumberFormat="1" applyFont="1" applyFill="1" applyBorder="1" applyAlignment="1">
      <alignment horizontal="center" vertical="center"/>
    </xf>
    <xf numFmtId="166" fontId="2" fillId="2" borderId="5" xfId="0" applyNumberFormat="1" applyFont="1" applyFill="1" applyBorder="1" applyAlignment="1">
      <alignment horizontal="center"/>
    </xf>
    <xf numFmtId="164" fontId="25" fillId="0" borderId="2" xfId="1" applyFont="1" applyBorder="1" applyAlignment="1">
      <alignment horizontal="center"/>
    </xf>
    <xf numFmtId="173" fontId="25" fillId="2" borderId="2" xfId="1" applyNumberFormat="1" applyFont="1" applyFill="1" applyBorder="1" applyAlignment="1">
      <alignment horizontal="center"/>
    </xf>
    <xf numFmtId="164" fontId="25" fillId="0" borderId="2" xfId="1" applyFont="1" applyFill="1" applyBorder="1" applyAlignment="1">
      <alignment horizontal="center"/>
    </xf>
    <xf numFmtId="166" fontId="37" fillId="0" borderId="5" xfId="0" applyNumberFormat="1" applyFont="1" applyBorder="1" applyAlignment="1">
      <alignment horizontal="left"/>
    </xf>
    <xf numFmtId="2" fontId="15" fillId="5" borderId="10" xfId="0" applyNumberFormat="1" applyFont="1" applyFill="1" applyBorder="1" applyAlignment="1">
      <alignment horizontal="center" vertical="center"/>
    </xf>
    <xf numFmtId="2" fontId="15" fillId="5" borderId="21" xfId="0" applyNumberFormat="1" applyFont="1" applyFill="1" applyBorder="1" applyAlignment="1">
      <alignment horizontal="center" vertical="center"/>
    </xf>
    <xf numFmtId="2" fontId="15" fillId="5" borderId="11" xfId="0" applyNumberFormat="1" applyFont="1" applyFill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center" vertical="center"/>
    </xf>
    <xf numFmtId="2" fontId="5" fillId="2" borderId="21" xfId="0" applyNumberFormat="1" applyFont="1" applyFill="1" applyBorder="1" applyAlignment="1">
      <alignment horizontal="center" vertical="center"/>
    </xf>
    <xf numFmtId="2" fontId="5" fillId="2" borderId="11" xfId="0" applyNumberFormat="1" applyFont="1" applyFill="1" applyBorder="1" applyAlignment="1">
      <alignment horizontal="center" vertical="center"/>
    </xf>
    <xf numFmtId="2" fontId="32" fillId="11" borderId="5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5" fillId="5" borderId="4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8" fillId="0" borderId="2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5" fillId="5" borderId="0" xfId="0" applyFont="1" applyFill="1" applyAlignment="1">
      <alignment horizontal="center" wrapText="1"/>
    </xf>
    <xf numFmtId="0" fontId="5" fillId="0" borderId="2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2" fontId="15" fillId="5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43" fontId="5" fillId="2" borderId="10" xfId="0" applyNumberFormat="1" applyFont="1" applyFill="1" applyBorder="1" applyAlignment="1">
      <alignment horizontal="center" vertical="center"/>
    </xf>
    <xf numFmtId="43" fontId="5" fillId="2" borderId="1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1" fillId="0" borderId="5" xfId="0" quotePrefix="1" applyFont="1" applyBorder="1" applyAlignment="1">
      <alignment horizontal="left" wrapText="1"/>
    </xf>
    <xf numFmtId="2" fontId="1" fillId="0" borderId="5" xfId="0" applyNumberFormat="1" applyFont="1" applyBorder="1"/>
    <xf numFmtId="0" fontId="1" fillId="0" borderId="5" xfId="0" applyFont="1" applyBorder="1"/>
    <xf numFmtId="0" fontId="1" fillId="0" borderId="13" xfId="0" applyFont="1" applyBorder="1"/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Normal" xfId="0" builtinId="0"/>
    <cellStyle name="Normal 3" xfId="4" xr:uid="{931265BE-D218-4258-80C5-9D4E7635D8EA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eetMetadata" Target="metadata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D7A8A823-66A3-4A0D-BBB6-9B7D5C7FE292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6-08-27T10:05:32.18" personId="{D7A8A823-66A3-4A0D-BBB6-9B7D5C7FE292}" id="{AA23B43B-E1C2-4CCD-B489-88EE76E70833}">
    <text xml:space="preserve">received Diesel
 </text>
  </threadedComment>
</ThreadedComments>
</file>

<file path=xl/worksheets/_rels/sheet5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W1" activePane="topRight" state="frozen"/>
      <selection pane="topRight" activeCell="AF19" sqref="AF19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339" t="s">
        <v>0</v>
      </c>
      <c r="B2" s="340" t="s">
        <v>1</v>
      </c>
      <c r="C2" s="341" t="s">
        <v>2</v>
      </c>
      <c r="D2" s="341" t="s">
        <v>3</v>
      </c>
      <c r="E2" s="341" t="s">
        <v>3</v>
      </c>
      <c r="F2" s="341" t="s">
        <v>4</v>
      </c>
      <c r="G2" s="583" t="s">
        <v>5</v>
      </c>
      <c r="H2" s="583"/>
      <c r="I2" s="342" t="s">
        <v>6</v>
      </c>
      <c r="J2" s="342" t="s">
        <v>7</v>
      </c>
      <c r="K2" s="342" t="s">
        <v>8</v>
      </c>
      <c r="L2" s="342" t="s">
        <v>9</v>
      </c>
      <c r="M2" s="342" t="s">
        <v>10</v>
      </c>
      <c r="N2" s="342" t="s">
        <v>11</v>
      </c>
      <c r="O2" s="342" t="s">
        <v>12</v>
      </c>
      <c r="P2" s="342" t="s">
        <v>13</v>
      </c>
      <c r="Q2" s="342" t="s">
        <v>14</v>
      </c>
      <c r="R2" s="342" t="s">
        <v>15</v>
      </c>
      <c r="S2" s="342" t="s">
        <v>16</v>
      </c>
      <c r="T2" s="342" t="s">
        <v>17</v>
      </c>
      <c r="U2" s="342" t="s">
        <v>18</v>
      </c>
      <c r="V2" s="342" t="s">
        <v>19</v>
      </c>
      <c r="W2" s="342" t="s">
        <v>20</v>
      </c>
      <c r="X2" s="342" t="s">
        <v>21</v>
      </c>
      <c r="Y2" s="342" t="s">
        <v>22</v>
      </c>
      <c r="Z2" s="342" t="s">
        <v>23</v>
      </c>
      <c r="AA2" s="342" t="s">
        <v>24</v>
      </c>
      <c r="AB2" s="342" t="s">
        <v>25</v>
      </c>
      <c r="AC2" s="342" t="s">
        <v>26</v>
      </c>
      <c r="AD2" s="342" t="s">
        <v>27</v>
      </c>
      <c r="AE2" s="342" t="s">
        <v>28</v>
      </c>
      <c r="AF2" s="342" t="s">
        <v>29</v>
      </c>
      <c r="AG2" s="342" t="s">
        <v>30</v>
      </c>
      <c r="AH2" s="342" t="s">
        <v>31</v>
      </c>
      <c r="AI2" s="342" t="s">
        <v>32</v>
      </c>
      <c r="AJ2" s="342" t="s">
        <v>33</v>
      </c>
      <c r="AK2" s="342" t="s">
        <v>34</v>
      </c>
      <c r="AL2" s="342" t="s">
        <v>35</v>
      </c>
      <c r="AM2" s="343" t="s">
        <v>36</v>
      </c>
    </row>
    <row r="3" spans="1:39" s="336" customFormat="1">
      <c r="A3" s="344"/>
      <c r="B3" s="345"/>
      <c r="C3" s="346"/>
      <c r="D3" s="346"/>
      <c r="E3" s="346"/>
      <c r="F3" s="347" t="s">
        <v>37</v>
      </c>
      <c r="G3" s="337"/>
      <c r="H3" s="337"/>
      <c r="I3" s="337"/>
      <c r="J3" s="337"/>
      <c r="K3" s="337"/>
      <c r="L3" s="337"/>
      <c r="M3" s="337"/>
      <c r="N3" s="337"/>
      <c r="O3" s="337"/>
      <c r="P3" s="337"/>
      <c r="Q3" s="337"/>
      <c r="R3" s="337"/>
      <c r="S3" s="337"/>
      <c r="T3" s="337"/>
      <c r="U3" s="337"/>
      <c r="V3" s="337"/>
      <c r="W3" s="337"/>
      <c r="X3" s="337"/>
      <c r="Y3" s="337"/>
      <c r="Z3" s="337"/>
      <c r="AA3" s="337"/>
      <c r="AB3" s="337"/>
      <c r="AC3" s="337"/>
      <c r="AD3" s="337"/>
      <c r="AE3" s="337"/>
      <c r="AF3" s="337"/>
      <c r="AG3" s="337"/>
      <c r="AH3" s="337"/>
      <c r="AI3" s="337"/>
      <c r="AJ3" s="337"/>
      <c r="AK3" s="337"/>
      <c r="AL3" s="337"/>
      <c r="AM3" s="348"/>
    </row>
    <row r="4" spans="1:39" ht="15.75">
      <c r="A4" s="586">
        <v>1</v>
      </c>
      <c r="B4" s="584" t="s">
        <v>38</v>
      </c>
      <c r="C4" s="584" t="s">
        <v>39</v>
      </c>
      <c r="D4" s="585" t="s">
        <v>40</v>
      </c>
      <c r="E4" s="349" t="s">
        <v>37</v>
      </c>
      <c r="F4" s="338">
        <v>0</v>
      </c>
      <c r="G4" s="338">
        <v>0</v>
      </c>
      <c r="H4" s="338">
        <v>0</v>
      </c>
      <c r="I4" s="338">
        <v>0</v>
      </c>
      <c r="J4" s="338">
        <v>0</v>
      </c>
      <c r="K4" s="338">
        <v>0</v>
      </c>
      <c r="L4" s="338">
        <v>0</v>
      </c>
      <c r="M4" s="338">
        <v>0</v>
      </c>
      <c r="N4" s="338">
        <v>0</v>
      </c>
      <c r="O4" s="338">
        <v>0</v>
      </c>
      <c r="P4" s="338">
        <v>0</v>
      </c>
      <c r="Q4" s="338">
        <v>0</v>
      </c>
      <c r="R4" s="338">
        <v>0</v>
      </c>
      <c r="S4" s="338">
        <v>0</v>
      </c>
      <c r="T4" s="338">
        <v>0</v>
      </c>
      <c r="U4" s="338">
        <v>0</v>
      </c>
      <c r="V4" s="338">
        <v>0</v>
      </c>
      <c r="W4" s="338">
        <v>0</v>
      </c>
      <c r="X4" s="338">
        <v>5.22</v>
      </c>
      <c r="Y4" s="338">
        <v>0</v>
      </c>
      <c r="Z4" s="338">
        <v>0</v>
      </c>
      <c r="AA4" s="338">
        <v>0</v>
      </c>
      <c r="AB4" s="338">
        <v>0</v>
      </c>
      <c r="AC4" s="338">
        <v>0</v>
      </c>
      <c r="AD4" s="338">
        <v>60</v>
      </c>
      <c r="AE4" s="338">
        <v>0</v>
      </c>
      <c r="AF4" s="338">
        <v>0</v>
      </c>
      <c r="AG4" s="338">
        <v>0</v>
      </c>
      <c r="AH4" s="338">
        <v>4.5599999999999996</v>
      </c>
      <c r="AI4" s="338">
        <v>0</v>
      </c>
      <c r="AJ4" s="338">
        <v>0</v>
      </c>
      <c r="AK4" s="338">
        <v>0</v>
      </c>
      <c r="AL4" s="338">
        <v>0</v>
      </c>
      <c r="AM4" s="338">
        <f>SUM(F4:AL4)</f>
        <v>69.78</v>
      </c>
    </row>
    <row r="5" spans="1:39" ht="15.75">
      <c r="A5" s="586"/>
      <c r="B5" s="584"/>
      <c r="C5" s="584"/>
      <c r="D5" s="585"/>
      <c r="E5" s="350" t="s">
        <v>41</v>
      </c>
      <c r="F5" s="338">
        <v>0</v>
      </c>
      <c r="G5" s="338">
        <v>4.6900000000000004</v>
      </c>
      <c r="H5" s="338">
        <v>0</v>
      </c>
      <c r="I5" s="338">
        <v>0</v>
      </c>
      <c r="J5" s="338">
        <v>0</v>
      </c>
      <c r="K5" s="338">
        <v>0</v>
      </c>
      <c r="L5" s="338">
        <v>0</v>
      </c>
      <c r="M5" s="338">
        <v>0</v>
      </c>
      <c r="N5" s="338">
        <v>3.91</v>
      </c>
      <c r="O5" s="338">
        <v>0</v>
      </c>
      <c r="P5" s="338">
        <v>6.98</v>
      </c>
      <c r="Q5" s="338">
        <v>0</v>
      </c>
      <c r="R5" s="338">
        <v>0</v>
      </c>
      <c r="S5" s="338">
        <v>0</v>
      </c>
      <c r="T5" s="338">
        <v>0</v>
      </c>
      <c r="U5" s="338">
        <v>0</v>
      </c>
      <c r="V5" s="338">
        <v>0</v>
      </c>
      <c r="W5" s="338">
        <v>0</v>
      </c>
      <c r="X5" s="338">
        <v>0</v>
      </c>
      <c r="Y5" s="338">
        <v>0</v>
      </c>
      <c r="Z5" s="338">
        <v>0</v>
      </c>
      <c r="AA5" s="338"/>
      <c r="AB5" s="338">
        <v>0</v>
      </c>
      <c r="AC5" s="351">
        <v>0</v>
      </c>
      <c r="AD5" s="338">
        <v>0</v>
      </c>
      <c r="AE5" s="338">
        <v>0</v>
      </c>
      <c r="AF5" s="338">
        <v>0</v>
      </c>
      <c r="AG5" s="338">
        <v>0</v>
      </c>
      <c r="AH5" s="338">
        <v>0</v>
      </c>
      <c r="AI5" s="338">
        <v>0</v>
      </c>
      <c r="AJ5" s="338">
        <v>0</v>
      </c>
      <c r="AK5" s="338">
        <v>0</v>
      </c>
      <c r="AL5" s="338">
        <v>0</v>
      </c>
      <c r="AM5" s="338">
        <f t="shared" ref="AM5:AM15" si="0">SUM(F5:AL5)</f>
        <v>15.580000000000002</v>
      </c>
    </row>
    <row r="6" spans="1:39" ht="15.75">
      <c r="A6" s="586">
        <v>2</v>
      </c>
      <c r="B6" s="584" t="s">
        <v>42</v>
      </c>
      <c r="C6" s="584" t="s">
        <v>43</v>
      </c>
      <c r="D6" s="585" t="s">
        <v>44</v>
      </c>
      <c r="E6" s="352" t="s">
        <v>37</v>
      </c>
      <c r="F6" s="338">
        <v>0</v>
      </c>
      <c r="G6" s="338">
        <v>0</v>
      </c>
      <c r="H6" s="338">
        <v>0</v>
      </c>
      <c r="I6" s="338">
        <v>0</v>
      </c>
      <c r="J6" s="338">
        <v>0</v>
      </c>
      <c r="K6" s="338">
        <v>0</v>
      </c>
      <c r="L6" s="338">
        <v>0</v>
      </c>
      <c r="M6" s="338">
        <v>0</v>
      </c>
      <c r="N6" s="338">
        <v>0</v>
      </c>
      <c r="O6" s="338">
        <v>0</v>
      </c>
      <c r="P6" s="338">
        <v>0</v>
      </c>
      <c r="Q6" s="338">
        <v>0</v>
      </c>
      <c r="R6" s="338">
        <v>0</v>
      </c>
      <c r="S6" s="338">
        <v>0</v>
      </c>
      <c r="T6" s="338">
        <v>0</v>
      </c>
      <c r="U6" s="338">
        <v>0</v>
      </c>
      <c r="V6" s="338">
        <v>0</v>
      </c>
      <c r="W6" s="338">
        <v>0</v>
      </c>
      <c r="X6" s="338">
        <v>0</v>
      </c>
      <c r="Y6" s="338">
        <v>0</v>
      </c>
      <c r="Z6" s="338">
        <v>0</v>
      </c>
      <c r="AA6" s="338">
        <v>0</v>
      </c>
      <c r="AB6" s="338">
        <v>0</v>
      </c>
      <c r="AC6" s="338">
        <v>0</v>
      </c>
      <c r="AD6" s="338">
        <v>0</v>
      </c>
      <c r="AE6" s="338">
        <v>0</v>
      </c>
      <c r="AF6" s="338">
        <v>0</v>
      </c>
      <c r="AG6" s="338">
        <v>0</v>
      </c>
      <c r="AH6" s="338">
        <v>0</v>
      </c>
      <c r="AI6" s="338">
        <v>0</v>
      </c>
      <c r="AJ6" s="338">
        <v>0</v>
      </c>
      <c r="AK6" s="338">
        <v>0</v>
      </c>
      <c r="AL6" s="338">
        <v>0</v>
      </c>
      <c r="AM6" s="338">
        <f t="shared" si="0"/>
        <v>0</v>
      </c>
    </row>
    <row r="7" spans="1:39" ht="15.75">
      <c r="A7" s="586"/>
      <c r="B7" s="584"/>
      <c r="C7" s="584"/>
      <c r="D7" s="585"/>
      <c r="E7" s="350" t="s">
        <v>41</v>
      </c>
      <c r="F7" s="338">
        <v>0</v>
      </c>
      <c r="G7" s="338">
        <v>0</v>
      </c>
      <c r="H7" s="338">
        <v>0</v>
      </c>
      <c r="I7" s="338">
        <v>0</v>
      </c>
      <c r="J7" s="338">
        <v>0</v>
      </c>
      <c r="K7" s="338">
        <v>0</v>
      </c>
      <c r="L7" s="338">
        <v>0</v>
      </c>
      <c r="M7" s="338">
        <v>0</v>
      </c>
      <c r="N7" s="338">
        <v>0</v>
      </c>
      <c r="O7" s="338">
        <v>0</v>
      </c>
      <c r="P7" s="338">
        <v>0</v>
      </c>
      <c r="Q7" s="338">
        <v>0</v>
      </c>
      <c r="R7" s="338">
        <v>0</v>
      </c>
      <c r="S7" s="338">
        <v>0</v>
      </c>
      <c r="T7" s="338">
        <v>0</v>
      </c>
      <c r="U7" s="338">
        <v>0</v>
      </c>
      <c r="V7" s="338">
        <v>0</v>
      </c>
      <c r="W7" s="338">
        <v>0</v>
      </c>
      <c r="X7" s="338">
        <v>0</v>
      </c>
      <c r="Y7" s="338">
        <v>0</v>
      </c>
      <c r="Z7" s="338">
        <v>0</v>
      </c>
      <c r="AA7" s="338"/>
      <c r="AB7" s="338">
        <v>0</v>
      </c>
      <c r="AC7" s="351">
        <v>0</v>
      </c>
      <c r="AD7" s="338">
        <v>0</v>
      </c>
      <c r="AE7" s="338">
        <v>0</v>
      </c>
      <c r="AF7" s="338">
        <v>0</v>
      </c>
      <c r="AG7" s="338">
        <v>0</v>
      </c>
      <c r="AH7" s="338">
        <v>0</v>
      </c>
      <c r="AI7" s="338">
        <v>0</v>
      </c>
      <c r="AJ7" s="338">
        <v>0</v>
      </c>
      <c r="AK7" s="338">
        <v>0</v>
      </c>
      <c r="AL7" s="338">
        <v>0</v>
      </c>
      <c r="AM7" s="338">
        <f t="shared" si="0"/>
        <v>0</v>
      </c>
    </row>
    <row r="8" spans="1:39" ht="15.75">
      <c r="A8" s="586">
        <v>3</v>
      </c>
      <c r="B8" s="584" t="s">
        <v>45</v>
      </c>
      <c r="C8" s="584" t="s">
        <v>43</v>
      </c>
      <c r="D8" s="585" t="s">
        <v>46</v>
      </c>
      <c r="E8" s="352" t="s">
        <v>37</v>
      </c>
      <c r="F8" s="338">
        <v>0</v>
      </c>
      <c r="G8" s="338">
        <v>0</v>
      </c>
      <c r="H8" s="338">
        <v>0</v>
      </c>
      <c r="I8" s="338">
        <v>0</v>
      </c>
      <c r="J8" s="338">
        <v>33.44</v>
      </c>
      <c r="K8" s="338">
        <v>0</v>
      </c>
      <c r="L8" s="338">
        <v>0</v>
      </c>
      <c r="M8" s="338">
        <v>0</v>
      </c>
      <c r="N8" s="338">
        <v>0</v>
      </c>
      <c r="O8" s="338">
        <v>0</v>
      </c>
      <c r="P8" s="338">
        <v>0</v>
      </c>
      <c r="Q8" s="338">
        <v>0</v>
      </c>
      <c r="R8" s="338">
        <v>35.53</v>
      </c>
      <c r="S8" s="338">
        <v>0</v>
      </c>
      <c r="T8" s="338">
        <v>0</v>
      </c>
      <c r="U8" s="338">
        <v>0</v>
      </c>
      <c r="V8" s="338">
        <v>0</v>
      </c>
      <c r="W8" s="338">
        <v>0</v>
      </c>
      <c r="X8" s="338">
        <v>0</v>
      </c>
      <c r="Y8" s="338">
        <v>0</v>
      </c>
      <c r="Z8" s="338">
        <v>0</v>
      </c>
      <c r="AA8" s="338">
        <v>0</v>
      </c>
      <c r="AB8" s="338">
        <v>33.44</v>
      </c>
      <c r="AC8" s="338">
        <v>0</v>
      </c>
      <c r="AD8" s="338">
        <v>0</v>
      </c>
      <c r="AE8" s="338">
        <v>0</v>
      </c>
      <c r="AF8" s="338">
        <v>0</v>
      </c>
      <c r="AG8" s="338">
        <v>0</v>
      </c>
      <c r="AH8" s="338">
        <v>0</v>
      </c>
      <c r="AI8" s="338">
        <v>0</v>
      </c>
      <c r="AJ8" s="338">
        <v>0</v>
      </c>
      <c r="AK8" s="338">
        <v>0</v>
      </c>
      <c r="AL8" s="338">
        <v>0</v>
      </c>
      <c r="AM8" s="338">
        <f t="shared" si="0"/>
        <v>102.41</v>
      </c>
    </row>
    <row r="9" spans="1:39" ht="15.75">
      <c r="A9" s="586"/>
      <c r="B9" s="584"/>
      <c r="C9" s="584"/>
      <c r="D9" s="585"/>
      <c r="E9" s="350" t="s">
        <v>41</v>
      </c>
      <c r="F9" s="338">
        <v>0</v>
      </c>
      <c r="G9" s="338">
        <v>0</v>
      </c>
      <c r="H9" s="338">
        <v>0</v>
      </c>
      <c r="I9" s="338">
        <v>0</v>
      </c>
      <c r="J9" s="338">
        <v>0</v>
      </c>
      <c r="K9" s="338">
        <v>0</v>
      </c>
      <c r="L9" s="338">
        <v>0</v>
      </c>
      <c r="M9" s="338">
        <v>0</v>
      </c>
      <c r="N9" s="338">
        <v>0</v>
      </c>
      <c r="O9" s="338">
        <v>0</v>
      </c>
      <c r="P9" s="338">
        <v>0</v>
      </c>
      <c r="Q9" s="338">
        <v>0</v>
      </c>
      <c r="R9" s="338">
        <v>0</v>
      </c>
      <c r="S9" s="338">
        <v>0</v>
      </c>
      <c r="T9" s="338">
        <v>0</v>
      </c>
      <c r="U9" s="338">
        <v>0</v>
      </c>
      <c r="V9" s="338">
        <v>0</v>
      </c>
      <c r="W9" s="338">
        <v>0</v>
      </c>
      <c r="X9" s="338">
        <v>0</v>
      </c>
      <c r="Y9" s="338">
        <v>0</v>
      </c>
      <c r="Z9" s="338">
        <v>0</v>
      </c>
      <c r="AA9" s="338"/>
      <c r="AB9" s="338">
        <v>0</v>
      </c>
      <c r="AC9" s="351">
        <v>0</v>
      </c>
      <c r="AD9" s="338">
        <v>0</v>
      </c>
      <c r="AE9" s="338">
        <v>0</v>
      </c>
      <c r="AF9" s="338">
        <v>0</v>
      </c>
      <c r="AG9" s="338">
        <v>0</v>
      </c>
      <c r="AH9" s="338">
        <v>0</v>
      </c>
      <c r="AI9" s="338">
        <v>0</v>
      </c>
      <c r="AJ9" s="338">
        <v>0</v>
      </c>
      <c r="AK9" s="338">
        <v>0</v>
      </c>
      <c r="AL9" s="338">
        <v>0</v>
      </c>
      <c r="AM9" s="338">
        <f t="shared" si="0"/>
        <v>0</v>
      </c>
    </row>
    <row r="10" spans="1:39" ht="15.75">
      <c r="A10" s="586">
        <v>4</v>
      </c>
      <c r="B10" s="584" t="s">
        <v>47</v>
      </c>
      <c r="C10" s="584" t="s">
        <v>43</v>
      </c>
      <c r="D10" s="585" t="s">
        <v>48</v>
      </c>
      <c r="E10" s="352" t="s">
        <v>37</v>
      </c>
      <c r="F10" s="338">
        <v>0</v>
      </c>
      <c r="G10" s="338">
        <v>0</v>
      </c>
      <c r="H10" s="338">
        <v>0</v>
      </c>
      <c r="I10" s="338">
        <v>0</v>
      </c>
      <c r="J10" s="338">
        <v>0</v>
      </c>
      <c r="K10" s="338">
        <v>0</v>
      </c>
      <c r="L10" s="338">
        <v>0</v>
      </c>
      <c r="M10" s="338">
        <v>0</v>
      </c>
      <c r="N10" s="338">
        <v>0</v>
      </c>
      <c r="O10" s="338">
        <v>0</v>
      </c>
      <c r="P10" s="338">
        <v>49.22</v>
      </c>
      <c r="Q10" s="338">
        <v>0</v>
      </c>
      <c r="R10" s="338">
        <v>0</v>
      </c>
      <c r="S10" s="338">
        <v>0</v>
      </c>
      <c r="T10" s="338">
        <v>0</v>
      </c>
      <c r="U10" s="338">
        <v>54.57</v>
      </c>
      <c r="V10" s="338">
        <v>0</v>
      </c>
      <c r="W10" s="338">
        <v>0</v>
      </c>
      <c r="X10" s="338">
        <v>0</v>
      </c>
      <c r="Y10" s="338">
        <v>0</v>
      </c>
      <c r="Z10" s="338">
        <v>0</v>
      </c>
      <c r="AA10" s="338">
        <v>0</v>
      </c>
      <c r="AB10" s="338">
        <v>0</v>
      </c>
      <c r="AC10" s="338">
        <v>0</v>
      </c>
      <c r="AD10" s="338">
        <v>49.8</v>
      </c>
      <c r="AE10" s="338">
        <v>0</v>
      </c>
      <c r="AF10" s="338">
        <v>0</v>
      </c>
      <c r="AG10" s="338">
        <v>0</v>
      </c>
      <c r="AH10" s="338">
        <v>0</v>
      </c>
      <c r="AI10" s="338">
        <v>0</v>
      </c>
      <c r="AJ10" s="338">
        <v>0</v>
      </c>
      <c r="AK10" s="338">
        <v>0</v>
      </c>
      <c r="AL10" s="338">
        <v>0</v>
      </c>
      <c r="AM10" s="338">
        <f t="shared" si="0"/>
        <v>153.58999999999997</v>
      </c>
    </row>
    <row r="11" spans="1:39" ht="15.75">
      <c r="A11" s="586"/>
      <c r="B11" s="584"/>
      <c r="C11" s="584"/>
      <c r="D11" s="585"/>
      <c r="E11" s="350" t="s">
        <v>41</v>
      </c>
      <c r="F11" s="338">
        <v>0</v>
      </c>
      <c r="G11" s="338">
        <v>0</v>
      </c>
      <c r="H11" s="338">
        <v>0</v>
      </c>
      <c r="I11" s="338">
        <v>0</v>
      </c>
      <c r="J11" s="338">
        <v>0</v>
      </c>
      <c r="K11" s="338">
        <v>0</v>
      </c>
      <c r="L11" s="338">
        <v>0</v>
      </c>
      <c r="M11" s="338">
        <v>0</v>
      </c>
      <c r="N11" s="338">
        <v>0</v>
      </c>
      <c r="O11" s="338">
        <v>0</v>
      </c>
      <c r="P11" s="338">
        <v>0</v>
      </c>
      <c r="Q11" s="338">
        <v>0</v>
      </c>
      <c r="R11" s="338">
        <v>0</v>
      </c>
      <c r="S11" s="338">
        <v>0</v>
      </c>
      <c r="T11" s="338">
        <v>0</v>
      </c>
      <c r="U11" s="338">
        <v>0</v>
      </c>
      <c r="V11" s="338">
        <v>0</v>
      </c>
      <c r="W11" s="338">
        <v>0</v>
      </c>
      <c r="X11" s="338">
        <v>0</v>
      </c>
      <c r="Y11" s="338">
        <v>0</v>
      </c>
      <c r="Z11" s="338">
        <v>0</v>
      </c>
      <c r="AA11" s="338"/>
      <c r="AB11" s="338">
        <v>0</v>
      </c>
      <c r="AC11" s="351">
        <v>0</v>
      </c>
      <c r="AD11" s="338">
        <v>0</v>
      </c>
      <c r="AE11" s="338">
        <v>0</v>
      </c>
      <c r="AF11" s="338">
        <v>0</v>
      </c>
      <c r="AG11" s="338">
        <v>0</v>
      </c>
      <c r="AH11" s="338">
        <v>0</v>
      </c>
      <c r="AI11" s="338">
        <v>0</v>
      </c>
      <c r="AJ11" s="338">
        <v>0</v>
      </c>
      <c r="AK11" s="338">
        <v>0</v>
      </c>
      <c r="AL11" s="338">
        <v>0</v>
      </c>
      <c r="AM11" s="338">
        <f t="shared" si="0"/>
        <v>0</v>
      </c>
    </row>
    <row r="12" spans="1:39" ht="15.75">
      <c r="A12" s="586">
        <v>5</v>
      </c>
      <c r="B12" s="584" t="s">
        <v>49</v>
      </c>
      <c r="C12" s="584" t="s">
        <v>50</v>
      </c>
      <c r="D12" s="585" t="s">
        <v>51</v>
      </c>
      <c r="E12" s="352" t="s">
        <v>37</v>
      </c>
      <c r="F12" s="338">
        <v>0</v>
      </c>
      <c r="G12" s="338">
        <v>0</v>
      </c>
      <c r="H12" s="338">
        <v>0</v>
      </c>
      <c r="I12" s="338">
        <v>0</v>
      </c>
      <c r="J12" s="338">
        <v>0</v>
      </c>
      <c r="K12" s="338">
        <v>0</v>
      </c>
      <c r="L12" s="338">
        <v>0</v>
      </c>
      <c r="M12" s="338">
        <v>0</v>
      </c>
      <c r="N12" s="338">
        <v>86.29</v>
      </c>
      <c r="O12" s="338">
        <v>0</v>
      </c>
      <c r="P12" s="338">
        <v>0</v>
      </c>
      <c r="Q12" s="338">
        <v>0</v>
      </c>
      <c r="R12" s="338">
        <v>0</v>
      </c>
      <c r="S12" s="338">
        <v>0</v>
      </c>
      <c r="T12" s="338">
        <v>0</v>
      </c>
      <c r="U12" s="338">
        <v>0</v>
      </c>
      <c r="V12" s="338">
        <v>0</v>
      </c>
      <c r="W12" s="338">
        <v>0</v>
      </c>
      <c r="X12" s="338">
        <v>0</v>
      </c>
      <c r="Y12" s="338">
        <v>0</v>
      </c>
      <c r="Z12" s="338">
        <v>0</v>
      </c>
      <c r="AA12" s="338">
        <v>0</v>
      </c>
      <c r="AB12" s="338">
        <v>0</v>
      </c>
      <c r="AC12" s="338">
        <v>0</v>
      </c>
      <c r="AD12" s="338">
        <v>145.61000000000001</v>
      </c>
      <c r="AE12" s="338">
        <v>0</v>
      </c>
      <c r="AF12" s="338">
        <v>0</v>
      </c>
      <c r="AG12" s="338">
        <v>0</v>
      </c>
      <c r="AH12" s="338">
        <v>0</v>
      </c>
      <c r="AI12" s="338">
        <v>0</v>
      </c>
      <c r="AJ12" s="338">
        <v>0</v>
      </c>
      <c r="AK12" s="338">
        <v>0</v>
      </c>
      <c r="AL12" s="338">
        <v>0</v>
      </c>
      <c r="AM12" s="338">
        <f t="shared" si="0"/>
        <v>231.90000000000003</v>
      </c>
    </row>
    <row r="13" spans="1:39" ht="15.75">
      <c r="A13" s="586"/>
      <c r="B13" s="584"/>
      <c r="C13" s="584"/>
      <c r="D13" s="585"/>
      <c r="E13" s="350" t="s">
        <v>41</v>
      </c>
      <c r="F13" s="338">
        <v>0</v>
      </c>
      <c r="G13" s="338">
        <v>0</v>
      </c>
      <c r="H13" s="338">
        <v>0</v>
      </c>
      <c r="I13" s="338">
        <v>0</v>
      </c>
      <c r="J13" s="338">
        <v>0</v>
      </c>
      <c r="K13" s="338">
        <v>0</v>
      </c>
      <c r="L13" s="338">
        <v>0</v>
      </c>
      <c r="M13" s="338">
        <v>0</v>
      </c>
      <c r="N13" s="338">
        <v>0</v>
      </c>
      <c r="O13" s="338">
        <v>0</v>
      </c>
      <c r="P13" s="338">
        <v>0</v>
      </c>
      <c r="Q13" s="338">
        <v>0</v>
      </c>
      <c r="R13" s="338">
        <v>0</v>
      </c>
      <c r="S13" s="338">
        <v>0</v>
      </c>
      <c r="T13" s="338">
        <v>0</v>
      </c>
      <c r="U13" s="338">
        <v>0</v>
      </c>
      <c r="V13" s="338">
        <v>0</v>
      </c>
      <c r="W13" s="338">
        <v>0</v>
      </c>
      <c r="X13" s="338">
        <v>0</v>
      </c>
      <c r="Y13" s="338">
        <v>0</v>
      </c>
      <c r="Z13" s="338">
        <v>0</v>
      </c>
      <c r="AA13" s="338"/>
      <c r="AB13" s="338">
        <v>0</v>
      </c>
      <c r="AC13" s="351">
        <v>0</v>
      </c>
      <c r="AD13" s="338">
        <v>0</v>
      </c>
      <c r="AE13" s="338">
        <v>0</v>
      </c>
      <c r="AF13" s="338">
        <v>0</v>
      </c>
      <c r="AG13" s="338">
        <v>0</v>
      </c>
      <c r="AH13" s="338">
        <v>0</v>
      </c>
      <c r="AI13" s="338">
        <v>0</v>
      </c>
      <c r="AJ13" s="338">
        <v>0</v>
      </c>
      <c r="AK13" s="338">
        <v>0</v>
      </c>
      <c r="AL13" s="338">
        <v>0</v>
      </c>
      <c r="AM13" s="338">
        <f t="shared" si="0"/>
        <v>0</v>
      </c>
    </row>
    <row r="14" spans="1:39" ht="15.75">
      <c r="A14" s="586">
        <v>6</v>
      </c>
      <c r="B14" s="584" t="s">
        <v>49</v>
      </c>
      <c r="C14" s="584" t="s">
        <v>52</v>
      </c>
      <c r="D14" s="585" t="s">
        <v>53</v>
      </c>
      <c r="E14" s="352" t="s">
        <v>37</v>
      </c>
      <c r="F14" s="338">
        <v>0</v>
      </c>
      <c r="G14" s="338">
        <v>0</v>
      </c>
      <c r="H14" s="338">
        <v>0</v>
      </c>
      <c r="I14" s="338">
        <v>0</v>
      </c>
      <c r="J14" s="338">
        <v>0</v>
      </c>
      <c r="K14" s="338">
        <v>0</v>
      </c>
      <c r="L14" s="338">
        <v>40</v>
      </c>
      <c r="M14" s="338">
        <v>40</v>
      </c>
      <c r="N14" s="338">
        <v>0</v>
      </c>
      <c r="O14" s="338">
        <v>36</v>
      </c>
      <c r="P14" s="338">
        <v>35</v>
      </c>
      <c r="Q14" s="338">
        <v>0</v>
      </c>
      <c r="R14" s="338">
        <v>0</v>
      </c>
      <c r="S14" s="338">
        <v>0</v>
      </c>
      <c r="T14" s="338">
        <v>0</v>
      </c>
      <c r="U14" s="338">
        <v>0</v>
      </c>
      <c r="V14" s="338">
        <v>0</v>
      </c>
      <c r="W14" s="338">
        <v>45</v>
      </c>
      <c r="X14" s="338">
        <v>45</v>
      </c>
      <c r="Y14" s="338">
        <v>43.53</v>
      </c>
      <c r="Z14" s="338">
        <v>40</v>
      </c>
      <c r="AA14" s="338">
        <v>43</v>
      </c>
      <c r="AB14" s="338">
        <v>0</v>
      </c>
      <c r="AC14" s="338">
        <v>40</v>
      </c>
      <c r="AD14" s="338">
        <v>0</v>
      </c>
      <c r="AE14" s="338">
        <v>40</v>
      </c>
      <c r="AF14" s="338">
        <v>0</v>
      </c>
      <c r="AG14" s="338">
        <v>0</v>
      </c>
      <c r="AH14" s="338">
        <v>0</v>
      </c>
      <c r="AI14" s="338">
        <v>0</v>
      </c>
      <c r="AJ14" s="338">
        <v>0</v>
      </c>
      <c r="AK14" s="338">
        <v>0</v>
      </c>
      <c r="AL14" s="338">
        <v>0</v>
      </c>
      <c r="AM14" s="338">
        <f t="shared" si="0"/>
        <v>447.53</v>
      </c>
    </row>
    <row r="15" spans="1:39" ht="15.75">
      <c r="A15" s="586"/>
      <c r="B15" s="584"/>
      <c r="C15" s="584"/>
      <c r="D15" s="585"/>
      <c r="E15" s="350" t="s">
        <v>41</v>
      </c>
      <c r="F15" s="338">
        <v>0</v>
      </c>
      <c r="G15" s="338">
        <v>0</v>
      </c>
      <c r="H15" s="338">
        <v>0</v>
      </c>
      <c r="I15" s="338">
        <v>0</v>
      </c>
      <c r="J15" s="338">
        <v>0</v>
      </c>
      <c r="K15" s="338">
        <v>0</v>
      </c>
      <c r="L15" s="338">
        <v>0</v>
      </c>
      <c r="M15" s="338">
        <v>0</v>
      </c>
      <c r="N15" s="338">
        <v>0</v>
      </c>
      <c r="O15" s="338">
        <v>0</v>
      </c>
      <c r="P15" s="338">
        <v>0</v>
      </c>
      <c r="Q15" s="338">
        <v>0</v>
      </c>
      <c r="R15" s="338">
        <v>0</v>
      </c>
      <c r="S15" s="338">
        <v>0</v>
      </c>
      <c r="T15" s="338">
        <v>0</v>
      </c>
      <c r="U15" s="338">
        <v>0</v>
      </c>
      <c r="V15" s="338">
        <v>0</v>
      </c>
      <c r="W15" s="338">
        <v>0</v>
      </c>
      <c r="X15" s="338">
        <v>0</v>
      </c>
      <c r="Y15" s="338">
        <v>0</v>
      </c>
      <c r="Z15" s="338">
        <v>0</v>
      </c>
      <c r="AA15" s="338"/>
      <c r="AB15" s="338">
        <v>0</v>
      </c>
      <c r="AC15" s="351">
        <v>0</v>
      </c>
      <c r="AD15" s="338">
        <v>0</v>
      </c>
      <c r="AE15" s="338">
        <v>0</v>
      </c>
      <c r="AF15" s="338">
        <v>0</v>
      </c>
      <c r="AG15" s="338">
        <v>0</v>
      </c>
      <c r="AH15" s="338">
        <v>0</v>
      </c>
      <c r="AI15" s="338">
        <v>0</v>
      </c>
      <c r="AJ15" s="338">
        <v>0</v>
      </c>
      <c r="AK15" s="338">
        <v>0</v>
      </c>
      <c r="AL15" s="338">
        <v>0</v>
      </c>
      <c r="AM15" s="338">
        <f t="shared" si="0"/>
        <v>0</v>
      </c>
    </row>
    <row r="18" spans="7:7">
      <c r="G18" t="s">
        <v>54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83"/>
  <sheetViews>
    <sheetView topLeftCell="A20" workbookViewId="0">
      <selection activeCell="K27" sqref="K27"/>
    </sheetView>
  </sheetViews>
  <sheetFormatPr defaultColWidth="8.28515625" defaultRowHeight="15.75"/>
  <cols>
    <col min="1" max="1" width="8.28515625" style="262"/>
    <col min="2" max="2" width="25" style="262" customWidth="1"/>
    <col min="3" max="3" width="34.5703125" style="262" bestFit="1" customWidth="1"/>
    <col min="4" max="4" width="13.5703125" style="262" bestFit="1" customWidth="1"/>
    <col min="5" max="5" width="15.42578125" style="262" customWidth="1"/>
    <col min="6" max="6" width="14.5703125" style="262" customWidth="1"/>
    <col min="7" max="7" width="16.5703125" style="262" customWidth="1"/>
    <col min="8" max="8" width="18" style="262" customWidth="1"/>
    <col min="9" max="9" width="17.42578125" style="262" customWidth="1"/>
    <col min="10" max="10" width="16.7109375" style="262" customWidth="1"/>
    <col min="11" max="11" width="20.42578125" style="262" customWidth="1"/>
    <col min="12" max="12" width="22.7109375" style="262" customWidth="1"/>
    <col min="13" max="13" width="16.85546875" style="262" customWidth="1"/>
    <col min="14" max="16384" width="8.28515625" style="262"/>
  </cols>
  <sheetData>
    <row r="1" spans="1:11">
      <c r="A1" s="258" t="s">
        <v>55</v>
      </c>
      <c r="B1" s="259" t="s">
        <v>56</v>
      </c>
      <c r="C1" s="259" t="s">
        <v>57</v>
      </c>
      <c r="D1" s="260" t="s">
        <v>58</v>
      </c>
      <c r="E1" s="260" t="s">
        <v>59</v>
      </c>
      <c r="F1" s="260" t="s">
        <v>60</v>
      </c>
      <c r="G1" s="260" t="s">
        <v>61</v>
      </c>
      <c r="H1" s="260" t="s">
        <v>62</v>
      </c>
      <c r="I1" s="260" t="s">
        <v>63</v>
      </c>
      <c r="J1" s="260" t="s">
        <v>64</v>
      </c>
      <c r="K1" s="261" t="s">
        <v>65</v>
      </c>
    </row>
    <row r="2" spans="1:11">
      <c r="A2" s="316">
        <v>1</v>
      </c>
      <c r="B2" s="263" t="s">
        <v>66</v>
      </c>
      <c r="C2" s="263" t="s">
        <v>67</v>
      </c>
      <c r="D2" s="264">
        <f>+'Khammam-1'!E38</f>
        <v>39800</v>
      </c>
      <c r="E2" s="264">
        <f>+'Khammam-1'!G38</f>
        <v>4131240</v>
      </c>
      <c r="F2" s="264">
        <f>+'Khammam-1'!H38</f>
        <v>185</v>
      </c>
      <c r="G2" s="264">
        <f>+'Khammam-1'!J38</f>
        <v>21402.649999999998</v>
      </c>
      <c r="H2" s="264">
        <f>E2+G2</f>
        <v>4152642.65</v>
      </c>
      <c r="I2" s="264">
        <f>+'Khammam-1'!K3</f>
        <v>2805565.16</v>
      </c>
      <c r="J2" s="264">
        <f>+'Khammam-1'!L38</f>
        <v>2826324</v>
      </c>
      <c r="K2" s="317">
        <f>H2+I2-J2</f>
        <v>4131883.8100000005</v>
      </c>
    </row>
    <row r="3" spans="1:11">
      <c r="A3" s="316">
        <v>2</v>
      </c>
      <c r="B3" s="263" t="s">
        <v>68</v>
      </c>
      <c r="C3" s="263" t="s">
        <v>69</v>
      </c>
      <c r="D3" s="264">
        <f>+'Khammam-2'!E39</f>
        <v>39546</v>
      </c>
      <c r="E3" s="264">
        <f>+'Khammam-2'!G39</f>
        <v>4230666.96</v>
      </c>
      <c r="F3" s="264">
        <f>+'Khammam-2'!H39</f>
        <v>155</v>
      </c>
      <c r="G3" s="264">
        <f>+'Khammam-2'!J39</f>
        <v>17936.599999999999</v>
      </c>
      <c r="H3" s="264">
        <f>E3+G3</f>
        <v>4248603.5599999996</v>
      </c>
      <c r="I3" s="264">
        <f>+'Khammam-2'!K3</f>
        <v>0</v>
      </c>
      <c r="J3" s="264">
        <f>+'Khammam-2'!L39</f>
        <v>0</v>
      </c>
      <c r="K3" s="317">
        <f>H3+I3-J3</f>
        <v>4248603.5599999996</v>
      </c>
    </row>
    <row r="4" spans="1:11">
      <c r="A4" s="316">
        <v>3</v>
      </c>
      <c r="B4" s="508" t="s">
        <v>70</v>
      </c>
      <c r="C4" s="263" t="s">
        <v>71</v>
      </c>
      <c r="D4" s="264">
        <f>+'Khammam-4'!E35</f>
        <v>27000</v>
      </c>
      <c r="E4" s="264">
        <f>+'Khammam-4'!G35</f>
        <v>2797740</v>
      </c>
      <c r="F4" s="264">
        <f>+'Khammam-4'!H35</f>
        <v>595</v>
      </c>
      <c r="G4" s="264">
        <f>+'Khammam-4'!J35</f>
        <v>68716.55</v>
      </c>
      <c r="H4" s="264">
        <f t="shared" ref="H4:H5" si="0">E4+G4</f>
        <v>2866456.55</v>
      </c>
      <c r="I4" s="264">
        <f>+'Khammam-4'!M3</f>
        <v>843364.29999999981</v>
      </c>
      <c r="J4" s="264">
        <f>+'Khammam-4'!L35</f>
        <v>568209.75</v>
      </c>
      <c r="K4" s="317">
        <f t="shared" ref="K4:K6" si="1">H4+I4-J4</f>
        <v>3141611.0999999996</v>
      </c>
    </row>
    <row r="5" spans="1:11">
      <c r="A5" s="316">
        <v>4</v>
      </c>
      <c r="B5" s="508" t="s">
        <v>70</v>
      </c>
      <c r="C5" s="263" t="s">
        <v>72</v>
      </c>
      <c r="D5" s="264">
        <f>+' Khammam-5'!E35</f>
        <v>8200</v>
      </c>
      <c r="E5" s="264">
        <f>+' Khammam-5'!G35</f>
        <v>849684</v>
      </c>
      <c r="F5" s="264">
        <f>+' Khammam-5'!H35</f>
        <v>145</v>
      </c>
      <c r="G5" s="264">
        <f>+' Khammam-5'!J35</f>
        <v>16746.05</v>
      </c>
      <c r="H5" s="264">
        <f t="shared" si="0"/>
        <v>866430.05</v>
      </c>
      <c r="I5" s="264">
        <f>+' Khammam-5'!M3</f>
        <v>578571.80000000005</v>
      </c>
      <c r="J5" s="264">
        <f>+' Khammam-5'!L35</f>
        <v>0</v>
      </c>
      <c r="K5" s="317">
        <f t="shared" si="1"/>
        <v>1445001.85</v>
      </c>
    </row>
    <row r="6" spans="1:11">
      <c r="A6" s="316">
        <v>5</v>
      </c>
      <c r="B6" s="263" t="s">
        <v>73</v>
      </c>
      <c r="C6" s="263" t="s">
        <v>74</v>
      </c>
      <c r="D6" s="264">
        <f>+' Khammam&amp;Cash'!E46</f>
        <v>0</v>
      </c>
      <c r="E6" s="264">
        <f>+' Khammam&amp;Cash'!G46</f>
        <v>0</v>
      </c>
      <c r="F6" s="264">
        <f>+' Khammam&amp;Cash'!H46</f>
        <v>0</v>
      </c>
      <c r="G6" s="264">
        <f>+' Khammam&amp;Cash'!J46</f>
        <v>0</v>
      </c>
      <c r="H6" s="264">
        <f>E6+G6</f>
        <v>0</v>
      </c>
      <c r="I6" s="264">
        <f>+' Khammam&amp;Cash'!M3</f>
        <v>0</v>
      </c>
      <c r="J6" s="264">
        <f>+' Khammam&amp;Cash'!L46</f>
        <v>0</v>
      </c>
      <c r="K6" s="317">
        <f t="shared" si="1"/>
        <v>0</v>
      </c>
    </row>
    <row r="7" spans="1:11">
      <c r="A7" s="316">
        <v>6</v>
      </c>
      <c r="B7" s="263" t="s">
        <v>75</v>
      </c>
      <c r="C7" s="263" t="s">
        <v>76</v>
      </c>
      <c r="D7" s="264">
        <f>+'Jadcherla-4'!E35</f>
        <v>400</v>
      </c>
      <c r="E7" s="264">
        <f>+'Jadcherla-4'!G35</f>
        <v>41768</v>
      </c>
      <c r="F7" s="264">
        <f>+'Jadcherla-4'!H35</f>
        <v>30</v>
      </c>
      <c r="G7" s="264">
        <f>+'Jadcherla-4'!J35</f>
        <v>3489.8999999999996</v>
      </c>
      <c r="H7" s="264">
        <f>E7+G7</f>
        <v>45257.9</v>
      </c>
      <c r="I7" s="264">
        <f>+'Jadcherla-4'!M3</f>
        <v>2600.2799999999988</v>
      </c>
      <c r="J7" s="264">
        <f>+'Jadcherla-4'!L35</f>
        <v>0</v>
      </c>
      <c r="K7" s="317">
        <f>H7+I7-J7</f>
        <v>47858.18</v>
      </c>
    </row>
    <row r="8" spans="1:11">
      <c r="A8" s="316">
        <v>7</v>
      </c>
      <c r="B8" s="263" t="s">
        <v>77</v>
      </c>
      <c r="C8" s="263" t="s">
        <v>78</v>
      </c>
      <c r="D8" s="264">
        <f>+' Sangareddy-2'!E35</f>
        <v>0</v>
      </c>
      <c r="E8" s="264">
        <f>+' Sangareddy-2'!G35</f>
        <v>0</v>
      </c>
      <c r="F8" s="264">
        <f>+' Sangareddy-2'!H35</f>
        <v>0</v>
      </c>
      <c r="G8" s="264">
        <f>+' Sangareddy-2'!J35</f>
        <v>0</v>
      </c>
      <c r="H8" s="264">
        <f>E8+G8</f>
        <v>0</v>
      </c>
      <c r="I8" s="264">
        <f>+' Sangareddy-2'!M3</f>
        <v>0</v>
      </c>
      <c r="J8" s="264">
        <f>+' Sangareddy-2'!L35</f>
        <v>0</v>
      </c>
      <c r="K8" s="317">
        <f>H8+I8-J8</f>
        <v>0</v>
      </c>
    </row>
    <row r="9" spans="1:11">
      <c r="A9" s="316">
        <v>8</v>
      </c>
      <c r="B9" s="263" t="s">
        <v>79</v>
      </c>
      <c r="C9" s="263" t="s">
        <v>80</v>
      </c>
      <c r="D9" s="264">
        <f>+' Sangareddy-3'!E36</f>
        <v>6120</v>
      </c>
      <c r="E9" s="264">
        <f>+' Sangareddy-3'!G36</f>
        <v>638622</v>
      </c>
      <c r="F9" s="264">
        <f>+' Sangareddy-3'!H36</f>
        <v>82</v>
      </c>
      <c r="G9" s="264">
        <f>+' Sangareddy-3'!J36</f>
        <v>9532.5</v>
      </c>
      <c r="H9" s="264">
        <f>E9+G9</f>
        <v>648154.5</v>
      </c>
      <c r="I9" s="264">
        <f>+' Sangareddy-3'!M3</f>
        <v>146154.99289999984</v>
      </c>
      <c r="J9" s="264">
        <f>+' Sangareddy-3'!L36</f>
        <v>427500</v>
      </c>
      <c r="K9" s="469">
        <f>H9+I9-J9</f>
        <v>366809.49289999984</v>
      </c>
    </row>
    <row r="10" spans="1:11">
      <c r="A10" s="316">
        <v>9</v>
      </c>
      <c r="B10" s="263" t="s">
        <v>81</v>
      </c>
      <c r="C10" s="468" t="s">
        <v>82</v>
      </c>
      <c r="D10" s="322">
        <f>Narayankhed!E35</f>
        <v>2046.27</v>
      </c>
      <c r="E10" s="322">
        <f>+Narayankhed!G35</f>
        <v>214943.34510000001</v>
      </c>
      <c r="F10" s="322">
        <f>+Narayankhed!H35</f>
        <v>0</v>
      </c>
      <c r="G10" s="322">
        <f>+Narayankhed!J35</f>
        <v>0</v>
      </c>
      <c r="H10" s="322">
        <f>E10+G10</f>
        <v>214943.34510000001</v>
      </c>
      <c r="I10" s="322">
        <f>+Narayankhed!M3</f>
        <v>0</v>
      </c>
      <c r="J10" s="497">
        <f>+Narayankhed!L35</f>
        <v>214943.34510000001</v>
      </c>
      <c r="K10" s="317">
        <f>H10+I10-J10</f>
        <v>0</v>
      </c>
    </row>
    <row r="11" spans="1:11">
      <c r="A11" s="316">
        <v>10</v>
      </c>
      <c r="B11" s="467" t="s">
        <v>83</v>
      </c>
      <c r="C11" s="263" t="s">
        <v>84</v>
      </c>
      <c r="D11" s="264">
        <f>+Dindi!E35</f>
        <v>91.45</v>
      </c>
      <c r="E11" s="264">
        <f>+Dindi!G35</f>
        <v>9597.6775000000016</v>
      </c>
      <c r="F11" s="264">
        <f>+Dindi!H35</f>
        <v>0</v>
      </c>
      <c r="G11" s="264">
        <f>+Dindi!J35</f>
        <v>0</v>
      </c>
      <c r="H11" s="264">
        <f>E11+G11</f>
        <v>9597.6775000000016</v>
      </c>
      <c r="I11" s="264">
        <f>+Dindi!M3</f>
        <v>0</v>
      </c>
      <c r="J11" s="333">
        <f>+Dindi!L35</f>
        <v>9597.6775000000016</v>
      </c>
      <c r="K11" s="317">
        <f t="shared" ref="K11:K55" si="2">H11+I11-J11</f>
        <v>0</v>
      </c>
    </row>
    <row r="12" spans="1:11">
      <c r="A12" s="316">
        <v>11</v>
      </c>
      <c r="B12" s="467" t="s">
        <v>85</v>
      </c>
      <c r="C12" s="263" t="s">
        <v>86</v>
      </c>
      <c r="D12" s="264">
        <f>+'Madana palli'!E37</f>
        <v>0</v>
      </c>
      <c r="E12" s="264">
        <f>+'Madana palli'!G37</f>
        <v>0</v>
      </c>
      <c r="F12" s="264">
        <f>+'Madana palli'!H37</f>
        <v>0</v>
      </c>
      <c r="G12" s="264">
        <f>+'Madana palli'!J37</f>
        <v>0</v>
      </c>
      <c r="H12" s="264">
        <f>E12+G12</f>
        <v>0</v>
      </c>
      <c r="I12" s="264">
        <f>+'Madana palli'!M3</f>
        <v>0</v>
      </c>
      <c r="J12" s="333">
        <f>+'Madana palli'!L37</f>
        <v>0</v>
      </c>
      <c r="K12" s="317">
        <f t="shared" si="2"/>
        <v>0</v>
      </c>
    </row>
    <row r="13" spans="1:11">
      <c r="A13" s="316">
        <v>12</v>
      </c>
      <c r="B13" s="467" t="s">
        <v>87</v>
      </c>
      <c r="C13" s="263" t="s">
        <v>88</v>
      </c>
      <c r="D13" s="264">
        <f>+' Raja Filling Statuion'!E35</f>
        <v>119</v>
      </c>
      <c r="E13" s="264">
        <f>+' Raja Filling Statuion'!G35</f>
        <v>12565.21</v>
      </c>
      <c r="F13" s="264">
        <f>+' Raja Filling Statuion'!H35</f>
        <v>14</v>
      </c>
      <c r="G13" s="264">
        <f>+' Raja Filling Statuion'!J35</f>
        <v>1651.72</v>
      </c>
      <c r="H13" s="264">
        <f>E13+G13</f>
        <v>14216.929999999998</v>
      </c>
      <c r="I13" s="264">
        <f>+' Raja Filling Statuion'!M3</f>
        <v>0</v>
      </c>
      <c r="J13" s="333">
        <f>+' Raja Filling Statuion'!L35</f>
        <v>0</v>
      </c>
      <c r="K13" s="317">
        <f t="shared" si="2"/>
        <v>14216.929999999998</v>
      </c>
    </row>
    <row r="14" spans="1:11">
      <c r="A14" s="316">
        <v>13</v>
      </c>
      <c r="B14" s="467" t="s">
        <v>89</v>
      </c>
      <c r="C14" s="263" t="s">
        <v>90</v>
      </c>
      <c r="D14" s="264">
        <f>+'Sri Venkateshwara Services'!E37</f>
        <v>1621.364</v>
      </c>
      <c r="E14" s="264">
        <f>+'Sri Venkateshwara Services'!G37</f>
        <v>169724.38352</v>
      </c>
      <c r="F14" s="264">
        <f>+'Sri Venkateshwara Services'!H37</f>
        <v>245.02</v>
      </c>
      <c r="G14" s="264">
        <f>+'Sri Venkateshwara Services'!J37</f>
        <v>28657.539199999992</v>
      </c>
      <c r="H14" s="264">
        <f>E14+G14</f>
        <v>198381.92272</v>
      </c>
      <c r="I14" s="264">
        <f>+'Sri Venkateshwara Services'!M3</f>
        <v>17037.915199999999</v>
      </c>
      <c r="J14" s="333">
        <f>+'Sri Venkateshwara Services'!L37</f>
        <v>100000</v>
      </c>
      <c r="K14" s="317">
        <f t="shared" si="2"/>
        <v>115419.83791999999</v>
      </c>
    </row>
    <row r="15" spans="1:11">
      <c r="A15" s="316">
        <v>14</v>
      </c>
      <c r="B15" s="467" t="s">
        <v>91</v>
      </c>
      <c r="C15" s="263" t="s">
        <v>92</v>
      </c>
      <c r="D15" s="264">
        <f>+' Solasa Krishna OIl'!E37</f>
        <v>1795.41</v>
      </c>
      <c r="E15" s="264">
        <f>+' Solasa Krishna OIl'!G37</f>
        <v>189236.21400000001</v>
      </c>
      <c r="F15" s="264">
        <f>+' Solasa Krishna OIl'!H37</f>
        <v>28.049999999999997</v>
      </c>
      <c r="G15" s="264">
        <f>+' Solasa Krishna OIl'!J37</f>
        <v>3302.6069999999995</v>
      </c>
      <c r="H15" s="264">
        <f t="shared" ref="H15:H16" si="3">E15+G15</f>
        <v>192538.821</v>
      </c>
      <c r="I15" s="264">
        <f>+' Solasa Krishna OIl'!M3</f>
        <v>46362.715400000016</v>
      </c>
      <c r="J15" s="333">
        <f>+' Solasa Krishna OIl'!L37</f>
        <v>0</v>
      </c>
      <c r="K15" s="317">
        <f t="shared" si="2"/>
        <v>238901.53640000001</v>
      </c>
    </row>
    <row r="16" spans="1:11">
      <c r="A16" s="316">
        <v>15</v>
      </c>
      <c r="B16" s="467" t="s">
        <v>93</v>
      </c>
      <c r="C16" s="263" t="s">
        <v>94</v>
      </c>
      <c r="D16" s="264">
        <f>+'Amalapuram(KKD)'!E37</f>
        <v>10406.790000000001</v>
      </c>
      <c r="E16" s="264">
        <f>+'Amalapuram(KKD)'!G37</f>
        <v>1095314.6475</v>
      </c>
      <c r="F16" s="264">
        <f>+'Amalapuram(KKD)'!H37</f>
        <v>106</v>
      </c>
      <c r="G16" s="264">
        <f>+'Amalapuram(KKD)'!J37</f>
        <v>12463.479999999998</v>
      </c>
      <c r="H16" s="264">
        <f t="shared" si="3"/>
        <v>1107778.1274999999</v>
      </c>
      <c r="I16" s="264">
        <f>+'Amalapuram(KKD)'!M3</f>
        <v>426859.63750000001</v>
      </c>
      <c r="J16" s="333">
        <f>+'Amalapuram(KKD)'!L37</f>
        <v>1015000</v>
      </c>
      <c r="K16" s="317">
        <f t="shared" si="2"/>
        <v>519637.7649999999</v>
      </c>
    </row>
    <row r="17" spans="1:11">
      <c r="A17" s="316">
        <v>16</v>
      </c>
      <c r="B17" s="467" t="s">
        <v>95</v>
      </c>
      <c r="C17" s="466" t="s">
        <v>96</v>
      </c>
      <c r="D17" s="264">
        <f>+'Yeleshwaram(KKD)'!E37</f>
        <v>812.02</v>
      </c>
      <c r="E17" s="264">
        <f>+'Yeleshwaram(KKD)'!G37</f>
        <v>85635.629199999996</v>
      </c>
      <c r="F17" s="264">
        <f>+'Yeleshwaram(KKD)'!H37</f>
        <v>25</v>
      </c>
      <c r="G17" s="264">
        <f>+'Yeleshwaram(KKD)'!J37</f>
        <v>2946</v>
      </c>
      <c r="H17" s="264">
        <f>E17+G17</f>
        <v>88581.629199999996</v>
      </c>
      <c r="I17" s="264">
        <f>+'Yeleshwaram(KKD)'!M3</f>
        <v>8498.7135999999846</v>
      </c>
      <c r="J17" s="333">
        <f>+'Yeleshwaram(KKD)'!L37</f>
        <v>80000</v>
      </c>
      <c r="K17" s="317">
        <f t="shared" si="2"/>
        <v>17080.342799999984</v>
      </c>
    </row>
    <row r="18" spans="1:11">
      <c r="A18" s="316">
        <v>17</v>
      </c>
      <c r="B18" s="467" t="s">
        <v>97</v>
      </c>
      <c r="C18" s="466" t="s">
        <v>98</v>
      </c>
      <c r="D18" s="264">
        <f>+' Pitapram(KKD)'!E37</f>
        <v>5710.3</v>
      </c>
      <c r="E18" s="264">
        <f>+' Pitapram(KKD)'!G37</f>
        <v>600780.66300000006</v>
      </c>
      <c r="F18" s="264">
        <f>+' Pitapram(KKD)'!H37</f>
        <v>516.23</v>
      </c>
      <c r="G18" s="264">
        <f>+' Pitapram(KKD)'!J37</f>
        <v>60698.323399999994</v>
      </c>
      <c r="H18" s="264">
        <f>E18+G18</f>
        <v>661478.98640000005</v>
      </c>
      <c r="I18" s="264">
        <f>+' Pitapram(KKD)'!M3</f>
        <v>124353.99790000003</v>
      </c>
      <c r="J18" s="333">
        <f>+' Pitapram(KKD)'!L37</f>
        <v>494000</v>
      </c>
      <c r="K18" s="317">
        <f t="shared" si="2"/>
        <v>291832.98430000013</v>
      </c>
    </row>
    <row r="19" spans="1:11">
      <c r="A19" s="316">
        <v>18</v>
      </c>
      <c r="B19" s="467" t="s">
        <v>87</v>
      </c>
      <c r="C19" s="263" t="s">
        <v>99</v>
      </c>
      <c r="D19" s="264">
        <f>+' Pitapram(KKD)'!E38</f>
        <v>0</v>
      </c>
      <c r="E19" s="264">
        <f>+' Pitapram(KKD)'!G38</f>
        <v>0</v>
      </c>
      <c r="F19" s="264">
        <f>+' Pitapram(KKD)'!H38</f>
        <v>0</v>
      </c>
      <c r="G19" s="264">
        <f>+' Pitapram(KKD)'!J38</f>
        <v>0</v>
      </c>
      <c r="H19" s="264">
        <f>E19+G19</f>
        <v>0</v>
      </c>
      <c r="I19" s="264">
        <f>+'Multiple bunks(KKD)'!M3</f>
        <v>0</v>
      </c>
      <c r="J19" s="333">
        <f>+' Pitapram(KKD)'!L38</f>
        <v>0</v>
      </c>
      <c r="K19" s="317">
        <f>H19+I19-J19</f>
        <v>0</v>
      </c>
    </row>
    <row r="20" spans="1:11">
      <c r="A20" s="316">
        <v>19</v>
      </c>
      <c r="B20" s="467" t="s">
        <v>100</v>
      </c>
      <c r="C20" s="263" t="s">
        <v>101</v>
      </c>
      <c r="D20" s="264">
        <f>+'YG Gudda'!E39</f>
        <v>8000</v>
      </c>
      <c r="E20" s="264">
        <f>+'YG Gudda'!G39</f>
        <v>793120</v>
      </c>
      <c r="F20" s="264">
        <f>+'YG Gudda'!H39</f>
        <v>315</v>
      </c>
      <c r="G20" s="264">
        <f>+'YG Gudda'!J39</f>
        <v>35040.6</v>
      </c>
      <c r="H20" s="264">
        <f t="shared" ref="H20:H21" si="4">E20+G20</f>
        <v>828160.6</v>
      </c>
      <c r="I20" s="264">
        <f>+'YG Gudda'!M3</f>
        <v>127791.15990300011</v>
      </c>
      <c r="J20" s="333">
        <f>+'YG Gudda'!L39</f>
        <v>650000</v>
      </c>
      <c r="K20" s="317">
        <f t="shared" si="2"/>
        <v>305951.75990300009</v>
      </c>
    </row>
    <row r="21" spans="1:11">
      <c r="A21" s="316">
        <v>20</v>
      </c>
      <c r="B21" s="467" t="s">
        <v>100</v>
      </c>
      <c r="C21" s="263" t="s">
        <v>102</v>
      </c>
      <c r="D21" s="264">
        <f>+' YG Gudda-2'!E39</f>
        <v>2400</v>
      </c>
      <c r="E21" s="264">
        <f>+' YG Gudda-2'!G39</f>
        <v>237648</v>
      </c>
      <c r="F21" s="264">
        <f>+' YG Gudda-2'!H39</f>
        <v>105</v>
      </c>
      <c r="G21" s="264">
        <f>+' YG Gudda-2'!J39</f>
        <v>11667.6</v>
      </c>
      <c r="H21" s="264">
        <f t="shared" si="4"/>
        <v>249315.6</v>
      </c>
      <c r="I21" s="264">
        <f>+' YG Gudda-2'!M3</f>
        <v>156607.71919999999</v>
      </c>
      <c r="J21" s="333">
        <f>+' YG Gudda-2'!L39</f>
        <v>150000</v>
      </c>
      <c r="K21" s="317">
        <f t="shared" si="2"/>
        <v>255923.31920000003</v>
      </c>
    </row>
    <row r="22" spans="1:11">
      <c r="A22" s="316">
        <v>21</v>
      </c>
      <c r="B22" s="263" t="s">
        <v>103</v>
      </c>
      <c r="C22" s="470" t="s">
        <v>104</v>
      </c>
      <c r="D22" s="356">
        <f>+'Hosadurga -2'!E35</f>
        <v>1000</v>
      </c>
      <c r="E22" s="356">
        <f>+'Hosadurga -2'!G35</f>
        <v>99380</v>
      </c>
      <c r="F22" s="356">
        <f>+'Hosadurga -2'!H35</f>
        <v>70</v>
      </c>
      <c r="G22" s="356">
        <f>+'Hosadurga -2'!J35</f>
        <v>7820.4</v>
      </c>
      <c r="H22" s="356">
        <f>+'Hosadurga -2'!K35</f>
        <v>107200.4</v>
      </c>
      <c r="I22" s="356">
        <f>+'Hosadurga -2'!M3</f>
        <v>118809.59409999978</v>
      </c>
      <c r="J22" s="498">
        <f>+'Hosadurga -2'!L35</f>
        <v>100000</v>
      </c>
      <c r="K22" s="317">
        <f>H22+I22-J22</f>
        <v>126009.99409999978</v>
      </c>
    </row>
    <row r="23" spans="1:11" ht="15.75" customHeight="1">
      <c r="A23" s="316">
        <v>22</v>
      </c>
      <c r="B23" s="265" t="s">
        <v>105</v>
      </c>
      <c r="C23" s="265" t="s">
        <v>106</v>
      </c>
      <c r="D23" s="264">
        <f>+'Malebenur(KUWSDB)'!E38</f>
        <v>6099.92</v>
      </c>
      <c r="E23" s="264">
        <f>+'Malebenur(KUWSDB)'!G38</f>
        <v>609939.99359999993</v>
      </c>
      <c r="F23" s="264">
        <f>+'Malebenur(KUWSDB)'!H38</f>
        <v>185</v>
      </c>
      <c r="G23" s="264">
        <f>+'Malebenur(KUWSDB)'!J38</f>
        <v>20723.699999999997</v>
      </c>
      <c r="H23" s="264">
        <f>E23+G23</f>
        <v>630663.69359999988</v>
      </c>
      <c r="I23" s="264">
        <f>+'Malebenur(KUWSDB)'!M3</f>
        <v>122228.40989999997</v>
      </c>
      <c r="J23" s="333">
        <f>+'Malebenur(KUWSDB)'!L38</f>
        <v>461999.99359999999</v>
      </c>
      <c r="K23" s="317">
        <f>H23+I23-J23</f>
        <v>290892.10989999986</v>
      </c>
    </row>
    <row r="24" spans="1:11">
      <c r="A24" s="316">
        <v>23</v>
      </c>
      <c r="B24" s="263" t="s">
        <v>107</v>
      </c>
      <c r="C24" s="263" t="s">
        <v>108</v>
      </c>
      <c r="D24" s="264">
        <f>+Kadur!E35</f>
        <v>1600</v>
      </c>
      <c r="E24" s="264">
        <f>+Kadur!G35</f>
        <v>159936</v>
      </c>
      <c r="F24" s="264">
        <f>+Kadur!H35</f>
        <v>140</v>
      </c>
      <c r="G24" s="264">
        <f>+Kadur!J35</f>
        <v>15722</v>
      </c>
      <c r="H24" s="264">
        <f t="shared" ref="H24:H55" si="5">E24+G24</f>
        <v>175658</v>
      </c>
      <c r="I24" s="264">
        <f>+Kadur!K3</f>
        <v>0</v>
      </c>
      <c r="J24" s="333">
        <f>+Kadur!L35</f>
        <v>0</v>
      </c>
      <c r="K24" s="317">
        <f>H24+I24-J24</f>
        <v>175658</v>
      </c>
    </row>
    <row r="25" spans="1:11">
      <c r="A25" s="316">
        <v>24</v>
      </c>
      <c r="B25" s="263" t="s">
        <v>109</v>
      </c>
      <c r="C25" s="263" t="s">
        <v>110</v>
      </c>
      <c r="D25" s="264">
        <f>+'Hiriyur(VJNL)'!E35</f>
        <v>4700</v>
      </c>
      <c r="E25" s="264">
        <f>+'Hiriyur(VJNL)'!G35</f>
        <v>470423</v>
      </c>
      <c r="F25" s="264">
        <f>+'Hiriyur(VJNL)'!H35</f>
        <v>295</v>
      </c>
      <c r="G25" s="264">
        <f>+'Hiriyur(VJNL)'!J35</f>
        <v>33075.4</v>
      </c>
      <c r="H25" s="264">
        <f t="shared" si="5"/>
        <v>503498.4</v>
      </c>
      <c r="I25" s="264">
        <f>+'Hiriyur(VJNL)'!K3</f>
        <v>219945.70000000004</v>
      </c>
      <c r="J25" s="264">
        <f>+'Hiriyur(VJNL)'!L35</f>
        <v>511000</v>
      </c>
      <c r="K25" s="471">
        <f t="shared" si="2"/>
        <v>212444.10000000009</v>
      </c>
    </row>
    <row r="26" spans="1:11">
      <c r="A26" s="316">
        <v>25</v>
      </c>
      <c r="B26" s="263" t="s">
        <v>111</v>
      </c>
      <c r="C26" s="263" t="s">
        <v>112</v>
      </c>
      <c r="D26" s="264">
        <f>+'Chellakere -1'!E38</f>
        <v>3600</v>
      </c>
      <c r="E26" s="264">
        <f>+'Chellakere -1'!G38</f>
        <v>360180</v>
      </c>
      <c r="F26" s="264">
        <f>+'Chellakere -1'!H38</f>
        <v>175</v>
      </c>
      <c r="G26" s="264">
        <f>+'Chellakere -1'!J38</f>
        <v>19612.25</v>
      </c>
      <c r="H26" s="264">
        <f t="shared" si="5"/>
        <v>379792.25</v>
      </c>
      <c r="I26" s="264">
        <f>+'Chellakere -1'!K3</f>
        <v>0</v>
      </c>
      <c r="J26" s="264">
        <f>+'Chellakere -1'!L38</f>
        <v>191000</v>
      </c>
      <c r="K26" s="317">
        <f t="shared" si="2"/>
        <v>188792.25</v>
      </c>
    </row>
    <row r="27" spans="1:11">
      <c r="A27" s="316">
        <v>26</v>
      </c>
      <c r="B27" s="263" t="s">
        <v>113</v>
      </c>
      <c r="C27" s="263" t="s">
        <v>112</v>
      </c>
      <c r="D27" s="264">
        <f>+' Chellakere-PKG-9'!E38</f>
        <v>983.15000000000009</v>
      </c>
      <c r="E27" s="264">
        <f>+' Chellakere-PKG-9'!G38</f>
        <v>98364.157500000001</v>
      </c>
      <c r="F27" s="264">
        <f>+' Chellakere-PKG-9'!H38</f>
        <v>48.24</v>
      </c>
      <c r="G27" s="264">
        <f>+' Chellakere-PKG-9'!J38</f>
        <v>5406.2568000000001</v>
      </c>
      <c r="H27" s="264">
        <f t="shared" si="5"/>
        <v>103770.4143</v>
      </c>
      <c r="I27" s="264">
        <f>+' Chellakere-PKG-9'!M3</f>
        <v>0</v>
      </c>
      <c r="J27" s="264">
        <f>+' Chellakere-PKG-9'!L38</f>
        <v>103769.41530000001</v>
      </c>
      <c r="K27" s="317">
        <f t="shared" si="2"/>
        <v>0.99899999999615829</v>
      </c>
    </row>
    <row r="28" spans="1:11">
      <c r="A28" s="316">
        <v>27</v>
      </c>
      <c r="B28" s="263" t="s">
        <v>114</v>
      </c>
      <c r="C28" s="292" t="s">
        <v>115</v>
      </c>
      <c r="D28" s="264">
        <f>+Molakamuru!E35</f>
        <v>700</v>
      </c>
      <c r="E28" s="264">
        <f>+Molakamuru!G35</f>
        <v>70028</v>
      </c>
      <c r="F28" s="264">
        <f>+Molakamuru!H35</f>
        <v>40</v>
      </c>
      <c r="G28" s="264">
        <f>+Molakamuru!J35</f>
        <v>4482.3999999999996</v>
      </c>
      <c r="H28" s="264">
        <f>E28+G28</f>
        <v>74510.399999999994</v>
      </c>
      <c r="I28" s="264">
        <f>+Molakamuru!K3</f>
        <v>35260.26</v>
      </c>
      <c r="J28" s="264">
        <f>+Molakamuru!L35</f>
        <v>65000</v>
      </c>
      <c r="K28" s="317">
        <f>H28+I28-J28</f>
        <v>44770.66</v>
      </c>
    </row>
    <row r="29" spans="1:11">
      <c r="A29" s="316">
        <v>28</v>
      </c>
      <c r="B29" s="263" t="s">
        <v>116</v>
      </c>
      <c r="C29" s="315" t="s">
        <v>86</v>
      </c>
      <c r="D29" s="264">
        <f>+' Chennagiri'!E35</f>
        <v>1290</v>
      </c>
      <c r="E29" s="264">
        <f>+' Chennagiri'!G35</f>
        <v>128858.1</v>
      </c>
      <c r="F29" s="264">
        <f>+' Chennagiri'!H35</f>
        <v>70</v>
      </c>
      <c r="G29" s="264">
        <f>+' Chennagiri'!J35</f>
        <v>7844.2</v>
      </c>
      <c r="H29" s="264">
        <f t="shared" si="5"/>
        <v>136702.30000000002</v>
      </c>
      <c r="I29" s="264">
        <f>+' Chennagiri'!K3</f>
        <v>0</v>
      </c>
      <c r="J29" s="264">
        <f>+' Chennagiri'!L35</f>
        <v>136702.30000000002</v>
      </c>
      <c r="K29" s="317">
        <f t="shared" si="2"/>
        <v>0</v>
      </c>
    </row>
    <row r="30" spans="1:11">
      <c r="A30" s="316">
        <v>29</v>
      </c>
      <c r="B30" s="263" t="s">
        <v>117</v>
      </c>
      <c r="C30" s="263" t="s">
        <v>118</v>
      </c>
      <c r="D30" s="264">
        <f>+Khanapur!E35</f>
        <v>705.07</v>
      </c>
      <c r="E30" s="264">
        <f>+Khanapur!G35</f>
        <v>69583.358299999993</v>
      </c>
      <c r="F30" s="264">
        <f>+Khanapur!H35</f>
        <v>85</v>
      </c>
      <c r="G30" s="264">
        <f>+Khanapur!J35</f>
        <v>9412.9</v>
      </c>
      <c r="H30" s="264">
        <f t="shared" si="5"/>
        <v>78996.258299999987</v>
      </c>
      <c r="I30" s="264">
        <f>+Khanapur!M3</f>
        <v>41788.870699999992</v>
      </c>
      <c r="J30" s="264">
        <f>+Khanapur!L35</f>
        <v>0</v>
      </c>
      <c r="K30" s="317">
        <f t="shared" si="2"/>
        <v>120785.12899999999</v>
      </c>
    </row>
    <row r="31" spans="1:11">
      <c r="A31" s="316">
        <v>30</v>
      </c>
      <c r="B31" s="263" t="s">
        <v>119</v>
      </c>
      <c r="C31" s="263" t="s">
        <v>120</v>
      </c>
      <c r="D31" s="264">
        <f>+'Munavali-2'!E40</f>
        <v>5200</v>
      </c>
      <c r="E31" s="264">
        <f>+'Munavali-2'!G40</f>
        <v>516620</v>
      </c>
      <c r="F31" s="264">
        <f>+'Munavali-2'!H40</f>
        <v>0</v>
      </c>
      <c r="G31" s="264">
        <f>+'Munavali-2'!J40</f>
        <v>0</v>
      </c>
      <c r="H31" s="264">
        <f t="shared" si="5"/>
        <v>516620</v>
      </c>
      <c r="I31" s="264">
        <f>+'Munavali-2'!M3</f>
        <v>346801.5</v>
      </c>
      <c r="J31" s="264">
        <f>+'Munavali-2'!L40</f>
        <v>600000</v>
      </c>
      <c r="K31" s="317">
        <f t="shared" si="2"/>
        <v>263421.5</v>
      </c>
    </row>
    <row r="32" spans="1:11">
      <c r="A32" s="316">
        <v>31</v>
      </c>
      <c r="B32" s="263" t="s">
        <v>119</v>
      </c>
      <c r="C32" s="263" t="s">
        <v>121</v>
      </c>
      <c r="D32" s="264">
        <f>+' Munavali'!E39</f>
        <v>27.13</v>
      </c>
      <c r="E32" s="264">
        <f>+' Munavali'!G39</f>
        <v>2689.3968999999997</v>
      </c>
      <c r="F32" s="264">
        <f>+' Munavali'!H39</f>
        <v>240</v>
      </c>
      <c r="G32" s="264">
        <f>+' Munavali'!J39</f>
        <v>26690.399999999998</v>
      </c>
      <c r="H32" s="264">
        <f t="shared" si="5"/>
        <v>29379.796899999998</v>
      </c>
      <c r="I32" s="264">
        <f>+' Munavali'!M3</f>
        <v>665.26989999966463</v>
      </c>
      <c r="J32" s="264">
        <f>+' Munavali'!L39</f>
        <v>0</v>
      </c>
      <c r="K32" s="317">
        <f t="shared" si="2"/>
        <v>30045.066799999662</v>
      </c>
    </row>
    <row r="33" spans="1:13">
      <c r="A33" s="316">
        <v>32</v>
      </c>
      <c r="B33" s="263" t="s">
        <v>122</v>
      </c>
      <c r="C33" s="263" t="s">
        <v>123</v>
      </c>
      <c r="D33" s="264">
        <f>+'Ugar,Khagwad,Kudichi'!E37</f>
        <v>7865.6200000000008</v>
      </c>
      <c r="E33" s="264">
        <f>+'Ugar,Khagwad,Kudichi'!G37</f>
        <v>784516.93880000012</v>
      </c>
      <c r="F33" s="264">
        <f>+'Ugar,Khagwad,Kudichi'!H37</f>
        <v>411</v>
      </c>
      <c r="G33" s="264">
        <f>+'Ugar,Khagwad,Kudichi'!J37</f>
        <v>45971.199999999997</v>
      </c>
      <c r="H33" s="264">
        <f t="shared" si="5"/>
        <v>830488.13880000007</v>
      </c>
      <c r="I33" s="264">
        <f>+'Ugar,Khagwad,Kudichi'!M3</f>
        <v>583834.36570000043</v>
      </c>
      <c r="J33" s="264">
        <f>+'Ugar,Khagwad,Kudichi'!L37</f>
        <v>1113666.7</v>
      </c>
      <c r="K33" s="317">
        <f>H33+I33-J33</f>
        <v>300655.80450000055</v>
      </c>
    </row>
    <row r="34" spans="1:13">
      <c r="A34" s="316">
        <v>33</v>
      </c>
      <c r="B34" s="263" t="s">
        <v>124</v>
      </c>
      <c r="C34" s="263" t="s">
        <v>125</v>
      </c>
      <c r="D34" s="264">
        <f>+shedbal!E38</f>
        <v>2070.1400000000003</v>
      </c>
      <c r="E34" s="264">
        <f>+shedbal!G38</f>
        <v>206443.90820000001</v>
      </c>
      <c r="F34" s="264">
        <f>+shedbal!H38</f>
        <v>112</v>
      </c>
      <c r="G34" s="264">
        <f>+shedbal!J38</f>
        <v>12527.2</v>
      </c>
      <c r="H34" s="264">
        <f t="shared" si="5"/>
        <v>218971.10820000002</v>
      </c>
      <c r="I34" s="264">
        <f>+shedbal!M3</f>
        <v>170641.05489999999</v>
      </c>
      <c r="J34" s="264">
        <f>+shedbal!L38</f>
        <v>231000.11</v>
      </c>
      <c r="K34" s="317">
        <f>H34+I34-J34</f>
        <v>158612.05310000002</v>
      </c>
    </row>
    <row r="35" spans="1:13">
      <c r="A35" s="316">
        <v>34</v>
      </c>
      <c r="B35" s="263" t="s">
        <v>126</v>
      </c>
      <c r="C35" s="263" t="s">
        <v>127</v>
      </c>
      <c r="D35" s="264">
        <f>+Kabbur!E35</f>
        <v>21.58</v>
      </c>
      <c r="E35" s="264">
        <f>+Kabbur!G35</f>
        <v>2145.2677999999996</v>
      </c>
      <c r="F35" s="264">
        <f>+Kabbur!H35</f>
        <v>14.23</v>
      </c>
      <c r="G35" s="264">
        <f>+Kabbur!J35</f>
        <v>1586.7873</v>
      </c>
      <c r="H35" s="264">
        <f t="shared" si="5"/>
        <v>3732.0550999999996</v>
      </c>
      <c r="I35" s="264">
        <v>0</v>
      </c>
      <c r="J35" s="264">
        <f>+Kabbur!L35</f>
        <v>3732.0550999999996</v>
      </c>
      <c r="K35" s="317">
        <f>H35+I35-J35</f>
        <v>0</v>
      </c>
    </row>
    <row r="36" spans="1:13">
      <c r="A36" s="316">
        <v>35</v>
      </c>
      <c r="B36" s="263" t="s">
        <v>128</v>
      </c>
      <c r="C36" s="263" t="s">
        <v>129</v>
      </c>
      <c r="D36" s="264">
        <f>+kumta!E41</f>
        <v>1518.04</v>
      </c>
      <c r="E36" s="264">
        <f>+kumta!G41</f>
        <v>151470.03120000003</v>
      </c>
      <c r="F36" s="264">
        <f>+kumta!H41</f>
        <v>80</v>
      </c>
      <c r="G36" s="264">
        <f>+kumta!J41</f>
        <v>8958.4</v>
      </c>
      <c r="H36" s="264">
        <f t="shared" si="5"/>
        <v>160428.43120000002</v>
      </c>
      <c r="I36" s="264">
        <f>kumta!M3</f>
        <v>24092.226800000022</v>
      </c>
      <c r="J36" s="264">
        <f>+kumta!L41</f>
        <v>100000</v>
      </c>
      <c r="K36" s="317">
        <f t="shared" si="2"/>
        <v>84520.658000000054</v>
      </c>
    </row>
    <row r="37" spans="1:13">
      <c r="A37" s="316">
        <v>36</v>
      </c>
      <c r="B37" s="263" t="s">
        <v>130</v>
      </c>
      <c r="C37" s="263" t="s">
        <v>131</v>
      </c>
      <c r="D37" s="264">
        <f>+'Jalgoan-2'!E56</f>
        <v>5431</v>
      </c>
      <c r="E37" s="264">
        <f>'Jalgoan-2'!G56</f>
        <v>540438.81000000006</v>
      </c>
      <c r="F37" s="264">
        <f>+'Jalgoan-2'!H56</f>
        <v>130</v>
      </c>
      <c r="G37" s="264">
        <f>+'Jalgoan-2'!J56</f>
        <v>14713.400000000001</v>
      </c>
      <c r="H37" s="264">
        <f t="shared" si="5"/>
        <v>555152.21000000008</v>
      </c>
      <c r="I37" s="264">
        <f>+'Jalgoan-2'!M3</f>
        <v>50000.028200000059</v>
      </c>
      <c r="J37" s="264">
        <f>+'Jalgoan-2'!L56</f>
        <v>0</v>
      </c>
      <c r="K37" s="317">
        <f t="shared" si="2"/>
        <v>605152.23820000014</v>
      </c>
    </row>
    <row r="38" spans="1:13">
      <c r="A38" s="316">
        <v>37</v>
      </c>
      <c r="B38" s="263" t="s">
        <v>132</v>
      </c>
      <c r="C38" s="263" t="s">
        <v>133</v>
      </c>
      <c r="D38" s="264">
        <f>+MKBD!E42</f>
        <v>2500</v>
      </c>
      <c r="E38" s="264">
        <f>+MKBD!G42</f>
        <v>247350</v>
      </c>
      <c r="F38" s="264">
        <f>+MKBD!H42</f>
        <v>40</v>
      </c>
      <c r="G38" s="264">
        <f>+MKBD!J42</f>
        <v>4490.8</v>
      </c>
      <c r="H38" s="264">
        <f t="shared" si="5"/>
        <v>251840.8</v>
      </c>
      <c r="I38" s="264">
        <f>+MKBD!K3</f>
        <v>90567.009900001111</v>
      </c>
      <c r="J38" s="264">
        <f>+MKBD!L42</f>
        <v>0</v>
      </c>
      <c r="K38" s="317">
        <f t="shared" si="2"/>
        <v>342407.8099000011</v>
      </c>
    </row>
    <row r="39" spans="1:13">
      <c r="A39" s="316">
        <v>38</v>
      </c>
      <c r="B39" s="263" t="s">
        <v>134</v>
      </c>
      <c r="C39" s="263" t="s">
        <v>135</v>
      </c>
      <c r="D39" s="264">
        <f>' Haveri-2'!E42</f>
        <v>3322.9100000000003</v>
      </c>
      <c r="E39" s="264">
        <f>' Haveri-2'!G42</f>
        <v>329964.96299999999</v>
      </c>
      <c r="F39" s="264">
        <f>' Haveri-2'!H42</f>
        <v>105.81</v>
      </c>
      <c r="G39" s="264">
        <f>' Haveri-2'!J42</f>
        <v>11806.054000000002</v>
      </c>
      <c r="H39" s="264">
        <f t="shared" si="5"/>
        <v>341771.01699999999</v>
      </c>
      <c r="I39" s="264">
        <f>' Haveri-2'!M3</f>
        <v>41052.548499999801</v>
      </c>
      <c r="J39" s="264">
        <f>+' Haveri-2'!L42</f>
        <v>300000</v>
      </c>
      <c r="K39" s="317">
        <f t="shared" si="2"/>
        <v>82823.565499999793</v>
      </c>
    </row>
    <row r="40" spans="1:13">
      <c r="A40" s="316">
        <v>39</v>
      </c>
      <c r="B40" s="263" t="s">
        <v>136</v>
      </c>
      <c r="C40" s="263" t="s">
        <v>137</v>
      </c>
      <c r="D40" s="264">
        <f>+' Guttal-2'!E35</f>
        <v>8814</v>
      </c>
      <c r="E40" s="264">
        <f>+' Guttal-2'!G35</f>
        <v>877874.4</v>
      </c>
      <c r="F40" s="264">
        <f>+' Guttal-2'!H35</f>
        <v>208</v>
      </c>
      <c r="G40" s="264">
        <f>+' Guttal-2'!J35</f>
        <v>23235.679999999997</v>
      </c>
      <c r="H40" s="264">
        <f t="shared" si="5"/>
        <v>901110.08000000007</v>
      </c>
      <c r="I40" s="264">
        <f>+' Guttal-2'!M3</f>
        <v>408499.97670000012</v>
      </c>
      <c r="J40" s="264">
        <f>+' Guttal-2'!L35</f>
        <v>850000</v>
      </c>
      <c r="K40" s="317">
        <f t="shared" si="2"/>
        <v>459610.05670000007</v>
      </c>
    </row>
    <row r="41" spans="1:13">
      <c r="A41" s="316">
        <v>40</v>
      </c>
      <c r="B41" s="263" t="s">
        <v>138</v>
      </c>
      <c r="C41" s="263" t="s">
        <v>139</v>
      </c>
      <c r="D41" s="264">
        <f>+'Rattihali-2'!E37</f>
        <v>1471.96</v>
      </c>
      <c r="E41" s="264">
        <f>+'Rattihali-2'!G37</f>
        <v>146754.41200000001</v>
      </c>
      <c r="F41" s="264">
        <f>+'Rattihali-2'!H37</f>
        <v>87</v>
      </c>
      <c r="G41" s="264">
        <f>+'Rattihali-2'!J37</f>
        <v>9728.340000000002</v>
      </c>
      <c r="H41" s="264">
        <f t="shared" si="5"/>
        <v>156482.75200000001</v>
      </c>
      <c r="I41" s="264">
        <f>+'Rattihali-2'!M3</f>
        <v>144892.22890000002</v>
      </c>
      <c r="J41" s="264">
        <f>+'Rattihali-2'!L37</f>
        <v>140000</v>
      </c>
      <c r="K41" s="317">
        <f>H41+I41-J41</f>
        <v>161374.98090000002</v>
      </c>
    </row>
    <row r="42" spans="1:13">
      <c r="A42" s="316">
        <v>41</v>
      </c>
      <c r="B42" s="263" t="s">
        <v>140</v>
      </c>
      <c r="C42" s="263" t="s">
        <v>141</v>
      </c>
      <c r="D42" s="264">
        <f>+Gajendragada!E36</f>
        <v>1021.75</v>
      </c>
      <c r="E42" s="264">
        <f>+Gajendragada!G36</f>
        <v>101807.17000000001</v>
      </c>
      <c r="F42" s="264">
        <f>+Gajendragada!H36</f>
        <v>80</v>
      </c>
      <c r="G42" s="264">
        <f>+Gajendragada!J36</f>
        <v>8941.6</v>
      </c>
      <c r="H42" s="264">
        <f t="shared" si="5"/>
        <v>110748.77000000002</v>
      </c>
      <c r="I42" s="264">
        <f>+Gajendragada!M3</f>
        <v>16176.189299999973</v>
      </c>
      <c r="J42" s="264">
        <f>+Gajendragada!L36</f>
        <v>0</v>
      </c>
      <c r="K42" s="317">
        <f t="shared" si="2"/>
        <v>126924.95929999999</v>
      </c>
    </row>
    <row r="43" spans="1:13">
      <c r="A43" s="316">
        <v>42</v>
      </c>
      <c r="B43" s="266" t="s">
        <v>142</v>
      </c>
      <c r="C43" s="266" t="s">
        <v>143</v>
      </c>
      <c r="D43" s="264">
        <f>+'Gokak Dharwad PKG 3'!E42</f>
        <v>7783.99</v>
      </c>
      <c r="E43" s="264">
        <f>+'Gokak Dharwad PKG 3'!G42</f>
        <v>772872.36710000027</v>
      </c>
      <c r="F43" s="264">
        <f>+'Gokak Dharwad PKG 3'!H42</f>
        <v>30</v>
      </c>
      <c r="G43" s="264">
        <f>+'Gokak Dharwad PKG 3'!J42</f>
        <v>3341.3999999999996</v>
      </c>
      <c r="H43" s="264">
        <f t="shared" si="5"/>
        <v>776213.76710000029</v>
      </c>
      <c r="I43" s="335">
        <f>+'Gokak Dharwad PKG 3'!K3</f>
        <v>182122.17000000156</v>
      </c>
      <c r="J43" s="264">
        <f>+'Gokak Dharwad PKG 3'!L42</f>
        <v>500000</v>
      </c>
      <c r="K43" s="317">
        <f t="shared" si="2"/>
        <v>458335.93710000184</v>
      </c>
      <c r="M43" s="268"/>
    </row>
    <row r="44" spans="1:13">
      <c r="A44" s="316">
        <v>43</v>
      </c>
      <c r="B44" s="266" t="s">
        <v>144</v>
      </c>
      <c r="C44" s="266" t="s">
        <v>145</v>
      </c>
      <c r="D44" s="264">
        <f>+' TR Associates'!E35</f>
        <v>12786.710000000001</v>
      </c>
      <c r="E44" s="264">
        <f>+' TR Associates'!G35</f>
        <v>1267546.5622999999</v>
      </c>
      <c r="F44" s="264">
        <f>+' TR Associates'!H35</f>
        <v>0</v>
      </c>
      <c r="G44" s="264">
        <f>+' TR Associates'!J35</f>
        <v>0</v>
      </c>
      <c r="H44" s="333">
        <f t="shared" si="5"/>
        <v>1267546.5622999999</v>
      </c>
      <c r="I44" s="332">
        <f>+' TR Associates'!M3</f>
        <v>136101.44520000005</v>
      </c>
      <c r="J44" s="334">
        <f>+' TR Associates'!L35</f>
        <v>700000</v>
      </c>
      <c r="K44" s="317">
        <f t="shared" si="2"/>
        <v>703648.00749999983</v>
      </c>
      <c r="M44" s="268"/>
    </row>
    <row r="45" spans="1:13">
      <c r="A45" s="316">
        <v>44</v>
      </c>
      <c r="B45" s="266" t="s">
        <v>146</v>
      </c>
      <c r="C45" s="266" t="s">
        <v>147</v>
      </c>
      <c r="D45" s="264">
        <f>+Ankalgi!E35</f>
        <v>2835.63</v>
      </c>
      <c r="E45" s="264">
        <f>+Ankalgi!G35</f>
        <v>281096.00190000003</v>
      </c>
      <c r="F45" s="264">
        <f>+Ankalgi!H35</f>
        <v>70</v>
      </c>
      <c r="G45" s="264">
        <f>+Ankalgi!J35</f>
        <v>7784.6999999999989</v>
      </c>
      <c r="H45" s="264">
        <f t="shared" si="5"/>
        <v>288880.70190000004</v>
      </c>
      <c r="I45" s="284">
        <f>+Ankalgi!M3</f>
        <v>31843.318099999906</v>
      </c>
      <c r="J45" s="264">
        <f>+Ankalgi!L35</f>
        <v>200000</v>
      </c>
      <c r="K45" s="317">
        <f>H45+I45-J45</f>
        <v>120724.01999999996</v>
      </c>
    </row>
    <row r="46" spans="1:13">
      <c r="A46" s="316">
        <v>45</v>
      </c>
      <c r="B46" s="266" t="s">
        <v>148</v>
      </c>
      <c r="C46" s="266" t="s">
        <v>149</v>
      </c>
      <c r="D46" s="264">
        <f>+'SHRI DESHPANDE'!E35</f>
        <v>11558.29</v>
      </c>
      <c r="E46" s="264">
        <f>+'SHRI DESHPANDE'!G35</f>
        <v>1148547.2773</v>
      </c>
      <c r="F46" s="264">
        <f>+'SHRI DESHPANDE'!H35</f>
        <v>450</v>
      </c>
      <c r="G46" s="264">
        <f>+'SHRI DESHPANDE'!J35</f>
        <v>50156.999999999993</v>
      </c>
      <c r="H46" s="333">
        <f>E46+G46</f>
        <v>1198704.2773</v>
      </c>
      <c r="I46" s="332">
        <f>+'SHRI DESHPANDE'!M3</f>
        <v>144612.80695000014</v>
      </c>
      <c r="J46" s="334">
        <f>+'SHRI DESHPANDE'!L35</f>
        <v>650000</v>
      </c>
      <c r="K46" s="317">
        <f>H46+I46-J46</f>
        <v>693317.08425000007</v>
      </c>
    </row>
    <row r="47" spans="1:13">
      <c r="A47" s="316">
        <v>46</v>
      </c>
      <c r="B47" s="266" t="s">
        <v>150</v>
      </c>
      <c r="C47" s="266" t="s">
        <v>151</v>
      </c>
      <c r="D47" s="264">
        <f>+' Shankeshwar'!E35</f>
        <v>80</v>
      </c>
      <c r="E47" s="264">
        <f>+' Shankeshwar'!G35</f>
        <v>7929.6</v>
      </c>
      <c r="F47" s="264">
        <f>+' Shankeshwar'!H35</f>
        <v>44</v>
      </c>
      <c r="G47" s="264">
        <f>+' Shankeshwar'!J35</f>
        <v>4892.8</v>
      </c>
      <c r="H47" s="333">
        <f t="shared" si="5"/>
        <v>12822.400000000001</v>
      </c>
      <c r="I47" s="421">
        <f>' Shankeshwar'!M3</f>
        <v>0</v>
      </c>
      <c r="J47" s="334">
        <f>+' Shankeshwar'!L35</f>
        <v>12822.4</v>
      </c>
      <c r="K47" s="317">
        <f t="shared" si="2"/>
        <v>0</v>
      </c>
    </row>
    <row r="48" spans="1:13">
      <c r="A48" s="316">
        <v>47</v>
      </c>
      <c r="B48" s="266" t="s">
        <v>152</v>
      </c>
      <c r="C48" s="266" t="s">
        <v>153</v>
      </c>
      <c r="D48" s="264">
        <f>+' Talikote'!E48</f>
        <v>876.17000000000007</v>
      </c>
      <c r="E48" s="264">
        <f>+' Talikote'!G48</f>
        <v>87021.204399999988</v>
      </c>
      <c r="F48" s="264">
        <f>+' Talikote'!H48</f>
        <v>66.599999999999994</v>
      </c>
      <c r="G48" s="264">
        <f>+' Talikote'!J48</f>
        <v>7462.7999999999993</v>
      </c>
      <c r="H48" s="264">
        <f>E48+G48</f>
        <v>94484.004399999991</v>
      </c>
      <c r="I48" s="356">
        <f>+' Talikote'!M3</f>
        <v>9813.807719999968</v>
      </c>
      <c r="J48" s="264">
        <f>+' Talikote'!L48</f>
        <v>30000</v>
      </c>
      <c r="K48" s="317">
        <f t="shared" si="2"/>
        <v>74297.812119999959</v>
      </c>
    </row>
    <row r="49" spans="1:13">
      <c r="A49" s="316">
        <v>48</v>
      </c>
      <c r="B49" s="266" t="s">
        <v>154</v>
      </c>
      <c r="C49" s="266" t="s">
        <v>155</v>
      </c>
      <c r="D49" s="264">
        <f>+Chadchan!E35</f>
        <v>1105.9099999999999</v>
      </c>
      <c r="E49" s="264">
        <f>+Chadchan!G35</f>
        <v>109617.79919999998</v>
      </c>
      <c r="F49" s="264">
        <f>+Chadchan!H35</f>
        <v>98.85</v>
      </c>
      <c r="G49" s="264">
        <f>+Chadchan!J35</f>
        <v>10991.1315</v>
      </c>
      <c r="H49" s="264">
        <f t="shared" si="5"/>
        <v>120608.93069999998</v>
      </c>
      <c r="I49" s="264">
        <f>+Chadchan!M3</f>
        <v>3961.7789000000512</v>
      </c>
      <c r="J49" s="264">
        <f>+Chadchan!L35</f>
        <v>0</v>
      </c>
      <c r="K49" s="317">
        <f t="shared" si="2"/>
        <v>124570.70960000003</v>
      </c>
    </row>
    <row r="50" spans="1:13">
      <c r="A50" s="316">
        <v>49</v>
      </c>
      <c r="B50" s="266" t="s">
        <v>156</v>
      </c>
      <c r="C50" s="266" t="s">
        <v>157</v>
      </c>
      <c r="D50" s="264">
        <f>+Sindagi!E35</f>
        <v>179.95</v>
      </c>
      <c r="E50" s="264">
        <f>+Sindagi!G35</f>
        <v>17827.646499999999</v>
      </c>
      <c r="F50" s="264">
        <f>+Sindagi!H35</f>
        <v>0</v>
      </c>
      <c r="G50" s="264">
        <f>+Sindagi!J35</f>
        <v>0</v>
      </c>
      <c r="H50" s="264">
        <f t="shared" si="5"/>
        <v>17827.646499999999</v>
      </c>
      <c r="I50" s="264">
        <f>+Sindagi!M3</f>
        <v>9906.5399999999863</v>
      </c>
      <c r="J50" s="264">
        <f>+Sindagi!L35</f>
        <v>0</v>
      </c>
      <c r="K50" s="317">
        <f t="shared" si="2"/>
        <v>27734.186499999985</v>
      </c>
    </row>
    <row r="51" spans="1:13">
      <c r="A51" s="316">
        <v>50</v>
      </c>
      <c r="B51" s="266" t="s">
        <v>158</v>
      </c>
      <c r="C51" s="266" t="s">
        <v>159</v>
      </c>
      <c r="D51" s="264">
        <f>+'Muddebhihal-2'!E50</f>
        <v>1566.14</v>
      </c>
      <c r="E51" s="264">
        <f>+'Muddebhihal-2'!G50</f>
        <v>155408.0722</v>
      </c>
      <c r="F51" s="264">
        <f>+'Muddebhihal-2'!H50</f>
        <v>44</v>
      </c>
      <c r="G51" s="264">
        <f>+'Muddebhihal-2'!J50</f>
        <v>4992.3799999999992</v>
      </c>
      <c r="H51" s="264">
        <f>+'Muddebhihal-2'!K50</f>
        <v>160400.45220000003</v>
      </c>
      <c r="I51" s="264">
        <f>+'Muddebhihal-2'!M3</f>
        <v>18073.669700000079</v>
      </c>
      <c r="J51" s="264">
        <f>+'Muddebhihal-2'!L50</f>
        <v>0</v>
      </c>
      <c r="K51" s="317">
        <f>+'Muddebhihal-2'!M49</f>
        <v>178474.12190000006</v>
      </c>
    </row>
    <row r="52" spans="1:13">
      <c r="A52" s="316">
        <v>51</v>
      </c>
      <c r="B52" s="266" t="s">
        <v>160</v>
      </c>
      <c r="C52" s="266" t="s">
        <v>161</v>
      </c>
      <c r="D52" s="264">
        <f>+Alemela!E43</f>
        <v>469.37</v>
      </c>
      <c r="E52" s="264">
        <f>+Alemela!G43</f>
        <v>46599.053599999999</v>
      </c>
      <c r="F52" s="264">
        <f>+Alemela!H43</f>
        <v>48.269999999999996</v>
      </c>
      <c r="G52" s="264">
        <f>+Alemela!J43</f>
        <v>5376.3126000000002</v>
      </c>
      <c r="H52" s="264">
        <f t="shared" si="5"/>
        <v>51975.366199999997</v>
      </c>
      <c r="I52" s="264">
        <f>+Alemela!M3</f>
        <v>1087.984399999995</v>
      </c>
      <c r="J52" s="264">
        <f>+Alemela!L43</f>
        <v>30000</v>
      </c>
      <c r="K52" s="317">
        <f t="shared" si="2"/>
        <v>23063.350599999991</v>
      </c>
    </row>
    <row r="53" spans="1:13">
      <c r="A53" s="316">
        <v>52</v>
      </c>
      <c r="B53" s="266" t="s">
        <v>162</v>
      </c>
      <c r="C53" s="266" t="s">
        <v>163</v>
      </c>
      <c r="D53" s="264">
        <f>+Nalatwad!E43</f>
        <v>1116.98</v>
      </c>
      <c r="E53" s="264">
        <f>+Nalatwad!G43</f>
        <v>111072.49119999999</v>
      </c>
      <c r="F53" s="264">
        <f>+Nalatwad!H43</f>
        <v>77.72999999999999</v>
      </c>
      <c r="G53" s="264">
        <f>+Nalatwad!J43</f>
        <v>8670.781500000001</v>
      </c>
      <c r="H53" s="264">
        <f>E53+G53</f>
        <v>119743.27269999999</v>
      </c>
      <c r="I53" s="264">
        <f>+Nalatwad!M3</f>
        <v>15663.64070000004</v>
      </c>
      <c r="J53" s="264">
        <f>+Nalatwad!L43</f>
        <v>0</v>
      </c>
      <c r="K53" s="317">
        <f>H53+I53-J53</f>
        <v>135406.91340000002</v>
      </c>
    </row>
    <row r="54" spans="1:13">
      <c r="A54" s="316">
        <v>53</v>
      </c>
      <c r="B54" s="266" t="s">
        <v>164</v>
      </c>
      <c r="C54" s="266" t="s">
        <v>165</v>
      </c>
      <c r="D54" s="264">
        <f>+Srirangapatna!E35</f>
        <v>0</v>
      </c>
      <c r="E54" s="264">
        <f>+Srirangapatna!G35</f>
        <v>0</v>
      </c>
      <c r="F54" s="264">
        <f>+Srirangapatna!H35</f>
        <v>37.340000000000003</v>
      </c>
      <c r="G54" s="264">
        <f>+Srirangapatna!J35</f>
        <v>4197.4014000000006</v>
      </c>
      <c r="H54" s="264">
        <f t="shared" si="5"/>
        <v>4197.4014000000006</v>
      </c>
      <c r="I54" s="264">
        <v>0</v>
      </c>
      <c r="J54" s="264">
        <f>+Srirangapatna!L35</f>
        <v>4197.4014000000006</v>
      </c>
      <c r="K54" s="317">
        <f t="shared" si="2"/>
        <v>0</v>
      </c>
    </row>
    <row r="55" spans="1:13">
      <c r="A55" s="316">
        <v>54</v>
      </c>
      <c r="B55" s="266" t="s">
        <v>166</v>
      </c>
      <c r="C55" s="263" t="s">
        <v>99</v>
      </c>
      <c r="D55" s="322">
        <f>+'HO(DG)'!E48</f>
        <v>1263.73</v>
      </c>
      <c r="E55" s="322">
        <f>+'HO(DG)'!G48</f>
        <v>131124.62479999999</v>
      </c>
      <c r="F55" s="322">
        <f>+'HO(DG)'!H48</f>
        <v>0</v>
      </c>
      <c r="G55" s="322">
        <f>+'HO(DG)'!J48</f>
        <v>0</v>
      </c>
      <c r="H55" s="264">
        <f t="shared" si="5"/>
        <v>131124.62479999999</v>
      </c>
      <c r="I55" s="322">
        <f>+'HO(DG)'!M3</f>
        <v>0</v>
      </c>
      <c r="J55" s="322">
        <f>+'HO(DG)'!L48</f>
        <v>131124.62479999999</v>
      </c>
      <c r="K55" s="317">
        <f t="shared" si="2"/>
        <v>0</v>
      </c>
    </row>
    <row r="56" spans="1:13">
      <c r="A56" s="587" t="s">
        <v>36</v>
      </c>
      <c r="B56" s="588"/>
      <c r="C56" s="589"/>
      <c r="D56" s="318">
        <f>SUM(D2:D55)</f>
        <v>255633.74400000006</v>
      </c>
      <c r="E56" s="318">
        <f t="shared" ref="E56:G56" si="6">SUM(E2:E55)</f>
        <v>26209717.337619998</v>
      </c>
      <c r="F56" s="318">
        <f t="shared" si="6"/>
        <v>6129.3700000000008</v>
      </c>
      <c r="G56" s="318">
        <f>SUM(G2:G55)</f>
        <v>694868.19470000023</v>
      </c>
      <c r="H56" s="318">
        <f>SUM(H2:H55)</f>
        <v>26904585.53232</v>
      </c>
      <c r="I56" s="318">
        <f>SUM(I2:I55)</f>
        <v>8252210.7867730055</v>
      </c>
      <c r="J56" s="318">
        <f>SUM(J2:J55)</f>
        <v>13701589.772799999</v>
      </c>
      <c r="K56" s="319">
        <f>H56+I56-J56</f>
        <v>21455206.546293005</v>
      </c>
      <c r="M56" s="268"/>
    </row>
    <row r="57" spans="1:13">
      <c r="I57" s="268">
        <v>36038811.444932982</v>
      </c>
      <c r="K57" s="267">
        <v>21493062.70637301</v>
      </c>
    </row>
    <row r="58" spans="1:13">
      <c r="I58" s="268">
        <f>I56-I57</f>
        <v>-27786600.658159979</v>
      </c>
      <c r="K58" s="267">
        <f>K56-K57</f>
        <v>-37856.160080004483</v>
      </c>
    </row>
    <row r="59" spans="1:13">
      <c r="K59" s="267"/>
    </row>
    <row r="60" spans="1:13">
      <c r="K60" s="267"/>
    </row>
    <row r="61" spans="1:13">
      <c r="A61" s="297" t="s">
        <v>55</v>
      </c>
      <c r="B61" s="297" t="s">
        <v>56</v>
      </c>
      <c r="C61" s="297" t="s">
        <v>57</v>
      </c>
      <c r="D61" s="298" t="s">
        <v>58</v>
      </c>
      <c r="E61" s="298" t="s">
        <v>59</v>
      </c>
      <c r="F61" s="298" t="s">
        <v>60</v>
      </c>
      <c r="G61" s="298" t="s">
        <v>61</v>
      </c>
      <c r="H61" s="298" t="s">
        <v>62</v>
      </c>
      <c r="I61" s="298" t="s">
        <v>63</v>
      </c>
      <c r="J61" s="298" t="s">
        <v>64</v>
      </c>
      <c r="K61" s="298" t="s">
        <v>65</v>
      </c>
    </row>
    <row r="62" spans="1:13">
      <c r="A62" s="299">
        <v>39</v>
      </c>
      <c r="B62" s="299" t="str" cm="1">
        <f t="array" ref="B62:K62">VLOOKUP(A62,A1:K54,{2,3,4,5,6,7,8,9,10,11},FALSE)</f>
        <v>Guttal-2</v>
      </c>
      <c r="C62" s="299" t="str">
        <v>Himagiri Petroleum</v>
      </c>
      <c r="D62" s="299">
        <v>8814</v>
      </c>
      <c r="E62" s="299">
        <v>877874.4</v>
      </c>
      <c r="F62" s="299">
        <v>208</v>
      </c>
      <c r="G62" s="299">
        <v>23235.679999999997</v>
      </c>
      <c r="H62" s="299">
        <v>901110.08000000007</v>
      </c>
      <c r="I62" s="299">
        <v>408499.97670000012</v>
      </c>
      <c r="J62" s="299">
        <v>850000</v>
      </c>
      <c r="K62" s="299">
        <v>459610.05670000007</v>
      </c>
    </row>
    <row r="64" spans="1:13">
      <c r="B64" s="297" t="s">
        <v>56</v>
      </c>
      <c r="C64" s="297" t="s">
        <v>57</v>
      </c>
      <c r="D64" s="298" t="s">
        <v>58</v>
      </c>
      <c r="E64" s="298" t="s">
        <v>59</v>
      </c>
      <c r="F64" s="298" t="s">
        <v>60</v>
      </c>
      <c r="G64" s="298" t="s">
        <v>61</v>
      </c>
      <c r="H64" s="298" t="s">
        <v>62</v>
      </c>
      <c r="I64" s="298" t="s">
        <v>63</v>
      </c>
      <c r="J64" s="298" t="s">
        <v>64</v>
      </c>
      <c r="K64" s="298" t="s">
        <v>65</v>
      </c>
    </row>
    <row r="65" spans="2:14">
      <c r="B65" s="6" t="s">
        <v>130</v>
      </c>
      <c r="C65" s="262" t="str" cm="1">
        <f t="array" ref="C65:K65">VLOOKUP(B65,B1:K54,{2,3,4,5,6,7,8,9,10},FALSE)</f>
        <v>Nayara</v>
      </c>
      <c r="D65" s="262">
        <v>5431</v>
      </c>
      <c r="E65" s="262">
        <v>540438.81000000006</v>
      </c>
      <c r="F65" s="262">
        <v>130</v>
      </c>
      <c r="G65" s="262">
        <v>14713.400000000001</v>
      </c>
      <c r="H65" s="262">
        <v>555152.21000000008</v>
      </c>
      <c r="I65" s="262">
        <v>50000.028200000059</v>
      </c>
      <c r="J65" s="262">
        <v>0</v>
      </c>
      <c r="K65" s="262">
        <v>605152.23820000014</v>
      </c>
    </row>
    <row r="72" spans="2:14">
      <c r="B72" s="262">
        <v>60000</v>
      </c>
    </row>
    <row r="73" spans="2:14">
      <c r="B73" s="262">
        <v>18000</v>
      </c>
    </row>
    <row r="74" spans="2:14">
      <c r="B74" s="262">
        <v>18000</v>
      </c>
    </row>
    <row r="75" spans="2:14">
      <c r="B75" s="262">
        <v>75000</v>
      </c>
    </row>
    <row r="76" spans="2:14">
      <c r="B76" s="262">
        <v>360000</v>
      </c>
      <c r="L76" s="492"/>
      <c r="M76" s="492"/>
      <c r="N76" s="492"/>
    </row>
    <row r="77" spans="2:14">
      <c r="L77" s="492"/>
      <c r="M77" s="492"/>
      <c r="N77" s="492"/>
    </row>
    <row r="78" spans="2:14">
      <c r="L78" s="492"/>
      <c r="M78" s="492"/>
      <c r="N78" s="492"/>
    </row>
    <row r="79" spans="2:14">
      <c r="L79" s="492"/>
      <c r="M79" s="492"/>
      <c r="N79" s="492"/>
    </row>
    <row r="80" spans="2:14">
      <c r="L80" s="492"/>
      <c r="M80" s="492"/>
      <c r="N80" s="492"/>
    </row>
    <row r="81" spans="12:14">
      <c r="L81" s="492"/>
      <c r="M81" s="492"/>
      <c r="N81" s="492"/>
    </row>
    <row r="82" spans="12:14">
      <c r="L82" s="492"/>
      <c r="M82" s="492"/>
      <c r="N82" s="492"/>
    </row>
    <row r="83" spans="12:14">
      <c r="L83" s="492"/>
      <c r="M83" s="492"/>
      <c r="N83" s="492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6:C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Q59"/>
  <sheetViews>
    <sheetView topLeftCell="A19" workbookViewId="0">
      <selection activeCell="L34" sqref="L34"/>
    </sheetView>
  </sheetViews>
  <sheetFormatPr defaultRowHeight="15"/>
  <cols>
    <col min="2" max="2" width="10.42578125" bestFit="1" customWidth="1"/>
    <col min="4" max="4" width="18.42578125" customWidth="1"/>
    <col min="5" max="5" width="12" customWidth="1"/>
    <col min="7" max="7" width="10.42578125" bestFit="1" customWidth="1"/>
    <col min="11" max="12" width="10.42578125" bestFit="1" customWidth="1"/>
    <col min="13" max="13" width="11.42578125" bestFit="1" customWidth="1"/>
    <col min="14" max="14" width="11.42578125" customWidth="1"/>
    <col min="16" max="16" width="13.5703125" bestFit="1" customWidth="1"/>
    <col min="17" max="17" width="15.85546875" customWidth="1"/>
    <col min="18" max="18" width="13.140625" customWidth="1"/>
    <col min="19" max="19" width="11.85546875" customWidth="1"/>
  </cols>
  <sheetData>
    <row r="1" spans="1:16" ht="15.75">
      <c r="A1" s="590" t="s">
        <v>167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16" ht="27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39" t="s">
        <v>175</v>
      </c>
      <c r="L2" s="139" t="s">
        <v>176</v>
      </c>
      <c r="M2" s="139" t="s">
        <v>177</v>
      </c>
      <c r="N2" s="102" t="s">
        <v>178</v>
      </c>
    </row>
    <row r="3" spans="1:16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 s="127">
        <v>0</v>
      </c>
      <c r="L3" s="224"/>
      <c r="M3" s="303">
        <v>0</v>
      </c>
      <c r="N3" s="225"/>
    </row>
    <row r="4" spans="1:16">
      <c r="A4" s="23">
        <v>1</v>
      </c>
      <c r="B4" s="24">
        <v>46266</v>
      </c>
      <c r="C4" s="103"/>
      <c r="D4" s="32"/>
      <c r="E4" s="33"/>
      <c r="F4" s="33"/>
      <c r="G4" s="33">
        <f>E4*F4</f>
        <v>0</v>
      </c>
      <c r="H4" s="309">
        <v>0</v>
      </c>
      <c r="I4" s="309">
        <v>0</v>
      </c>
      <c r="J4" s="33">
        <f>H4*I4</f>
        <v>0</v>
      </c>
      <c r="K4" s="33">
        <f t="shared" ref="K4:L47" si="0">G4+J4</f>
        <v>0</v>
      </c>
      <c r="L4" s="189">
        <v>0</v>
      </c>
      <c r="M4" s="33">
        <f>M3+K4-L4</f>
        <v>0</v>
      </c>
      <c r="N4" s="226"/>
      <c r="P4" s="19"/>
    </row>
    <row r="5" spans="1:16">
      <c r="A5" s="23">
        <v>2</v>
      </c>
      <c r="B5" s="24">
        <v>46267</v>
      </c>
      <c r="C5" s="103"/>
      <c r="D5" s="32"/>
      <c r="E5" s="33">
        <v>100</v>
      </c>
      <c r="F5" s="33">
        <v>103.76</v>
      </c>
      <c r="G5" s="33">
        <f t="shared" ref="G5:G22" si="1">E5*F5</f>
        <v>10376</v>
      </c>
      <c r="H5" s="309"/>
      <c r="I5" s="309"/>
      <c r="J5" s="33"/>
      <c r="K5" s="33">
        <f t="shared" si="0"/>
        <v>10376</v>
      </c>
      <c r="L5" s="189">
        <v>10376</v>
      </c>
      <c r="M5" s="33">
        <f t="shared" ref="M5:M40" si="2">M4+K5-L5</f>
        <v>0</v>
      </c>
      <c r="N5" s="228"/>
    </row>
    <row r="6" spans="1:16">
      <c r="A6" s="23">
        <v>3</v>
      </c>
      <c r="B6" s="24">
        <v>46268</v>
      </c>
      <c r="C6" s="103"/>
      <c r="D6" s="32"/>
      <c r="E6" s="33"/>
      <c r="F6" s="33"/>
      <c r="G6" s="33">
        <f t="shared" si="1"/>
        <v>0</v>
      </c>
      <c r="H6" s="309"/>
      <c r="I6" s="309"/>
      <c r="J6" s="33"/>
      <c r="K6" s="33">
        <f t="shared" si="0"/>
        <v>0</v>
      </c>
      <c r="L6" s="33"/>
      <c r="M6" s="33">
        <f t="shared" si="2"/>
        <v>0</v>
      </c>
      <c r="N6" s="33"/>
    </row>
    <row r="7" spans="1:16">
      <c r="A7" s="23">
        <v>4</v>
      </c>
      <c r="B7" s="24">
        <v>46269</v>
      </c>
      <c r="C7" s="103"/>
      <c r="D7" s="32"/>
      <c r="E7" s="33">
        <v>50</v>
      </c>
      <c r="F7" s="33">
        <v>103.76</v>
      </c>
      <c r="G7" s="33">
        <f t="shared" si="1"/>
        <v>5188</v>
      </c>
      <c r="H7" s="309"/>
      <c r="I7" s="309"/>
      <c r="J7" s="33"/>
      <c r="K7" s="33">
        <f t="shared" si="0"/>
        <v>5188</v>
      </c>
      <c r="L7" s="33">
        <f t="shared" si="0"/>
        <v>5188</v>
      </c>
      <c r="M7" s="33">
        <f t="shared" si="2"/>
        <v>0</v>
      </c>
      <c r="N7" s="33"/>
    </row>
    <row r="8" spans="1:16">
      <c r="A8" s="23">
        <v>5</v>
      </c>
      <c r="B8" s="24">
        <v>46270</v>
      </c>
      <c r="C8" s="103"/>
      <c r="D8" s="32"/>
      <c r="E8" s="33">
        <v>50</v>
      </c>
      <c r="F8" s="33">
        <v>103.76</v>
      </c>
      <c r="G8" s="33">
        <f t="shared" si="1"/>
        <v>5188</v>
      </c>
      <c r="H8" s="309"/>
      <c r="I8" s="309"/>
      <c r="J8" s="33"/>
      <c r="K8" s="33">
        <f t="shared" si="0"/>
        <v>5188</v>
      </c>
      <c r="L8" s="33">
        <v>5188</v>
      </c>
      <c r="M8" s="33">
        <f t="shared" si="2"/>
        <v>0</v>
      </c>
      <c r="N8" s="33"/>
    </row>
    <row r="9" spans="1:16">
      <c r="A9" s="23">
        <v>6</v>
      </c>
      <c r="B9" s="24">
        <v>46271</v>
      </c>
      <c r="C9" s="31"/>
      <c r="D9" s="32"/>
      <c r="E9" s="33"/>
      <c r="F9" s="33"/>
      <c r="G9" s="33">
        <f t="shared" si="1"/>
        <v>0</v>
      </c>
      <c r="H9" s="309"/>
      <c r="I9" s="309"/>
      <c r="J9" s="33"/>
      <c r="K9" s="33">
        <f t="shared" si="0"/>
        <v>0</v>
      </c>
      <c r="L9" s="189"/>
      <c r="M9" s="33">
        <f t="shared" si="2"/>
        <v>0</v>
      </c>
      <c r="N9" s="364"/>
    </row>
    <row r="10" spans="1:16">
      <c r="A10" s="23">
        <v>7</v>
      </c>
      <c r="B10" s="24">
        <v>46272</v>
      </c>
      <c r="C10" s="31"/>
      <c r="D10" s="32"/>
      <c r="E10" s="33">
        <v>100</v>
      </c>
      <c r="F10" s="33">
        <v>103.76</v>
      </c>
      <c r="G10" s="33">
        <f t="shared" si="1"/>
        <v>10376</v>
      </c>
      <c r="H10" s="309"/>
      <c r="I10" s="309"/>
      <c r="J10" s="33"/>
      <c r="K10" s="33">
        <f t="shared" si="0"/>
        <v>10376</v>
      </c>
      <c r="L10" s="33">
        <f t="shared" si="0"/>
        <v>10376</v>
      </c>
      <c r="M10" s="33">
        <f t="shared" si="2"/>
        <v>0</v>
      </c>
      <c r="N10" s="190"/>
    </row>
    <row r="11" spans="1:16">
      <c r="A11" s="23">
        <v>8</v>
      </c>
      <c r="B11" s="24">
        <v>46273</v>
      </c>
      <c r="C11" s="31"/>
      <c r="D11" s="32"/>
      <c r="E11" s="33"/>
      <c r="F11" s="33"/>
      <c r="G11" s="33">
        <f t="shared" si="1"/>
        <v>0</v>
      </c>
      <c r="H11" s="309"/>
      <c r="I11" s="309"/>
      <c r="J11" s="33"/>
      <c r="K11" s="33">
        <f t="shared" si="0"/>
        <v>0</v>
      </c>
      <c r="L11" s="33"/>
      <c r="M11" s="33">
        <f t="shared" si="2"/>
        <v>0</v>
      </c>
      <c r="N11" s="190"/>
    </row>
    <row r="12" spans="1:16">
      <c r="A12" s="23">
        <v>9</v>
      </c>
      <c r="B12" s="24">
        <v>46274</v>
      </c>
      <c r="C12" s="31"/>
      <c r="D12" s="32"/>
      <c r="E12" s="33">
        <v>50</v>
      </c>
      <c r="F12" s="33">
        <v>103.76</v>
      </c>
      <c r="G12" s="33">
        <f t="shared" si="1"/>
        <v>5188</v>
      </c>
      <c r="H12" s="309"/>
      <c r="I12" s="309"/>
      <c r="J12" s="33"/>
      <c r="K12" s="33">
        <f t="shared" si="0"/>
        <v>5188</v>
      </c>
      <c r="L12" s="33">
        <v>5188</v>
      </c>
      <c r="M12" s="33">
        <f t="shared" si="2"/>
        <v>0</v>
      </c>
      <c r="N12" s="190"/>
    </row>
    <row r="13" spans="1:16">
      <c r="A13" s="23">
        <v>10</v>
      </c>
      <c r="B13" s="24">
        <v>46275</v>
      </c>
      <c r="C13" s="31"/>
      <c r="D13" s="32"/>
      <c r="E13" s="33">
        <v>100</v>
      </c>
      <c r="F13" s="33">
        <v>103.76</v>
      </c>
      <c r="G13" s="33">
        <f t="shared" si="1"/>
        <v>10376</v>
      </c>
      <c r="H13" s="309"/>
      <c r="I13" s="309"/>
      <c r="J13" s="33"/>
      <c r="K13" s="33">
        <f t="shared" si="0"/>
        <v>10376</v>
      </c>
      <c r="L13" s="33">
        <v>10376</v>
      </c>
      <c r="M13" s="33">
        <f t="shared" si="2"/>
        <v>0</v>
      </c>
      <c r="N13" s="190"/>
    </row>
    <row r="14" spans="1:16">
      <c r="A14" s="23">
        <v>11</v>
      </c>
      <c r="B14" s="24">
        <v>46276</v>
      </c>
      <c r="C14" s="31"/>
      <c r="D14" s="32"/>
      <c r="E14" s="33"/>
      <c r="F14" s="33"/>
      <c r="G14" s="33">
        <f t="shared" si="1"/>
        <v>0</v>
      </c>
      <c r="H14" s="309"/>
      <c r="I14" s="309"/>
      <c r="J14" s="33"/>
      <c r="K14" s="33">
        <f t="shared" si="0"/>
        <v>0</v>
      </c>
      <c r="L14" s="33"/>
      <c r="M14" s="33">
        <f t="shared" si="2"/>
        <v>0</v>
      </c>
      <c r="N14" s="190"/>
    </row>
    <row r="15" spans="1:16">
      <c r="A15" s="23">
        <v>12</v>
      </c>
      <c r="B15" s="24">
        <v>46277</v>
      </c>
      <c r="C15" s="31"/>
      <c r="D15" s="32"/>
      <c r="E15" s="33">
        <v>50</v>
      </c>
      <c r="F15" s="33">
        <v>103.76</v>
      </c>
      <c r="G15" s="33">
        <f t="shared" si="1"/>
        <v>5188</v>
      </c>
      <c r="H15" s="309"/>
      <c r="I15" s="309"/>
      <c r="J15" s="33"/>
      <c r="K15" s="33">
        <f t="shared" si="0"/>
        <v>5188</v>
      </c>
      <c r="L15" s="33">
        <f t="shared" si="0"/>
        <v>5188</v>
      </c>
      <c r="M15" s="33">
        <f t="shared" si="2"/>
        <v>0</v>
      </c>
      <c r="N15" s="190"/>
    </row>
    <row r="16" spans="1:16">
      <c r="A16" s="23">
        <v>13</v>
      </c>
      <c r="B16" s="24">
        <v>46278</v>
      </c>
      <c r="C16" s="31"/>
      <c r="D16" s="32"/>
      <c r="E16" s="33"/>
      <c r="F16" s="33"/>
      <c r="G16" s="33">
        <f t="shared" si="1"/>
        <v>0</v>
      </c>
      <c r="H16" s="309"/>
      <c r="I16" s="309"/>
      <c r="J16" s="33"/>
      <c r="K16" s="33">
        <f t="shared" ref="K16:L20" si="3">G16+J16</f>
        <v>0</v>
      </c>
      <c r="L16" s="33"/>
      <c r="M16" s="33">
        <f t="shared" si="2"/>
        <v>0</v>
      </c>
      <c r="N16" s="190"/>
    </row>
    <row r="17" spans="1:17">
      <c r="A17" s="23">
        <v>14</v>
      </c>
      <c r="B17" s="24">
        <v>46279</v>
      </c>
      <c r="C17" s="31"/>
      <c r="D17" s="32"/>
      <c r="E17" s="33"/>
      <c r="F17" s="33"/>
      <c r="G17" s="33">
        <f t="shared" si="1"/>
        <v>0</v>
      </c>
      <c r="H17" s="309"/>
      <c r="I17" s="309"/>
      <c r="J17" s="33"/>
      <c r="K17" s="33">
        <f t="shared" si="3"/>
        <v>0</v>
      </c>
      <c r="L17" s="33"/>
      <c r="M17" s="33">
        <f t="shared" si="2"/>
        <v>0</v>
      </c>
      <c r="N17" s="190"/>
    </row>
    <row r="18" spans="1:17">
      <c r="A18" s="23">
        <v>15</v>
      </c>
      <c r="B18" s="24">
        <v>46280</v>
      </c>
      <c r="C18" s="31"/>
      <c r="D18" s="32"/>
      <c r="E18" s="33">
        <v>50</v>
      </c>
      <c r="F18" s="33">
        <v>103.76</v>
      </c>
      <c r="G18" s="33">
        <f t="shared" si="1"/>
        <v>5188</v>
      </c>
      <c r="H18" s="309"/>
      <c r="I18" s="309"/>
      <c r="J18" s="33"/>
      <c r="K18" s="33">
        <f t="shared" si="3"/>
        <v>5188</v>
      </c>
      <c r="L18" s="33">
        <v>5188</v>
      </c>
      <c r="M18" s="33">
        <f t="shared" si="2"/>
        <v>0</v>
      </c>
      <c r="N18" s="190"/>
    </row>
    <row r="19" spans="1:17">
      <c r="A19" s="23">
        <v>16</v>
      </c>
      <c r="B19" s="24">
        <v>46281</v>
      </c>
      <c r="C19" s="31"/>
      <c r="D19" s="32"/>
      <c r="E19" s="33"/>
      <c r="F19" s="33"/>
      <c r="G19" s="33">
        <f t="shared" si="1"/>
        <v>0</v>
      </c>
      <c r="H19" s="309"/>
      <c r="I19" s="309"/>
      <c r="J19" s="33"/>
      <c r="K19" s="33">
        <f t="shared" si="3"/>
        <v>0</v>
      </c>
      <c r="L19" s="33">
        <f t="shared" si="3"/>
        <v>0</v>
      </c>
      <c r="M19" s="33">
        <f t="shared" si="2"/>
        <v>0</v>
      </c>
      <c r="N19" s="190"/>
      <c r="Q19" s="167"/>
    </row>
    <row r="20" spans="1:17">
      <c r="A20" s="23">
        <v>17</v>
      </c>
      <c r="B20" s="24">
        <v>46282</v>
      </c>
      <c r="C20" s="31"/>
      <c r="D20" s="32"/>
      <c r="E20" s="33">
        <v>100</v>
      </c>
      <c r="F20" s="33">
        <v>103.76</v>
      </c>
      <c r="G20" s="33">
        <f t="shared" si="1"/>
        <v>10376</v>
      </c>
      <c r="H20" s="309"/>
      <c r="I20" s="309"/>
      <c r="J20" s="33"/>
      <c r="K20" s="33">
        <f t="shared" ref="K20:L38" si="4">G20+J20</f>
        <v>10376</v>
      </c>
      <c r="L20" s="33">
        <v>10376</v>
      </c>
      <c r="M20" s="33">
        <f t="shared" si="2"/>
        <v>0</v>
      </c>
      <c r="N20" s="190"/>
    </row>
    <row r="21" spans="1:17">
      <c r="A21" s="23">
        <v>18</v>
      </c>
      <c r="B21" s="24">
        <v>46283</v>
      </c>
      <c r="C21" s="31"/>
      <c r="D21" s="32"/>
      <c r="E21" s="33"/>
      <c r="F21" s="33"/>
      <c r="G21" s="33">
        <f t="shared" si="1"/>
        <v>0</v>
      </c>
      <c r="H21" s="309"/>
      <c r="I21" s="309"/>
      <c r="J21" s="33"/>
      <c r="K21" s="33">
        <f t="shared" si="4"/>
        <v>0</v>
      </c>
      <c r="L21" s="33"/>
      <c r="M21" s="33">
        <f t="shared" si="2"/>
        <v>0</v>
      </c>
      <c r="N21" s="190"/>
    </row>
    <row r="22" spans="1:17">
      <c r="A22" s="23">
        <v>19</v>
      </c>
      <c r="B22" s="24">
        <v>46284</v>
      </c>
      <c r="C22" s="31"/>
      <c r="D22" s="32"/>
      <c r="E22" s="33">
        <v>90</v>
      </c>
      <c r="F22" s="33">
        <v>103.76</v>
      </c>
      <c r="G22" s="33">
        <f t="shared" si="1"/>
        <v>9338.4</v>
      </c>
      <c r="H22" s="309"/>
      <c r="I22" s="309"/>
      <c r="J22" s="33"/>
      <c r="K22" s="33">
        <f t="shared" si="4"/>
        <v>9338.4</v>
      </c>
      <c r="L22" s="33">
        <v>9338.4</v>
      </c>
      <c r="M22" s="33">
        <f t="shared" si="2"/>
        <v>0</v>
      </c>
      <c r="N22" s="190"/>
    </row>
    <row r="23" spans="1:17">
      <c r="A23" s="23">
        <v>20</v>
      </c>
      <c r="B23" s="24">
        <v>46285</v>
      </c>
      <c r="C23" s="161"/>
      <c r="D23" s="32"/>
      <c r="E23" s="33"/>
      <c r="F23" s="33"/>
      <c r="G23" s="33">
        <f t="shared" ref="G23:G37" si="5">E23*F23</f>
        <v>0</v>
      </c>
      <c r="H23" s="309"/>
      <c r="I23" s="309"/>
      <c r="J23" s="33"/>
      <c r="K23" s="33">
        <f t="shared" si="4"/>
        <v>0</v>
      </c>
      <c r="L23" s="33"/>
      <c r="M23" s="33">
        <f t="shared" si="2"/>
        <v>0</v>
      </c>
      <c r="N23" s="190"/>
    </row>
    <row r="24" spans="1:17">
      <c r="A24" s="23">
        <v>21</v>
      </c>
      <c r="B24" s="24">
        <v>46286</v>
      </c>
      <c r="C24" s="161"/>
      <c r="D24" s="32"/>
      <c r="E24" s="33">
        <v>40</v>
      </c>
      <c r="F24" s="33">
        <v>103.76</v>
      </c>
      <c r="G24" s="33">
        <f t="shared" si="5"/>
        <v>4150.4000000000005</v>
      </c>
      <c r="H24" s="309"/>
      <c r="I24" s="309"/>
      <c r="J24" s="33"/>
      <c r="K24" s="33">
        <f t="shared" si="4"/>
        <v>4150.4000000000005</v>
      </c>
      <c r="L24" s="33">
        <f t="shared" si="4"/>
        <v>4150.4000000000005</v>
      </c>
      <c r="M24" s="33">
        <f t="shared" si="2"/>
        <v>0</v>
      </c>
      <c r="N24" s="229"/>
    </row>
    <row r="25" spans="1:17">
      <c r="A25" s="23">
        <v>22</v>
      </c>
      <c r="B25" s="24">
        <v>46287</v>
      </c>
      <c r="C25" s="103"/>
      <c r="D25" s="32"/>
      <c r="E25" s="33">
        <v>100</v>
      </c>
      <c r="F25" s="33">
        <v>103.76</v>
      </c>
      <c r="G25" s="33">
        <f t="shared" si="5"/>
        <v>10376</v>
      </c>
      <c r="H25" s="309"/>
      <c r="I25" s="309"/>
      <c r="J25" s="33"/>
      <c r="K25" s="33">
        <f t="shared" si="4"/>
        <v>10376</v>
      </c>
      <c r="L25" s="33">
        <f t="shared" si="4"/>
        <v>10376</v>
      </c>
      <c r="M25" s="33">
        <f t="shared" si="2"/>
        <v>0</v>
      </c>
      <c r="N25" s="229"/>
    </row>
    <row r="26" spans="1:17">
      <c r="A26" s="23">
        <v>23</v>
      </c>
      <c r="B26" s="24">
        <v>46288</v>
      </c>
      <c r="C26" s="173"/>
      <c r="D26" s="32"/>
      <c r="E26" s="33">
        <v>50</v>
      </c>
      <c r="F26" s="33">
        <v>103.76</v>
      </c>
      <c r="G26" s="33">
        <f t="shared" si="5"/>
        <v>5188</v>
      </c>
      <c r="H26" s="309"/>
      <c r="I26" s="309"/>
      <c r="J26" s="33"/>
      <c r="K26" s="33">
        <f t="shared" si="4"/>
        <v>5188</v>
      </c>
      <c r="L26" s="33">
        <f t="shared" si="4"/>
        <v>5188</v>
      </c>
      <c r="M26" s="33">
        <f t="shared" si="2"/>
        <v>0</v>
      </c>
      <c r="N26" s="229"/>
    </row>
    <row r="27" spans="1:17">
      <c r="A27" s="23">
        <v>24</v>
      </c>
      <c r="B27" s="24">
        <v>46289</v>
      </c>
      <c r="C27" s="173"/>
      <c r="D27" s="32"/>
      <c r="E27" s="33">
        <v>33.729999999999997</v>
      </c>
      <c r="F27" s="33">
        <v>103.76</v>
      </c>
      <c r="G27" s="33">
        <f t="shared" si="5"/>
        <v>3499.8247999999999</v>
      </c>
      <c r="H27" s="309"/>
      <c r="I27" s="309"/>
      <c r="J27" s="33"/>
      <c r="K27" s="33">
        <f t="shared" si="4"/>
        <v>3499.8247999999999</v>
      </c>
      <c r="L27" s="33">
        <f>H27+K27</f>
        <v>3499.8247999999999</v>
      </c>
      <c r="M27" s="33">
        <f t="shared" si="2"/>
        <v>0</v>
      </c>
      <c r="N27" s="229"/>
    </row>
    <row r="28" spans="1:17">
      <c r="A28" s="23">
        <v>25</v>
      </c>
      <c r="B28" s="24">
        <v>46290</v>
      </c>
      <c r="C28" s="103"/>
      <c r="D28" s="32"/>
      <c r="E28" s="33">
        <v>50</v>
      </c>
      <c r="F28" s="33">
        <v>103.76</v>
      </c>
      <c r="G28" s="33">
        <f t="shared" si="5"/>
        <v>5188</v>
      </c>
      <c r="H28" s="309"/>
      <c r="I28" s="309"/>
      <c r="J28" s="33"/>
      <c r="K28" s="33">
        <f t="shared" si="4"/>
        <v>5188</v>
      </c>
      <c r="L28" s="33">
        <f t="shared" si="4"/>
        <v>5188</v>
      </c>
      <c r="M28" s="33">
        <f t="shared" si="2"/>
        <v>0</v>
      </c>
      <c r="N28" s="190"/>
    </row>
    <row r="29" spans="1:17">
      <c r="A29" s="23">
        <v>26</v>
      </c>
      <c r="B29" s="24">
        <v>46291</v>
      </c>
      <c r="C29" s="103"/>
      <c r="D29" s="32"/>
      <c r="E29" s="33">
        <v>50</v>
      </c>
      <c r="F29" s="33">
        <v>103.76</v>
      </c>
      <c r="G29" s="33">
        <f t="shared" si="5"/>
        <v>5188</v>
      </c>
      <c r="H29" s="309"/>
      <c r="I29" s="309"/>
      <c r="J29" s="33"/>
      <c r="K29" s="33">
        <f t="shared" si="4"/>
        <v>5188</v>
      </c>
      <c r="L29" s="33">
        <f t="shared" si="4"/>
        <v>5188</v>
      </c>
      <c r="M29" s="33">
        <f t="shared" si="2"/>
        <v>0</v>
      </c>
      <c r="N29" s="190"/>
    </row>
    <row r="30" spans="1:17">
      <c r="A30" s="23">
        <v>27</v>
      </c>
      <c r="B30" s="24">
        <v>46292</v>
      </c>
      <c r="C30" s="103"/>
      <c r="D30" s="32"/>
      <c r="E30" s="33"/>
      <c r="F30" s="33"/>
      <c r="G30" s="33">
        <f t="shared" si="5"/>
        <v>0</v>
      </c>
      <c r="H30" s="309"/>
      <c r="I30" s="309"/>
      <c r="J30" s="33"/>
      <c r="K30" s="33">
        <f t="shared" si="4"/>
        <v>0</v>
      </c>
      <c r="L30" s="33">
        <f t="shared" si="4"/>
        <v>0</v>
      </c>
      <c r="M30" s="33">
        <f t="shared" si="2"/>
        <v>0</v>
      </c>
      <c r="N30" s="190"/>
    </row>
    <row r="31" spans="1:17">
      <c r="A31" s="23">
        <v>28</v>
      </c>
      <c r="B31" s="24">
        <v>46293</v>
      </c>
      <c r="C31" s="103"/>
      <c r="D31" s="32"/>
      <c r="E31" s="33">
        <v>50</v>
      </c>
      <c r="F31" s="33">
        <v>103.76</v>
      </c>
      <c r="G31" s="33">
        <f t="shared" si="5"/>
        <v>5188</v>
      </c>
      <c r="H31" s="309"/>
      <c r="I31" s="309"/>
      <c r="J31" s="33"/>
      <c r="K31" s="33">
        <f t="shared" si="4"/>
        <v>5188</v>
      </c>
      <c r="L31" s="33">
        <f t="shared" si="4"/>
        <v>5188</v>
      </c>
      <c r="M31" s="33">
        <f t="shared" si="2"/>
        <v>0</v>
      </c>
      <c r="N31" s="190"/>
    </row>
    <row r="32" spans="1:17">
      <c r="A32" s="23"/>
      <c r="B32" s="24">
        <v>46293</v>
      </c>
      <c r="C32" s="103"/>
      <c r="D32" s="32"/>
      <c r="E32" s="33">
        <v>50</v>
      </c>
      <c r="F32" s="33">
        <v>103.76</v>
      </c>
      <c r="G32" s="33">
        <f t="shared" si="5"/>
        <v>5188</v>
      </c>
      <c r="H32" s="309"/>
      <c r="I32" s="309"/>
      <c r="J32" s="33"/>
      <c r="K32" s="33">
        <f t="shared" si="4"/>
        <v>5188</v>
      </c>
      <c r="L32" s="33">
        <f t="shared" si="4"/>
        <v>5188</v>
      </c>
      <c r="M32" s="33"/>
      <c r="N32" s="190"/>
    </row>
    <row r="33" spans="1:16">
      <c r="A33" s="23">
        <v>29</v>
      </c>
      <c r="B33" s="24">
        <v>46294</v>
      </c>
      <c r="C33" s="103"/>
      <c r="D33" s="32"/>
      <c r="E33" s="33"/>
      <c r="F33" s="33"/>
      <c r="G33" s="33">
        <f t="shared" si="5"/>
        <v>0</v>
      </c>
      <c r="H33" s="309"/>
      <c r="I33" s="309"/>
      <c r="J33" s="33"/>
      <c r="K33" s="33">
        <f t="shared" si="4"/>
        <v>0</v>
      </c>
      <c r="L33" s="33">
        <f t="shared" si="4"/>
        <v>0</v>
      </c>
      <c r="M33" s="33">
        <f>M31+K33-L33</f>
        <v>0</v>
      </c>
      <c r="N33" s="190"/>
    </row>
    <row r="34" spans="1:16">
      <c r="A34" s="23">
        <v>30</v>
      </c>
      <c r="B34" s="24">
        <v>46295</v>
      </c>
      <c r="C34" s="103"/>
      <c r="D34" s="32"/>
      <c r="E34" s="33">
        <v>100</v>
      </c>
      <c r="F34" s="33">
        <v>103.76</v>
      </c>
      <c r="G34" s="33">
        <f t="shared" si="5"/>
        <v>10376</v>
      </c>
      <c r="H34" s="309"/>
      <c r="I34" s="309"/>
      <c r="J34" s="33"/>
      <c r="K34" s="33">
        <f t="shared" si="4"/>
        <v>10376</v>
      </c>
      <c r="L34" s="33">
        <f t="shared" si="4"/>
        <v>10376</v>
      </c>
      <c r="M34" s="33">
        <f t="shared" si="2"/>
        <v>0</v>
      </c>
      <c r="N34" s="190"/>
    </row>
    <row r="35" spans="1:16">
      <c r="A35" s="23">
        <v>31</v>
      </c>
      <c r="B35" s="24">
        <v>46296</v>
      </c>
      <c r="C35" s="103"/>
      <c r="D35" s="32"/>
      <c r="E35" s="33"/>
      <c r="F35" s="33"/>
      <c r="G35" s="33">
        <f t="shared" si="5"/>
        <v>0</v>
      </c>
      <c r="H35" s="309"/>
      <c r="I35" s="309"/>
      <c r="J35" s="33"/>
      <c r="K35" s="33">
        <f t="shared" si="4"/>
        <v>0</v>
      </c>
      <c r="L35" s="33">
        <f t="shared" si="4"/>
        <v>0</v>
      </c>
      <c r="M35" s="33">
        <f t="shared" si="2"/>
        <v>0</v>
      </c>
      <c r="N35" s="190"/>
    </row>
    <row r="36" spans="1:16">
      <c r="A36" s="23">
        <v>32</v>
      </c>
      <c r="B36" s="24">
        <v>46297</v>
      </c>
      <c r="C36" s="103"/>
      <c r="D36" s="32"/>
      <c r="E36" s="33"/>
      <c r="F36" s="33"/>
      <c r="G36" s="33">
        <f t="shared" si="5"/>
        <v>0</v>
      </c>
      <c r="H36" s="309"/>
      <c r="I36" s="309"/>
      <c r="J36" s="33"/>
      <c r="K36" s="33">
        <f t="shared" si="4"/>
        <v>0</v>
      </c>
      <c r="L36" s="33">
        <f t="shared" si="4"/>
        <v>0</v>
      </c>
      <c r="M36" s="33">
        <f t="shared" si="2"/>
        <v>0</v>
      </c>
      <c r="N36" s="190"/>
    </row>
    <row r="37" spans="1:16">
      <c r="A37" s="23">
        <v>33</v>
      </c>
      <c r="B37" s="24"/>
      <c r="C37" s="103"/>
      <c r="D37" s="32"/>
      <c r="E37" s="33"/>
      <c r="F37" s="33"/>
      <c r="G37" s="33">
        <f t="shared" si="5"/>
        <v>0</v>
      </c>
      <c r="H37" s="309"/>
      <c r="I37" s="309"/>
      <c r="J37" s="33"/>
      <c r="K37" s="33">
        <f t="shared" si="4"/>
        <v>0</v>
      </c>
      <c r="L37" s="33"/>
      <c r="M37" s="33">
        <f t="shared" si="2"/>
        <v>0</v>
      </c>
      <c r="N37" s="190"/>
    </row>
    <row r="38" spans="1:16">
      <c r="A38" s="23">
        <v>34</v>
      </c>
      <c r="B38" s="24"/>
      <c r="C38" s="103"/>
      <c r="D38" s="32"/>
      <c r="E38" s="33"/>
      <c r="F38" s="33"/>
      <c r="G38" s="33"/>
      <c r="H38" s="309"/>
      <c r="I38" s="309"/>
      <c r="J38" s="33"/>
      <c r="K38" s="33">
        <f t="shared" si="4"/>
        <v>0</v>
      </c>
      <c r="L38" s="33"/>
      <c r="M38" s="33">
        <f t="shared" si="2"/>
        <v>0</v>
      </c>
      <c r="N38" s="190"/>
    </row>
    <row r="39" spans="1:16">
      <c r="A39" s="23">
        <v>35</v>
      </c>
      <c r="B39" s="24"/>
      <c r="C39" s="103"/>
      <c r="D39" s="32"/>
      <c r="E39" s="33"/>
      <c r="F39" s="33"/>
      <c r="G39" s="33"/>
      <c r="H39" s="309"/>
      <c r="I39" s="309"/>
      <c r="J39" s="33"/>
      <c r="K39" s="33"/>
      <c r="L39" s="33"/>
      <c r="M39" s="33">
        <f t="shared" si="2"/>
        <v>0</v>
      </c>
      <c r="N39" s="190"/>
    </row>
    <row r="40" spans="1:16">
      <c r="A40" s="23">
        <v>36</v>
      </c>
      <c r="B40" s="24"/>
      <c r="C40" s="103"/>
      <c r="D40" s="32"/>
      <c r="E40" s="33"/>
      <c r="F40" s="33"/>
      <c r="G40" s="33"/>
      <c r="H40" s="309"/>
      <c r="I40" s="309"/>
      <c r="J40" s="33"/>
      <c r="K40" s="33"/>
      <c r="L40" s="189"/>
      <c r="M40" s="33">
        <f t="shared" si="2"/>
        <v>0</v>
      </c>
      <c r="N40" s="190"/>
    </row>
    <row r="41" spans="1:16">
      <c r="A41" s="23">
        <v>37</v>
      </c>
      <c r="B41" s="24"/>
      <c r="C41" s="103"/>
      <c r="D41" s="32"/>
      <c r="E41" s="33"/>
      <c r="F41" s="33"/>
      <c r="G41" s="33"/>
      <c r="H41" s="309"/>
      <c r="I41" s="309"/>
      <c r="J41" s="33"/>
      <c r="K41" s="33"/>
      <c r="L41" s="189"/>
      <c r="M41" s="33"/>
      <c r="N41" s="190"/>
    </row>
    <row r="42" spans="1:16">
      <c r="A42" s="23">
        <v>38</v>
      </c>
      <c r="B42" s="24"/>
      <c r="C42" s="103"/>
      <c r="D42" s="32"/>
      <c r="E42" s="33"/>
      <c r="F42" s="33"/>
      <c r="G42" s="33"/>
      <c r="H42" s="309"/>
      <c r="I42" s="309"/>
      <c r="J42" s="33"/>
      <c r="K42" s="33"/>
      <c r="L42" s="189"/>
      <c r="M42" s="33"/>
      <c r="N42" s="190"/>
    </row>
    <row r="43" spans="1:16">
      <c r="A43" s="23">
        <v>39</v>
      </c>
      <c r="B43" s="24"/>
      <c r="C43" s="103"/>
      <c r="D43" s="32"/>
      <c r="E43" s="33"/>
      <c r="F43" s="33"/>
      <c r="G43" s="33"/>
      <c r="H43" s="309"/>
      <c r="I43" s="309"/>
      <c r="J43" s="33"/>
      <c r="K43" s="33"/>
      <c r="L43" s="189"/>
      <c r="M43" s="33"/>
      <c r="N43" s="190"/>
    </row>
    <row r="44" spans="1:16">
      <c r="A44" s="23">
        <v>40</v>
      </c>
      <c r="B44" s="24"/>
      <c r="C44" s="103"/>
      <c r="D44" s="32"/>
      <c r="E44" s="33"/>
      <c r="F44" s="33"/>
      <c r="G44" s="33"/>
      <c r="H44" s="309"/>
      <c r="I44" s="309"/>
      <c r="J44" s="33"/>
      <c r="K44" s="33"/>
      <c r="L44" s="189"/>
      <c r="M44" s="33"/>
      <c r="N44" s="190"/>
    </row>
    <row r="45" spans="1:16">
      <c r="A45" s="23">
        <v>41</v>
      </c>
      <c r="B45" s="24"/>
      <c r="C45" s="103"/>
      <c r="D45" s="32"/>
      <c r="E45" s="33"/>
      <c r="F45" s="33"/>
      <c r="G45" s="33"/>
      <c r="H45" s="309"/>
      <c r="I45" s="309"/>
      <c r="J45" s="33"/>
      <c r="K45" s="33"/>
      <c r="L45" s="189"/>
      <c r="M45" s="33"/>
      <c r="N45" s="190"/>
    </row>
    <row r="46" spans="1:16">
      <c r="A46" s="23">
        <v>42</v>
      </c>
      <c r="B46" s="24"/>
      <c r="C46" s="103"/>
      <c r="D46" s="32"/>
      <c r="E46" s="33"/>
      <c r="F46" s="33"/>
      <c r="G46" s="33"/>
      <c r="H46" s="309"/>
      <c r="I46" s="309"/>
      <c r="J46" s="33"/>
      <c r="K46" s="33"/>
      <c r="L46" s="189"/>
      <c r="M46" s="33"/>
      <c r="N46" s="229"/>
      <c r="O46">
        <v>2669494</v>
      </c>
      <c r="P46" s="167">
        <f>O46-M46</f>
        <v>2669494</v>
      </c>
    </row>
    <row r="47" spans="1:16">
      <c r="A47" s="324"/>
      <c r="B47" s="24"/>
      <c r="C47" s="30"/>
      <c r="D47" s="325"/>
      <c r="E47" s="33">
        <v>0</v>
      </c>
      <c r="F47" s="33">
        <v>0</v>
      </c>
      <c r="G47" s="33">
        <f>E47*F47</f>
        <v>0</v>
      </c>
      <c r="H47" s="33"/>
      <c r="I47" s="33"/>
      <c r="J47" s="33">
        <f t="shared" ref="J21:J47" si="6">H47*I47</f>
        <v>0</v>
      </c>
      <c r="K47" s="33">
        <f t="shared" si="0"/>
        <v>0</v>
      </c>
      <c r="L47" s="35"/>
      <c r="M47" s="33">
        <f t="shared" ref="M43:M47" si="7">M46+K47-L47</f>
        <v>0</v>
      </c>
      <c r="N47" s="33"/>
    </row>
    <row r="48" spans="1:16">
      <c r="A48" s="174"/>
      <c r="B48" s="326"/>
      <c r="C48" s="326"/>
      <c r="D48" s="326"/>
      <c r="E48" s="327">
        <f>SUM(E4:E46)</f>
        <v>1263.73</v>
      </c>
      <c r="F48" s="327"/>
      <c r="G48" s="327">
        <f>SUM(G4:G46)</f>
        <v>131124.62479999999</v>
      </c>
      <c r="H48" s="327">
        <f>SUM(H4:H46)</f>
        <v>0</v>
      </c>
      <c r="I48" s="327"/>
      <c r="J48" s="327">
        <f>SUM(J4:J46)</f>
        <v>0</v>
      </c>
      <c r="K48" s="327">
        <f>SUM(K4:K46)</f>
        <v>131124.62479999999</v>
      </c>
      <c r="L48" s="327">
        <f>SUM(L4:L46)</f>
        <v>131124.62479999999</v>
      </c>
      <c r="M48" s="328"/>
      <c r="N48" s="329"/>
    </row>
    <row r="49" spans="1:14">
      <c r="A49" s="34"/>
      <c r="B49" s="34"/>
      <c r="C49" s="34"/>
      <c r="D49" s="34"/>
      <c r="E49" s="330"/>
      <c r="F49" s="330"/>
      <c r="G49" s="330"/>
      <c r="H49" s="330"/>
      <c r="I49" s="330"/>
      <c r="J49" s="330"/>
      <c r="K49" s="330"/>
      <c r="L49" s="330"/>
      <c r="M49" s="330"/>
      <c r="N49" s="330"/>
    </row>
    <row r="50" spans="1:14">
      <c r="A50" s="30"/>
      <c r="B50" s="30"/>
      <c r="C50" s="30"/>
      <c r="D50" s="30"/>
      <c r="E50" s="30"/>
      <c r="F50" s="30"/>
      <c r="G50" s="36"/>
      <c r="H50" s="30"/>
      <c r="I50" s="30"/>
      <c r="J50" s="30"/>
      <c r="K50" s="30"/>
      <c r="L50" s="30"/>
      <c r="M50" s="30"/>
      <c r="N50" s="30"/>
    </row>
    <row r="51" spans="1:14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</row>
    <row r="55" spans="1:14">
      <c r="E55" s="167"/>
    </row>
    <row r="57" spans="1:14">
      <c r="M57">
        <v>2408309</v>
      </c>
    </row>
    <row r="58" spans="1:14">
      <c r="M58">
        <v>5327.86</v>
      </c>
    </row>
    <row r="59" spans="1:14">
      <c r="M59" s="331">
        <f>M57-M58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38"/>
  <sheetViews>
    <sheetView workbookViewId="0">
      <pane ySplit="2" topLeftCell="A23" activePane="bottomLeft" state="frozen"/>
      <selection pane="bottomLeft" activeCell="P35" sqref="P35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6" max="6" width="10.42578125" bestFit="1" customWidth="1"/>
    <col min="7" max="7" width="13.85546875" customWidth="1"/>
    <col min="10" max="10" width="9.28515625" bestFit="1" customWidth="1"/>
    <col min="11" max="11" width="13" customWidth="1"/>
    <col min="12" max="12" width="16.42578125" customWidth="1"/>
    <col min="13" max="13" width="12.28515625" bestFit="1" customWidth="1"/>
    <col min="15" max="15" width="10.42578125" bestFit="1" customWidth="1"/>
    <col min="16" max="16" width="12.140625" bestFit="1" customWidth="1"/>
    <col min="18" max="18" width="13" bestFit="1" customWidth="1"/>
  </cols>
  <sheetData>
    <row r="1" spans="1:18" ht="15.75">
      <c r="A1" s="594" t="s">
        <v>67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18" ht="30">
      <c r="A2" s="120" t="s">
        <v>0</v>
      </c>
      <c r="B2" s="121" t="s">
        <v>168</v>
      </c>
      <c r="C2" s="121" t="s">
        <v>169</v>
      </c>
      <c r="D2" s="121" t="s">
        <v>170</v>
      </c>
      <c r="E2" s="121" t="s">
        <v>171</v>
      </c>
      <c r="F2" s="121" t="s">
        <v>172</v>
      </c>
      <c r="G2" s="121" t="s">
        <v>173</v>
      </c>
      <c r="H2" s="121" t="s">
        <v>174</v>
      </c>
      <c r="I2" s="121" t="s">
        <v>172</v>
      </c>
      <c r="J2" s="122" t="s">
        <v>173</v>
      </c>
      <c r="K2" s="120" t="s">
        <v>175</v>
      </c>
      <c r="L2" s="123" t="s">
        <v>176</v>
      </c>
      <c r="M2" s="123" t="s">
        <v>180</v>
      </c>
      <c r="N2" s="121" t="s">
        <v>178</v>
      </c>
    </row>
    <row r="3" spans="1:18">
      <c r="A3" s="595" t="s">
        <v>179</v>
      </c>
      <c r="B3" s="595"/>
      <c r="C3" s="595"/>
      <c r="D3" s="595"/>
      <c r="E3" s="595"/>
      <c r="F3" s="595"/>
      <c r="G3" s="595"/>
      <c r="H3" s="595"/>
      <c r="I3" s="595"/>
      <c r="J3" s="595"/>
      <c r="K3" s="204">
        <v>2805565.16</v>
      </c>
      <c r="L3" s="220"/>
      <c r="M3" s="204">
        <v>2805565.16</v>
      </c>
      <c r="N3" s="91"/>
      <c r="O3" s="19">
        <f>K3-M3</f>
        <v>0</v>
      </c>
    </row>
    <row r="4" spans="1:18">
      <c r="A4" s="23">
        <v>1</v>
      </c>
      <c r="B4" s="24">
        <v>46266</v>
      </c>
      <c r="C4" s="14"/>
      <c r="D4" s="14"/>
      <c r="E4" s="14">
        <v>2700</v>
      </c>
      <c r="F4" s="14">
        <v>103.8</v>
      </c>
      <c r="G4" s="14">
        <f>E4*F4</f>
        <v>280260</v>
      </c>
      <c r="H4" s="301"/>
      <c r="I4" s="14"/>
      <c r="J4" s="14"/>
      <c r="K4" s="14">
        <f>G4+J4</f>
        <v>280260</v>
      </c>
      <c r="L4" s="14">
        <v>2826324</v>
      </c>
      <c r="M4" s="37">
        <f>M3+K4-L4</f>
        <v>259501.16000000015</v>
      </c>
      <c r="N4" s="14"/>
    </row>
    <row r="5" spans="1:18">
      <c r="A5" s="23">
        <v>2</v>
      </c>
      <c r="B5" s="24">
        <v>46267</v>
      </c>
      <c r="C5" s="14"/>
      <c r="D5" s="14"/>
      <c r="E5" s="14"/>
      <c r="F5" s="14"/>
      <c r="G5" s="14">
        <f t="shared" ref="G5:G33" si="0">E5*F5</f>
        <v>0</v>
      </c>
      <c r="H5" s="301"/>
      <c r="I5" s="14"/>
      <c r="J5" s="14">
        <f t="shared" ref="J5:J33" si="1">H5*I5</f>
        <v>0</v>
      </c>
      <c r="K5" s="14">
        <f>G5+J5</f>
        <v>0</v>
      </c>
      <c r="L5" s="14"/>
      <c r="M5" s="37">
        <f>M4+K5-L5</f>
        <v>259501.16000000015</v>
      </c>
      <c r="N5" s="14"/>
    </row>
    <row r="6" spans="1:18">
      <c r="A6" s="23">
        <v>3</v>
      </c>
      <c r="B6" s="24">
        <v>46268</v>
      </c>
      <c r="C6" s="14"/>
      <c r="D6" s="14"/>
      <c r="E6" s="14"/>
      <c r="F6" s="14"/>
      <c r="G6" s="14">
        <f t="shared" si="0"/>
        <v>0</v>
      </c>
      <c r="H6" s="301"/>
      <c r="I6" s="14"/>
      <c r="J6" s="14">
        <f>H6*I6</f>
        <v>0</v>
      </c>
      <c r="K6" s="14">
        <f t="shared" ref="K5:L33" si="2">G6+J6</f>
        <v>0</v>
      </c>
      <c r="L6" s="14"/>
      <c r="M6" s="37">
        <f t="shared" ref="M6:M8" si="3">M5+K6-L6</f>
        <v>259501.16000000015</v>
      </c>
      <c r="N6" s="14"/>
    </row>
    <row r="7" spans="1:18">
      <c r="A7" s="23">
        <v>4</v>
      </c>
      <c r="B7" s="24">
        <v>46269</v>
      </c>
      <c r="C7" s="14"/>
      <c r="D7" s="14"/>
      <c r="E7" s="14">
        <v>2700</v>
      </c>
      <c r="F7" s="14">
        <v>103.8</v>
      </c>
      <c r="G7" s="14">
        <f t="shared" si="0"/>
        <v>280260</v>
      </c>
      <c r="H7" s="301"/>
      <c r="I7" s="14"/>
      <c r="J7" s="14">
        <f t="shared" si="1"/>
        <v>0</v>
      </c>
      <c r="K7" s="14">
        <f t="shared" si="2"/>
        <v>280260</v>
      </c>
      <c r="L7" s="14"/>
      <c r="M7" s="37">
        <f t="shared" si="3"/>
        <v>539761.16000000015</v>
      </c>
      <c r="N7" s="14"/>
    </row>
    <row r="8" spans="1:18">
      <c r="A8" s="23">
        <v>5</v>
      </c>
      <c r="B8" s="24">
        <v>46270</v>
      </c>
      <c r="C8" s="14"/>
      <c r="D8" s="14"/>
      <c r="E8" s="14"/>
      <c r="F8" s="14"/>
      <c r="G8" s="14">
        <f t="shared" si="0"/>
        <v>0</v>
      </c>
      <c r="H8" s="301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539761.16000000015</v>
      </c>
      <c r="N8" s="14"/>
    </row>
    <row r="9" spans="1:18">
      <c r="A9" s="23">
        <v>6</v>
      </c>
      <c r="B9" s="24">
        <v>46271</v>
      </c>
      <c r="C9" s="14"/>
      <c r="D9" s="14"/>
      <c r="E9" s="14"/>
      <c r="F9" s="14"/>
      <c r="G9" s="14">
        <f t="shared" si="0"/>
        <v>0</v>
      </c>
      <c r="H9" s="301"/>
      <c r="I9" s="14"/>
      <c r="J9" s="14">
        <f t="shared" si="1"/>
        <v>0</v>
      </c>
      <c r="K9" s="14">
        <f t="shared" si="2"/>
        <v>0</v>
      </c>
      <c r="L9" s="14"/>
      <c r="M9" s="37">
        <f>M8+K9-L9</f>
        <v>539761.16000000015</v>
      </c>
      <c r="N9" s="14"/>
    </row>
    <row r="10" spans="1:18">
      <c r="A10" s="23">
        <v>7</v>
      </c>
      <c r="B10" s="24">
        <v>46272</v>
      </c>
      <c r="C10" s="14"/>
      <c r="D10" s="14"/>
      <c r="E10" s="14">
        <v>2700</v>
      </c>
      <c r="F10" s="14">
        <v>103.8</v>
      </c>
      <c r="G10" s="14">
        <f t="shared" si="0"/>
        <v>280260</v>
      </c>
      <c r="H10" s="301">
        <v>55</v>
      </c>
      <c r="I10" s="14">
        <v>115.69</v>
      </c>
      <c r="J10" s="14">
        <f t="shared" si="1"/>
        <v>6362.95</v>
      </c>
      <c r="K10" s="14">
        <f t="shared" si="2"/>
        <v>286622.95</v>
      </c>
      <c r="L10" s="14"/>
      <c r="M10" s="37">
        <f>M9+K10-L10</f>
        <v>826384.1100000001</v>
      </c>
      <c r="N10" s="14"/>
    </row>
    <row r="11" spans="1:18">
      <c r="A11" s="23">
        <v>8</v>
      </c>
      <c r="B11" s="24">
        <v>46273</v>
      </c>
      <c r="C11" s="14"/>
      <c r="D11" s="14"/>
      <c r="E11" s="14">
        <v>2800</v>
      </c>
      <c r="F11" s="14">
        <v>103.8</v>
      </c>
      <c r="G11" s="14">
        <f t="shared" si="0"/>
        <v>290640</v>
      </c>
      <c r="H11" s="301"/>
      <c r="I11" s="14"/>
      <c r="J11" s="14">
        <f t="shared" si="1"/>
        <v>0</v>
      </c>
      <c r="K11" s="14">
        <f t="shared" si="2"/>
        <v>290640</v>
      </c>
      <c r="L11" s="14"/>
      <c r="M11" s="37">
        <f>M10+K11-L11</f>
        <v>1117024.1100000001</v>
      </c>
      <c r="N11" s="14"/>
    </row>
    <row r="12" spans="1:18">
      <c r="A12" s="23">
        <v>9</v>
      </c>
      <c r="B12" s="24">
        <v>46274</v>
      </c>
      <c r="C12" s="14"/>
      <c r="D12" s="14"/>
      <c r="E12" s="14"/>
      <c r="F12" s="14"/>
      <c r="G12" s="14">
        <f t="shared" si="0"/>
        <v>0</v>
      </c>
      <c r="H12" s="301"/>
      <c r="I12" s="14"/>
      <c r="J12" s="14">
        <f t="shared" si="1"/>
        <v>0</v>
      </c>
      <c r="K12" s="14">
        <f t="shared" si="2"/>
        <v>0</v>
      </c>
      <c r="L12" s="14"/>
      <c r="M12" s="37">
        <f>M11+K12-L12</f>
        <v>1117024.1100000001</v>
      </c>
      <c r="N12" s="14"/>
    </row>
    <row r="13" spans="1:18">
      <c r="A13" s="23">
        <v>10</v>
      </c>
      <c r="B13" s="24">
        <v>46275</v>
      </c>
      <c r="C13" s="14"/>
      <c r="D13" s="14"/>
      <c r="E13" s="14">
        <v>2700</v>
      </c>
      <c r="F13" s="14">
        <v>103.8</v>
      </c>
      <c r="G13" s="14">
        <f t="shared" si="0"/>
        <v>280260</v>
      </c>
      <c r="H13" s="301"/>
      <c r="I13" s="14"/>
      <c r="J13" s="14">
        <f t="shared" si="1"/>
        <v>0</v>
      </c>
      <c r="K13" s="14">
        <f t="shared" si="2"/>
        <v>280260</v>
      </c>
      <c r="L13" s="14"/>
      <c r="M13" s="37">
        <f t="shared" ref="M13:M35" si="4">M12+K13-L13</f>
        <v>1397284.11</v>
      </c>
      <c r="N13" s="14"/>
      <c r="P13" s="19"/>
    </row>
    <row r="14" spans="1:18">
      <c r="A14" s="23">
        <v>11</v>
      </c>
      <c r="B14" s="24">
        <v>46276</v>
      </c>
      <c r="C14" s="14"/>
      <c r="D14" s="14"/>
      <c r="E14" s="14">
        <v>2700</v>
      </c>
      <c r="F14" s="14">
        <v>103.8</v>
      </c>
      <c r="G14" s="14">
        <f t="shared" si="0"/>
        <v>280260</v>
      </c>
      <c r="H14" s="301"/>
      <c r="I14" s="14"/>
      <c r="J14" s="14">
        <f>H14*I14</f>
        <v>0</v>
      </c>
      <c r="K14" s="14">
        <f t="shared" si="2"/>
        <v>280260</v>
      </c>
      <c r="L14" s="14"/>
      <c r="M14" s="37">
        <f t="shared" si="4"/>
        <v>1677544.11</v>
      </c>
      <c r="N14" s="14"/>
    </row>
    <row r="15" spans="1:18">
      <c r="A15" s="23">
        <v>12</v>
      </c>
      <c r="B15" s="24">
        <v>46277</v>
      </c>
      <c r="C15" s="14"/>
      <c r="D15" s="14"/>
      <c r="E15" s="14"/>
      <c r="F15" s="14"/>
      <c r="G15" s="14">
        <f t="shared" si="0"/>
        <v>0</v>
      </c>
      <c r="H15" s="301"/>
      <c r="I15" s="14"/>
      <c r="J15" s="14">
        <f t="shared" si="1"/>
        <v>0</v>
      </c>
      <c r="K15" s="14">
        <f t="shared" si="2"/>
        <v>0</v>
      </c>
      <c r="L15" s="14"/>
      <c r="M15" s="37">
        <f t="shared" si="4"/>
        <v>1677544.11</v>
      </c>
      <c r="N15" s="14"/>
      <c r="R15" s="19"/>
    </row>
    <row r="16" spans="1:18">
      <c r="A16" s="23">
        <v>13</v>
      </c>
      <c r="B16" s="24">
        <v>46278</v>
      </c>
      <c r="C16" s="14"/>
      <c r="D16" s="14"/>
      <c r="E16" s="37"/>
      <c r="F16" s="37"/>
      <c r="G16" s="37">
        <f t="shared" si="0"/>
        <v>0</v>
      </c>
      <c r="H16" s="382">
        <v>130</v>
      </c>
      <c r="I16" s="37">
        <v>115.69</v>
      </c>
      <c r="J16" s="14">
        <f t="shared" si="1"/>
        <v>15039.699999999999</v>
      </c>
      <c r="K16" s="14">
        <f>G16+J16</f>
        <v>15039.699999999999</v>
      </c>
      <c r="L16" s="14"/>
      <c r="M16" s="37">
        <f t="shared" si="4"/>
        <v>1692583.81</v>
      </c>
      <c r="N16" s="14"/>
    </row>
    <row r="17" spans="1:16">
      <c r="A17" s="23">
        <v>14</v>
      </c>
      <c r="B17" s="24">
        <v>46279</v>
      </c>
      <c r="C17" s="14"/>
      <c r="D17" s="14"/>
      <c r="E17" s="37"/>
      <c r="F17" s="37"/>
      <c r="G17" s="37">
        <f t="shared" si="0"/>
        <v>0</v>
      </c>
      <c r="H17" s="382"/>
      <c r="I17" s="37"/>
      <c r="J17" s="14">
        <f t="shared" si="1"/>
        <v>0</v>
      </c>
      <c r="K17" s="14">
        <f>G17+J17</f>
        <v>0</v>
      </c>
      <c r="L17" s="14"/>
      <c r="M17" s="37">
        <f t="shared" si="4"/>
        <v>1692583.81</v>
      </c>
      <c r="N17" s="14"/>
    </row>
    <row r="18" spans="1:16">
      <c r="A18" s="23">
        <v>15</v>
      </c>
      <c r="B18" s="24">
        <v>46280</v>
      </c>
      <c r="C18" s="14"/>
      <c r="D18" s="14"/>
      <c r="E18" s="37"/>
      <c r="F18" s="37"/>
      <c r="G18" s="37">
        <f t="shared" si="0"/>
        <v>0</v>
      </c>
      <c r="H18" s="382"/>
      <c r="I18" s="37"/>
      <c r="J18" s="14">
        <f t="shared" si="1"/>
        <v>0</v>
      </c>
      <c r="K18" s="14">
        <f>G18+J18</f>
        <v>0</v>
      </c>
      <c r="L18" s="14"/>
      <c r="M18" s="37">
        <f t="shared" si="4"/>
        <v>1692583.81</v>
      </c>
      <c r="N18" s="14"/>
    </row>
    <row r="19" spans="1:16">
      <c r="A19" s="23">
        <v>16</v>
      </c>
      <c r="B19" s="24">
        <v>46281</v>
      </c>
      <c r="C19" s="14"/>
      <c r="D19" s="14"/>
      <c r="E19" s="320">
        <v>2700</v>
      </c>
      <c r="F19" s="37">
        <v>103.8</v>
      </c>
      <c r="G19" s="37">
        <f t="shared" si="0"/>
        <v>280260</v>
      </c>
      <c r="H19" s="382"/>
      <c r="I19" s="37"/>
      <c r="J19" s="14">
        <f t="shared" si="1"/>
        <v>0</v>
      </c>
      <c r="K19" s="320">
        <f>G19+J19</f>
        <v>280260</v>
      </c>
      <c r="L19" s="14"/>
      <c r="M19" s="37">
        <f t="shared" si="4"/>
        <v>1972843.81</v>
      </c>
      <c r="N19" s="14"/>
    </row>
    <row r="20" spans="1:16">
      <c r="A20" s="23">
        <v>17</v>
      </c>
      <c r="B20" s="24">
        <v>46282</v>
      </c>
      <c r="C20" s="14"/>
      <c r="D20" s="14"/>
      <c r="E20" s="37"/>
      <c r="F20" s="37"/>
      <c r="G20" s="37">
        <f t="shared" si="0"/>
        <v>0</v>
      </c>
      <c r="H20" s="382"/>
      <c r="I20" s="37"/>
      <c r="J20" s="14">
        <f t="shared" si="1"/>
        <v>0</v>
      </c>
      <c r="K20" s="320">
        <f>G20+J20</f>
        <v>0</v>
      </c>
      <c r="L20" s="14"/>
      <c r="M20" s="37">
        <f t="shared" si="4"/>
        <v>1972843.81</v>
      </c>
      <c r="N20" s="14"/>
    </row>
    <row r="21" spans="1:16">
      <c r="A21" s="23">
        <v>18</v>
      </c>
      <c r="B21" s="24">
        <v>46283</v>
      </c>
      <c r="C21" s="14"/>
      <c r="D21" s="14"/>
      <c r="E21" s="14">
        <v>2700</v>
      </c>
      <c r="F21" s="14">
        <v>103.8</v>
      </c>
      <c r="G21" s="14">
        <f t="shared" si="0"/>
        <v>280260</v>
      </c>
      <c r="H21" s="301"/>
      <c r="I21" s="14"/>
      <c r="J21" s="14">
        <f t="shared" si="1"/>
        <v>0</v>
      </c>
      <c r="K21" s="14">
        <f>G21+J21</f>
        <v>280260</v>
      </c>
      <c r="L21" s="14"/>
      <c r="M21" s="37">
        <f t="shared" si="4"/>
        <v>2253103.81</v>
      </c>
      <c r="N21" s="14"/>
    </row>
    <row r="22" spans="1:16">
      <c r="A22" s="23">
        <v>19</v>
      </c>
      <c r="B22" s="24">
        <v>46284</v>
      </c>
      <c r="C22" s="14"/>
      <c r="D22" s="14"/>
      <c r="E22" s="14">
        <v>3000</v>
      </c>
      <c r="F22" s="14">
        <v>103.8</v>
      </c>
      <c r="G22" s="14">
        <f t="shared" si="0"/>
        <v>311400</v>
      </c>
      <c r="H22" s="301"/>
      <c r="I22" s="37"/>
      <c r="J22" s="14">
        <f t="shared" si="1"/>
        <v>0</v>
      </c>
      <c r="K22" s="14">
        <f t="shared" si="2"/>
        <v>311400</v>
      </c>
      <c r="L22" s="14"/>
      <c r="M22" s="37">
        <f t="shared" si="4"/>
        <v>2564503.81</v>
      </c>
      <c r="N22" s="14"/>
    </row>
    <row r="23" spans="1:16">
      <c r="A23" s="23">
        <v>20</v>
      </c>
      <c r="B23" s="24">
        <v>46285</v>
      </c>
      <c r="C23" s="14"/>
      <c r="D23" s="14"/>
      <c r="E23" s="14"/>
      <c r="F23" s="14"/>
      <c r="G23" s="14">
        <f t="shared" si="0"/>
        <v>0</v>
      </c>
      <c r="H23" s="301"/>
      <c r="I23" s="14"/>
      <c r="J23" s="14">
        <f t="shared" si="1"/>
        <v>0</v>
      </c>
      <c r="K23" s="14">
        <f t="shared" si="2"/>
        <v>0</v>
      </c>
      <c r="L23" s="14"/>
      <c r="M23" s="37">
        <f t="shared" si="4"/>
        <v>2564503.81</v>
      </c>
      <c r="N23" s="14"/>
    </row>
    <row r="24" spans="1:16">
      <c r="A24" s="23">
        <v>21</v>
      </c>
      <c r="B24" s="24">
        <v>46286</v>
      </c>
      <c r="C24" s="14"/>
      <c r="D24" s="14"/>
      <c r="E24" s="14">
        <v>2700</v>
      </c>
      <c r="F24" s="14">
        <v>103.8</v>
      </c>
      <c r="G24" s="14">
        <f t="shared" si="0"/>
        <v>280260</v>
      </c>
      <c r="H24" s="301"/>
      <c r="I24" s="14"/>
      <c r="J24" s="14">
        <f t="shared" si="1"/>
        <v>0</v>
      </c>
      <c r="K24" s="14">
        <f t="shared" si="2"/>
        <v>280260</v>
      </c>
      <c r="L24" s="14"/>
      <c r="M24" s="37">
        <f t="shared" si="4"/>
        <v>2844763.81</v>
      </c>
      <c r="N24" s="14"/>
    </row>
    <row r="25" spans="1:16">
      <c r="A25" s="23">
        <v>22</v>
      </c>
      <c r="B25" s="24">
        <v>46287</v>
      </c>
      <c r="C25" s="14"/>
      <c r="D25" s="14"/>
      <c r="E25" s="14">
        <v>800</v>
      </c>
      <c r="F25" s="14">
        <v>103.8</v>
      </c>
      <c r="G25" s="14">
        <f t="shared" si="0"/>
        <v>83040</v>
      </c>
      <c r="H25" s="301"/>
      <c r="I25" s="14"/>
      <c r="J25" s="14">
        <f t="shared" si="1"/>
        <v>0</v>
      </c>
      <c r="K25" s="14">
        <f t="shared" si="2"/>
        <v>83040</v>
      </c>
      <c r="L25" s="14"/>
      <c r="M25" s="37">
        <f t="shared" si="4"/>
        <v>2927803.81</v>
      </c>
      <c r="N25" s="14"/>
    </row>
    <row r="26" spans="1:16">
      <c r="A26" s="23">
        <v>23</v>
      </c>
      <c r="B26" s="24">
        <v>46288</v>
      </c>
      <c r="C26" s="14"/>
      <c r="D26" s="14"/>
      <c r="E26" s="14"/>
      <c r="F26" s="14"/>
      <c r="G26" s="14">
        <f t="shared" si="0"/>
        <v>0</v>
      </c>
      <c r="H26" s="301"/>
      <c r="I26" s="14"/>
      <c r="J26" s="14">
        <f t="shared" si="1"/>
        <v>0</v>
      </c>
      <c r="K26" s="14">
        <f t="shared" si="2"/>
        <v>0</v>
      </c>
      <c r="L26" s="14"/>
      <c r="M26" s="37">
        <f t="shared" si="4"/>
        <v>2927803.81</v>
      </c>
      <c r="N26" s="14"/>
    </row>
    <row r="27" spans="1:16">
      <c r="A27" s="23">
        <v>24</v>
      </c>
      <c r="B27" s="24">
        <v>46289</v>
      </c>
      <c r="C27" s="14"/>
      <c r="D27" s="14"/>
      <c r="E27" s="14">
        <v>2500</v>
      </c>
      <c r="F27" s="14">
        <v>103.8</v>
      </c>
      <c r="G27" s="14">
        <f t="shared" si="0"/>
        <v>259500</v>
      </c>
      <c r="H27" s="301"/>
      <c r="I27" s="14"/>
      <c r="J27" s="14">
        <f t="shared" si="1"/>
        <v>0</v>
      </c>
      <c r="K27" s="14">
        <f t="shared" si="2"/>
        <v>259500</v>
      </c>
      <c r="L27" s="14"/>
      <c r="M27" s="37">
        <f t="shared" si="4"/>
        <v>3187303.81</v>
      </c>
      <c r="N27" s="14"/>
    </row>
    <row r="28" spans="1:16">
      <c r="A28" s="23">
        <v>25</v>
      </c>
      <c r="B28" s="24">
        <v>46290</v>
      </c>
      <c r="C28" s="14"/>
      <c r="D28" s="14"/>
      <c r="E28" s="14">
        <v>3700</v>
      </c>
      <c r="F28" s="14">
        <v>103.8</v>
      </c>
      <c r="G28" s="14">
        <f t="shared" si="0"/>
        <v>384060</v>
      </c>
      <c r="H28" s="301"/>
      <c r="I28" s="14"/>
      <c r="J28" s="14">
        <f t="shared" si="1"/>
        <v>0</v>
      </c>
      <c r="K28" s="14">
        <f t="shared" si="2"/>
        <v>384060</v>
      </c>
      <c r="L28" s="14"/>
      <c r="M28" s="37">
        <f t="shared" si="4"/>
        <v>3571363.81</v>
      </c>
      <c r="N28" s="14"/>
    </row>
    <row r="29" spans="1:16">
      <c r="A29" s="23">
        <v>26</v>
      </c>
      <c r="B29" s="24">
        <v>46291</v>
      </c>
      <c r="C29" s="14"/>
      <c r="D29" s="14"/>
      <c r="E29" s="14"/>
      <c r="F29" s="14"/>
      <c r="G29" s="14">
        <f t="shared" si="0"/>
        <v>0</v>
      </c>
      <c r="H29" s="301"/>
      <c r="I29" s="14"/>
      <c r="J29" s="14">
        <f t="shared" si="1"/>
        <v>0</v>
      </c>
      <c r="K29" s="14">
        <f t="shared" si="2"/>
        <v>0</v>
      </c>
      <c r="L29" s="14"/>
      <c r="M29" s="37">
        <f t="shared" si="4"/>
        <v>3571363.81</v>
      </c>
      <c r="N29" s="14"/>
    </row>
    <row r="30" spans="1:16">
      <c r="A30" s="23">
        <v>27</v>
      </c>
      <c r="B30" s="24">
        <v>46292</v>
      </c>
      <c r="C30" s="14"/>
      <c r="D30" s="14"/>
      <c r="E30" s="14"/>
      <c r="F30" s="14"/>
      <c r="G30" s="14">
        <f t="shared" si="0"/>
        <v>0</v>
      </c>
      <c r="H30" s="301"/>
      <c r="I30" s="14"/>
      <c r="J30" s="14">
        <f t="shared" si="1"/>
        <v>0</v>
      </c>
      <c r="K30" s="14">
        <f t="shared" si="2"/>
        <v>0</v>
      </c>
      <c r="L30" s="14"/>
      <c r="M30" s="37">
        <f t="shared" si="4"/>
        <v>3571363.81</v>
      </c>
      <c r="N30" s="14"/>
      <c r="P30" s="19"/>
    </row>
    <row r="31" spans="1:16">
      <c r="A31" s="23">
        <v>28</v>
      </c>
      <c r="B31" s="24">
        <v>46293</v>
      </c>
      <c r="C31" s="14"/>
      <c r="D31" s="14"/>
      <c r="E31" s="14"/>
      <c r="F31" s="14"/>
      <c r="G31" s="14">
        <f t="shared" si="0"/>
        <v>0</v>
      </c>
      <c r="H31" s="301"/>
      <c r="I31" s="14"/>
      <c r="J31" s="14">
        <f t="shared" si="1"/>
        <v>0</v>
      </c>
      <c r="K31" s="14">
        <f t="shared" si="2"/>
        <v>0</v>
      </c>
      <c r="L31" s="14"/>
      <c r="M31" s="37">
        <f t="shared" si="4"/>
        <v>3571363.81</v>
      </c>
      <c r="N31" s="14"/>
    </row>
    <row r="32" spans="1:16">
      <c r="A32" s="23">
        <v>29</v>
      </c>
      <c r="B32" s="24">
        <v>46294</v>
      </c>
      <c r="C32" s="14"/>
      <c r="D32" s="14"/>
      <c r="E32" s="14">
        <v>2700</v>
      </c>
      <c r="F32" s="14">
        <v>103.8</v>
      </c>
      <c r="G32" s="14">
        <f t="shared" si="0"/>
        <v>280260</v>
      </c>
      <c r="H32" s="301"/>
      <c r="I32" s="14"/>
      <c r="J32" s="14">
        <f t="shared" si="1"/>
        <v>0</v>
      </c>
      <c r="K32" s="14">
        <f t="shared" si="2"/>
        <v>280260</v>
      </c>
      <c r="L32" s="14"/>
      <c r="M32" s="37">
        <f t="shared" si="4"/>
        <v>3851623.81</v>
      </c>
      <c r="N32" s="14"/>
      <c r="P32" s="19"/>
    </row>
    <row r="33" spans="1:16">
      <c r="A33" s="23">
        <v>30</v>
      </c>
      <c r="B33" s="24">
        <v>46295</v>
      </c>
      <c r="C33" s="14"/>
      <c r="D33" s="14"/>
      <c r="E33" s="429">
        <v>2700</v>
      </c>
      <c r="F33" s="300">
        <v>103.8</v>
      </c>
      <c r="G33" s="14">
        <f t="shared" si="0"/>
        <v>280260</v>
      </c>
      <c r="H33" s="301"/>
      <c r="I33" s="14"/>
      <c r="J33" s="14">
        <f t="shared" si="1"/>
        <v>0</v>
      </c>
      <c r="K33" s="14">
        <f t="shared" si="2"/>
        <v>280260</v>
      </c>
      <c r="L33" s="14"/>
      <c r="M33" s="37">
        <f t="shared" si="4"/>
        <v>4131883.81</v>
      </c>
      <c r="N33" s="14"/>
    </row>
    <row r="34" spans="1:16">
      <c r="A34" s="23">
        <v>31</v>
      </c>
      <c r="B34" s="24">
        <v>46296</v>
      </c>
      <c r="C34" s="14"/>
      <c r="D34" s="14"/>
      <c r="E34" s="14"/>
      <c r="F34" s="14"/>
      <c r="G34" s="320">
        <f>E34*F34</f>
        <v>0</v>
      </c>
      <c r="H34" s="301"/>
      <c r="I34" s="14"/>
      <c r="J34" s="14"/>
      <c r="K34" s="14">
        <f t="shared" ref="K5:K37" si="5">G34+J34</f>
        <v>0</v>
      </c>
      <c r="L34" s="14"/>
      <c r="M34" s="37">
        <f t="shared" si="4"/>
        <v>4131883.81</v>
      </c>
      <c r="N34" s="14"/>
    </row>
    <row r="35" spans="1:16">
      <c r="A35" s="23">
        <v>32</v>
      </c>
      <c r="B35" s="24"/>
      <c r="C35" s="14"/>
      <c r="D35" s="14"/>
      <c r="E35" s="14"/>
      <c r="F35" s="14"/>
      <c r="G35" s="320">
        <f>E35*F35</f>
        <v>0</v>
      </c>
      <c r="H35" s="301"/>
      <c r="I35" s="14"/>
      <c r="J35" s="14">
        <f t="shared" ref="J5:J37" si="6">H35*I35</f>
        <v>0</v>
      </c>
      <c r="K35" s="14">
        <f t="shared" si="5"/>
        <v>0</v>
      </c>
      <c r="L35" s="14"/>
      <c r="M35" s="37">
        <f>M34+K35-L35</f>
        <v>4131883.81</v>
      </c>
      <c r="N35" s="14"/>
      <c r="P35" s="19"/>
    </row>
    <row r="36" spans="1:16">
      <c r="A36" s="23">
        <v>33</v>
      </c>
      <c r="B36" s="24"/>
      <c r="C36" s="14"/>
      <c r="D36" s="14"/>
      <c r="E36" s="14"/>
      <c r="F36" s="14"/>
      <c r="G36" s="320">
        <f>E36*F36</f>
        <v>0</v>
      </c>
      <c r="H36" s="301"/>
      <c r="I36" s="14"/>
      <c r="J36" s="14">
        <f t="shared" si="6"/>
        <v>0</v>
      </c>
      <c r="K36" s="14">
        <f t="shared" si="5"/>
        <v>0</v>
      </c>
      <c r="L36" s="14"/>
      <c r="M36" s="14"/>
      <c r="N36" s="14"/>
    </row>
    <row r="37" spans="1:16">
      <c r="A37" s="23">
        <v>34</v>
      </c>
      <c r="B37" s="24"/>
      <c r="C37" s="14"/>
      <c r="D37" s="14"/>
      <c r="E37" s="14"/>
      <c r="F37" s="14"/>
      <c r="G37" s="320">
        <f>E37*F37</f>
        <v>0</v>
      </c>
      <c r="H37" s="301"/>
      <c r="I37" s="14"/>
      <c r="J37" s="14">
        <f t="shared" si="6"/>
        <v>0</v>
      </c>
      <c r="K37" s="14">
        <f t="shared" si="5"/>
        <v>0</v>
      </c>
      <c r="L37" s="14"/>
      <c r="M37" s="14"/>
      <c r="N37" s="14"/>
    </row>
    <row r="38" spans="1:16">
      <c r="A38" s="39"/>
      <c r="B38" s="39"/>
      <c r="C38" s="39"/>
      <c r="D38" s="39"/>
      <c r="E38" s="221">
        <f>SUM(E3:E37)</f>
        <v>39800</v>
      </c>
      <c r="F38" s="221"/>
      <c r="G38" s="221">
        <f>SUM(G3:G37)</f>
        <v>4131240</v>
      </c>
      <c r="H38" s="221">
        <f>SUM(H3:H37)</f>
        <v>185</v>
      </c>
      <c r="I38" s="221"/>
      <c r="J38" s="221">
        <f>SUM(J3:J37)</f>
        <v>21402.649999999998</v>
      </c>
      <c r="K38" s="221">
        <f>SUM(K4:K37)</f>
        <v>4152642.65</v>
      </c>
      <c r="L38" s="221">
        <f>SUM(L3:L37)</f>
        <v>2826324</v>
      </c>
      <c r="M38" s="221"/>
      <c r="N38" s="221"/>
    </row>
  </sheetData>
  <mergeCells count="2">
    <mergeCell ref="A1:N1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V43"/>
  <sheetViews>
    <sheetView workbookViewId="0">
      <pane ySplit="2" topLeftCell="A14" activePane="bottomLeft" state="frozen"/>
      <selection pane="bottomLeft" activeCell="L25" sqref="L25"/>
    </sheetView>
  </sheetViews>
  <sheetFormatPr defaultRowHeight="15"/>
  <cols>
    <col min="2" max="2" width="12.140625" customWidth="1"/>
    <col min="4" max="4" width="20.28515625" bestFit="1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</cols>
  <sheetData>
    <row r="1" spans="1:22" ht="15.75">
      <c r="A1" s="594" t="s">
        <v>69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22" ht="30.75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120" t="s">
        <v>175</v>
      </c>
      <c r="L2" s="123" t="s">
        <v>176</v>
      </c>
      <c r="M2" s="123" t="s">
        <v>180</v>
      </c>
      <c r="N2" s="121" t="s">
        <v>178</v>
      </c>
      <c r="O2" s="19"/>
    </row>
    <row r="3" spans="1:22">
      <c r="A3" s="596" t="s">
        <v>179</v>
      </c>
      <c r="B3" s="597"/>
      <c r="C3" s="597"/>
      <c r="D3" s="597"/>
      <c r="E3" s="597"/>
      <c r="F3" s="597"/>
      <c r="G3" s="597"/>
      <c r="H3" s="597"/>
      <c r="I3" s="597"/>
      <c r="J3" s="597"/>
      <c r="K3" s="303">
        <v>0</v>
      </c>
      <c r="L3" s="220"/>
      <c r="M3">
        <v>0</v>
      </c>
      <c r="N3" s="91"/>
    </row>
    <row r="4" spans="1:22">
      <c r="A4" s="23">
        <v>1</v>
      </c>
      <c r="B4" s="24">
        <v>46266</v>
      </c>
      <c r="C4" s="14"/>
      <c r="D4" s="251"/>
      <c r="E4" s="257"/>
      <c r="F4" s="300"/>
      <c r="G4" s="320">
        <f>E4*F4</f>
        <v>0</v>
      </c>
      <c r="H4" s="14"/>
      <c r="I4" s="14"/>
      <c r="J4" s="14">
        <f>H4*I4</f>
        <v>0</v>
      </c>
      <c r="K4" s="320">
        <f>G4+J4</f>
        <v>0</v>
      </c>
      <c r="L4" s="14"/>
      <c r="M4" s="37">
        <f>M3+K4-L4</f>
        <v>0</v>
      </c>
      <c r="N4" s="14"/>
    </row>
    <row r="5" spans="1:22">
      <c r="A5" s="23">
        <v>2</v>
      </c>
      <c r="B5" s="24">
        <v>46267</v>
      </c>
      <c r="C5" s="14"/>
      <c r="D5" s="251"/>
      <c r="E5" s="257">
        <v>2500</v>
      </c>
      <c r="F5" s="300">
        <v>103.82</v>
      </c>
      <c r="G5" s="320">
        <f t="shared" ref="G5:G37" si="0">E5*F5</f>
        <v>259549.99999999997</v>
      </c>
      <c r="H5" s="14"/>
      <c r="I5" s="14"/>
      <c r="J5" s="14">
        <f t="shared" ref="J5:J36" si="1">H5*I5</f>
        <v>0</v>
      </c>
      <c r="K5" s="320">
        <f t="shared" ref="K5:K37" si="2">G5+J5</f>
        <v>259549.99999999997</v>
      </c>
      <c r="L5" s="14"/>
      <c r="M5" s="37">
        <f t="shared" ref="M5:M19" si="3">M4+K5-L5</f>
        <v>259549.99999999997</v>
      </c>
      <c r="N5" s="14"/>
    </row>
    <row r="6" spans="1:22">
      <c r="A6" s="23">
        <v>3</v>
      </c>
      <c r="B6" s="24">
        <v>46268</v>
      </c>
      <c r="C6" s="14"/>
      <c r="D6" s="251"/>
      <c r="E6" s="257"/>
      <c r="F6" s="300"/>
      <c r="G6" s="320">
        <f t="shared" ref="G6:G37" si="4">E6*F6</f>
        <v>0</v>
      </c>
      <c r="H6" s="14"/>
      <c r="I6" s="14"/>
      <c r="J6" s="14">
        <f t="shared" ref="J6:J37" si="5">H6*I6</f>
        <v>0</v>
      </c>
      <c r="K6" s="320">
        <f t="shared" ref="K6:L37" si="6">G6+J6</f>
        <v>0</v>
      </c>
      <c r="L6" s="14"/>
      <c r="M6" s="37">
        <f t="shared" si="3"/>
        <v>259549.99999999997</v>
      </c>
      <c r="N6" s="14"/>
    </row>
    <row r="7" spans="1:22">
      <c r="A7" s="23">
        <v>4</v>
      </c>
      <c r="B7" s="24">
        <v>46269</v>
      </c>
      <c r="C7" s="14"/>
      <c r="D7" s="251"/>
      <c r="E7" s="257"/>
      <c r="F7" s="300"/>
      <c r="G7" s="320">
        <f t="shared" si="4"/>
        <v>0</v>
      </c>
      <c r="H7" s="14"/>
      <c r="I7" s="14"/>
      <c r="J7" s="14">
        <f t="shared" si="5"/>
        <v>0</v>
      </c>
      <c r="K7" s="320">
        <f t="shared" si="6"/>
        <v>0</v>
      </c>
      <c r="L7" s="320"/>
      <c r="M7" s="37">
        <f t="shared" si="3"/>
        <v>259549.99999999997</v>
      </c>
      <c r="N7" s="14"/>
    </row>
    <row r="8" spans="1:22">
      <c r="A8" s="23">
        <v>5</v>
      </c>
      <c r="B8" s="24">
        <v>46270</v>
      </c>
      <c r="C8" s="14"/>
      <c r="D8" s="251"/>
      <c r="E8" s="257">
        <v>2800</v>
      </c>
      <c r="F8" s="300">
        <v>103.82</v>
      </c>
      <c r="G8" s="320">
        <f t="shared" si="4"/>
        <v>290696</v>
      </c>
      <c r="H8" s="14"/>
      <c r="I8" s="14"/>
      <c r="J8" s="14">
        <f t="shared" si="5"/>
        <v>0</v>
      </c>
      <c r="K8" s="320">
        <f t="shared" si="6"/>
        <v>290696</v>
      </c>
      <c r="L8" s="14"/>
      <c r="M8" s="37">
        <f t="shared" si="3"/>
        <v>550246</v>
      </c>
      <c r="N8" s="14"/>
    </row>
    <row r="9" spans="1:22">
      <c r="A9" s="23">
        <v>6</v>
      </c>
      <c r="B9" s="24">
        <v>46271</v>
      </c>
      <c r="C9" s="14"/>
      <c r="D9" s="251"/>
      <c r="E9" s="257"/>
      <c r="F9" s="300"/>
      <c r="G9" s="320">
        <f t="shared" si="4"/>
        <v>0</v>
      </c>
      <c r="H9" s="14"/>
      <c r="I9" s="14"/>
      <c r="J9" s="14">
        <f t="shared" si="5"/>
        <v>0</v>
      </c>
      <c r="K9" s="320">
        <f t="shared" si="6"/>
        <v>0</v>
      </c>
      <c r="L9" s="14"/>
      <c r="M9" s="37">
        <f t="shared" si="3"/>
        <v>550246</v>
      </c>
      <c r="N9" s="222"/>
    </row>
    <row r="10" spans="1:22">
      <c r="A10" s="23">
        <v>7</v>
      </c>
      <c r="B10" s="24">
        <v>46272</v>
      </c>
      <c r="C10" s="14"/>
      <c r="D10" s="251"/>
      <c r="E10" s="257">
        <v>2700</v>
      </c>
      <c r="F10" s="300">
        <v>103.82</v>
      </c>
      <c r="G10" s="320">
        <f t="shared" si="4"/>
        <v>280314</v>
      </c>
      <c r="H10" s="14"/>
      <c r="I10" s="14"/>
      <c r="J10" s="14">
        <f t="shared" si="5"/>
        <v>0</v>
      </c>
      <c r="K10" s="320">
        <f t="shared" si="6"/>
        <v>280314</v>
      </c>
      <c r="L10" s="14"/>
      <c r="M10" s="37">
        <f t="shared" si="3"/>
        <v>830560</v>
      </c>
      <c r="N10" s="222"/>
    </row>
    <row r="11" spans="1:22">
      <c r="A11" s="23">
        <v>8</v>
      </c>
      <c r="B11" s="24">
        <v>46273</v>
      </c>
      <c r="C11" s="14"/>
      <c r="D11" s="251"/>
      <c r="E11" s="257">
        <v>2700</v>
      </c>
      <c r="F11" s="300">
        <v>103.82</v>
      </c>
      <c r="G11" s="320">
        <f t="shared" si="4"/>
        <v>280314</v>
      </c>
      <c r="H11" s="14">
        <v>50</v>
      </c>
      <c r="I11" s="14">
        <v>115.72</v>
      </c>
      <c r="J11" s="14">
        <f t="shared" si="5"/>
        <v>5786</v>
      </c>
      <c r="K11" s="320">
        <f t="shared" si="6"/>
        <v>286100</v>
      </c>
      <c r="M11" s="204">
        <f t="shared" si="3"/>
        <v>1116660</v>
      </c>
      <c r="N11" s="14"/>
    </row>
    <row r="12" spans="1:22">
      <c r="A12" s="23">
        <v>9</v>
      </c>
      <c r="B12" s="24">
        <v>46274</v>
      </c>
      <c r="C12" s="14"/>
      <c r="D12" s="251"/>
      <c r="E12" s="257"/>
      <c r="F12" s="300"/>
      <c r="G12" s="320">
        <f t="shared" si="4"/>
        <v>0</v>
      </c>
      <c r="H12" s="14"/>
      <c r="I12" s="14"/>
      <c r="J12" s="14">
        <f t="shared" si="5"/>
        <v>0</v>
      </c>
      <c r="K12" s="433">
        <f t="shared" si="6"/>
        <v>0</v>
      </c>
      <c r="L12" s="14"/>
      <c r="M12" s="37">
        <f t="shared" si="3"/>
        <v>1116660</v>
      </c>
      <c r="N12" s="225"/>
    </row>
    <row r="13" spans="1:22">
      <c r="A13" s="23">
        <v>10</v>
      </c>
      <c r="B13" s="24">
        <v>46275</v>
      </c>
      <c r="C13" s="14"/>
      <c r="D13" s="251"/>
      <c r="E13" s="257">
        <v>2700</v>
      </c>
      <c r="F13" s="300">
        <v>103.82</v>
      </c>
      <c r="G13" s="320">
        <f t="shared" si="4"/>
        <v>280314</v>
      </c>
      <c r="H13" s="14"/>
      <c r="I13" s="14"/>
      <c r="J13" s="14">
        <f t="shared" si="5"/>
        <v>0</v>
      </c>
      <c r="K13" s="433">
        <f t="shared" si="6"/>
        <v>280314</v>
      </c>
      <c r="L13" s="14"/>
      <c r="M13" s="37">
        <f t="shared" si="3"/>
        <v>1396974</v>
      </c>
      <c r="N13" s="225"/>
      <c r="V13">
        <v>250000</v>
      </c>
    </row>
    <row r="14" spans="1:22">
      <c r="A14" s="23">
        <v>11</v>
      </c>
      <c r="B14" s="24">
        <v>46276</v>
      </c>
      <c r="C14" s="14"/>
      <c r="D14" s="251"/>
      <c r="E14" s="257">
        <v>2700</v>
      </c>
      <c r="F14" s="300">
        <v>103.82</v>
      </c>
      <c r="G14" s="320">
        <f t="shared" si="4"/>
        <v>280314</v>
      </c>
      <c r="H14" s="14"/>
      <c r="I14" s="14"/>
      <c r="J14" s="14">
        <f t="shared" si="5"/>
        <v>0</v>
      </c>
      <c r="K14" s="433">
        <f t="shared" si="6"/>
        <v>280314</v>
      </c>
      <c r="L14" s="14"/>
      <c r="M14" s="37">
        <f t="shared" si="3"/>
        <v>1677288</v>
      </c>
      <c r="N14" s="225"/>
      <c r="V14">
        <v>70000</v>
      </c>
    </row>
    <row r="15" spans="1:22">
      <c r="A15" s="23">
        <v>12</v>
      </c>
      <c r="B15" s="24">
        <v>46277</v>
      </c>
      <c r="C15" s="14"/>
      <c r="D15" s="251"/>
      <c r="E15" s="257">
        <v>3900</v>
      </c>
      <c r="F15" s="300">
        <v>103.82</v>
      </c>
      <c r="G15" s="320">
        <f t="shared" si="4"/>
        <v>404898</v>
      </c>
      <c r="H15" s="14"/>
      <c r="I15" s="14"/>
      <c r="J15" s="14">
        <f t="shared" si="5"/>
        <v>0</v>
      </c>
      <c r="K15" s="320">
        <f t="shared" si="6"/>
        <v>404898</v>
      </c>
      <c r="L15" s="320"/>
      <c r="M15" s="172">
        <f t="shared" si="3"/>
        <v>2082186</v>
      </c>
      <c r="N15" s="225"/>
      <c r="V15">
        <v>46366</v>
      </c>
    </row>
    <row r="16" spans="1:22">
      <c r="A16" s="23">
        <v>13</v>
      </c>
      <c r="B16" s="24">
        <v>46278</v>
      </c>
      <c r="C16" s="14"/>
      <c r="D16" s="251"/>
      <c r="E16" s="257"/>
      <c r="F16" s="300"/>
      <c r="G16" s="320">
        <f t="shared" si="4"/>
        <v>0</v>
      </c>
      <c r="H16" s="14"/>
      <c r="I16" s="14"/>
      <c r="J16" s="14">
        <f t="shared" si="5"/>
        <v>0</v>
      </c>
      <c r="K16" s="320">
        <f t="shared" si="6"/>
        <v>0</v>
      </c>
      <c r="L16" s="14"/>
      <c r="M16" s="37">
        <f t="shared" si="3"/>
        <v>2082186</v>
      </c>
      <c r="N16" s="14"/>
    </row>
    <row r="17" spans="1:14">
      <c r="A17" s="23">
        <v>14</v>
      </c>
      <c r="B17" s="24">
        <v>46279</v>
      </c>
      <c r="C17" s="14"/>
      <c r="D17" s="251"/>
      <c r="E17" s="257">
        <v>1200</v>
      </c>
      <c r="F17" s="300">
        <v>103.82</v>
      </c>
      <c r="G17" s="320">
        <f t="shared" si="4"/>
        <v>124583.99999999999</v>
      </c>
      <c r="H17" s="14"/>
      <c r="I17" s="14"/>
      <c r="J17" s="14">
        <f t="shared" si="5"/>
        <v>0</v>
      </c>
      <c r="K17" s="320">
        <f t="shared" si="6"/>
        <v>124583.99999999999</v>
      </c>
      <c r="L17" s="14"/>
      <c r="M17" s="37">
        <f t="shared" si="3"/>
        <v>2206770</v>
      </c>
      <c r="N17" s="14"/>
    </row>
    <row r="18" spans="1:14">
      <c r="A18" s="23">
        <v>15</v>
      </c>
      <c r="B18" s="24">
        <v>46280</v>
      </c>
      <c r="C18" s="14"/>
      <c r="D18" s="251"/>
      <c r="E18" s="257"/>
      <c r="F18" s="300"/>
      <c r="G18" s="320">
        <f t="shared" si="4"/>
        <v>0</v>
      </c>
      <c r="H18" s="14"/>
      <c r="I18" s="14"/>
      <c r="J18" s="14">
        <f t="shared" si="5"/>
        <v>0</v>
      </c>
      <c r="K18" s="320">
        <f t="shared" si="6"/>
        <v>0</v>
      </c>
      <c r="L18" s="14"/>
      <c r="M18" s="37">
        <f t="shared" si="3"/>
        <v>2206770</v>
      </c>
      <c r="N18" s="14"/>
    </row>
    <row r="19" spans="1:14">
      <c r="A19" s="23">
        <v>16</v>
      </c>
      <c r="B19" s="24">
        <v>46281</v>
      </c>
      <c r="C19" s="14"/>
      <c r="D19" s="251"/>
      <c r="E19" s="257">
        <v>2700</v>
      </c>
      <c r="F19" s="300">
        <v>103.82</v>
      </c>
      <c r="G19" s="320">
        <f t="shared" si="4"/>
        <v>280314</v>
      </c>
      <c r="H19" s="14"/>
      <c r="I19" s="14"/>
      <c r="J19" s="14">
        <f t="shared" si="5"/>
        <v>0</v>
      </c>
      <c r="K19" s="320">
        <f t="shared" si="6"/>
        <v>280314</v>
      </c>
      <c r="L19" s="14"/>
      <c r="M19" s="37">
        <f t="shared" si="3"/>
        <v>2487084</v>
      </c>
      <c r="N19" s="14"/>
    </row>
    <row r="20" spans="1:14">
      <c r="A20" s="23">
        <v>17</v>
      </c>
      <c r="B20" s="24">
        <v>46282</v>
      </c>
      <c r="C20" s="14"/>
      <c r="D20" s="251"/>
      <c r="E20" s="257"/>
      <c r="F20" s="300"/>
      <c r="G20" s="320">
        <f t="shared" si="4"/>
        <v>0</v>
      </c>
      <c r="H20" s="14"/>
      <c r="I20" s="14"/>
      <c r="J20" s="14">
        <f t="shared" si="5"/>
        <v>0</v>
      </c>
      <c r="K20" s="320">
        <f t="shared" si="6"/>
        <v>0</v>
      </c>
      <c r="L20" s="14"/>
      <c r="M20" s="37">
        <f t="shared" ref="M20:M37" si="7">M19+K20-L20</f>
        <v>2487084</v>
      </c>
      <c r="N20" s="14"/>
    </row>
    <row r="21" spans="1:14">
      <c r="A21" s="23">
        <v>18</v>
      </c>
      <c r="B21" s="24">
        <v>46283</v>
      </c>
      <c r="C21" s="14"/>
      <c r="D21" s="251"/>
      <c r="E21" s="257"/>
      <c r="F21" s="300"/>
      <c r="G21" s="320">
        <f t="shared" si="4"/>
        <v>0</v>
      </c>
      <c r="H21" s="14"/>
      <c r="I21" s="14"/>
      <c r="J21" s="14">
        <f t="shared" si="5"/>
        <v>0</v>
      </c>
      <c r="K21" s="320">
        <f t="shared" si="6"/>
        <v>0</v>
      </c>
      <c r="L21" s="14"/>
      <c r="M21" s="37">
        <f t="shared" si="7"/>
        <v>2487084</v>
      </c>
      <c r="N21" s="14"/>
    </row>
    <row r="22" spans="1:14">
      <c r="A22" s="23">
        <v>19</v>
      </c>
      <c r="B22" s="24">
        <v>46284</v>
      </c>
      <c r="C22" s="14"/>
      <c r="D22" s="251"/>
      <c r="E22" s="257"/>
      <c r="F22" s="300"/>
      <c r="G22" s="320">
        <f t="shared" si="4"/>
        <v>0</v>
      </c>
      <c r="H22" s="14"/>
      <c r="I22" s="14"/>
      <c r="J22" s="14">
        <f t="shared" si="5"/>
        <v>0</v>
      </c>
      <c r="K22" s="320">
        <f t="shared" si="6"/>
        <v>0</v>
      </c>
      <c r="L22" s="14"/>
      <c r="M22" s="37">
        <f t="shared" si="7"/>
        <v>2487084</v>
      </c>
      <c r="N22" s="14"/>
    </row>
    <row r="23" spans="1:14">
      <c r="A23" s="23">
        <v>20</v>
      </c>
      <c r="B23" s="24">
        <v>46285</v>
      </c>
      <c r="C23" s="14"/>
      <c r="D23" s="251"/>
      <c r="E23" s="257"/>
      <c r="F23" s="300"/>
      <c r="G23" s="320">
        <f t="shared" si="4"/>
        <v>0</v>
      </c>
      <c r="H23" s="14"/>
      <c r="I23" s="14"/>
      <c r="J23" s="14">
        <f t="shared" si="5"/>
        <v>0</v>
      </c>
      <c r="K23" s="320">
        <f t="shared" si="6"/>
        <v>0</v>
      </c>
      <c r="L23" s="14"/>
      <c r="M23" s="37">
        <f t="shared" si="7"/>
        <v>2487084</v>
      </c>
      <c r="N23" s="14"/>
    </row>
    <row r="24" spans="1:14">
      <c r="A24" s="23">
        <v>21</v>
      </c>
      <c r="B24" s="24">
        <v>46286</v>
      </c>
      <c r="C24" s="14"/>
      <c r="D24" s="251"/>
      <c r="E24" s="257">
        <v>5400</v>
      </c>
      <c r="F24" s="300">
        <v>103.82</v>
      </c>
      <c r="G24" s="320">
        <f t="shared" si="4"/>
        <v>560628</v>
      </c>
      <c r="H24" s="14"/>
      <c r="I24" s="14"/>
      <c r="J24" s="14">
        <f t="shared" si="5"/>
        <v>0</v>
      </c>
      <c r="K24" s="320">
        <f t="shared" si="6"/>
        <v>560628</v>
      </c>
      <c r="L24" s="14"/>
      <c r="M24" s="37">
        <f t="shared" si="7"/>
        <v>3047712</v>
      </c>
      <c r="N24" s="14"/>
    </row>
    <row r="25" spans="1:14">
      <c r="A25" s="23"/>
      <c r="B25" s="24">
        <v>46286</v>
      </c>
      <c r="C25" s="14"/>
      <c r="D25" s="560" t="s">
        <v>181</v>
      </c>
      <c r="E25" s="561">
        <v>546</v>
      </c>
      <c r="F25" s="562">
        <v>332.76</v>
      </c>
      <c r="G25" s="563">
        <f t="shared" si="4"/>
        <v>181686.96</v>
      </c>
      <c r="H25" s="564"/>
      <c r="I25" s="564"/>
      <c r="J25" s="564"/>
      <c r="K25" s="563">
        <f t="shared" si="6"/>
        <v>181686.96</v>
      </c>
      <c r="L25" s="564"/>
      <c r="M25" s="37">
        <f t="shared" si="7"/>
        <v>3229398.96</v>
      </c>
      <c r="N25" s="14"/>
    </row>
    <row r="26" spans="1:14">
      <c r="A26" s="23">
        <v>22</v>
      </c>
      <c r="B26" s="24">
        <v>46287</v>
      </c>
      <c r="C26" s="14"/>
      <c r="D26" s="251"/>
      <c r="E26" s="429"/>
      <c r="F26" s="300"/>
      <c r="G26" s="320">
        <f t="shared" si="4"/>
        <v>0</v>
      </c>
      <c r="H26" s="14"/>
      <c r="I26" s="14"/>
      <c r="J26" s="14">
        <f t="shared" si="5"/>
        <v>0</v>
      </c>
      <c r="K26" s="320">
        <f t="shared" si="6"/>
        <v>0</v>
      </c>
      <c r="L26" s="14"/>
      <c r="M26" s="37">
        <f t="shared" si="7"/>
        <v>3229398.96</v>
      </c>
      <c r="N26" s="14"/>
    </row>
    <row r="27" spans="1:14">
      <c r="A27" s="23">
        <v>23</v>
      </c>
      <c r="B27" s="24">
        <v>46288</v>
      </c>
      <c r="C27" s="14"/>
      <c r="D27" s="251"/>
      <c r="E27" s="429">
        <v>2700</v>
      </c>
      <c r="F27" s="300">
        <v>103.82</v>
      </c>
      <c r="G27" s="320">
        <f t="shared" si="4"/>
        <v>280314</v>
      </c>
      <c r="H27" s="14"/>
      <c r="I27" s="14"/>
      <c r="J27" s="14">
        <f t="shared" si="5"/>
        <v>0</v>
      </c>
      <c r="K27" s="320">
        <f t="shared" si="6"/>
        <v>280314</v>
      </c>
      <c r="L27" s="14"/>
      <c r="M27" s="37">
        <f t="shared" si="7"/>
        <v>3509712.96</v>
      </c>
      <c r="N27" s="14"/>
    </row>
    <row r="28" spans="1:14">
      <c r="A28" s="23">
        <v>24</v>
      </c>
      <c r="B28" s="24">
        <v>46289</v>
      </c>
      <c r="C28" s="14"/>
      <c r="D28" s="251"/>
      <c r="E28" s="429">
        <v>2700</v>
      </c>
      <c r="F28" s="300">
        <v>103.82</v>
      </c>
      <c r="G28" s="320">
        <f t="shared" si="4"/>
        <v>280314</v>
      </c>
      <c r="H28" s="14">
        <v>55</v>
      </c>
      <c r="I28" s="14">
        <v>115.72</v>
      </c>
      <c r="J28" s="14">
        <f t="shared" si="5"/>
        <v>6364.6</v>
      </c>
      <c r="K28" s="320">
        <f t="shared" si="6"/>
        <v>286678.59999999998</v>
      </c>
      <c r="L28" s="14"/>
      <c r="M28" s="37">
        <f t="shared" si="7"/>
        <v>3796391.56</v>
      </c>
      <c r="N28" s="14"/>
    </row>
    <row r="29" spans="1:14">
      <c r="A29" s="23">
        <v>25</v>
      </c>
      <c r="B29" s="24">
        <v>46290</v>
      </c>
      <c r="C29" s="14"/>
      <c r="D29" s="251"/>
      <c r="E29" s="257"/>
      <c r="F29" s="300"/>
      <c r="G29" s="320">
        <f t="shared" si="4"/>
        <v>0</v>
      </c>
      <c r="H29" s="14"/>
      <c r="I29" s="14"/>
      <c r="J29" s="14">
        <f t="shared" si="5"/>
        <v>0</v>
      </c>
      <c r="K29" s="320">
        <f t="shared" si="6"/>
        <v>0</v>
      </c>
      <c r="L29" s="14"/>
      <c r="M29" s="37">
        <f t="shared" si="7"/>
        <v>3796391.56</v>
      </c>
      <c r="N29" s="14"/>
    </row>
    <row r="30" spans="1:14">
      <c r="A30" s="23">
        <v>26</v>
      </c>
      <c r="B30" s="24">
        <v>46291</v>
      </c>
      <c r="C30" s="14"/>
      <c r="D30" s="251"/>
      <c r="E30" s="429">
        <v>2700</v>
      </c>
      <c r="F30" s="300">
        <v>103.82</v>
      </c>
      <c r="G30" s="320">
        <f t="shared" si="4"/>
        <v>280314</v>
      </c>
      <c r="H30" s="14">
        <v>50</v>
      </c>
      <c r="I30" s="14">
        <v>115.72</v>
      </c>
      <c r="J30" s="14">
        <f t="shared" si="5"/>
        <v>5786</v>
      </c>
      <c r="K30" s="320">
        <f t="shared" si="6"/>
        <v>286100</v>
      </c>
      <c r="L30" s="14"/>
      <c r="M30" s="37">
        <f t="shared" si="7"/>
        <v>4082491.56</v>
      </c>
      <c r="N30" s="14"/>
    </row>
    <row r="31" spans="1:14">
      <c r="A31" s="23">
        <v>27</v>
      </c>
      <c r="B31" s="24">
        <v>46292</v>
      </c>
      <c r="C31" s="14"/>
      <c r="D31" s="251"/>
      <c r="E31" s="429">
        <v>800</v>
      </c>
      <c r="F31" s="300">
        <v>103.82</v>
      </c>
      <c r="G31" s="320">
        <f t="shared" si="4"/>
        <v>83056</v>
      </c>
      <c r="H31" s="14"/>
      <c r="I31" s="14"/>
      <c r="J31" s="14">
        <f t="shared" si="5"/>
        <v>0</v>
      </c>
      <c r="K31" s="320">
        <f t="shared" si="6"/>
        <v>83056</v>
      </c>
      <c r="L31" s="14"/>
      <c r="M31" s="37">
        <f t="shared" si="7"/>
        <v>4165547.56</v>
      </c>
      <c r="N31" s="14"/>
    </row>
    <row r="32" spans="1:14">
      <c r="A32" s="23">
        <v>28</v>
      </c>
      <c r="B32" s="24">
        <v>46293</v>
      </c>
      <c r="C32" s="14"/>
      <c r="D32" s="251"/>
      <c r="E32" s="257">
        <v>800</v>
      </c>
      <c r="F32" s="300">
        <v>103.82</v>
      </c>
      <c r="G32" s="320">
        <f t="shared" si="4"/>
        <v>83056</v>
      </c>
      <c r="H32" s="14"/>
      <c r="I32" s="14"/>
      <c r="J32" s="14">
        <f t="shared" si="5"/>
        <v>0</v>
      </c>
      <c r="K32" s="320">
        <f t="shared" si="6"/>
        <v>83056</v>
      </c>
      <c r="L32" s="14"/>
      <c r="M32" s="37">
        <f t="shared" si="7"/>
        <v>4248603.5600000005</v>
      </c>
      <c r="N32" s="14"/>
    </row>
    <row r="33" spans="1:14">
      <c r="A33" s="23">
        <v>29</v>
      </c>
      <c r="B33" s="24">
        <v>46294</v>
      </c>
      <c r="C33" s="14"/>
      <c r="D33" s="251"/>
      <c r="E33" s="257"/>
      <c r="F33" s="300"/>
      <c r="G33" s="320">
        <f t="shared" si="4"/>
        <v>0</v>
      </c>
      <c r="H33" s="14"/>
      <c r="I33" s="14"/>
      <c r="J33" s="14">
        <f t="shared" si="5"/>
        <v>0</v>
      </c>
      <c r="K33" s="320">
        <f t="shared" si="6"/>
        <v>0</v>
      </c>
      <c r="L33" s="14"/>
      <c r="M33" s="37">
        <f t="shared" si="7"/>
        <v>4248603.5600000005</v>
      </c>
      <c r="N33" s="14"/>
    </row>
    <row r="34" spans="1:14">
      <c r="A34" s="23">
        <v>30</v>
      </c>
      <c r="B34" s="24">
        <v>46295</v>
      </c>
      <c r="C34" s="14"/>
      <c r="D34" s="251"/>
      <c r="E34" s="257"/>
      <c r="F34" s="300"/>
      <c r="G34" s="320">
        <f t="shared" si="4"/>
        <v>0</v>
      </c>
      <c r="H34" s="14"/>
      <c r="I34" s="14"/>
      <c r="J34" s="14">
        <f t="shared" si="5"/>
        <v>0</v>
      </c>
      <c r="K34" s="320">
        <f t="shared" si="6"/>
        <v>0</v>
      </c>
      <c r="L34" s="14"/>
      <c r="M34" s="37">
        <f t="shared" si="7"/>
        <v>4248603.5600000005</v>
      </c>
      <c r="N34" s="14"/>
    </row>
    <row r="35" spans="1:14">
      <c r="A35" s="23">
        <v>31</v>
      </c>
      <c r="B35" s="24">
        <v>46296</v>
      </c>
      <c r="C35" s="14"/>
      <c r="D35" s="251"/>
      <c r="E35" s="257"/>
      <c r="F35" s="300"/>
      <c r="G35" s="320">
        <f t="shared" si="4"/>
        <v>0</v>
      </c>
      <c r="H35" s="14"/>
      <c r="I35" s="14"/>
      <c r="J35" s="14">
        <f t="shared" si="5"/>
        <v>0</v>
      </c>
      <c r="K35" s="320">
        <f t="shared" si="6"/>
        <v>0</v>
      </c>
      <c r="L35" s="14"/>
      <c r="M35" s="37">
        <f t="shared" si="7"/>
        <v>4248603.5600000005</v>
      </c>
      <c r="N35" s="14"/>
    </row>
    <row r="36" spans="1:14">
      <c r="A36" s="23">
        <v>32</v>
      </c>
      <c r="B36" s="24"/>
      <c r="C36" s="14"/>
      <c r="D36" s="251"/>
      <c r="E36" s="257"/>
      <c r="F36" s="300"/>
      <c r="G36" s="320">
        <f t="shared" si="4"/>
        <v>0</v>
      </c>
      <c r="H36" s="14"/>
      <c r="I36" s="14"/>
      <c r="J36" s="14">
        <f t="shared" si="5"/>
        <v>0</v>
      </c>
      <c r="K36" s="320">
        <f t="shared" si="6"/>
        <v>0</v>
      </c>
      <c r="L36" s="14"/>
      <c r="M36" s="37">
        <f t="shared" si="7"/>
        <v>4248603.5600000005</v>
      </c>
      <c r="N36" s="14"/>
    </row>
    <row r="37" spans="1:14">
      <c r="A37" s="23">
        <v>33</v>
      </c>
      <c r="B37" s="24"/>
      <c r="C37" s="14"/>
      <c r="D37" s="251"/>
      <c r="E37" s="257"/>
      <c r="F37" s="300"/>
      <c r="G37" s="320">
        <f t="shared" si="4"/>
        <v>0</v>
      </c>
      <c r="H37" s="14"/>
      <c r="I37" s="14"/>
      <c r="J37" s="14">
        <f t="shared" si="5"/>
        <v>0</v>
      </c>
      <c r="K37" s="320">
        <f t="shared" si="6"/>
        <v>0</v>
      </c>
      <c r="L37" s="14"/>
      <c r="M37" s="37">
        <f t="shared" si="7"/>
        <v>4248603.5600000005</v>
      </c>
      <c r="N37" s="14"/>
    </row>
    <row r="38" spans="1:14">
      <c r="A38" s="23"/>
      <c r="B38" s="24"/>
      <c r="C38" s="14"/>
      <c r="D38" s="251"/>
      <c r="E38" s="257"/>
      <c r="F38" s="300"/>
      <c r="G38" s="320"/>
      <c r="H38" s="14"/>
      <c r="I38" s="14"/>
      <c r="J38" s="14"/>
      <c r="K38" s="14"/>
      <c r="L38" s="14"/>
      <c r="M38" s="37"/>
      <c r="N38" s="14"/>
    </row>
    <row r="39" spans="1:14">
      <c r="A39" s="39"/>
      <c r="B39" s="39"/>
      <c r="C39" s="39"/>
      <c r="D39" s="39"/>
      <c r="E39" s="40">
        <f>SUM(E4:E37)</f>
        <v>39546</v>
      </c>
      <c r="F39" s="40"/>
      <c r="G39" s="40">
        <f>SUM(G4:G37)</f>
        <v>4230666.96</v>
      </c>
      <c r="H39" s="40">
        <f>SUM(H4:H37)</f>
        <v>155</v>
      </c>
      <c r="I39" s="40"/>
      <c r="J39" s="40">
        <f>SUM(J4:J37)</f>
        <v>17936.599999999999</v>
      </c>
      <c r="K39" s="40">
        <f>SUM(K4:K37)</f>
        <v>4248603.5600000005</v>
      </c>
      <c r="L39" s="40">
        <f>SUM(L4:L37)</f>
        <v>0</v>
      </c>
      <c r="M39" s="40"/>
      <c r="N39" s="40"/>
    </row>
    <row r="43" spans="1:14">
      <c r="M43" s="19"/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BCDB-BE45-4288-B54E-A7E8EAEDB94B}">
  <sheetPr>
    <tabColor rgb="FF00B050"/>
  </sheetPr>
  <dimension ref="A1:P39"/>
  <sheetViews>
    <sheetView workbookViewId="0">
      <pane ySplit="3" topLeftCell="A20" activePane="bottomLeft" state="frozen"/>
      <selection pane="bottomLeft" activeCell="L33" sqref="L33:M33"/>
    </sheetView>
  </sheetViews>
  <sheetFormatPr defaultRowHeight="15"/>
  <cols>
    <col min="2" max="2" width="15.42578125" customWidth="1"/>
    <col min="4" max="4" width="10" customWidth="1"/>
    <col min="7" max="7" width="19.28515625" customWidth="1"/>
    <col min="10" max="10" width="8.28515625" bestFit="1" customWidth="1"/>
    <col min="11" max="11" width="21.85546875" customWidth="1"/>
    <col min="12" max="12" width="10.85546875" customWidth="1"/>
    <col min="13" max="13" width="11.42578125" bestFit="1" customWidth="1"/>
  </cols>
  <sheetData>
    <row r="1" spans="1:16" ht="15.75">
      <c r="A1" s="594" t="s">
        <v>71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16" ht="30.75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120" t="s">
        <v>175</v>
      </c>
      <c r="L2" s="123" t="s">
        <v>176</v>
      </c>
      <c r="M2" s="123" t="s">
        <v>180</v>
      </c>
      <c r="N2" s="121" t="s">
        <v>178</v>
      </c>
      <c r="O2" s="302"/>
      <c r="P2" s="19"/>
    </row>
    <row r="3" spans="1:16">
      <c r="A3" s="596" t="s">
        <v>179</v>
      </c>
      <c r="B3" s="597"/>
      <c r="C3" s="597"/>
      <c r="D3" s="597"/>
      <c r="E3" s="597"/>
      <c r="F3" s="597"/>
      <c r="G3" s="597"/>
      <c r="H3" s="597"/>
      <c r="I3" s="597"/>
      <c r="J3" s="597"/>
      <c r="K3">
        <v>843364.29999999981</v>
      </c>
      <c r="L3" s="220"/>
      <c r="M3">
        <v>843364.29999999981</v>
      </c>
      <c r="N3" s="91"/>
    </row>
    <row r="4" spans="1:16">
      <c r="A4" s="23">
        <v>1</v>
      </c>
      <c r="B4" s="24">
        <v>46235</v>
      </c>
      <c r="C4" s="14"/>
      <c r="D4" s="251"/>
      <c r="E4" s="257"/>
      <c r="F4" s="300"/>
      <c r="G4" s="14">
        <f>E4*F4</f>
        <v>0</v>
      </c>
      <c r="H4" s="14"/>
      <c r="I4" s="14"/>
      <c r="J4" s="14">
        <f>H4*I4</f>
        <v>0</v>
      </c>
      <c r="K4" s="14">
        <f>G4+J4</f>
        <v>0</v>
      </c>
      <c r="L4" s="14"/>
      <c r="M4" s="37">
        <f>M3+K4-L4</f>
        <v>843364.29999999981</v>
      </c>
      <c r="N4" s="14"/>
    </row>
    <row r="5" spans="1:16">
      <c r="A5" s="23">
        <v>2</v>
      </c>
      <c r="B5" s="24">
        <v>46236</v>
      </c>
      <c r="C5" s="14"/>
      <c r="D5" s="251"/>
      <c r="E5" s="257"/>
      <c r="F5" s="300"/>
      <c r="G5" s="14">
        <f t="shared" ref="G5:G34" si="0">E5*F5</f>
        <v>0</v>
      </c>
      <c r="H5" s="14"/>
      <c r="I5" s="14"/>
      <c r="J5" s="14">
        <f t="shared" ref="J5:J34" si="1">H5*I5</f>
        <v>0</v>
      </c>
      <c r="K5" s="14">
        <f t="shared" ref="K5:K34" si="2">G5+J5</f>
        <v>0</v>
      </c>
      <c r="L5" s="14"/>
      <c r="M5" s="37">
        <f>M4+K5-L5</f>
        <v>843364.29999999981</v>
      </c>
      <c r="N5" s="14"/>
    </row>
    <row r="6" spans="1:16">
      <c r="A6" s="23">
        <v>3</v>
      </c>
      <c r="B6" s="24">
        <v>46237</v>
      </c>
      <c r="C6" s="14"/>
      <c r="D6" s="251"/>
      <c r="E6" s="257">
        <v>2700</v>
      </c>
      <c r="F6" s="300">
        <v>103.62</v>
      </c>
      <c r="G6" s="14">
        <f t="shared" si="0"/>
        <v>279774</v>
      </c>
      <c r="H6" s="14">
        <v>40</v>
      </c>
      <c r="I6" s="14">
        <v>115.49</v>
      </c>
      <c r="J6" s="14">
        <f t="shared" si="1"/>
        <v>4619.5999999999995</v>
      </c>
      <c r="K6" s="14">
        <f t="shared" si="2"/>
        <v>284393.59999999998</v>
      </c>
      <c r="L6" s="14"/>
      <c r="M6" s="37">
        <f t="shared" ref="M6:M34" si="3">M5+K6-L6</f>
        <v>1127757.8999999999</v>
      </c>
      <c r="N6" s="14"/>
    </row>
    <row r="7" spans="1:16">
      <c r="A7" s="23">
        <v>4</v>
      </c>
      <c r="B7" s="24">
        <v>46238</v>
      </c>
      <c r="C7" s="14"/>
      <c r="D7" s="251"/>
      <c r="E7" s="257"/>
      <c r="F7" s="300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1127757.8999999999</v>
      </c>
      <c r="N7" s="14"/>
    </row>
    <row r="8" spans="1:16">
      <c r="A8" s="23">
        <v>5</v>
      </c>
      <c r="B8" s="24">
        <v>46239</v>
      </c>
      <c r="C8" s="14"/>
      <c r="D8" s="251"/>
      <c r="E8" s="257"/>
      <c r="F8" s="300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1127757.8999999999</v>
      </c>
      <c r="N8" s="14"/>
    </row>
    <row r="9" spans="1:16">
      <c r="A9" s="23">
        <v>6</v>
      </c>
      <c r="B9" s="24">
        <v>46240</v>
      </c>
      <c r="C9" s="14"/>
      <c r="D9" s="251"/>
      <c r="E9" s="257">
        <v>2700</v>
      </c>
      <c r="F9" s="300">
        <v>103.62</v>
      </c>
      <c r="G9" s="14">
        <f t="shared" si="0"/>
        <v>279774</v>
      </c>
      <c r="H9" s="14">
        <v>90</v>
      </c>
      <c r="I9" s="14">
        <v>115.49</v>
      </c>
      <c r="J9" s="14">
        <f t="shared" si="1"/>
        <v>10394.1</v>
      </c>
      <c r="K9" s="14">
        <f t="shared" si="2"/>
        <v>290168.09999999998</v>
      </c>
      <c r="L9" s="14"/>
      <c r="M9" s="37">
        <f t="shared" si="3"/>
        <v>1417926</v>
      </c>
      <c r="N9" s="222"/>
    </row>
    <row r="10" spans="1:16">
      <c r="A10" s="23">
        <v>7</v>
      </c>
      <c r="B10" s="24">
        <v>46241</v>
      </c>
      <c r="C10" s="14"/>
      <c r="D10" s="251"/>
      <c r="E10" s="257"/>
      <c r="F10" s="300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1417926</v>
      </c>
      <c r="N10" s="14"/>
    </row>
    <row r="11" spans="1:16">
      <c r="A11" s="23">
        <v>8</v>
      </c>
      <c r="B11" s="24">
        <v>46242</v>
      </c>
      <c r="C11" s="14"/>
      <c r="D11" s="251"/>
      <c r="E11" s="257">
        <v>2700</v>
      </c>
      <c r="F11" s="300">
        <v>103.62</v>
      </c>
      <c r="G11" s="14">
        <f t="shared" si="0"/>
        <v>279774</v>
      </c>
      <c r="H11" s="14">
        <v>35</v>
      </c>
      <c r="I11" s="14">
        <v>115.49</v>
      </c>
      <c r="J11" s="14">
        <f t="shared" si="1"/>
        <v>4042.1499999999996</v>
      </c>
      <c r="K11" s="14">
        <f t="shared" si="2"/>
        <v>283816.15000000002</v>
      </c>
      <c r="L11" s="14"/>
      <c r="M11" s="37">
        <f t="shared" si="3"/>
        <v>1701742.15</v>
      </c>
      <c r="N11" s="14"/>
    </row>
    <row r="12" spans="1:16">
      <c r="A12" s="23">
        <v>9</v>
      </c>
      <c r="B12" s="24">
        <v>46243</v>
      </c>
      <c r="C12" s="14"/>
      <c r="D12" s="251"/>
      <c r="E12" s="257"/>
      <c r="F12" s="300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1701742.15</v>
      </c>
      <c r="N12" s="14"/>
    </row>
    <row r="13" spans="1:16">
      <c r="A13" s="23">
        <v>10</v>
      </c>
      <c r="B13" s="24">
        <v>46244</v>
      </c>
      <c r="C13" s="14"/>
      <c r="D13" s="251"/>
      <c r="E13" s="257">
        <v>2700</v>
      </c>
      <c r="F13" s="300">
        <v>103.62</v>
      </c>
      <c r="G13" s="14">
        <f t="shared" si="0"/>
        <v>279774</v>
      </c>
      <c r="H13" s="14">
        <v>55</v>
      </c>
      <c r="I13" s="14">
        <v>115.49</v>
      </c>
      <c r="J13" s="14">
        <f t="shared" si="1"/>
        <v>6351.95</v>
      </c>
      <c r="K13" s="14">
        <f t="shared" si="2"/>
        <v>286125.95</v>
      </c>
      <c r="L13" s="14"/>
      <c r="M13" s="37">
        <f t="shared" si="3"/>
        <v>1987868.0999999999</v>
      </c>
      <c r="N13" s="14"/>
    </row>
    <row r="14" spans="1:16">
      <c r="A14" s="23">
        <v>11</v>
      </c>
      <c r="B14" s="24">
        <v>46245</v>
      </c>
      <c r="C14" s="14"/>
      <c r="D14" s="251"/>
      <c r="E14" s="257"/>
      <c r="F14" s="300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1987868.0999999999</v>
      </c>
      <c r="N14" s="14"/>
    </row>
    <row r="15" spans="1:16">
      <c r="A15" s="23">
        <v>12</v>
      </c>
      <c r="B15" s="24">
        <v>46246</v>
      </c>
      <c r="C15" s="14"/>
      <c r="D15" s="251"/>
      <c r="E15" s="257"/>
      <c r="F15" s="300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1987868.0999999999</v>
      </c>
      <c r="N15" s="14"/>
    </row>
    <row r="16" spans="1:16">
      <c r="A16" s="23">
        <v>13</v>
      </c>
      <c r="B16" s="24">
        <v>46247</v>
      </c>
      <c r="C16" s="14"/>
      <c r="D16" s="251"/>
      <c r="E16" s="257"/>
      <c r="F16" s="300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1987868.0999999999</v>
      </c>
      <c r="N16" s="14"/>
    </row>
    <row r="17" spans="1:14">
      <c r="A17" s="23">
        <v>14</v>
      </c>
      <c r="B17" s="24">
        <v>46248</v>
      </c>
      <c r="C17" s="14"/>
      <c r="D17" s="251"/>
      <c r="E17" s="257"/>
      <c r="F17" s="300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1987868.0999999999</v>
      </c>
      <c r="N17" s="14"/>
    </row>
    <row r="18" spans="1:14">
      <c r="A18" s="23">
        <v>15</v>
      </c>
      <c r="B18" s="24">
        <v>46249</v>
      </c>
      <c r="C18" s="14"/>
      <c r="D18" s="251"/>
      <c r="E18" s="257"/>
      <c r="F18" s="300"/>
      <c r="G18" s="14">
        <f t="shared" si="0"/>
        <v>0</v>
      </c>
      <c r="H18" s="14"/>
      <c r="I18" s="14"/>
      <c r="J18" s="14">
        <f t="shared" si="1"/>
        <v>0</v>
      </c>
      <c r="K18" s="14">
        <f t="shared" si="2"/>
        <v>0</v>
      </c>
      <c r="L18" s="14"/>
      <c r="M18" s="37">
        <f t="shared" si="3"/>
        <v>1987868.0999999999</v>
      </c>
      <c r="N18" s="14"/>
    </row>
    <row r="19" spans="1:14">
      <c r="A19" s="23">
        <v>16</v>
      </c>
      <c r="B19" s="24">
        <v>46250</v>
      </c>
      <c r="C19" s="14"/>
      <c r="D19" s="251"/>
      <c r="E19" s="257"/>
      <c r="F19" s="300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1987868.0999999999</v>
      </c>
      <c r="N19" s="14"/>
    </row>
    <row r="20" spans="1:14">
      <c r="A20" s="23">
        <v>17</v>
      </c>
      <c r="B20" s="24">
        <v>46251</v>
      </c>
      <c r="C20" s="14"/>
      <c r="D20" s="251"/>
      <c r="E20" s="257">
        <v>2700</v>
      </c>
      <c r="F20" s="300">
        <v>103.62</v>
      </c>
      <c r="G20" s="14">
        <f t="shared" si="0"/>
        <v>279774</v>
      </c>
      <c r="H20" s="14">
        <v>75</v>
      </c>
      <c r="I20" s="14">
        <v>115.49</v>
      </c>
      <c r="J20" s="14">
        <f t="shared" si="1"/>
        <v>8661.75</v>
      </c>
      <c r="K20" s="14">
        <f t="shared" si="2"/>
        <v>288435.75</v>
      </c>
      <c r="L20" s="14"/>
      <c r="M20" s="37">
        <f t="shared" si="3"/>
        <v>2276303.8499999996</v>
      </c>
      <c r="N20" s="14"/>
    </row>
    <row r="21" spans="1:14">
      <c r="A21" s="23">
        <v>18</v>
      </c>
      <c r="B21" s="24">
        <v>46252</v>
      </c>
      <c r="C21" s="14"/>
      <c r="D21" s="251"/>
      <c r="E21" s="257"/>
      <c r="F21" s="300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2276303.8499999996</v>
      </c>
      <c r="N21" s="14"/>
    </row>
    <row r="22" spans="1:14">
      <c r="A22" s="23">
        <v>19</v>
      </c>
      <c r="B22" s="24">
        <v>46253</v>
      </c>
      <c r="C22" s="14"/>
      <c r="D22" s="251"/>
      <c r="E22" s="257">
        <v>2700</v>
      </c>
      <c r="F22" s="300">
        <v>103.62</v>
      </c>
      <c r="G22" s="14">
        <f t="shared" si="0"/>
        <v>279774</v>
      </c>
      <c r="H22" s="14">
        <v>75</v>
      </c>
      <c r="I22" s="14">
        <v>115.49</v>
      </c>
      <c r="J22" s="14">
        <f t="shared" si="1"/>
        <v>8661.75</v>
      </c>
      <c r="K22" s="14">
        <f t="shared" si="2"/>
        <v>288435.75</v>
      </c>
      <c r="L22" s="14"/>
      <c r="M22" s="37">
        <f t="shared" si="3"/>
        <v>2564739.5999999996</v>
      </c>
      <c r="N22" s="14"/>
    </row>
    <row r="23" spans="1:14">
      <c r="A23" s="23">
        <v>20</v>
      </c>
      <c r="B23" s="24">
        <v>46254</v>
      </c>
      <c r="C23" s="14"/>
      <c r="D23" s="251"/>
      <c r="E23" s="257"/>
      <c r="F23" s="300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7">
        <f t="shared" si="3"/>
        <v>2564739.5999999996</v>
      </c>
      <c r="N23" s="14"/>
    </row>
    <row r="24" spans="1:14">
      <c r="A24" s="23">
        <v>21</v>
      </c>
      <c r="B24" s="24">
        <v>46255</v>
      </c>
      <c r="C24" s="14"/>
      <c r="D24" s="251"/>
      <c r="E24" s="257"/>
      <c r="F24" s="300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7">
        <f t="shared" si="3"/>
        <v>2564739.5999999996</v>
      </c>
      <c r="N24" s="14"/>
    </row>
    <row r="25" spans="1:14">
      <c r="A25" s="23">
        <v>22</v>
      </c>
      <c r="B25" s="24">
        <v>46256</v>
      </c>
      <c r="C25" s="14"/>
      <c r="D25" s="251"/>
      <c r="E25" s="257">
        <v>2700</v>
      </c>
      <c r="F25" s="300">
        <v>103.62</v>
      </c>
      <c r="G25" s="14">
        <f t="shared" si="0"/>
        <v>279774</v>
      </c>
      <c r="H25" s="14">
        <v>75</v>
      </c>
      <c r="I25" s="14">
        <v>115.49</v>
      </c>
      <c r="J25" s="14">
        <f t="shared" si="1"/>
        <v>8661.75</v>
      </c>
      <c r="K25" s="14">
        <f t="shared" si="2"/>
        <v>288435.75</v>
      </c>
      <c r="L25" s="14"/>
      <c r="M25" s="37">
        <f t="shared" si="3"/>
        <v>2853175.3499999996</v>
      </c>
      <c r="N25" s="14"/>
    </row>
    <row r="26" spans="1:14">
      <c r="A26" s="23">
        <v>23</v>
      </c>
      <c r="B26" s="24">
        <v>46257</v>
      </c>
      <c r="C26" s="14"/>
      <c r="D26" s="251"/>
      <c r="E26" s="257"/>
      <c r="F26" s="300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7">
        <f t="shared" si="3"/>
        <v>2853175.3499999996</v>
      </c>
      <c r="N26" s="14"/>
    </row>
    <row r="27" spans="1:14">
      <c r="A27" s="23">
        <v>24</v>
      </c>
      <c r="B27" s="24">
        <v>46258</v>
      </c>
      <c r="C27" s="14"/>
      <c r="D27" s="251"/>
      <c r="E27" s="257"/>
      <c r="F27" s="300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7">
        <f t="shared" si="3"/>
        <v>2853175.3499999996</v>
      </c>
      <c r="N27" s="14"/>
    </row>
    <row r="28" spans="1:14">
      <c r="A28" s="23">
        <v>25</v>
      </c>
      <c r="B28" s="24">
        <v>46259</v>
      </c>
      <c r="C28" s="14"/>
      <c r="D28" s="251"/>
      <c r="E28" s="257"/>
      <c r="F28" s="300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7">
        <f t="shared" si="3"/>
        <v>2853175.3499999996</v>
      </c>
      <c r="N28" s="14"/>
    </row>
    <row r="29" spans="1:14">
      <c r="A29" s="23">
        <v>26</v>
      </c>
      <c r="B29" s="24">
        <v>46260</v>
      </c>
      <c r="C29" s="14"/>
      <c r="D29" s="251"/>
      <c r="E29" s="257"/>
      <c r="F29" s="300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7">
        <f t="shared" si="3"/>
        <v>2853175.3499999996</v>
      </c>
      <c r="N29" s="14"/>
    </row>
    <row r="30" spans="1:14">
      <c r="A30" s="23">
        <v>27</v>
      </c>
      <c r="B30" s="24">
        <v>46261</v>
      </c>
      <c r="C30" s="14"/>
      <c r="D30" s="251"/>
      <c r="E30" s="257"/>
      <c r="F30" s="300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2853175.3499999996</v>
      </c>
      <c r="N30" s="14"/>
    </row>
    <row r="31" spans="1:14">
      <c r="A31" s="23">
        <v>28</v>
      </c>
      <c r="B31" s="24">
        <v>46262</v>
      </c>
      <c r="C31" s="14"/>
      <c r="D31" s="251"/>
      <c r="E31" s="257">
        <v>2700</v>
      </c>
      <c r="F31" s="300">
        <v>103.62</v>
      </c>
      <c r="G31" s="14">
        <f t="shared" si="0"/>
        <v>279774</v>
      </c>
      <c r="H31" s="14">
        <v>75</v>
      </c>
      <c r="I31" s="14">
        <v>115.49</v>
      </c>
      <c r="J31" s="14">
        <f t="shared" si="1"/>
        <v>8661.75</v>
      </c>
      <c r="K31" s="14">
        <f t="shared" si="2"/>
        <v>288435.75</v>
      </c>
      <c r="L31" s="14"/>
      <c r="M31" s="37">
        <f t="shared" si="3"/>
        <v>3141611.0999999996</v>
      </c>
      <c r="N31" s="14"/>
    </row>
    <row r="32" spans="1:14">
      <c r="A32" s="23">
        <v>29</v>
      </c>
      <c r="B32" s="24">
        <v>46263</v>
      </c>
      <c r="C32" s="14"/>
      <c r="D32" s="251"/>
      <c r="E32" s="257">
        <v>2700</v>
      </c>
      <c r="F32" s="300">
        <v>103.62</v>
      </c>
      <c r="G32" s="14">
        <f t="shared" si="0"/>
        <v>279774</v>
      </c>
      <c r="H32" s="14">
        <v>20</v>
      </c>
      <c r="I32" s="14">
        <v>115.49</v>
      </c>
      <c r="J32" s="14">
        <f t="shared" si="1"/>
        <v>2309.7999999999997</v>
      </c>
      <c r="K32" s="14">
        <f t="shared" si="2"/>
        <v>282083.8</v>
      </c>
      <c r="L32" s="14">
        <v>282083.8</v>
      </c>
      <c r="M32" s="37">
        <f t="shared" si="3"/>
        <v>3141611.0999999996</v>
      </c>
      <c r="N32" s="14"/>
    </row>
    <row r="33" spans="1:14">
      <c r="A33" s="23">
        <v>30</v>
      </c>
      <c r="B33" s="24">
        <v>46264</v>
      </c>
      <c r="C33" s="14"/>
      <c r="D33" s="251"/>
      <c r="E33" s="257">
        <v>2700</v>
      </c>
      <c r="F33" s="300">
        <v>103.62</v>
      </c>
      <c r="G33" s="14">
        <f t="shared" si="0"/>
        <v>279774</v>
      </c>
      <c r="H33" s="14">
        <v>55</v>
      </c>
      <c r="I33" s="14">
        <v>115.49</v>
      </c>
      <c r="J33" s="14">
        <f t="shared" si="1"/>
        <v>6351.95</v>
      </c>
      <c r="K33" s="14">
        <f t="shared" si="2"/>
        <v>286125.95</v>
      </c>
      <c r="L33" s="14">
        <v>286125.95</v>
      </c>
      <c r="M33" s="37">
        <f t="shared" si="3"/>
        <v>3141611.0999999996</v>
      </c>
      <c r="N33" s="14"/>
    </row>
    <row r="34" spans="1:14">
      <c r="A34" s="23">
        <v>31</v>
      </c>
      <c r="B34" s="24">
        <v>46265</v>
      </c>
      <c r="C34" s="14"/>
      <c r="D34" s="251"/>
      <c r="E34" s="257"/>
      <c r="F34" s="300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7">
        <f t="shared" si="3"/>
        <v>3141611.0999999996</v>
      </c>
      <c r="N34" s="14"/>
    </row>
    <row r="35" spans="1:14">
      <c r="A35" s="39"/>
      <c r="B35" s="39"/>
      <c r="C35" s="39"/>
      <c r="D35" s="39"/>
      <c r="E35" s="40">
        <f>SUM(E4:E34)</f>
        <v>27000</v>
      </c>
      <c r="F35" s="40"/>
      <c r="G35" s="40">
        <f>SUM(G4:G34)</f>
        <v>2797740</v>
      </c>
      <c r="H35" s="40">
        <f>SUM(H4:H34)</f>
        <v>595</v>
      </c>
      <c r="I35" s="40"/>
      <c r="J35" s="40">
        <f>SUM(J4:J34)</f>
        <v>68716.55</v>
      </c>
      <c r="K35" s="40">
        <f>SUM(K4:K34)</f>
        <v>2866456.55</v>
      </c>
      <c r="L35" s="40">
        <f>SUM(L4:L34)</f>
        <v>568209.75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6E37A-4563-4C33-A700-EDC78F1D03A3}">
  <sheetPr>
    <tabColor rgb="FF00B050"/>
  </sheetPr>
  <dimension ref="A1:P39"/>
  <sheetViews>
    <sheetView workbookViewId="0">
      <pane ySplit="3" topLeftCell="A16" activePane="bottomLeft" state="frozen"/>
      <selection pane="bottomLeft" activeCell="F28" sqref="F28"/>
    </sheetView>
  </sheetViews>
  <sheetFormatPr defaultColWidth="14.28515625" defaultRowHeight="15"/>
  <sheetData>
    <row r="1" spans="1:16" ht="15.75">
      <c r="A1" s="594" t="s">
        <v>182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16" ht="30.75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120" t="s">
        <v>175</v>
      </c>
      <c r="L2" s="123" t="s">
        <v>176</v>
      </c>
      <c r="M2" s="123" t="s">
        <v>180</v>
      </c>
      <c r="N2" s="121" t="s">
        <v>178</v>
      </c>
      <c r="O2" s="302"/>
      <c r="P2" s="19"/>
    </row>
    <row r="3" spans="1:16">
      <c r="A3" s="596" t="s">
        <v>179</v>
      </c>
      <c r="B3" s="597"/>
      <c r="C3" s="597"/>
      <c r="D3" s="597"/>
      <c r="E3" s="597"/>
      <c r="F3" s="597"/>
      <c r="G3" s="597"/>
      <c r="H3" s="597"/>
      <c r="I3" s="597"/>
      <c r="J3" s="597"/>
      <c r="K3">
        <v>578571.80000000005</v>
      </c>
      <c r="L3" s="220"/>
      <c r="M3">
        <v>578571.80000000005</v>
      </c>
      <c r="N3" s="91"/>
    </row>
    <row r="4" spans="1:16">
      <c r="A4" s="23">
        <v>1</v>
      </c>
      <c r="B4" s="24">
        <v>46266</v>
      </c>
      <c r="C4" s="14"/>
      <c r="D4" s="251"/>
      <c r="E4" s="257">
        <v>2800</v>
      </c>
      <c r="F4" s="300">
        <v>103.62</v>
      </c>
      <c r="G4" s="14">
        <f>E4*F4</f>
        <v>290136</v>
      </c>
      <c r="H4" s="14">
        <v>75</v>
      </c>
      <c r="I4" s="14">
        <v>115.49</v>
      </c>
      <c r="J4" s="14">
        <f>H4*I4</f>
        <v>8661.75</v>
      </c>
      <c r="K4" s="14">
        <f>G4+J4</f>
        <v>298797.75</v>
      </c>
      <c r="L4" s="14"/>
      <c r="M4" s="37">
        <f>M3+K4-L4</f>
        <v>877369.55</v>
      </c>
      <c r="N4" s="14"/>
      <c r="O4" s="37"/>
    </row>
    <row r="5" spans="1:16">
      <c r="A5" s="23">
        <v>2</v>
      </c>
      <c r="B5" s="24">
        <v>46267</v>
      </c>
      <c r="C5" s="14"/>
      <c r="D5" s="251"/>
      <c r="E5" s="257">
        <v>2700</v>
      </c>
      <c r="F5" s="300">
        <v>103.62</v>
      </c>
      <c r="G5" s="14">
        <f t="shared" ref="G5:G34" si="0">E5*F5</f>
        <v>279774</v>
      </c>
      <c r="H5" s="14">
        <v>35</v>
      </c>
      <c r="I5" s="14">
        <v>115.49</v>
      </c>
      <c r="J5" s="14">
        <f t="shared" ref="J5:J34" si="1">H5*I5</f>
        <v>4042.1499999999996</v>
      </c>
      <c r="K5" s="14">
        <f t="shared" ref="K5:K34" si="2">G5+J5</f>
        <v>283816.15000000002</v>
      </c>
      <c r="L5" s="14"/>
      <c r="M5" s="37">
        <f>M4+K5-L5</f>
        <v>1161185.7000000002</v>
      </c>
      <c r="N5" s="14"/>
    </row>
    <row r="6" spans="1:16">
      <c r="A6" s="23">
        <v>3</v>
      </c>
      <c r="B6" s="24">
        <v>46268</v>
      </c>
      <c r="C6" s="14"/>
      <c r="D6" s="251"/>
      <c r="E6" s="257"/>
      <c r="F6" s="300"/>
      <c r="G6" s="14">
        <f t="shared" si="0"/>
        <v>0</v>
      </c>
      <c r="H6" s="14"/>
      <c r="I6" s="14"/>
      <c r="J6" s="14">
        <f t="shared" si="1"/>
        <v>0</v>
      </c>
      <c r="K6" s="14">
        <f t="shared" si="2"/>
        <v>0</v>
      </c>
      <c r="L6" s="14"/>
      <c r="M6" s="37">
        <f t="shared" ref="M6:M34" si="3">M5+K6-L6</f>
        <v>1161185.7000000002</v>
      </c>
      <c r="N6" s="14"/>
    </row>
    <row r="7" spans="1:16">
      <c r="A7" s="23">
        <v>4</v>
      </c>
      <c r="B7" s="24">
        <v>46269</v>
      </c>
      <c r="C7" s="14"/>
      <c r="D7" s="251"/>
      <c r="E7" s="257"/>
      <c r="F7" s="300"/>
      <c r="G7" s="14">
        <f t="shared" si="0"/>
        <v>0</v>
      </c>
      <c r="H7" s="14"/>
      <c r="I7" s="14"/>
      <c r="J7" s="14">
        <f t="shared" si="1"/>
        <v>0</v>
      </c>
      <c r="K7" s="14">
        <f t="shared" si="2"/>
        <v>0</v>
      </c>
      <c r="L7" s="14"/>
      <c r="M7" s="37">
        <f>M6+K7-L7</f>
        <v>1161185.7000000002</v>
      </c>
      <c r="N7" s="14"/>
    </row>
    <row r="8" spans="1:16">
      <c r="A8" s="23">
        <v>5</v>
      </c>
      <c r="B8" s="24">
        <v>46270</v>
      </c>
      <c r="C8" s="14"/>
      <c r="D8" s="251"/>
      <c r="E8" s="257"/>
      <c r="F8" s="300"/>
      <c r="G8" s="14">
        <f t="shared" si="0"/>
        <v>0</v>
      </c>
      <c r="H8" s="14"/>
      <c r="I8" s="14"/>
      <c r="J8" s="14">
        <f t="shared" si="1"/>
        <v>0</v>
      </c>
      <c r="K8" s="14">
        <f t="shared" si="2"/>
        <v>0</v>
      </c>
      <c r="L8" s="14"/>
      <c r="M8" s="37">
        <f t="shared" si="3"/>
        <v>1161185.7000000002</v>
      </c>
      <c r="N8" s="14"/>
    </row>
    <row r="9" spans="1:16">
      <c r="A9" s="23">
        <v>6</v>
      </c>
      <c r="B9" s="24">
        <v>46271</v>
      </c>
      <c r="C9" s="14"/>
      <c r="D9" s="251"/>
      <c r="E9" s="257"/>
      <c r="F9" s="300"/>
      <c r="G9" s="14">
        <f t="shared" si="0"/>
        <v>0</v>
      </c>
      <c r="H9" s="14"/>
      <c r="I9" s="14"/>
      <c r="J9" s="14">
        <f t="shared" si="1"/>
        <v>0</v>
      </c>
      <c r="K9" s="14">
        <f t="shared" si="2"/>
        <v>0</v>
      </c>
      <c r="L9" s="14"/>
      <c r="M9" s="37">
        <f t="shared" si="3"/>
        <v>1161185.7000000002</v>
      </c>
      <c r="N9" s="222"/>
    </row>
    <row r="10" spans="1:16">
      <c r="A10" s="23">
        <v>7</v>
      </c>
      <c r="B10" s="24">
        <v>46272</v>
      </c>
      <c r="C10" s="14"/>
      <c r="D10" s="251"/>
      <c r="E10" s="257"/>
      <c r="F10" s="300"/>
      <c r="G10" s="14">
        <f t="shared" si="0"/>
        <v>0</v>
      </c>
      <c r="H10" s="14"/>
      <c r="I10" s="14"/>
      <c r="J10" s="14">
        <f t="shared" si="1"/>
        <v>0</v>
      </c>
      <c r="K10" s="14">
        <f t="shared" si="2"/>
        <v>0</v>
      </c>
      <c r="L10" s="14"/>
      <c r="M10" s="37">
        <f t="shared" si="3"/>
        <v>1161185.7000000002</v>
      </c>
      <c r="N10" s="14"/>
    </row>
    <row r="11" spans="1:16">
      <c r="A11" s="23">
        <v>8</v>
      </c>
      <c r="B11" s="24">
        <v>46273</v>
      </c>
      <c r="C11" s="14"/>
      <c r="D11" s="251"/>
      <c r="E11" s="257"/>
      <c r="F11" s="300"/>
      <c r="G11" s="14">
        <f t="shared" si="0"/>
        <v>0</v>
      </c>
      <c r="H11" s="14"/>
      <c r="I11" s="14"/>
      <c r="J11" s="14">
        <f t="shared" si="1"/>
        <v>0</v>
      </c>
      <c r="K11" s="14">
        <f t="shared" si="2"/>
        <v>0</v>
      </c>
      <c r="L11" s="14"/>
      <c r="M11" s="37">
        <f t="shared" si="3"/>
        <v>1161185.7000000002</v>
      </c>
      <c r="N11" s="14"/>
    </row>
    <row r="12" spans="1:16">
      <c r="A12" s="23">
        <v>9</v>
      </c>
      <c r="B12" s="24">
        <v>46274</v>
      </c>
      <c r="C12" s="14"/>
      <c r="D12" s="251"/>
      <c r="E12" s="257"/>
      <c r="F12" s="300"/>
      <c r="G12" s="14">
        <f t="shared" si="0"/>
        <v>0</v>
      </c>
      <c r="H12" s="14"/>
      <c r="I12" s="14"/>
      <c r="J12" s="14">
        <f t="shared" si="1"/>
        <v>0</v>
      </c>
      <c r="K12" s="14">
        <f t="shared" si="2"/>
        <v>0</v>
      </c>
      <c r="L12" s="14"/>
      <c r="M12" s="37">
        <f t="shared" si="3"/>
        <v>1161185.7000000002</v>
      </c>
      <c r="N12" s="14"/>
    </row>
    <row r="13" spans="1:16">
      <c r="A13" s="23">
        <v>10</v>
      </c>
      <c r="B13" s="24">
        <v>46275</v>
      </c>
      <c r="C13" s="14"/>
      <c r="D13" s="251"/>
      <c r="E13" s="257"/>
      <c r="F13" s="300"/>
      <c r="G13" s="14">
        <f t="shared" si="0"/>
        <v>0</v>
      </c>
      <c r="H13" s="14"/>
      <c r="I13" s="14"/>
      <c r="J13" s="14">
        <f t="shared" si="1"/>
        <v>0</v>
      </c>
      <c r="K13" s="14">
        <f t="shared" si="2"/>
        <v>0</v>
      </c>
      <c r="L13" s="14"/>
      <c r="M13" s="37">
        <f t="shared" si="3"/>
        <v>1161185.7000000002</v>
      </c>
      <c r="N13" s="14"/>
    </row>
    <row r="14" spans="1:16">
      <c r="A14" s="23">
        <v>11</v>
      </c>
      <c r="B14" s="24">
        <v>46276</v>
      </c>
      <c r="C14" s="14"/>
      <c r="D14" s="251"/>
      <c r="E14" s="257"/>
      <c r="F14" s="300"/>
      <c r="G14" s="14">
        <f t="shared" si="0"/>
        <v>0</v>
      </c>
      <c r="H14" s="14"/>
      <c r="I14" s="14"/>
      <c r="J14" s="14">
        <f t="shared" si="1"/>
        <v>0</v>
      </c>
      <c r="K14" s="14">
        <f t="shared" si="2"/>
        <v>0</v>
      </c>
      <c r="L14" s="14"/>
      <c r="M14" s="37">
        <f t="shared" si="3"/>
        <v>1161185.7000000002</v>
      </c>
      <c r="N14" s="14"/>
    </row>
    <row r="15" spans="1:16">
      <c r="A15" s="23">
        <v>12</v>
      </c>
      <c r="B15" s="24">
        <v>46277</v>
      </c>
      <c r="C15" s="14"/>
      <c r="D15" s="251"/>
      <c r="E15" s="257"/>
      <c r="F15" s="300"/>
      <c r="G15" s="14">
        <f t="shared" si="0"/>
        <v>0</v>
      </c>
      <c r="H15" s="14"/>
      <c r="I15" s="14"/>
      <c r="J15" s="14">
        <f t="shared" si="1"/>
        <v>0</v>
      </c>
      <c r="K15" s="14">
        <f t="shared" si="2"/>
        <v>0</v>
      </c>
      <c r="L15" s="14"/>
      <c r="M15" s="37">
        <f t="shared" si="3"/>
        <v>1161185.7000000002</v>
      </c>
      <c r="N15" s="14"/>
    </row>
    <row r="16" spans="1:16">
      <c r="A16" s="23">
        <v>13</v>
      </c>
      <c r="B16" s="24">
        <v>46278</v>
      </c>
      <c r="C16" s="14"/>
      <c r="D16" s="251"/>
      <c r="E16" s="257"/>
      <c r="F16" s="300"/>
      <c r="G16" s="14">
        <f t="shared" si="0"/>
        <v>0</v>
      </c>
      <c r="H16" s="14"/>
      <c r="I16" s="14"/>
      <c r="J16" s="14">
        <f t="shared" si="1"/>
        <v>0</v>
      </c>
      <c r="K16" s="14">
        <f t="shared" si="2"/>
        <v>0</v>
      </c>
      <c r="L16" s="14"/>
      <c r="M16" s="37">
        <f>M15+K16-L16</f>
        <v>1161185.7000000002</v>
      </c>
      <c r="N16" s="14"/>
    </row>
    <row r="17" spans="1:14">
      <c r="A17" s="23">
        <v>14</v>
      </c>
      <c r="B17" s="24">
        <v>46279</v>
      </c>
      <c r="C17" s="14"/>
      <c r="D17" s="251"/>
      <c r="E17" s="257"/>
      <c r="F17" s="300"/>
      <c r="G17" s="14">
        <f t="shared" si="0"/>
        <v>0</v>
      </c>
      <c r="H17" s="14"/>
      <c r="I17" s="14"/>
      <c r="J17" s="14">
        <f t="shared" si="1"/>
        <v>0</v>
      </c>
      <c r="K17" s="14">
        <f t="shared" si="2"/>
        <v>0</v>
      </c>
      <c r="L17" s="14"/>
      <c r="M17" s="37">
        <f t="shared" si="3"/>
        <v>1161185.7000000002</v>
      </c>
      <c r="N17" s="14"/>
    </row>
    <row r="18" spans="1:14">
      <c r="A18" s="23">
        <v>15</v>
      </c>
      <c r="B18" s="24">
        <v>46280</v>
      </c>
      <c r="C18" s="14"/>
      <c r="D18" s="251"/>
      <c r="E18" s="257">
        <v>2700</v>
      </c>
      <c r="F18" s="300">
        <v>103.62</v>
      </c>
      <c r="G18" s="14">
        <f t="shared" si="0"/>
        <v>279774</v>
      </c>
      <c r="H18" s="14">
        <v>35</v>
      </c>
      <c r="I18" s="14">
        <v>115.49</v>
      </c>
      <c r="J18" s="14">
        <f t="shared" si="1"/>
        <v>4042.1499999999996</v>
      </c>
      <c r="K18" s="14">
        <f t="shared" si="2"/>
        <v>283816.15000000002</v>
      </c>
      <c r="L18" s="14"/>
      <c r="M18" s="37">
        <f t="shared" si="3"/>
        <v>1445001.85</v>
      </c>
      <c r="N18" s="14"/>
    </row>
    <row r="19" spans="1:14">
      <c r="A19" s="23">
        <v>16</v>
      </c>
      <c r="B19" s="24">
        <v>46281</v>
      </c>
      <c r="C19" s="14"/>
      <c r="D19" s="251"/>
      <c r="E19" s="257"/>
      <c r="F19" s="300"/>
      <c r="G19" s="14">
        <f t="shared" si="0"/>
        <v>0</v>
      </c>
      <c r="H19" s="14"/>
      <c r="I19" s="14"/>
      <c r="J19" s="14">
        <f t="shared" si="1"/>
        <v>0</v>
      </c>
      <c r="K19" s="14">
        <f t="shared" si="2"/>
        <v>0</v>
      </c>
      <c r="L19" s="14"/>
      <c r="M19" s="37">
        <f t="shared" si="3"/>
        <v>1445001.85</v>
      </c>
      <c r="N19" s="14"/>
    </row>
    <row r="20" spans="1:14">
      <c r="A20" s="23">
        <v>17</v>
      </c>
      <c r="B20" s="24">
        <v>46282</v>
      </c>
      <c r="C20" s="14"/>
      <c r="D20" s="251"/>
      <c r="E20" s="257"/>
      <c r="F20" s="300"/>
      <c r="G20" s="14">
        <f t="shared" si="0"/>
        <v>0</v>
      </c>
      <c r="H20" s="14"/>
      <c r="I20" s="14"/>
      <c r="J20" s="14">
        <f t="shared" si="1"/>
        <v>0</v>
      </c>
      <c r="K20" s="14">
        <f t="shared" si="2"/>
        <v>0</v>
      </c>
      <c r="L20" s="14"/>
      <c r="M20" s="37">
        <f t="shared" si="3"/>
        <v>1445001.85</v>
      </c>
      <c r="N20" s="14"/>
    </row>
    <row r="21" spans="1:14">
      <c r="A21" s="23">
        <v>18</v>
      </c>
      <c r="B21" s="24">
        <v>46283</v>
      </c>
      <c r="C21" s="14"/>
      <c r="D21" s="251"/>
      <c r="E21" s="257"/>
      <c r="F21" s="300"/>
      <c r="G21" s="14">
        <f t="shared" si="0"/>
        <v>0</v>
      </c>
      <c r="H21" s="14"/>
      <c r="I21" s="14"/>
      <c r="J21" s="14">
        <f t="shared" si="1"/>
        <v>0</v>
      </c>
      <c r="K21" s="14">
        <f t="shared" si="2"/>
        <v>0</v>
      </c>
      <c r="L21" s="14"/>
      <c r="M21" s="37">
        <f t="shared" si="3"/>
        <v>1445001.85</v>
      </c>
      <c r="N21" s="14"/>
    </row>
    <row r="22" spans="1:14">
      <c r="A22" s="23">
        <v>19</v>
      </c>
      <c r="B22" s="24">
        <v>46284</v>
      </c>
      <c r="C22" s="14"/>
      <c r="D22" s="251"/>
      <c r="E22" s="257"/>
      <c r="F22" s="300"/>
      <c r="G22" s="14">
        <f t="shared" si="0"/>
        <v>0</v>
      </c>
      <c r="H22" s="14"/>
      <c r="I22" s="14"/>
      <c r="J22" s="14">
        <f t="shared" si="1"/>
        <v>0</v>
      </c>
      <c r="K22" s="14">
        <f t="shared" si="2"/>
        <v>0</v>
      </c>
      <c r="L22" s="14"/>
      <c r="M22" s="37">
        <f t="shared" si="3"/>
        <v>1445001.85</v>
      </c>
      <c r="N22" s="14"/>
    </row>
    <row r="23" spans="1:14">
      <c r="A23" s="23">
        <v>20</v>
      </c>
      <c r="B23" s="24">
        <v>46285</v>
      </c>
      <c r="C23" s="14"/>
      <c r="D23" s="251"/>
      <c r="E23" s="257"/>
      <c r="F23" s="300"/>
      <c r="G23" s="14">
        <f t="shared" si="0"/>
        <v>0</v>
      </c>
      <c r="H23" s="14"/>
      <c r="I23" s="14"/>
      <c r="J23" s="14">
        <f t="shared" si="1"/>
        <v>0</v>
      </c>
      <c r="K23" s="14">
        <f t="shared" si="2"/>
        <v>0</v>
      </c>
      <c r="L23" s="14"/>
      <c r="M23" s="37">
        <f t="shared" si="3"/>
        <v>1445001.85</v>
      </c>
      <c r="N23" s="14"/>
    </row>
    <row r="24" spans="1:14">
      <c r="A24" s="23">
        <v>21</v>
      </c>
      <c r="B24" s="24">
        <v>46286</v>
      </c>
      <c r="C24" s="14"/>
      <c r="D24" s="251"/>
      <c r="E24" s="257"/>
      <c r="F24" s="300"/>
      <c r="G24" s="14">
        <f t="shared" si="0"/>
        <v>0</v>
      </c>
      <c r="H24" s="14"/>
      <c r="I24" s="14"/>
      <c r="J24" s="14">
        <f t="shared" si="1"/>
        <v>0</v>
      </c>
      <c r="K24" s="14">
        <f t="shared" si="2"/>
        <v>0</v>
      </c>
      <c r="L24" s="14"/>
      <c r="M24" s="37">
        <f t="shared" si="3"/>
        <v>1445001.85</v>
      </c>
      <c r="N24" s="14"/>
    </row>
    <row r="25" spans="1:14">
      <c r="A25" s="23">
        <v>22</v>
      </c>
      <c r="B25" s="24">
        <v>46287</v>
      </c>
      <c r="C25" s="14"/>
      <c r="D25" s="251"/>
      <c r="E25" s="257"/>
      <c r="F25" s="300"/>
      <c r="G25" s="14">
        <f t="shared" si="0"/>
        <v>0</v>
      </c>
      <c r="H25" s="14"/>
      <c r="I25" s="14"/>
      <c r="J25" s="14">
        <f t="shared" si="1"/>
        <v>0</v>
      </c>
      <c r="K25" s="14">
        <f t="shared" si="2"/>
        <v>0</v>
      </c>
      <c r="L25" s="14"/>
      <c r="M25" s="37">
        <f t="shared" si="3"/>
        <v>1445001.85</v>
      </c>
      <c r="N25" s="14"/>
    </row>
    <row r="26" spans="1:14">
      <c r="A26" s="23">
        <v>23</v>
      </c>
      <c r="B26" s="24">
        <v>46288</v>
      </c>
      <c r="C26" s="14"/>
      <c r="D26" s="251"/>
      <c r="E26" s="257"/>
      <c r="F26" s="300"/>
      <c r="G26" s="14">
        <f t="shared" si="0"/>
        <v>0</v>
      </c>
      <c r="H26" s="14"/>
      <c r="I26" s="14"/>
      <c r="J26" s="14">
        <f t="shared" si="1"/>
        <v>0</v>
      </c>
      <c r="K26" s="14">
        <f t="shared" si="2"/>
        <v>0</v>
      </c>
      <c r="L26" s="14"/>
      <c r="M26" s="37">
        <f t="shared" si="3"/>
        <v>1445001.85</v>
      </c>
      <c r="N26" s="14"/>
    </row>
    <row r="27" spans="1:14">
      <c r="A27" s="23">
        <v>24</v>
      </c>
      <c r="B27" s="24">
        <v>46289</v>
      </c>
      <c r="C27" s="14"/>
      <c r="D27" s="251"/>
      <c r="E27" s="257"/>
      <c r="F27" s="300"/>
      <c r="G27" s="14">
        <f t="shared" si="0"/>
        <v>0</v>
      </c>
      <c r="H27" s="14"/>
      <c r="I27" s="14"/>
      <c r="J27" s="14">
        <f t="shared" si="1"/>
        <v>0</v>
      </c>
      <c r="K27" s="14">
        <f t="shared" si="2"/>
        <v>0</v>
      </c>
      <c r="L27" s="14"/>
      <c r="M27" s="37">
        <f t="shared" si="3"/>
        <v>1445001.85</v>
      </c>
      <c r="N27" s="14"/>
    </row>
    <row r="28" spans="1:14">
      <c r="A28" s="23">
        <v>25</v>
      </c>
      <c r="B28" s="24">
        <v>46290</v>
      </c>
      <c r="C28" s="14"/>
      <c r="D28" s="251"/>
      <c r="E28" s="257"/>
      <c r="F28" s="300"/>
      <c r="G28" s="14">
        <f t="shared" si="0"/>
        <v>0</v>
      </c>
      <c r="H28" s="14"/>
      <c r="I28" s="14"/>
      <c r="J28" s="14">
        <f t="shared" si="1"/>
        <v>0</v>
      </c>
      <c r="K28" s="14">
        <f t="shared" si="2"/>
        <v>0</v>
      </c>
      <c r="L28" s="14"/>
      <c r="M28" s="37">
        <f t="shared" si="3"/>
        <v>1445001.85</v>
      </c>
      <c r="N28" s="14"/>
    </row>
    <row r="29" spans="1:14">
      <c r="A29" s="23">
        <v>26</v>
      </c>
      <c r="B29" s="24">
        <v>46291</v>
      </c>
      <c r="C29" s="14"/>
      <c r="D29" s="251"/>
      <c r="E29" s="257"/>
      <c r="F29" s="300"/>
      <c r="G29" s="14">
        <f t="shared" si="0"/>
        <v>0</v>
      </c>
      <c r="H29" s="14"/>
      <c r="I29" s="14"/>
      <c r="J29" s="14">
        <f t="shared" si="1"/>
        <v>0</v>
      </c>
      <c r="K29" s="14">
        <f t="shared" si="2"/>
        <v>0</v>
      </c>
      <c r="L29" s="14"/>
      <c r="M29" s="37">
        <f t="shared" si="3"/>
        <v>1445001.85</v>
      </c>
      <c r="N29" s="14"/>
    </row>
    <row r="30" spans="1:14">
      <c r="A30" s="23">
        <v>27</v>
      </c>
      <c r="B30" s="24">
        <v>46292</v>
      </c>
      <c r="C30" s="14"/>
      <c r="D30" s="251"/>
      <c r="E30" s="257"/>
      <c r="F30" s="300"/>
      <c r="G30" s="14">
        <f t="shared" si="0"/>
        <v>0</v>
      </c>
      <c r="H30" s="14"/>
      <c r="I30" s="14"/>
      <c r="J30" s="14">
        <f t="shared" si="1"/>
        <v>0</v>
      </c>
      <c r="K30" s="14">
        <f t="shared" si="2"/>
        <v>0</v>
      </c>
      <c r="L30" s="14"/>
      <c r="M30" s="37">
        <f t="shared" si="3"/>
        <v>1445001.85</v>
      </c>
      <c r="N30" s="14"/>
    </row>
    <row r="31" spans="1:14">
      <c r="A31" s="23">
        <v>28</v>
      </c>
      <c r="B31" s="24">
        <v>46293</v>
      </c>
      <c r="C31" s="14"/>
      <c r="D31" s="251"/>
      <c r="E31" s="257"/>
      <c r="F31" s="300"/>
      <c r="G31" s="14">
        <f t="shared" si="0"/>
        <v>0</v>
      </c>
      <c r="H31" s="14"/>
      <c r="I31" s="14"/>
      <c r="J31" s="14">
        <f t="shared" si="1"/>
        <v>0</v>
      </c>
      <c r="K31" s="14">
        <f t="shared" si="2"/>
        <v>0</v>
      </c>
      <c r="L31" s="14"/>
      <c r="M31" s="37">
        <f t="shared" si="3"/>
        <v>1445001.85</v>
      </c>
      <c r="N31" s="14"/>
    </row>
    <row r="32" spans="1:14">
      <c r="A32" s="23">
        <v>29</v>
      </c>
      <c r="B32" s="24">
        <v>46294</v>
      </c>
      <c r="C32" s="14"/>
      <c r="D32" s="251"/>
      <c r="E32" s="429"/>
      <c r="F32" s="300"/>
      <c r="G32" s="14">
        <f t="shared" si="0"/>
        <v>0</v>
      </c>
      <c r="H32" s="429"/>
      <c r="I32" s="300"/>
      <c r="J32" s="14">
        <f t="shared" si="1"/>
        <v>0</v>
      </c>
      <c r="K32" s="14">
        <f t="shared" si="2"/>
        <v>0</v>
      </c>
      <c r="L32" s="14"/>
      <c r="M32" s="37">
        <f t="shared" si="3"/>
        <v>1445001.85</v>
      </c>
      <c r="N32" s="14"/>
    </row>
    <row r="33" spans="1:14">
      <c r="A33" s="23">
        <v>30</v>
      </c>
      <c r="B33" s="24">
        <v>46295</v>
      </c>
      <c r="C33" s="14"/>
      <c r="D33" s="251"/>
      <c r="E33" s="429"/>
      <c r="F33" s="300"/>
      <c r="G33" s="14">
        <f t="shared" si="0"/>
        <v>0</v>
      </c>
      <c r="H33" s="429"/>
      <c r="I33" s="300"/>
      <c r="J33" s="14">
        <f t="shared" si="1"/>
        <v>0</v>
      </c>
      <c r="K33" s="14">
        <f t="shared" si="2"/>
        <v>0</v>
      </c>
      <c r="L33" s="14"/>
      <c r="M33" s="37">
        <f t="shared" si="3"/>
        <v>1445001.85</v>
      </c>
      <c r="N33" s="14"/>
    </row>
    <row r="34" spans="1:14">
      <c r="A34" s="23">
        <v>31</v>
      </c>
      <c r="B34" s="24"/>
      <c r="C34" s="14"/>
      <c r="D34" s="251"/>
      <c r="E34" s="257"/>
      <c r="F34" s="300"/>
      <c r="G34" s="14">
        <f t="shared" si="0"/>
        <v>0</v>
      </c>
      <c r="H34" s="14"/>
      <c r="I34" s="14"/>
      <c r="J34" s="14">
        <f t="shared" si="1"/>
        <v>0</v>
      </c>
      <c r="K34" s="14">
        <f t="shared" si="2"/>
        <v>0</v>
      </c>
      <c r="L34" s="14"/>
      <c r="M34" s="37">
        <f t="shared" si="3"/>
        <v>1445001.85</v>
      </c>
      <c r="N34" s="14"/>
    </row>
    <row r="35" spans="1:14">
      <c r="A35" s="39"/>
      <c r="B35" s="39"/>
      <c r="C35" s="39"/>
      <c r="D35" s="39"/>
      <c r="E35" s="40">
        <f>SUM(E4:E34)</f>
        <v>8200</v>
      </c>
      <c r="F35" s="40"/>
      <c r="G35" s="40">
        <f>SUM(G4:G34)</f>
        <v>849684</v>
      </c>
      <c r="H35" s="40">
        <f>SUM(H4:H34)</f>
        <v>145</v>
      </c>
      <c r="I35" s="40"/>
      <c r="J35" s="40">
        <f>SUM(J4:J34)</f>
        <v>16746.05</v>
      </c>
      <c r="K35" s="40">
        <f>SUM(K4:K34)</f>
        <v>866430.05</v>
      </c>
      <c r="L35" s="40">
        <f>SUM(L4:L34)</f>
        <v>0</v>
      </c>
      <c r="M35" s="40"/>
      <c r="N35" s="40"/>
    </row>
    <row r="39" spans="1:14">
      <c r="M39" s="19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02E-DF3D-473F-82CE-A339634F7C34}">
  <sheetPr>
    <tabColor rgb="FF00B050"/>
  </sheetPr>
  <dimension ref="A1:R46"/>
  <sheetViews>
    <sheetView workbookViewId="0">
      <pane ySplit="3" topLeftCell="A4" activePane="bottomLeft" state="frozen"/>
      <selection pane="bottomLeft" activeCell="F16" sqref="F16"/>
    </sheetView>
  </sheetViews>
  <sheetFormatPr defaultRowHeight="15"/>
  <cols>
    <col min="2" max="2" width="16.140625" customWidth="1"/>
    <col min="3" max="3" width="37" bestFit="1" customWidth="1"/>
    <col min="4" max="4" width="20.7109375" customWidth="1"/>
    <col min="6" max="6" width="12.140625" customWidth="1"/>
    <col min="7" max="7" width="15.7109375" customWidth="1"/>
    <col min="11" max="12" width="13.5703125" bestFit="1" customWidth="1"/>
    <col min="13" max="13" width="11.42578125" bestFit="1" customWidth="1"/>
  </cols>
  <sheetData>
    <row r="1" spans="1:15" ht="15.75">
      <c r="A1" s="594" t="s">
        <v>183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</row>
    <row r="2" spans="1:15" ht="30.75">
      <c r="A2" s="120" t="s">
        <v>0</v>
      </c>
      <c r="B2" s="121" t="s">
        <v>168</v>
      </c>
      <c r="C2" s="121"/>
      <c r="D2" s="121" t="s">
        <v>170</v>
      </c>
      <c r="E2" s="121" t="s">
        <v>171</v>
      </c>
      <c r="F2" s="121" t="s">
        <v>172</v>
      </c>
      <c r="G2" s="121" t="s">
        <v>173</v>
      </c>
      <c r="H2" s="121" t="s">
        <v>174</v>
      </c>
      <c r="I2" s="121" t="s">
        <v>172</v>
      </c>
      <c r="J2" s="122" t="s">
        <v>173</v>
      </c>
      <c r="K2" s="120" t="s">
        <v>175</v>
      </c>
      <c r="L2" s="123" t="s">
        <v>176</v>
      </c>
      <c r="M2" s="123" t="s">
        <v>180</v>
      </c>
      <c r="N2" s="121" t="s">
        <v>178</v>
      </c>
    </row>
    <row r="3" spans="1:15">
      <c r="A3" s="595" t="s">
        <v>179</v>
      </c>
      <c r="B3" s="595"/>
      <c r="C3" s="595"/>
      <c r="D3" s="595"/>
      <c r="E3" s="595"/>
      <c r="F3" s="595"/>
      <c r="G3" s="595"/>
      <c r="H3" s="595"/>
      <c r="I3" s="595"/>
      <c r="J3" s="595"/>
      <c r="K3" s="204">
        <v>0</v>
      </c>
      <c r="L3" s="220"/>
      <c r="M3" s="204">
        <v>0</v>
      </c>
      <c r="N3" s="91"/>
    </row>
    <row r="4" spans="1:15">
      <c r="A4" s="23">
        <v>1</v>
      </c>
      <c r="B4" s="24"/>
      <c r="C4" s="14"/>
      <c r="D4" s="14"/>
      <c r="E4" s="320"/>
      <c r="F4" s="14"/>
      <c r="G4" s="320">
        <f>E4*F4</f>
        <v>0</v>
      </c>
      <c r="H4" s="301"/>
      <c r="I4" s="14"/>
      <c r="J4" s="14"/>
      <c r="K4" s="320">
        <f>G4+J4</f>
        <v>0</v>
      </c>
      <c r="L4" s="320">
        <f>H4+K4</f>
        <v>0</v>
      </c>
      <c r="M4" s="37">
        <f>M3+K4-L4</f>
        <v>0</v>
      </c>
      <c r="N4" s="14"/>
    </row>
    <row r="5" spans="1:15">
      <c r="A5" s="23">
        <v>2</v>
      </c>
      <c r="B5" s="24"/>
      <c r="C5" s="14"/>
      <c r="D5" s="14"/>
      <c r="E5" s="430"/>
      <c r="F5" s="300"/>
      <c r="G5" s="320">
        <f>E5*F5</f>
        <v>0</v>
      </c>
      <c r="H5" s="301"/>
      <c r="I5" s="14"/>
      <c r="J5" s="14">
        <f>H5*I5</f>
        <v>0</v>
      </c>
      <c r="K5" s="320">
        <f>G5+J5</f>
        <v>0</v>
      </c>
      <c r="L5" s="320">
        <f>H5+K5</f>
        <v>0</v>
      </c>
      <c r="M5" s="37">
        <f>M4+K5-L5</f>
        <v>0</v>
      </c>
      <c r="N5" s="14"/>
    </row>
    <row r="6" spans="1:15">
      <c r="A6" s="23">
        <v>3</v>
      </c>
      <c r="B6" s="24"/>
      <c r="C6" s="14"/>
      <c r="D6" s="14"/>
      <c r="E6" s="14"/>
      <c r="F6" s="14"/>
      <c r="G6" s="14">
        <f>E6*F6</f>
        <v>0</v>
      </c>
      <c r="H6" s="301"/>
      <c r="I6" s="14"/>
      <c r="J6" s="14">
        <f>H6*I6</f>
        <v>0</v>
      </c>
      <c r="K6" s="320">
        <f>G6+J6</f>
        <v>0</v>
      </c>
      <c r="L6" s="320">
        <f t="shared" ref="L6:L22" si="0">H6+K6</f>
        <v>0</v>
      </c>
      <c r="M6" s="37">
        <f>M5+K6-L6</f>
        <v>0</v>
      </c>
      <c r="N6" s="14"/>
    </row>
    <row r="7" spans="1:15">
      <c r="A7" s="23">
        <v>4</v>
      </c>
      <c r="B7" s="24"/>
      <c r="C7" s="14"/>
      <c r="D7" s="14"/>
      <c r="E7" s="14"/>
      <c r="F7" s="14"/>
      <c r="G7" s="14">
        <f>E7*F7</f>
        <v>0</v>
      </c>
      <c r="H7" s="301"/>
      <c r="I7" s="14"/>
      <c r="J7" s="14">
        <f>H7*I7</f>
        <v>0</v>
      </c>
      <c r="K7" s="14">
        <f>G7+J7</f>
        <v>0</v>
      </c>
      <c r="L7" s="14">
        <f t="shared" si="0"/>
        <v>0</v>
      </c>
      <c r="M7" s="37">
        <f>M6+K7-L7</f>
        <v>0</v>
      </c>
      <c r="N7" s="14"/>
    </row>
    <row r="8" spans="1:15">
      <c r="A8" s="23">
        <v>5</v>
      </c>
      <c r="B8" s="24"/>
      <c r="C8" s="14"/>
      <c r="D8" s="14"/>
      <c r="E8" s="14"/>
      <c r="F8" s="14"/>
      <c r="G8" s="37">
        <f>E8*F8</f>
        <v>0</v>
      </c>
      <c r="H8" s="301"/>
      <c r="I8" s="14"/>
      <c r="J8" s="14">
        <f>H8*I8</f>
        <v>0</v>
      </c>
      <c r="K8" s="37">
        <f>G8+J8</f>
        <v>0</v>
      </c>
      <c r="L8" s="14">
        <f t="shared" si="0"/>
        <v>0</v>
      </c>
      <c r="M8" s="37">
        <f>M7+K8-L8</f>
        <v>0</v>
      </c>
      <c r="N8" s="14"/>
    </row>
    <row r="9" spans="1:15">
      <c r="A9" s="23">
        <v>6</v>
      </c>
      <c r="B9" s="24"/>
      <c r="C9" s="14"/>
      <c r="D9" s="14"/>
      <c r="E9" s="14"/>
      <c r="F9" s="14"/>
      <c r="G9" s="37">
        <f>E9*F9</f>
        <v>0</v>
      </c>
      <c r="H9" s="301"/>
      <c r="I9" s="14"/>
      <c r="J9" s="14">
        <f>H9*I9</f>
        <v>0</v>
      </c>
      <c r="K9" s="37">
        <f>G9+J9</f>
        <v>0</v>
      </c>
      <c r="L9" s="14">
        <f t="shared" si="0"/>
        <v>0</v>
      </c>
      <c r="M9" s="37">
        <f>M8+K9-L9</f>
        <v>0</v>
      </c>
      <c r="N9" s="14"/>
    </row>
    <row r="10" spans="1:15">
      <c r="A10" s="23">
        <v>7</v>
      </c>
      <c r="B10" s="24"/>
      <c r="C10" s="14"/>
      <c r="D10" s="14"/>
      <c r="E10" s="14"/>
      <c r="F10" s="14"/>
      <c r="G10" s="37">
        <f>E10*F10</f>
        <v>0</v>
      </c>
      <c r="H10" s="301"/>
      <c r="I10" s="14"/>
      <c r="J10" s="14">
        <f>H10*I10</f>
        <v>0</v>
      </c>
      <c r="K10" s="37">
        <f>G10+J10</f>
        <v>0</v>
      </c>
      <c r="L10" s="14">
        <f t="shared" si="0"/>
        <v>0</v>
      </c>
      <c r="M10" s="37">
        <f>M9+K10-L10</f>
        <v>0</v>
      </c>
      <c r="N10" s="14"/>
    </row>
    <row r="11" spans="1:15">
      <c r="A11" s="23">
        <v>8</v>
      </c>
      <c r="B11" s="24"/>
      <c r="C11" s="14"/>
      <c r="D11" s="14"/>
      <c r="E11" s="14"/>
      <c r="F11" s="14"/>
      <c r="G11" s="37">
        <f>E11*F11</f>
        <v>0</v>
      </c>
      <c r="H11" s="301"/>
      <c r="I11" s="14"/>
      <c r="J11" s="14">
        <f>H11*I11</f>
        <v>0</v>
      </c>
      <c r="K11" s="37">
        <f>G11+J11</f>
        <v>0</v>
      </c>
      <c r="L11" s="14">
        <f t="shared" si="0"/>
        <v>0</v>
      </c>
      <c r="M11" s="37">
        <f>M10+K11-L11</f>
        <v>0</v>
      </c>
      <c r="N11" s="14"/>
    </row>
    <row r="12" spans="1:15">
      <c r="A12" s="23">
        <v>9</v>
      </c>
      <c r="B12" s="24"/>
      <c r="C12" s="14"/>
      <c r="D12" s="14"/>
      <c r="E12" s="14"/>
      <c r="F12" s="14"/>
      <c r="G12" s="37">
        <f>E12*F12</f>
        <v>0</v>
      </c>
      <c r="H12" s="301"/>
      <c r="I12" s="14"/>
      <c r="J12" s="14">
        <f>H12*I12</f>
        <v>0</v>
      </c>
      <c r="K12" s="37">
        <f>G12+J12</f>
        <v>0</v>
      </c>
      <c r="L12" s="14">
        <f t="shared" si="0"/>
        <v>0</v>
      </c>
      <c r="M12" s="37">
        <f>M11+K12-L12</f>
        <v>0</v>
      </c>
      <c r="N12" s="14"/>
    </row>
    <row r="13" spans="1:15">
      <c r="A13" s="23">
        <v>10</v>
      </c>
      <c r="B13" s="24"/>
      <c r="C13" s="14"/>
      <c r="D13" s="14"/>
      <c r="E13" s="14"/>
      <c r="F13" s="14"/>
      <c r="G13" s="37">
        <f>E13*F13</f>
        <v>0</v>
      </c>
      <c r="H13" s="301"/>
      <c r="I13" s="14"/>
      <c r="J13" s="14">
        <f>H13*I13</f>
        <v>0</v>
      </c>
      <c r="K13" s="37">
        <f>G13+J13</f>
        <v>0</v>
      </c>
      <c r="L13" s="14">
        <f t="shared" si="0"/>
        <v>0</v>
      </c>
      <c r="M13" s="37">
        <f>M12+K13-L13</f>
        <v>0</v>
      </c>
      <c r="N13" s="14"/>
    </row>
    <row r="14" spans="1:15">
      <c r="A14" s="23">
        <v>11</v>
      </c>
      <c r="B14" s="24"/>
      <c r="C14" s="14"/>
      <c r="D14" s="14"/>
      <c r="E14" s="14"/>
      <c r="F14" s="14"/>
      <c r="G14" s="37">
        <f>E14*F14</f>
        <v>0</v>
      </c>
      <c r="H14" s="301"/>
      <c r="I14" s="14"/>
      <c r="J14" s="14">
        <f>H14*I14</f>
        <v>0</v>
      </c>
      <c r="K14" s="37">
        <f>G14+J14</f>
        <v>0</v>
      </c>
      <c r="L14" s="14">
        <f t="shared" si="0"/>
        <v>0</v>
      </c>
      <c r="M14" s="37">
        <f>M13+K14-L14</f>
        <v>0</v>
      </c>
      <c r="N14" s="14"/>
    </row>
    <row r="15" spans="1:15">
      <c r="A15" s="23">
        <v>12</v>
      </c>
      <c r="B15" s="24"/>
      <c r="C15" s="14"/>
      <c r="D15" s="14"/>
      <c r="E15" s="14"/>
      <c r="F15" s="14"/>
      <c r="G15" s="37">
        <f>E15*F15</f>
        <v>0</v>
      </c>
      <c r="H15" s="301"/>
      <c r="I15" s="14"/>
      <c r="J15" s="14">
        <f>H15*I15</f>
        <v>0</v>
      </c>
      <c r="K15" s="37">
        <f>G15+J15</f>
        <v>0</v>
      </c>
      <c r="L15" s="14">
        <f t="shared" si="0"/>
        <v>0</v>
      </c>
      <c r="M15" s="37">
        <f>M14+K15-L15</f>
        <v>0</v>
      </c>
      <c r="N15" s="14"/>
      <c r="O15" s="19"/>
    </row>
    <row r="16" spans="1:15">
      <c r="A16" s="23">
        <v>13</v>
      </c>
      <c r="B16" s="24"/>
      <c r="C16" s="14"/>
      <c r="D16" s="14"/>
      <c r="E16" s="14"/>
      <c r="F16" s="14"/>
      <c r="G16" s="37">
        <f>E16*F16</f>
        <v>0</v>
      </c>
      <c r="H16" s="301"/>
      <c r="I16" s="14"/>
      <c r="J16" s="14">
        <f>H16*I16</f>
        <v>0</v>
      </c>
      <c r="K16" s="37">
        <f>G16+J16</f>
        <v>0</v>
      </c>
      <c r="L16" s="14">
        <f t="shared" si="0"/>
        <v>0</v>
      </c>
      <c r="M16" s="37">
        <f>M15+K16-L16</f>
        <v>0</v>
      </c>
      <c r="N16" s="14"/>
    </row>
    <row r="17" spans="1:18">
      <c r="A17" s="23">
        <v>14</v>
      </c>
      <c r="B17" s="24"/>
      <c r="C17" s="14"/>
      <c r="D17" s="14"/>
      <c r="E17" s="14"/>
      <c r="F17" s="14"/>
      <c r="G17" s="37">
        <f>E17*F17</f>
        <v>0</v>
      </c>
      <c r="H17" s="301"/>
      <c r="I17" s="14"/>
      <c r="J17" s="14">
        <f>H17*I17</f>
        <v>0</v>
      </c>
      <c r="K17" s="14">
        <f>G17+J17</f>
        <v>0</v>
      </c>
      <c r="L17" s="14">
        <f t="shared" si="0"/>
        <v>0</v>
      </c>
      <c r="M17" s="37">
        <f>M16+K17-L17</f>
        <v>0</v>
      </c>
      <c r="N17" s="14"/>
      <c r="R17" s="360"/>
    </row>
    <row r="18" spans="1:18">
      <c r="A18" s="23">
        <v>15</v>
      </c>
      <c r="B18" s="24"/>
      <c r="C18" s="14"/>
      <c r="D18" s="14"/>
      <c r="E18" s="14"/>
      <c r="F18" s="14"/>
      <c r="G18" s="37">
        <f>E18*F18</f>
        <v>0</v>
      </c>
      <c r="H18" s="301"/>
      <c r="I18" s="14"/>
      <c r="J18" s="14">
        <f>H18*I18</f>
        <v>0</v>
      </c>
      <c r="K18" s="14">
        <f>G18+J18</f>
        <v>0</v>
      </c>
      <c r="L18" s="14">
        <f t="shared" si="0"/>
        <v>0</v>
      </c>
      <c r="M18" s="37">
        <f>M17+K18-L18</f>
        <v>0</v>
      </c>
      <c r="N18" s="14"/>
      <c r="R18" s="360"/>
    </row>
    <row r="19" spans="1:18">
      <c r="A19" s="23">
        <v>16</v>
      </c>
      <c r="B19" s="24"/>
      <c r="C19" s="14"/>
      <c r="D19" s="14"/>
      <c r="E19" s="14"/>
      <c r="F19" s="14"/>
      <c r="G19" s="37">
        <f>E19*F19</f>
        <v>0</v>
      </c>
      <c r="H19" s="301"/>
      <c r="I19" s="14"/>
      <c r="J19" s="14">
        <f>H19*I19</f>
        <v>0</v>
      </c>
      <c r="K19" s="14">
        <f>G19+J19</f>
        <v>0</v>
      </c>
      <c r="L19" s="14">
        <f t="shared" si="0"/>
        <v>0</v>
      </c>
      <c r="M19" s="37">
        <f>M18+K19-L19</f>
        <v>0</v>
      </c>
      <c r="N19" s="14"/>
      <c r="R19" s="360"/>
    </row>
    <row r="20" spans="1:18">
      <c r="A20" s="23">
        <v>17</v>
      </c>
      <c r="B20" s="24"/>
      <c r="C20" s="14"/>
      <c r="D20" s="14"/>
      <c r="E20" s="14"/>
      <c r="F20" s="14"/>
      <c r="G20" s="37">
        <f>E20*F20</f>
        <v>0</v>
      </c>
      <c r="H20" s="301"/>
      <c r="I20" s="14"/>
      <c r="J20" s="14">
        <f>H20*I20</f>
        <v>0</v>
      </c>
      <c r="K20" s="14">
        <f>G20+J20</f>
        <v>0</v>
      </c>
      <c r="L20" s="14">
        <f t="shared" si="0"/>
        <v>0</v>
      </c>
      <c r="M20" s="37">
        <f>M19+K20-L20</f>
        <v>0</v>
      </c>
      <c r="N20" s="14"/>
      <c r="R20" s="360"/>
    </row>
    <row r="21" spans="1:18">
      <c r="A21" s="23">
        <v>18</v>
      </c>
      <c r="B21" s="24"/>
      <c r="C21" s="14"/>
      <c r="D21" s="14"/>
      <c r="E21" s="14"/>
      <c r="F21" s="14"/>
      <c r="G21" s="37">
        <f>E21*F21</f>
        <v>0</v>
      </c>
      <c r="H21" s="301"/>
      <c r="I21" s="14"/>
      <c r="J21" s="14">
        <f>H21*I21</f>
        <v>0</v>
      </c>
      <c r="K21" s="14">
        <f>G21+J21</f>
        <v>0</v>
      </c>
      <c r="L21" s="14">
        <f t="shared" si="0"/>
        <v>0</v>
      </c>
      <c r="M21" s="37">
        <f>M20+K21-L21</f>
        <v>0</v>
      </c>
      <c r="N21" s="14"/>
    </row>
    <row r="22" spans="1:18">
      <c r="A22" s="23">
        <v>19</v>
      </c>
      <c r="B22" s="24"/>
      <c r="C22" s="14"/>
      <c r="D22" s="14"/>
      <c r="E22" s="14"/>
      <c r="F22" s="14"/>
      <c r="G22" s="320">
        <f>E22*F22</f>
        <v>0</v>
      </c>
      <c r="H22" s="301"/>
      <c r="I22" s="14"/>
      <c r="J22" s="14">
        <f>H22*I22</f>
        <v>0</v>
      </c>
      <c r="K22" s="14">
        <f>G22+J22</f>
        <v>0</v>
      </c>
      <c r="L22" s="14">
        <f t="shared" si="0"/>
        <v>0</v>
      </c>
      <c r="M22" s="37">
        <f>M21+K22-L22</f>
        <v>0</v>
      </c>
      <c r="N22" s="14"/>
    </row>
    <row r="23" spans="1:18">
      <c r="A23" s="23">
        <v>20</v>
      </c>
      <c r="B23" s="24"/>
      <c r="C23" s="14"/>
      <c r="D23" s="14"/>
      <c r="E23" s="14"/>
      <c r="F23" s="14"/>
      <c r="G23" s="320">
        <f>E23*F23</f>
        <v>0</v>
      </c>
      <c r="H23" s="301"/>
      <c r="I23" s="14"/>
      <c r="J23" s="14">
        <f>H23*I23</f>
        <v>0</v>
      </c>
      <c r="K23" s="14">
        <f>G23+J23</f>
        <v>0</v>
      </c>
      <c r="L23" s="14">
        <v>0</v>
      </c>
      <c r="M23" s="37">
        <f>M22+K23-L23</f>
        <v>0</v>
      </c>
      <c r="N23" s="14"/>
    </row>
    <row r="24" spans="1:18">
      <c r="A24" s="23">
        <v>21</v>
      </c>
      <c r="B24" s="24"/>
      <c r="C24" s="14"/>
      <c r="D24" s="14"/>
      <c r="E24" s="14"/>
      <c r="F24" s="14"/>
      <c r="G24" s="320">
        <f>E24*F24</f>
        <v>0</v>
      </c>
      <c r="H24" s="301"/>
      <c r="I24" s="14"/>
      <c r="J24" s="14">
        <f>H24*I24</f>
        <v>0</v>
      </c>
      <c r="K24" s="14">
        <f>G24+J24</f>
        <v>0</v>
      </c>
      <c r="L24" s="320">
        <f>H24+K24</f>
        <v>0</v>
      </c>
      <c r="M24" s="37">
        <f>M23+K24-L24</f>
        <v>0</v>
      </c>
      <c r="N24" s="14"/>
    </row>
    <row r="25" spans="1:18">
      <c r="A25" s="23">
        <v>22</v>
      </c>
      <c r="B25" s="24"/>
      <c r="C25" s="14"/>
      <c r="D25" s="14"/>
      <c r="E25" s="177"/>
      <c r="F25" s="177"/>
      <c r="G25" s="320">
        <f>E25*F25</f>
        <v>0</v>
      </c>
      <c r="H25" s="301"/>
      <c r="I25" s="14"/>
      <c r="J25" s="14">
        <f>H25*I25</f>
        <v>0</v>
      </c>
      <c r="K25" s="14">
        <f>G25+J25</f>
        <v>0</v>
      </c>
      <c r="L25" s="14">
        <f>H25+K25</f>
        <v>0</v>
      </c>
      <c r="M25" s="37">
        <f>M24+K25-L25</f>
        <v>0</v>
      </c>
      <c r="N25" s="14"/>
    </row>
    <row r="26" spans="1:18">
      <c r="A26" s="23">
        <v>23</v>
      </c>
      <c r="B26" s="24"/>
      <c r="C26" s="370"/>
      <c r="D26" s="14"/>
      <c r="E26" s="371"/>
      <c r="F26" s="372"/>
      <c r="G26" s="320">
        <f>E26*F26</f>
        <v>0</v>
      </c>
      <c r="H26" s="301"/>
      <c r="I26" s="14"/>
      <c r="J26" s="14">
        <f>H26*I26</f>
        <v>0</v>
      </c>
      <c r="K26" s="14">
        <f>G26+J26</f>
        <v>0</v>
      </c>
      <c r="L26" s="14">
        <f>H26+K26</f>
        <v>0</v>
      </c>
      <c r="M26" s="37">
        <f>M25+K26-L26</f>
        <v>0</v>
      </c>
      <c r="N26" s="14"/>
    </row>
    <row r="27" spans="1:18">
      <c r="A27" s="23">
        <v>24</v>
      </c>
      <c r="B27" s="24"/>
      <c r="C27" s="370"/>
      <c r="D27" s="14"/>
      <c r="E27" s="371"/>
      <c r="F27" s="372"/>
      <c r="G27" s="320">
        <f>E27*F27</f>
        <v>0</v>
      </c>
      <c r="H27" s="301"/>
      <c r="I27" s="14"/>
      <c r="J27" s="14"/>
      <c r="K27" s="14">
        <f>G27+J27</f>
        <v>0</v>
      </c>
      <c r="L27" s="14">
        <f>H27+K27</f>
        <v>0</v>
      </c>
      <c r="M27" s="37">
        <f>M26+K27-L27</f>
        <v>0</v>
      </c>
      <c r="N27" s="14"/>
    </row>
    <row r="28" spans="1:18">
      <c r="A28" s="23">
        <v>25</v>
      </c>
      <c r="B28" s="24"/>
      <c r="C28" s="370"/>
      <c r="D28" s="14"/>
      <c r="E28" s="371"/>
      <c r="F28" s="372"/>
      <c r="G28" s="320">
        <f>E28*F28</f>
        <v>0</v>
      </c>
      <c r="H28" s="301"/>
      <c r="I28" s="14"/>
      <c r="J28" s="14">
        <f>H28*I28</f>
        <v>0</v>
      </c>
      <c r="K28" s="14">
        <f>G28+J28</f>
        <v>0</v>
      </c>
      <c r="L28" s="14">
        <f>H28+K28</f>
        <v>0</v>
      </c>
      <c r="M28" s="37">
        <f>M26+K28-L28</f>
        <v>0</v>
      </c>
      <c r="N28" s="14"/>
    </row>
    <row r="29" spans="1:18">
      <c r="A29" s="23">
        <v>26</v>
      </c>
      <c r="B29" s="24"/>
      <c r="C29" s="370"/>
      <c r="D29" s="14"/>
      <c r="E29" s="371"/>
      <c r="F29" s="372"/>
      <c r="G29" s="320">
        <f>E29*F29</f>
        <v>0</v>
      </c>
      <c r="H29" s="301"/>
      <c r="I29" s="14"/>
      <c r="J29" s="14">
        <f>H29*I29</f>
        <v>0</v>
      </c>
      <c r="K29" s="14">
        <f>G29+J29</f>
        <v>0</v>
      </c>
      <c r="L29" s="14">
        <f>H29+K29</f>
        <v>0</v>
      </c>
      <c r="M29" s="37">
        <f>M28+K29-L29</f>
        <v>0</v>
      </c>
      <c r="N29" s="14"/>
    </row>
    <row r="30" spans="1:18">
      <c r="A30" s="23">
        <v>27</v>
      </c>
      <c r="B30" s="24"/>
      <c r="C30" s="370"/>
      <c r="D30" s="14"/>
      <c r="E30" s="371"/>
      <c r="F30" s="372"/>
      <c r="G30" s="320">
        <f>E30*F30</f>
        <v>0</v>
      </c>
      <c r="H30" s="301"/>
      <c r="I30" s="14"/>
      <c r="J30" s="14">
        <f>H30*I30</f>
        <v>0</v>
      </c>
      <c r="K30" s="14">
        <f>G30+J30</f>
        <v>0</v>
      </c>
      <c r="L30" s="14">
        <f t="shared" ref="L30:L37" si="1">H30+K30</f>
        <v>0</v>
      </c>
      <c r="M30" s="37">
        <f>M29+K30-L30</f>
        <v>0</v>
      </c>
      <c r="N30" s="14"/>
    </row>
    <row r="31" spans="1:18">
      <c r="A31" s="23">
        <v>28</v>
      </c>
      <c r="B31" s="24"/>
      <c r="C31" s="370"/>
      <c r="D31" s="14"/>
      <c r="E31" s="177"/>
      <c r="F31" s="177"/>
      <c r="G31" s="320">
        <f>E31*F31</f>
        <v>0</v>
      </c>
      <c r="H31" s="301"/>
      <c r="I31" s="14"/>
      <c r="J31" s="14">
        <f>H31*I31</f>
        <v>0</v>
      </c>
      <c r="K31" s="14">
        <f>G31+J31</f>
        <v>0</v>
      </c>
      <c r="L31" s="14">
        <f t="shared" si="1"/>
        <v>0</v>
      </c>
      <c r="M31" s="37">
        <f>M30+K31-L31</f>
        <v>0</v>
      </c>
      <c r="N31" s="14"/>
    </row>
    <row r="32" spans="1:18">
      <c r="A32" s="23">
        <v>29</v>
      </c>
      <c r="B32" s="24"/>
      <c r="C32" s="370"/>
      <c r="D32" s="14"/>
      <c r="E32" s="177"/>
      <c r="F32" s="177"/>
      <c r="G32" s="320">
        <f>E32*F32</f>
        <v>0</v>
      </c>
      <c r="H32" s="301"/>
      <c r="I32" s="14"/>
      <c r="J32" s="14">
        <f>H32*I32</f>
        <v>0</v>
      </c>
      <c r="K32" s="14">
        <f>G32+J32</f>
        <v>0</v>
      </c>
      <c r="L32" s="14">
        <f t="shared" si="1"/>
        <v>0</v>
      </c>
      <c r="M32" s="37">
        <f>M31+K32-L32</f>
        <v>0</v>
      </c>
      <c r="N32" s="14"/>
    </row>
    <row r="33" spans="1:14">
      <c r="A33" s="23">
        <v>30</v>
      </c>
      <c r="B33" s="24"/>
      <c r="C33" s="14"/>
      <c r="D33" s="14"/>
      <c r="E33" s="177"/>
      <c r="F33" s="177"/>
      <c r="G33" s="320">
        <f>E33*F33</f>
        <v>0</v>
      </c>
      <c r="H33" s="301"/>
      <c r="I33" s="14"/>
      <c r="J33" s="14">
        <f>H33*I33</f>
        <v>0</v>
      </c>
      <c r="K33" s="14">
        <f>G33+J33</f>
        <v>0</v>
      </c>
      <c r="L33" s="14">
        <f t="shared" si="1"/>
        <v>0</v>
      </c>
      <c r="M33" s="37">
        <f>M32+K33-L33</f>
        <v>0</v>
      </c>
      <c r="N33" s="14"/>
    </row>
    <row r="34" spans="1:14">
      <c r="A34" s="23">
        <v>31</v>
      </c>
      <c r="B34" s="24"/>
      <c r="C34" s="14"/>
      <c r="D34" s="14"/>
      <c r="E34" s="177"/>
      <c r="F34" s="177"/>
      <c r="G34" s="320">
        <f>E34*F34</f>
        <v>0</v>
      </c>
      <c r="H34" s="301"/>
      <c r="I34" s="14"/>
      <c r="J34" s="14">
        <f>H34*I34</f>
        <v>0</v>
      </c>
      <c r="K34" s="14">
        <f>G34+J34</f>
        <v>0</v>
      </c>
      <c r="L34" s="14">
        <f t="shared" si="1"/>
        <v>0</v>
      </c>
      <c r="M34" s="37">
        <f>M33+K34-L34</f>
        <v>0</v>
      </c>
      <c r="N34" s="14"/>
    </row>
    <row r="35" spans="1:14">
      <c r="A35" s="23">
        <v>32</v>
      </c>
      <c r="B35" s="24"/>
      <c r="C35" s="14"/>
      <c r="D35" s="14"/>
      <c r="E35" s="177"/>
      <c r="F35" s="177"/>
      <c r="G35" s="320">
        <f>E35*F35</f>
        <v>0</v>
      </c>
      <c r="H35" s="301"/>
      <c r="I35" s="14"/>
      <c r="J35" s="14"/>
      <c r="K35" s="14">
        <f>G35+J35</f>
        <v>0</v>
      </c>
      <c r="L35" s="14">
        <f t="shared" si="1"/>
        <v>0</v>
      </c>
      <c r="M35" s="37">
        <f>M34+K35-L35</f>
        <v>0</v>
      </c>
      <c r="N35" s="14"/>
    </row>
    <row r="36" spans="1:14">
      <c r="A36" s="23">
        <v>33</v>
      </c>
      <c r="B36" s="24"/>
      <c r="C36" s="14"/>
      <c r="D36" s="14"/>
      <c r="E36" s="177"/>
      <c r="F36" s="177"/>
      <c r="G36" s="320">
        <f>E36*F36</f>
        <v>0</v>
      </c>
      <c r="H36" s="301"/>
      <c r="I36" s="14"/>
      <c r="J36" s="14">
        <f>H36*I36</f>
        <v>0</v>
      </c>
      <c r="K36" s="14">
        <f>G36+J36</f>
        <v>0</v>
      </c>
      <c r="L36" s="14">
        <f t="shared" si="1"/>
        <v>0</v>
      </c>
      <c r="M36" s="37">
        <f>M35+K36-L36</f>
        <v>0</v>
      </c>
      <c r="N36" s="14"/>
    </row>
    <row r="37" spans="1:14">
      <c r="A37" s="23">
        <v>34</v>
      </c>
      <c r="B37" s="24"/>
      <c r="C37" s="14"/>
      <c r="D37" s="14"/>
      <c r="E37" s="14"/>
      <c r="F37" s="14"/>
      <c r="G37" s="320">
        <f>E37*F37</f>
        <v>0</v>
      </c>
      <c r="H37" s="301"/>
      <c r="I37" s="14"/>
      <c r="J37" s="14">
        <f>H37*I37</f>
        <v>0</v>
      </c>
      <c r="K37" s="14">
        <f>G37+J37</f>
        <v>0</v>
      </c>
      <c r="L37" s="14">
        <f t="shared" si="1"/>
        <v>0</v>
      </c>
      <c r="M37" s="37">
        <f t="shared" ref="M37:M41" si="2">M36+K37-L37</f>
        <v>0</v>
      </c>
      <c r="N37" s="14"/>
    </row>
    <row r="38" spans="1:14">
      <c r="A38" s="23"/>
      <c r="B38" s="24"/>
      <c r="C38" s="14"/>
      <c r="D38" s="14"/>
      <c r="E38" s="14"/>
      <c r="F38" s="14"/>
      <c r="G38" s="320">
        <f t="shared" ref="G38:G40" si="3">E38*F38</f>
        <v>0</v>
      </c>
      <c r="H38" s="301"/>
      <c r="I38" s="14"/>
      <c r="J38" s="14"/>
      <c r="K38" s="14">
        <f t="shared" ref="K38:K40" si="4">G38+J38</f>
        <v>0</v>
      </c>
      <c r="L38" s="14">
        <f t="shared" ref="L37:L40" si="5">H38+K38</f>
        <v>0</v>
      </c>
      <c r="M38" s="37">
        <f t="shared" si="2"/>
        <v>0</v>
      </c>
      <c r="N38" s="14"/>
    </row>
    <row r="39" spans="1:14">
      <c r="A39" s="23"/>
      <c r="B39" s="24"/>
      <c r="C39" s="14"/>
      <c r="D39" s="14"/>
      <c r="E39" s="14"/>
      <c r="F39" s="14"/>
      <c r="G39" s="320">
        <f t="shared" si="3"/>
        <v>0</v>
      </c>
      <c r="H39" s="301"/>
      <c r="I39" s="14"/>
      <c r="J39" s="14"/>
      <c r="K39" s="14">
        <f t="shared" si="4"/>
        <v>0</v>
      </c>
      <c r="L39" s="14">
        <f t="shared" si="5"/>
        <v>0</v>
      </c>
      <c r="M39" s="37">
        <f t="shared" si="2"/>
        <v>0</v>
      </c>
      <c r="N39" s="14"/>
    </row>
    <row r="40" spans="1:14">
      <c r="A40" s="23"/>
      <c r="B40" s="24"/>
      <c r="C40" s="14"/>
      <c r="D40" s="14"/>
      <c r="E40" s="14"/>
      <c r="F40" s="14"/>
      <c r="G40" s="320">
        <f t="shared" si="3"/>
        <v>0</v>
      </c>
      <c r="H40" s="301"/>
      <c r="I40" s="14"/>
      <c r="J40" s="14"/>
      <c r="K40" s="14">
        <f t="shared" si="4"/>
        <v>0</v>
      </c>
      <c r="L40" s="14">
        <f t="shared" si="5"/>
        <v>0</v>
      </c>
      <c r="M40" s="37">
        <f t="shared" si="2"/>
        <v>0</v>
      </c>
      <c r="N40" s="14"/>
    </row>
    <row r="41" spans="1:14">
      <c r="A41" s="23"/>
      <c r="B41" s="24"/>
      <c r="C41" s="14"/>
      <c r="D41" s="14"/>
      <c r="E41" s="14"/>
      <c r="F41" s="14"/>
      <c r="G41" s="320"/>
      <c r="H41" s="301"/>
      <c r="I41" s="14"/>
      <c r="J41" s="14"/>
      <c r="K41" s="14"/>
      <c r="L41" s="14"/>
      <c r="M41" s="37">
        <f t="shared" si="2"/>
        <v>0</v>
      </c>
      <c r="N41" s="14"/>
    </row>
    <row r="42" spans="1:14">
      <c r="A42" s="23"/>
      <c r="B42" s="24"/>
      <c r="C42" s="14"/>
      <c r="D42" s="14"/>
      <c r="E42" s="14"/>
      <c r="F42" s="14"/>
      <c r="G42" s="320"/>
      <c r="H42" s="301"/>
      <c r="I42" s="14"/>
      <c r="J42" s="14"/>
      <c r="K42" s="14"/>
      <c r="L42" s="14"/>
      <c r="M42" s="14"/>
      <c r="N42" s="14"/>
    </row>
    <row r="43" spans="1:14">
      <c r="A43" s="23"/>
      <c r="B43" s="24"/>
      <c r="C43" s="14"/>
      <c r="D43" s="14"/>
      <c r="E43" s="14"/>
      <c r="F43" s="14"/>
      <c r="G43" s="320"/>
      <c r="H43" s="301"/>
      <c r="I43" s="14"/>
      <c r="J43" s="14"/>
      <c r="K43" s="14"/>
      <c r="L43" s="14"/>
      <c r="M43" s="14"/>
      <c r="N43" s="14"/>
    </row>
    <row r="44" spans="1:14">
      <c r="A44" s="23"/>
      <c r="B44" s="24"/>
      <c r="C44" s="14"/>
      <c r="D44" s="14"/>
      <c r="E44" s="14"/>
      <c r="F44" s="14"/>
      <c r="G44" s="320"/>
      <c r="H44" s="301"/>
      <c r="I44" s="14"/>
      <c r="J44" s="14"/>
      <c r="K44" s="14"/>
      <c r="L44" s="14"/>
      <c r="M44" s="14"/>
      <c r="N44" s="14"/>
    </row>
    <row r="45" spans="1:14">
      <c r="A45" s="23">
        <v>35</v>
      </c>
      <c r="B45" s="24"/>
      <c r="C45" s="14"/>
      <c r="D45" s="14"/>
      <c r="E45" s="14"/>
      <c r="F45" s="14"/>
      <c r="G45" s="320">
        <f>E45*F45</f>
        <v>0</v>
      </c>
      <c r="H45" s="301"/>
      <c r="I45" s="14"/>
      <c r="J45" s="14">
        <f>H45*I45</f>
        <v>0</v>
      </c>
      <c r="K45" s="14">
        <f>G45+J45</f>
        <v>0</v>
      </c>
      <c r="L45" s="14"/>
      <c r="M45" s="14"/>
      <c r="N45" s="14"/>
    </row>
    <row r="46" spans="1:14">
      <c r="A46" s="39"/>
      <c r="B46" s="39"/>
      <c r="C46" s="39"/>
      <c r="D46" s="39"/>
      <c r="E46" s="221">
        <f>SUM(E3:E45)</f>
        <v>0</v>
      </c>
      <c r="F46" s="221"/>
      <c r="G46" s="221">
        <f>SUM(G3:G45)</f>
        <v>0</v>
      </c>
      <c r="H46" s="221">
        <f>SUM(H3:H45)</f>
        <v>0</v>
      </c>
      <c r="I46" s="221"/>
      <c r="J46" s="221">
        <f>SUM(J3:J45)</f>
        <v>0</v>
      </c>
      <c r="K46" s="221">
        <f>SUM(K4:K45)</f>
        <v>0</v>
      </c>
      <c r="L46" s="221">
        <f>SUM(L3:L45)</f>
        <v>0</v>
      </c>
      <c r="M46" s="221"/>
      <c r="N46" s="221"/>
    </row>
  </sheetData>
  <mergeCells count="2">
    <mergeCell ref="A1:N1"/>
    <mergeCell ref="A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workbookViewId="0">
      <pane ySplit="3" topLeftCell="A20" activePane="bottomLeft" state="frozen"/>
      <selection pane="bottomLeft" activeCell="M34" sqref="M34"/>
    </sheetView>
  </sheetViews>
  <sheetFormatPr defaultRowHeight="15"/>
  <cols>
    <col min="2" max="2" width="10.140625" bestFit="1" customWidth="1"/>
    <col min="7" max="7" width="11.85546875" bestFit="1" customWidth="1"/>
    <col min="10" max="11" width="10.85546875" bestFit="1" customWidth="1"/>
    <col min="12" max="12" width="19.5703125" customWidth="1"/>
    <col min="13" max="13" width="10.7109375" customWidth="1"/>
    <col min="14" max="14" width="22" bestFit="1" customWidth="1"/>
  </cols>
  <sheetData>
    <row r="1" spans="1:14" ht="15.75">
      <c r="A1" s="598" t="s">
        <v>76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</row>
    <row r="2" spans="1:14" ht="27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39" t="s">
        <v>175</v>
      </c>
      <c r="L2" s="139" t="s">
        <v>176</v>
      </c>
      <c r="M2" s="139" t="s">
        <v>177</v>
      </c>
      <c r="N2" s="102" t="s">
        <v>178</v>
      </c>
    </row>
    <row r="3" spans="1:14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 s="127"/>
      <c r="L3" s="224"/>
      <c r="M3" s="303">
        <v>2600.2799999999988</v>
      </c>
      <c r="N3" s="225"/>
    </row>
    <row r="4" spans="1:14">
      <c r="A4" s="23">
        <v>1</v>
      </c>
      <c r="B4" s="24">
        <v>46266</v>
      </c>
      <c r="C4" s="103"/>
      <c r="D4" s="32"/>
      <c r="E4" s="33"/>
      <c r="F4" s="33"/>
      <c r="G4" s="33">
        <f>E4*F4</f>
        <v>0</v>
      </c>
      <c r="H4" s="309"/>
      <c r="I4" s="309"/>
      <c r="J4" s="33">
        <f>H4*I4</f>
        <v>0</v>
      </c>
      <c r="K4" s="33">
        <f t="shared" ref="K4:K31" si="0">G4+J4</f>
        <v>0</v>
      </c>
      <c r="L4" s="189">
        <v>0</v>
      </c>
      <c r="M4" s="33">
        <f>M3+K4-L4</f>
        <v>2600.2799999999988</v>
      </c>
      <c r="N4" s="226"/>
    </row>
    <row r="5" spans="1:14">
      <c r="A5" s="23">
        <v>2</v>
      </c>
      <c r="B5" s="24">
        <v>46267</v>
      </c>
      <c r="C5" s="103"/>
      <c r="D5" s="32"/>
      <c r="E5" s="33">
        <v>200</v>
      </c>
      <c r="F5" s="33">
        <v>104.42</v>
      </c>
      <c r="G5" s="33">
        <f>E5*F5</f>
        <v>20884</v>
      </c>
      <c r="H5" s="33"/>
      <c r="I5" s="33"/>
      <c r="J5" s="33">
        <f t="shared" ref="J5:J32" si="1">H5*I5</f>
        <v>0</v>
      </c>
      <c r="K5" s="33">
        <f t="shared" si="0"/>
        <v>20884</v>
      </c>
      <c r="L5" s="189">
        <v>0</v>
      </c>
      <c r="M5" s="33">
        <f t="shared" ref="M5:M31" si="2">M4+K5-L5</f>
        <v>23484.28</v>
      </c>
      <c r="N5" s="227"/>
    </row>
    <row r="6" spans="1:14">
      <c r="A6" s="23">
        <v>3</v>
      </c>
      <c r="B6" s="24">
        <v>46268</v>
      </c>
      <c r="C6" s="103"/>
      <c r="D6" s="32"/>
      <c r="E6" s="33"/>
      <c r="F6" s="33"/>
      <c r="G6" s="33">
        <f t="shared" ref="G6:G31" si="3">E6*F6</f>
        <v>0</v>
      </c>
      <c r="H6" s="309"/>
      <c r="I6" s="309"/>
      <c r="J6" s="33">
        <f t="shared" si="1"/>
        <v>0</v>
      </c>
      <c r="K6" s="33">
        <f t="shared" si="0"/>
        <v>0</v>
      </c>
      <c r="L6" s="189">
        <v>0</v>
      </c>
      <c r="M6" s="33">
        <f t="shared" si="2"/>
        <v>23484.28</v>
      </c>
      <c r="N6" s="228"/>
    </row>
    <row r="7" spans="1:14">
      <c r="A7" s="23">
        <v>4</v>
      </c>
      <c r="B7" s="24">
        <v>46269</v>
      </c>
      <c r="C7" s="103"/>
      <c r="D7" s="32"/>
      <c r="E7" s="33"/>
      <c r="F7" s="33"/>
      <c r="G7" s="33">
        <f t="shared" si="3"/>
        <v>0</v>
      </c>
      <c r="H7" s="309"/>
      <c r="I7" s="309"/>
      <c r="J7" s="33">
        <f t="shared" si="1"/>
        <v>0</v>
      </c>
      <c r="K7" s="33">
        <f t="shared" si="0"/>
        <v>0</v>
      </c>
      <c r="L7" s="189">
        <v>0</v>
      </c>
      <c r="M7" s="33">
        <f>M6+K7-L7</f>
        <v>23484.28</v>
      </c>
      <c r="N7" s="190"/>
    </row>
    <row r="8" spans="1:14">
      <c r="A8" s="23">
        <v>5</v>
      </c>
      <c r="B8" s="24">
        <v>46270</v>
      </c>
      <c r="C8" s="31"/>
      <c r="D8" s="32"/>
      <c r="E8" s="33"/>
      <c r="F8" s="33"/>
      <c r="G8" s="33">
        <f t="shared" si="3"/>
        <v>0</v>
      </c>
      <c r="H8" s="309"/>
      <c r="I8" s="309"/>
      <c r="J8" s="33">
        <f t="shared" si="1"/>
        <v>0</v>
      </c>
      <c r="K8" s="33">
        <f t="shared" si="0"/>
        <v>0</v>
      </c>
      <c r="L8" s="189">
        <v>0</v>
      </c>
      <c r="M8" s="33">
        <f>M7+K8-L8</f>
        <v>23484.28</v>
      </c>
      <c r="N8" s="190"/>
    </row>
    <row r="9" spans="1:14">
      <c r="A9" s="23">
        <v>6</v>
      </c>
      <c r="B9" s="24">
        <v>46271</v>
      </c>
      <c r="C9" s="31"/>
      <c r="D9" s="32"/>
      <c r="E9" s="33"/>
      <c r="F9" s="33"/>
      <c r="G9" s="33">
        <f t="shared" si="3"/>
        <v>0</v>
      </c>
      <c r="H9" s="309"/>
      <c r="I9" s="309"/>
      <c r="J9" s="33">
        <f t="shared" si="1"/>
        <v>0</v>
      </c>
      <c r="K9" s="33">
        <f t="shared" si="0"/>
        <v>0</v>
      </c>
      <c r="L9" s="189">
        <v>0</v>
      </c>
      <c r="M9" s="33">
        <f t="shared" si="2"/>
        <v>23484.28</v>
      </c>
      <c r="N9" s="190"/>
    </row>
    <row r="10" spans="1:14">
      <c r="A10" s="23">
        <v>7</v>
      </c>
      <c r="B10" s="24">
        <v>46272</v>
      </c>
      <c r="C10" s="31"/>
      <c r="D10" s="32"/>
      <c r="E10" s="33"/>
      <c r="F10" s="33"/>
      <c r="G10" s="33">
        <f t="shared" si="3"/>
        <v>0</v>
      </c>
      <c r="H10" s="309"/>
      <c r="I10" s="309"/>
      <c r="J10" s="33">
        <f t="shared" si="1"/>
        <v>0</v>
      </c>
      <c r="K10" s="33">
        <f t="shared" ref="K10:K15" si="4">G10+J10</f>
        <v>0</v>
      </c>
      <c r="L10" s="189">
        <v>0</v>
      </c>
      <c r="M10" s="33">
        <f t="shared" si="2"/>
        <v>23484.28</v>
      </c>
      <c r="N10" s="190"/>
    </row>
    <row r="11" spans="1:14">
      <c r="A11" s="23">
        <v>8</v>
      </c>
      <c r="B11" s="24">
        <v>46273</v>
      </c>
      <c r="C11" s="31"/>
      <c r="D11" s="32"/>
      <c r="E11" s="33"/>
      <c r="F11" s="33"/>
      <c r="G11" s="33">
        <f t="shared" si="3"/>
        <v>0</v>
      </c>
      <c r="H11" s="309"/>
      <c r="I11" s="309"/>
      <c r="J11" s="33">
        <f t="shared" si="1"/>
        <v>0</v>
      </c>
      <c r="K11" s="33">
        <f t="shared" si="4"/>
        <v>0</v>
      </c>
      <c r="L11" s="189">
        <v>0</v>
      </c>
      <c r="M11" s="33">
        <f t="shared" si="2"/>
        <v>23484.28</v>
      </c>
      <c r="N11" s="190"/>
    </row>
    <row r="12" spans="1:14">
      <c r="A12" s="23">
        <v>9</v>
      </c>
      <c r="B12" s="24">
        <v>46274</v>
      </c>
      <c r="C12" s="31"/>
      <c r="D12" s="32"/>
      <c r="E12" s="33"/>
      <c r="F12" s="33"/>
      <c r="G12" s="33">
        <f t="shared" si="3"/>
        <v>0</v>
      </c>
      <c r="H12" s="309"/>
      <c r="I12" s="309"/>
      <c r="J12" s="33">
        <f t="shared" si="1"/>
        <v>0</v>
      </c>
      <c r="K12" s="33">
        <f t="shared" si="4"/>
        <v>0</v>
      </c>
      <c r="L12" s="189">
        <v>0</v>
      </c>
      <c r="M12" s="33">
        <f t="shared" si="2"/>
        <v>23484.28</v>
      </c>
      <c r="N12" s="190"/>
    </row>
    <row r="13" spans="1:14">
      <c r="A13" s="23">
        <v>10</v>
      </c>
      <c r="B13" s="24">
        <v>46275</v>
      </c>
      <c r="C13" s="31"/>
      <c r="D13" s="32"/>
      <c r="E13" s="33"/>
      <c r="F13" s="33"/>
      <c r="G13" s="33">
        <f t="shared" si="3"/>
        <v>0</v>
      </c>
      <c r="H13" s="309"/>
      <c r="I13" s="309"/>
      <c r="J13" s="33">
        <f t="shared" si="1"/>
        <v>0</v>
      </c>
      <c r="K13" s="33">
        <f t="shared" si="4"/>
        <v>0</v>
      </c>
      <c r="L13" s="189">
        <v>0</v>
      </c>
      <c r="M13" s="33">
        <f>M12+K13-L13</f>
        <v>23484.28</v>
      </c>
      <c r="N13" s="190"/>
    </row>
    <row r="14" spans="1:14">
      <c r="A14" s="23">
        <v>11</v>
      </c>
      <c r="B14" s="24">
        <v>46276</v>
      </c>
      <c r="C14" s="31"/>
      <c r="D14" s="32"/>
      <c r="E14" s="33"/>
      <c r="F14" s="33"/>
      <c r="G14" s="33">
        <f t="shared" si="3"/>
        <v>0</v>
      </c>
      <c r="H14" s="309">
        <v>10</v>
      </c>
      <c r="I14" s="309">
        <v>116.33</v>
      </c>
      <c r="J14" s="33">
        <f t="shared" si="1"/>
        <v>1163.3</v>
      </c>
      <c r="K14" s="33">
        <f t="shared" si="4"/>
        <v>1163.3</v>
      </c>
      <c r="L14" s="189">
        <v>0</v>
      </c>
      <c r="M14" s="33">
        <f>M13+K14-L14</f>
        <v>24647.579999999998</v>
      </c>
      <c r="N14" s="190"/>
    </row>
    <row r="15" spans="1:14">
      <c r="A15" s="23">
        <v>12</v>
      </c>
      <c r="B15" s="24">
        <v>46277</v>
      </c>
      <c r="C15" s="31"/>
      <c r="D15" s="32"/>
      <c r="E15" s="33"/>
      <c r="F15" s="33"/>
      <c r="G15" s="33">
        <f t="shared" si="3"/>
        <v>0</v>
      </c>
      <c r="H15" s="309"/>
      <c r="I15" s="309"/>
      <c r="J15" s="33">
        <f t="shared" si="1"/>
        <v>0</v>
      </c>
      <c r="K15" s="33">
        <f>G15+J15</f>
        <v>0</v>
      </c>
      <c r="L15" s="189">
        <v>0</v>
      </c>
      <c r="M15" s="33">
        <f t="shared" si="2"/>
        <v>24647.579999999998</v>
      </c>
      <c r="N15" s="190"/>
    </row>
    <row r="16" spans="1:14">
      <c r="A16" s="23">
        <v>13</v>
      </c>
      <c r="B16" s="24">
        <v>46278</v>
      </c>
      <c r="C16" s="31"/>
      <c r="D16" s="32"/>
      <c r="E16" s="33"/>
      <c r="F16" s="33"/>
      <c r="G16" s="33">
        <f t="shared" si="3"/>
        <v>0</v>
      </c>
      <c r="H16" s="309"/>
      <c r="I16" s="309"/>
      <c r="J16" s="33">
        <f t="shared" si="1"/>
        <v>0</v>
      </c>
      <c r="K16" s="33">
        <f t="shared" si="0"/>
        <v>0</v>
      </c>
      <c r="L16" s="189">
        <v>0</v>
      </c>
      <c r="M16" s="33">
        <f t="shared" si="2"/>
        <v>24647.579999999998</v>
      </c>
      <c r="N16" s="190"/>
    </row>
    <row r="17" spans="1:14">
      <c r="A17" s="23">
        <v>14</v>
      </c>
      <c r="B17" s="24">
        <v>46279</v>
      </c>
      <c r="C17" s="31"/>
      <c r="D17" s="32"/>
      <c r="E17" s="33"/>
      <c r="F17" s="33"/>
      <c r="G17" s="33">
        <f t="shared" si="3"/>
        <v>0</v>
      </c>
      <c r="H17" s="309"/>
      <c r="I17" s="309"/>
      <c r="J17" s="33">
        <f t="shared" si="1"/>
        <v>0</v>
      </c>
      <c r="K17" s="33">
        <f t="shared" si="0"/>
        <v>0</v>
      </c>
      <c r="L17" s="189">
        <v>0</v>
      </c>
      <c r="M17" s="33">
        <f t="shared" si="2"/>
        <v>24647.579999999998</v>
      </c>
      <c r="N17" s="190"/>
    </row>
    <row r="18" spans="1:14">
      <c r="A18" s="23">
        <v>15</v>
      </c>
      <c r="B18" s="24">
        <v>46280</v>
      </c>
      <c r="C18" s="161"/>
      <c r="D18" s="32"/>
      <c r="E18" s="33"/>
      <c r="F18" s="33"/>
      <c r="G18" s="33">
        <f t="shared" si="3"/>
        <v>0</v>
      </c>
      <c r="H18" s="309"/>
      <c r="I18" s="309"/>
      <c r="J18" s="33">
        <f t="shared" si="1"/>
        <v>0</v>
      </c>
      <c r="K18" s="33">
        <f t="shared" si="0"/>
        <v>0</v>
      </c>
      <c r="L18" s="189">
        <v>0</v>
      </c>
      <c r="M18" s="33">
        <f t="shared" si="2"/>
        <v>24647.579999999998</v>
      </c>
      <c r="N18" s="190"/>
    </row>
    <row r="19" spans="1:14">
      <c r="A19" s="23">
        <v>16</v>
      </c>
      <c r="B19" s="24">
        <v>46281</v>
      </c>
      <c r="C19" s="103"/>
      <c r="D19" s="32"/>
      <c r="E19" s="33"/>
      <c r="F19" s="33"/>
      <c r="G19" s="33">
        <v>0</v>
      </c>
      <c r="H19" s="309"/>
      <c r="I19" s="309"/>
      <c r="J19" s="33">
        <v>0</v>
      </c>
      <c r="K19" s="33">
        <v>0</v>
      </c>
      <c r="L19" s="189">
        <v>0</v>
      </c>
      <c r="M19" s="33">
        <f t="shared" si="2"/>
        <v>24647.579999999998</v>
      </c>
      <c r="N19" s="190"/>
    </row>
    <row r="20" spans="1:14" ht="15" customHeight="1">
      <c r="A20" s="23">
        <v>17</v>
      </c>
      <c r="B20" s="24">
        <v>46282</v>
      </c>
      <c r="C20" s="173"/>
      <c r="D20" s="32"/>
      <c r="E20" s="33"/>
      <c r="F20" s="33"/>
      <c r="G20" s="33">
        <f t="shared" si="3"/>
        <v>0</v>
      </c>
      <c r="H20" s="309"/>
      <c r="I20" s="309"/>
      <c r="J20" s="33">
        <f t="shared" si="1"/>
        <v>0</v>
      </c>
      <c r="K20" s="33">
        <f t="shared" si="0"/>
        <v>0</v>
      </c>
      <c r="L20" s="189">
        <v>0</v>
      </c>
      <c r="M20" s="33">
        <f t="shared" si="2"/>
        <v>24647.579999999998</v>
      </c>
      <c r="N20" s="190"/>
    </row>
    <row r="21" spans="1:14">
      <c r="A21" s="23">
        <v>18</v>
      </c>
      <c r="B21" s="24">
        <v>46283</v>
      </c>
      <c r="C21" s="173"/>
      <c r="D21" s="32"/>
      <c r="E21" s="248"/>
      <c r="F21" s="248"/>
      <c r="G21" s="8">
        <f t="shared" si="3"/>
        <v>0</v>
      </c>
      <c r="H21" s="309"/>
      <c r="I21" s="309"/>
      <c r="J21" s="8">
        <f t="shared" si="1"/>
        <v>0</v>
      </c>
      <c r="K21" s="8">
        <f t="shared" si="0"/>
        <v>0</v>
      </c>
      <c r="L21" s="189">
        <v>0</v>
      </c>
      <c r="M21" s="33">
        <f t="shared" si="2"/>
        <v>24647.579999999998</v>
      </c>
      <c r="N21" s="190"/>
    </row>
    <row r="22" spans="1:14">
      <c r="A22" s="23">
        <v>19</v>
      </c>
      <c r="B22" s="24">
        <v>46284</v>
      </c>
      <c r="C22" s="103"/>
      <c r="D22" s="32"/>
      <c r="E22" s="248"/>
      <c r="F22" s="248"/>
      <c r="G22" s="8">
        <f t="shared" si="3"/>
        <v>0</v>
      </c>
      <c r="H22" s="62"/>
      <c r="I22" s="63"/>
      <c r="J22" s="8">
        <f t="shared" si="1"/>
        <v>0</v>
      </c>
      <c r="K22" s="8">
        <f t="shared" si="0"/>
        <v>0</v>
      </c>
      <c r="L22" s="189">
        <v>0</v>
      </c>
      <c r="M22" s="33">
        <f t="shared" si="2"/>
        <v>24647.579999999998</v>
      </c>
      <c r="N22" s="190"/>
    </row>
    <row r="23" spans="1:14">
      <c r="A23" s="23">
        <v>20</v>
      </c>
      <c r="B23" s="24">
        <v>46285</v>
      </c>
      <c r="C23" s="103"/>
      <c r="D23" s="32"/>
      <c r="E23" s="248"/>
      <c r="F23" s="248"/>
      <c r="G23" s="8">
        <f t="shared" si="3"/>
        <v>0</v>
      </c>
      <c r="H23" s="62"/>
      <c r="I23" s="63"/>
      <c r="J23" s="8">
        <f t="shared" si="1"/>
        <v>0</v>
      </c>
      <c r="K23" s="8">
        <f t="shared" si="0"/>
        <v>0</v>
      </c>
      <c r="L23" s="189">
        <v>0</v>
      </c>
      <c r="M23" s="33">
        <f t="shared" si="2"/>
        <v>24647.579999999998</v>
      </c>
      <c r="N23" s="190"/>
    </row>
    <row r="24" spans="1:14">
      <c r="A24" s="23">
        <v>21</v>
      </c>
      <c r="B24" s="24">
        <v>46286</v>
      </c>
      <c r="C24" s="103"/>
      <c r="D24" s="32"/>
      <c r="E24" s="248"/>
      <c r="F24" s="248"/>
      <c r="G24" s="8">
        <f t="shared" si="3"/>
        <v>0</v>
      </c>
      <c r="H24" s="62"/>
      <c r="I24" s="63"/>
      <c r="J24" s="8">
        <f t="shared" si="1"/>
        <v>0</v>
      </c>
      <c r="K24" s="8">
        <f t="shared" si="0"/>
        <v>0</v>
      </c>
      <c r="L24" s="189">
        <v>0</v>
      </c>
      <c r="M24" s="33">
        <f t="shared" si="2"/>
        <v>24647.579999999998</v>
      </c>
      <c r="N24" s="190"/>
    </row>
    <row r="25" spans="1:14">
      <c r="A25" s="23">
        <v>22</v>
      </c>
      <c r="B25" s="24">
        <v>46287</v>
      </c>
      <c r="C25" s="103"/>
      <c r="D25" s="32"/>
      <c r="E25" s="248"/>
      <c r="F25" s="248"/>
      <c r="G25" s="8">
        <f t="shared" si="3"/>
        <v>0</v>
      </c>
      <c r="H25" s="62"/>
      <c r="I25" s="63"/>
      <c r="J25" s="8">
        <f t="shared" si="1"/>
        <v>0</v>
      </c>
      <c r="K25" s="8">
        <f t="shared" si="0"/>
        <v>0</v>
      </c>
      <c r="L25" s="189">
        <v>0</v>
      </c>
      <c r="M25" s="33">
        <f t="shared" si="2"/>
        <v>24647.579999999998</v>
      </c>
      <c r="N25" s="190"/>
    </row>
    <row r="26" spans="1:14">
      <c r="A26" s="23">
        <v>23</v>
      </c>
      <c r="B26" s="24">
        <v>46288</v>
      </c>
      <c r="C26" s="103"/>
      <c r="D26" s="32"/>
      <c r="E26" s="248"/>
      <c r="F26" s="248"/>
      <c r="G26" s="8">
        <f t="shared" si="3"/>
        <v>0</v>
      </c>
      <c r="H26" s="62"/>
      <c r="I26" s="63"/>
      <c r="J26" s="8">
        <f t="shared" si="1"/>
        <v>0</v>
      </c>
      <c r="K26" s="8">
        <f t="shared" si="0"/>
        <v>0</v>
      </c>
      <c r="L26" s="189">
        <v>0</v>
      </c>
      <c r="M26" s="33">
        <f t="shared" si="2"/>
        <v>24647.579999999998</v>
      </c>
      <c r="N26" s="190"/>
    </row>
    <row r="27" spans="1:14">
      <c r="A27" s="23">
        <v>24</v>
      </c>
      <c r="B27" s="24">
        <v>46289</v>
      </c>
      <c r="C27" s="103"/>
      <c r="D27" s="32"/>
      <c r="E27" s="248"/>
      <c r="F27" s="248"/>
      <c r="G27" s="8">
        <f t="shared" si="3"/>
        <v>0</v>
      </c>
      <c r="H27" s="62"/>
      <c r="I27" s="63"/>
      <c r="J27" s="8">
        <f t="shared" si="1"/>
        <v>0</v>
      </c>
      <c r="K27" s="8">
        <f t="shared" si="0"/>
        <v>0</v>
      </c>
      <c r="L27" s="189">
        <v>0</v>
      </c>
      <c r="M27" s="33">
        <f t="shared" si="2"/>
        <v>24647.579999999998</v>
      </c>
      <c r="N27" s="190"/>
    </row>
    <row r="28" spans="1:14">
      <c r="A28" s="23">
        <v>25</v>
      </c>
      <c r="B28" s="24">
        <v>46290</v>
      </c>
      <c r="C28" s="103"/>
      <c r="D28" s="32"/>
      <c r="E28" s="33"/>
      <c r="F28" s="33"/>
      <c r="G28" s="33">
        <f t="shared" si="3"/>
        <v>0</v>
      </c>
      <c r="H28" s="309"/>
      <c r="I28" s="33"/>
      <c r="J28" s="8">
        <f t="shared" si="1"/>
        <v>0</v>
      </c>
      <c r="K28" s="33">
        <f t="shared" si="0"/>
        <v>0</v>
      </c>
      <c r="L28" s="189">
        <v>0</v>
      </c>
      <c r="M28" s="33">
        <f t="shared" si="2"/>
        <v>24647.579999999998</v>
      </c>
      <c r="N28" s="190"/>
    </row>
    <row r="29" spans="1:14">
      <c r="A29" s="23">
        <v>26</v>
      </c>
      <c r="B29" s="24">
        <v>46291</v>
      </c>
      <c r="C29" s="103"/>
      <c r="D29" s="32"/>
      <c r="E29" s="33"/>
      <c r="F29" s="33"/>
      <c r="G29" s="33">
        <f t="shared" si="3"/>
        <v>0</v>
      </c>
      <c r="H29" s="309"/>
      <c r="I29" s="309"/>
      <c r="J29" s="33">
        <f t="shared" si="1"/>
        <v>0</v>
      </c>
      <c r="K29" s="33">
        <f t="shared" si="0"/>
        <v>0</v>
      </c>
      <c r="L29" s="189">
        <v>0</v>
      </c>
      <c r="M29" s="33">
        <f t="shared" si="2"/>
        <v>24647.579999999998</v>
      </c>
      <c r="N29" s="190"/>
    </row>
    <row r="30" spans="1:14">
      <c r="A30" s="23">
        <v>27</v>
      </c>
      <c r="B30" s="24">
        <v>46292</v>
      </c>
      <c r="C30" s="103"/>
      <c r="D30" s="32"/>
      <c r="E30" s="33"/>
      <c r="F30" s="33"/>
      <c r="G30" s="33">
        <f t="shared" si="3"/>
        <v>0</v>
      </c>
      <c r="H30" s="309"/>
      <c r="I30" s="309"/>
      <c r="J30" s="33">
        <f t="shared" si="1"/>
        <v>0</v>
      </c>
      <c r="K30" s="33">
        <f t="shared" si="0"/>
        <v>0</v>
      </c>
      <c r="L30" s="189">
        <v>0</v>
      </c>
      <c r="M30" s="33">
        <f>M29+K30-L30</f>
        <v>24647.579999999998</v>
      </c>
      <c r="N30" s="190"/>
    </row>
    <row r="31" spans="1:14">
      <c r="A31" s="23">
        <v>28</v>
      </c>
      <c r="B31" s="24">
        <v>46293</v>
      </c>
      <c r="C31" s="103"/>
      <c r="D31" s="32"/>
      <c r="E31" s="33"/>
      <c r="F31" s="33"/>
      <c r="G31" s="33">
        <f t="shared" si="3"/>
        <v>0</v>
      </c>
      <c r="H31" s="309"/>
      <c r="I31" s="309"/>
      <c r="J31" s="33">
        <f t="shared" si="1"/>
        <v>0</v>
      </c>
      <c r="K31" s="33">
        <f t="shared" si="0"/>
        <v>0</v>
      </c>
      <c r="L31" s="189">
        <v>0</v>
      </c>
      <c r="M31" s="33">
        <f t="shared" si="2"/>
        <v>24647.579999999998</v>
      </c>
      <c r="N31" s="190"/>
    </row>
    <row r="32" spans="1:14">
      <c r="A32" s="23">
        <v>29</v>
      </c>
      <c r="B32" s="24">
        <v>46294</v>
      </c>
      <c r="C32" s="103"/>
      <c r="D32" s="32"/>
      <c r="E32" s="33"/>
      <c r="F32" s="33"/>
      <c r="G32" s="33">
        <f t="shared" ref="G32:G34" si="5">E32*F32</f>
        <v>0</v>
      </c>
      <c r="H32" s="309"/>
      <c r="I32" s="309"/>
      <c r="J32" s="33">
        <f t="shared" si="1"/>
        <v>0</v>
      </c>
      <c r="K32" s="33">
        <f t="shared" ref="K32:K34" si="6">G32+J32</f>
        <v>0</v>
      </c>
      <c r="L32" s="189">
        <v>0</v>
      </c>
      <c r="M32" s="33">
        <f t="shared" ref="M32:M34" si="7">M31+K32-L32</f>
        <v>24647.579999999998</v>
      </c>
      <c r="N32" s="190"/>
    </row>
    <row r="33" spans="1:14">
      <c r="A33" s="23">
        <v>30</v>
      </c>
      <c r="B33" s="24">
        <v>46295</v>
      </c>
      <c r="C33" s="103"/>
      <c r="D33" s="32"/>
      <c r="E33" s="33">
        <v>200</v>
      </c>
      <c r="F33" s="33">
        <v>104.42</v>
      </c>
      <c r="G33" s="33">
        <f t="shared" si="5"/>
        <v>20884</v>
      </c>
      <c r="H33" s="309">
        <v>20</v>
      </c>
      <c r="I33" s="309">
        <v>116.33</v>
      </c>
      <c r="J33" s="33">
        <f t="shared" ref="J16:J33" si="8">H33*I33</f>
        <v>2326.6</v>
      </c>
      <c r="K33" s="33">
        <f t="shared" si="6"/>
        <v>23210.6</v>
      </c>
      <c r="L33" s="189">
        <v>0</v>
      </c>
      <c r="M33" s="33">
        <f t="shared" si="7"/>
        <v>47858.179999999993</v>
      </c>
      <c r="N33" s="190"/>
    </row>
    <row r="34" spans="1:14">
      <c r="A34" s="23">
        <v>31</v>
      </c>
      <c r="B34" s="24"/>
      <c r="C34" s="103"/>
      <c r="D34" s="32"/>
      <c r="E34" s="33"/>
      <c r="F34" s="33"/>
      <c r="G34" s="33">
        <f t="shared" si="5"/>
        <v>0</v>
      </c>
      <c r="H34" s="309"/>
      <c r="I34" s="309"/>
      <c r="J34" s="33">
        <f t="shared" ref="J32:J34" si="9">H34*I34</f>
        <v>0</v>
      </c>
      <c r="K34" s="33">
        <f t="shared" si="6"/>
        <v>0</v>
      </c>
      <c r="L34" s="189"/>
      <c r="M34" s="33">
        <f t="shared" si="7"/>
        <v>47858.179999999993</v>
      </c>
      <c r="N34" s="190"/>
    </row>
    <row r="35" spans="1:14">
      <c r="A35" s="59"/>
      <c r="B35" s="59"/>
      <c r="C35" s="59"/>
      <c r="D35" s="59"/>
      <c r="E35" s="249">
        <f>SUM(E4:E34)</f>
        <v>400</v>
      </c>
      <c r="F35" s="249"/>
      <c r="G35" s="60">
        <f>SUM(G4:G34)</f>
        <v>41768</v>
      </c>
      <c r="H35" s="60">
        <f>SUM(H4:H34)</f>
        <v>30</v>
      </c>
      <c r="I35" s="60"/>
      <c r="J35" s="60">
        <f>SUM(J4:J34)</f>
        <v>3489.8999999999996</v>
      </c>
      <c r="K35" s="60">
        <f>SUM(K4:K34)</f>
        <v>45257.899999999994</v>
      </c>
      <c r="L35" s="60">
        <f>SUM(L4:L34)</f>
        <v>0</v>
      </c>
      <c r="M35" s="60"/>
      <c r="N35" s="60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CFE9-973B-4F2F-982C-C713DBE1FA46}">
  <dimension ref="A1:N35"/>
  <sheetViews>
    <sheetView workbookViewId="0">
      <pane ySplit="3" topLeftCell="A4" activePane="bottomLeft" state="frozen"/>
      <selection pane="bottomLeft" activeCell="K15" sqref="K15"/>
    </sheetView>
  </sheetViews>
  <sheetFormatPr defaultRowHeight="15"/>
  <cols>
    <col min="2" max="2" width="11.85546875" customWidth="1"/>
    <col min="4" max="4" width="12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1.85546875" customWidth="1"/>
    <col min="13" max="13" width="11.85546875" bestFit="1" customWidth="1"/>
  </cols>
  <sheetData>
    <row r="1" spans="1:14" ht="15.75">
      <c r="A1" s="590" t="s">
        <v>78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14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14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3"/>
      <c r="M3" s="143">
        <v>0</v>
      </c>
      <c r="N3" s="149"/>
    </row>
    <row r="4" spans="1:14">
      <c r="A4" s="188">
        <v>1</v>
      </c>
      <c r="B4" s="211">
        <v>46266</v>
      </c>
      <c r="C4" s="64"/>
      <c r="D4" s="152"/>
      <c r="E4" s="248"/>
      <c r="F4" s="248"/>
      <c r="G4" s="8">
        <f t="shared" ref="G4:G34" si="0">E4*F4</f>
        <v>0</v>
      </c>
      <c r="H4" s="256"/>
      <c r="I4" s="63"/>
      <c r="J4" s="8">
        <f>H4*I4</f>
        <v>0</v>
      </c>
      <c r="K4" s="8">
        <f>G4+J4</f>
        <v>0</v>
      </c>
      <c r="L4" s="65"/>
      <c r="M4" s="37">
        <f t="shared" ref="M3:M34" si="1">M3+K4-L4</f>
        <v>0</v>
      </c>
      <c r="N4" s="8"/>
    </row>
    <row r="5" spans="1:14">
      <c r="A5" s="43">
        <v>2</v>
      </c>
      <c r="B5" s="211">
        <v>46267</v>
      </c>
      <c r="C5" s="64"/>
      <c r="D5" s="152"/>
      <c r="E5" s="248"/>
      <c r="F5" s="248"/>
      <c r="G5" s="8">
        <f t="shared" ref="G5:G9" si="2">E5*F5</f>
        <v>0</v>
      </c>
      <c r="H5" s="256"/>
      <c r="I5" s="63"/>
      <c r="J5" s="8">
        <f t="shared" ref="J5:J34" si="3">H5*I5</f>
        <v>0</v>
      </c>
      <c r="K5" s="8">
        <f t="shared" ref="K5:L34" si="4">G5+J5</f>
        <v>0</v>
      </c>
      <c r="L5" s="65"/>
      <c r="M5" s="37">
        <f t="shared" si="1"/>
        <v>0</v>
      </c>
      <c r="N5" s="8"/>
    </row>
    <row r="6" spans="1:14">
      <c r="A6" s="43">
        <v>3</v>
      </c>
      <c r="B6" s="211">
        <v>46268</v>
      </c>
      <c r="C6" s="64"/>
      <c r="D6" s="152"/>
      <c r="E6" s="248"/>
      <c r="F6" s="248"/>
      <c r="G6" s="8">
        <f t="shared" si="2"/>
        <v>0</v>
      </c>
      <c r="H6" s="256"/>
      <c r="I6" s="63"/>
      <c r="J6" s="8">
        <f t="shared" si="3"/>
        <v>0</v>
      </c>
      <c r="K6" s="8">
        <f t="shared" si="4"/>
        <v>0</v>
      </c>
      <c r="L6" s="65"/>
      <c r="M6" s="37">
        <f t="shared" si="1"/>
        <v>0</v>
      </c>
      <c r="N6" s="8"/>
    </row>
    <row r="7" spans="1:14">
      <c r="A7" s="43">
        <v>4</v>
      </c>
      <c r="B7" s="211">
        <v>46269</v>
      </c>
      <c r="C7" s="64"/>
      <c r="D7" s="152"/>
      <c r="E7" s="248"/>
      <c r="F7" s="248"/>
      <c r="G7" s="8">
        <f t="shared" si="2"/>
        <v>0</v>
      </c>
      <c r="H7" s="62"/>
      <c r="I7" s="63"/>
      <c r="J7" s="8">
        <f t="shared" si="3"/>
        <v>0</v>
      </c>
      <c r="K7" s="8">
        <f t="shared" si="4"/>
        <v>0</v>
      </c>
      <c r="L7" s="65"/>
      <c r="M7" s="37">
        <f t="shared" si="1"/>
        <v>0</v>
      </c>
      <c r="N7" s="8"/>
    </row>
    <row r="8" spans="1:14">
      <c r="A8" s="43">
        <v>5</v>
      </c>
      <c r="B8" s="211">
        <v>46270</v>
      </c>
      <c r="C8" s="64"/>
      <c r="D8" s="152"/>
      <c r="E8" s="248"/>
      <c r="F8" s="248"/>
      <c r="G8" s="8">
        <f t="shared" si="2"/>
        <v>0</v>
      </c>
      <c r="H8" s="62"/>
      <c r="I8" s="63"/>
      <c r="J8" s="8">
        <f t="shared" si="3"/>
        <v>0</v>
      </c>
      <c r="K8" s="8">
        <f t="shared" si="4"/>
        <v>0</v>
      </c>
      <c r="L8" s="65"/>
      <c r="M8" s="37">
        <f t="shared" si="1"/>
        <v>0</v>
      </c>
      <c r="N8" s="8"/>
    </row>
    <row r="9" spans="1:14">
      <c r="A9" s="43">
        <v>6</v>
      </c>
      <c r="B9" s="211">
        <v>46271</v>
      </c>
      <c r="C9" s="64"/>
      <c r="D9" s="152"/>
      <c r="E9" s="248"/>
      <c r="F9" s="248"/>
      <c r="G9" s="8">
        <f t="shared" si="2"/>
        <v>0</v>
      </c>
      <c r="H9" s="62"/>
      <c r="I9" s="63"/>
      <c r="J9" s="8">
        <f t="shared" si="3"/>
        <v>0</v>
      </c>
      <c r="K9" s="8">
        <f t="shared" si="4"/>
        <v>0</v>
      </c>
      <c r="L9" s="65"/>
      <c r="M9" s="37">
        <f t="shared" si="1"/>
        <v>0</v>
      </c>
      <c r="N9" s="8"/>
    </row>
    <row r="10" spans="1:14">
      <c r="A10" s="43">
        <v>7</v>
      </c>
      <c r="B10" s="211">
        <v>46272</v>
      </c>
      <c r="C10" s="64"/>
      <c r="D10" s="152"/>
      <c r="E10" s="248"/>
      <c r="F10" s="248"/>
      <c r="G10" s="8">
        <f t="shared" ref="G5:G34" si="5">E10*F10</f>
        <v>0</v>
      </c>
      <c r="H10" s="62"/>
      <c r="I10" s="63"/>
      <c r="J10" s="8">
        <f t="shared" si="3"/>
        <v>0</v>
      </c>
      <c r="K10" s="8">
        <f t="shared" si="4"/>
        <v>0</v>
      </c>
      <c r="L10" s="65"/>
      <c r="M10" s="37">
        <f t="shared" si="1"/>
        <v>0</v>
      </c>
      <c r="N10" s="8"/>
    </row>
    <row r="11" spans="1:14">
      <c r="A11" s="43">
        <v>8</v>
      </c>
      <c r="B11" s="211">
        <v>46273</v>
      </c>
      <c r="C11" s="64"/>
      <c r="D11" s="152"/>
      <c r="E11" s="248"/>
      <c r="F11" s="248"/>
      <c r="G11" s="8">
        <f t="shared" si="5"/>
        <v>0</v>
      </c>
      <c r="H11" s="62"/>
      <c r="I11" s="63"/>
      <c r="J11" s="8">
        <f t="shared" si="3"/>
        <v>0</v>
      </c>
      <c r="K11" s="8">
        <f t="shared" si="4"/>
        <v>0</v>
      </c>
      <c r="L11" s="65"/>
      <c r="M11" s="37">
        <f>M10+K11-L11</f>
        <v>0</v>
      </c>
      <c r="N11" s="8"/>
    </row>
    <row r="12" spans="1:14">
      <c r="A12" s="43">
        <v>9</v>
      </c>
      <c r="B12" s="211">
        <v>46274</v>
      </c>
      <c r="C12" s="64"/>
      <c r="D12" s="152"/>
      <c r="E12" s="248"/>
      <c r="F12" s="248"/>
      <c r="G12" s="8">
        <f t="shared" si="5"/>
        <v>0</v>
      </c>
      <c r="H12" s="62"/>
      <c r="I12" s="63"/>
      <c r="J12" s="8">
        <f t="shared" si="3"/>
        <v>0</v>
      </c>
      <c r="K12" s="8">
        <f t="shared" si="4"/>
        <v>0</v>
      </c>
      <c r="L12" s="65"/>
      <c r="M12" s="37">
        <f t="shared" si="1"/>
        <v>0</v>
      </c>
      <c r="N12" s="8"/>
    </row>
    <row r="13" spans="1:14">
      <c r="A13" s="43">
        <v>10</v>
      </c>
      <c r="B13" s="211">
        <v>46275</v>
      </c>
      <c r="C13" s="64"/>
      <c r="D13" s="152"/>
      <c r="E13" s="248"/>
      <c r="F13" s="248"/>
      <c r="G13" s="8">
        <f t="shared" si="5"/>
        <v>0</v>
      </c>
      <c r="H13" s="62"/>
      <c r="I13" s="63"/>
      <c r="J13" s="8">
        <f t="shared" si="3"/>
        <v>0</v>
      </c>
      <c r="K13" s="8">
        <f t="shared" si="4"/>
        <v>0</v>
      </c>
      <c r="L13" s="65"/>
      <c r="M13" s="37">
        <f t="shared" si="1"/>
        <v>0</v>
      </c>
      <c r="N13" s="8"/>
    </row>
    <row r="14" spans="1:14">
      <c r="A14" s="43">
        <v>11</v>
      </c>
      <c r="B14" s="211">
        <v>46276</v>
      </c>
      <c r="C14" s="64"/>
      <c r="D14" s="152"/>
      <c r="E14" s="248"/>
      <c r="F14" s="248"/>
      <c r="G14" s="8">
        <f t="shared" si="5"/>
        <v>0</v>
      </c>
      <c r="H14" s="62"/>
      <c r="I14" s="63"/>
      <c r="J14" s="8">
        <f t="shared" si="3"/>
        <v>0</v>
      </c>
      <c r="K14" s="8">
        <f t="shared" si="4"/>
        <v>0</v>
      </c>
      <c r="L14" s="65"/>
      <c r="M14" s="37">
        <f t="shared" si="1"/>
        <v>0</v>
      </c>
      <c r="N14" s="8"/>
    </row>
    <row r="15" spans="1:14">
      <c r="A15" s="43">
        <v>12</v>
      </c>
      <c r="B15" s="211">
        <v>46277</v>
      </c>
      <c r="C15" s="64"/>
      <c r="D15" s="152"/>
      <c r="E15" s="248"/>
      <c r="F15" s="248"/>
      <c r="G15" s="8">
        <f t="shared" si="5"/>
        <v>0</v>
      </c>
      <c r="H15" s="62"/>
      <c r="I15" s="63"/>
      <c r="J15" s="8">
        <f t="shared" si="3"/>
        <v>0</v>
      </c>
      <c r="K15" s="8">
        <f t="shared" si="4"/>
        <v>0</v>
      </c>
      <c r="L15" s="65"/>
      <c r="M15" s="37">
        <f t="shared" si="1"/>
        <v>0</v>
      </c>
      <c r="N15" s="8"/>
    </row>
    <row r="16" spans="1:14">
      <c r="A16" s="43">
        <v>13</v>
      </c>
      <c r="B16" s="211">
        <v>46278</v>
      </c>
      <c r="C16" s="64"/>
      <c r="D16" s="152"/>
      <c r="E16" s="248"/>
      <c r="F16" s="248"/>
      <c r="G16" s="8">
        <f t="shared" si="5"/>
        <v>0</v>
      </c>
      <c r="H16" s="62"/>
      <c r="I16" s="63"/>
      <c r="J16" s="8">
        <f t="shared" si="3"/>
        <v>0</v>
      </c>
      <c r="K16" s="8">
        <f t="shared" si="4"/>
        <v>0</v>
      </c>
      <c r="L16" s="65"/>
      <c r="M16" s="37">
        <f t="shared" si="1"/>
        <v>0</v>
      </c>
      <c r="N16" s="8"/>
    </row>
    <row r="17" spans="1:14">
      <c r="A17" s="43">
        <v>14</v>
      </c>
      <c r="B17" s="211">
        <v>46279</v>
      </c>
      <c r="C17" s="64"/>
      <c r="D17" s="152"/>
      <c r="E17" s="248"/>
      <c r="F17" s="248"/>
      <c r="G17" s="8">
        <f t="shared" si="5"/>
        <v>0</v>
      </c>
      <c r="H17" s="62"/>
      <c r="I17" s="63"/>
      <c r="J17" s="8">
        <f t="shared" si="3"/>
        <v>0</v>
      </c>
      <c r="K17" s="8">
        <f t="shared" si="4"/>
        <v>0</v>
      </c>
      <c r="L17" s="65"/>
      <c r="M17" s="37">
        <f t="shared" si="1"/>
        <v>0</v>
      </c>
      <c r="N17" s="8"/>
    </row>
    <row r="18" spans="1:14">
      <c r="A18" s="43">
        <v>15</v>
      </c>
      <c r="B18" s="211">
        <v>46280</v>
      </c>
      <c r="C18" s="64"/>
      <c r="D18" s="152"/>
      <c r="E18" s="369"/>
      <c r="F18" s="248"/>
      <c r="G18" s="8">
        <f t="shared" si="5"/>
        <v>0</v>
      </c>
      <c r="H18" s="62"/>
      <c r="I18" s="63"/>
      <c r="J18" s="8">
        <f t="shared" si="3"/>
        <v>0</v>
      </c>
      <c r="K18" s="8">
        <f t="shared" si="4"/>
        <v>0</v>
      </c>
      <c r="L18" s="65"/>
      <c r="M18" s="37">
        <f t="shared" si="1"/>
        <v>0</v>
      </c>
      <c r="N18" s="8"/>
    </row>
    <row r="19" spans="1:14">
      <c r="A19" s="43">
        <v>16</v>
      </c>
      <c r="B19" s="211">
        <v>46281</v>
      </c>
      <c r="C19" s="64"/>
      <c r="D19" s="152"/>
      <c r="E19" s="248"/>
      <c r="F19" s="248"/>
      <c r="G19" s="8">
        <f t="shared" si="5"/>
        <v>0</v>
      </c>
      <c r="H19" s="62"/>
      <c r="I19" s="63"/>
      <c r="J19" s="8">
        <f t="shared" si="3"/>
        <v>0</v>
      </c>
      <c r="K19" s="8">
        <f t="shared" si="4"/>
        <v>0</v>
      </c>
      <c r="L19" s="65"/>
      <c r="M19" s="37">
        <f t="shared" si="1"/>
        <v>0</v>
      </c>
      <c r="N19" s="8"/>
    </row>
    <row r="20" spans="1:14">
      <c r="A20" s="43">
        <v>17</v>
      </c>
      <c r="B20" s="211">
        <v>46282</v>
      </c>
      <c r="C20" s="64"/>
      <c r="D20" s="152"/>
      <c r="E20" s="248"/>
      <c r="F20" s="248"/>
      <c r="G20" s="8">
        <f t="shared" si="5"/>
        <v>0</v>
      </c>
      <c r="H20" s="62"/>
      <c r="I20" s="63"/>
      <c r="J20" s="8">
        <f t="shared" si="3"/>
        <v>0</v>
      </c>
      <c r="K20" s="8">
        <f t="shared" si="4"/>
        <v>0</v>
      </c>
      <c r="L20" s="65"/>
      <c r="M20" s="37">
        <f t="shared" si="1"/>
        <v>0</v>
      </c>
      <c r="N20" s="8"/>
    </row>
    <row r="21" spans="1:14">
      <c r="A21" s="43">
        <v>18</v>
      </c>
      <c r="B21" s="211">
        <v>46283</v>
      </c>
      <c r="C21" s="64"/>
      <c r="D21" s="152"/>
      <c r="E21" s="369"/>
      <c r="F21" s="248"/>
      <c r="G21" s="8">
        <f t="shared" si="5"/>
        <v>0</v>
      </c>
      <c r="H21" s="62"/>
      <c r="I21" s="63"/>
      <c r="J21" s="8">
        <f t="shared" si="3"/>
        <v>0</v>
      </c>
      <c r="K21" s="8">
        <f t="shared" si="4"/>
        <v>0</v>
      </c>
      <c r="L21" s="65"/>
      <c r="M21" s="37">
        <f>M20+K21-L21</f>
        <v>0</v>
      </c>
      <c r="N21" s="8"/>
    </row>
    <row r="22" spans="1:14">
      <c r="A22" s="43">
        <v>19</v>
      </c>
      <c r="B22" s="211">
        <v>46284</v>
      </c>
      <c r="C22" s="64"/>
      <c r="D22" s="152"/>
      <c r="E22" s="62"/>
      <c r="F22" s="248"/>
      <c r="G22" s="8">
        <f t="shared" si="5"/>
        <v>0</v>
      </c>
      <c r="H22" s="62"/>
      <c r="I22" s="63"/>
      <c r="J22" s="8">
        <f t="shared" si="3"/>
        <v>0</v>
      </c>
      <c r="K22" s="8">
        <f t="shared" si="4"/>
        <v>0</v>
      </c>
      <c r="L22" s="65"/>
      <c r="M22" s="37">
        <f t="shared" si="1"/>
        <v>0</v>
      </c>
      <c r="N22" s="8"/>
    </row>
    <row r="23" spans="1:14">
      <c r="A23" s="43">
        <v>20</v>
      </c>
      <c r="B23" s="211">
        <v>46285</v>
      </c>
      <c r="C23" s="64"/>
      <c r="D23" s="152"/>
      <c r="E23" s="248"/>
      <c r="F23" s="248"/>
      <c r="G23" s="8">
        <f t="shared" si="5"/>
        <v>0</v>
      </c>
      <c r="H23" s="62"/>
      <c r="I23" s="63"/>
      <c r="J23" s="8">
        <f t="shared" si="3"/>
        <v>0</v>
      </c>
      <c r="K23" s="8">
        <f t="shared" si="4"/>
        <v>0</v>
      </c>
      <c r="L23" s="65"/>
      <c r="M23" s="37">
        <f t="shared" si="1"/>
        <v>0</v>
      </c>
      <c r="N23" s="8"/>
    </row>
    <row r="24" spans="1:14">
      <c r="A24" s="43">
        <v>21</v>
      </c>
      <c r="B24" s="211">
        <v>46286</v>
      </c>
      <c r="C24" s="64"/>
      <c r="D24" s="152"/>
      <c r="E24" s="248"/>
      <c r="F24" s="248"/>
      <c r="G24" s="8">
        <f t="shared" si="5"/>
        <v>0</v>
      </c>
      <c r="H24" s="62"/>
      <c r="I24" s="63"/>
      <c r="J24" s="8">
        <f t="shared" si="3"/>
        <v>0</v>
      </c>
      <c r="K24" s="8">
        <f t="shared" si="4"/>
        <v>0</v>
      </c>
      <c r="L24" s="65"/>
      <c r="M24" s="37">
        <f t="shared" si="1"/>
        <v>0</v>
      </c>
      <c r="N24" s="8"/>
    </row>
    <row r="25" spans="1:14">
      <c r="A25" s="43">
        <v>22</v>
      </c>
      <c r="B25" s="211">
        <v>46287</v>
      </c>
      <c r="C25" s="64"/>
      <c r="D25" s="152"/>
      <c r="E25" s="248"/>
      <c r="F25" s="248"/>
      <c r="G25" s="8">
        <f t="shared" si="5"/>
        <v>0</v>
      </c>
      <c r="H25" s="62"/>
      <c r="I25" s="63"/>
      <c r="J25" s="8">
        <f t="shared" si="3"/>
        <v>0</v>
      </c>
      <c r="K25" s="8">
        <f t="shared" si="4"/>
        <v>0</v>
      </c>
      <c r="L25" s="65"/>
      <c r="M25" s="37">
        <f t="shared" si="1"/>
        <v>0</v>
      </c>
      <c r="N25" s="8"/>
    </row>
    <row r="26" spans="1:14">
      <c r="A26" s="43">
        <v>23</v>
      </c>
      <c r="B26" s="211">
        <v>46288</v>
      </c>
      <c r="C26" s="64"/>
      <c r="D26" s="152"/>
      <c r="E26" s="248"/>
      <c r="F26" s="248"/>
      <c r="G26" s="8">
        <f t="shared" si="5"/>
        <v>0</v>
      </c>
      <c r="H26" s="62"/>
      <c r="I26" s="63"/>
      <c r="J26" s="8">
        <f t="shared" si="3"/>
        <v>0</v>
      </c>
      <c r="K26" s="8">
        <f t="shared" si="4"/>
        <v>0</v>
      </c>
      <c r="L26" s="65"/>
      <c r="M26" s="37">
        <f t="shared" si="1"/>
        <v>0</v>
      </c>
      <c r="N26" s="8"/>
    </row>
    <row r="27" spans="1:14">
      <c r="A27" s="43">
        <v>24</v>
      </c>
      <c r="B27" s="211">
        <v>46289</v>
      </c>
      <c r="C27" s="64"/>
      <c r="D27" s="152"/>
      <c r="E27" s="248"/>
      <c r="F27" s="248"/>
      <c r="G27" s="8">
        <f t="shared" si="5"/>
        <v>0</v>
      </c>
      <c r="H27" s="62"/>
      <c r="I27" s="63"/>
      <c r="J27" s="8">
        <f t="shared" si="3"/>
        <v>0</v>
      </c>
      <c r="K27" s="8">
        <f t="shared" si="4"/>
        <v>0</v>
      </c>
      <c r="L27" s="65"/>
      <c r="M27" s="37">
        <f t="shared" si="1"/>
        <v>0</v>
      </c>
      <c r="N27" s="8"/>
    </row>
    <row r="28" spans="1:14">
      <c r="A28" s="213">
        <v>25</v>
      </c>
      <c r="B28" s="211">
        <v>46290</v>
      </c>
      <c r="C28" s="64"/>
      <c r="D28" s="152"/>
      <c r="E28" s="248"/>
      <c r="F28" s="248"/>
      <c r="G28" s="8">
        <f t="shared" si="5"/>
        <v>0</v>
      </c>
      <c r="H28" s="62"/>
      <c r="I28" s="494"/>
      <c r="J28" s="8">
        <f t="shared" si="3"/>
        <v>0</v>
      </c>
      <c r="K28" s="8">
        <f t="shared" si="4"/>
        <v>0</v>
      </c>
      <c r="L28" s="65"/>
      <c r="M28" s="37">
        <f>M27+K28-L28</f>
        <v>0</v>
      </c>
      <c r="N28" s="8"/>
    </row>
    <row r="29" spans="1:14">
      <c r="A29" s="213">
        <v>26</v>
      </c>
      <c r="B29" s="211">
        <v>46291</v>
      </c>
      <c r="C29" s="64"/>
      <c r="D29" s="152"/>
      <c r="E29" s="248"/>
      <c r="F29" s="248"/>
      <c r="G29" s="8">
        <f t="shared" si="5"/>
        <v>0</v>
      </c>
      <c r="H29" s="62"/>
      <c r="I29" s="494"/>
      <c r="J29" s="8">
        <f t="shared" si="3"/>
        <v>0</v>
      </c>
      <c r="K29" s="8">
        <f t="shared" si="4"/>
        <v>0</v>
      </c>
      <c r="L29" s="65"/>
      <c r="M29" s="37">
        <f t="shared" si="1"/>
        <v>0</v>
      </c>
      <c r="N29" s="8"/>
    </row>
    <row r="30" spans="1:14">
      <c r="A30" s="213">
        <v>27</v>
      </c>
      <c r="B30" s="211">
        <v>46292</v>
      </c>
      <c r="C30" s="64"/>
      <c r="D30" s="152"/>
      <c r="E30" s="248"/>
      <c r="F30" s="248"/>
      <c r="G30" s="8">
        <f t="shared" si="5"/>
        <v>0</v>
      </c>
      <c r="H30" s="62"/>
      <c r="I30" s="63"/>
      <c r="J30" s="8">
        <f t="shared" si="3"/>
        <v>0</v>
      </c>
      <c r="K30" s="8">
        <f t="shared" si="4"/>
        <v>0</v>
      </c>
      <c r="L30" s="65"/>
      <c r="M30" s="37">
        <f t="shared" si="1"/>
        <v>0</v>
      </c>
      <c r="N30" s="8"/>
    </row>
    <row r="31" spans="1:14">
      <c r="A31" s="213">
        <v>28</v>
      </c>
      <c r="B31" s="211">
        <v>46293</v>
      </c>
      <c r="C31" s="64"/>
      <c r="D31" s="152"/>
      <c r="E31" s="248"/>
      <c r="F31" s="248"/>
      <c r="G31" s="8">
        <f t="shared" si="5"/>
        <v>0</v>
      </c>
      <c r="H31" s="62"/>
      <c r="I31" s="63"/>
      <c r="J31" s="8">
        <f t="shared" si="3"/>
        <v>0</v>
      </c>
      <c r="K31" s="8">
        <f t="shared" si="4"/>
        <v>0</v>
      </c>
      <c r="L31" s="65"/>
      <c r="M31" s="37">
        <f t="shared" si="1"/>
        <v>0</v>
      </c>
      <c r="N31" s="8"/>
    </row>
    <row r="32" spans="1:14">
      <c r="A32" s="214">
        <v>29</v>
      </c>
      <c r="B32" s="211">
        <v>46294</v>
      </c>
      <c r="C32" s="64"/>
      <c r="D32" s="152"/>
      <c r="E32" s="248"/>
      <c r="F32" s="248"/>
      <c r="G32" s="8">
        <f t="shared" si="5"/>
        <v>0</v>
      </c>
      <c r="H32" s="62"/>
      <c r="I32" s="63"/>
      <c r="J32" s="8">
        <f t="shared" si="3"/>
        <v>0</v>
      </c>
      <c r="K32" s="8">
        <f t="shared" si="4"/>
        <v>0</v>
      </c>
      <c r="L32" s="65"/>
      <c r="M32" s="37">
        <f t="shared" si="1"/>
        <v>0</v>
      </c>
      <c r="N32" s="8"/>
    </row>
    <row r="33" spans="1:14">
      <c r="A33" s="214">
        <v>30</v>
      </c>
      <c r="B33" s="211">
        <v>46295</v>
      </c>
      <c r="C33" s="64"/>
      <c r="D33" s="152"/>
      <c r="E33" s="248"/>
      <c r="F33" s="248"/>
      <c r="G33" s="8">
        <f t="shared" si="5"/>
        <v>0</v>
      </c>
      <c r="H33" s="62"/>
      <c r="I33" s="63"/>
      <c r="J33" s="8">
        <f t="shared" si="3"/>
        <v>0</v>
      </c>
      <c r="K33" s="8">
        <f t="shared" si="4"/>
        <v>0</v>
      </c>
      <c r="L33" s="65">
        <v>0</v>
      </c>
      <c r="M33" s="37">
        <f t="shared" si="1"/>
        <v>0</v>
      </c>
      <c r="N33" s="8"/>
    </row>
    <row r="34" spans="1:14">
      <c r="A34" s="214">
        <v>31</v>
      </c>
      <c r="B34" s="211"/>
      <c r="C34" s="64"/>
      <c r="D34" s="152"/>
      <c r="E34" s="248"/>
      <c r="F34" s="248"/>
      <c r="G34" s="8">
        <f t="shared" si="5"/>
        <v>0</v>
      </c>
      <c r="H34" s="62"/>
      <c r="I34" s="63"/>
      <c r="J34" s="8">
        <f t="shared" si="3"/>
        <v>0</v>
      </c>
      <c r="K34" s="8">
        <f t="shared" si="4"/>
        <v>0</v>
      </c>
      <c r="L34" s="65">
        <v>0</v>
      </c>
      <c r="M34" s="37">
        <f t="shared" si="1"/>
        <v>0</v>
      </c>
      <c r="N34" s="8"/>
    </row>
    <row r="35" spans="1:14">
      <c r="A35" s="59"/>
      <c r="B35" s="59"/>
      <c r="C35" s="59"/>
      <c r="D35" s="59"/>
      <c r="E35" s="249">
        <f>SUM(E4:E34)</f>
        <v>0</v>
      </c>
      <c r="F35" s="249"/>
      <c r="G35" s="60">
        <f>SUM(G4:G34)</f>
        <v>0</v>
      </c>
      <c r="H35" s="60">
        <f>SUM(H4:H34)</f>
        <v>0</v>
      </c>
      <c r="I35" s="60"/>
      <c r="J35" s="60">
        <f>SUM(J4:J34)</f>
        <v>0</v>
      </c>
      <c r="K35" s="60">
        <f>SUM(K4:K34)</f>
        <v>0</v>
      </c>
      <c r="L35" s="60">
        <f>SUM(L4:L34)</f>
        <v>0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7192-5352-4637-BAE5-2FBCF1C76B46}">
  <dimension ref="A1:N36"/>
  <sheetViews>
    <sheetView workbookViewId="0">
      <pane ySplit="3" topLeftCell="A23" activePane="bottomLeft" state="frozen"/>
      <selection pane="bottomLeft" activeCell="P31" sqref="P31"/>
    </sheetView>
  </sheetViews>
  <sheetFormatPr defaultRowHeight="15"/>
  <cols>
    <col min="2" max="2" width="11.42578125" customWidth="1"/>
    <col min="4" max="4" width="14" customWidth="1"/>
    <col min="5" max="5" width="15.42578125" customWidth="1"/>
    <col min="7" max="7" width="14.5703125" customWidth="1"/>
    <col min="11" max="11" width="13.5703125" bestFit="1" customWidth="1"/>
    <col min="12" max="12" width="12.5703125" customWidth="1"/>
    <col min="13" max="13" width="11.5703125" bestFit="1" customWidth="1"/>
  </cols>
  <sheetData>
    <row r="1" spans="1:14" ht="15.75">
      <c r="A1" s="590" t="s">
        <v>186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14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14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3"/>
      <c r="M3" s="143">
        <v>146154.99289999984</v>
      </c>
      <c r="N3" s="149"/>
    </row>
    <row r="4" spans="1:14">
      <c r="A4" s="188">
        <v>1</v>
      </c>
      <c r="B4" s="211">
        <v>45901</v>
      </c>
      <c r="C4" s="64"/>
      <c r="D4" s="152"/>
      <c r="E4" s="256"/>
      <c r="F4" s="500"/>
      <c r="G4" s="8">
        <f t="shared" ref="G4:G35" si="0">E4*F4</f>
        <v>0</v>
      </c>
      <c r="H4" s="256">
        <v>6</v>
      </c>
      <c r="I4" s="283">
        <v>116.25</v>
      </c>
      <c r="J4" s="8">
        <f>H4*I4</f>
        <v>697.5</v>
      </c>
      <c r="K4" s="8">
        <f>G4+J4</f>
        <v>697.5</v>
      </c>
      <c r="L4" s="65"/>
      <c r="M4" s="37">
        <f>M3+K4-L4</f>
        <v>146852.49289999984</v>
      </c>
      <c r="N4" s="8"/>
    </row>
    <row r="5" spans="1:14">
      <c r="A5" s="43">
        <v>2</v>
      </c>
      <c r="B5" s="211">
        <v>45902</v>
      </c>
      <c r="C5" s="64"/>
      <c r="D5" s="152"/>
      <c r="E5" s="256"/>
      <c r="F5" s="500"/>
      <c r="G5" s="8">
        <f t="shared" si="0"/>
        <v>0</v>
      </c>
      <c r="H5" s="256"/>
      <c r="I5" s="283"/>
      <c r="J5" s="8">
        <f t="shared" ref="J5:J35" si="1">H5*I5</f>
        <v>0</v>
      </c>
      <c r="K5" s="8">
        <f t="shared" ref="K5:K35" si="2">G5+J5</f>
        <v>0</v>
      </c>
      <c r="L5" s="65"/>
      <c r="M5" s="37">
        <f t="shared" ref="M5:M35" si="3">M4+K5-L5</f>
        <v>146852.49289999984</v>
      </c>
      <c r="N5" s="8"/>
    </row>
    <row r="6" spans="1:14">
      <c r="A6" s="43">
        <v>3</v>
      </c>
      <c r="B6" s="211">
        <v>45903</v>
      </c>
      <c r="C6" s="64"/>
      <c r="D6" s="152"/>
      <c r="E6" s="256">
        <v>690</v>
      </c>
      <c r="F6" s="359">
        <v>104.35</v>
      </c>
      <c r="G6" s="8">
        <f t="shared" si="0"/>
        <v>72001.5</v>
      </c>
      <c r="H6" s="256">
        <v>4</v>
      </c>
      <c r="I6" s="283">
        <v>116.25</v>
      </c>
      <c r="J6" s="8">
        <f t="shared" si="1"/>
        <v>465</v>
      </c>
      <c r="K6" s="8">
        <f t="shared" si="2"/>
        <v>72466.5</v>
      </c>
      <c r="L6" s="65"/>
      <c r="M6" s="37">
        <f t="shared" si="3"/>
        <v>219318.99289999984</v>
      </c>
      <c r="N6" s="8"/>
    </row>
    <row r="7" spans="1:14">
      <c r="A7" s="43">
        <v>4</v>
      </c>
      <c r="B7" s="211">
        <v>45904</v>
      </c>
      <c r="C7" s="64"/>
      <c r="D7" s="152"/>
      <c r="E7" s="256"/>
      <c r="F7" s="359"/>
      <c r="G7" s="8">
        <f t="shared" si="0"/>
        <v>0</v>
      </c>
      <c r="H7" s="256"/>
      <c r="I7" s="283"/>
      <c r="J7" s="8">
        <f t="shared" si="1"/>
        <v>0</v>
      </c>
      <c r="K7" s="8">
        <f t="shared" si="2"/>
        <v>0</v>
      </c>
      <c r="L7" s="65"/>
      <c r="M7" s="37">
        <f t="shared" si="3"/>
        <v>219318.99289999984</v>
      </c>
      <c r="N7" s="8"/>
    </row>
    <row r="8" spans="1:14">
      <c r="A8" s="43">
        <v>5</v>
      </c>
      <c r="B8" s="211">
        <v>45905</v>
      </c>
      <c r="C8" s="64"/>
      <c r="D8" s="152"/>
      <c r="E8" s="256"/>
      <c r="F8" s="359"/>
      <c r="G8" s="8">
        <f t="shared" si="0"/>
        <v>0</v>
      </c>
      <c r="H8" s="256"/>
      <c r="I8" s="283"/>
      <c r="J8" s="8">
        <f t="shared" si="1"/>
        <v>0</v>
      </c>
      <c r="K8" s="8">
        <f t="shared" si="2"/>
        <v>0</v>
      </c>
      <c r="L8" s="65"/>
      <c r="M8" s="37">
        <f t="shared" si="3"/>
        <v>219318.99289999984</v>
      </c>
      <c r="N8" s="8"/>
    </row>
    <row r="9" spans="1:14">
      <c r="A9" s="188">
        <v>6</v>
      </c>
      <c r="B9" s="211">
        <v>45906</v>
      </c>
      <c r="C9" s="64"/>
      <c r="D9" s="152"/>
      <c r="E9" s="256">
        <v>690</v>
      </c>
      <c r="F9" s="359">
        <v>104.35</v>
      </c>
      <c r="G9" s="8">
        <f t="shared" si="0"/>
        <v>72001.5</v>
      </c>
      <c r="H9" s="256"/>
      <c r="I9" s="283"/>
      <c r="J9" s="8">
        <f t="shared" si="1"/>
        <v>0</v>
      </c>
      <c r="K9" s="8">
        <f t="shared" si="2"/>
        <v>72001.5</v>
      </c>
      <c r="L9" s="65"/>
      <c r="M9" s="37">
        <f t="shared" si="3"/>
        <v>291320.49289999984</v>
      </c>
      <c r="N9" s="8"/>
    </row>
    <row r="10" spans="1:14">
      <c r="A10" s="43">
        <v>7</v>
      </c>
      <c r="B10" s="211">
        <v>45907</v>
      </c>
      <c r="C10" s="64"/>
      <c r="D10" s="152"/>
      <c r="E10" s="256"/>
      <c r="F10" s="359"/>
      <c r="G10" s="8">
        <f t="shared" si="0"/>
        <v>0</v>
      </c>
      <c r="H10" s="256"/>
      <c r="I10" s="283"/>
      <c r="J10" s="8">
        <f t="shared" si="1"/>
        <v>0</v>
      </c>
      <c r="K10" s="8">
        <f t="shared" si="2"/>
        <v>0</v>
      </c>
      <c r="L10" s="65"/>
      <c r="M10" s="37">
        <f t="shared" si="3"/>
        <v>291320.49289999984</v>
      </c>
      <c r="N10" s="8"/>
    </row>
    <row r="11" spans="1:14">
      <c r="A11" s="43">
        <v>8</v>
      </c>
      <c r="B11" s="211">
        <v>45908</v>
      </c>
      <c r="C11" s="64"/>
      <c r="D11" s="152"/>
      <c r="E11" s="256"/>
      <c r="F11" s="359"/>
      <c r="G11" s="8">
        <f t="shared" si="0"/>
        <v>0</v>
      </c>
      <c r="H11" s="256">
        <v>6</v>
      </c>
      <c r="I11" s="283">
        <v>116.25</v>
      </c>
      <c r="J11" s="8">
        <f t="shared" si="1"/>
        <v>697.5</v>
      </c>
      <c r="K11" s="8">
        <f t="shared" si="2"/>
        <v>697.5</v>
      </c>
      <c r="L11" s="65"/>
      <c r="M11" s="37">
        <f t="shared" si="3"/>
        <v>292017.99289999984</v>
      </c>
      <c r="N11" s="8"/>
    </row>
    <row r="12" spans="1:14">
      <c r="A12" s="43">
        <v>9</v>
      </c>
      <c r="B12" s="211">
        <v>45909</v>
      </c>
      <c r="C12" s="64"/>
      <c r="D12" s="152"/>
      <c r="E12" s="256">
        <v>600</v>
      </c>
      <c r="F12" s="359">
        <v>104.35</v>
      </c>
      <c r="G12" s="8">
        <f t="shared" si="0"/>
        <v>62610</v>
      </c>
      <c r="H12" s="256"/>
      <c r="I12" s="283"/>
      <c r="J12" s="8">
        <f t="shared" si="1"/>
        <v>0</v>
      </c>
      <c r="K12" s="8">
        <f t="shared" si="2"/>
        <v>62610</v>
      </c>
      <c r="L12" s="65"/>
      <c r="M12" s="37">
        <f t="shared" si="3"/>
        <v>354627.99289999984</v>
      </c>
      <c r="N12" s="8"/>
    </row>
    <row r="13" spans="1:14">
      <c r="A13" s="43">
        <v>10</v>
      </c>
      <c r="B13" s="211">
        <v>45910</v>
      </c>
      <c r="C13" s="64"/>
      <c r="D13" s="152"/>
      <c r="E13" s="256"/>
      <c r="F13" s="359"/>
      <c r="G13" s="8">
        <f t="shared" si="0"/>
        <v>0</v>
      </c>
      <c r="H13" s="256">
        <v>6</v>
      </c>
      <c r="I13" s="283">
        <v>116.25</v>
      </c>
      <c r="J13" s="8">
        <f t="shared" si="1"/>
        <v>697.5</v>
      </c>
      <c r="K13" s="8">
        <f t="shared" si="2"/>
        <v>697.5</v>
      </c>
      <c r="L13" s="65"/>
      <c r="M13" s="37">
        <f t="shared" si="3"/>
        <v>355325.49289999984</v>
      </c>
      <c r="N13" s="8"/>
    </row>
    <row r="14" spans="1:14">
      <c r="A14" s="188">
        <v>11</v>
      </c>
      <c r="B14" s="211">
        <v>45911</v>
      </c>
      <c r="C14" s="64"/>
      <c r="D14" s="152"/>
      <c r="E14" s="256">
        <v>690</v>
      </c>
      <c r="F14" s="359">
        <v>104.35</v>
      </c>
      <c r="G14" s="8">
        <f t="shared" si="0"/>
        <v>72001.5</v>
      </c>
      <c r="H14" s="256">
        <v>20</v>
      </c>
      <c r="I14" s="283">
        <v>116.25</v>
      </c>
      <c r="J14" s="8">
        <f t="shared" si="1"/>
        <v>2325</v>
      </c>
      <c r="K14" s="8">
        <f t="shared" si="2"/>
        <v>74326.5</v>
      </c>
      <c r="L14" s="65"/>
      <c r="M14" s="37">
        <f t="shared" si="3"/>
        <v>429651.99289999984</v>
      </c>
      <c r="N14" s="8"/>
    </row>
    <row r="15" spans="1:14">
      <c r="A15" s="43">
        <v>12</v>
      </c>
      <c r="B15" s="211">
        <v>45912</v>
      </c>
      <c r="C15" s="64"/>
      <c r="D15" s="152"/>
      <c r="E15" s="256"/>
      <c r="F15" s="359"/>
      <c r="G15" s="8">
        <f t="shared" si="0"/>
        <v>0</v>
      </c>
      <c r="H15" s="256"/>
      <c r="I15" s="283"/>
      <c r="J15" s="8"/>
      <c r="K15" s="8">
        <f t="shared" si="2"/>
        <v>0</v>
      </c>
      <c r="L15" s="65"/>
      <c r="M15" s="37">
        <f t="shared" si="3"/>
        <v>429651.99289999984</v>
      </c>
      <c r="N15" s="8"/>
    </row>
    <row r="16" spans="1:14">
      <c r="A16" s="43">
        <v>13</v>
      </c>
      <c r="B16" s="211">
        <v>45913</v>
      </c>
      <c r="C16" s="64"/>
      <c r="D16" s="152"/>
      <c r="E16" s="256"/>
      <c r="F16" s="359"/>
      <c r="G16" s="8">
        <f t="shared" si="0"/>
        <v>0</v>
      </c>
      <c r="H16" s="256"/>
      <c r="I16" s="283"/>
      <c r="J16" s="8">
        <f t="shared" si="1"/>
        <v>0</v>
      </c>
      <c r="K16" s="8">
        <f t="shared" si="2"/>
        <v>0</v>
      </c>
      <c r="L16" s="65"/>
      <c r="M16" s="37">
        <f t="shared" si="3"/>
        <v>429651.99289999984</v>
      </c>
      <c r="N16" s="8"/>
    </row>
    <row r="17" spans="1:14">
      <c r="A17" s="43">
        <v>14</v>
      </c>
      <c r="B17" s="211">
        <v>45914</v>
      </c>
      <c r="C17" s="64"/>
      <c r="D17" s="152"/>
      <c r="E17" s="256"/>
      <c r="F17" s="359"/>
      <c r="G17" s="8">
        <f t="shared" si="0"/>
        <v>0</v>
      </c>
      <c r="H17" s="256"/>
      <c r="I17" s="283"/>
      <c r="J17" s="8">
        <f t="shared" si="1"/>
        <v>0</v>
      </c>
      <c r="K17" s="8">
        <f t="shared" si="2"/>
        <v>0</v>
      </c>
      <c r="L17" s="65"/>
      <c r="M17" s="37">
        <f t="shared" si="3"/>
        <v>429651.99289999984</v>
      </c>
      <c r="N17" s="8"/>
    </row>
    <row r="18" spans="1:14">
      <c r="A18" s="43">
        <v>15</v>
      </c>
      <c r="B18" s="211">
        <v>45915</v>
      </c>
      <c r="C18" s="64"/>
      <c r="D18" s="152"/>
      <c r="E18" s="256"/>
      <c r="F18" s="359"/>
      <c r="G18" s="8">
        <f t="shared" si="0"/>
        <v>0</v>
      </c>
      <c r="H18" s="256"/>
      <c r="I18" s="283"/>
      <c r="J18" s="8">
        <f t="shared" si="1"/>
        <v>0</v>
      </c>
      <c r="K18" s="8">
        <f t="shared" si="2"/>
        <v>0</v>
      </c>
      <c r="L18" s="65"/>
      <c r="M18" s="37">
        <f t="shared" si="3"/>
        <v>429651.99289999984</v>
      </c>
      <c r="N18" s="8"/>
    </row>
    <row r="19" spans="1:14">
      <c r="A19" s="188">
        <v>16</v>
      </c>
      <c r="B19" s="211">
        <v>45916</v>
      </c>
      <c r="C19" s="64"/>
      <c r="D19" s="152"/>
      <c r="E19" s="256">
        <v>690</v>
      </c>
      <c r="F19" s="359">
        <v>104.35</v>
      </c>
      <c r="G19" s="8">
        <f t="shared" si="0"/>
        <v>72001.5</v>
      </c>
      <c r="H19" s="256"/>
      <c r="I19" s="283"/>
      <c r="J19" s="8">
        <f t="shared" si="1"/>
        <v>0</v>
      </c>
      <c r="K19" s="8">
        <f t="shared" si="2"/>
        <v>72001.5</v>
      </c>
      <c r="L19" s="65"/>
      <c r="M19" s="37">
        <f t="shared" si="3"/>
        <v>501653.49289999984</v>
      </c>
      <c r="N19" s="8"/>
    </row>
    <row r="20" spans="1:14">
      <c r="A20" s="43">
        <v>17</v>
      </c>
      <c r="B20" s="211">
        <v>45917</v>
      </c>
      <c r="C20" s="64"/>
      <c r="D20" s="152"/>
      <c r="E20" s="256"/>
      <c r="F20" s="359"/>
      <c r="G20" s="8">
        <f t="shared" si="0"/>
        <v>0</v>
      </c>
      <c r="H20" s="256"/>
      <c r="I20" s="283"/>
      <c r="J20" s="8">
        <f t="shared" si="1"/>
        <v>0</v>
      </c>
      <c r="K20" s="8">
        <f t="shared" si="2"/>
        <v>0</v>
      </c>
      <c r="L20" s="65"/>
      <c r="M20" s="37">
        <f t="shared" si="3"/>
        <v>501653.49289999984</v>
      </c>
      <c r="N20" s="8"/>
    </row>
    <row r="21" spans="1:14">
      <c r="A21" s="43">
        <v>18</v>
      </c>
      <c r="B21" s="211">
        <v>45918</v>
      </c>
      <c r="C21" s="64"/>
      <c r="D21" s="152"/>
      <c r="E21" s="256"/>
      <c r="F21" s="359"/>
      <c r="G21" s="8">
        <f t="shared" si="0"/>
        <v>0</v>
      </c>
      <c r="H21" s="256"/>
      <c r="I21" s="283"/>
      <c r="J21" s="8">
        <f t="shared" si="1"/>
        <v>0</v>
      </c>
      <c r="K21" s="8">
        <f t="shared" si="2"/>
        <v>0</v>
      </c>
      <c r="L21" s="65"/>
      <c r="M21" s="37">
        <f t="shared" si="3"/>
        <v>501653.49289999984</v>
      </c>
      <c r="N21" s="8"/>
    </row>
    <row r="22" spans="1:14">
      <c r="A22" s="43">
        <v>19</v>
      </c>
      <c r="B22" s="211">
        <v>45919</v>
      </c>
      <c r="C22" s="64"/>
      <c r="D22" s="152"/>
      <c r="E22" s="256"/>
      <c r="F22" s="359"/>
      <c r="G22" s="8">
        <f t="shared" si="0"/>
        <v>0</v>
      </c>
      <c r="H22" s="256"/>
      <c r="I22" s="283"/>
      <c r="J22" s="8">
        <f t="shared" si="1"/>
        <v>0</v>
      </c>
      <c r="K22" s="8">
        <f t="shared" si="2"/>
        <v>0</v>
      </c>
      <c r="L22" s="65"/>
      <c r="M22" s="37">
        <f t="shared" si="3"/>
        <v>501653.49289999984</v>
      </c>
      <c r="N22" s="8"/>
    </row>
    <row r="23" spans="1:14">
      <c r="A23" s="43">
        <v>20</v>
      </c>
      <c r="B23" s="211">
        <v>45920</v>
      </c>
      <c r="C23" s="64"/>
      <c r="D23" s="152"/>
      <c r="E23" s="256"/>
      <c r="F23" s="359"/>
      <c r="G23" s="8">
        <f t="shared" si="0"/>
        <v>0</v>
      </c>
      <c r="H23" s="256"/>
      <c r="I23" s="283"/>
      <c r="J23" s="8">
        <f t="shared" si="1"/>
        <v>0</v>
      </c>
      <c r="K23" s="8">
        <f t="shared" si="2"/>
        <v>0</v>
      </c>
      <c r="L23" s="65"/>
      <c r="M23" s="37">
        <f t="shared" si="3"/>
        <v>501653.49289999984</v>
      </c>
      <c r="N23" s="8"/>
    </row>
    <row r="24" spans="1:14">
      <c r="A24" s="188">
        <v>21</v>
      </c>
      <c r="B24" s="211">
        <v>45921</v>
      </c>
      <c r="C24" s="64"/>
      <c r="D24" s="152"/>
      <c r="E24" s="256">
        <v>690</v>
      </c>
      <c r="F24" s="359">
        <v>104.35</v>
      </c>
      <c r="G24" s="8">
        <f t="shared" si="0"/>
        <v>72001.5</v>
      </c>
      <c r="H24" s="256"/>
      <c r="I24" s="283"/>
      <c r="J24" s="8">
        <f t="shared" si="1"/>
        <v>0</v>
      </c>
      <c r="K24" s="8">
        <f t="shared" si="2"/>
        <v>72001.5</v>
      </c>
      <c r="L24" s="65"/>
      <c r="M24" s="37">
        <f t="shared" si="3"/>
        <v>573654.99289999984</v>
      </c>
      <c r="N24" s="8"/>
    </row>
    <row r="25" spans="1:14">
      <c r="A25" s="43">
        <v>22</v>
      </c>
      <c r="B25" s="211">
        <v>45922</v>
      </c>
      <c r="C25" s="64"/>
      <c r="D25" s="152"/>
      <c r="E25" s="256"/>
      <c r="F25" s="359"/>
      <c r="G25" s="8">
        <f t="shared" si="0"/>
        <v>0</v>
      </c>
      <c r="H25" s="256"/>
      <c r="I25" s="283"/>
      <c r="J25" s="8">
        <f t="shared" si="1"/>
        <v>0</v>
      </c>
      <c r="K25" s="8">
        <f t="shared" si="2"/>
        <v>0</v>
      </c>
      <c r="L25" s="65"/>
      <c r="M25" s="37">
        <f t="shared" si="3"/>
        <v>573654.99289999984</v>
      </c>
      <c r="N25" s="8"/>
    </row>
    <row r="26" spans="1:14">
      <c r="A26" s="43">
        <v>23</v>
      </c>
      <c r="B26" s="211">
        <v>45923</v>
      </c>
      <c r="C26" s="64"/>
      <c r="D26" s="152"/>
      <c r="E26" s="256"/>
      <c r="F26" s="359"/>
      <c r="G26" s="8">
        <f t="shared" si="0"/>
        <v>0</v>
      </c>
      <c r="H26" s="256"/>
      <c r="I26" s="283"/>
      <c r="J26" s="8">
        <f t="shared" si="1"/>
        <v>0</v>
      </c>
      <c r="K26" s="8">
        <f t="shared" si="2"/>
        <v>0</v>
      </c>
      <c r="L26" s="65">
        <v>427500</v>
      </c>
      <c r="M26" s="37">
        <f t="shared" si="3"/>
        <v>146154.99289999984</v>
      </c>
      <c r="N26" s="8"/>
    </row>
    <row r="27" spans="1:14">
      <c r="A27" s="43">
        <v>24</v>
      </c>
      <c r="B27" s="211">
        <v>45924</v>
      </c>
      <c r="C27" s="64"/>
      <c r="D27" s="152"/>
      <c r="E27" s="256">
        <v>690</v>
      </c>
      <c r="F27" s="359">
        <v>104.35</v>
      </c>
      <c r="G27" s="8">
        <f t="shared" si="0"/>
        <v>72001.5</v>
      </c>
      <c r="H27" s="256">
        <v>20</v>
      </c>
      <c r="I27" s="283">
        <v>116.25</v>
      </c>
      <c r="J27" s="8">
        <f t="shared" si="1"/>
        <v>2325</v>
      </c>
      <c r="K27" s="8">
        <f t="shared" si="2"/>
        <v>74326.5</v>
      </c>
      <c r="L27" s="65"/>
      <c r="M27" s="37">
        <f t="shared" si="3"/>
        <v>220481.49289999984</v>
      </c>
      <c r="N27" s="8"/>
    </row>
    <row r="28" spans="1:14">
      <c r="A28" s="43">
        <v>25</v>
      </c>
      <c r="B28" s="211">
        <v>45925</v>
      </c>
      <c r="C28" s="64"/>
      <c r="D28" s="152"/>
      <c r="E28" s="256"/>
      <c r="F28" s="359"/>
      <c r="G28" s="8">
        <f t="shared" si="0"/>
        <v>0</v>
      </c>
      <c r="H28" s="256"/>
      <c r="I28" s="283"/>
      <c r="J28" s="8">
        <f t="shared" si="1"/>
        <v>0</v>
      </c>
      <c r="K28" s="8">
        <f t="shared" si="2"/>
        <v>0</v>
      </c>
      <c r="L28" s="65"/>
      <c r="M28" s="37">
        <f t="shared" si="3"/>
        <v>220481.49289999984</v>
      </c>
      <c r="N28" s="8"/>
    </row>
    <row r="29" spans="1:14">
      <c r="A29" s="188">
        <v>26</v>
      </c>
      <c r="B29" s="211">
        <v>45926</v>
      </c>
      <c r="C29" s="64"/>
      <c r="D29" s="152"/>
      <c r="E29" s="256">
        <v>690</v>
      </c>
      <c r="F29" s="359">
        <v>104.35</v>
      </c>
      <c r="G29" s="8">
        <f t="shared" si="0"/>
        <v>72001.5</v>
      </c>
      <c r="H29" s="256">
        <v>20</v>
      </c>
      <c r="I29" s="283">
        <v>116.25</v>
      </c>
      <c r="J29" s="8">
        <f t="shared" si="1"/>
        <v>2325</v>
      </c>
      <c r="K29" s="8">
        <f t="shared" si="2"/>
        <v>74326.5</v>
      </c>
      <c r="L29" s="65"/>
      <c r="M29" s="37">
        <f t="shared" si="3"/>
        <v>294807.99289999984</v>
      </c>
      <c r="N29" s="8"/>
    </row>
    <row r="30" spans="1:14">
      <c r="A30" s="43">
        <v>27</v>
      </c>
      <c r="B30" s="211">
        <v>45927</v>
      </c>
      <c r="C30" s="64"/>
      <c r="D30" s="152"/>
      <c r="E30" s="256"/>
      <c r="F30" s="359"/>
      <c r="G30" s="8">
        <f t="shared" si="0"/>
        <v>0</v>
      </c>
      <c r="H30" s="62"/>
      <c r="I30" s="63"/>
      <c r="J30" s="8">
        <f t="shared" si="1"/>
        <v>0</v>
      </c>
      <c r="K30" s="8">
        <f t="shared" si="2"/>
        <v>0</v>
      </c>
      <c r="L30" s="65"/>
      <c r="M30" s="37">
        <f t="shared" si="3"/>
        <v>294807.99289999984</v>
      </c>
      <c r="N30" s="8"/>
    </row>
    <row r="31" spans="1:14">
      <c r="A31" s="43">
        <v>28</v>
      </c>
      <c r="B31" s="211">
        <v>45928</v>
      </c>
      <c r="C31" s="64"/>
      <c r="D31" s="152"/>
      <c r="E31" s="256"/>
      <c r="F31" s="359"/>
      <c r="G31" s="8">
        <f t="shared" si="0"/>
        <v>0</v>
      </c>
      <c r="H31" s="62"/>
      <c r="I31" s="63"/>
      <c r="J31" s="8">
        <f t="shared" si="1"/>
        <v>0</v>
      </c>
      <c r="K31" s="8">
        <f t="shared" si="2"/>
        <v>0</v>
      </c>
      <c r="L31" s="65"/>
      <c r="M31" s="37">
        <f t="shared" si="3"/>
        <v>294807.99289999984</v>
      </c>
      <c r="N31" s="8"/>
    </row>
    <row r="32" spans="1:14">
      <c r="A32" s="43">
        <v>29</v>
      </c>
      <c r="B32" s="211">
        <v>45929</v>
      </c>
      <c r="C32" s="64"/>
      <c r="D32" s="152"/>
      <c r="E32" s="256">
        <v>690</v>
      </c>
      <c r="F32" s="359">
        <v>104.35</v>
      </c>
      <c r="G32" s="8">
        <f t="shared" si="0"/>
        <v>72001.5</v>
      </c>
      <c r="H32" s="62"/>
      <c r="I32" s="63"/>
      <c r="J32" s="8">
        <f t="shared" si="1"/>
        <v>0</v>
      </c>
      <c r="K32" s="8">
        <f t="shared" si="2"/>
        <v>72001.5</v>
      </c>
      <c r="L32" s="65"/>
      <c r="M32" s="37">
        <f t="shared" si="3"/>
        <v>366809.49289999984</v>
      </c>
      <c r="N32" s="8"/>
    </row>
    <row r="33" spans="1:14">
      <c r="A33" s="43">
        <v>30</v>
      </c>
      <c r="B33" s="211">
        <v>45930</v>
      </c>
      <c r="C33" s="64"/>
      <c r="D33" s="152"/>
      <c r="E33" s="256"/>
      <c r="F33" s="359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/>
      <c r="M33" s="37">
        <f t="shared" si="3"/>
        <v>366809.49289999984</v>
      </c>
      <c r="N33" s="8"/>
    </row>
    <row r="34" spans="1:14">
      <c r="A34" s="188">
        <v>31</v>
      </c>
      <c r="B34" s="211"/>
      <c r="C34" s="64"/>
      <c r="D34" s="152"/>
      <c r="E34" s="256"/>
      <c r="F34" s="417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/>
      <c r="M34" s="37">
        <f t="shared" si="3"/>
        <v>366809.49289999984</v>
      </c>
      <c r="N34" s="8"/>
    </row>
    <row r="35" spans="1:14">
      <c r="A35" s="43">
        <v>32</v>
      </c>
      <c r="B35" s="211"/>
      <c r="C35" s="64"/>
      <c r="D35" s="152"/>
      <c r="E35" s="418"/>
      <c r="F35" s="417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/>
      <c r="M35" s="37">
        <f>M34+K35-L35</f>
        <v>366809.49289999984</v>
      </c>
      <c r="N35" s="8"/>
    </row>
    <row r="36" spans="1:14">
      <c r="A36" s="59"/>
      <c r="B36" s="59"/>
      <c r="C36" s="59"/>
      <c r="D36" s="59"/>
      <c r="E36" s="249">
        <f>SUM(E4:E35)</f>
        <v>6120</v>
      </c>
      <c r="F36" s="249"/>
      <c r="G36" s="60">
        <f>SUM(G4:G35)</f>
        <v>638622</v>
      </c>
      <c r="H36" s="60">
        <f>SUM(H4:H35)</f>
        <v>82</v>
      </c>
      <c r="I36" s="60"/>
      <c r="J36" s="60">
        <f>SUM(J4:J35)</f>
        <v>9532.5</v>
      </c>
      <c r="K36" s="60">
        <f>SUM(K4:K35)</f>
        <v>648154.5</v>
      </c>
      <c r="L36" s="60">
        <f>SUM(L4:L35)</f>
        <v>427500</v>
      </c>
      <c r="M36" s="60"/>
      <c r="N36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993B-BBEE-4E4C-B551-5B5B42A84B3C}">
  <dimension ref="A1:U35"/>
  <sheetViews>
    <sheetView workbookViewId="0">
      <pane ySplit="3" topLeftCell="A20" activePane="bottomLeft" state="frozen"/>
      <selection pane="bottomLeft" activeCell="L33" sqref="L33"/>
    </sheetView>
  </sheetViews>
  <sheetFormatPr defaultRowHeight="15"/>
  <cols>
    <col min="2" max="2" width="15" customWidth="1"/>
    <col min="4" max="4" width="13.28515625" bestFit="1" customWidth="1"/>
    <col min="6" max="6" width="9.7109375" bestFit="1" customWidth="1"/>
    <col min="7" max="7" width="11.85546875" bestFit="1" customWidth="1"/>
    <col min="11" max="12" width="13.5703125" bestFit="1" customWidth="1"/>
    <col min="13" max="13" width="11" customWidth="1"/>
    <col min="14" max="14" width="11" bestFit="1" customWidth="1"/>
    <col min="15" max="15" width="13.85546875" customWidth="1"/>
    <col min="21" max="21" width="15" bestFit="1" customWidth="1"/>
  </cols>
  <sheetData>
    <row r="1" spans="1:20" ht="15.75">
      <c r="A1" s="590" t="s">
        <v>167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20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20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3"/>
      <c r="M3" s="143">
        <v>0</v>
      </c>
      <c r="N3" s="149"/>
    </row>
    <row r="4" spans="1:20">
      <c r="A4" s="188">
        <v>1</v>
      </c>
      <c r="B4" s="211">
        <v>46266</v>
      </c>
      <c r="C4" s="64"/>
      <c r="D4" s="152"/>
      <c r="E4" s="152"/>
      <c r="F4" s="359"/>
      <c r="G4" s="8">
        <f t="shared" ref="G4:G34" si="0">E4*F4</f>
        <v>0</v>
      </c>
      <c r="H4" s="256"/>
      <c r="I4" s="283"/>
      <c r="J4" s="8">
        <f>H4*I4</f>
        <v>0</v>
      </c>
      <c r="K4" s="8">
        <f>G4+J4</f>
        <v>0</v>
      </c>
      <c r="L4" s="8">
        <f>H4+K4</f>
        <v>0</v>
      </c>
      <c r="M4" s="37">
        <f>M3+K4-L4</f>
        <v>0</v>
      </c>
      <c r="N4" s="8"/>
    </row>
    <row r="5" spans="1:20">
      <c r="A5" s="43">
        <v>2</v>
      </c>
      <c r="B5" s="211">
        <v>46267</v>
      </c>
      <c r="C5" s="64"/>
      <c r="D5" s="152"/>
      <c r="E5" s="256"/>
      <c r="F5" s="359"/>
      <c r="G5" s="8">
        <f t="shared" si="0"/>
        <v>0</v>
      </c>
      <c r="H5" s="256"/>
      <c r="I5" s="283"/>
      <c r="J5" s="8">
        <f t="shared" ref="J5:J34" si="1">H5*I5</f>
        <v>0</v>
      </c>
      <c r="K5" s="8">
        <f t="shared" ref="K5:L34" si="2">G5+J5</f>
        <v>0</v>
      </c>
      <c r="L5" s="459">
        <f t="shared" si="2"/>
        <v>0</v>
      </c>
      <c r="M5" s="37">
        <f>M4+K5-L5</f>
        <v>0</v>
      </c>
      <c r="N5" s="8"/>
    </row>
    <row r="6" spans="1:20">
      <c r="A6" s="43">
        <v>3</v>
      </c>
      <c r="B6" s="211">
        <v>46268</v>
      </c>
      <c r="C6" s="64"/>
      <c r="D6" s="152"/>
      <c r="E6" s="256"/>
      <c r="F6" s="359"/>
      <c r="G6" s="8">
        <f t="shared" si="0"/>
        <v>0</v>
      </c>
      <c r="H6" s="256"/>
      <c r="I6" s="283"/>
      <c r="J6" s="8">
        <f t="shared" si="1"/>
        <v>0</v>
      </c>
      <c r="K6" s="8">
        <f t="shared" si="2"/>
        <v>0</v>
      </c>
      <c r="L6" s="8">
        <f t="shared" si="2"/>
        <v>0</v>
      </c>
      <c r="M6" s="37">
        <f t="shared" ref="M5:M34" si="3">M5+K6-L6</f>
        <v>0</v>
      </c>
      <c r="N6" s="8"/>
    </row>
    <row r="7" spans="1:20">
      <c r="A7" s="43">
        <v>4</v>
      </c>
      <c r="B7" s="211">
        <v>46269</v>
      </c>
      <c r="C7" s="64"/>
      <c r="D7" s="152"/>
      <c r="E7" s="256"/>
      <c r="F7" s="359"/>
      <c r="G7" s="8">
        <f t="shared" si="0"/>
        <v>0</v>
      </c>
      <c r="H7" s="256"/>
      <c r="I7" s="283"/>
      <c r="J7" s="8">
        <f t="shared" si="1"/>
        <v>0</v>
      </c>
      <c r="K7" s="8">
        <f t="shared" si="2"/>
        <v>0</v>
      </c>
      <c r="L7" s="8">
        <f t="shared" si="2"/>
        <v>0</v>
      </c>
      <c r="M7" s="37">
        <f t="shared" si="3"/>
        <v>0</v>
      </c>
      <c r="N7" s="8"/>
    </row>
    <row r="8" spans="1:20">
      <c r="A8" s="43">
        <v>5</v>
      </c>
      <c r="B8" s="211">
        <v>46270</v>
      </c>
      <c r="C8" s="64"/>
      <c r="D8" s="152"/>
      <c r="E8" s="256"/>
      <c r="F8" s="359"/>
      <c r="G8" s="8">
        <f t="shared" si="0"/>
        <v>0</v>
      </c>
      <c r="H8" s="256"/>
      <c r="I8" s="283"/>
      <c r="J8" s="8">
        <f t="shared" si="1"/>
        <v>0</v>
      </c>
      <c r="K8" s="8">
        <f t="shared" si="2"/>
        <v>0</v>
      </c>
      <c r="L8" s="557">
        <f t="shared" si="2"/>
        <v>0</v>
      </c>
      <c r="M8" s="37">
        <f t="shared" si="3"/>
        <v>0</v>
      </c>
      <c r="N8" s="8"/>
    </row>
    <row r="9" spans="1:20">
      <c r="A9" s="43">
        <v>6</v>
      </c>
      <c r="B9" s="211">
        <v>46271</v>
      </c>
      <c r="C9" s="64"/>
      <c r="D9" s="152"/>
      <c r="E9" s="256">
        <v>476.64</v>
      </c>
      <c r="F9" s="359">
        <v>104.9</v>
      </c>
      <c r="G9" s="8">
        <f t="shared" si="0"/>
        <v>49999.536</v>
      </c>
      <c r="H9" s="256"/>
      <c r="I9" s="283"/>
      <c r="J9" s="8">
        <f t="shared" si="1"/>
        <v>0</v>
      </c>
      <c r="K9" s="8">
        <f t="shared" si="2"/>
        <v>49999.536</v>
      </c>
      <c r="L9" s="460">
        <v>49999.536</v>
      </c>
      <c r="M9" s="37">
        <f t="shared" si="3"/>
        <v>0</v>
      </c>
      <c r="N9" s="8" t="s">
        <v>187</v>
      </c>
      <c r="T9" s="19"/>
    </row>
    <row r="10" spans="1:20">
      <c r="A10" s="43">
        <v>7</v>
      </c>
      <c r="B10" s="211">
        <v>46272</v>
      </c>
      <c r="C10" s="64"/>
      <c r="D10" s="152"/>
      <c r="E10" s="256"/>
      <c r="F10" s="359"/>
      <c r="G10" s="8">
        <f t="shared" si="0"/>
        <v>0</v>
      </c>
      <c r="H10" s="256"/>
      <c r="I10" s="283"/>
      <c r="J10" s="8">
        <f t="shared" si="1"/>
        <v>0</v>
      </c>
      <c r="K10" s="8">
        <f t="shared" si="2"/>
        <v>0</v>
      </c>
      <c r="L10" s="65">
        <v>0</v>
      </c>
      <c r="M10" s="37">
        <f t="shared" si="3"/>
        <v>0</v>
      </c>
      <c r="N10" s="8"/>
    </row>
    <row r="11" spans="1:20">
      <c r="A11" s="43">
        <v>8</v>
      </c>
      <c r="B11" s="211">
        <v>46273</v>
      </c>
      <c r="C11" s="64"/>
      <c r="D11" s="152"/>
      <c r="E11" s="256"/>
      <c r="F11" s="359"/>
      <c r="G11" s="459">
        <f t="shared" si="0"/>
        <v>0</v>
      </c>
      <c r="H11" s="256"/>
      <c r="I11" s="283"/>
      <c r="J11" s="8">
        <f t="shared" si="1"/>
        <v>0</v>
      </c>
      <c r="K11" s="459">
        <f t="shared" si="2"/>
        <v>0</v>
      </c>
      <c r="L11" s="459">
        <f t="shared" si="2"/>
        <v>0</v>
      </c>
      <c r="M11" s="37">
        <f t="shared" si="3"/>
        <v>0</v>
      </c>
      <c r="N11" s="8"/>
    </row>
    <row r="12" spans="1:20">
      <c r="A12" s="43">
        <v>9</v>
      </c>
      <c r="B12" s="211">
        <v>46274</v>
      </c>
      <c r="C12" s="64"/>
      <c r="D12" s="152"/>
      <c r="E12" s="256"/>
      <c r="F12" s="359"/>
      <c r="G12" s="8">
        <f t="shared" si="0"/>
        <v>0</v>
      </c>
      <c r="H12" s="256"/>
      <c r="I12" s="283"/>
      <c r="J12" s="8">
        <f t="shared" si="1"/>
        <v>0</v>
      </c>
      <c r="K12" s="8">
        <f t="shared" si="2"/>
        <v>0</v>
      </c>
      <c r="L12" s="65">
        <v>0</v>
      </c>
      <c r="M12" s="37">
        <f t="shared" si="3"/>
        <v>0</v>
      </c>
      <c r="N12" s="8"/>
    </row>
    <row r="13" spans="1:20">
      <c r="A13" s="43">
        <v>10</v>
      </c>
      <c r="B13" s="211">
        <v>46275</v>
      </c>
      <c r="C13" s="64"/>
      <c r="D13" s="152"/>
      <c r="E13" s="256"/>
      <c r="F13" s="359"/>
      <c r="G13" s="459">
        <f t="shared" si="0"/>
        <v>0</v>
      </c>
      <c r="H13" s="256"/>
      <c r="I13" s="283"/>
      <c r="J13" s="8">
        <f t="shared" si="1"/>
        <v>0</v>
      </c>
      <c r="K13" s="459">
        <f t="shared" si="2"/>
        <v>0</v>
      </c>
      <c r="L13" s="459">
        <f t="shared" si="2"/>
        <v>0</v>
      </c>
      <c r="M13" s="37">
        <f t="shared" si="3"/>
        <v>0</v>
      </c>
      <c r="N13" s="8"/>
    </row>
    <row r="14" spans="1:20">
      <c r="A14" s="43">
        <v>11</v>
      </c>
      <c r="B14" s="211">
        <v>46276</v>
      </c>
      <c r="C14" s="64"/>
      <c r="D14" s="152"/>
      <c r="E14" s="256"/>
      <c r="F14" s="359"/>
      <c r="G14" s="8">
        <f t="shared" si="0"/>
        <v>0</v>
      </c>
      <c r="H14" s="256"/>
      <c r="I14" s="283"/>
      <c r="J14" s="8">
        <f t="shared" si="1"/>
        <v>0</v>
      </c>
      <c r="K14" s="8">
        <f t="shared" si="2"/>
        <v>0</v>
      </c>
      <c r="L14" s="8">
        <f t="shared" si="2"/>
        <v>0</v>
      </c>
      <c r="M14" s="37">
        <f t="shared" si="3"/>
        <v>0</v>
      </c>
      <c r="N14" s="8"/>
    </row>
    <row r="15" spans="1:20">
      <c r="A15" s="43">
        <v>12</v>
      </c>
      <c r="B15" s="211">
        <v>46277</v>
      </c>
      <c r="C15" s="64"/>
      <c r="D15" s="152"/>
      <c r="E15" s="256"/>
      <c r="F15" s="359"/>
      <c r="G15" s="459">
        <f t="shared" si="0"/>
        <v>0</v>
      </c>
      <c r="H15" s="256"/>
      <c r="I15" s="283"/>
      <c r="J15" s="8">
        <f t="shared" si="1"/>
        <v>0</v>
      </c>
      <c r="K15" s="459">
        <f t="shared" si="2"/>
        <v>0</v>
      </c>
      <c r="L15" s="459">
        <f t="shared" si="2"/>
        <v>0</v>
      </c>
      <c r="M15" s="37">
        <f t="shared" si="3"/>
        <v>0</v>
      </c>
      <c r="N15" s="8"/>
    </row>
    <row r="16" spans="1:20">
      <c r="A16" s="43">
        <v>13</v>
      </c>
      <c r="B16" s="211">
        <v>46278</v>
      </c>
      <c r="C16" s="64"/>
      <c r="D16" s="152"/>
      <c r="E16" s="256"/>
      <c r="F16" s="359"/>
      <c r="G16" s="8">
        <f t="shared" si="0"/>
        <v>0</v>
      </c>
      <c r="H16" s="256"/>
      <c r="I16" s="283"/>
      <c r="J16" s="8">
        <f t="shared" si="1"/>
        <v>0</v>
      </c>
      <c r="K16" s="8">
        <f t="shared" si="2"/>
        <v>0</v>
      </c>
      <c r="L16" s="8">
        <f t="shared" si="2"/>
        <v>0</v>
      </c>
      <c r="M16" s="37">
        <f t="shared" si="3"/>
        <v>0</v>
      </c>
      <c r="N16" s="8"/>
    </row>
    <row r="17" spans="1:21">
      <c r="A17" s="43">
        <v>14</v>
      </c>
      <c r="B17" s="211">
        <v>46279</v>
      </c>
      <c r="C17" s="64"/>
      <c r="D17" s="152"/>
      <c r="E17" s="256"/>
      <c r="F17" s="359"/>
      <c r="G17" s="8">
        <f t="shared" si="0"/>
        <v>0</v>
      </c>
      <c r="H17" s="256"/>
      <c r="I17" s="283"/>
      <c r="J17" s="8">
        <f t="shared" si="1"/>
        <v>0</v>
      </c>
      <c r="K17" s="8">
        <f t="shared" si="2"/>
        <v>0</v>
      </c>
      <c r="L17" s="8">
        <f t="shared" si="2"/>
        <v>0</v>
      </c>
      <c r="M17" s="37">
        <f t="shared" si="3"/>
        <v>0</v>
      </c>
      <c r="N17" s="8"/>
      <c r="U17" s="19"/>
    </row>
    <row r="18" spans="1:21">
      <c r="A18" s="43">
        <v>15</v>
      </c>
      <c r="B18" s="211">
        <v>46280</v>
      </c>
      <c r="C18" s="64"/>
      <c r="D18" s="152"/>
      <c r="E18" s="256"/>
      <c r="F18" s="359"/>
      <c r="G18" s="8">
        <f t="shared" si="0"/>
        <v>0</v>
      </c>
      <c r="H18" s="256"/>
      <c r="I18" s="283"/>
      <c r="J18" s="8">
        <f t="shared" si="1"/>
        <v>0</v>
      </c>
      <c r="K18" s="459">
        <f t="shared" si="2"/>
        <v>0</v>
      </c>
      <c r="L18" s="459">
        <f t="shared" si="2"/>
        <v>0</v>
      </c>
      <c r="M18" s="37">
        <f t="shared" si="3"/>
        <v>0</v>
      </c>
      <c r="N18" s="8"/>
    </row>
    <row r="19" spans="1:21">
      <c r="A19" s="43">
        <v>16</v>
      </c>
      <c r="B19" s="211">
        <v>46281</v>
      </c>
      <c r="C19" s="64"/>
      <c r="D19" s="152"/>
      <c r="E19" s="256"/>
      <c r="F19" s="359"/>
      <c r="G19" s="8">
        <f t="shared" ref="G19" si="4">E19*F19</f>
        <v>0</v>
      </c>
      <c r="H19" s="256"/>
      <c r="I19" s="283"/>
      <c r="J19" s="8">
        <f t="shared" si="1"/>
        <v>0</v>
      </c>
      <c r="K19" s="459">
        <f t="shared" ref="K19" si="5">G19+J19</f>
        <v>0</v>
      </c>
      <c r="L19" s="459">
        <f t="shared" ref="L19" si="6">H19+K19</f>
        <v>0</v>
      </c>
      <c r="M19" s="37">
        <f t="shared" si="3"/>
        <v>0</v>
      </c>
      <c r="N19" s="8"/>
    </row>
    <row r="20" spans="1:21">
      <c r="A20" s="43">
        <v>17</v>
      </c>
      <c r="B20" s="211">
        <v>46282</v>
      </c>
      <c r="C20" s="64"/>
      <c r="D20" s="152"/>
      <c r="E20" s="256">
        <v>238.03</v>
      </c>
      <c r="F20" s="359">
        <v>105.03</v>
      </c>
      <c r="G20" s="8">
        <f t="shared" si="0"/>
        <v>25000.2909</v>
      </c>
      <c r="H20" s="256"/>
      <c r="I20" s="283"/>
      <c r="J20" s="8">
        <f t="shared" si="1"/>
        <v>0</v>
      </c>
      <c r="K20" s="459">
        <f t="shared" si="2"/>
        <v>25000.2909</v>
      </c>
      <c r="L20" s="459">
        <f t="shared" si="2"/>
        <v>25000.2909</v>
      </c>
      <c r="M20" s="37">
        <f t="shared" si="3"/>
        <v>0</v>
      </c>
      <c r="N20" s="8" t="s">
        <v>188</v>
      </c>
    </row>
    <row r="21" spans="1:21">
      <c r="A21" s="43">
        <v>18</v>
      </c>
      <c r="B21" s="211">
        <v>46283</v>
      </c>
      <c r="C21" s="64"/>
      <c r="D21" s="152"/>
      <c r="E21" s="256"/>
      <c r="F21" s="359"/>
      <c r="G21" s="8">
        <f t="shared" si="0"/>
        <v>0</v>
      </c>
      <c r="H21" s="256"/>
      <c r="I21" s="283"/>
      <c r="J21" s="8">
        <f t="shared" si="1"/>
        <v>0</v>
      </c>
      <c r="K21" s="8">
        <f t="shared" si="2"/>
        <v>0</v>
      </c>
      <c r="L21" s="8">
        <f t="shared" si="2"/>
        <v>0</v>
      </c>
      <c r="M21" s="37">
        <f t="shared" si="3"/>
        <v>0</v>
      </c>
      <c r="N21" s="8"/>
    </row>
    <row r="22" spans="1:21">
      <c r="A22" s="43">
        <v>19</v>
      </c>
      <c r="B22" s="211">
        <v>46284</v>
      </c>
      <c r="C22" s="64"/>
      <c r="D22" s="152"/>
      <c r="E22" s="256"/>
      <c r="F22" s="359"/>
      <c r="G22" s="8">
        <f t="shared" si="0"/>
        <v>0</v>
      </c>
      <c r="H22" s="256"/>
      <c r="I22" s="283"/>
      <c r="J22" s="8">
        <f t="shared" si="1"/>
        <v>0</v>
      </c>
      <c r="K22" s="8">
        <f t="shared" si="2"/>
        <v>0</v>
      </c>
      <c r="L22" s="8">
        <f t="shared" si="2"/>
        <v>0</v>
      </c>
      <c r="M22" s="37">
        <f t="shared" si="3"/>
        <v>0</v>
      </c>
      <c r="N22" s="8"/>
    </row>
    <row r="23" spans="1:21">
      <c r="A23" s="43">
        <v>20</v>
      </c>
      <c r="B23" s="211">
        <v>46285</v>
      </c>
      <c r="C23" s="64"/>
      <c r="D23" s="152"/>
      <c r="E23" s="256"/>
      <c r="F23" s="359"/>
      <c r="G23" s="8">
        <f t="shared" si="0"/>
        <v>0</v>
      </c>
      <c r="H23" s="256"/>
      <c r="I23" s="283"/>
      <c r="J23" s="8">
        <f t="shared" si="1"/>
        <v>0</v>
      </c>
      <c r="K23" s="8">
        <f t="shared" si="2"/>
        <v>0</v>
      </c>
      <c r="L23" s="8">
        <f t="shared" si="2"/>
        <v>0</v>
      </c>
      <c r="M23" s="37">
        <f t="shared" si="3"/>
        <v>0</v>
      </c>
      <c r="N23" s="8"/>
    </row>
    <row r="24" spans="1:21">
      <c r="A24" s="43">
        <v>21</v>
      </c>
      <c r="B24" s="211">
        <v>46286</v>
      </c>
      <c r="C24" s="64"/>
      <c r="D24" s="550"/>
      <c r="E24" s="418">
        <v>142.82</v>
      </c>
      <c r="F24" s="359">
        <v>105.03</v>
      </c>
      <c r="G24" s="8">
        <f t="shared" si="0"/>
        <v>15000.384599999999</v>
      </c>
      <c r="H24" s="256"/>
      <c r="I24" s="283"/>
      <c r="J24" s="8">
        <f t="shared" si="1"/>
        <v>0</v>
      </c>
      <c r="K24" s="8">
        <f t="shared" si="2"/>
        <v>15000.384599999999</v>
      </c>
      <c r="L24" s="8">
        <f t="shared" si="2"/>
        <v>15000.384599999999</v>
      </c>
      <c r="M24" s="37">
        <f t="shared" si="3"/>
        <v>0</v>
      </c>
      <c r="N24" s="8" t="s">
        <v>189</v>
      </c>
    </row>
    <row r="25" spans="1:21">
      <c r="A25" s="43">
        <v>22</v>
      </c>
      <c r="B25" s="211">
        <v>46287</v>
      </c>
      <c r="C25" s="548"/>
      <c r="D25" s="152"/>
      <c r="E25" s="256"/>
      <c r="F25" s="549"/>
      <c r="G25" s="8">
        <f t="shared" si="0"/>
        <v>0</v>
      </c>
      <c r="H25" s="256"/>
      <c r="I25" s="283"/>
      <c r="J25" s="8">
        <f t="shared" si="1"/>
        <v>0</v>
      </c>
      <c r="K25" s="8">
        <f t="shared" si="2"/>
        <v>0</v>
      </c>
      <c r="L25" s="8">
        <f t="shared" si="2"/>
        <v>0</v>
      </c>
      <c r="M25" s="37">
        <f t="shared" si="3"/>
        <v>0</v>
      </c>
      <c r="N25" s="8"/>
    </row>
    <row r="26" spans="1:21">
      <c r="A26" s="43">
        <v>23</v>
      </c>
      <c r="B26" s="211">
        <v>46288</v>
      </c>
      <c r="C26" s="548"/>
      <c r="D26" s="152"/>
      <c r="E26" s="256"/>
      <c r="F26" s="549"/>
      <c r="G26" s="8">
        <f t="shared" si="0"/>
        <v>0</v>
      </c>
      <c r="H26" s="256"/>
      <c r="I26" s="283"/>
      <c r="J26" s="8">
        <f t="shared" si="1"/>
        <v>0</v>
      </c>
      <c r="K26" s="8">
        <f t="shared" si="2"/>
        <v>0</v>
      </c>
      <c r="L26" s="65">
        <f t="shared" ref="L18:L35" si="7">+K26</f>
        <v>0</v>
      </c>
      <c r="M26" s="37">
        <f t="shared" si="3"/>
        <v>0</v>
      </c>
      <c r="N26" s="8"/>
    </row>
    <row r="27" spans="1:21">
      <c r="A27" s="43">
        <v>24</v>
      </c>
      <c r="B27" s="211">
        <v>46289</v>
      </c>
      <c r="C27" s="548"/>
      <c r="D27" s="152"/>
      <c r="E27" s="256">
        <v>238</v>
      </c>
      <c r="F27" s="549">
        <v>105.03</v>
      </c>
      <c r="G27" s="8">
        <f t="shared" si="0"/>
        <v>24997.14</v>
      </c>
      <c r="H27" s="256"/>
      <c r="I27" s="283"/>
      <c r="J27" s="8">
        <f t="shared" si="1"/>
        <v>0</v>
      </c>
      <c r="K27" s="8">
        <f t="shared" si="2"/>
        <v>24997.14</v>
      </c>
      <c r="L27" s="65">
        <f t="shared" si="7"/>
        <v>24997.14</v>
      </c>
      <c r="M27" s="37">
        <f t="shared" si="3"/>
        <v>0</v>
      </c>
      <c r="N27" s="8"/>
    </row>
    <row r="28" spans="1:21">
      <c r="A28" s="213">
        <v>25</v>
      </c>
      <c r="B28" s="211">
        <v>46290</v>
      </c>
      <c r="C28" s="548"/>
      <c r="D28" s="152"/>
      <c r="E28" s="14"/>
      <c r="F28" s="549"/>
      <c r="G28" s="8">
        <f t="shared" si="0"/>
        <v>0</v>
      </c>
      <c r="H28" s="256"/>
      <c r="I28" s="283"/>
      <c r="J28" s="8">
        <f t="shared" si="1"/>
        <v>0</v>
      </c>
      <c r="K28" s="8">
        <f t="shared" si="2"/>
        <v>0</v>
      </c>
      <c r="L28" s="65">
        <f t="shared" si="7"/>
        <v>0</v>
      </c>
      <c r="M28" s="37">
        <f t="shared" si="3"/>
        <v>0</v>
      </c>
      <c r="N28" s="8"/>
    </row>
    <row r="29" spans="1:21">
      <c r="A29" s="213">
        <v>26</v>
      </c>
      <c r="B29" s="211">
        <v>46291</v>
      </c>
      <c r="C29" s="548"/>
      <c r="D29" s="152"/>
      <c r="E29" s="14">
        <v>380</v>
      </c>
      <c r="F29" s="549">
        <v>105.12</v>
      </c>
      <c r="G29" s="8">
        <f t="shared" si="0"/>
        <v>39945.599999999999</v>
      </c>
      <c r="H29" s="62"/>
      <c r="I29" s="63"/>
      <c r="J29" s="8">
        <f t="shared" si="1"/>
        <v>0</v>
      </c>
      <c r="K29" s="8">
        <f t="shared" si="2"/>
        <v>39945.599999999999</v>
      </c>
      <c r="L29" s="65">
        <f t="shared" si="7"/>
        <v>39945.599999999999</v>
      </c>
      <c r="M29" s="37">
        <f t="shared" si="3"/>
        <v>0</v>
      </c>
      <c r="N29" s="8" t="s">
        <v>190</v>
      </c>
      <c r="U29" s="19"/>
    </row>
    <row r="30" spans="1:21">
      <c r="A30" s="213">
        <v>27</v>
      </c>
      <c r="B30" s="211">
        <v>46292</v>
      </c>
      <c r="C30" s="548"/>
      <c r="D30" s="152"/>
      <c r="E30" s="248"/>
      <c r="F30" s="534"/>
      <c r="G30" s="8">
        <f t="shared" si="0"/>
        <v>0</v>
      </c>
      <c r="H30" s="62"/>
      <c r="I30" s="63"/>
      <c r="J30" s="8">
        <f t="shared" si="1"/>
        <v>0</v>
      </c>
      <c r="K30" s="8">
        <f t="shared" si="2"/>
        <v>0</v>
      </c>
      <c r="L30" s="65">
        <f t="shared" si="7"/>
        <v>0</v>
      </c>
      <c r="M30" s="37">
        <f t="shared" si="3"/>
        <v>0</v>
      </c>
      <c r="N30" s="8"/>
    </row>
    <row r="31" spans="1:21">
      <c r="A31" s="213">
        <v>28</v>
      </c>
      <c r="B31" s="211">
        <v>46293</v>
      </c>
      <c r="C31" s="64"/>
      <c r="D31" s="125"/>
      <c r="E31" s="530">
        <v>285.39</v>
      </c>
      <c r="F31" s="248">
        <v>105.12</v>
      </c>
      <c r="G31" s="8">
        <f t="shared" si="0"/>
        <v>30000.196800000002</v>
      </c>
      <c r="H31" s="62"/>
      <c r="I31" s="63"/>
      <c r="J31" s="8">
        <f t="shared" si="1"/>
        <v>0</v>
      </c>
      <c r="K31" s="8">
        <f t="shared" si="2"/>
        <v>30000.196800000002</v>
      </c>
      <c r="L31" s="65">
        <f t="shared" si="7"/>
        <v>30000.196800000002</v>
      </c>
      <c r="M31" s="37">
        <f t="shared" si="3"/>
        <v>0</v>
      </c>
      <c r="N31" s="8" t="s">
        <v>190</v>
      </c>
    </row>
    <row r="32" spans="1:21">
      <c r="A32" s="214">
        <v>29</v>
      </c>
      <c r="B32" s="211">
        <v>46294</v>
      </c>
      <c r="C32" s="64"/>
      <c r="D32" s="152"/>
      <c r="E32" s="248"/>
      <c r="F32" s="248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7"/>
        <v>0</v>
      </c>
      <c r="M32" s="37">
        <f t="shared" si="3"/>
        <v>0</v>
      </c>
      <c r="N32" s="8"/>
    </row>
    <row r="33" spans="1:14">
      <c r="A33" s="214">
        <v>30</v>
      </c>
      <c r="B33" s="211">
        <v>46295</v>
      </c>
      <c r="C33" s="64"/>
      <c r="D33" s="152"/>
      <c r="E33" s="248">
        <v>285.39</v>
      </c>
      <c r="F33" s="248">
        <v>105.12</v>
      </c>
      <c r="G33" s="8">
        <f t="shared" si="0"/>
        <v>30000.196800000002</v>
      </c>
      <c r="H33" s="62"/>
      <c r="I33" s="63"/>
      <c r="J33" s="8">
        <f t="shared" si="1"/>
        <v>0</v>
      </c>
      <c r="K33" s="8">
        <f t="shared" si="2"/>
        <v>30000.196800000002</v>
      </c>
      <c r="L33" s="65">
        <f t="shared" si="7"/>
        <v>30000.196800000002</v>
      </c>
      <c r="M33" s="37">
        <f t="shared" si="3"/>
        <v>0</v>
      </c>
      <c r="N33" s="8" t="s">
        <v>190</v>
      </c>
    </row>
    <row r="34" spans="1:14">
      <c r="A34" s="214">
        <v>31</v>
      </c>
      <c r="B34" s="211"/>
      <c r="C34" s="64"/>
      <c r="D34" s="152"/>
      <c r="E34" s="248"/>
      <c r="F34" s="248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f t="shared" si="7"/>
        <v>0</v>
      </c>
      <c r="M34" s="65">
        <v>0</v>
      </c>
      <c r="N34" s="8"/>
    </row>
    <row r="35" spans="1:14">
      <c r="A35" s="59"/>
      <c r="B35" s="59"/>
      <c r="C35" s="59"/>
      <c r="D35" s="59"/>
      <c r="E35" s="249">
        <f>SUM(E4:E34)</f>
        <v>2046.27</v>
      </c>
      <c r="F35" s="249"/>
      <c r="G35" s="60">
        <f>SUM(G4:G34)</f>
        <v>214943.34510000001</v>
      </c>
      <c r="H35" s="60">
        <f>SUM(H4:H34)</f>
        <v>0</v>
      </c>
      <c r="I35" s="60"/>
      <c r="J35" s="60">
        <f>SUM(J4:J34)</f>
        <v>0</v>
      </c>
      <c r="K35" s="60">
        <f>SUM(K4:K34)</f>
        <v>214943.34510000001</v>
      </c>
      <c r="L35" s="60">
        <f>SUM(L4:L34)</f>
        <v>214943.34510000001</v>
      </c>
      <c r="M35" s="60"/>
      <c r="N35" s="60"/>
    </row>
  </sheetData>
  <mergeCells count="2">
    <mergeCell ref="A1:N1"/>
    <mergeCell ref="A3:L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workbookViewId="0">
      <pane ySplit="3" topLeftCell="A9" activePane="bottomLeft" state="frozen"/>
      <selection pane="bottomLeft" activeCell="L21" sqref="L21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16.42578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90" t="s">
        <v>84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3"/>
      <c r="M3" s="143">
        <v>0</v>
      </c>
      <c r="N3" s="149"/>
      <c r="O3" s="56"/>
    </row>
    <row r="4" spans="1:18">
      <c r="A4" s="188">
        <v>1</v>
      </c>
      <c r="B4" s="211">
        <v>45901</v>
      </c>
      <c r="C4" s="64"/>
      <c r="D4" s="152"/>
      <c r="E4" s="248">
        <v>44.75</v>
      </c>
      <c r="F4" s="248">
        <v>104.95</v>
      </c>
      <c r="G4" s="8">
        <f t="shared" ref="G4" si="0">E4*F4</f>
        <v>4696.5124999999998</v>
      </c>
      <c r="H4" s="62"/>
      <c r="I4" s="63"/>
      <c r="J4" s="8">
        <f>H4*I4</f>
        <v>0</v>
      </c>
      <c r="K4" s="8">
        <f>G4+J4</f>
        <v>4696.5124999999998</v>
      </c>
      <c r="L4" s="65">
        <f>+K4</f>
        <v>4696.5124999999998</v>
      </c>
      <c r="M4" s="65">
        <v>0</v>
      </c>
      <c r="N4" s="8"/>
    </row>
    <row r="5" spans="1:18">
      <c r="A5" s="43">
        <v>2</v>
      </c>
      <c r="B5" s="211">
        <v>45902</v>
      </c>
      <c r="C5" s="64"/>
      <c r="D5" s="152"/>
      <c r="E5" s="248"/>
      <c r="F5" s="248"/>
      <c r="G5" s="8">
        <f t="shared" ref="G5:G33" si="1">E5*F5</f>
        <v>0</v>
      </c>
      <c r="H5" s="62"/>
      <c r="I5" s="63"/>
      <c r="J5" s="8">
        <f t="shared" ref="J5:J33" si="2">H5*I5</f>
        <v>0</v>
      </c>
      <c r="K5" s="8">
        <f t="shared" ref="K5:K33" si="3">G5+J5</f>
        <v>0</v>
      </c>
      <c r="L5" s="65">
        <f t="shared" ref="L5:L33" si="4">+K5</f>
        <v>0</v>
      </c>
      <c r="M5" s="65">
        <v>0</v>
      </c>
      <c r="N5" s="8"/>
    </row>
    <row r="6" spans="1:18">
      <c r="A6" s="43">
        <v>3</v>
      </c>
      <c r="B6" s="211">
        <v>45903</v>
      </c>
      <c r="C6" s="64"/>
      <c r="D6" s="152"/>
      <c r="E6" s="248"/>
      <c r="F6" s="248"/>
      <c r="G6" s="8">
        <f t="shared" si="1"/>
        <v>0</v>
      </c>
      <c r="H6" s="62"/>
      <c r="I6" s="63"/>
      <c r="J6" s="8">
        <f t="shared" si="2"/>
        <v>0</v>
      </c>
      <c r="K6" s="8">
        <f t="shared" si="3"/>
        <v>0</v>
      </c>
      <c r="L6" s="65">
        <f t="shared" si="4"/>
        <v>0</v>
      </c>
      <c r="M6" s="65">
        <v>0</v>
      </c>
      <c r="N6" s="8"/>
    </row>
    <row r="7" spans="1:18">
      <c r="A7" s="43">
        <v>4</v>
      </c>
      <c r="B7" s="211">
        <v>45904</v>
      </c>
      <c r="C7" s="64"/>
      <c r="D7" s="152"/>
      <c r="E7" s="248"/>
      <c r="F7" s="248"/>
      <c r="G7" s="8">
        <f t="shared" si="1"/>
        <v>0</v>
      </c>
      <c r="H7" s="62"/>
      <c r="I7" s="63"/>
      <c r="J7" s="8">
        <f t="shared" si="2"/>
        <v>0</v>
      </c>
      <c r="K7" s="8">
        <f t="shared" si="3"/>
        <v>0</v>
      </c>
      <c r="L7" s="65">
        <f t="shared" si="4"/>
        <v>0</v>
      </c>
      <c r="M7" s="65">
        <v>0</v>
      </c>
      <c r="N7" s="8"/>
    </row>
    <row r="8" spans="1:18">
      <c r="A8" s="43">
        <v>5</v>
      </c>
      <c r="B8" s="211">
        <v>45905</v>
      </c>
      <c r="C8" s="64"/>
      <c r="D8" s="152"/>
      <c r="E8" s="248"/>
      <c r="F8" s="248"/>
      <c r="G8" s="8">
        <f t="shared" si="1"/>
        <v>0</v>
      </c>
      <c r="H8" s="62"/>
      <c r="I8" s="63"/>
      <c r="J8" s="8">
        <f t="shared" si="2"/>
        <v>0</v>
      </c>
      <c r="K8" s="8">
        <f t="shared" si="3"/>
        <v>0</v>
      </c>
      <c r="L8" s="65">
        <f t="shared" si="4"/>
        <v>0</v>
      </c>
      <c r="M8" s="65">
        <v>0</v>
      </c>
      <c r="N8" s="8"/>
      <c r="O8" s="66"/>
      <c r="R8" s="217"/>
    </row>
    <row r="9" spans="1:18">
      <c r="A9" s="43">
        <v>6</v>
      </c>
      <c r="B9" s="211">
        <v>45906</v>
      </c>
      <c r="C9" s="64"/>
      <c r="D9" s="152"/>
      <c r="E9" s="248"/>
      <c r="F9" s="248"/>
      <c r="G9" s="8">
        <f t="shared" si="1"/>
        <v>0</v>
      </c>
      <c r="H9" s="62"/>
      <c r="I9" s="63"/>
      <c r="J9" s="8">
        <f t="shared" si="2"/>
        <v>0</v>
      </c>
      <c r="K9" s="8">
        <f t="shared" si="3"/>
        <v>0</v>
      </c>
      <c r="L9" s="65">
        <f t="shared" si="4"/>
        <v>0</v>
      </c>
      <c r="M9" s="65">
        <v>0</v>
      </c>
      <c r="N9" s="8"/>
      <c r="O9" s="66"/>
    </row>
    <row r="10" spans="1:18">
      <c r="A10" s="43">
        <v>7</v>
      </c>
      <c r="B10" s="211">
        <v>45907</v>
      </c>
      <c r="C10" s="64"/>
      <c r="D10" s="152"/>
      <c r="E10" s="248"/>
      <c r="F10" s="248"/>
      <c r="G10" s="8">
        <f t="shared" si="1"/>
        <v>0</v>
      </c>
      <c r="H10" s="62"/>
      <c r="I10" s="63"/>
      <c r="J10" s="8">
        <f t="shared" si="2"/>
        <v>0</v>
      </c>
      <c r="K10" s="8">
        <f t="shared" si="3"/>
        <v>0</v>
      </c>
      <c r="L10" s="65">
        <f t="shared" si="4"/>
        <v>0</v>
      </c>
      <c r="M10" s="65">
        <v>0</v>
      </c>
      <c r="N10" s="8"/>
      <c r="O10" s="66"/>
    </row>
    <row r="11" spans="1:18">
      <c r="A11" s="43">
        <v>8</v>
      </c>
      <c r="B11" s="211">
        <v>45908</v>
      </c>
      <c r="C11" s="64"/>
      <c r="D11" s="152"/>
      <c r="E11" s="248"/>
      <c r="F11" s="248"/>
      <c r="G11" s="8">
        <f t="shared" si="1"/>
        <v>0</v>
      </c>
      <c r="H11" s="62"/>
      <c r="I11" s="63"/>
      <c r="J11" s="8">
        <f t="shared" si="2"/>
        <v>0</v>
      </c>
      <c r="K11" s="8">
        <f t="shared" si="3"/>
        <v>0</v>
      </c>
      <c r="L11" s="65">
        <f t="shared" si="4"/>
        <v>0</v>
      </c>
      <c r="M11" s="65">
        <v>0</v>
      </c>
      <c r="N11" s="8"/>
      <c r="O11" s="66"/>
    </row>
    <row r="12" spans="1:18">
      <c r="A12" s="43">
        <v>9</v>
      </c>
      <c r="B12" s="211">
        <v>45909</v>
      </c>
      <c r="C12" s="64"/>
      <c r="D12" s="152"/>
      <c r="E12" s="248"/>
      <c r="F12" s="248"/>
      <c r="G12" s="8">
        <f t="shared" si="1"/>
        <v>0</v>
      </c>
      <c r="H12" s="62"/>
      <c r="I12" s="63"/>
      <c r="J12" s="8">
        <f t="shared" si="2"/>
        <v>0</v>
      </c>
      <c r="K12" s="8">
        <f t="shared" ref="K12:K18" si="5">G12+J12</f>
        <v>0</v>
      </c>
      <c r="L12" s="65">
        <f t="shared" ref="L12:L18" si="6">+K12</f>
        <v>0</v>
      </c>
      <c r="M12" s="65">
        <v>0</v>
      </c>
      <c r="N12" s="8"/>
      <c r="O12" s="66"/>
    </row>
    <row r="13" spans="1:18">
      <c r="A13" s="43">
        <v>10</v>
      </c>
      <c r="B13" s="211">
        <v>45910</v>
      </c>
      <c r="C13" s="64"/>
      <c r="D13" s="152"/>
      <c r="E13" s="248"/>
      <c r="F13" s="248"/>
      <c r="G13" s="8">
        <f t="shared" si="1"/>
        <v>0</v>
      </c>
      <c r="H13" s="62"/>
      <c r="I13" s="63"/>
      <c r="J13" s="8">
        <f t="shared" si="2"/>
        <v>0</v>
      </c>
      <c r="K13" s="8">
        <f t="shared" si="5"/>
        <v>0</v>
      </c>
      <c r="L13" s="65">
        <f t="shared" si="6"/>
        <v>0</v>
      </c>
      <c r="M13" s="65">
        <v>0</v>
      </c>
      <c r="N13" s="8"/>
      <c r="O13" s="66"/>
    </row>
    <row r="14" spans="1:18">
      <c r="A14" s="43">
        <v>11</v>
      </c>
      <c r="B14" s="211">
        <v>45911</v>
      </c>
      <c r="C14" s="64"/>
      <c r="D14" s="152"/>
      <c r="E14" s="248"/>
      <c r="F14" s="248"/>
      <c r="G14" s="8">
        <f t="shared" si="1"/>
        <v>0</v>
      </c>
      <c r="H14" s="62"/>
      <c r="I14" s="63"/>
      <c r="J14" s="8">
        <f t="shared" si="2"/>
        <v>0</v>
      </c>
      <c r="K14" s="8">
        <f t="shared" si="5"/>
        <v>0</v>
      </c>
      <c r="L14" s="65">
        <f t="shared" si="6"/>
        <v>0</v>
      </c>
      <c r="M14" s="65">
        <v>0</v>
      </c>
      <c r="N14" s="8"/>
      <c r="O14" s="66"/>
    </row>
    <row r="15" spans="1:18">
      <c r="A15" s="43">
        <v>12</v>
      </c>
      <c r="B15" s="211">
        <v>45912</v>
      </c>
      <c r="C15" s="64"/>
      <c r="D15" s="152"/>
      <c r="E15" s="248"/>
      <c r="F15" s="248"/>
      <c r="G15" s="8">
        <f t="shared" si="1"/>
        <v>0</v>
      </c>
      <c r="H15" s="62"/>
      <c r="I15" s="63"/>
      <c r="J15" s="8">
        <f t="shared" si="2"/>
        <v>0</v>
      </c>
      <c r="K15" s="8">
        <f t="shared" si="5"/>
        <v>0</v>
      </c>
      <c r="L15" s="65">
        <f t="shared" si="6"/>
        <v>0</v>
      </c>
      <c r="M15" s="65">
        <v>0</v>
      </c>
      <c r="N15" s="8"/>
      <c r="O15" s="66"/>
    </row>
    <row r="16" spans="1:18">
      <c r="A16" s="43">
        <v>13</v>
      </c>
      <c r="B16" s="211">
        <v>45913</v>
      </c>
      <c r="C16" s="64"/>
      <c r="D16" s="152"/>
      <c r="E16" s="248"/>
      <c r="F16" s="248"/>
      <c r="G16" s="8">
        <f t="shared" si="1"/>
        <v>0</v>
      </c>
      <c r="H16" s="62"/>
      <c r="I16" s="63"/>
      <c r="J16" s="8">
        <f t="shared" si="2"/>
        <v>0</v>
      </c>
      <c r="K16" s="8">
        <f t="shared" si="5"/>
        <v>0</v>
      </c>
      <c r="L16" s="65">
        <f t="shared" si="6"/>
        <v>0</v>
      </c>
      <c r="M16" s="65">
        <v>0</v>
      </c>
      <c r="N16" s="8"/>
      <c r="O16" s="66"/>
    </row>
    <row r="17" spans="1:15">
      <c r="A17" s="43">
        <v>14</v>
      </c>
      <c r="B17" s="211">
        <v>45914</v>
      </c>
      <c r="C17" s="64"/>
      <c r="D17" s="152"/>
      <c r="E17" s="248"/>
      <c r="F17" s="248"/>
      <c r="G17" s="8">
        <f t="shared" si="1"/>
        <v>0</v>
      </c>
      <c r="H17" s="62"/>
      <c r="I17" s="63"/>
      <c r="J17" s="8">
        <f t="shared" si="2"/>
        <v>0</v>
      </c>
      <c r="K17" s="8">
        <f t="shared" si="5"/>
        <v>0</v>
      </c>
      <c r="L17" s="65">
        <f t="shared" si="6"/>
        <v>0</v>
      </c>
      <c r="M17" s="65">
        <v>0</v>
      </c>
      <c r="N17" s="8"/>
      <c r="O17" s="66"/>
    </row>
    <row r="18" spans="1:15">
      <c r="A18" s="43">
        <v>15</v>
      </c>
      <c r="B18" s="211">
        <v>45915</v>
      </c>
      <c r="C18" s="64"/>
      <c r="D18" s="152"/>
      <c r="E18" s="248"/>
      <c r="F18" s="248"/>
      <c r="G18" s="8">
        <f t="shared" si="1"/>
        <v>0</v>
      </c>
      <c r="H18" s="62"/>
      <c r="I18" s="63"/>
      <c r="J18" s="8">
        <f t="shared" si="2"/>
        <v>0</v>
      </c>
      <c r="K18" s="8">
        <f t="shared" si="5"/>
        <v>0</v>
      </c>
      <c r="L18" s="65">
        <f t="shared" si="6"/>
        <v>0</v>
      </c>
      <c r="M18" s="65">
        <v>0</v>
      </c>
      <c r="N18" s="8"/>
      <c r="O18" s="66"/>
    </row>
    <row r="19" spans="1:15">
      <c r="A19" s="43">
        <v>16</v>
      </c>
      <c r="B19" s="211">
        <v>45916</v>
      </c>
      <c r="C19" s="64"/>
      <c r="D19" s="152"/>
      <c r="E19" s="248"/>
      <c r="F19" s="248"/>
      <c r="G19" s="8">
        <f t="shared" si="1"/>
        <v>0</v>
      </c>
      <c r="H19" s="62"/>
      <c r="I19" s="63"/>
      <c r="J19" s="8">
        <f t="shared" si="2"/>
        <v>0</v>
      </c>
      <c r="K19" s="8">
        <f t="shared" si="3"/>
        <v>0</v>
      </c>
      <c r="L19" s="65">
        <f t="shared" si="4"/>
        <v>0</v>
      </c>
      <c r="M19" s="65">
        <v>0</v>
      </c>
      <c r="N19" s="8"/>
      <c r="O19" s="66"/>
    </row>
    <row r="20" spans="1:15">
      <c r="A20" s="43">
        <v>17</v>
      </c>
      <c r="B20" s="211">
        <v>45917</v>
      </c>
      <c r="C20" s="64"/>
      <c r="D20" s="152"/>
      <c r="E20" s="248"/>
      <c r="F20" s="248"/>
      <c r="G20" s="8">
        <f t="shared" si="1"/>
        <v>0</v>
      </c>
      <c r="H20" s="62"/>
      <c r="I20" s="63"/>
      <c r="J20" s="8">
        <f t="shared" si="2"/>
        <v>0</v>
      </c>
      <c r="K20" s="8">
        <f t="shared" si="3"/>
        <v>0</v>
      </c>
      <c r="L20" s="65">
        <f t="shared" si="4"/>
        <v>0</v>
      </c>
      <c r="M20" s="65">
        <v>0</v>
      </c>
      <c r="N20" s="8"/>
      <c r="O20" s="66"/>
    </row>
    <row r="21" spans="1:15">
      <c r="A21" s="43">
        <v>18</v>
      </c>
      <c r="B21" s="211">
        <v>45918</v>
      </c>
      <c r="C21" s="64"/>
      <c r="D21" s="152"/>
      <c r="E21" s="248">
        <v>46.7</v>
      </c>
      <c r="F21" s="248">
        <v>104.95</v>
      </c>
      <c r="G21" s="8">
        <f t="shared" si="1"/>
        <v>4901.1650000000009</v>
      </c>
      <c r="H21" s="62"/>
      <c r="I21" s="63"/>
      <c r="J21" s="8">
        <f t="shared" si="2"/>
        <v>0</v>
      </c>
      <c r="K21" s="8">
        <f t="shared" si="3"/>
        <v>4901.1650000000009</v>
      </c>
      <c r="L21" s="65">
        <f t="shared" si="4"/>
        <v>4901.1650000000009</v>
      </c>
      <c r="M21" s="65">
        <v>0</v>
      </c>
      <c r="N21" s="8"/>
      <c r="O21" s="66"/>
    </row>
    <row r="22" spans="1:15">
      <c r="A22" s="43">
        <v>19</v>
      </c>
      <c r="B22" s="211">
        <v>45919</v>
      </c>
      <c r="C22" s="64"/>
      <c r="D22" s="152"/>
      <c r="E22" s="248"/>
      <c r="F22" s="248"/>
      <c r="G22" s="8">
        <f t="shared" si="1"/>
        <v>0</v>
      </c>
      <c r="H22" s="62"/>
      <c r="I22" s="63"/>
      <c r="J22" s="8">
        <f t="shared" si="2"/>
        <v>0</v>
      </c>
      <c r="K22" s="8">
        <f t="shared" si="3"/>
        <v>0</v>
      </c>
      <c r="L22" s="65">
        <f t="shared" si="4"/>
        <v>0</v>
      </c>
      <c r="M22" s="65">
        <v>0</v>
      </c>
      <c r="N22" s="8"/>
      <c r="O22" s="66"/>
    </row>
    <row r="23" spans="1:15">
      <c r="A23" s="43">
        <v>20</v>
      </c>
      <c r="B23" s="211">
        <v>45920</v>
      </c>
      <c r="C23" s="64"/>
      <c r="D23" s="152"/>
      <c r="E23" s="248"/>
      <c r="F23" s="248"/>
      <c r="G23" s="8">
        <f t="shared" si="1"/>
        <v>0</v>
      </c>
      <c r="H23" s="62"/>
      <c r="I23" s="63"/>
      <c r="J23" s="8">
        <f t="shared" si="2"/>
        <v>0</v>
      </c>
      <c r="K23" s="8">
        <f t="shared" si="3"/>
        <v>0</v>
      </c>
      <c r="L23" s="65">
        <f t="shared" si="4"/>
        <v>0</v>
      </c>
      <c r="M23" s="65">
        <v>0</v>
      </c>
      <c r="N23" s="8"/>
      <c r="O23" s="66"/>
    </row>
    <row r="24" spans="1:15">
      <c r="A24" s="43">
        <v>21</v>
      </c>
      <c r="B24" s="211">
        <v>45921</v>
      </c>
      <c r="C24" s="64"/>
      <c r="D24" s="152"/>
      <c r="E24" s="248"/>
      <c r="F24" s="248"/>
      <c r="G24" s="8">
        <f t="shared" si="1"/>
        <v>0</v>
      </c>
      <c r="H24" s="62"/>
      <c r="I24" s="63"/>
      <c r="J24" s="8">
        <f t="shared" si="2"/>
        <v>0</v>
      </c>
      <c r="K24" s="8">
        <f t="shared" si="3"/>
        <v>0</v>
      </c>
      <c r="L24" s="65">
        <f t="shared" si="4"/>
        <v>0</v>
      </c>
      <c r="M24" s="65">
        <v>0</v>
      </c>
      <c r="N24" s="8"/>
      <c r="O24" s="66"/>
    </row>
    <row r="25" spans="1:15">
      <c r="A25" s="43">
        <v>22</v>
      </c>
      <c r="B25" s="211">
        <v>45922</v>
      </c>
      <c r="C25" s="64"/>
      <c r="D25" s="152"/>
      <c r="E25" s="248"/>
      <c r="F25" s="248"/>
      <c r="G25" s="8">
        <f t="shared" si="1"/>
        <v>0</v>
      </c>
      <c r="H25" s="62"/>
      <c r="I25" s="63"/>
      <c r="J25" s="8">
        <f t="shared" si="2"/>
        <v>0</v>
      </c>
      <c r="K25" s="8">
        <f t="shared" si="3"/>
        <v>0</v>
      </c>
      <c r="L25" s="65">
        <f t="shared" si="4"/>
        <v>0</v>
      </c>
      <c r="M25" s="65">
        <v>0</v>
      </c>
      <c r="N25" s="8"/>
      <c r="O25" s="66"/>
    </row>
    <row r="26" spans="1:15">
      <c r="A26" s="43">
        <v>23</v>
      </c>
      <c r="B26" s="211">
        <v>45923</v>
      </c>
      <c r="C26" s="64"/>
      <c r="D26" s="152"/>
      <c r="E26" s="248"/>
      <c r="F26" s="248"/>
      <c r="G26" s="8">
        <f t="shared" si="1"/>
        <v>0</v>
      </c>
      <c r="H26" s="62"/>
      <c r="I26" s="63"/>
      <c r="J26" s="8">
        <f t="shared" si="2"/>
        <v>0</v>
      </c>
      <c r="K26" s="8">
        <f t="shared" si="3"/>
        <v>0</v>
      </c>
      <c r="L26" s="65">
        <f t="shared" si="4"/>
        <v>0</v>
      </c>
      <c r="M26" s="65">
        <v>0</v>
      </c>
      <c r="N26" s="8"/>
      <c r="O26" s="66"/>
    </row>
    <row r="27" spans="1:15">
      <c r="A27" s="43">
        <v>24</v>
      </c>
      <c r="B27" s="211">
        <v>45924</v>
      </c>
      <c r="C27" s="64"/>
      <c r="D27" s="152"/>
      <c r="E27" s="248"/>
      <c r="F27" s="248"/>
      <c r="G27" s="8">
        <f t="shared" si="1"/>
        <v>0</v>
      </c>
      <c r="H27" s="62"/>
      <c r="I27" s="63"/>
      <c r="J27" s="8">
        <f t="shared" si="2"/>
        <v>0</v>
      </c>
      <c r="K27" s="8">
        <f t="shared" si="3"/>
        <v>0</v>
      </c>
      <c r="L27" s="65">
        <f t="shared" si="4"/>
        <v>0</v>
      </c>
      <c r="M27" s="65">
        <v>0</v>
      </c>
      <c r="N27" s="8"/>
      <c r="O27" s="66"/>
    </row>
    <row r="28" spans="1:15">
      <c r="A28" s="213">
        <v>25</v>
      </c>
      <c r="B28" s="211">
        <v>45925</v>
      </c>
      <c r="C28" s="64"/>
      <c r="D28" s="152"/>
      <c r="E28" s="248"/>
      <c r="F28" s="248"/>
      <c r="G28" s="8">
        <f t="shared" si="1"/>
        <v>0</v>
      </c>
      <c r="H28" s="62"/>
      <c r="I28" s="63"/>
      <c r="J28" s="8">
        <f t="shared" si="2"/>
        <v>0</v>
      </c>
      <c r="K28" s="8">
        <f t="shared" si="3"/>
        <v>0</v>
      </c>
      <c r="L28" s="65">
        <f t="shared" si="4"/>
        <v>0</v>
      </c>
      <c r="M28" s="65">
        <v>0</v>
      </c>
      <c r="N28" s="8"/>
      <c r="O28" s="66"/>
    </row>
    <row r="29" spans="1:15">
      <c r="A29" s="213">
        <v>26</v>
      </c>
      <c r="B29" s="211">
        <v>45926</v>
      </c>
      <c r="C29" s="64"/>
      <c r="D29" s="152"/>
      <c r="E29" s="248"/>
      <c r="F29" s="248"/>
      <c r="G29" s="8">
        <f t="shared" si="1"/>
        <v>0</v>
      </c>
      <c r="H29" s="62"/>
      <c r="I29" s="63"/>
      <c r="J29" s="8">
        <f t="shared" si="2"/>
        <v>0</v>
      </c>
      <c r="K29" s="8">
        <f t="shared" si="3"/>
        <v>0</v>
      </c>
      <c r="L29" s="65">
        <f t="shared" si="4"/>
        <v>0</v>
      </c>
      <c r="M29" s="65">
        <v>0</v>
      </c>
      <c r="N29" s="8"/>
      <c r="O29" s="66"/>
    </row>
    <row r="30" spans="1:15">
      <c r="A30" s="213">
        <v>27</v>
      </c>
      <c r="B30" s="211">
        <v>45927</v>
      </c>
      <c r="C30" s="64"/>
      <c r="D30" s="152"/>
      <c r="E30" s="248"/>
      <c r="F30" s="248"/>
      <c r="G30" s="8">
        <f t="shared" si="1"/>
        <v>0</v>
      </c>
      <c r="H30" s="62"/>
      <c r="I30" s="63"/>
      <c r="J30" s="8">
        <f t="shared" si="2"/>
        <v>0</v>
      </c>
      <c r="K30" s="8">
        <f t="shared" si="3"/>
        <v>0</v>
      </c>
      <c r="L30" s="65">
        <f t="shared" si="4"/>
        <v>0</v>
      </c>
      <c r="M30" s="65">
        <v>0</v>
      </c>
      <c r="N30" s="8"/>
      <c r="O30" s="66"/>
    </row>
    <row r="31" spans="1:15">
      <c r="A31" s="213">
        <v>28</v>
      </c>
      <c r="B31" s="211">
        <v>45928</v>
      </c>
      <c r="C31" s="64"/>
      <c r="D31" s="152"/>
      <c r="E31" s="248"/>
      <c r="F31" s="248"/>
      <c r="G31" s="8">
        <f t="shared" si="1"/>
        <v>0</v>
      </c>
      <c r="H31" s="62"/>
      <c r="I31" s="63"/>
      <c r="J31" s="8">
        <f t="shared" si="2"/>
        <v>0</v>
      </c>
      <c r="K31" s="8">
        <f t="shared" si="3"/>
        <v>0</v>
      </c>
      <c r="L31" s="65">
        <f t="shared" si="4"/>
        <v>0</v>
      </c>
      <c r="M31" s="65">
        <v>0</v>
      </c>
      <c r="N31" s="8"/>
      <c r="O31" s="66"/>
    </row>
    <row r="32" spans="1:15">
      <c r="A32" s="214">
        <v>29</v>
      </c>
      <c r="B32" s="211">
        <v>45929</v>
      </c>
      <c r="C32" s="64"/>
      <c r="D32" s="152"/>
      <c r="E32" s="248"/>
      <c r="F32" s="248"/>
      <c r="G32" s="8">
        <f t="shared" si="1"/>
        <v>0</v>
      </c>
      <c r="H32" s="62"/>
      <c r="I32" s="63"/>
      <c r="J32" s="8">
        <f t="shared" si="2"/>
        <v>0</v>
      </c>
      <c r="K32" s="8">
        <f t="shared" si="3"/>
        <v>0</v>
      </c>
      <c r="L32" s="65">
        <f t="shared" si="4"/>
        <v>0</v>
      </c>
      <c r="M32" s="65">
        <v>0</v>
      </c>
      <c r="N32" s="8"/>
      <c r="O32" s="66"/>
    </row>
    <row r="33" spans="1:15">
      <c r="A33" s="214">
        <v>30</v>
      </c>
      <c r="B33" s="211">
        <v>45930</v>
      </c>
      <c r="C33" s="64"/>
      <c r="D33" s="152"/>
      <c r="E33" s="248"/>
      <c r="F33" s="248"/>
      <c r="G33" s="8">
        <f t="shared" ref="G33" si="7">E33*F33</f>
        <v>0</v>
      </c>
      <c r="H33" s="62"/>
      <c r="I33" s="63"/>
      <c r="J33" s="8">
        <f t="shared" si="2"/>
        <v>0</v>
      </c>
      <c r="K33" s="8">
        <f t="shared" si="3"/>
        <v>0</v>
      </c>
      <c r="L33" s="65">
        <f t="shared" si="4"/>
        <v>0</v>
      </c>
      <c r="M33" s="65">
        <v>0</v>
      </c>
      <c r="N33" s="8"/>
      <c r="O33" s="66"/>
    </row>
    <row r="34" spans="1:15">
      <c r="A34" s="214">
        <v>31</v>
      </c>
      <c r="B34" s="211"/>
      <c r="C34" s="64"/>
      <c r="D34" s="152"/>
      <c r="E34" s="248"/>
      <c r="F34" s="248"/>
      <c r="G34" s="8">
        <f t="shared" ref="G34" si="8">E34*F34</f>
        <v>0</v>
      </c>
      <c r="H34" s="62"/>
      <c r="I34" s="63"/>
      <c r="J34" s="8">
        <f t="shared" ref="J34" si="9">H34*I34</f>
        <v>0</v>
      </c>
      <c r="K34" s="8">
        <f t="shared" ref="K34" si="10">G34+J34</f>
        <v>0</v>
      </c>
      <c r="L34" s="65">
        <f t="shared" ref="L34" si="11">+K34</f>
        <v>0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249">
        <f>SUM(E4:E34)</f>
        <v>91.45</v>
      </c>
      <c r="F35" s="249"/>
      <c r="G35" s="60">
        <f>SUM(G4:G34)</f>
        <v>9597.6775000000016</v>
      </c>
      <c r="H35" s="60">
        <f>SUM(H4:H34)</f>
        <v>0</v>
      </c>
      <c r="I35" s="60"/>
      <c r="J35" s="60">
        <f>SUM(J4:J34)</f>
        <v>0</v>
      </c>
      <c r="K35" s="60">
        <f>SUM(K4:K34)</f>
        <v>9597.6775000000016</v>
      </c>
      <c r="L35" s="60">
        <f>SUM(L4:L34)</f>
        <v>9597.6775000000016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99"/>
      <c r="C43" s="599"/>
      <c r="D43" s="599"/>
      <c r="E43" s="599"/>
      <c r="F43" s="66"/>
      <c r="G43" s="66"/>
      <c r="H43" s="66"/>
      <c r="I43" s="599"/>
      <c r="J43" s="599"/>
      <c r="K43" s="599"/>
      <c r="L43" s="599"/>
      <c r="M43" s="599"/>
      <c r="N43" s="599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sheetPr>
    <tabColor theme="7" tint="0.39997558519241921"/>
  </sheetPr>
  <dimension ref="A1:N68"/>
  <sheetViews>
    <sheetView workbookViewId="0">
      <pane ySplit="3" topLeftCell="A15" activePane="bottomLeft" state="frozen"/>
      <selection pane="bottomLeft" activeCell="D18" sqref="D18"/>
    </sheetView>
  </sheetViews>
  <sheetFormatPr defaultColWidth="18.28515625" defaultRowHeight="15"/>
  <cols>
    <col min="1" max="1" width="13.42578125" customWidth="1"/>
    <col min="2" max="2" width="12.28515625" bestFit="1" customWidth="1"/>
    <col min="3" max="3" width="49" customWidth="1"/>
    <col min="4" max="4" width="27.7109375" customWidth="1"/>
    <col min="5" max="5" width="11.5703125" customWidth="1"/>
    <col min="6" max="6" width="11.140625" customWidth="1"/>
    <col min="7" max="7" width="11.28515625" customWidth="1"/>
    <col min="8" max="8" width="10" customWidth="1"/>
    <col min="10" max="10" width="16.5703125" customWidth="1"/>
  </cols>
  <sheetData>
    <row r="1" spans="1:14" ht="15.75">
      <c r="A1" s="323"/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</row>
    <row r="2" spans="1:14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14">
      <c r="A3" s="591" t="s">
        <v>179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600"/>
      <c r="M3" s="362"/>
      <c r="N3" s="207"/>
    </row>
    <row r="4" spans="1:14">
      <c r="A4" s="214">
        <v>1</v>
      </c>
      <c r="B4" s="501">
        <v>46266</v>
      </c>
      <c r="C4" s="483" t="s">
        <v>191</v>
      </c>
      <c r="D4" s="479" t="s">
        <v>192</v>
      </c>
      <c r="E4" s="481">
        <v>20</v>
      </c>
      <c r="F4" s="481">
        <v>106.05</v>
      </c>
      <c r="G4" s="502">
        <v>2121</v>
      </c>
      <c r="H4" s="480"/>
      <c r="I4" s="480"/>
      <c r="J4" s="502">
        <f t="shared" ref="J4" si="0">H4*I4</f>
        <v>0</v>
      </c>
      <c r="K4" s="489">
        <f>G4+J4</f>
        <v>2121</v>
      </c>
      <c r="L4" s="506">
        <f>+K4</f>
        <v>2121</v>
      </c>
      <c r="M4" s="489"/>
      <c r="N4" s="503"/>
    </row>
    <row r="5" spans="1:14">
      <c r="A5" s="213">
        <v>2</v>
      </c>
      <c r="B5" s="501">
        <v>46266</v>
      </c>
      <c r="C5" s="483" t="s">
        <v>191</v>
      </c>
      <c r="D5" s="479" t="s">
        <v>192</v>
      </c>
      <c r="E5" s="481">
        <v>20</v>
      </c>
      <c r="F5" s="481">
        <v>106.05</v>
      </c>
      <c r="G5" s="502">
        <v>2121</v>
      </c>
      <c r="H5" s="480"/>
      <c r="I5" s="480"/>
      <c r="J5" s="502"/>
      <c r="K5" s="489">
        <f t="shared" ref="K5:K35" si="1">G5+J5</f>
        <v>2121</v>
      </c>
      <c r="L5" s="506">
        <f>+K5</f>
        <v>2121</v>
      </c>
      <c r="M5" s="489"/>
      <c r="N5" s="503"/>
    </row>
    <row r="6" spans="1:14">
      <c r="A6" s="213">
        <v>3</v>
      </c>
      <c r="B6" s="501">
        <v>46268</v>
      </c>
      <c r="C6" s="483" t="s">
        <v>193</v>
      </c>
      <c r="D6" s="479" t="s">
        <v>194</v>
      </c>
      <c r="E6" s="481">
        <v>47.38</v>
      </c>
      <c r="F6" s="481">
        <v>105.59</v>
      </c>
      <c r="G6" s="502">
        <v>5002.8500000000004</v>
      </c>
      <c r="H6" s="480"/>
      <c r="I6" s="480"/>
      <c r="J6" s="502"/>
      <c r="K6" s="489">
        <f t="shared" si="1"/>
        <v>5002.8500000000004</v>
      </c>
      <c r="L6" s="506">
        <f t="shared" ref="L5:L49" si="2">+K6</f>
        <v>5002.8500000000004</v>
      </c>
      <c r="M6" s="489"/>
      <c r="N6" s="503"/>
    </row>
    <row r="7" spans="1:14">
      <c r="A7" s="214">
        <v>4</v>
      </c>
      <c r="B7" s="501">
        <v>46268</v>
      </c>
      <c r="C7" s="478" t="s">
        <v>195</v>
      </c>
      <c r="D7" s="479" t="s">
        <v>196</v>
      </c>
      <c r="E7" s="481"/>
      <c r="F7" s="480"/>
      <c r="G7" s="502"/>
      <c r="H7" s="480">
        <v>5</v>
      </c>
      <c r="I7" s="480">
        <v>117.32</v>
      </c>
      <c r="J7" s="502">
        <v>586.6</v>
      </c>
      <c r="K7" s="489">
        <f t="shared" si="1"/>
        <v>586.6</v>
      </c>
      <c r="L7" s="506">
        <f t="shared" si="2"/>
        <v>586.6</v>
      </c>
      <c r="M7" s="489"/>
      <c r="N7" s="503"/>
    </row>
    <row r="8" spans="1:14">
      <c r="A8" s="213">
        <v>5</v>
      </c>
      <c r="B8" s="501">
        <v>46269</v>
      </c>
      <c r="C8" s="483" t="s">
        <v>193</v>
      </c>
      <c r="D8" s="479" t="s">
        <v>194</v>
      </c>
      <c r="E8" s="481"/>
      <c r="F8" s="480"/>
      <c r="G8" s="502"/>
      <c r="H8" s="480">
        <v>5</v>
      </c>
      <c r="I8" s="480">
        <v>117.98</v>
      </c>
      <c r="J8" s="502">
        <v>589.9</v>
      </c>
      <c r="K8" s="489">
        <f t="shared" si="1"/>
        <v>589.9</v>
      </c>
      <c r="L8" s="506">
        <f t="shared" si="2"/>
        <v>589.9</v>
      </c>
      <c r="M8" s="489"/>
      <c r="N8" s="503"/>
    </row>
    <row r="9" spans="1:14">
      <c r="A9" s="213">
        <v>6</v>
      </c>
      <c r="B9" s="501">
        <v>46270</v>
      </c>
      <c r="C9" s="483" t="s">
        <v>193</v>
      </c>
      <c r="D9" s="479" t="s">
        <v>194</v>
      </c>
      <c r="E9" s="481"/>
      <c r="F9" s="480"/>
      <c r="G9" s="502"/>
      <c r="H9" s="480">
        <v>5</v>
      </c>
      <c r="I9" s="480">
        <v>117.98</v>
      </c>
      <c r="J9" s="502">
        <v>589.9</v>
      </c>
      <c r="K9" s="489">
        <f t="shared" si="1"/>
        <v>589.9</v>
      </c>
      <c r="L9" s="506">
        <f t="shared" si="2"/>
        <v>589.9</v>
      </c>
      <c r="M9" s="489"/>
      <c r="N9" s="503"/>
    </row>
    <row r="10" spans="1:14">
      <c r="A10" s="214">
        <v>7</v>
      </c>
      <c r="B10" s="501">
        <v>46271</v>
      </c>
      <c r="C10" s="483" t="s">
        <v>197</v>
      </c>
      <c r="D10" s="479" t="s">
        <v>198</v>
      </c>
      <c r="E10" s="481"/>
      <c r="F10" s="481"/>
      <c r="G10" s="502"/>
      <c r="H10" s="480">
        <v>5</v>
      </c>
      <c r="I10" s="480">
        <v>117.06</v>
      </c>
      <c r="J10" s="502">
        <v>585.29999999999995</v>
      </c>
      <c r="K10" s="489">
        <f t="shared" si="1"/>
        <v>585.29999999999995</v>
      </c>
      <c r="L10" s="506">
        <f t="shared" si="2"/>
        <v>585.29999999999995</v>
      </c>
      <c r="M10" s="489"/>
      <c r="N10" s="503"/>
    </row>
    <row r="11" spans="1:14">
      <c r="A11" s="213">
        <v>8</v>
      </c>
      <c r="B11" s="501">
        <v>46273</v>
      </c>
      <c r="C11" s="473" t="s">
        <v>193</v>
      </c>
      <c r="D11" s="479" t="s">
        <v>194</v>
      </c>
      <c r="E11" s="475">
        <v>42.62</v>
      </c>
      <c r="F11" s="480">
        <v>105.59</v>
      </c>
      <c r="G11" s="573">
        <v>4500.25</v>
      </c>
      <c r="H11" s="476"/>
      <c r="I11" s="476"/>
      <c r="J11" s="573"/>
      <c r="K11" s="477">
        <f t="shared" si="1"/>
        <v>4500.25</v>
      </c>
      <c r="L11" s="506">
        <f t="shared" si="2"/>
        <v>4500.25</v>
      </c>
      <c r="M11" s="477"/>
      <c r="N11" s="504"/>
    </row>
    <row r="12" spans="1:14">
      <c r="A12" s="213">
        <v>9</v>
      </c>
      <c r="B12" s="501">
        <v>46276</v>
      </c>
      <c r="C12" s="483" t="s">
        <v>193</v>
      </c>
      <c r="D12" s="479" t="s">
        <v>194</v>
      </c>
      <c r="E12" s="475">
        <v>37.96</v>
      </c>
      <c r="F12" s="475">
        <v>105.59</v>
      </c>
      <c r="G12" s="573">
        <v>4008.2</v>
      </c>
      <c r="H12" s="476"/>
      <c r="I12" s="480"/>
      <c r="J12" s="573"/>
      <c r="K12" s="477">
        <f t="shared" si="1"/>
        <v>4008.2</v>
      </c>
      <c r="L12" s="506">
        <f t="shared" si="2"/>
        <v>4008.2</v>
      </c>
      <c r="M12" s="477"/>
      <c r="N12" s="504"/>
    </row>
    <row r="13" spans="1:14">
      <c r="A13" s="214">
        <v>10</v>
      </c>
      <c r="B13" s="501">
        <v>46276</v>
      </c>
      <c r="C13" s="483" t="s">
        <v>193</v>
      </c>
      <c r="D13" s="479" t="s">
        <v>194</v>
      </c>
      <c r="E13" s="481"/>
      <c r="F13" s="480"/>
      <c r="G13" s="573"/>
      <c r="H13" s="476">
        <v>5</v>
      </c>
      <c r="I13" s="476">
        <v>117.98</v>
      </c>
      <c r="J13" s="573">
        <v>589.9</v>
      </c>
      <c r="K13" s="477">
        <f t="shared" si="1"/>
        <v>589.9</v>
      </c>
      <c r="L13" s="506">
        <f t="shared" si="2"/>
        <v>589.9</v>
      </c>
      <c r="M13" s="477"/>
      <c r="N13" s="504"/>
    </row>
    <row r="14" spans="1:14">
      <c r="A14" s="213">
        <v>11</v>
      </c>
      <c r="B14" s="501">
        <v>46276</v>
      </c>
      <c r="C14" s="478" t="s">
        <v>195</v>
      </c>
      <c r="D14" s="479" t="s">
        <v>196</v>
      </c>
      <c r="E14" s="481"/>
      <c r="F14" s="480"/>
      <c r="G14" s="573"/>
      <c r="H14" s="476">
        <v>5</v>
      </c>
      <c r="I14" s="476">
        <v>117.32</v>
      </c>
      <c r="J14" s="573">
        <v>586.6</v>
      </c>
      <c r="K14" s="477">
        <f t="shared" si="1"/>
        <v>586.6</v>
      </c>
      <c r="L14" s="506">
        <f t="shared" si="2"/>
        <v>586.6</v>
      </c>
      <c r="M14" s="477"/>
      <c r="N14" s="504"/>
    </row>
    <row r="15" spans="1:14">
      <c r="A15" s="213">
        <v>12</v>
      </c>
      <c r="B15" s="574">
        <v>46277</v>
      </c>
      <c r="C15" s="483" t="s">
        <v>193</v>
      </c>
      <c r="D15" s="479" t="s">
        <v>194</v>
      </c>
      <c r="E15" s="481">
        <v>28.41</v>
      </c>
      <c r="F15" s="480">
        <v>105.59</v>
      </c>
      <c r="G15" s="573">
        <v>3000</v>
      </c>
      <c r="H15" s="480"/>
      <c r="I15" s="480"/>
      <c r="J15" s="573"/>
      <c r="K15" s="477">
        <f t="shared" si="1"/>
        <v>3000</v>
      </c>
      <c r="L15" s="506">
        <f t="shared" si="2"/>
        <v>3000</v>
      </c>
      <c r="M15" s="477"/>
      <c r="N15" s="504"/>
    </row>
    <row r="16" spans="1:14">
      <c r="A16" s="214">
        <v>13</v>
      </c>
      <c r="B16" s="574">
        <v>46280</v>
      </c>
      <c r="C16" s="478" t="s">
        <v>199</v>
      </c>
      <c r="D16" s="479" t="s">
        <v>194</v>
      </c>
      <c r="E16" s="481"/>
      <c r="F16" s="475"/>
      <c r="G16" s="573"/>
      <c r="H16" s="480">
        <v>7</v>
      </c>
      <c r="I16" s="480">
        <v>117.98</v>
      </c>
      <c r="J16" s="573">
        <v>825.86</v>
      </c>
      <c r="K16" s="477">
        <f t="shared" si="1"/>
        <v>825.86</v>
      </c>
      <c r="L16" s="506">
        <f t="shared" si="2"/>
        <v>825.86</v>
      </c>
      <c r="M16" s="477"/>
      <c r="N16" s="504"/>
    </row>
    <row r="17" spans="1:14">
      <c r="A17" s="213">
        <v>14</v>
      </c>
      <c r="B17" s="574">
        <v>46282</v>
      </c>
      <c r="C17" s="478" t="s">
        <v>199</v>
      </c>
      <c r="D17" s="479" t="s">
        <v>194</v>
      </c>
      <c r="E17" s="481"/>
      <c r="F17" s="475"/>
      <c r="G17" s="573"/>
      <c r="H17" s="480">
        <v>5</v>
      </c>
      <c r="I17" s="480">
        <v>117.98</v>
      </c>
      <c r="J17" s="573">
        <v>589.9</v>
      </c>
      <c r="K17" s="477">
        <f t="shared" si="1"/>
        <v>589.9</v>
      </c>
      <c r="L17" s="506">
        <f t="shared" si="2"/>
        <v>589.9</v>
      </c>
      <c r="M17" s="477"/>
      <c r="N17" s="504"/>
    </row>
    <row r="18" spans="1:14">
      <c r="A18" s="213">
        <v>15</v>
      </c>
      <c r="B18" s="574">
        <v>46284</v>
      </c>
      <c r="C18" s="478" t="s">
        <v>199</v>
      </c>
      <c r="D18" s="479" t="s">
        <v>194</v>
      </c>
      <c r="E18" s="481">
        <v>37.880000000000003</v>
      </c>
      <c r="F18" s="480">
        <v>105.59</v>
      </c>
      <c r="G18" s="573">
        <v>4000</v>
      </c>
      <c r="H18" s="480"/>
      <c r="I18" s="476"/>
      <c r="J18" s="573"/>
      <c r="K18" s="477">
        <f t="shared" si="1"/>
        <v>4000</v>
      </c>
      <c r="L18" s="506">
        <f t="shared" si="2"/>
        <v>4000</v>
      </c>
      <c r="M18" s="477"/>
      <c r="N18" s="504"/>
    </row>
    <row r="19" spans="1:14">
      <c r="A19" s="214">
        <v>16</v>
      </c>
      <c r="B19" s="574">
        <v>46286</v>
      </c>
      <c r="C19" s="478" t="s">
        <v>195</v>
      </c>
      <c r="D19" s="479" t="s">
        <v>196</v>
      </c>
      <c r="E19" s="481"/>
      <c r="F19" s="480"/>
      <c r="G19" s="573"/>
      <c r="H19" s="476">
        <v>4.26</v>
      </c>
      <c r="I19" s="476">
        <v>117.32</v>
      </c>
      <c r="J19" s="573">
        <v>500</v>
      </c>
      <c r="K19" s="477">
        <f t="shared" si="1"/>
        <v>500</v>
      </c>
      <c r="L19" s="506">
        <f t="shared" si="2"/>
        <v>500</v>
      </c>
      <c r="M19" s="477"/>
      <c r="N19" s="504"/>
    </row>
    <row r="20" spans="1:14">
      <c r="A20" s="213">
        <v>17</v>
      </c>
      <c r="B20" s="574">
        <v>46287</v>
      </c>
      <c r="C20" s="478" t="s">
        <v>199</v>
      </c>
      <c r="D20" s="479" t="s">
        <v>194</v>
      </c>
      <c r="E20" s="481"/>
      <c r="F20" s="480"/>
      <c r="G20" s="573"/>
      <c r="H20" s="476">
        <v>4.24</v>
      </c>
      <c r="I20" s="476">
        <v>117.98</v>
      </c>
      <c r="J20" s="573">
        <v>500</v>
      </c>
      <c r="K20" s="477">
        <f t="shared" si="1"/>
        <v>500</v>
      </c>
      <c r="L20" s="506">
        <f t="shared" si="2"/>
        <v>500</v>
      </c>
      <c r="M20" s="477"/>
      <c r="N20" s="504"/>
    </row>
    <row r="21" spans="1:14">
      <c r="A21" s="213">
        <v>18</v>
      </c>
      <c r="B21" s="574">
        <v>46291</v>
      </c>
      <c r="C21" s="473" t="s">
        <v>200</v>
      </c>
      <c r="D21" s="474" t="s">
        <v>201</v>
      </c>
      <c r="E21" s="475">
        <v>240</v>
      </c>
      <c r="F21" s="480">
        <v>105.21</v>
      </c>
      <c r="G21" s="573">
        <v>25250.400000000001</v>
      </c>
      <c r="H21" s="476"/>
      <c r="I21" s="476"/>
      <c r="J21" s="573"/>
      <c r="K21" s="477">
        <f t="shared" si="1"/>
        <v>25250.400000000001</v>
      </c>
      <c r="L21" s="506">
        <f t="shared" si="2"/>
        <v>25250.400000000001</v>
      </c>
      <c r="M21" s="477"/>
      <c r="N21" s="504"/>
    </row>
    <row r="22" spans="1:14">
      <c r="A22" s="214">
        <v>19</v>
      </c>
      <c r="B22" s="574">
        <v>46292</v>
      </c>
      <c r="C22" s="478" t="s">
        <v>195</v>
      </c>
      <c r="D22" s="479" t="s">
        <v>196</v>
      </c>
      <c r="E22" s="475"/>
      <c r="F22" s="475"/>
      <c r="G22" s="573"/>
      <c r="H22" s="476">
        <v>5</v>
      </c>
      <c r="I22" s="476">
        <v>117.32</v>
      </c>
      <c r="J22" s="573">
        <v>586.6</v>
      </c>
      <c r="K22" s="477">
        <f t="shared" si="1"/>
        <v>586.6</v>
      </c>
      <c r="L22" s="506">
        <f t="shared" si="2"/>
        <v>586.6</v>
      </c>
      <c r="M22" s="477"/>
      <c r="N22" s="504"/>
    </row>
    <row r="23" spans="1:14">
      <c r="A23" s="213">
        <v>20</v>
      </c>
      <c r="B23" s="501"/>
      <c r="C23" s="473"/>
      <c r="D23" s="474"/>
      <c r="E23" s="475"/>
      <c r="F23" s="475"/>
      <c r="G23" s="573"/>
      <c r="H23" s="476"/>
      <c r="I23" s="476"/>
      <c r="J23" s="573"/>
      <c r="K23" s="477">
        <f t="shared" si="1"/>
        <v>0</v>
      </c>
      <c r="L23" s="506">
        <f t="shared" si="2"/>
        <v>0</v>
      </c>
      <c r="M23" s="477"/>
      <c r="N23" s="504"/>
    </row>
    <row r="24" spans="1:14">
      <c r="A24" s="213">
        <v>21</v>
      </c>
      <c r="B24" s="501"/>
      <c r="C24" s="478"/>
      <c r="D24" s="474"/>
      <c r="E24" s="475"/>
      <c r="F24" s="475"/>
      <c r="G24" s="573"/>
      <c r="H24" s="476"/>
      <c r="I24" s="476"/>
      <c r="J24" s="573"/>
      <c r="K24" s="477">
        <f t="shared" si="1"/>
        <v>0</v>
      </c>
      <c r="L24" s="506">
        <f t="shared" si="2"/>
        <v>0</v>
      </c>
      <c r="M24" s="477"/>
      <c r="N24" s="504"/>
    </row>
    <row r="25" spans="1:14">
      <c r="A25" s="214">
        <v>22</v>
      </c>
      <c r="B25" s="501"/>
      <c r="C25" s="473"/>
      <c r="D25" s="474"/>
      <c r="E25" s="475"/>
      <c r="F25" s="475"/>
      <c r="G25" s="573"/>
      <c r="H25" s="476"/>
      <c r="I25" s="480"/>
      <c r="J25" s="573"/>
      <c r="K25" s="477">
        <f t="shared" si="1"/>
        <v>0</v>
      </c>
      <c r="L25" s="506">
        <f t="shared" si="2"/>
        <v>0</v>
      </c>
      <c r="M25" s="477"/>
      <c r="N25" s="504"/>
    </row>
    <row r="26" spans="1:14">
      <c r="A26" s="213">
        <v>23</v>
      </c>
      <c r="B26" s="505"/>
      <c r="C26" s="482"/>
      <c r="D26" s="474"/>
      <c r="E26" s="475"/>
      <c r="F26" s="475"/>
      <c r="G26" s="575"/>
      <c r="H26" s="476"/>
      <c r="I26" s="476"/>
      <c r="J26" s="575"/>
      <c r="K26" s="490">
        <f t="shared" si="1"/>
        <v>0</v>
      </c>
      <c r="L26" s="506">
        <f t="shared" si="2"/>
        <v>0</v>
      </c>
      <c r="M26" s="490"/>
      <c r="N26" s="504"/>
    </row>
    <row r="27" spans="1:14">
      <c r="A27" s="213">
        <v>24</v>
      </c>
      <c r="B27" s="505"/>
      <c r="C27" s="473"/>
      <c r="D27" s="474"/>
      <c r="E27" s="475"/>
      <c r="F27" s="475"/>
      <c r="G27" s="575"/>
      <c r="H27" s="476"/>
      <c r="I27" s="476"/>
      <c r="J27" s="575"/>
      <c r="K27" s="490">
        <f t="shared" si="1"/>
        <v>0</v>
      </c>
      <c r="L27" s="506">
        <f t="shared" si="2"/>
        <v>0</v>
      </c>
      <c r="M27" s="490"/>
      <c r="N27" s="504"/>
    </row>
    <row r="28" spans="1:14">
      <c r="A28" s="214">
        <v>25</v>
      </c>
      <c r="B28" s="505"/>
      <c r="C28" s="482"/>
      <c r="D28" s="474"/>
      <c r="E28" s="475"/>
      <c r="F28" s="475"/>
      <c r="G28" s="575"/>
      <c r="H28" s="476"/>
      <c r="I28" s="476"/>
      <c r="J28" s="575"/>
      <c r="K28" s="490">
        <f t="shared" si="1"/>
        <v>0</v>
      </c>
      <c r="L28" s="506">
        <f t="shared" si="2"/>
        <v>0</v>
      </c>
      <c r="M28" s="490"/>
      <c r="N28" s="504"/>
    </row>
    <row r="29" spans="1:14">
      <c r="A29" s="213">
        <v>26</v>
      </c>
      <c r="B29" s="505"/>
      <c r="C29" s="482"/>
      <c r="D29" s="474"/>
      <c r="E29" s="475"/>
      <c r="F29" s="475"/>
      <c r="G29" s="575"/>
      <c r="H29" s="476"/>
      <c r="I29" s="476"/>
      <c r="J29" s="575"/>
      <c r="K29" s="490">
        <f t="shared" si="1"/>
        <v>0</v>
      </c>
      <c r="L29" s="506">
        <f t="shared" si="2"/>
        <v>0</v>
      </c>
      <c r="M29" s="490"/>
      <c r="N29" s="504"/>
    </row>
    <row r="30" spans="1:14">
      <c r="A30" s="213">
        <v>27</v>
      </c>
      <c r="B30" s="505"/>
      <c r="C30" s="482"/>
      <c r="D30" s="474"/>
      <c r="E30" s="475"/>
      <c r="F30" s="475"/>
      <c r="G30" s="575"/>
      <c r="H30" s="476"/>
      <c r="I30" s="476"/>
      <c r="J30" s="575"/>
      <c r="K30" s="490">
        <f t="shared" si="1"/>
        <v>0</v>
      </c>
      <c r="L30" s="506">
        <f t="shared" si="2"/>
        <v>0</v>
      </c>
      <c r="M30" s="490"/>
      <c r="N30" s="504"/>
    </row>
    <row r="31" spans="1:14">
      <c r="A31" s="214">
        <v>28</v>
      </c>
      <c r="B31" s="505"/>
      <c r="C31" s="482"/>
      <c r="D31" s="474"/>
      <c r="E31" s="475"/>
      <c r="F31" s="475"/>
      <c r="G31" s="575"/>
      <c r="H31" s="476"/>
      <c r="I31" s="476"/>
      <c r="J31" s="575"/>
      <c r="K31" s="490">
        <f t="shared" si="1"/>
        <v>0</v>
      </c>
      <c r="L31" s="506">
        <f t="shared" si="2"/>
        <v>0</v>
      </c>
      <c r="M31" s="490"/>
      <c r="N31" s="504"/>
    </row>
    <row r="32" spans="1:14">
      <c r="A32" s="213">
        <v>29</v>
      </c>
      <c r="B32" s="505"/>
      <c r="C32" s="473"/>
      <c r="D32" s="474"/>
      <c r="E32" s="475"/>
      <c r="F32" s="475"/>
      <c r="G32" s="575"/>
      <c r="H32" s="476"/>
      <c r="I32" s="476"/>
      <c r="J32" s="575"/>
      <c r="K32" s="490">
        <f t="shared" si="1"/>
        <v>0</v>
      </c>
      <c r="L32" s="506">
        <f t="shared" si="2"/>
        <v>0</v>
      </c>
      <c r="M32" s="490"/>
      <c r="N32" s="504"/>
    </row>
    <row r="33" spans="1:14">
      <c r="A33" s="213">
        <v>30</v>
      </c>
      <c r="B33" s="505"/>
      <c r="C33" s="473"/>
      <c r="D33" s="474"/>
      <c r="E33" s="475"/>
      <c r="F33" s="475"/>
      <c r="G33" s="575"/>
      <c r="H33" s="476"/>
      <c r="I33" s="476"/>
      <c r="J33" s="575"/>
      <c r="K33" s="490">
        <f t="shared" si="1"/>
        <v>0</v>
      </c>
      <c r="L33" s="506">
        <f t="shared" si="2"/>
        <v>0</v>
      </c>
      <c r="M33" s="490"/>
      <c r="N33" s="504"/>
    </row>
    <row r="34" spans="1:14">
      <c r="A34" s="214">
        <v>31</v>
      </c>
      <c r="B34" s="505"/>
      <c r="C34" s="473"/>
      <c r="D34" s="474"/>
      <c r="E34" s="475"/>
      <c r="F34" s="475"/>
      <c r="G34" s="575"/>
      <c r="H34" s="476"/>
      <c r="I34" s="476"/>
      <c r="J34" s="575"/>
      <c r="K34" s="490">
        <f t="shared" si="1"/>
        <v>0</v>
      </c>
      <c r="L34" s="506">
        <f t="shared" si="2"/>
        <v>0</v>
      </c>
      <c r="M34" s="490"/>
      <c r="N34" s="504"/>
    </row>
    <row r="35" spans="1:14">
      <c r="A35" s="213">
        <v>32</v>
      </c>
      <c r="B35" s="505"/>
      <c r="C35" s="478"/>
      <c r="D35" s="474"/>
      <c r="E35" s="481"/>
      <c r="F35" s="475"/>
      <c r="G35" s="573"/>
      <c r="H35" s="480"/>
      <c r="I35" s="476"/>
      <c r="J35" s="573"/>
      <c r="K35" s="477">
        <f t="shared" si="1"/>
        <v>0</v>
      </c>
      <c r="L35" s="506">
        <f t="shared" si="2"/>
        <v>0</v>
      </c>
      <c r="M35" s="477"/>
      <c r="N35" s="504"/>
    </row>
    <row r="36" spans="1:14">
      <c r="A36" s="213">
        <v>33</v>
      </c>
      <c r="B36" s="505"/>
      <c r="C36" s="482"/>
      <c r="D36" s="474"/>
      <c r="E36" s="481"/>
      <c r="F36" s="496"/>
      <c r="G36" s="541">
        <f>E36*F36</f>
        <v>0</v>
      </c>
      <c r="H36" s="480"/>
      <c r="I36" s="476"/>
      <c r="J36" s="541">
        <f>H36*I36</f>
        <v>0</v>
      </c>
      <c r="K36" s="542">
        <f t="shared" ref="K5:K49" si="3">G36+J36</f>
        <v>0</v>
      </c>
      <c r="L36" s="506">
        <f t="shared" si="2"/>
        <v>0</v>
      </c>
      <c r="M36" s="477"/>
      <c r="N36" s="504"/>
    </row>
    <row r="37" spans="1:14">
      <c r="A37" s="214">
        <v>34</v>
      </c>
      <c r="B37" s="505"/>
      <c r="C37" s="478"/>
      <c r="D37" s="474"/>
      <c r="E37" s="481"/>
      <c r="F37" s="475"/>
      <c r="G37" s="541">
        <f>E37*F37</f>
        <v>0</v>
      </c>
      <c r="H37" s="480"/>
      <c r="I37" s="476"/>
      <c r="J37" s="541">
        <f>H37*I37</f>
        <v>0</v>
      </c>
      <c r="K37" s="542">
        <f t="shared" si="3"/>
        <v>0</v>
      </c>
      <c r="L37" s="506">
        <f t="shared" si="2"/>
        <v>0</v>
      </c>
      <c r="M37" s="477"/>
      <c r="N37" s="504"/>
    </row>
    <row r="38" spans="1:14">
      <c r="A38" s="213">
        <v>35</v>
      </c>
      <c r="B38" s="505"/>
      <c r="C38" s="473"/>
      <c r="D38" s="474"/>
      <c r="E38" s="475"/>
      <c r="F38" s="475"/>
      <c r="G38" s="541">
        <f>E38*F38</f>
        <v>0</v>
      </c>
      <c r="H38" s="476"/>
      <c r="I38" s="476"/>
      <c r="J38" s="541">
        <f>H38*I38</f>
        <v>0</v>
      </c>
      <c r="K38" s="542">
        <f t="shared" si="3"/>
        <v>0</v>
      </c>
      <c r="L38" s="506">
        <f t="shared" si="2"/>
        <v>0</v>
      </c>
      <c r="M38" s="477"/>
      <c r="N38" s="504"/>
    </row>
    <row r="39" spans="1:14">
      <c r="A39" s="213">
        <v>36</v>
      </c>
      <c r="B39" s="505"/>
      <c r="C39" s="473"/>
      <c r="D39" s="474"/>
      <c r="E39" s="475"/>
      <c r="F39" s="475"/>
      <c r="G39" s="541">
        <f>E39*F39</f>
        <v>0</v>
      </c>
      <c r="H39" s="476"/>
      <c r="I39" s="476"/>
      <c r="J39" s="541">
        <f t="shared" ref="J4:J49" si="4">H39*I39</f>
        <v>0</v>
      </c>
      <c r="K39" s="542">
        <f t="shared" si="3"/>
        <v>0</v>
      </c>
      <c r="L39" s="506">
        <f t="shared" si="2"/>
        <v>0</v>
      </c>
      <c r="M39" s="477"/>
      <c r="N39" s="504"/>
    </row>
    <row r="40" spans="1:14">
      <c r="A40" s="214">
        <v>37</v>
      </c>
      <c r="B40" s="505"/>
      <c r="C40" s="473"/>
      <c r="D40" s="474"/>
      <c r="E40" s="475"/>
      <c r="F40" s="475"/>
      <c r="G40" s="541">
        <f>E40*F40</f>
        <v>0</v>
      </c>
      <c r="H40" s="476"/>
      <c r="I40" s="476"/>
      <c r="J40" s="541">
        <f>H40*I40</f>
        <v>0</v>
      </c>
      <c r="K40" s="542">
        <f t="shared" si="3"/>
        <v>0</v>
      </c>
      <c r="L40" s="506">
        <f t="shared" si="2"/>
        <v>0</v>
      </c>
      <c r="M40" s="477"/>
      <c r="N40" s="504"/>
    </row>
    <row r="41" spans="1:14">
      <c r="A41" s="213">
        <v>38</v>
      </c>
      <c r="B41" s="505"/>
      <c r="C41" s="478"/>
      <c r="D41" s="474"/>
      <c r="E41" s="475"/>
      <c r="F41" s="475"/>
      <c r="G41" s="541">
        <f>E41*F41</f>
        <v>0</v>
      </c>
      <c r="H41" s="476"/>
      <c r="I41" s="476"/>
      <c r="J41" s="541">
        <f>H41*I41</f>
        <v>0</v>
      </c>
      <c r="K41" s="542">
        <f t="shared" si="3"/>
        <v>0</v>
      </c>
      <c r="L41" s="506">
        <f t="shared" si="2"/>
        <v>0</v>
      </c>
      <c r="M41" s="477"/>
      <c r="N41" s="504"/>
    </row>
    <row r="42" spans="1:14">
      <c r="A42" s="213">
        <v>39</v>
      </c>
      <c r="B42" s="505"/>
      <c r="C42" s="478"/>
      <c r="D42" s="474"/>
      <c r="E42" s="475"/>
      <c r="F42" s="475"/>
      <c r="G42" s="541">
        <f>E42*F42</f>
        <v>0</v>
      </c>
      <c r="H42" s="476"/>
      <c r="I42" s="476"/>
      <c r="J42" s="541">
        <f t="shared" si="4"/>
        <v>0</v>
      </c>
      <c r="K42" s="542">
        <f t="shared" si="3"/>
        <v>0</v>
      </c>
      <c r="L42" s="506">
        <f t="shared" si="2"/>
        <v>0</v>
      </c>
      <c r="M42" s="477"/>
      <c r="N42" s="504"/>
    </row>
    <row r="43" spans="1:14">
      <c r="A43" s="214">
        <v>40</v>
      </c>
      <c r="B43" s="505"/>
      <c r="C43" s="478"/>
      <c r="D43" s="474"/>
      <c r="E43" s="475"/>
      <c r="F43" s="475"/>
      <c r="G43" s="541">
        <f>E43*F43</f>
        <v>0</v>
      </c>
      <c r="H43" s="476"/>
      <c r="I43" s="476"/>
      <c r="J43" s="541">
        <f t="shared" si="4"/>
        <v>0</v>
      </c>
      <c r="K43" s="542">
        <f t="shared" si="3"/>
        <v>0</v>
      </c>
      <c r="L43" s="506">
        <f t="shared" si="2"/>
        <v>0</v>
      </c>
      <c r="M43" s="477"/>
      <c r="N43" s="504"/>
    </row>
    <row r="44" spans="1:14">
      <c r="A44" s="213">
        <v>41</v>
      </c>
      <c r="B44" s="505"/>
      <c r="C44" s="473"/>
      <c r="D44" s="474"/>
      <c r="E44" s="475"/>
      <c r="F44" s="475"/>
      <c r="G44" s="541">
        <f>E44*F44</f>
        <v>0</v>
      </c>
      <c r="H44" s="476"/>
      <c r="I44" s="476"/>
      <c r="J44" s="541">
        <f>H44*I44</f>
        <v>0</v>
      </c>
      <c r="K44" s="542">
        <f t="shared" si="3"/>
        <v>0</v>
      </c>
      <c r="L44" s="506">
        <f t="shared" si="2"/>
        <v>0</v>
      </c>
      <c r="M44" s="490"/>
      <c r="N44" s="504"/>
    </row>
    <row r="45" spans="1:14">
      <c r="A45" s="213">
        <v>42</v>
      </c>
      <c r="B45" s="505"/>
      <c r="C45" s="473"/>
      <c r="D45" s="474"/>
      <c r="E45" s="475"/>
      <c r="F45" s="475"/>
      <c r="G45" s="541">
        <f>E45*F45</f>
        <v>0</v>
      </c>
      <c r="H45" s="476"/>
      <c r="I45" s="476"/>
      <c r="J45" s="541">
        <f t="shared" si="4"/>
        <v>0</v>
      </c>
      <c r="K45" s="542">
        <f t="shared" si="3"/>
        <v>0</v>
      </c>
      <c r="L45" s="506">
        <f t="shared" si="2"/>
        <v>0</v>
      </c>
      <c r="M45" s="477"/>
      <c r="N45" s="504"/>
    </row>
    <row r="46" spans="1:14">
      <c r="A46" s="214">
        <v>43</v>
      </c>
      <c r="B46" s="505"/>
      <c r="C46" s="473"/>
      <c r="D46" s="474"/>
      <c r="E46" s="475"/>
      <c r="F46" s="475"/>
      <c r="G46" s="541">
        <f>E46*F46</f>
        <v>0</v>
      </c>
      <c r="H46" s="476"/>
      <c r="I46" s="476"/>
      <c r="J46" s="541">
        <f t="shared" si="4"/>
        <v>0</v>
      </c>
      <c r="K46" s="542">
        <f t="shared" si="3"/>
        <v>0</v>
      </c>
      <c r="L46" s="506">
        <f t="shared" si="2"/>
        <v>0</v>
      </c>
      <c r="M46" s="477"/>
      <c r="N46" s="504"/>
    </row>
    <row r="47" spans="1:14">
      <c r="A47" s="213">
        <v>44</v>
      </c>
      <c r="B47" s="505"/>
      <c r="C47" s="473"/>
      <c r="D47" s="474"/>
      <c r="E47" s="481"/>
      <c r="F47" s="475"/>
      <c r="G47" s="541">
        <f>E47*F47</f>
        <v>0</v>
      </c>
      <c r="H47" s="476"/>
      <c r="I47" s="476"/>
      <c r="J47" s="541">
        <f t="shared" si="4"/>
        <v>0</v>
      </c>
      <c r="K47" s="542">
        <f t="shared" si="3"/>
        <v>0</v>
      </c>
      <c r="L47" s="506">
        <f t="shared" si="2"/>
        <v>0</v>
      </c>
      <c r="M47" s="477"/>
      <c r="N47" s="504"/>
    </row>
    <row r="48" spans="1:14">
      <c r="A48" s="213">
        <v>45</v>
      </c>
      <c r="B48" s="505"/>
      <c r="C48" s="473"/>
      <c r="D48" s="474"/>
      <c r="E48" s="481"/>
      <c r="F48" s="475"/>
      <c r="G48" s="541">
        <f>E48*F48</f>
        <v>0</v>
      </c>
      <c r="H48" s="476"/>
      <c r="I48" s="476"/>
      <c r="J48" s="541">
        <f>H48*I48</f>
        <v>0</v>
      </c>
      <c r="K48" s="542">
        <f t="shared" si="3"/>
        <v>0</v>
      </c>
      <c r="L48" s="506">
        <f t="shared" si="2"/>
        <v>0</v>
      </c>
      <c r="M48" s="477"/>
      <c r="N48" s="504"/>
    </row>
    <row r="49" spans="1:14">
      <c r="A49" s="214">
        <v>46</v>
      </c>
      <c r="B49" s="505"/>
      <c r="C49" s="473"/>
      <c r="D49" s="474"/>
      <c r="E49" s="481"/>
      <c r="F49" s="475"/>
      <c r="G49" s="541">
        <f>E49*F49</f>
        <v>0</v>
      </c>
      <c r="H49" s="476"/>
      <c r="I49" s="476"/>
      <c r="J49" s="541">
        <f t="shared" si="4"/>
        <v>0</v>
      </c>
      <c r="K49" s="542">
        <f t="shared" si="3"/>
        <v>0</v>
      </c>
      <c r="L49" s="506">
        <f t="shared" si="2"/>
        <v>0</v>
      </c>
      <c r="M49" s="477"/>
      <c r="N49" s="504"/>
    </row>
    <row r="50" spans="1:14">
      <c r="A50" s="213">
        <v>47</v>
      </c>
      <c r="B50" s="472"/>
      <c r="C50" s="473"/>
      <c r="D50" s="474"/>
      <c r="E50" s="481"/>
      <c r="F50" s="475"/>
      <c r="G50" s="541">
        <f>E50*F50</f>
        <v>0</v>
      </c>
      <c r="H50" s="476"/>
      <c r="I50" s="476"/>
      <c r="J50" s="541">
        <f>H50*I50</f>
        <v>0</v>
      </c>
      <c r="K50" s="542">
        <f>G50+J50</f>
        <v>0</v>
      </c>
      <c r="L50" s="543">
        <f t="shared" ref="L50:L66" si="5">+K50</f>
        <v>0</v>
      </c>
      <c r="M50" s="65"/>
      <c r="N50" s="8"/>
    </row>
    <row r="51" spans="1:14">
      <c r="A51" s="213">
        <v>48</v>
      </c>
      <c r="B51" s="472"/>
      <c r="C51" s="473"/>
      <c r="D51" s="474"/>
      <c r="E51" s="481"/>
      <c r="F51" s="475"/>
      <c r="G51" s="541">
        <f>E51*F51</f>
        <v>0</v>
      </c>
      <c r="H51" s="476"/>
      <c r="I51" s="476"/>
      <c r="J51" s="541">
        <f>H51*I51</f>
        <v>0</v>
      </c>
      <c r="K51" s="542">
        <f>G51+J51</f>
        <v>0</v>
      </c>
      <c r="L51" s="543">
        <f t="shared" si="5"/>
        <v>0</v>
      </c>
      <c r="M51" s="65"/>
      <c r="N51" s="8"/>
    </row>
    <row r="52" spans="1:14">
      <c r="A52" s="214">
        <v>49</v>
      </c>
      <c r="B52" s="472"/>
      <c r="C52" s="473"/>
      <c r="D52" s="474"/>
      <c r="E52" s="481"/>
      <c r="F52" s="475"/>
      <c r="G52" s="541">
        <f>E52*F52</f>
        <v>0</v>
      </c>
      <c r="H52" s="476"/>
      <c r="I52" s="476"/>
      <c r="J52" s="541">
        <f>H52*I52</f>
        <v>0</v>
      </c>
      <c r="K52" s="542">
        <f>G52+J52</f>
        <v>0</v>
      </c>
      <c r="L52" s="543">
        <f t="shared" si="5"/>
        <v>0</v>
      </c>
      <c r="M52" s="65"/>
      <c r="N52" s="8"/>
    </row>
    <row r="53" spans="1:14">
      <c r="A53" s="213">
        <v>50</v>
      </c>
      <c r="B53" s="472"/>
      <c r="C53" s="473"/>
      <c r="D53" s="474"/>
      <c r="E53" s="475"/>
      <c r="F53" s="475"/>
      <c r="G53" s="541">
        <f>E53*F53</f>
        <v>0</v>
      </c>
      <c r="H53" s="476"/>
      <c r="I53" s="476"/>
      <c r="J53" s="541">
        <f>H53*I53</f>
        <v>0</v>
      </c>
      <c r="K53" s="542">
        <f>G53+J53</f>
        <v>0</v>
      </c>
      <c r="L53" s="543">
        <f t="shared" si="5"/>
        <v>0</v>
      </c>
      <c r="M53" s="65"/>
      <c r="N53" s="8"/>
    </row>
    <row r="54" spans="1:14">
      <c r="A54" s="213">
        <v>51</v>
      </c>
      <c r="B54" s="472"/>
      <c r="C54" s="473"/>
      <c r="D54" s="474"/>
      <c r="E54" s="475"/>
      <c r="F54" s="475"/>
      <c r="G54" s="541">
        <f>E54*F54</f>
        <v>0</v>
      </c>
      <c r="H54" s="476"/>
      <c r="I54" s="476"/>
      <c r="J54" s="541">
        <f>H54*I54</f>
        <v>0</v>
      </c>
      <c r="K54" s="542">
        <f>G54+J54</f>
        <v>0</v>
      </c>
      <c r="L54" s="543">
        <f t="shared" si="5"/>
        <v>0</v>
      </c>
      <c r="M54" s="65"/>
      <c r="N54" s="8"/>
    </row>
    <row r="55" spans="1:14">
      <c r="A55" s="214">
        <v>52</v>
      </c>
      <c r="B55" s="472"/>
      <c r="C55" s="473"/>
      <c r="D55" s="474"/>
      <c r="E55" s="475"/>
      <c r="F55" s="475"/>
      <c r="G55" s="541">
        <f>E55*F55</f>
        <v>0</v>
      </c>
      <c r="H55" s="476"/>
      <c r="I55" s="476"/>
      <c r="J55" s="541">
        <f>H55*I55</f>
        <v>0</v>
      </c>
      <c r="K55" s="542">
        <f>G55+J55</f>
        <v>0</v>
      </c>
      <c r="L55" s="543">
        <f t="shared" si="5"/>
        <v>0</v>
      </c>
      <c r="M55" s="65"/>
      <c r="N55" s="8"/>
    </row>
    <row r="56" spans="1:14">
      <c r="A56" s="213">
        <v>53</v>
      </c>
      <c r="B56" s="472"/>
      <c r="C56" s="473"/>
      <c r="D56" s="474"/>
      <c r="E56" s="475"/>
      <c r="F56" s="475"/>
      <c r="G56" s="541">
        <f>E56*F56</f>
        <v>0</v>
      </c>
      <c r="H56" s="476"/>
      <c r="I56" s="476"/>
      <c r="J56" s="541">
        <f>H56*I56</f>
        <v>0</v>
      </c>
      <c r="K56" s="542">
        <f>G56+J56</f>
        <v>0</v>
      </c>
      <c r="L56" s="543">
        <f t="shared" si="5"/>
        <v>0</v>
      </c>
      <c r="M56" s="65"/>
      <c r="N56" s="8"/>
    </row>
    <row r="57" spans="1:14">
      <c r="A57" s="213">
        <v>54</v>
      </c>
      <c r="B57" s="472"/>
      <c r="C57" s="473"/>
      <c r="D57" s="474"/>
      <c r="E57" s="475"/>
      <c r="F57" s="475"/>
      <c r="G57" s="541">
        <f>E57*F57</f>
        <v>0</v>
      </c>
      <c r="H57" s="476"/>
      <c r="I57" s="476"/>
      <c r="J57" s="541">
        <f>H57*I57</f>
        <v>0</v>
      </c>
      <c r="K57" s="542">
        <f>G57+J57</f>
        <v>0</v>
      </c>
      <c r="L57" s="543">
        <f t="shared" si="5"/>
        <v>0</v>
      </c>
      <c r="M57" s="65"/>
      <c r="N57" s="8"/>
    </row>
    <row r="58" spans="1:14">
      <c r="A58" s="214">
        <v>55</v>
      </c>
      <c r="B58" s="472"/>
      <c r="C58" s="478"/>
      <c r="D58" s="479"/>
      <c r="E58" s="475"/>
      <c r="F58" s="475"/>
      <c r="G58" s="541">
        <f>E58*F58</f>
        <v>0</v>
      </c>
      <c r="H58" s="476"/>
      <c r="I58" s="476"/>
      <c r="J58" s="541">
        <f>H58*I58</f>
        <v>0</v>
      </c>
      <c r="K58" s="542">
        <f>G58+J58</f>
        <v>0</v>
      </c>
      <c r="L58" s="543">
        <f t="shared" si="5"/>
        <v>0</v>
      </c>
      <c r="M58" s="65"/>
      <c r="N58" s="8"/>
    </row>
    <row r="59" spans="1:14">
      <c r="A59" s="213">
        <v>56</v>
      </c>
      <c r="B59" s="472"/>
      <c r="C59" s="473"/>
      <c r="D59" s="474"/>
      <c r="E59" s="475"/>
      <c r="F59" s="475"/>
      <c r="G59" s="541">
        <f>E59*F59</f>
        <v>0</v>
      </c>
      <c r="H59" s="476"/>
      <c r="I59" s="476"/>
      <c r="J59" s="541">
        <f>H59*I59</f>
        <v>0</v>
      </c>
      <c r="K59" s="542">
        <f>G59+J59</f>
        <v>0</v>
      </c>
      <c r="L59" s="543">
        <f t="shared" si="5"/>
        <v>0</v>
      </c>
      <c r="M59" s="65"/>
      <c r="N59" s="8"/>
    </row>
    <row r="60" spans="1:14">
      <c r="A60" s="213">
        <v>57</v>
      </c>
      <c r="B60" s="472"/>
      <c r="C60" s="473"/>
      <c r="D60" s="474"/>
      <c r="E60" s="475"/>
      <c r="F60" s="475"/>
      <c r="G60" s="541">
        <f>E60*F60</f>
        <v>0</v>
      </c>
      <c r="H60" s="476"/>
      <c r="I60" s="476"/>
      <c r="J60" s="541">
        <f>H60*I60</f>
        <v>0</v>
      </c>
      <c r="K60" s="542">
        <f>G60+J60</f>
        <v>0</v>
      </c>
      <c r="L60" s="543">
        <f t="shared" si="5"/>
        <v>0</v>
      </c>
      <c r="M60" s="65"/>
      <c r="N60" s="8"/>
    </row>
    <row r="61" spans="1:14">
      <c r="A61" s="214">
        <v>58</v>
      </c>
      <c r="B61" s="472"/>
      <c r="C61" s="473"/>
      <c r="D61" s="474"/>
      <c r="E61" s="475"/>
      <c r="F61" s="475"/>
      <c r="G61" s="541">
        <f>E61*F61</f>
        <v>0</v>
      </c>
      <c r="H61" s="480"/>
      <c r="I61" s="476"/>
      <c r="J61" s="541">
        <f>H61*I61</f>
        <v>0</v>
      </c>
      <c r="K61" s="542">
        <f>G61+J61</f>
        <v>0</v>
      </c>
      <c r="L61" s="543">
        <f t="shared" si="5"/>
        <v>0</v>
      </c>
      <c r="M61" s="65"/>
      <c r="N61" s="8"/>
    </row>
    <row r="62" spans="1:14">
      <c r="A62" s="213">
        <v>59</v>
      </c>
      <c r="B62" s="472"/>
      <c r="C62" s="473"/>
      <c r="D62" s="474"/>
      <c r="E62" s="481"/>
      <c r="F62" s="475"/>
      <c r="G62" s="541">
        <f>E62*F62</f>
        <v>0</v>
      </c>
      <c r="H62" s="480"/>
      <c r="I62" s="476"/>
      <c r="J62" s="541">
        <f>H62*I62</f>
        <v>0</v>
      </c>
      <c r="K62" s="542">
        <f>G62+J62</f>
        <v>0</v>
      </c>
      <c r="L62" s="543">
        <f t="shared" si="5"/>
        <v>0</v>
      </c>
      <c r="M62" s="65"/>
      <c r="N62" s="8"/>
    </row>
    <row r="63" spans="1:14">
      <c r="A63" s="213">
        <v>60</v>
      </c>
      <c r="B63" s="472"/>
      <c r="C63" s="473"/>
      <c r="D63" s="474"/>
      <c r="E63" s="481"/>
      <c r="F63" s="475"/>
      <c r="G63" s="541">
        <f>E63*F63</f>
        <v>0</v>
      </c>
      <c r="H63" s="480"/>
      <c r="I63" s="476"/>
      <c r="J63" s="541">
        <f>H63*I63</f>
        <v>0</v>
      </c>
      <c r="K63" s="542">
        <f>G63+J63</f>
        <v>0</v>
      </c>
      <c r="L63" s="543">
        <f t="shared" si="5"/>
        <v>0</v>
      </c>
      <c r="M63" s="65"/>
      <c r="N63" s="8"/>
    </row>
    <row r="64" spans="1:14">
      <c r="A64" s="214">
        <v>61</v>
      </c>
      <c r="B64" s="472"/>
      <c r="C64" s="473"/>
      <c r="D64" s="474"/>
      <c r="E64" s="481"/>
      <c r="F64" s="475"/>
      <c r="G64" s="541">
        <f>E64*F64</f>
        <v>0</v>
      </c>
      <c r="H64" s="480"/>
      <c r="I64" s="476"/>
      <c r="J64" s="541">
        <f>H64*I64</f>
        <v>0</v>
      </c>
      <c r="K64" s="542">
        <f>G64+J64</f>
        <v>0</v>
      </c>
      <c r="L64" s="543">
        <f t="shared" si="5"/>
        <v>0</v>
      </c>
      <c r="M64" s="65"/>
      <c r="N64" s="8"/>
    </row>
    <row r="65" spans="1:14">
      <c r="A65" s="213">
        <v>62</v>
      </c>
      <c r="B65" s="472"/>
      <c r="C65" s="478"/>
      <c r="D65" s="474"/>
      <c r="E65" s="481"/>
      <c r="F65" s="475"/>
      <c r="G65" s="541">
        <f>E65*F65</f>
        <v>0</v>
      </c>
      <c r="H65" s="480"/>
      <c r="I65" s="476"/>
      <c r="J65" s="541">
        <f>H65*I65</f>
        <v>0</v>
      </c>
      <c r="K65" s="542">
        <f>G65+J65</f>
        <v>0</v>
      </c>
      <c r="L65" s="543">
        <f t="shared" si="5"/>
        <v>0</v>
      </c>
      <c r="M65" s="65"/>
      <c r="N65" s="8"/>
    </row>
    <row r="66" spans="1:14">
      <c r="A66" s="213">
        <v>63</v>
      </c>
      <c r="B66" s="472"/>
      <c r="C66" s="473"/>
      <c r="D66" s="474"/>
      <c r="E66" s="481"/>
      <c r="F66" s="475"/>
      <c r="G66" s="541">
        <f>E66*F66</f>
        <v>0</v>
      </c>
      <c r="H66" s="480"/>
      <c r="I66" s="476"/>
      <c r="J66" s="541">
        <f>H66*I66</f>
        <v>0</v>
      </c>
      <c r="K66" s="542">
        <f>G66+J66</f>
        <v>0</v>
      </c>
      <c r="L66" s="543">
        <f t="shared" si="5"/>
        <v>0</v>
      </c>
      <c r="M66" s="65"/>
      <c r="N66" s="8"/>
    </row>
    <row r="67" spans="1:14">
      <c r="A67" s="437">
        <v>64</v>
      </c>
      <c r="B67" s="491"/>
      <c r="C67" s="544"/>
      <c r="D67" s="484"/>
      <c r="E67" s="487"/>
      <c r="F67" s="485"/>
      <c r="G67" s="495"/>
      <c r="H67" s="488"/>
      <c r="I67" s="486"/>
      <c r="J67" s="495"/>
      <c r="K67" s="545"/>
      <c r="L67" s="432"/>
      <c r="M67" s="308"/>
      <c r="N67" s="175"/>
    </row>
    <row r="68" spans="1:14">
      <c r="A68" s="546"/>
      <c r="B68" s="546"/>
      <c r="C68" s="546"/>
      <c r="D68" s="546"/>
      <c r="E68" s="547">
        <f>SUM(E4:E67)</f>
        <v>474.25</v>
      </c>
      <c r="F68" s="547"/>
      <c r="G68" s="547">
        <f>SUM(G4:G67)</f>
        <v>50003.7</v>
      </c>
      <c r="H68" s="547">
        <f>SUM(H4:H67)</f>
        <v>55.5</v>
      </c>
      <c r="I68" s="547"/>
      <c r="J68" s="547">
        <f>SUM(J4:J67)</f>
        <v>6530.5599999999995</v>
      </c>
      <c r="K68" s="547">
        <f>SUM(K4:K67)</f>
        <v>56534.26</v>
      </c>
      <c r="L68" s="546"/>
      <c r="M68" s="546"/>
      <c r="N68" s="546"/>
    </row>
  </sheetData>
  <mergeCells count="1">
    <mergeCell ref="A3:L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69A6A-79F9-4FB1-82F0-A26938E2E479}">
  <sheetPr>
    <tabColor theme="7" tint="0.39997558519241921"/>
  </sheetPr>
  <dimension ref="A1:R46"/>
  <sheetViews>
    <sheetView workbookViewId="0">
      <pane ySplit="3" topLeftCell="A20" activePane="bottomLeft" state="frozen"/>
      <selection pane="bottomLeft" activeCell="R24" sqref="R24"/>
    </sheetView>
  </sheetViews>
  <sheetFormatPr defaultRowHeight="15"/>
  <cols>
    <col min="2" max="2" width="10.42578125" customWidth="1"/>
    <col min="4" max="4" width="16.42578125" customWidth="1"/>
    <col min="7" max="7" width="15.42578125" customWidth="1"/>
    <col min="10" max="10" width="10.7109375" customWidth="1"/>
    <col min="11" max="11" width="15.28515625" customWidth="1"/>
    <col min="12" max="12" width="16.5703125" customWidth="1"/>
    <col min="13" max="13" width="15.42578125" customWidth="1"/>
    <col min="14" max="14" width="11" customWidth="1"/>
  </cols>
  <sheetData>
    <row r="1" spans="1:18" ht="15.75">
      <c r="A1" s="590" t="s">
        <v>202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7"/>
      <c r="D3" s="597"/>
      <c r="E3" s="597"/>
      <c r="F3" s="597"/>
      <c r="G3" s="597"/>
      <c r="H3" s="597"/>
      <c r="I3" s="597"/>
      <c r="J3" s="597"/>
      <c r="K3" s="597"/>
      <c r="L3" s="593"/>
      <c r="M3" s="143">
        <v>124353.99790000003</v>
      </c>
      <c r="N3" s="149"/>
      <c r="O3" s="56"/>
    </row>
    <row r="4" spans="1:18">
      <c r="A4" s="188">
        <v>1</v>
      </c>
      <c r="B4" s="211">
        <v>46266</v>
      </c>
      <c r="C4" s="64"/>
      <c r="D4" s="152"/>
      <c r="E4" s="248">
        <v>120</v>
      </c>
      <c r="F4" s="248">
        <v>105.21</v>
      </c>
      <c r="G4" s="8">
        <f t="shared" ref="G4:G36" si="0">E4*F4</f>
        <v>12625.199999999999</v>
      </c>
      <c r="H4" s="535">
        <v>10</v>
      </c>
      <c r="I4" s="535">
        <v>117.58</v>
      </c>
      <c r="J4" s="8">
        <f>H4*I4</f>
        <v>1175.8</v>
      </c>
      <c r="K4" s="8">
        <f>G4+J4</f>
        <v>13800.999999999998</v>
      </c>
      <c r="L4" s="529"/>
      <c r="M4" s="65">
        <f>M3+K4-L4</f>
        <v>138154.99790000002</v>
      </c>
      <c r="N4" s="149"/>
    </row>
    <row r="5" spans="1:18">
      <c r="A5" s="188"/>
      <c r="B5" s="211">
        <v>46267</v>
      </c>
      <c r="C5" s="64"/>
      <c r="D5" s="152"/>
      <c r="E5" s="248">
        <v>158</v>
      </c>
      <c r="F5" s="248">
        <v>105.21</v>
      </c>
      <c r="G5" s="8">
        <f t="shared" si="0"/>
        <v>16623.18</v>
      </c>
      <c r="H5" s="535">
        <v>5</v>
      </c>
      <c r="I5" s="535">
        <v>117.58</v>
      </c>
      <c r="J5" s="8">
        <f>H5*I5</f>
        <v>587.9</v>
      </c>
      <c r="K5" s="8">
        <f>G5+J5</f>
        <v>17211.080000000002</v>
      </c>
      <c r="L5" s="529"/>
      <c r="M5" s="65">
        <f t="shared" ref="M5:M36" si="1">M4+K5-L5</f>
        <v>155366.07790000003</v>
      </c>
      <c r="N5" s="149"/>
    </row>
    <row r="6" spans="1:18">
      <c r="A6" s="43">
        <v>2</v>
      </c>
      <c r="B6" s="211">
        <v>46268</v>
      </c>
      <c r="C6" s="64"/>
      <c r="D6" s="14"/>
      <c r="E6" s="248">
        <v>148</v>
      </c>
      <c r="F6" s="248">
        <v>105.21</v>
      </c>
      <c r="G6" s="8">
        <f t="shared" si="0"/>
        <v>15571.08</v>
      </c>
      <c r="H6" s="535">
        <v>5</v>
      </c>
      <c r="I6" s="535">
        <v>117.58</v>
      </c>
      <c r="J6" s="8">
        <f t="shared" ref="J6:J36" si="2">H6*I6</f>
        <v>587.9</v>
      </c>
      <c r="K6" s="8">
        <f t="shared" ref="K6:K36" si="3">G6+J6</f>
        <v>16158.98</v>
      </c>
      <c r="L6" s="529"/>
      <c r="M6" s="65">
        <f t="shared" si="1"/>
        <v>171525.05790000004</v>
      </c>
      <c r="N6" s="149"/>
    </row>
    <row r="7" spans="1:18">
      <c r="A7" s="43">
        <v>3</v>
      </c>
      <c r="B7" s="211">
        <v>46269</v>
      </c>
      <c r="C7" s="64"/>
      <c r="D7" s="152"/>
      <c r="E7" s="248">
        <v>344</v>
      </c>
      <c r="F7" s="248">
        <v>105.21</v>
      </c>
      <c r="G7" s="8">
        <f t="shared" si="0"/>
        <v>36192.239999999998</v>
      </c>
      <c r="H7" s="62">
        <v>5</v>
      </c>
      <c r="I7" s="63">
        <v>117.58</v>
      </c>
      <c r="J7" s="8">
        <f t="shared" si="2"/>
        <v>587.9</v>
      </c>
      <c r="K7" s="8">
        <f t="shared" si="3"/>
        <v>36780.14</v>
      </c>
      <c r="L7" s="529"/>
      <c r="M7" s="65">
        <f t="shared" si="1"/>
        <v>208305.19790000003</v>
      </c>
      <c r="N7" s="149"/>
    </row>
    <row r="8" spans="1:18">
      <c r="A8" s="43">
        <v>4</v>
      </c>
      <c r="B8" s="211">
        <v>46270</v>
      </c>
      <c r="C8" s="64"/>
      <c r="D8" s="152"/>
      <c r="E8" s="248">
        <v>50</v>
      </c>
      <c r="F8" s="248">
        <v>105.21</v>
      </c>
      <c r="G8" s="8">
        <f t="shared" si="0"/>
        <v>5260.5</v>
      </c>
      <c r="H8" s="62">
        <v>5</v>
      </c>
      <c r="I8" s="63">
        <v>117.58</v>
      </c>
      <c r="J8" s="8">
        <f t="shared" si="2"/>
        <v>587.9</v>
      </c>
      <c r="K8" s="8">
        <f t="shared" si="3"/>
        <v>5848.4</v>
      </c>
      <c r="L8" s="529"/>
      <c r="M8" s="65">
        <f t="shared" si="1"/>
        <v>214153.59790000002</v>
      </c>
      <c r="N8" s="149"/>
    </row>
    <row r="9" spans="1:18">
      <c r="A9" s="43">
        <v>5</v>
      </c>
      <c r="B9" s="211">
        <v>46271</v>
      </c>
      <c r="C9" s="64"/>
      <c r="D9" s="152"/>
      <c r="E9" s="248">
        <v>235</v>
      </c>
      <c r="F9" s="248">
        <v>105.21</v>
      </c>
      <c r="G9" s="8">
        <f t="shared" si="0"/>
        <v>24724.35</v>
      </c>
      <c r="H9" s="62">
        <v>10</v>
      </c>
      <c r="I9" s="63">
        <v>117.58</v>
      </c>
      <c r="J9" s="8">
        <f t="shared" si="2"/>
        <v>1175.8</v>
      </c>
      <c r="K9" s="8">
        <f>G9+J9</f>
        <v>25900.149999999998</v>
      </c>
      <c r="L9" s="529"/>
      <c r="M9" s="65">
        <f t="shared" si="1"/>
        <v>240053.74790000002</v>
      </c>
      <c r="N9" s="149"/>
      <c r="O9" s="66"/>
      <c r="R9" s="217"/>
    </row>
    <row r="10" spans="1:18">
      <c r="A10" s="43">
        <v>6</v>
      </c>
      <c r="B10" s="211">
        <v>46272</v>
      </c>
      <c r="C10" s="64"/>
      <c r="D10" s="152"/>
      <c r="E10" s="248">
        <v>475</v>
      </c>
      <c r="F10" s="248">
        <v>105.21</v>
      </c>
      <c r="G10" s="8">
        <f t="shared" si="0"/>
        <v>49974.75</v>
      </c>
      <c r="H10" s="62">
        <v>55</v>
      </c>
      <c r="I10" s="63">
        <v>117.58</v>
      </c>
      <c r="J10" s="8">
        <f t="shared" si="2"/>
        <v>6466.9</v>
      </c>
      <c r="K10" s="8">
        <f t="shared" si="3"/>
        <v>56441.65</v>
      </c>
      <c r="L10" s="529"/>
      <c r="M10" s="65">
        <f t="shared" si="1"/>
        <v>296495.39790000004</v>
      </c>
      <c r="N10" s="149"/>
      <c r="O10" s="66"/>
    </row>
    <row r="11" spans="1:18">
      <c r="A11" s="43">
        <v>7</v>
      </c>
      <c r="B11" s="211">
        <v>46273</v>
      </c>
      <c r="C11" s="64"/>
      <c r="D11" s="152"/>
      <c r="E11" s="248">
        <v>157.77000000000001</v>
      </c>
      <c r="F11" s="248">
        <v>105.21</v>
      </c>
      <c r="G11" s="8">
        <f t="shared" si="0"/>
        <v>16598.9817</v>
      </c>
      <c r="H11" s="62">
        <v>15</v>
      </c>
      <c r="I11" s="63">
        <v>117.58</v>
      </c>
      <c r="J11" s="8">
        <f t="shared" si="2"/>
        <v>1763.7</v>
      </c>
      <c r="K11" s="8">
        <f t="shared" si="3"/>
        <v>18362.681700000001</v>
      </c>
      <c r="L11" s="529"/>
      <c r="M11" s="65">
        <f t="shared" si="1"/>
        <v>314858.07960000006</v>
      </c>
      <c r="N11" s="149"/>
      <c r="O11" s="66"/>
    </row>
    <row r="12" spans="1:18">
      <c r="A12" s="43">
        <v>8</v>
      </c>
      <c r="B12" s="211">
        <v>46274</v>
      </c>
      <c r="C12" s="64"/>
      <c r="D12" s="152"/>
      <c r="E12" s="248">
        <v>414</v>
      </c>
      <c r="F12" s="248">
        <v>105.21</v>
      </c>
      <c r="G12" s="8">
        <f t="shared" si="0"/>
        <v>43556.939999999995</v>
      </c>
      <c r="H12" s="62">
        <v>5</v>
      </c>
      <c r="I12" s="63">
        <v>117.58</v>
      </c>
      <c r="J12" s="8">
        <f t="shared" si="2"/>
        <v>587.9</v>
      </c>
      <c r="K12" s="8">
        <f t="shared" si="3"/>
        <v>44144.84</v>
      </c>
      <c r="L12" s="529">
        <v>250000</v>
      </c>
      <c r="M12" s="65">
        <f t="shared" si="1"/>
        <v>109002.91960000002</v>
      </c>
      <c r="N12" s="149"/>
      <c r="O12" s="66"/>
    </row>
    <row r="13" spans="1:18">
      <c r="A13" s="43">
        <v>9</v>
      </c>
      <c r="B13" s="211">
        <v>46275</v>
      </c>
      <c r="C13" s="64"/>
      <c r="D13" s="152"/>
      <c r="E13" s="248">
        <v>164.79</v>
      </c>
      <c r="F13" s="248">
        <v>105.21</v>
      </c>
      <c r="G13" s="8">
        <f t="shared" si="0"/>
        <v>17337.555899999999</v>
      </c>
      <c r="H13" s="62">
        <v>70</v>
      </c>
      <c r="I13" s="63">
        <v>117.58</v>
      </c>
      <c r="J13" s="8">
        <f t="shared" si="2"/>
        <v>8230.6</v>
      </c>
      <c r="K13" s="8">
        <f t="shared" si="3"/>
        <v>25568.155899999998</v>
      </c>
      <c r="L13" s="529"/>
      <c r="M13" s="65">
        <f t="shared" si="1"/>
        <v>134571.07550000004</v>
      </c>
      <c r="N13" s="149"/>
      <c r="O13" s="66"/>
    </row>
    <row r="14" spans="1:18">
      <c r="A14" s="43">
        <v>10</v>
      </c>
      <c r="B14" s="211">
        <v>46276</v>
      </c>
      <c r="C14" s="64"/>
      <c r="D14" s="152"/>
      <c r="E14" s="248">
        <v>279.93</v>
      </c>
      <c r="F14" s="248">
        <v>105.21</v>
      </c>
      <c r="G14" s="8">
        <f t="shared" si="0"/>
        <v>29451.435299999997</v>
      </c>
      <c r="H14" s="62">
        <v>15</v>
      </c>
      <c r="I14" s="63">
        <v>117.58</v>
      </c>
      <c r="J14" s="8">
        <f t="shared" si="2"/>
        <v>1763.7</v>
      </c>
      <c r="K14" s="8">
        <f t="shared" si="3"/>
        <v>31215.135299999998</v>
      </c>
      <c r="L14" s="529"/>
      <c r="M14" s="65">
        <f t="shared" si="1"/>
        <v>165786.21080000003</v>
      </c>
      <c r="N14" s="149"/>
      <c r="O14" s="66"/>
    </row>
    <row r="15" spans="1:18">
      <c r="A15" s="43">
        <v>11</v>
      </c>
      <c r="B15" s="211">
        <v>46277</v>
      </c>
      <c r="C15" s="64"/>
      <c r="D15" s="152"/>
      <c r="E15" s="248"/>
      <c r="F15" s="248"/>
      <c r="G15" s="8">
        <f t="shared" si="0"/>
        <v>0</v>
      </c>
      <c r="H15" s="62">
        <v>85</v>
      </c>
      <c r="I15" s="63">
        <v>117.58</v>
      </c>
      <c r="J15" s="8">
        <f t="shared" si="2"/>
        <v>9994.2999999999993</v>
      </c>
      <c r="K15" s="8">
        <f>G15+J15</f>
        <v>9994.2999999999993</v>
      </c>
      <c r="L15" s="529"/>
      <c r="M15" s="65">
        <f t="shared" si="1"/>
        <v>175780.51080000002</v>
      </c>
      <c r="N15" s="149"/>
      <c r="O15" s="66"/>
      <c r="P15" s="167"/>
    </row>
    <row r="16" spans="1:18">
      <c r="A16" s="43">
        <v>12</v>
      </c>
      <c r="B16" s="211">
        <v>46278</v>
      </c>
      <c r="C16" s="64"/>
      <c r="D16" s="152"/>
      <c r="E16" s="248"/>
      <c r="F16" s="248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529"/>
      <c r="M16" s="65">
        <f t="shared" si="1"/>
        <v>175780.51080000002</v>
      </c>
      <c r="N16" s="8"/>
      <c r="O16" s="66"/>
    </row>
    <row r="17" spans="1:15">
      <c r="A17" s="43">
        <v>13</v>
      </c>
      <c r="B17" s="211">
        <v>46279</v>
      </c>
      <c r="C17" s="64"/>
      <c r="D17" s="152"/>
      <c r="E17" s="248"/>
      <c r="F17" s="248"/>
      <c r="G17" s="8">
        <f t="shared" si="0"/>
        <v>0</v>
      </c>
      <c r="H17" s="62"/>
      <c r="I17" s="63"/>
      <c r="J17" s="8">
        <f t="shared" si="2"/>
        <v>0</v>
      </c>
      <c r="K17" s="8">
        <f t="shared" si="3"/>
        <v>0</v>
      </c>
      <c r="L17" s="529"/>
      <c r="M17" s="65">
        <f t="shared" si="1"/>
        <v>175780.51080000002</v>
      </c>
      <c r="N17" s="8"/>
      <c r="O17" s="66"/>
    </row>
    <row r="18" spans="1:15">
      <c r="A18" s="43">
        <v>14</v>
      </c>
      <c r="B18" s="211">
        <v>46280</v>
      </c>
      <c r="C18" s="64"/>
      <c r="D18" s="152"/>
      <c r="E18" s="248">
        <v>145.11000000000001</v>
      </c>
      <c r="F18" s="248">
        <v>105.21</v>
      </c>
      <c r="G18" s="8">
        <f t="shared" si="0"/>
        <v>15267.0231</v>
      </c>
      <c r="H18" s="62">
        <v>37</v>
      </c>
      <c r="I18" s="63">
        <v>117.58</v>
      </c>
      <c r="J18" s="8">
        <f t="shared" si="2"/>
        <v>4350.46</v>
      </c>
      <c r="K18" s="8">
        <f t="shared" si="3"/>
        <v>19617.483100000001</v>
      </c>
      <c r="L18" s="529"/>
      <c r="M18" s="65">
        <f t="shared" si="1"/>
        <v>195397.99390000003</v>
      </c>
      <c r="N18" s="8"/>
      <c r="O18" s="66"/>
    </row>
    <row r="19" spans="1:15">
      <c r="A19" s="43">
        <v>15</v>
      </c>
      <c r="B19" s="211">
        <v>46281</v>
      </c>
      <c r="C19" s="64"/>
      <c r="D19" s="152"/>
      <c r="E19" s="248">
        <v>279.69</v>
      </c>
      <c r="F19" s="248">
        <v>105.21</v>
      </c>
      <c r="G19" s="8">
        <f t="shared" si="0"/>
        <v>29426.184899999997</v>
      </c>
      <c r="H19" s="62"/>
      <c r="I19" s="63"/>
      <c r="J19" s="8">
        <f t="shared" si="2"/>
        <v>0</v>
      </c>
      <c r="K19" s="8">
        <f t="shared" si="3"/>
        <v>29426.184899999997</v>
      </c>
      <c r="L19" s="529"/>
      <c r="M19" s="65">
        <f t="shared" si="1"/>
        <v>224824.17880000002</v>
      </c>
      <c r="N19" s="8"/>
      <c r="O19" s="66"/>
    </row>
    <row r="20" spans="1:15">
      <c r="A20" s="43">
        <v>16</v>
      </c>
      <c r="B20" s="211">
        <v>46282</v>
      </c>
      <c r="C20" s="64"/>
      <c r="D20" s="152"/>
      <c r="E20" s="248">
        <v>200</v>
      </c>
      <c r="F20" s="248">
        <v>105.21</v>
      </c>
      <c r="G20" s="8">
        <f t="shared" si="0"/>
        <v>21042</v>
      </c>
      <c r="H20" s="62">
        <v>20</v>
      </c>
      <c r="I20" s="63">
        <v>117.58</v>
      </c>
      <c r="J20" s="8">
        <f t="shared" si="2"/>
        <v>2351.6</v>
      </c>
      <c r="K20" s="8">
        <f t="shared" si="3"/>
        <v>23393.599999999999</v>
      </c>
      <c r="L20" s="529"/>
      <c r="M20" s="65">
        <f>M19+K20-L20</f>
        <v>248217.77880000003</v>
      </c>
      <c r="N20" s="185"/>
      <c r="O20" s="66"/>
    </row>
    <row r="21" spans="1:15">
      <c r="A21" s="43">
        <v>17</v>
      </c>
      <c r="B21" s="211">
        <v>46283</v>
      </c>
      <c r="C21" s="64"/>
      <c r="D21" s="152"/>
      <c r="E21" s="248">
        <v>400</v>
      </c>
      <c r="F21" s="248">
        <v>105.21</v>
      </c>
      <c r="G21" s="8">
        <f t="shared" si="0"/>
        <v>42084</v>
      </c>
      <c r="H21" s="62"/>
      <c r="I21" s="63"/>
      <c r="J21" s="8">
        <f t="shared" si="2"/>
        <v>0</v>
      </c>
      <c r="K21" s="8">
        <f t="shared" si="3"/>
        <v>42084</v>
      </c>
      <c r="L21" s="529"/>
      <c r="M21" s="65">
        <f t="shared" si="1"/>
        <v>290301.77880000003</v>
      </c>
      <c r="N21" s="185"/>
      <c r="O21" s="66"/>
    </row>
    <row r="22" spans="1:15">
      <c r="A22" s="43">
        <v>18</v>
      </c>
      <c r="B22" s="211">
        <v>46284</v>
      </c>
      <c r="C22" s="64"/>
      <c r="D22" s="152"/>
      <c r="E22" s="14">
        <v>231.78</v>
      </c>
      <c r="F22" s="14">
        <v>105.21</v>
      </c>
      <c r="G22" s="8">
        <f t="shared" si="0"/>
        <v>24385.573799999998</v>
      </c>
      <c r="H22" s="62">
        <v>25</v>
      </c>
      <c r="I22" s="63">
        <v>117.58</v>
      </c>
      <c r="J22" s="8">
        <f t="shared" si="2"/>
        <v>2939.5</v>
      </c>
      <c r="K22" s="8">
        <f t="shared" si="3"/>
        <v>27325.073799999998</v>
      </c>
      <c r="L22" s="529">
        <v>244000</v>
      </c>
      <c r="M22" s="65">
        <f t="shared" si="1"/>
        <v>73626.852600000042</v>
      </c>
      <c r="N22" s="185"/>
      <c r="O22" s="66"/>
    </row>
    <row r="23" spans="1:15">
      <c r="A23" s="43">
        <v>19</v>
      </c>
      <c r="B23" s="211">
        <v>46285</v>
      </c>
      <c r="C23" s="64"/>
      <c r="D23" s="152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529"/>
      <c r="M23" s="65">
        <f t="shared" si="1"/>
        <v>73626.852600000042</v>
      </c>
      <c r="N23" s="185"/>
      <c r="O23" s="66"/>
    </row>
    <row r="24" spans="1:15">
      <c r="A24" s="43">
        <v>20</v>
      </c>
      <c r="B24" s="211">
        <v>46286</v>
      </c>
      <c r="C24" s="64"/>
      <c r="D24" s="152"/>
      <c r="E24" s="14">
        <v>290.01</v>
      </c>
      <c r="F24" s="14">
        <v>105.21</v>
      </c>
      <c r="G24" s="8">
        <f t="shared" si="0"/>
        <v>30511.952099999999</v>
      </c>
      <c r="H24" s="62"/>
      <c r="I24" s="63"/>
      <c r="J24" s="8">
        <f t="shared" si="2"/>
        <v>0</v>
      </c>
      <c r="K24" s="8">
        <f t="shared" si="3"/>
        <v>30511.952099999999</v>
      </c>
      <c r="L24" s="529"/>
      <c r="M24" s="65">
        <f>M23+K24-L24</f>
        <v>104138.80470000004</v>
      </c>
      <c r="N24" s="185"/>
      <c r="O24" s="66"/>
    </row>
    <row r="25" spans="1:15">
      <c r="A25" s="43">
        <v>21</v>
      </c>
      <c r="B25" s="211">
        <v>46287</v>
      </c>
      <c r="C25" s="64"/>
      <c r="D25" s="152"/>
      <c r="E25" s="14">
        <v>249.8</v>
      </c>
      <c r="F25" s="14">
        <v>105.21</v>
      </c>
      <c r="G25" s="8">
        <f t="shared" si="0"/>
        <v>26281.457999999999</v>
      </c>
      <c r="H25" s="62">
        <v>10</v>
      </c>
      <c r="I25" s="63">
        <v>117.58</v>
      </c>
      <c r="J25" s="8">
        <f t="shared" si="2"/>
        <v>1175.8</v>
      </c>
      <c r="K25" s="8">
        <f t="shared" si="3"/>
        <v>27457.257999999998</v>
      </c>
      <c r="L25" s="529"/>
      <c r="M25" s="65">
        <f t="shared" si="1"/>
        <v>131596.06270000004</v>
      </c>
      <c r="N25" s="185"/>
      <c r="O25" s="66"/>
    </row>
    <row r="26" spans="1:15">
      <c r="A26" s="43">
        <v>22</v>
      </c>
      <c r="B26" s="211">
        <v>46288</v>
      </c>
      <c r="C26" s="64"/>
      <c r="D26" s="152"/>
      <c r="E26" s="14"/>
      <c r="F26" s="14"/>
      <c r="G26" s="8">
        <f t="shared" si="0"/>
        <v>0</v>
      </c>
      <c r="H26" s="62">
        <v>20</v>
      </c>
      <c r="I26" s="63">
        <v>117.58</v>
      </c>
      <c r="J26" s="8">
        <f t="shared" si="2"/>
        <v>2351.6</v>
      </c>
      <c r="K26" s="8">
        <f t="shared" si="3"/>
        <v>2351.6</v>
      </c>
      <c r="L26" s="529"/>
      <c r="M26" s="65">
        <f t="shared" si="1"/>
        <v>133947.66270000004</v>
      </c>
      <c r="N26" s="185"/>
      <c r="O26" s="66"/>
    </row>
    <row r="27" spans="1:15">
      <c r="A27" s="43">
        <v>23</v>
      </c>
      <c r="B27" s="211">
        <v>46289</v>
      </c>
      <c r="C27" s="64"/>
      <c r="D27" s="152"/>
      <c r="E27" s="14"/>
      <c r="F27" s="14"/>
      <c r="G27" s="8">
        <f t="shared" si="0"/>
        <v>0</v>
      </c>
      <c r="H27" s="62"/>
      <c r="I27" s="63"/>
      <c r="J27" s="8">
        <f t="shared" si="2"/>
        <v>0</v>
      </c>
      <c r="K27" s="8">
        <f t="shared" si="3"/>
        <v>0</v>
      </c>
      <c r="L27" s="529"/>
      <c r="M27" s="65">
        <f t="shared" si="1"/>
        <v>133947.66270000004</v>
      </c>
      <c r="N27" s="185"/>
      <c r="O27" s="66"/>
    </row>
    <row r="28" spans="1:15">
      <c r="A28" s="43">
        <v>24</v>
      </c>
      <c r="B28" s="211">
        <v>46290</v>
      </c>
      <c r="C28" s="64"/>
      <c r="D28" s="152"/>
      <c r="E28" s="14"/>
      <c r="F28" s="14"/>
      <c r="G28" s="8">
        <f t="shared" si="0"/>
        <v>0</v>
      </c>
      <c r="H28" s="62">
        <v>14.6</v>
      </c>
      <c r="I28" s="63">
        <v>117.58</v>
      </c>
      <c r="J28" s="8">
        <f t="shared" si="2"/>
        <v>1716.6679999999999</v>
      </c>
      <c r="K28" s="8">
        <f t="shared" si="3"/>
        <v>1716.6679999999999</v>
      </c>
      <c r="L28" s="529"/>
      <c r="M28" s="65">
        <f t="shared" si="1"/>
        <v>135664.33070000005</v>
      </c>
      <c r="N28" s="185"/>
      <c r="O28" s="66"/>
    </row>
    <row r="29" spans="1:15">
      <c r="A29" s="213">
        <v>25</v>
      </c>
      <c r="B29" s="211">
        <v>46291</v>
      </c>
      <c r="C29" s="64"/>
      <c r="D29" s="152"/>
      <c r="E29" s="14">
        <v>484.35</v>
      </c>
      <c r="F29" s="14">
        <v>105.21</v>
      </c>
      <c r="G29" s="8">
        <f t="shared" si="0"/>
        <v>50958.463499999998</v>
      </c>
      <c r="H29" s="62">
        <v>32</v>
      </c>
      <c r="I29" s="63">
        <v>117.58</v>
      </c>
      <c r="J29" s="8">
        <f t="shared" si="2"/>
        <v>3762.56</v>
      </c>
      <c r="K29" s="8">
        <f t="shared" si="3"/>
        <v>54721.023499999996</v>
      </c>
      <c r="L29" s="529"/>
      <c r="M29" s="65">
        <f t="shared" si="1"/>
        <v>190385.35420000006</v>
      </c>
      <c r="N29" s="185"/>
      <c r="O29" s="66"/>
    </row>
    <row r="30" spans="1:15">
      <c r="A30" s="213"/>
      <c r="B30" s="211">
        <v>46292</v>
      </c>
      <c r="C30" s="64"/>
      <c r="D30" s="152"/>
      <c r="E30" s="14">
        <v>280</v>
      </c>
      <c r="F30" s="14">
        <v>105.21</v>
      </c>
      <c r="G30" s="8">
        <f t="shared" si="0"/>
        <v>29458.799999999999</v>
      </c>
      <c r="H30" s="62"/>
      <c r="I30" s="63"/>
      <c r="J30" s="8">
        <f t="shared" si="2"/>
        <v>0</v>
      </c>
      <c r="K30" s="8">
        <f t="shared" si="3"/>
        <v>29458.799999999999</v>
      </c>
      <c r="L30" s="529"/>
      <c r="M30" s="65">
        <f t="shared" si="1"/>
        <v>219844.15420000005</v>
      </c>
      <c r="N30" s="185"/>
      <c r="O30" s="66"/>
    </row>
    <row r="31" spans="1:15">
      <c r="A31" s="213">
        <v>26</v>
      </c>
      <c r="B31" s="211">
        <v>46293</v>
      </c>
      <c r="C31" s="64"/>
      <c r="D31" s="152"/>
      <c r="E31" s="14"/>
      <c r="F31" s="14"/>
      <c r="G31" s="8">
        <f t="shared" si="0"/>
        <v>0</v>
      </c>
      <c r="H31" s="62"/>
      <c r="I31" s="63"/>
      <c r="J31" s="8">
        <f t="shared" si="2"/>
        <v>0</v>
      </c>
      <c r="K31" s="8">
        <f t="shared" si="3"/>
        <v>0</v>
      </c>
      <c r="L31" s="529"/>
      <c r="M31" s="65">
        <f t="shared" si="1"/>
        <v>219844.15420000005</v>
      </c>
      <c r="N31" s="8"/>
      <c r="O31" s="66"/>
    </row>
    <row r="32" spans="1:15">
      <c r="A32" s="213">
        <v>27</v>
      </c>
      <c r="B32" s="211">
        <v>46294</v>
      </c>
      <c r="C32" s="64"/>
      <c r="D32" s="152"/>
      <c r="E32" s="14">
        <v>253.07</v>
      </c>
      <c r="F32" s="14">
        <v>105.21</v>
      </c>
      <c r="G32" s="8">
        <f t="shared" si="0"/>
        <v>26625.494699999999</v>
      </c>
      <c r="H32" s="62">
        <v>52.63</v>
      </c>
      <c r="I32" s="63">
        <v>117.58</v>
      </c>
      <c r="J32" s="8">
        <f t="shared" si="2"/>
        <v>6188.2354000000005</v>
      </c>
      <c r="K32" s="8">
        <f t="shared" si="3"/>
        <v>32813.730100000001</v>
      </c>
      <c r="L32" s="529"/>
      <c r="M32" s="65">
        <f t="shared" si="1"/>
        <v>252657.88430000003</v>
      </c>
      <c r="N32" s="8"/>
      <c r="O32" s="66"/>
    </row>
    <row r="33" spans="1:15">
      <c r="A33" s="213">
        <v>28</v>
      </c>
      <c r="B33" s="211">
        <v>46295</v>
      </c>
      <c r="C33" s="64"/>
      <c r="D33" s="152"/>
      <c r="E33" s="152">
        <v>350</v>
      </c>
      <c r="F33" s="14">
        <v>105.21</v>
      </c>
      <c r="G33" s="8">
        <f t="shared" si="0"/>
        <v>36823.5</v>
      </c>
      <c r="H33" s="62">
        <v>20</v>
      </c>
      <c r="I33" s="63">
        <v>117.58</v>
      </c>
      <c r="J33" s="8">
        <f t="shared" si="2"/>
        <v>2351.6</v>
      </c>
      <c r="K33" s="8">
        <f t="shared" si="3"/>
        <v>39175.1</v>
      </c>
      <c r="L33" s="529"/>
      <c r="M33" s="65">
        <f t="shared" si="1"/>
        <v>291832.98430000001</v>
      </c>
      <c r="N33" s="8"/>
      <c r="O33" s="66"/>
    </row>
    <row r="34" spans="1:15">
      <c r="A34" s="214">
        <v>29</v>
      </c>
      <c r="B34" s="211"/>
      <c r="C34" s="124"/>
      <c r="D34" s="125"/>
      <c r="E34" s="133"/>
      <c r="F34" s="133"/>
      <c r="G34" s="16">
        <f t="shared" si="0"/>
        <v>0</v>
      </c>
      <c r="H34" s="146"/>
      <c r="I34" s="147"/>
      <c r="J34" s="16">
        <f t="shared" si="2"/>
        <v>0</v>
      </c>
      <c r="K34" s="16">
        <f t="shared" si="3"/>
        <v>0</v>
      </c>
      <c r="L34" s="65"/>
      <c r="M34" s="65">
        <f t="shared" si="1"/>
        <v>291832.98430000001</v>
      </c>
      <c r="N34" s="8"/>
      <c r="O34" s="66"/>
    </row>
    <row r="35" spans="1:15">
      <c r="A35" s="214">
        <v>30</v>
      </c>
      <c r="B35" s="211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/>
      <c r="M35" s="65">
        <f t="shared" si="1"/>
        <v>291832.98430000001</v>
      </c>
      <c r="N35" s="8"/>
      <c r="O35" s="66"/>
    </row>
    <row r="36" spans="1:15">
      <c r="A36" s="214">
        <v>31</v>
      </c>
      <c r="B36" s="211"/>
      <c r="C36" s="64"/>
      <c r="D36" s="152"/>
      <c r="E36" s="248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/>
      <c r="M36" s="65">
        <f t="shared" si="1"/>
        <v>291832.98430000001</v>
      </c>
      <c r="N36" s="8"/>
      <c r="O36" s="66"/>
    </row>
    <row r="37" spans="1:15">
      <c r="A37" s="59"/>
      <c r="B37" s="59"/>
      <c r="C37" s="59"/>
      <c r="D37" s="59"/>
      <c r="E37" s="249">
        <f>SUM(E4:E36)</f>
        <v>5710.3</v>
      </c>
      <c r="F37" s="249"/>
      <c r="G37" s="60">
        <f>SUM(G4:G36)</f>
        <v>600780.66300000006</v>
      </c>
      <c r="H37" s="60">
        <f>SUM(H4:H36)</f>
        <v>516.23</v>
      </c>
      <c r="I37" s="60"/>
      <c r="J37" s="60">
        <f>SUM(J4:J36)</f>
        <v>60698.323399999994</v>
      </c>
      <c r="K37" s="60">
        <f>SUM(K4:K36)</f>
        <v>661478.98639999994</v>
      </c>
      <c r="L37" s="60">
        <f>SUM(L4:L36)</f>
        <v>494000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99"/>
      <c r="C45" s="599"/>
      <c r="D45" s="599"/>
      <c r="E45" s="599"/>
      <c r="F45" s="66"/>
      <c r="G45" s="66"/>
      <c r="H45" s="66"/>
      <c r="I45" s="599"/>
      <c r="J45" s="599"/>
      <c r="K45" s="599"/>
      <c r="L45" s="599"/>
      <c r="M45" s="599"/>
      <c r="N45" s="599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AD2-7836-4B7B-A3FA-065AF83176ED}">
  <sheetPr>
    <tabColor theme="7" tint="0.39997558519241921"/>
  </sheetPr>
  <dimension ref="A1:R46"/>
  <sheetViews>
    <sheetView workbookViewId="0">
      <pane ySplit="3" topLeftCell="A21" activePane="bottomLeft" state="frozen"/>
      <selection pane="bottomLeft" activeCell="E31" sqref="E31"/>
    </sheetView>
  </sheetViews>
  <sheetFormatPr defaultRowHeight="15"/>
  <cols>
    <col min="2" max="2" width="11.140625" customWidth="1"/>
    <col min="4" max="4" width="12.7109375" customWidth="1"/>
    <col min="7" max="7" width="14.42578125" customWidth="1"/>
    <col min="11" max="11" width="13.5703125" bestFit="1" customWidth="1"/>
    <col min="12" max="12" width="20" customWidth="1"/>
    <col min="13" max="13" width="11.5703125" bestFit="1" customWidth="1"/>
  </cols>
  <sheetData>
    <row r="1" spans="1:18" ht="15.75">
      <c r="A1" s="590" t="s">
        <v>203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7"/>
      <c r="D3" s="597"/>
      <c r="E3" s="597"/>
      <c r="F3" s="597"/>
      <c r="G3" s="597"/>
      <c r="H3" s="597"/>
      <c r="I3" s="597"/>
      <c r="J3" s="597"/>
      <c r="K3" s="597"/>
      <c r="L3" s="593"/>
      <c r="M3" s="143">
        <v>8498.7135999999846</v>
      </c>
      <c r="N3" s="149"/>
      <c r="O3" s="56"/>
    </row>
    <row r="4" spans="1:18">
      <c r="A4" s="188">
        <v>1</v>
      </c>
      <c r="B4" s="211">
        <v>46266</v>
      </c>
      <c r="C4" s="64"/>
      <c r="D4" s="152"/>
      <c r="E4" s="248">
        <v>30</v>
      </c>
      <c r="F4" s="248">
        <v>105.46</v>
      </c>
      <c r="G4" s="8">
        <f t="shared" ref="G4:G36" si="0">E4*F4</f>
        <v>3163.7999999999997</v>
      </c>
      <c r="H4" s="62"/>
      <c r="I4" s="63"/>
      <c r="J4" s="8">
        <f>H4*I4</f>
        <v>0</v>
      </c>
      <c r="K4" s="8">
        <f>G4+J4</f>
        <v>3163.7999999999997</v>
      </c>
      <c r="L4" s="529"/>
      <c r="M4" s="65">
        <f>M3+K4-L4</f>
        <v>11662.513599999984</v>
      </c>
      <c r="N4" s="149"/>
    </row>
    <row r="5" spans="1:18">
      <c r="A5" s="188">
        <v>2</v>
      </c>
      <c r="B5" s="211">
        <v>46267</v>
      </c>
      <c r="C5" s="64"/>
      <c r="D5" s="152"/>
      <c r="E5" s="248"/>
      <c r="F5" s="248"/>
      <c r="G5" s="8">
        <f t="shared" si="0"/>
        <v>0</v>
      </c>
      <c r="H5" s="62"/>
      <c r="I5" s="63"/>
      <c r="J5" s="8">
        <f>H5*I5</f>
        <v>0</v>
      </c>
      <c r="K5" s="8">
        <f>G5+J5</f>
        <v>0</v>
      </c>
      <c r="L5" s="529"/>
      <c r="M5" s="65">
        <f t="shared" ref="M5:M36" si="1">M4+K5-L5</f>
        <v>11662.513599999984</v>
      </c>
      <c r="N5" s="149"/>
    </row>
    <row r="6" spans="1:18">
      <c r="A6" s="43">
        <v>3</v>
      </c>
      <c r="B6" s="211">
        <v>46268</v>
      </c>
      <c r="C6" s="64"/>
      <c r="D6" s="14"/>
      <c r="E6" s="248">
        <v>110</v>
      </c>
      <c r="F6" s="248">
        <v>105.46</v>
      </c>
      <c r="G6" s="8">
        <f t="shared" si="0"/>
        <v>11600.599999999999</v>
      </c>
      <c r="H6" s="62"/>
      <c r="I6" s="63"/>
      <c r="J6" s="8">
        <f t="shared" ref="J6:J36" si="2">H6*I6</f>
        <v>0</v>
      </c>
      <c r="K6" s="8">
        <f t="shared" ref="K6:K36" si="3">G6+J6</f>
        <v>11600.599999999999</v>
      </c>
      <c r="L6" s="529"/>
      <c r="M6" s="65">
        <f t="shared" si="1"/>
        <v>23263.113599999982</v>
      </c>
      <c r="N6" s="149"/>
    </row>
    <row r="7" spans="1:18">
      <c r="A7" s="188">
        <v>4</v>
      </c>
      <c r="B7" s="211">
        <v>46269</v>
      </c>
      <c r="C7" s="64"/>
      <c r="D7" s="152"/>
      <c r="E7" s="248">
        <v>100</v>
      </c>
      <c r="F7" s="248">
        <v>105.46</v>
      </c>
      <c r="G7" s="8">
        <f t="shared" si="0"/>
        <v>10546</v>
      </c>
      <c r="H7" s="62"/>
      <c r="I7" s="63"/>
      <c r="J7" s="8">
        <f t="shared" si="2"/>
        <v>0</v>
      </c>
      <c r="K7" s="8">
        <f t="shared" si="3"/>
        <v>10546</v>
      </c>
      <c r="L7" s="529"/>
      <c r="M7" s="65">
        <f t="shared" si="1"/>
        <v>33809.113599999982</v>
      </c>
      <c r="N7" s="149"/>
    </row>
    <row r="8" spans="1:18">
      <c r="A8" s="188">
        <v>5</v>
      </c>
      <c r="B8" s="211">
        <v>46270</v>
      </c>
      <c r="C8" s="64"/>
      <c r="D8" s="152"/>
      <c r="E8" s="248"/>
      <c r="F8" s="248"/>
      <c r="G8" s="8">
        <f t="shared" si="0"/>
        <v>0</v>
      </c>
      <c r="H8" s="62"/>
      <c r="I8" s="63"/>
      <c r="J8" s="8">
        <f t="shared" si="2"/>
        <v>0</v>
      </c>
      <c r="K8" s="8">
        <f t="shared" si="3"/>
        <v>0</v>
      </c>
      <c r="L8" s="529"/>
      <c r="M8" s="65">
        <f t="shared" si="1"/>
        <v>33809.113599999982</v>
      </c>
      <c r="N8" s="149"/>
    </row>
    <row r="9" spans="1:18">
      <c r="A9" s="43">
        <v>6</v>
      </c>
      <c r="B9" s="211">
        <v>46271</v>
      </c>
      <c r="C9" s="64"/>
      <c r="D9" s="152"/>
      <c r="E9" s="248"/>
      <c r="F9" s="248"/>
      <c r="G9" s="8">
        <f t="shared" si="0"/>
        <v>0</v>
      </c>
      <c r="H9" s="62"/>
      <c r="I9" s="63"/>
      <c r="J9" s="8">
        <f t="shared" si="2"/>
        <v>0</v>
      </c>
      <c r="K9" s="8">
        <f t="shared" si="3"/>
        <v>0</v>
      </c>
      <c r="L9" s="529"/>
      <c r="M9" s="65">
        <f t="shared" si="1"/>
        <v>33809.113599999982</v>
      </c>
      <c r="N9" s="149"/>
      <c r="O9" s="66"/>
      <c r="R9" s="217"/>
    </row>
    <row r="10" spans="1:18">
      <c r="A10" s="188">
        <v>7</v>
      </c>
      <c r="B10" s="211">
        <v>46272</v>
      </c>
      <c r="C10" s="64"/>
      <c r="D10" s="152"/>
      <c r="E10" s="248"/>
      <c r="F10" s="248"/>
      <c r="G10" s="8">
        <f t="shared" si="0"/>
        <v>0</v>
      </c>
      <c r="H10" s="62"/>
      <c r="I10" s="63"/>
      <c r="J10" s="8">
        <f t="shared" si="2"/>
        <v>0</v>
      </c>
      <c r="K10" s="8">
        <f t="shared" si="3"/>
        <v>0</v>
      </c>
      <c r="L10" s="529"/>
      <c r="M10" s="65">
        <f t="shared" si="1"/>
        <v>33809.113599999982</v>
      </c>
      <c r="N10" s="149"/>
      <c r="O10" s="66"/>
    </row>
    <row r="11" spans="1:18">
      <c r="A11" s="188">
        <v>8</v>
      </c>
      <c r="B11" s="211">
        <v>46273</v>
      </c>
      <c r="C11" s="64"/>
      <c r="D11" s="152"/>
      <c r="E11" s="248"/>
      <c r="F11" s="248"/>
      <c r="G11" s="8">
        <f t="shared" si="0"/>
        <v>0</v>
      </c>
      <c r="H11" s="62"/>
      <c r="I11" s="63"/>
      <c r="J11" s="8">
        <f t="shared" si="2"/>
        <v>0</v>
      </c>
      <c r="K11" s="8">
        <f t="shared" si="3"/>
        <v>0</v>
      </c>
      <c r="L11" s="529"/>
      <c r="M11" s="65">
        <f t="shared" si="1"/>
        <v>33809.113599999982</v>
      </c>
      <c r="N11" s="149"/>
      <c r="O11" s="66"/>
    </row>
    <row r="12" spans="1:18">
      <c r="A12" s="43">
        <v>9</v>
      </c>
      <c r="B12" s="211">
        <v>46274</v>
      </c>
      <c r="C12" s="64"/>
      <c r="D12" s="152"/>
      <c r="E12" s="248">
        <v>140</v>
      </c>
      <c r="F12" s="248">
        <v>105.46</v>
      </c>
      <c r="G12" s="8">
        <f t="shared" si="0"/>
        <v>14764.4</v>
      </c>
      <c r="H12" s="62"/>
      <c r="I12" s="63"/>
      <c r="J12" s="8">
        <f t="shared" si="2"/>
        <v>0</v>
      </c>
      <c r="K12" s="8">
        <f t="shared" si="3"/>
        <v>14764.4</v>
      </c>
      <c r="L12" s="529"/>
      <c r="M12" s="65">
        <f t="shared" si="1"/>
        <v>48573.513599999984</v>
      </c>
      <c r="N12" s="149"/>
      <c r="O12" s="66"/>
    </row>
    <row r="13" spans="1:18">
      <c r="A13" s="188">
        <v>10</v>
      </c>
      <c r="B13" s="211">
        <v>46275</v>
      </c>
      <c r="C13" s="64"/>
      <c r="D13" s="152"/>
      <c r="E13" s="248">
        <v>40</v>
      </c>
      <c r="F13" s="248">
        <v>105.46</v>
      </c>
      <c r="G13" s="8">
        <f t="shared" si="0"/>
        <v>4218.3999999999996</v>
      </c>
      <c r="H13" s="62">
        <v>5</v>
      </c>
      <c r="I13" s="63">
        <v>117.84</v>
      </c>
      <c r="J13" s="8">
        <f t="shared" si="2"/>
        <v>589.20000000000005</v>
      </c>
      <c r="K13" s="8">
        <f t="shared" si="3"/>
        <v>4807.5999999999995</v>
      </c>
      <c r="L13" s="529"/>
      <c r="M13" s="65">
        <f t="shared" si="1"/>
        <v>53381.113599999982</v>
      </c>
      <c r="N13" s="149"/>
      <c r="O13" s="66"/>
    </row>
    <row r="14" spans="1:18">
      <c r="A14" s="188">
        <v>11</v>
      </c>
      <c r="B14" s="211">
        <v>46276</v>
      </c>
      <c r="C14" s="64"/>
      <c r="D14" s="152"/>
      <c r="E14" s="248"/>
      <c r="F14" s="248"/>
      <c r="G14" s="8">
        <f t="shared" si="0"/>
        <v>0</v>
      </c>
      <c r="H14" s="62"/>
      <c r="I14" s="63"/>
      <c r="J14" s="8">
        <f t="shared" si="2"/>
        <v>0</v>
      </c>
      <c r="K14" s="8">
        <f t="shared" si="3"/>
        <v>0</v>
      </c>
      <c r="L14" s="529"/>
      <c r="M14" s="65">
        <f t="shared" si="1"/>
        <v>53381.113599999982</v>
      </c>
      <c r="N14" s="149"/>
      <c r="O14" s="66"/>
    </row>
    <row r="15" spans="1:18">
      <c r="A15" s="43">
        <v>12</v>
      </c>
      <c r="B15" s="211">
        <v>46277</v>
      </c>
      <c r="C15" s="64"/>
      <c r="D15" s="152"/>
      <c r="E15" s="248">
        <v>100</v>
      </c>
      <c r="F15" s="248">
        <v>105.46</v>
      </c>
      <c r="G15" s="8">
        <f t="shared" si="0"/>
        <v>10546</v>
      </c>
      <c r="H15" s="62"/>
      <c r="I15" s="63"/>
      <c r="J15" s="8">
        <f t="shared" si="2"/>
        <v>0</v>
      </c>
      <c r="K15" s="8">
        <f>G15+J15</f>
        <v>10546</v>
      </c>
      <c r="L15" s="529"/>
      <c r="M15" s="65">
        <f t="shared" si="1"/>
        <v>63927.113599999982</v>
      </c>
      <c r="N15" s="149"/>
      <c r="O15" s="66"/>
    </row>
    <row r="16" spans="1:18">
      <c r="A16" s="188">
        <v>13</v>
      </c>
      <c r="B16" s="211">
        <v>46278</v>
      </c>
      <c r="C16" s="64"/>
      <c r="D16" s="152"/>
      <c r="E16" s="248"/>
      <c r="F16" s="248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529"/>
      <c r="M16" s="65">
        <f t="shared" si="1"/>
        <v>63927.113599999982</v>
      </c>
      <c r="N16" s="8"/>
      <c r="O16" s="66"/>
    </row>
    <row r="17" spans="1:15">
      <c r="A17" s="188">
        <v>14</v>
      </c>
      <c r="B17" s="211">
        <v>46279</v>
      </c>
      <c r="C17" s="64"/>
      <c r="D17" s="152"/>
      <c r="E17" s="248"/>
      <c r="F17" s="248"/>
      <c r="G17" s="8">
        <f t="shared" si="0"/>
        <v>0</v>
      </c>
      <c r="H17" s="62"/>
      <c r="I17" s="63"/>
      <c r="J17" s="8">
        <f t="shared" si="2"/>
        <v>0</v>
      </c>
      <c r="K17" s="8">
        <f t="shared" si="3"/>
        <v>0</v>
      </c>
      <c r="L17" s="529"/>
      <c r="M17" s="65">
        <f t="shared" si="1"/>
        <v>63927.113599999982</v>
      </c>
      <c r="N17" s="8"/>
      <c r="O17" s="66"/>
    </row>
    <row r="18" spans="1:15">
      <c r="A18" s="43">
        <v>15</v>
      </c>
      <c r="B18" s="211">
        <v>46280</v>
      </c>
      <c r="C18" s="64"/>
      <c r="D18" s="152"/>
      <c r="E18" s="248"/>
      <c r="F18" s="248"/>
      <c r="G18" s="8">
        <f t="shared" si="0"/>
        <v>0</v>
      </c>
      <c r="H18" s="62">
        <v>5</v>
      </c>
      <c r="I18" s="63">
        <v>117.84</v>
      </c>
      <c r="J18" s="8">
        <f t="shared" si="2"/>
        <v>589.20000000000005</v>
      </c>
      <c r="K18" s="8">
        <f t="shared" si="3"/>
        <v>589.20000000000005</v>
      </c>
      <c r="L18" s="529"/>
      <c r="M18" s="65">
        <f t="shared" si="1"/>
        <v>64516.313599999979</v>
      </c>
      <c r="N18" s="8"/>
      <c r="O18" s="66"/>
    </row>
    <row r="19" spans="1:15">
      <c r="A19" s="188">
        <v>16</v>
      </c>
      <c r="B19" s="211">
        <v>46281</v>
      </c>
      <c r="C19" s="64"/>
      <c r="D19" s="152"/>
      <c r="E19" s="248"/>
      <c r="F19" s="248"/>
      <c r="G19" s="8">
        <f t="shared" si="0"/>
        <v>0</v>
      </c>
      <c r="H19" s="62"/>
      <c r="I19" s="63"/>
      <c r="J19" s="8">
        <f t="shared" si="2"/>
        <v>0</v>
      </c>
      <c r="K19" s="8">
        <f t="shared" si="3"/>
        <v>0</v>
      </c>
      <c r="L19" s="539"/>
      <c r="M19" s="65">
        <f t="shared" si="1"/>
        <v>64516.313599999979</v>
      </c>
      <c r="N19" s="8"/>
      <c r="O19" s="66"/>
    </row>
    <row r="20" spans="1:15">
      <c r="A20" s="188">
        <v>17</v>
      </c>
      <c r="B20" s="211">
        <v>46282</v>
      </c>
      <c r="C20" s="64"/>
      <c r="D20" s="152"/>
      <c r="E20" s="248"/>
      <c r="F20" s="248"/>
      <c r="G20" s="8">
        <f t="shared" si="0"/>
        <v>0</v>
      </c>
      <c r="H20" s="62"/>
      <c r="I20" s="63"/>
      <c r="J20" s="8">
        <f t="shared" si="2"/>
        <v>0</v>
      </c>
      <c r="K20" s="8">
        <f t="shared" si="3"/>
        <v>0</v>
      </c>
      <c r="L20" s="529"/>
      <c r="M20" s="65">
        <f t="shared" si="1"/>
        <v>64516.313599999979</v>
      </c>
      <c r="N20" s="185"/>
      <c r="O20" s="66"/>
    </row>
    <row r="21" spans="1:15">
      <c r="A21" s="43">
        <v>18</v>
      </c>
      <c r="B21" s="211">
        <v>46283</v>
      </c>
      <c r="C21" s="64"/>
      <c r="D21" s="152"/>
      <c r="E21" s="248">
        <v>152.02000000000001</v>
      </c>
      <c r="F21" s="248">
        <v>105.46</v>
      </c>
      <c r="G21" s="8">
        <f t="shared" si="0"/>
        <v>16032.029200000001</v>
      </c>
      <c r="H21" s="62"/>
      <c r="I21" s="63"/>
      <c r="J21" s="8">
        <f t="shared" si="2"/>
        <v>0</v>
      </c>
      <c r="K21" s="8">
        <f t="shared" si="3"/>
        <v>16032.029200000001</v>
      </c>
      <c r="L21" s="529"/>
      <c r="M21" s="65">
        <f t="shared" si="1"/>
        <v>80548.342799999984</v>
      </c>
      <c r="N21" s="185"/>
      <c r="O21" s="66"/>
    </row>
    <row r="22" spans="1:15">
      <c r="A22" s="188">
        <v>19</v>
      </c>
      <c r="B22" s="211">
        <v>46284</v>
      </c>
      <c r="C22" s="64"/>
      <c r="D22" s="152"/>
      <c r="E22" s="14"/>
      <c r="F22" s="14"/>
      <c r="G22" s="8">
        <f t="shared" si="0"/>
        <v>0</v>
      </c>
      <c r="H22" s="62"/>
      <c r="I22" s="63"/>
      <c r="J22" s="8">
        <f t="shared" si="2"/>
        <v>0</v>
      </c>
      <c r="K22" s="8">
        <f t="shared" si="3"/>
        <v>0</v>
      </c>
      <c r="L22" s="529"/>
      <c r="M22" s="65">
        <f t="shared" si="1"/>
        <v>80548.342799999984</v>
      </c>
      <c r="N22" s="185"/>
      <c r="O22" s="66"/>
    </row>
    <row r="23" spans="1:15">
      <c r="A23" s="188">
        <v>20</v>
      </c>
      <c r="B23" s="211">
        <v>46285</v>
      </c>
      <c r="C23" s="64"/>
      <c r="D23" s="152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529"/>
      <c r="M23" s="65">
        <f t="shared" si="1"/>
        <v>80548.342799999984</v>
      </c>
      <c r="N23" s="185"/>
      <c r="O23" s="66"/>
    </row>
    <row r="24" spans="1:15">
      <c r="A24" s="43">
        <v>21</v>
      </c>
      <c r="B24" s="211">
        <v>46286</v>
      </c>
      <c r="C24" s="64"/>
      <c r="D24" s="152"/>
      <c r="E24" s="14"/>
      <c r="F24" s="14"/>
      <c r="G24" s="8">
        <f t="shared" si="0"/>
        <v>0</v>
      </c>
      <c r="H24" s="62"/>
      <c r="I24" s="63"/>
      <c r="J24" s="8">
        <f t="shared" si="2"/>
        <v>0</v>
      </c>
      <c r="K24" s="8">
        <f t="shared" si="3"/>
        <v>0</v>
      </c>
      <c r="L24" s="529"/>
      <c r="M24" s="65">
        <f t="shared" si="1"/>
        <v>80548.342799999984</v>
      </c>
      <c r="N24" s="185"/>
      <c r="O24" s="66"/>
    </row>
    <row r="25" spans="1:15">
      <c r="A25" s="188">
        <v>22</v>
      </c>
      <c r="B25" s="211">
        <v>46287</v>
      </c>
      <c r="C25" s="64"/>
      <c r="D25" s="152"/>
      <c r="E25" s="14"/>
      <c r="F25" s="14"/>
      <c r="G25" s="8">
        <f t="shared" si="0"/>
        <v>0</v>
      </c>
      <c r="H25" s="62"/>
      <c r="I25" s="63"/>
      <c r="J25" s="8">
        <f t="shared" si="2"/>
        <v>0</v>
      </c>
      <c r="K25" s="8">
        <f t="shared" si="3"/>
        <v>0</v>
      </c>
      <c r="L25" s="529"/>
      <c r="M25" s="65">
        <f t="shared" si="1"/>
        <v>80548.342799999984</v>
      </c>
      <c r="N25" s="185"/>
      <c r="O25" s="66"/>
    </row>
    <row r="26" spans="1:15">
      <c r="A26" s="188">
        <v>23</v>
      </c>
      <c r="B26" s="211">
        <v>46288</v>
      </c>
      <c r="C26" s="64"/>
      <c r="D26" s="152"/>
      <c r="E26" s="14">
        <v>30</v>
      </c>
      <c r="F26" s="14">
        <v>105.46</v>
      </c>
      <c r="G26" s="8">
        <f t="shared" si="0"/>
        <v>3163.7999999999997</v>
      </c>
      <c r="H26" s="62"/>
      <c r="I26" s="63"/>
      <c r="J26" s="8">
        <f t="shared" si="2"/>
        <v>0</v>
      </c>
      <c r="K26" s="8">
        <f t="shared" si="3"/>
        <v>3163.7999999999997</v>
      </c>
      <c r="L26" s="529">
        <v>80000</v>
      </c>
      <c r="M26" s="65">
        <f t="shared" si="1"/>
        <v>3712.1427999999869</v>
      </c>
      <c r="N26" s="185"/>
      <c r="O26" s="66"/>
    </row>
    <row r="27" spans="1:15">
      <c r="A27" s="43">
        <v>24</v>
      </c>
      <c r="B27" s="211">
        <v>46289</v>
      </c>
      <c r="C27" s="64"/>
      <c r="D27" s="152"/>
      <c r="E27" s="14">
        <v>40</v>
      </c>
      <c r="F27" s="14">
        <v>105.46</v>
      </c>
      <c r="G27" s="8">
        <f t="shared" si="0"/>
        <v>4218.3999999999996</v>
      </c>
      <c r="H27" s="62">
        <v>5</v>
      </c>
      <c r="I27" s="63">
        <v>117.84</v>
      </c>
      <c r="J27" s="8">
        <f t="shared" si="2"/>
        <v>589.20000000000005</v>
      </c>
      <c r="K27" s="8">
        <f t="shared" si="3"/>
        <v>4807.5999999999995</v>
      </c>
      <c r="L27" s="529"/>
      <c r="M27" s="65">
        <f t="shared" si="1"/>
        <v>8519.7427999999854</v>
      </c>
      <c r="N27" s="185"/>
      <c r="O27" s="66"/>
    </row>
    <row r="28" spans="1:15">
      <c r="A28" s="188">
        <v>25</v>
      </c>
      <c r="B28" s="211">
        <v>46290</v>
      </c>
      <c r="C28" s="64"/>
      <c r="D28" s="152"/>
      <c r="E28" s="14"/>
      <c r="F28" s="14"/>
      <c r="G28" s="8">
        <f t="shared" si="0"/>
        <v>0</v>
      </c>
      <c r="H28" s="62"/>
      <c r="I28" s="63"/>
      <c r="J28" s="8">
        <f t="shared" si="2"/>
        <v>0</v>
      </c>
      <c r="K28" s="8">
        <f t="shared" si="3"/>
        <v>0</v>
      </c>
      <c r="L28" s="529"/>
      <c r="M28" s="65">
        <f t="shared" si="1"/>
        <v>8519.7427999999854</v>
      </c>
      <c r="N28" s="185"/>
      <c r="O28" s="66"/>
    </row>
    <row r="29" spans="1:15">
      <c r="A29" s="188">
        <v>26</v>
      </c>
      <c r="B29" s="211">
        <v>46291</v>
      </c>
      <c r="C29" s="64"/>
      <c r="D29" s="152"/>
      <c r="E29" s="14"/>
      <c r="F29" s="14"/>
      <c r="G29" s="8">
        <f t="shared" si="0"/>
        <v>0</v>
      </c>
      <c r="H29" s="62"/>
      <c r="I29" s="63"/>
      <c r="J29" s="8">
        <f t="shared" si="2"/>
        <v>0</v>
      </c>
      <c r="K29" s="8">
        <f t="shared" si="3"/>
        <v>0</v>
      </c>
      <c r="L29" s="529"/>
      <c r="M29" s="65">
        <f t="shared" si="1"/>
        <v>8519.7427999999854</v>
      </c>
      <c r="N29" s="185"/>
      <c r="O29" s="66"/>
    </row>
    <row r="30" spans="1:15">
      <c r="A30" s="43">
        <v>27</v>
      </c>
      <c r="B30" s="211">
        <v>46292</v>
      </c>
      <c r="C30" s="64"/>
      <c r="D30" s="152"/>
      <c r="E30" s="14"/>
      <c r="F30" s="14"/>
      <c r="G30" s="8"/>
      <c r="H30" s="62"/>
      <c r="I30" s="63"/>
      <c r="J30" s="8">
        <f t="shared" si="2"/>
        <v>0</v>
      </c>
      <c r="K30" s="8">
        <f t="shared" si="3"/>
        <v>0</v>
      </c>
      <c r="L30" s="529"/>
      <c r="M30" s="65">
        <f t="shared" si="1"/>
        <v>8519.7427999999854</v>
      </c>
      <c r="N30" s="185"/>
      <c r="O30" s="66"/>
    </row>
    <row r="31" spans="1:15">
      <c r="A31" s="188">
        <v>28</v>
      </c>
      <c r="B31" s="211">
        <v>46293</v>
      </c>
      <c r="C31" s="64"/>
      <c r="D31" s="152"/>
      <c r="E31" s="14"/>
      <c r="F31" s="14"/>
      <c r="G31" s="8">
        <f t="shared" si="0"/>
        <v>0</v>
      </c>
      <c r="H31" s="62"/>
      <c r="I31" s="63"/>
      <c r="J31" s="8">
        <f t="shared" si="2"/>
        <v>0</v>
      </c>
      <c r="K31" s="8">
        <f t="shared" si="3"/>
        <v>0</v>
      </c>
      <c r="L31" s="540"/>
      <c r="M31" s="65">
        <f t="shared" si="1"/>
        <v>8519.7427999999854</v>
      </c>
      <c r="N31" s="8"/>
      <c r="O31" s="66"/>
    </row>
    <row r="32" spans="1:15">
      <c r="A32" s="188">
        <v>29</v>
      </c>
      <c r="B32" s="211">
        <v>46294</v>
      </c>
      <c r="C32" s="64"/>
      <c r="D32" s="152"/>
      <c r="E32" s="14"/>
      <c r="F32" s="14"/>
      <c r="G32" s="8">
        <f t="shared" si="0"/>
        <v>0</v>
      </c>
      <c r="H32" s="62">
        <v>5</v>
      </c>
      <c r="I32" s="63">
        <v>117.84</v>
      </c>
      <c r="J32" s="8">
        <f t="shared" si="2"/>
        <v>589.20000000000005</v>
      </c>
      <c r="K32" s="8">
        <f t="shared" si="3"/>
        <v>589.20000000000005</v>
      </c>
      <c r="L32" s="529"/>
      <c r="M32" s="65">
        <f t="shared" si="1"/>
        <v>9108.9427999999862</v>
      </c>
      <c r="N32" s="8"/>
      <c r="O32" s="66"/>
    </row>
    <row r="33" spans="1:15">
      <c r="A33" s="43">
        <v>30</v>
      </c>
      <c r="B33" s="211">
        <v>46295</v>
      </c>
      <c r="C33" s="64"/>
      <c r="D33" s="152"/>
      <c r="E33" s="152">
        <v>70</v>
      </c>
      <c r="F33" s="14">
        <v>105.46</v>
      </c>
      <c r="G33" s="8">
        <f t="shared" si="0"/>
        <v>7382.2</v>
      </c>
      <c r="H33" s="62">
        <v>5</v>
      </c>
      <c r="I33" s="63">
        <v>117.84</v>
      </c>
      <c r="J33" s="8">
        <f t="shared" si="2"/>
        <v>589.20000000000005</v>
      </c>
      <c r="K33" s="8">
        <f t="shared" si="3"/>
        <v>7971.4</v>
      </c>
      <c r="L33" s="529"/>
      <c r="M33" s="65">
        <f t="shared" si="1"/>
        <v>17080.342799999984</v>
      </c>
      <c r="N33" s="8"/>
      <c r="O33" s="66"/>
    </row>
    <row r="34" spans="1:15">
      <c r="A34" s="188">
        <v>31</v>
      </c>
      <c r="B34" s="211"/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2"/>
        <v>0</v>
      </c>
      <c r="K34" s="8">
        <f t="shared" si="3"/>
        <v>0</v>
      </c>
      <c r="L34" s="529"/>
      <c r="M34" s="65">
        <f t="shared" si="1"/>
        <v>17080.342799999984</v>
      </c>
      <c r="N34" s="8"/>
      <c r="O34" s="66"/>
    </row>
    <row r="35" spans="1:15">
      <c r="A35" s="188">
        <v>32</v>
      </c>
      <c r="B35" s="211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529"/>
      <c r="M35" s="65">
        <f t="shared" si="1"/>
        <v>17080.342799999984</v>
      </c>
      <c r="N35" s="8"/>
      <c r="O35" s="66"/>
    </row>
    <row r="36" spans="1:15">
      <c r="A36" s="43">
        <v>33</v>
      </c>
      <c r="B36" s="211"/>
      <c r="C36" s="124"/>
      <c r="D36" s="125"/>
      <c r="E36" s="530"/>
      <c r="F36" s="133"/>
      <c r="G36" s="16">
        <f t="shared" si="0"/>
        <v>0</v>
      </c>
      <c r="H36" s="146"/>
      <c r="I36" s="147"/>
      <c r="J36" s="16">
        <f t="shared" si="2"/>
        <v>0</v>
      </c>
      <c r="K36" s="16">
        <f t="shared" si="3"/>
        <v>0</v>
      </c>
      <c r="L36" s="65"/>
      <c r="M36" s="65">
        <f t="shared" si="1"/>
        <v>17080.342799999984</v>
      </c>
      <c r="N36" s="8"/>
      <c r="O36" s="66"/>
    </row>
    <row r="37" spans="1:15">
      <c r="A37" s="59"/>
      <c r="B37" s="59"/>
      <c r="C37" s="59"/>
      <c r="D37" s="59"/>
      <c r="E37" s="249">
        <f>SUM(E4:E36)</f>
        <v>812.02</v>
      </c>
      <c r="F37" s="249"/>
      <c r="G37" s="60">
        <f>SUM(G4:G36)</f>
        <v>85635.629199999996</v>
      </c>
      <c r="H37" s="60">
        <f>SUM(H4:H36)</f>
        <v>25</v>
      </c>
      <c r="I37" s="60"/>
      <c r="J37" s="60">
        <f>SUM(J4:J36)</f>
        <v>2946</v>
      </c>
      <c r="K37" s="60">
        <f>SUM(K4:K36)</f>
        <v>88581.629199999996</v>
      </c>
      <c r="L37" s="60">
        <f>SUM(L4:L36)</f>
        <v>80000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99"/>
      <c r="C45" s="599"/>
      <c r="D45" s="599"/>
      <c r="E45" s="599"/>
      <c r="F45" s="66"/>
      <c r="G45" s="66"/>
      <c r="H45" s="66"/>
      <c r="I45" s="599"/>
      <c r="J45" s="599"/>
      <c r="K45" s="599"/>
      <c r="L45" s="599"/>
      <c r="M45" s="599"/>
      <c r="N45" s="599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8046-1CAF-4759-A03B-C51E0353CEB0}">
  <sheetPr>
    <tabColor theme="7" tint="0.39997558519241921"/>
  </sheetPr>
  <dimension ref="A1:R46"/>
  <sheetViews>
    <sheetView workbookViewId="0">
      <pane ySplit="3" topLeftCell="A14" activePane="bottomLeft" state="frozen"/>
      <selection pane="bottomLeft" activeCell="K11" sqref="K11"/>
    </sheetView>
  </sheetViews>
  <sheetFormatPr defaultRowHeight="15"/>
  <cols>
    <col min="2" max="2" width="11.28515625" customWidth="1"/>
    <col min="4" max="4" width="9.28515625" customWidth="1"/>
    <col min="7" max="7" width="12.5703125" customWidth="1"/>
    <col min="10" max="10" width="16.85546875" customWidth="1"/>
    <col min="11" max="11" width="13.5703125" bestFit="1" customWidth="1"/>
    <col min="12" max="12" width="18" customWidth="1"/>
    <col min="13" max="13" width="20" customWidth="1"/>
  </cols>
  <sheetData>
    <row r="1" spans="1:18" ht="15.75">
      <c r="A1" s="590" t="s">
        <v>204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 ht="30.75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7"/>
      <c r="D3" s="597"/>
      <c r="E3" s="597"/>
      <c r="F3" s="597"/>
      <c r="G3" s="597"/>
      <c r="H3" s="597"/>
      <c r="I3" s="597"/>
      <c r="J3" s="597"/>
      <c r="K3" s="592"/>
      <c r="L3" s="593"/>
      <c r="M3" s="143">
        <v>426859.63750000001</v>
      </c>
      <c r="N3" s="149"/>
      <c r="O3" s="56"/>
      <c r="P3" s="167"/>
    </row>
    <row r="4" spans="1:18">
      <c r="A4" s="188">
        <v>1</v>
      </c>
      <c r="B4" s="211">
        <v>46266</v>
      </c>
      <c r="C4" s="64"/>
      <c r="D4" s="152"/>
      <c r="E4" s="248">
        <v>60</v>
      </c>
      <c r="F4" s="248">
        <v>105.25</v>
      </c>
      <c r="G4" s="8">
        <f t="shared" ref="G4:G36" si="0">E4*F4</f>
        <v>6315</v>
      </c>
      <c r="H4" s="62">
        <v>6</v>
      </c>
      <c r="I4" s="63">
        <v>117.58</v>
      </c>
      <c r="J4" s="8">
        <f>H4*I4</f>
        <v>705.48</v>
      </c>
      <c r="K4" s="185">
        <f>G4+J4</f>
        <v>7020.48</v>
      </c>
      <c r="L4" s="65"/>
      <c r="M4" s="65">
        <f>M3+K4-L4</f>
        <v>433880.11749999999</v>
      </c>
      <c r="N4" s="149"/>
    </row>
    <row r="5" spans="1:18">
      <c r="A5" s="188">
        <v>2</v>
      </c>
      <c r="B5" s="211">
        <v>46267</v>
      </c>
      <c r="C5" s="64"/>
      <c r="D5" s="152"/>
      <c r="E5" s="248">
        <v>500</v>
      </c>
      <c r="F5" s="248">
        <v>105.25</v>
      </c>
      <c r="G5" s="8">
        <f t="shared" si="0"/>
        <v>52625</v>
      </c>
      <c r="H5" s="62"/>
      <c r="I5" s="63"/>
      <c r="J5" s="8">
        <f>H5*I5</f>
        <v>0</v>
      </c>
      <c r="K5" s="185">
        <f>G5+J5</f>
        <v>52625</v>
      </c>
      <c r="L5" s="65">
        <v>326000</v>
      </c>
      <c r="M5" s="65">
        <f t="shared" ref="M5:M36" si="1">M4+K5-L5</f>
        <v>160505.11749999999</v>
      </c>
      <c r="N5" s="149"/>
    </row>
    <row r="6" spans="1:18">
      <c r="A6" s="43">
        <v>3</v>
      </c>
      <c r="B6" s="211">
        <v>46268</v>
      </c>
      <c r="C6" s="64"/>
      <c r="D6" s="14"/>
      <c r="E6" s="248"/>
      <c r="F6" s="248"/>
      <c r="G6" s="8">
        <f t="shared" si="0"/>
        <v>0</v>
      </c>
      <c r="H6" s="62"/>
      <c r="I6" s="63"/>
      <c r="J6" s="8">
        <f t="shared" ref="J6:J36" si="2">H6*I6</f>
        <v>0</v>
      </c>
      <c r="K6" s="185">
        <f t="shared" ref="K6:K36" si="3">G6+J6</f>
        <v>0</v>
      </c>
      <c r="L6" s="65"/>
      <c r="M6" s="65">
        <f t="shared" si="1"/>
        <v>160505.11749999999</v>
      </c>
      <c r="N6" s="149"/>
    </row>
    <row r="7" spans="1:18">
      <c r="A7" s="188">
        <v>4</v>
      </c>
      <c r="B7" s="211">
        <v>46269</v>
      </c>
      <c r="C7" s="64"/>
      <c r="D7" s="152"/>
      <c r="E7" s="248">
        <v>400</v>
      </c>
      <c r="F7" s="248">
        <v>105.25</v>
      </c>
      <c r="G7" s="8">
        <f t="shared" si="0"/>
        <v>42100</v>
      </c>
      <c r="H7" s="525">
        <v>5</v>
      </c>
      <c r="I7" s="164">
        <v>117.58</v>
      </c>
      <c r="J7" s="8">
        <f t="shared" si="2"/>
        <v>587.9</v>
      </c>
      <c r="K7" s="185">
        <f t="shared" si="3"/>
        <v>42687.9</v>
      </c>
      <c r="L7" s="65"/>
      <c r="M7" s="65">
        <f t="shared" si="1"/>
        <v>203193.01749999999</v>
      </c>
      <c r="N7" s="149"/>
    </row>
    <row r="8" spans="1:18">
      <c r="A8" s="188">
        <v>5</v>
      </c>
      <c r="B8" s="211">
        <v>46270</v>
      </c>
      <c r="C8" s="64"/>
      <c r="D8" s="152"/>
      <c r="E8" s="248">
        <v>266.67</v>
      </c>
      <c r="F8" s="248">
        <v>105.25</v>
      </c>
      <c r="G8" s="452">
        <f t="shared" si="0"/>
        <v>28067.017500000002</v>
      </c>
      <c r="H8" s="522">
        <v>6</v>
      </c>
      <c r="I8" s="522">
        <v>117.58</v>
      </c>
      <c r="J8" s="185">
        <f t="shared" si="2"/>
        <v>705.48</v>
      </c>
      <c r="K8" s="185">
        <f t="shared" si="3"/>
        <v>28772.497500000001</v>
      </c>
      <c r="L8" s="65"/>
      <c r="M8" s="65">
        <f t="shared" si="1"/>
        <v>231965.51499999998</v>
      </c>
      <c r="N8" s="149"/>
    </row>
    <row r="9" spans="1:18">
      <c r="A9" s="43">
        <v>6</v>
      </c>
      <c r="B9" s="211">
        <v>46271</v>
      </c>
      <c r="C9" s="64"/>
      <c r="D9" s="152"/>
      <c r="E9" s="248">
        <v>100</v>
      </c>
      <c r="F9" s="248">
        <v>105.25</v>
      </c>
      <c r="G9" s="452">
        <f t="shared" si="0"/>
        <v>10525</v>
      </c>
      <c r="H9" s="523"/>
      <c r="I9" s="523"/>
      <c r="J9" s="185">
        <f t="shared" si="2"/>
        <v>0</v>
      </c>
      <c r="K9" s="185">
        <f t="shared" si="3"/>
        <v>10525</v>
      </c>
      <c r="L9" s="65"/>
      <c r="M9" s="65">
        <f t="shared" si="1"/>
        <v>242490.51499999998</v>
      </c>
      <c r="N9" s="149"/>
      <c r="O9" s="66"/>
      <c r="R9" s="217"/>
    </row>
    <row r="10" spans="1:18">
      <c r="A10" s="188">
        <v>7</v>
      </c>
      <c r="B10" s="211">
        <v>46272</v>
      </c>
      <c r="C10" s="64"/>
      <c r="D10" s="152"/>
      <c r="E10" s="248">
        <v>440</v>
      </c>
      <c r="F10" s="248">
        <v>105.25</v>
      </c>
      <c r="G10" s="452">
        <f t="shared" si="0"/>
        <v>46310</v>
      </c>
      <c r="H10" s="369">
        <v>5</v>
      </c>
      <c r="I10" s="155">
        <v>117.58</v>
      </c>
      <c r="J10" s="185">
        <f t="shared" si="2"/>
        <v>587.9</v>
      </c>
      <c r="K10" s="185">
        <f t="shared" si="3"/>
        <v>46897.9</v>
      </c>
      <c r="L10" s="65">
        <v>99000</v>
      </c>
      <c r="M10" s="65">
        <f t="shared" si="1"/>
        <v>190388.41499999998</v>
      </c>
      <c r="N10" s="149"/>
      <c r="O10" s="66"/>
    </row>
    <row r="11" spans="1:18">
      <c r="A11" s="188">
        <v>8</v>
      </c>
      <c r="B11" s="211">
        <v>46273</v>
      </c>
      <c r="C11" s="64"/>
      <c r="D11" s="152"/>
      <c r="E11" s="248">
        <v>1159</v>
      </c>
      <c r="F11" s="248">
        <v>105.25</v>
      </c>
      <c r="G11" s="452">
        <f t="shared" si="0"/>
        <v>121984.75</v>
      </c>
      <c r="H11" s="369">
        <v>5</v>
      </c>
      <c r="I11" s="155">
        <v>117.58</v>
      </c>
      <c r="J11" s="185">
        <f t="shared" si="2"/>
        <v>587.9</v>
      </c>
      <c r="K11" s="185">
        <f t="shared" si="3"/>
        <v>122572.65</v>
      </c>
      <c r="L11" s="65"/>
      <c r="M11" s="65">
        <f t="shared" si="1"/>
        <v>312961.06499999994</v>
      </c>
      <c r="N11" s="149"/>
      <c r="O11" s="66"/>
    </row>
    <row r="12" spans="1:18">
      <c r="A12" s="43">
        <v>9</v>
      </c>
      <c r="B12" s="211">
        <v>46274</v>
      </c>
      <c r="C12" s="64"/>
      <c r="D12" s="152"/>
      <c r="E12" s="248">
        <v>43.1</v>
      </c>
      <c r="F12" s="248">
        <v>105.25</v>
      </c>
      <c r="G12" s="452">
        <f t="shared" si="0"/>
        <v>4536.2750000000005</v>
      </c>
      <c r="H12" s="369">
        <v>5</v>
      </c>
      <c r="I12" s="155">
        <v>117.58</v>
      </c>
      <c r="J12" s="185">
        <f t="shared" si="2"/>
        <v>587.9</v>
      </c>
      <c r="K12" s="185">
        <f t="shared" si="3"/>
        <v>5124.1750000000002</v>
      </c>
      <c r="L12" s="65"/>
      <c r="M12" s="65">
        <f t="shared" si="1"/>
        <v>318085.23999999993</v>
      </c>
      <c r="N12" s="149"/>
      <c r="O12" s="66"/>
    </row>
    <row r="13" spans="1:18">
      <c r="A13" s="188">
        <v>10</v>
      </c>
      <c r="B13" s="211">
        <v>46275</v>
      </c>
      <c r="C13" s="64"/>
      <c r="D13" s="152"/>
      <c r="E13" s="248">
        <v>820</v>
      </c>
      <c r="F13" s="248">
        <v>105.25</v>
      </c>
      <c r="G13" s="452">
        <f t="shared" si="0"/>
        <v>86305</v>
      </c>
      <c r="H13" s="369">
        <v>5</v>
      </c>
      <c r="I13" s="155">
        <v>117.58</v>
      </c>
      <c r="J13" s="185">
        <f t="shared" si="2"/>
        <v>587.9</v>
      </c>
      <c r="K13" s="185">
        <f t="shared" si="3"/>
        <v>86892.9</v>
      </c>
      <c r="L13" s="65"/>
      <c r="M13" s="65">
        <f t="shared" si="1"/>
        <v>404978.1399999999</v>
      </c>
      <c r="N13" s="149"/>
      <c r="O13" s="66"/>
    </row>
    <row r="14" spans="1:18">
      <c r="A14" s="188">
        <v>11</v>
      </c>
      <c r="B14" s="211">
        <v>46276</v>
      </c>
      <c r="C14" s="124"/>
      <c r="D14" s="125"/>
      <c r="E14" s="530"/>
      <c r="F14" s="530"/>
      <c r="G14" s="536">
        <f t="shared" si="0"/>
        <v>0</v>
      </c>
      <c r="H14" s="62"/>
      <c r="I14" s="155"/>
      <c r="J14" s="533">
        <f t="shared" si="2"/>
        <v>0</v>
      </c>
      <c r="K14" s="8">
        <f t="shared" si="3"/>
        <v>0</v>
      </c>
      <c r="L14" s="65"/>
      <c r="M14" s="65">
        <f t="shared" si="1"/>
        <v>404978.1399999999</v>
      </c>
      <c r="N14" s="149"/>
      <c r="O14" s="66"/>
    </row>
    <row r="15" spans="1:18">
      <c r="A15" s="43">
        <v>12</v>
      </c>
      <c r="B15" s="211">
        <v>46277</v>
      </c>
      <c r="C15" s="64"/>
      <c r="D15" s="152"/>
      <c r="E15" s="248">
        <v>786.02</v>
      </c>
      <c r="F15" s="248">
        <v>105.25</v>
      </c>
      <c r="G15" s="452">
        <f t="shared" si="0"/>
        <v>82728.604999999996</v>
      </c>
      <c r="H15" s="62"/>
      <c r="I15" s="63"/>
      <c r="J15" s="185">
        <f t="shared" si="2"/>
        <v>0</v>
      </c>
      <c r="K15" s="8">
        <f>G15+J15</f>
        <v>82728.604999999996</v>
      </c>
      <c r="L15" s="65"/>
      <c r="M15" s="65">
        <f t="shared" si="1"/>
        <v>487706.74499999988</v>
      </c>
      <c r="N15" s="149"/>
      <c r="O15" s="66"/>
    </row>
    <row r="16" spans="1:18">
      <c r="A16" s="188">
        <v>13</v>
      </c>
      <c r="B16" s="211">
        <v>46278</v>
      </c>
      <c r="C16" s="64"/>
      <c r="D16" s="152"/>
      <c r="E16" s="248"/>
      <c r="F16" s="248"/>
      <c r="G16" s="452">
        <f t="shared" si="0"/>
        <v>0</v>
      </c>
      <c r="H16" s="62"/>
      <c r="I16" s="63"/>
      <c r="J16" s="185">
        <f t="shared" si="2"/>
        <v>0</v>
      </c>
      <c r="K16" s="8">
        <f t="shared" si="3"/>
        <v>0</v>
      </c>
      <c r="L16" s="65"/>
      <c r="M16" s="65">
        <f t="shared" si="1"/>
        <v>487706.74499999988</v>
      </c>
      <c r="N16" s="8"/>
      <c r="O16" s="66"/>
    </row>
    <row r="17" spans="1:15">
      <c r="A17" s="188">
        <v>14</v>
      </c>
      <c r="B17" s="211">
        <v>46279</v>
      </c>
      <c r="C17" s="64"/>
      <c r="D17" s="152"/>
      <c r="E17" s="248"/>
      <c r="F17" s="248"/>
      <c r="G17" s="452">
        <f t="shared" si="0"/>
        <v>0</v>
      </c>
      <c r="H17" s="62"/>
      <c r="I17" s="63"/>
      <c r="J17" s="185">
        <f t="shared" si="2"/>
        <v>0</v>
      </c>
      <c r="K17" s="8">
        <f t="shared" si="3"/>
        <v>0</v>
      </c>
      <c r="L17" s="65"/>
      <c r="M17" s="65">
        <f t="shared" si="1"/>
        <v>487706.74499999988</v>
      </c>
      <c r="N17" s="8"/>
      <c r="O17" s="66"/>
    </row>
    <row r="18" spans="1:15">
      <c r="A18" s="43">
        <v>15</v>
      </c>
      <c r="B18" s="211">
        <v>46280</v>
      </c>
      <c r="C18" s="64"/>
      <c r="D18" s="152"/>
      <c r="E18" s="248">
        <v>330</v>
      </c>
      <c r="F18" s="248">
        <v>105.25</v>
      </c>
      <c r="G18" s="452">
        <f t="shared" si="0"/>
        <v>34732.5</v>
      </c>
      <c r="H18" s="62">
        <v>19</v>
      </c>
      <c r="I18" s="155">
        <v>117.58</v>
      </c>
      <c r="J18" s="185">
        <f t="shared" si="2"/>
        <v>2234.02</v>
      </c>
      <c r="K18" s="8">
        <f t="shared" si="3"/>
        <v>36966.519999999997</v>
      </c>
      <c r="L18" s="65"/>
      <c r="M18" s="65">
        <f t="shared" si="1"/>
        <v>524673.2649999999</v>
      </c>
      <c r="N18" s="8"/>
      <c r="O18" s="66"/>
    </row>
    <row r="19" spans="1:15">
      <c r="A19" s="188">
        <v>16</v>
      </c>
      <c r="B19" s="211">
        <v>46281</v>
      </c>
      <c r="C19" s="64"/>
      <c r="D19" s="152"/>
      <c r="E19" s="307">
        <v>1020</v>
      </c>
      <c r="F19" s="307">
        <v>105.25</v>
      </c>
      <c r="G19" s="537">
        <f t="shared" si="0"/>
        <v>107355</v>
      </c>
      <c r="H19" s="62"/>
      <c r="I19" s="63"/>
      <c r="J19" s="538">
        <f t="shared" si="2"/>
        <v>0</v>
      </c>
      <c r="K19" s="175">
        <f t="shared" si="3"/>
        <v>107355</v>
      </c>
      <c r="L19" s="308">
        <v>490000</v>
      </c>
      <c r="M19" s="65">
        <f>M18+K19-L19</f>
        <v>142028.2649999999</v>
      </c>
      <c r="N19" s="8"/>
      <c r="O19" s="66"/>
    </row>
    <row r="20" spans="1:15">
      <c r="A20" s="188">
        <v>17</v>
      </c>
      <c r="B20" s="211">
        <v>46282</v>
      </c>
      <c r="C20" s="64"/>
      <c r="D20" s="306"/>
      <c r="E20" s="248">
        <v>40</v>
      </c>
      <c r="F20" s="248">
        <v>105.25</v>
      </c>
      <c r="G20" s="452">
        <f t="shared" si="0"/>
        <v>4210</v>
      </c>
      <c r="H20" s="62"/>
      <c r="I20" s="63"/>
      <c r="J20" s="185">
        <f t="shared" si="2"/>
        <v>0</v>
      </c>
      <c r="K20" s="8">
        <f t="shared" si="3"/>
        <v>4210</v>
      </c>
      <c r="L20" s="65"/>
      <c r="M20" s="65">
        <f t="shared" si="1"/>
        <v>146238.2649999999</v>
      </c>
      <c r="N20" s="185"/>
      <c r="O20" s="66"/>
    </row>
    <row r="21" spans="1:15">
      <c r="A21" s="43">
        <v>18</v>
      </c>
      <c r="B21" s="211">
        <v>46283</v>
      </c>
      <c r="C21" s="64"/>
      <c r="D21" s="306"/>
      <c r="E21" s="248">
        <v>855</v>
      </c>
      <c r="F21" s="307">
        <v>105.25</v>
      </c>
      <c r="G21" s="452">
        <f t="shared" si="0"/>
        <v>89988.75</v>
      </c>
      <c r="H21" s="62">
        <v>6</v>
      </c>
      <c r="I21" s="63">
        <v>117.58</v>
      </c>
      <c r="J21" s="185">
        <f t="shared" si="2"/>
        <v>705.48</v>
      </c>
      <c r="K21" s="8">
        <f t="shared" si="3"/>
        <v>90694.23</v>
      </c>
      <c r="L21" s="65"/>
      <c r="M21" s="65">
        <f t="shared" si="1"/>
        <v>236932.49499999988</v>
      </c>
      <c r="N21" s="185"/>
      <c r="O21" s="66"/>
    </row>
    <row r="22" spans="1:15">
      <c r="A22" s="188">
        <v>19</v>
      </c>
      <c r="B22" s="211">
        <v>46284</v>
      </c>
      <c r="C22" s="64"/>
      <c r="D22" s="306"/>
      <c r="E22" s="14"/>
      <c r="F22" s="14"/>
      <c r="G22" s="452">
        <f t="shared" si="0"/>
        <v>0</v>
      </c>
      <c r="H22" s="62">
        <v>5</v>
      </c>
      <c r="I22" s="63">
        <v>117.58</v>
      </c>
      <c r="J22" s="185">
        <f t="shared" si="2"/>
        <v>587.9</v>
      </c>
      <c r="K22" s="8">
        <f t="shared" si="3"/>
        <v>587.9</v>
      </c>
      <c r="L22" s="65"/>
      <c r="M22" s="65">
        <f t="shared" si="1"/>
        <v>237520.39499999987</v>
      </c>
      <c r="N22" s="185"/>
      <c r="O22" s="66"/>
    </row>
    <row r="23" spans="1:15">
      <c r="A23" s="188">
        <v>20</v>
      </c>
      <c r="B23" s="211">
        <v>46285</v>
      </c>
      <c r="C23" s="64"/>
      <c r="D23" s="306"/>
      <c r="E23" s="14"/>
      <c r="F23" s="14"/>
      <c r="G23" s="452">
        <f t="shared" si="0"/>
        <v>0</v>
      </c>
      <c r="H23" s="62">
        <v>5</v>
      </c>
      <c r="I23" s="63">
        <v>117.58</v>
      </c>
      <c r="J23" s="185">
        <f t="shared" si="2"/>
        <v>587.9</v>
      </c>
      <c r="K23" s="8">
        <f t="shared" si="3"/>
        <v>587.9</v>
      </c>
      <c r="L23" s="65"/>
      <c r="M23" s="65">
        <f t="shared" si="1"/>
        <v>238108.29499999987</v>
      </c>
      <c r="N23" s="185"/>
      <c r="O23" s="66"/>
    </row>
    <row r="24" spans="1:15">
      <c r="A24" s="43">
        <v>21</v>
      </c>
      <c r="B24" s="211">
        <v>46286</v>
      </c>
      <c r="C24" s="64"/>
      <c r="D24" s="306"/>
      <c r="E24" s="14">
        <v>880</v>
      </c>
      <c r="F24" s="14">
        <v>105.25</v>
      </c>
      <c r="G24" s="452">
        <f t="shared" si="0"/>
        <v>92620</v>
      </c>
      <c r="H24" s="62"/>
      <c r="I24" s="63"/>
      <c r="J24" s="185">
        <f t="shared" si="2"/>
        <v>0</v>
      </c>
      <c r="K24" s="8">
        <f t="shared" si="3"/>
        <v>92620</v>
      </c>
      <c r="L24" s="65"/>
      <c r="M24" s="65">
        <f t="shared" si="1"/>
        <v>330728.29499999987</v>
      </c>
      <c r="N24" s="185"/>
      <c r="O24" s="66"/>
    </row>
    <row r="25" spans="1:15">
      <c r="A25" s="188">
        <v>22</v>
      </c>
      <c r="B25" s="211">
        <v>46287</v>
      </c>
      <c r="C25" s="64"/>
      <c r="D25" s="306"/>
      <c r="E25" s="14">
        <v>1162</v>
      </c>
      <c r="F25" s="14">
        <v>105.25</v>
      </c>
      <c r="G25" s="452">
        <f t="shared" si="0"/>
        <v>122300.5</v>
      </c>
      <c r="H25" s="535">
        <v>6</v>
      </c>
      <c r="I25" s="535">
        <v>117.58</v>
      </c>
      <c r="J25" s="185">
        <f t="shared" si="2"/>
        <v>705.48</v>
      </c>
      <c r="K25" s="8">
        <f t="shared" si="3"/>
        <v>123005.98</v>
      </c>
      <c r="L25" s="65"/>
      <c r="M25" s="65">
        <f>M24+K25-L25</f>
        <v>453734.27499999985</v>
      </c>
      <c r="N25" s="185"/>
      <c r="O25" s="66"/>
    </row>
    <row r="26" spans="1:15">
      <c r="A26" s="188">
        <v>23</v>
      </c>
      <c r="B26" s="211">
        <v>46288</v>
      </c>
      <c r="C26" s="64"/>
      <c r="D26" s="306"/>
      <c r="E26" s="14"/>
      <c r="F26" s="14"/>
      <c r="G26" s="452">
        <f t="shared" si="0"/>
        <v>0</v>
      </c>
      <c r="H26" s="535"/>
      <c r="I26" s="535"/>
      <c r="J26" s="185">
        <f t="shared" si="2"/>
        <v>0</v>
      </c>
      <c r="K26" s="8">
        <f t="shared" si="3"/>
        <v>0</v>
      </c>
      <c r="L26" s="65"/>
      <c r="M26" s="65">
        <f t="shared" si="1"/>
        <v>453734.27499999985</v>
      </c>
      <c r="N26" s="185"/>
      <c r="O26" s="66"/>
    </row>
    <row r="27" spans="1:15">
      <c r="A27" s="43">
        <v>24</v>
      </c>
      <c r="B27" s="211">
        <v>46289</v>
      </c>
      <c r="C27" s="64"/>
      <c r="D27" s="306"/>
      <c r="E27" s="14"/>
      <c r="F27" s="14"/>
      <c r="G27" s="452">
        <f t="shared" si="0"/>
        <v>0</v>
      </c>
      <c r="H27" s="62"/>
      <c r="I27" s="63"/>
      <c r="J27" s="185">
        <f t="shared" si="2"/>
        <v>0</v>
      </c>
      <c r="K27" s="8">
        <f t="shared" si="3"/>
        <v>0</v>
      </c>
      <c r="L27" s="65"/>
      <c r="M27" s="65">
        <f t="shared" si="1"/>
        <v>453734.27499999985</v>
      </c>
      <c r="N27" s="185"/>
      <c r="O27" s="66"/>
    </row>
    <row r="28" spans="1:15">
      <c r="A28" s="188">
        <v>25</v>
      </c>
      <c r="B28" s="211">
        <v>46290</v>
      </c>
      <c r="C28" s="64"/>
      <c r="D28" s="306"/>
      <c r="E28" s="14">
        <v>225</v>
      </c>
      <c r="F28" s="14">
        <v>105.25</v>
      </c>
      <c r="G28" s="452">
        <f t="shared" si="0"/>
        <v>23681.25</v>
      </c>
      <c r="H28" s="62">
        <v>15</v>
      </c>
      <c r="I28" s="63">
        <v>117.58</v>
      </c>
      <c r="J28" s="185">
        <f t="shared" si="2"/>
        <v>1763.7</v>
      </c>
      <c r="K28" s="8">
        <f t="shared" si="3"/>
        <v>25444.95</v>
      </c>
      <c r="L28" s="65"/>
      <c r="M28" s="65">
        <f t="shared" si="1"/>
        <v>479179.22499999986</v>
      </c>
      <c r="N28" s="185"/>
      <c r="O28" s="66"/>
    </row>
    <row r="29" spans="1:15">
      <c r="A29" s="188">
        <v>26</v>
      </c>
      <c r="B29" s="211">
        <v>46291</v>
      </c>
      <c r="C29" s="64"/>
      <c r="D29" s="306"/>
      <c r="E29" s="14"/>
      <c r="F29" s="14"/>
      <c r="G29" s="452">
        <f t="shared" ref="G29" si="4">E29*F29</f>
        <v>0</v>
      </c>
      <c r="H29" s="62"/>
      <c r="I29" s="63"/>
      <c r="J29" s="185">
        <f t="shared" ref="J29" si="5">H29*I29</f>
        <v>0</v>
      </c>
      <c r="K29" s="8">
        <f t="shared" si="3"/>
        <v>0</v>
      </c>
      <c r="L29" s="65">
        <v>100000</v>
      </c>
      <c r="M29" s="65">
        <f t="shared" si="1"/>
        <v>379179.22499999986</v>
      </c>
      <c r="N29" s="185"/>
      <c r="O29" s="66"/>
    </row>
    <row r="30" spans="1:15">
      <c r="A30" s="43">
        <v>27</v>
      </c>
      <c r="B30" s="211">
        <v>46292</v>
      </c>
      <c r="C30" s="64"/>
      <c r="D30" s="306"/>
      <c r="E30" s="14"/>
      <c r="F30" s="14"/>
      <c r="G30" s="452">
        <f t="shared" si="0"/>
        <v>0</v>
      </c>
      <c r="H30" s="62"/>
      <c r="I30" s="63"/>
      <c r="J30" s="185">
        <f t="shared" si="2"/>
        <v>0</v>
      </c>
      <c r="K30" s="8">
        <f t="shared" si="3"/>
        <v>0</v>
      </c>
      <c r="L30" s="65"/>
      <c r="M30" s="65">
        <f t="shared" si="1"/>
        <v>379179.22499999986</v>
      </c>
      <c r="N30" s="185"/>
      <c r="O30" s="66"/>
    </row>
    <row r="31" spans="1:15">
      <c r="A31" s="188">
        <v>28</v>
      </c>
      <c r="B31" s="211">
        <v>46293</v>
      </c>
      <c r="C31" s="64"/>
      <c r="D31" s="152"/>
      <c r="E31" s="14">
        <v>440</v>
      </c>
      <c r="F31" s="14">
        <v>105.25</v>
      </c>
      <c r="G31" s="536">
        <f t="shared" si="0"/>
        <v>46310</v>
      </c>
      <c r="H31" s="62">
        <v>5</v>
      </c>
      <c r="I31" s="63">
        <v>117.58</v>
      </c>
      <c r="J31" s="533">
        <f t="shared" si="2"/>
        <v>587.9</v>
      </c>
      <c r="K31" s="16">
        <f t="shared" si="3"/>
        <v>46897.9</v>
      </c>
      <c r="L31" s="126"/>
      <c r="M31" s="65">
        <f t="shared" si="1"/>
        <v>426077.12499999988</v>
      </c>
      <c r="N31" s="8"/>
      <c r="O31" s="66"/>
    </row>
    <row r="32" spans="1:15">
      <c r="A32" s="188">
        <v>29</v>
      </c>
      <c r="B32" s="211">
        <v>46294</v>
      </c>
      <c r="C32" s="64"/>
      <c r="D32" s="152"/>
      <c r="E32" s="152">
        <v>40</v>
      </c>
      <c r="F32" s="14">
        <v>105.25</v>
      </c>
      <c r="G32" s="452">
        <f t="shared" si="0"/>
        <v>4210</v>
      </c>
      <c r="H32" s="62">
        <v>5</v>
      </c>
      <c r="I32" s="63">
        <v>117.58</v>
      </c>
      <c r="J32" s="185">
        <f t="shared" si="2"/>
        <v>587.9</v>
      </c>
      <c r="K32" s="8">
        <f t="shared" si="3"/>
        <v>4797.8999999999996</v>
      </c>
      <c r="L32" s="65"/>
      <c r="M32" s="65">
        <f t="shared" si="1"/>
        <v>430875.02499999991</v>
      </c>
      <c r="N32" s="8"/>
      <c r="O32" s="66"/>
    </row>
    <row r="33" spans="1:15">
      <c r="A33" s="43">
        <v>30</v>
      </c>
      <c r="B33" s="211">
        <v>46295</v>
      </c>
      <c r="C33" s="64"/>
      <c r="D33" s="152"/>
      <c r="E33" s="152">
        <v>840</v>
      </c>
      <c r="F33" s="14">
        <v>105.25</v>
      </c>
      <c r="G33" s="452">
        <f t="shared" si="0"/>
        <v>88410</v>
      </c>
      <c r="H33" s="62">
        <v>3</v>
      </c>
      <c r="I33" s="63">
        <v>117.58</v>
      </c>
      <c r="J33" s="185">
        <f t="shared" si="2"/>
        <v>352.74</v>
      </c>
      <c r="K33" s="8">
        <f t="shared" si="3"/>
        <v>88762.74</v>
      </c>
      <c r="L33" s="65"/>
      <c r="M33" s="65">
        <f t="shared" si="1"/>
        <v>519637.7649999999</v>
      </c>
      <c r="N33" s="8"/>
      <c r="O33" s="66"/>
    </row>
    <row r="34" spans="1:15">
      <c r="A34" s="188">
        <v>31</v>
      </c>
      <c r="B34" s="211"/>
      <c r="C34" s="64"/>
      <c r="D34" s="152"/>
      <c r="E34" s="14"/>
      <c r="F34" s="14"/>
      <c r="G34" s="452">
        <f t="shared" si="0"/>
        <v>0</v>
      </c>
      <c r="H34" s="62"/>
      <c r="I34" s="63"/>
      <c r="J34" s="185">
        <f t="shared" si="2"/>
        <v>0</v>
      </c>
      <c r="K34" s="8">
        <f t="shared" si="3"/>
        <v>0</v>
      </c>
      <c r="L34" s="65"/>
      <c r="M34" s="65">
        <f t="shared" si="1"/>
        <v>519637.7649999999</v>
      </c>
      <c r="N34" s="8"/>
      <c r="O34" s="66"/>
    </row>
    <row r="35" spans="1:15">
      <c r="A35" s="188">
        <v>32</v>
      </c>
      <c r="B35" s="211"/>
      <c r="C35" s="64"/>
      <c r="D35" s="152"/>
      <c r="E35" s="14"/>
      <c r="F35" s="14"/>
      <c r="G35" s="452">
        <f t="shared" si="0"/>
        <v>0</v>
      </c>
      <c r="H35" s="62"/>
      <c r="I35" s="63"/>
      <c r="J35" s="185">
        <f t="shared" si="2"/>
        <v>0</v>
      </c>
      <c r="K35" s="8">
        <f t="shared" si="3"/>
        <v>0</v>
      </c>
      <c r="L35" s="65"/>
      <c r="M35" s="65">
        <f t="shared" si="1"/>
        <v>519637.7649999999</v>
      </c>
      <c r="N35" s="8"/>
      <c r="O35" s="66"/>
    </row>
    <row r="36" spans="1:15">
      <c r="A36" s="43">
        <v>33</v>
      </c>
      <c r="B36" s="211"/>
      <c r="C36" s="64"/>
      <c r="D36" s="152"/>
      <c r="E36" s="248"/>
      <c r="F36" s="14"/>
      <c r="G36" s="8">
        <f t="shared" si="0"/>
        <v>0</v>
      </c>
      <c r="H36" s="146"/>
      <c r="I36" s="147"/>
      <c r="J36" s="8">
        <f t="shared" si="2"/>
        <v>0</v>
      </c>
      <c r="K36" s="8">
        <f t="shared" si="3"/>
        <v>0</v>
      </c>
      <c r="L36" s="65"/>
      <c r="M36" s="65">
        <f t="shared" si="1"/>
        <v>519637.7649999999</v>
      </c>
      <c r="N36" s="8"/>
      <c r="O36" s="66"/>
    </row>
    <row r="37" spans="1:15">
      <c r="A37" s="59"/>
      <c r="B37" s="59"/>
      <c r="C37" s="59"/>
      <c r="D37" s="59"/>
      <c r="E37" s="249">
        <f>SUM(E4:E36)</f>
        <v>10406.790000000001</v>
      </c>
      <c r="F37" s="249"/>
      <c r="G37" s="60">
        <f>SUM(G4:G36)</f>
        <v>1095314.6475</v>
      </c>
      <c r="H37" s="60">
        <f>SUM(H4:H36)</f>
        <v>106</v>
      </c>
      <c r="I37" s="60"/>
      <c r="J37" s="60">
        <f>SUM(J4:J36)</f>
        <v>12463.479999999998</v>
      </c>
      <c r="K37" s="60">
        <f>SUM(K4:K36)</f>
        <v>1107778.1274999999</v>
      </c>
      <c r="L37" s="60">
        <f>SUM(L4:L36)</f>
        <v>1015000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99"/>
      <c r="C45" s="599"/>
      <c r="D45" s="599"/>
      <c r="E45" s="599"/>
      <c r="F45" s="66"/>
      <c r="G45" s="66"/>
      <c r="H45" s="66"/>
      <c r="I45" s="599"/>
      <c r="J45" s="599"/>
      <c r="K45" s="599"/>
      <c r="L45" s="599"/>
      <c r="M45" s="599"/>
      <c r="N45" s="599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8EC8-CB56-4E93-A7E2-0DB29CC799CC}">
  <sheetPr>
    <tabColor theme="7" tint="0.39997558519241921"/>
  </sheetPr>
  <dimension ref="A1:R46"/>
  <sheetViews>
    <sheetView workbookViewId="0">
      <pane ySplit="3" topLeftCell="A15" activePane="bottomLeft" state="frozen"/>
      <selection pane="bottomLeft" activeCell="H32" sqref="H32"/>
    </sheetView>
  </sheetViews>
  <sheetFormatPr defaultRowHeight="15"/>
  <cols>
    <col min="2" max="2" width="11.85546875" customWidth="1"/>
    <col min="7" max="7" width="14.28515625" customWidth="1"/>
    <col min="9" max="9" width="8.140625" bestFit="1" customWidth="1"/>
    <col min="11" max="12" width="13.5703125" bestFit="1" customWidth="1"/>
    <col min="13" max="13" width="11.85546875" bestFit="1" customWidth="1"/>
    <col min="14" max="14" width="9.42578125" customWidth="1"/>
  </cols>
  <sheetData>
    <row r="1" spans="1:18" ht="15.75">
      <c r="A1" s="590" t="s">
        <v>205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7"/>
      <c r="D3" s="597"/>
      <c r="E3" s="597"/>
      <c r="F3" s="592"/>
      <c r="G3" s="592"/>
      <c r="H3" s="592"/>
      <c r="I3" s="592"/>
      <c r="J3" s="592"/>
      <c r="K3" s="592"/>
      <c r="L3" s="593"/>
      <c r="M3" s="143">
        <v>46362.715400000016</v>
      </c>
      <c r="N3" s="149"/>
      <c r="O3" s="56"/>
    </row>
    <row r="4" spans="1:18">
      <c r="A4" s="188">
        <v>1</v>
      </c>
      <c r="B4" s="211">
        <v>46266</v>
      </c>
      <c r="C4" s="64"/>
      <c r="D4" s="152"/>
      <c r="E4" s="248">
        <v>140</v>
      </c>
      <c r="F4" s="534">
        <v>105.4</v>
      </c>
      <c r="G4" s="8">
        <f t="shared" ref="G4:G36" si="0">E4*F4</f>
        <v>14756</v>
      </c>
      <c r="H4" s="62"/>
      <c r="I4" s="63"/>
      <c r="J4" s="8">
        <f>H4*I4</f>
        <v>0</v>
      </c>
      <c r="K4" s="8">
        <f>G4+J4</f>
        <v>14756</v>
      </c>
      <c r="L4" s="65">
        <v>0</v>
      </c>
      <c r="M4" s="65">
        <f>M3+K4-L4</f>
        <v>61118.715400000016</v>
      </c>
      <c r="N4" s="149"/>
    </row>
    <row r="5" spans="1:18">
      <c r="A5" s="188">
        <v>2</v>
      </c>
      <c r="B5" s="211">
        <v>46267</v>
      </c>
      <c r="C5" s="64"/>
      <c r="D5" s="152"/>
      <c r="E5" s="248"/>
      <c r="F5" s="534"/>
      <c r="G5" s="8">
        <f t="shared" si="0"/>
        <v>0</v>
      </c>
      <c r="H5" s="62">
        <v>5</v>
      </c>
      <c r="I5" s="63">
        <v>117.74</v>
      </c>
      <c r="J5" s="8">
        <f>H5*I5</f>
        <v>588.69999999999993</v>
      </c>
      <c r="K5" s="8">
        <f>G5+J5</f>
        <v>588.69999999999993</v>
      </c>
      <c r="L5" s="65"/>
      <c r="M5" s="65">
        <f t="shared" ref="M5:M36" si="1">M4+K5-L5</f>
        <v>61707.415400000013</v>
      </c>
      <c r="N5" s="149"/>
    </row>
    <row r="6" spans="1:18">
      <c r="A6" s="43">
        <v>3</v>
      </c>
      <c r="B6" s="211">
        <v>46268</v>
      </c>
      <c r="C6" s="64"/>
      <c r="D6" s="14"/>
      <c r="E6" s="248">
        <v>220</v>
      </c>
      <c r="F6" s="534">
        <v>105.4</v>
      </c>
      <c r="G6" s="8">
        <f t="shared" si="0"/>
        <v>23188</v>
      </c>
      <c r="H6" s="525"/>
      <c r="I6" s="164"/>
      <c r="J6" s="8">
        <f t="shared" ref="J6:J36" si="2">H6*I6</f>
        <v>0</v>
      </c>
      <c r="K6" s="8">
        <f t="shared" ref="K6:K36" si="3">G6+J6</f>
        <v>23188</v>
      </c>
      <c r="L6" s="65"/>
      <c r="M6" s="65">
        <f t="shared" si="1"/>
        <v>84895.415400000013</v>
      </c>
      <c r="N6" s="149"/>
    </row>
    <row r="7" spans="1:18">
      <c r="A7" s="188">
        <v>4</v>
      </c>
      <c r="B7" s="211">
        <v>46269</v>
      </c>
      <c r="C7" s="64"/>
      <c r="D7" s="152"/>
      <c r="E7" s="248">
        <v>74.83</v>
      </c>
      <c r="F7" s="534">
        <v>105.4</v>
      </c>
      <c r="G7" s="452">
        <f t="shared" si="0"/>
        <v>7887.0820000000003</v>
      </c>
      <c r="H7" s="62"/>
      <c r="I7" s="63"/>
      <c r="J7" s="185">
        <f t="shared" si="2"/>
        <v>0</v>
      </c>
      <c r="K7" s="8">
        <f t="shared" si="3"/>
        <v>7887.0820000000003</v>
      </c>
      <c r="L7" s="65"/>
      <c r="M7" s="65">
        <f t="shared" si="1"/>
        <v>92782.497400000007</v>
      </c>
      <c r="N7" s="149"/>
    </row>
    <row r="8" spans="1:18">
      <c r="A8" s="188">
        <v>5</v>
      </c>
      <c r="B8" s="211">
        <v>46270</v>
      </c>
      <c r="C8" s="64"/>
      <c r="D8" s="152"/>
      <c r="E8" s="248">
        <v>90</v>
      </c>
      <c r="F8" s="534">
        <v>105.4</v>
      </c>
      <c r="G8" s="452">
        <f t="shared" si="0"/>
        <v>9486</v>
      </c>
      <c r="H8" s="522"/>
      <c r="I8" s="522"/>
      <c r="J8" s="185">
        <f t="shared" si="2"/>
        <v>0</v>
      </c>
      <c r="K8" s="8">
        <f t="shared" si="3"/>
        <v>9486</v>
      </c>
      <c r="L8" s="65"/>
      <c r="M8" s="65">
        <f t="shared" si="1"/>
        <v>102268.49740000001</v>
      </c>
      <c r="N8" s="149"/>
    </row>
    <row r="9" spans="1:18">
      <c r="A9" s="43">
        <v>6</v>
      </c>
      <c r="B9" s="211">
        <v>46271</v>
      </c>
      <c r="C9" s="124"/>
      <c r="D9" s="125"/>
      <c r="E9" s="530">
        <v>136.02000000000001</v>
      </c>
      <c r="F9" s="534">
        <v>105.4</v>
      </c>
      <c r="G9" s="452">
        <f t="shared" si="0"/>
        <v>14336.508000000002</v>
      </c>
      <c r="H9" s="523"/>
      <c r="I9" s="523"/>
      <c r="J9" s="185">
        <f t="shared" si="2"/>
        <v>0</v>
      </c>
      <c r="K9" s="8">
        <f t="shared" si="3"/>
        <v>14336.508000000002</v>
      </c>
      <c r="L9" s="65"/>
      <c r="M9" s="65">
        <f t="shared" si="1"/>
        <v>116605.00540000001</v>
      </c>
      <c r="N9" s="149"/>
      <c r="O9" s="66"/>
      <c r="R9" s="217"/>
    </row>
    <row r="10" spans="1:18">
      <c r="A10" s="188">
        <v>7</v>
      </c>
      <c r="B10" s="211">
        <v>46272</v>
      </c>
      <c r="C10" s="64"/>
      <c r="D10" s="152"/>
      <c r="E10" s="248"/>
      <c r="F10" s="248"/>
      <c r="G10" s="452">
        <f t="shared" si="0"/>
        <v>0</v>
      </c>
      <c r="H10" s="369"/>
      <c r="I10" s="155"/>
      <c r="J10" s="185">
        <f t="shared" si="2"/>
        <v>0</v>
      </c>
      <c r="K10" s="8">
        <f t="shared" si="3"/>
        <v>0</v>
      </c>
      <c r="L10" s="65"/>
      <c r="M10" s="65">
        <f t="shared" si="1"/>
        <v>116605.00540000001</v>
      </c>
      <c r="N10" s="149"/>
      <c r="O10" s="66"/>
    </row>
    <row r="11" spans="1:18">
      <c r="A11" s="188">
        <v>8</v>
      </c>
      <c r="B11" s="211">
        <v>46273</v>
      </c>
      <c r="C11" s="64"/>
      <c r="D11" s="152"/>
      <c r="E11" s="248"/>
      <c r="F11" s="248"/>
      <c r="G11" s="452">
        <f t="shared" si="0"/>
        <v>0</v>
      </c>
      <c r="H11" s="369">
        <v>5</v>
      </c>
      <c r="I11" s="155">
        <v>117.74</v>
      </c>
      <c r="J11" s="185">
        <f t="shared" si="2"/>
        <v>588.69999999999993</v>
      </c>
      <c r="K11" s="8">
        <f t="shared" si="3"/>
        <v>588.69999999999993</v>
      </c>
      <c r="L11" s="65"/>
      <c r="M11" s="65">
        <f t="shared" si="1"/>
        <v>117193.70540000001</v>
      </c>
      <c r="N11" s="149"/>
      <c r="O11" s="66"/>
    </row>
    <row r="12" spans="1:18">
      <c r="A12" s="43">
        <v>9</v>
      </c>
      <c r="B12" s="211">
        <v>46274</v>
      </c>
      <c r="C12" s="64"/>
      <c r="D12" s="152"/>
      <c r="E12" s="248"/>
      <c r="F12" s="248"/>
      <c r="G12" s="8">
        <f t="shared" si="0"/>
        <v>0</v>
      </c>
      <c r="H12" s="526"/>
      <c r="I12" s="527"/>
      <c r="J12" s="8">
        <f t="shared" si="2"/>
        <v>0</v>
      </c>
      <c r="K12" s="8">
        <f t="shared" si="3"/>
        <v>0</v>
      </c>
      <c r="L12" s="65"/>
      <c r="M12" s="65">
        <f t="shared" si="1"/>
        <v>117193.70540000001</v>
      </c>
      <c r="N12" s="149"/>
      <c r="O12" s="66"/>
    </row>
    <row r="13" spans="1:18">
      <c r="A13" s="188">
        <v>10</v>
      </c>
      <c r="B13" s="211">
        <v>46275</v>
      </c>
      <c r="C13" s="64"/>
      <c r="D13" s="152"/>
      <c r="E13" s="248"/>
      <c r="F13" s="248"/>
      <c r="G13" s="8">
        <f t="shared" si="0"/>
        <v>0</v>
      </c>
      <c r="H13" s="369"/>
      <c r="I13" s="155"/>
      <c r="J13" s="8">
        <f t="shared" si="2"/>
        <v>0</v>
      </c>
      <c r="K13" s="8">
        <f t="shared" si="3"/>
        <v>0</v>
      </c>
      <c r="L13" s="65"/>
      <c r="M13" s="65">
        <f t="shared" si="1"/>
        <v>117193.70540000001</v>
      </c>
      <c r="N13" s="149"/>
      <c r="O13" s="66"/>
    </row>
    <row r="14" spans="1:18">
      <c r="A14" s="188">
        <v>11</v>
      </c>
      <c r="B14" s="211">
        <v>46276</v>
      </c>
      <c r="C14" s="64"/>
      <c r="D14" s="152"/>
      <c r="E14" s="248"/>
      <c r="F14" s="248"/>
      <c r="G14" s="8">
        <f t="shared" si="0"/>
        <v>0</v>
      </c>
      <c r="H14" s="62"/>
      <c r="I14" s="155"/>
      <c r="J14" s="8">
        <f t="shared" si="2"/>
        <v>0</v>
      </c>
      <c r="K14" s="8">
        <f t="shared" si="3"/>
        <v>0</v>
      </c>
      <c r="L14" s="65"/>
      <c r="M14" s="65">
        <f t="shared" si="1"/>
        <v>117193.70540000001</v>
      </c>
      <c r="N14" s="149"/>
      <c r="O14" s="66"/>
    </row>
    <row r="15" spans="1:18">
      <c r="A15" s="43">
        <v>12</v>
      </c>
      <c r="B15" s="211">
        <v>46277</v>
      </c>
      <c r="C15" s="64"/>
      <c r="D15" s="152"/>
      <c r="E15" s="248"/>
      <c r="F15" s="248"/>
      <c r="G15" s="8">
        <f t="shared" si="0"/>
        <v>0</v>
      </c>
      <c r="H15" s="62"/>
      <c r="I15" s="63"/>
      <c r="J15" s="8">
        <f t="shared" si="2"/>
        <v>0</v>
      </c>
      <c r="K15" s="8">
        <f>G15+J15</f>
        <v>0</v>
      </c>
      <c r="L15" s="65"/>
      <c r="M15" s="65">
        <f t="shared" si="1"/>
        <v>117193.70540000001</v>
      </c>
      <c r="N15" s="149"/>
      <c r="O15" s="66"/>
    </row>
    <row r="16" spans="1:18">
      <c r="A16" s="188">
        <v>13</v>
      </c>
      <c r="B16" s="211">
        <v>46278</v>
      </c>
      <c r="C16" s="64"/>
      <c r="D16" s="152"/>
      <c r="E16" s="248"/>
      <c r="F16" s="248"/>
      <c r="G16" s="8">
        <f t="shared" si="0"/>
        <v>0</v>
      </c>
      <c r="H16" s="62"/>
      <c r="I16" s="63"/>
      <c r="J16" s="8">
        <f t="shared" si="2"/>
        <v>0</v>
      </c>
      <c r="K16" s="8">
        <f t="shared" si="3"/>
        <v>0</v>
      </c>
      <c r="L16" s="65"/>
      <c r="M16" s="65">
        <f t="shared" si="1"/>
        <v>117193.70540000001</v>
      </c>
      <c r="N16" s="8"/>
      <c r="O16" s="66"/>
    </row>
    <row r="17" spans="1:15">
      <c r="A17" s="188">
        <v>14</v>
      </c>
      <c r="B17" s="211">
        <v>46279</v>
      </c>
      <c r="C17" s="64"/>
      <c r="D17" s="152"/>
      <c r="E17" s="248"/>
      <c r="F17" s="248"/>
      <c r="G17" s="8">
        <f t="shared" si="0"/>
        <v>0</v>
      </c>
      <c r="H17" s="62">
        <v>5.01</v>
      </c>
      <c r="I17" s="63">
        <v>117.74</v>
      </c>
      <c r="J17" s="8">
        <f t="shared" si="2"/>
        <v>589.87739999999997</v>
      </c>
      <c r="K17" s="8">
        <f t="shared" si="3"/>
        <v>589.87739999999997</v>
      </c>
      <c r="L17" s="65"/>
      <c r="M17" s="65">
        <f t="shared" si="1"/>
        <v>117783.5828</v>
      </c>
      <c r="N17" s="8"/>
      <c r="O17" s="66"/>
    </row>
    <row r="18" spans="1:15">
      <c r="A18" s="43">
        <v>15</v>
      </c>
      <c r="B18" s="211">
        <v>46280</v>
      </c>
      <c r="C18" s="64"/>
      <c r="D18" s="152"/>
      <c r="E18" s="248">
        <v>38</v>
      </c>
      <c r="F18" s="248">
        <v>105.4</v>
      </c>
      <c r="G18" s="8">
        <f t="shared" si="0"/>
        <v>4005.2000000000003</v>
      </c>
      <c r="H18" s="62"/>
      <c r="I18" s="63"/>
      <c r="J18" s="8">
        <f t="shared" si="2"/>
        <v>0</v>
      </c>
      <c r="K18" s="8">
        <f t="shared" si="3"/>
        <v>4005.2000000000003</v>
      </c>
      <c r="L18" s="65"/>
      <c r="M18" s="65">
        <f t="shared" si="1"/>
        <v>121788.7828</v>
      </c>
      <c r="N18" s="8"/>
      <c r="O18" s="66"/>
    </row>
    <row r="19" spans="1:15">
      <c r="A19" s="188">
        <v>16</v>
      </c>
      <c r="B19" s="211">
        <v>46281</v>
      </c>
      <c r="C19" s="64"/>
      <c r="D19" s="152"/>
      <c r="E19" s="307"/>
      <c r="F19" s="307"/>
      <c r="G19" s="175">
        <f t="shared" si="0"/>
        <v>0</v>
      </c>
      <c r="H19" s="62"/>
      <c r="I19" s="63"/>
      <c r="J19" s="175">
        <f t="shared" si="2"/>
        <v>0</v>
      </c>
      <c r="K19" s="175">
        <f t="shared" si="3"/>
        <v>0</v>
      </c>
      <c r="L19" s="65"/>
      <c r="M19" s="65">
        <f t="shared" si="1"/>
        <v>121788.7828</v>
      </c>
      <c r="N19" s="8"/>
      <c r="O19" s="66"/>
    </row>
    <row r="20" spans="1:15">
      <c r="A20" s="188">
        <v>17</v>
      </c>
      <c r="B20" s="211">
        <v>46282</v>
      </c>
      <c r="C20" s="64"/>
      <c r="D20" s="306"/>
      <c r="E20" s="248"/>
      <c r="F20" s="248"/>
      <c r="G20" s="8">
        <f t="shared" si="0"/>
        <v>0</v>
      </c>
      <c r="H20" s="62"/>
      <c r="I20" s="63"/>
      <c r="J20" s="8">
        <f t="shared" si="2"/>
        <v>0</v>
      </c>
      <c r="K20" s="8">
        <f t="shared" si="3"/>
        <v>0</v>
      </c>
      <c r="L20" s="65"/>
      <c r="M20" s="65">
        <f t="shared" si="1"/>
        <v>121788.7828</v>
      </c>
      <c r="N20" s="185"/>
      <c r="O20" s="66"/>
    </row>
    <row r="21" spans="1:15">
      <c r="A21" s="43">
        <v>18</v>
      </c>
      <c r="B21" s="211">
        <v>46283</v>
      </c>
      <c r="C21" s="64"/>
      <c r="D21" s="306"/>
      <c r="E21" s="248">
        <v>34.4</v>
      </c>
      <c r="F21" s="307">
        <v>105.4</v>
      </c>
      <c r="G21" s="8">
        <f t="shared" si="0"/>
        <v>3625.76</v>
      </c>
      <c r="H21" s="62"/>
      <c r="I21" s="63"/>
      <c r="J21" s="8">
        <f t="shared" si="2"/>
        <v>0</v>
      </c>
      <c r="K21" s="8">
        <f t="shared" si="3"/>
        <v>3625.76</v>
      </c>
      <c r="L21" s="65"/>
      <c r="M21" s="65">
        <f t="shared" si="1"/>
        <v>125414.5428</v>
      </c>
      <c r="N21" s="185"/>
      <c r="O21" s="66"/>
    </row>
    <row r="22" spans="1:15">
      <c r="A22" s="188">
        <v>19</v>
      </c>
      <c r="B22" s="211">
        <v>46284</v>
      </c>
      <c r="C22" s="64"/>
      <c r="D22" s="306"/>
      <c r="E22" s="14"/>
      <c r="F22" s="14"/>
      <c r="G22" s="8">
        <f t="shared" si="0"/>
        <v>0</v>
      </c>
      <c r="H22" s="62">
        <v>5</v>
      </c>
      <c r="I22" s="63">
        <v>117.74</v>
      </c>
      <c r="J22" s="8">
        <f t="shared" si="2"/>
        <v>588.69999999999993</v>
      </c>
      <c r="K22" s="8">
        <f t="shared" si="3"/>
        <v>588.69999999999993</v>
      </c>
      <c r="L22" s="65"/>
      <c r="M22" s="65">
        <f t="shared" si="1"/>
        <v>126003.24279999999</v>
      </c>
      <c r="N22" s="185"/>
      <c r="O22" s="66"/>
    </row>
    <row r="23" spans="1:15">
      <c r="A23" s="188">
        <v>20</v>
      </c>
      <c r="B23" s="211">
        <v>46285</v>
      </c>
      <c r="C23" s="64"/>
      <c r="D23" s="306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65"/>
      <c r="M23" s="65">
        <f t="shared" si="1"/>
        <v>126003.24279999999</v>
      </c>
      <c r="N23" s="185"/>
      <c r="O23" s="66"/>
    </row>
    <row r="24" spans="1:15">
      <c r="A24" s="43">
        <v>21</v>
      </c>
      <c r="B24" s="211">
        <v>46286</v>
      </c>
      <c r="C24" s="64"/>
      <c r="D24" s="306"/>
      <c r="E24" s="14">
        <v>234.64</v>
      </c>
      <c r="F24" s="14">
        <v>105.4</v>
      </c>
      <c r="G24" s="8">
        <f t="shared" si="0"/>
        <v>24731.056</v>
      </c>
      <c r="H24" s="62"/>
      <c r="I24" s="63"/>
      <c r="J24" s="8">
        <f t="shared" si="2"/>
        <v>0</v>
      </c>
      <c r="K24" s="8">
        <f t="shared" si="3"/>
        <v>24731.056</v>
      </c>
      <c r="L24" s="65"/>
      <c r="M24" s="65">
        <f t="shared" si="1"/>
        <v>150734.29879999999</v>
      </c>
      <c r="N24" s="185"/>
      <c r="O24" s="66"/>
    </row>
    <row r="25" spans="1:15">
      <c r="A25" s="188">
        <v>22</v>
      </c>
      <c r="B25" s="211">
        <v>46287</v>
      </c>
      <c r="C25" s="64"/>
      <c r="D25" s="306"/>
      <c r="E25" s="14">
        <v>43.01</v>
      </c>
      <c r="F25" s="14">
        <v>105.4</v>
      </c>
      <c r="G25" s="8">
        <f t="shared" si="0"/>
        <v>4533.2539999999999</v>
      </c>
      <c r="H25" s="62">
        <v>8.0399999999999991</v>
      </c>
      <c r="I25" s="63">
        <v>117.74</v>
      </c>
      <c r="J25" s="8">
        <f t="shared" si="2"/>
        <v>946.62959999999987</v>
      </c>
      <c r="K25" s="8">
        <f t="shared" si="3"/>
        <v>5479.8836000000001</v>
      </c>
      <c r="L25" s="65"/>
      <c r="M25" s="65">
        <f t="shared" si="1"/>
        <v>156214.18239999999</v>
      </c>
      <c r="N25" s="185"/>
      <c r="O25" s="66"/>
    </row>
    <row r="26" spans="1:15">
      <c r="A26" s="188">
        <v>23</v>
      </c>
      <c r="B26" s="211">
        <v>46288</v>
      </c>
      <c r="C26" s="64"/>
      <c r="D26" s="306"/>
      <c r="E26" s="14">
        <v>20</v>
      </c>
      <c r="F26" s="14">
        <v>105.4</v>
      </c>
      <c r="G26" s="8">
        <f t="shared" si="0"/>
        <v>2108</v>
      </c>
      <c r="H26" s="62"/>
      <c r="I26" s="63"/>
      <c r="J26" s="8">
        <f t="shared" si="2"/>
        <v>0</v>
      </c>
      <c r="K26" s="8">
        <f t="shared" si="3"/>
        <v>2108</v>
      </c>
      <c r="L26" s="65"/>
      <c r="M26" s="65">
        <f t="shared" si="1"/>
        <v>158322.18239999999</v>
      </c>
      <c r="N26" s="185"/>
      <c r="O26" s="66"/>
    </row>
    <row r="27" spans="1:15">
      <c r="A27" s="43">
        <v>24</v>
      </c>
      <c r="B27" s="211">
        <v>46289</v>
      </c>
      <c r="C27" s="64"/>
      <c r="D27" s="306"/>
      <c r="E27" s="14">
        <v>28.44</v>
      </c>
      <c r="F27" s="14">
        <v>105.4</v>
      </c>
      <c r="G27" s="8">
        <f t="shared" si="0"/>
        <v>2997.5760000000005</v>
      </c>
      <c r="H27" s="62"/>
      <c r="I27" s="63"/>
      <c r="J27" s="8">
        <f t="shared" si="2"/>
        <v>0</v>
      </c>
      <c r="K27" s="8">
        <f t="shared" si="3"/>
        <v>2997.5760000000005</v>
      </c>
      <c r="L27" s="65"/>
      <c r="M27" s="65">
        <f t="shared" si="1"/>
        <v>161319.75839999999</v>
      </c>
      <c r="N27" s="185"/>
      <c r="O27" s="66"/>
    </row>
    <row r="28" spans="1:15">
      <c r="A28" s="188">
        <v>25</v>
      </c>
      <c r="B28" s="211">
        <v>46290</v>
      </c>
      <c r="C28" s="64"/>
      <c r="D28" s="306"/>
      <c r="E28" s="14">
        <v>28.98</v>
      </c>
      <c r="F28" s="14">
        <v>105.4</v>
      </c>
      <c r="G28" s="8">
        <f t="shared" si="0"/>
        <v>3054.4920000000002</v>
      </c>
      <c r="H28" s="62"/>
      <c r="I28" s="63"/>
      <c r="J28" s="8">
        <f t="shared" si="2"/>
        <v>0</v>
      </c>
      <c r="K28" s="8">
        <f t="shared" si="3"/>
        <v>3054.4920000000002</v>
      </c>
      <c r="L28" s="65"/>
      <c r="M28" s="65">
        <f t="shared" si="1"/>
        <v>164374.25039999999</v>
      </c>
      <c r="N28" s="185"/>
      <c r="O28" s="66"/>
    </row>
    <row r="29" spans="1:15">
      <c r="A29" s="188">
        <v>26</v>
      </c>
      <c r="B29" s="211">
        <v>46291</v>
      </c>
      <c r="C29" s="64"/>
      <c r="D29" s="306"/>
      <c r="E29" s="14">
        <v>129.22999999999999</v>
      </c>
      <c r="F29" s="14">
        <v>105.4</v>
      </c>
      <c r="G29" s="8">
        <f t="shared" si="0"/>
        <v>13620.842000000001</v>
      </c>
      <c r="H29" s="62"/>
      <c r="I29" s="63"/>
      <c r="J29" s="8">
        <f t="shared" si="2"/>
        <v>0</v>
      </c>
      <c r="K29" s="8">
        <f t="shared" si="3"/>
        <v>13620.842000000001</v>
      </c>
      <c r="L29" s="65"/>
      <c r="M29" s="65">
        <f t="shared" si="1"/>
        <v>177995.09239999999</v>
      </c>
      <c r="N29" s="185"/>
      <c r="O29" s="66"/>
    </row>
    <row r="30" spans="1:15">
      <c r="A30" s="43">
        <v>27</v>
      </c>
      <c r="B30" s="211">
        <v>46292</v>
      </c>
      <c r="C30" s="64"/>
      <c r="D30" s="306"/>
      <c r="E30" s="14"/>
      <c r="F30" s="14"/>
      <c r="G30" s="8">
        <f t="shared" si="0"/>
        <v>0</v>
      </c>
      <c r="H30" s="62"/>
      <c r="I30" s="63"/>
      <c r="J30" s="8">
        <f t="shared" si="2"/>
        <v>0</v>
      </c>
      <c r="K30" s="8">
        <f t="shared" si="3"/>
        <v>0</v>
      </c>
      <c r="L30" s="65"/>
      <c r="M30" s="65">
        <f t="shared" si="1"/>
        <v>177995.09239999999</v>
      </c>
      <c r="N30" s="185"/>
      <c r="O30" s="66"/>
    </row>
    <row r="31" spans="1:15">
      <c r="A31" s="188">
        <v>28</v>
      </c>
      <c r="B31" s="211">
        <v>46293</v>
      </c>
      <c r="C31" s="64"/>
      <c r="D31" s="152"/>
      <c r="E31" s="14">
        <v>316.23</v>
      </c>
      <c r="F31" s="14">
        <v>105.4</v>
      </c>
      <c r="G31" s="16">
        <f t="shared" si="0"/>
        <v>33330.642000000007</v>
      </c>
      <c r="H31" s="62"/>
      <c r="I31" s="63"/>
      <c r="J31" s="16">
        <f t="shared" si="2"/>
        <v>0</v>
      </c>
      <c r="K31" s="16">
        <f t="shared" si="3"/>
        <v>33330.642000000007</v>
      </c>
      <c r="L31" s="126"/>
      <c r="M31" s="65">
        <f t="shared" si="1"/>
        <v>211325.73440000002</v>
      </c>
      <c r="N31" s="8"/>
      <c r="O31" s="66"/>
    </row>
    <row r="32" spans="1:15">
      <c r="A32" s="188">
        <v>29</v>
      </c>
      <c r="B32" s="211">
        <v>46294</v>
      </c>
      <c r="C32" s="64"/>
      <c r="D32" s="152"/>
      <c r="E32" s="14">
        <v>230</v>
      </c>
      <c r="F32" s="14">
        <v>105.4</v>
      </c>
      <c r="G32" s="8">
        <f t="shared" si="0"/>
        <v>24242</v>
      </c>
      <c r="H32" s="62"/>
      <c r="I32" s="63"/>
      <c r="J32" s="8">
        <f t="shared" si="2"/>
        <v>0</v>
      </c>
      <c r="K32" s="8">
        <f t="shared" si="3"/>
        <v>24242</v>
      </c>
      <c r="L32" s="65"/>
      <c r="M32" s="65">
        <f t="shared" si="1"/>
        <v>235567.73440000002</v>
      </c>
      <c r="N32" s="8"/>
      <c r="O32" s="66"/>
    </row>
    <row r="33" spans="1:15">
      <c r="A33" s="43">
        <v>30</v>
      </c>
      <c r="B33" s="211">
        <v>46295</v>
      </c>
      <c r="C33" s="64"/>
      <c r="D33" s="152"/>
      <c r="E33" s="152">
        <v>31.63</v>
      </c>
      <c r="F33" s="14">
        <v>105.4</v>
      </c>
      <c r="G33" s="8">
        <f t="shared" si="0"/>
        <v>3333.8020000000001</v>
      </c>
      <c r="H33" s="62"/>
      <c r="I33" s="63"/>
      <c r="J33" s="8">
        <f t="shared" si="2"/>
        <v>0</v>
      </c>
      <c r="K33" s="8">
        <f t="shared" si="3"/>
        <v>3333.8020000000001</v>
      </c>
      <c r="L33" s="65"/>
      <c r="M33" s="65">
        <f t="shared" si="1"/>
        <v>238901.53640000001</v>
      </c>
      <c r="N33" s="8"/>
      <c r="O33" s="66"/>
    </row>
    <row r="34" spans="1:15">
      <c r="A34" s="188">
        <v>31</v>
      </c>
      <c r="B34" s="211"/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2"/>
        <v>0</v>
      </c>
      <c r="K34" s="8">
        <f t="shared" si="3"/>
        <v>0</v>
      </c>
      <c r="L34" s="65"/>
      <c r="M34" s="65">
        <f t="shared" si="1"/>
        <v>238901.53640000001</v>
      </c>
      <c r="N34" s="8"/>
      <c r="O34" s="66"/>
    </row>
    <row r="35" spans="1:15">
      <c r="A35" s="188">
        <v>32</v>
      </c>
      <c r="B35" s="211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/>
      <c r="M35" s="65">
        <f t="shared" si="1"/>
        <v>238901.53640000001</v>
      </c>
      <c r="N35" s="8"/>
      <c r="O35" s="66"/>
    </row>
    <row r="36" spans="1:15">
      <c r="A36" s="43">
        <v>33</v>
      </c>
      <c r="B36" s="211"/>
      <c r="C36" s="64"/>
      <c r="D36" s="152"/>
      <c r="E36" s="248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/>
      <c r="M36" s="65">
        <f t="shared" si="1"/>
        <v>238901.53640000001</v>
      </c>
      <c r="N36" s="8"/>
      <c r="O36" s="66"/>
    </row>
    <row r="37" spans="1:15">
      <c r="A37" s="59"/>
      <c r="B37" s="59"/>
      <c r="C37" s="59"/>
      <c r="D37" s="59"/>
      <c r="E37" s="249">
        <f>SUM(E4:E36)</f>
        <v>1795.41</v>
      </c>
      <c r="F37" s="249"/>
      <c r="G37" s="60">
        <f>SUM(G4:G36)</f>
        <v>189236.21400000001</v>
      </c>
      <c r="H37" s="60">
        <f>SUM(H4:H36)</f>
        <v>28.049999999999997</v>
      </c>
      <c r="I37" s="60"/>
      <c r="J37" s="60">
        <f>SUM(J4:J36)</f>
        <v>3302.6069999999995</v>
      </c>
      <c r="K37" s="60">
        <f>SUM(K4:K36)</f>
        <v>192538.82099999997</v>
      </c>
      <c r="L37" s="60">
        <f>SUM(L4:L36)</f>
        <v>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99"/>
      <c r="C45" s="599"/>
      <c r="D45" s="599"/>
      <c r="E45" s="599"/>
      <c r="F45" s="66"/>
      <c r="G45" s="66"/>
      <c r="H45" s="66"/>
      <c r="I45" s="599"/>
      <c r="J45" s="599"/>
      <c r="K45" s="599"/>
      <c r="L45" s="599"/>
      <c r="M45" s="599"/>
      <c r="N45" s="599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3470-408F-4CE1-88D9-EA4E7C7D01D3}">
  <sheetPr>
    <tabColor rgb="FFFFC000"/>
  </sheetPr>
  <dimension ref="A1:N37"/>
  <sheetViews>
    <sheetView workbookViewId="0">
      <pane ySplit="3" topLeftCell="A23" activePane="bottomLeft" state="frozen"/>
      <selection pane="bottomLeft" activeCell="J33" sqref="J33"/>
    </sheetView>
  </sheetViews>
  <sheetFormatPr defaultRowHeight="15"/>
  <cols>
    <col min="2" max="2" width="10.5703125" customWidth="1"/>
    <col min="7" max="7" width="16.140625" customWidth="1"/>
    <col min="10" max="10" width="14.28515625" customWidth="1"/>
    <col min="11" max="11" width="24.140625" customWidth="1"/>
    <col min="12" max="12" width="20.7109375" customWidth="1"/>
    <col min="13" max="13" width="11.5703125" bestFit="1" customWidth="1"/>
  </cols>
  <sheetData>
    <row r="1" spans="1:14" ht="15.75">
      <c r="A1" s="590" t="s">
        <v>90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</row>
    <row r="2" spans="1:14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14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601"/>
      <c r="L3" s="601"/>
      <c r="M3" s="528">
        <v>17037.915199999999</v>
      </c>
      <c r="N3" s="149"/>
    </row>
    <row r="4" spans="1:14">
      <c r="A4" s="43">
        <v>1</v>
      </c>
      <c r="B4" s="310">
        <v>46266</v>
      </c>
      <c r="C4" s="64"/>
      <c r="D4" s="152"/>
      <c r="E4" s="248">
        <v>104</v>
      </c>
      <c r="F4" s="248">
        <v>104.68</v>
      </c>
      <c r="G4" s="8">
        <f t="shared" ref="G4:G36" si="0">E4*F4</f>
        <v>10886.720000000001</v>
      </c>
      <c r="H4" s="62">
        <v>10</v>
      </c>
      <c r="I4" s="63">
        <v>116.96</v>
      </c>
      <c r="J4" s="8">
        <f>H4*I4</f>
        <v>1169.5999999999999</v>
      </c>
      <c r="K4" s="8">
        <f>G4+J4</f>
        <v>12056.320000000002</v>
      </c>
      <c r="L4" s="65"/>
      <c r="M4" s="529">
        <f>M3+K4-L4</f>
        <v>29094.235200000003</v>
      </c>
      <c r="N4" s="149"/>
    </row>
    <row r="5" spans="1:14">
      <c r="A5" s="43">
        <v>2</v>
      </c>
      <c r="B5" s="310">
        <v>46267</v>
      </c>
      <c r="C5" s="64"/>
      <c r="D5" s="152"/>
      <c r="E5" s="248">
        <v>85</v>
      </c>
      <c r="F5" s="248">
        <v>104.68</v>
      </c>
      <c r="G5" s="8">
        <f t="shared" si="0"/>
        <v>8897.8000000000011</v>
      </c>
      <c r="H5" s="62">
        <v>25.01</v>
      </c>
      <c r="I5" s="63">
        <v>116.96</v>
      </c>
      <c r="J5" s="8">
        <f>H5*I5</f>
        <v>2925.1696000000002</v>
      </c>
      <c r="K5" s="8">
        <f>G5+J5</f>
        <v>11822.9696</v>
      </c>
      <c r="L5" s="65"/>
      <c r="M5" s="529">
        <f t="shared" ref="M5:M36" si="1">M4+K5-L5</f>
        <v>40917.204800000007</v>
      </c>
      <c r="N5" s="149"/>
    </row>
    <row r="6" spans="1:14">
      <c r="A6" s="43">
        <v>3</v>
      </c>
      <c r="B6" s="310">
        <v>46268</v>
      </c>
      <c r="C6" s="64"/>
      <c r="D6" s="14"/>
      <c r="E6" s="248"/>
      <c r="F6" s="248"/>
      <c r="G6" s="8">
        <f t="shared" si="0"/>
        <v>0</v>
      </c>
      <c r="H6" s="62"/>
      <c r="I6" s="63"/>
      <c r="J6" s="8">
        <f t="shared" ref="J6:J36" si="2">H6*I6</f>
        <v>0</v>
      </c>
      <c r="K6" s="8">
        <f t="shared" ref="K6:K36" si="3">G6+J6</f>
        <v>0</v>
      </c>
      <c r="L6" s="65"/>
      <c r="M6" s="529">
        <f t="shared" si="1"/>
        <v>40917.204800000007</v>
      </c>
      <c r="N6" s="149"/>
    </row>
    <row r="7" spans="1:14">
      <c r="A7" s="43">
        <v>4</v>
      </c>
      <c r="B7" s="310">
        <v>46269</v>
      </c>
      <c r="C7" s="64"/>
      <c r="D7" s="152"/>
      <c r="E7" s="248">
        <v>141.12</v>
      </c>
      <c r="F7" s="248">
        <v>104.68</v>
      </c>
      <c r="G7" s="8">
        <f t="shared" si="0"/>
        <v>14772.441600000002</v>
      </c>
      <c r="H7" s="62">
        <v>5</v>
      </c>
      <c r="I7" s="63">
        <v>116.96</v>
      </c>
      <c r="J7" s="8">
        <f t="shared" si="2"/>
        <v>584.79999999999995</v>
      </c>
      <c r="K7" s="8">
        <f t="shared" si="3"/>
        <v>15357.241600000001</v>
      </c>
      <c r="L7" s="65"/>
      <c r="M7" s="529">
        <f t="shared" si="1"/>
        <v>56274.446400000008</v>
      </c>
      <c r="N7" s="149"/>
    </row>
    <row r="8" spans="1:14">
      <c r="A8" s="43">
        <v>5</v>
      </c>
      <c r="B8" s="310">
        <v>46270</v>
      </c>
      <c r="C8" s="64"/>
      <c r="D8" s="152"/>
      <c r="E8" s="248">
        <v>38</v>
      </c>
      <c r="F8" s="248">
        <v>104.68</v>
      </c>
      <c r="G8" s="8">
        <f t="shared" si="0"/>
        <v>3977.84</v>
      </c>
      <c r="H8" s="522">
        <v>10</v>
      </c>
      <c r="I8" s="522">
        <v>116.96</v>
      </c>
      <c r="J8" s="8">
        <f t="shared" si="2"/>
        <v>1169.5999999999999</v>
      </c>
      <c r="K8" s="8">
        <f t="shared" si="3"/>
        <v>5147.4400000000005</v>
      </c>
      <c r="L8" s="65"/>
      <c r="M8" s="529">
        <f t="shared" si="1"/>
        <v>61421.88640000001</v>
      </c>
      <c r="N8" s="149"/>
    </row>
    <row r="9" spans="1:14">
      <c r="A9" s="188">
        <v>6</v>
      </c>
      <c r="B9" s="310">
        <v>46271</v>
      </c>
      <c r="C9" s="124"/>
      <c r="D9" s="125"/>
      <c r="E9" s="530"/>
      <c r="F9" s="531"/>
      <c r="G9" s="16">
        <f t="shared" si="0"/>
        <v>0</v>
      </c>
      <c r="H9" s="532"/>
      <c r="I9" s="532"/>
      <c r="J9" s="16">
        <f t="shared" si="2"/>
        <v>0</v>
      </c>
      <c r="K9" s="533">
        <f t="shared" si="3"/>
        <v>0</v>
      </c>
      <c r="L9" s="126"/>
      <c r="M9" s="65">
        <f t="shared" si="1"/>
        <v>61421.88640000001</v>
      </c>
      <c r="N9" s="149"/>
    </row>
    <row r="10" spans="1:14">
      <c r="A10" s="188">
        <v>7</v>
      </c>
      <c r="B10" s="310">
        <v>46272</v>
      </c>
      <c r="C10" s="64"/>
      <c r="D10" s="152"/>
      <c r="E10" s="248">
        <v>86.53</v>
      </c>
      <c r="F10" s="248">
        <v>104.68</v>
      </c>
      <c r="G10" s="8">
        <f t="shared" si="0"/>
        <v>9057.9603999999999</v>
      </c>
      <c r="H10" s="369">
        <v>5</v>
      </c>
      <c r="I10" s="155">
        <v>116.96</v>
      </c>
      <c r="J10" s="8">
        <f t="shared" si="2"/>
        <v>584.79999999999995</v>
      </c>
      <c r="K10" s="185">
        <f t="shared" si="3"/>
        <v>9642.7603999999992</v>
      </c>
      <c r="L10" s="65"/>
      <c r="M10" s="65">
        <f t="shared" si="1"/>
        <v>71064.646800000017</v>
      </c>
      <c r="N10" s="149"/>
    </row>
    <row r="11" spans="1:14">
      <c r="A11" s="188">
        <v>8</v>
      </c>
      <c r="B11" s="310">
        <v>46273</v>
      </c>
      <c r="C11" s="64"/>
      <c r="D11" s="152"/>
      <c r="E11" s="248">
        <v>422</v>
      </c>
      <c r="F11" s="524">
        <v>104.68</v>
      </c>
      <c r="G11" s="8">
        <f t="shared" si="0"/>
        <v>44174.960000000006</v>
      </c>
      <c r="H11" s="369"/>
      <c r="I11" s="155"/>
      <c r="J11" s="8">
        <f t="shared" si="2"/>
        <v>0</v>
      </c>
      <c r="K11" s="185">
        <f t="shared" si="3"/>
        <v>44174.960000000006</v>
      </c>
      <c r="L11" s="65"/>
      <c r="M11" s="65">
        <f t="shared" si="1"/>
        <v>115239.60680000002</v>
      </c>
      <c r="N11" s="149"/>
    </row>
    <row r="12" spans="1:14">
      <c r="A12" s="43">
        <v>9</v>
      </c>
      <c r="B12" s="310">
        <v>46274</v>
      </c>
      <c r="C12" s="64"/>
      <c r="D12" s="152"/>
      <c r="E12" s="248">
        <v>50.79</v>
      </c>
      <c r="F12" s="524">
        <v>104.68</v>
      </c>
      <c r="G12" s="8">
        <f t="shared" si="0"/>
        <v>5316.6972000000005</v>
      </c>
      <c r="H12" s="369">
        <v>15</v>
      </c>
      <c r="I12" s="155">
        <v>116.96</v>
      </c>
      <c r="J12" s="8">
        <f t="shared" si="2"/>
        <v>1754.3999999999999</v>
      </c>
      <c r="K12" s="185">
        <f t="shared" si="3"/>
        <v>7071.0972000000002</v>
      </c>
      <c r="L12" s="65"/>
      <c r="M12" s="65">
        <f t="shared" si="1"/>
        <v>122310.70400000003</v>
      </c>
      <c r="N12" s="149"/>
    </row>
    <row r="13" spans="1:14">
      <c r="A13" s="188">
        <v>10</v>
      </c>
      <c r="B13" s="310">
        <v>46275</v>
      </c>
      <c r="C13" s="64"/>
      <c r="D13" s="152"/>
      <c r="E13" s="248"/>
      <c r="F13" s="248"/>
      <c r="G13" s="16">
        <f t="shared" si="0"/>
        <v>0</v>
      </c>
      <c r="H13" s="526">
        <v>30.01</v>
      </c>
      <c r="I13" s="527">
        <v>116.96</v>
      </c>
      <c r="J13" s="16">
        <f t="shared" si="2"/>
        <v>3509.9695999999999</v>
      </c>
      <c r="K13" s="8">
        <f t="shared" si="3"/>
        <v>3509.9695999999999</v>
      </c>
      <c r="L13" s="65"/>
      <c r="M13" s="65">
        <f t="shared" si="1"/>
        <v>125820.67360000002</v>
      </c>
      <c r="N13" s="149"/>
    </row>
    <row r="14" spans="1:14">
      <c r="A14" s="188">
        <v>11</v>
      </c>
      <c r="B14" s="310">
        <v>46276</v>
      </c>
      <c r="C14" s="64"/>
      <c r="D14" s="152"/>
      <c r="E14" s="248"/>
      <c r="F14" s="248"/>
      <c r="G14" s="8">
        <f t="shared" si="0"/>
        <v>0</v>
      </c>
      <c r="H14" s="369"/>
      <c r="I14" s="155"/>
      <c r="J14" s="8">
        <f t="shared" si="2"/>
        <v>0</v>
      </c>
      <c r="K14" s="8">
        <f t="shared" si="3"/>
        <v>0</v>
      </c>
      <c r="L14" s="65"/>
      <c r="M14" s="65">
        <f t="shared" si="1"/>
        <v>125820.67360000002</v>
      </c>
      <c r="N14" s="149"/>
    </row>
    <row r="15" spans="1:14">
      <c r="A15" s="43">
        <v>12</v>
      </c>
      <c r="B15" s="310">
        <v>46277</v>
      </c>
      <c r="C15" s="64"/>
      <c r="D15" s="152"/>
      <c r="E15" s="248">
        <v>75</v>
      </c>
      <c r="F15" s="248">
        <v>104.68</v>
      </c>
      <c r="G15" s="8">
        <f t="shared" si="0"/>
        <v>7851.0000000000009</v>
      </c>
      <c r="H15" s="369"/>
      <c r="I15" s="155"/>
      <c r="J15" s="8">
        <f t="shared" si="2"/>
        <v>0</v>
      </c>
      <c r="K15" s="8">
        <f>G15+J15</f>
        <v>7851.0000000000009</v>
      </c>
      <c r="L15" s="65"/>
      <c r="M15" s="65">
        <f t="shared" si="1"/>
        <v>133671.67360000004</v>
      </c>
      <c r="N15" s="149"/>
    </row>
    <row r="16" spans="1:14">
      <c r="A16" s="188">
        <v>13</v>
      </c>
      <c r="B16" s="310">
        <v>46278</v>
      </c>
      <c r="C16" s="64"/>
      <c r="D16" s="152"/>
      <c r="E16" s="248">
        <v>30</v>
      </c>
      <c r="F16" s="248">
        <v>104.68</v>
      </c>
      <c r="G16" s="8">
        <f t="shared" si="0"/>
        <v>3140.4</v>
      </c>
      <c r="H16" s="369">
        <v>5</v>
      </c>
      <c r="I16" s="155">
        <v>116.96</v>
      </c>
      <c r="J16" s="8">
        <f t="shared" si="2"/>
        <v>584.79999999999995</v>
      </c>
      <c r="K16" s="8">
        <f t="shared" si="3"/>
        <v>3725.2</v>
      </c>
      <c r="L16" s="65"/>
      <c r="M16" s="65">
        <f t="shared" si="1"/>
        <v>137396.87360000005</v>
      </c>
      <c r="N16" s="8"/>
    </row>
    <row r="17" spans="1:14">
      <c r="A17" s="188">
        <v>14</v>
      </c>
      <c r="B17" s="310">
        <v>46279</v>
      </c>
      <c r="C17" s="64"/>
      <c r="D17" s="152"/>
      <c r="E17" s="248"/>
      <c r="F17" s="248"/>
      <c r="G17" s="8">
        <f t="shared" si="0"/>
        <v>0</v>
      </c>
      <c r="H17" s="369"/>
      <c r="I17" s="155"/>
      <c r="J17" s="8">
        <f t="shared" si="2"/>
        <v>0</v>
      </c>
      <c r="K17" s="8">
        <f t="shared" si="3"/>
        <v>0</v>
      </c>
      <c r="L17" s="65"/>
      <c r="M17" s="65">
        <f t="shared" si="1"/>
        <v>137396.87360000005</v>
      </c>
      <c r="N17" s="8"/>
    </row>
    <row r="18" spans="1:14">
      <c r="A18" s="43">
        <v>15</v>
      </c>
      <c r="B18" s="310">
        <v>46280</v>
      </c>
      <c r="C18" s="64"/>
      <c r="D18" s="152"/>
      <c r="E18" s="248">
        <v>143.25</v>
      </c>
      <c r="F18" s="248">
        <v>104.68</v>
      </c>
      <c r="G18" s="8">
        <f t="shared" si="0"/>
        <v>14995.410000000002</v>
      </c>
      <c r="H18" s="369">
        <v>10</v>
      </c>
      <c r="I18" s="155">
        <v>116.96</v>
      </c>
      <c r="J18" s="8">
        <f t="shared" si="2"/>
        <v>1169.5999999999999</v>
      </c>
      <c r="K18" s="8">
        <f t="shared" si="3"/>
        <v>16165.010000000002</v>
      </c>
      <c r="L18" s="65"/>
      <c r="M18" s="65">
        <f t="shared" si="1"/>
        <v>153561.88360000006</v>
      </c>
      <c r="N18" s="8"/>
    </row>
    <row r="19" spans="1:14">
      <c r="A19" s="188">
        <v>16</v>
      </c>
      <c r="B19" s="310">
        <v>46281</v>
      </c>
      <c r="C19" s="64"/>
      <c r="D19" s="152"/>
      <c r="E19" s="307">
        <v>32</v>
      </c>
      <c r="F19" s="307">
        <v>104.68</v>
      </c>
      <c r="G19" s="175">
        <f t="shared" si="0"/>
        <v>3349.76</v>
      </c>
      <c r="H19" s="369">
        <v>10</v>
      </c>
      <c r="I19" s="155">
        <v>116.96</v>
      </c>
      <c r="J19" s="175">
        <f t="shared" si="2"/>
        <v>1169.5999999999999</v>
      </c>
      <c r="K19" s="175">
        <f t="shared" si="3"/>
        <v>4519.3600000000006</v>
      </c>
      <c r="L19" s="65">
        <v>100000</v>
      </c>
      <c r="M19" s="65">
        <f t="shared" si="1"/>
        <v>58081.243600000045</v>
      </c>
      <c r="N19" s="8"/>
    </row>
    <row r="20" spans="1:14">
      <c r="A20" s="188">
        <v>17</v>
      </c>
      <c r="B20" s="310">
        <v>46282</v>
      </c>
      <c r="C20" s="64"/>
      <c r="D20" s="306"/>
      <c r="E20" s="248">
        <v>41</v>
      </c>
      <c r="F20" s="307">
        <v>104.68</v>
      </c>
      <c r="G20" s="8">
        <f t="shared" si="0"/>
        <v>4291.88</v>
      </c>
      <c r="H20" s="369"/>
      <c r="I20" s="155"/>
      <c r="J20" s="8">
        <f t="shared" si="2"/>
        <v>0</v>
      </c>
      <c r="K20" s="8">
        <f t="shared" si="3"/>
        <v>4291.88</v>
      </c>
      <c r="L20" s="65"/>
      <c r="M20" s="65">
        <f t="shared" si="1"/>
        <v>62373.123600000043</v>
      </c>
      <c r="N20" s="185"/>
    </row>
    <row r="21" spans="1:14">
      <c r="A21" s="43">
        <v>18</v>
      </c>
      <c r="B21" s="310">
        <v>46283</v>
      </c>
      <c r="C21" s="64"/>
      <c r="D21" s="306"/>
      <c r="E21" s="248">
        <v>70.674000000000007</v>
      </c>
      <c r="F21" s="307">
        <v>104.68</v>
      </c>
      <c r="G21" s="8">
        <f t="shared" si="0"/>
        <v>7398.1543200000015</v>
      </c>
      <c r="H21" s="369">
        <v>5</v>
      </c>
      <c r="I21" s="155">
        <v>116.96</v>
      </c>
      <c r="J21" s="8">
        <f t="shared" si="2"/>
        <v>584.79999999999995</v>
      </c>
      <c r="K21" s="8">
        <f t="shared" si="3"/>
        <v>7982.9543200000016</v>
      </c>
      <c r="L21" s="65"/>
      <c r="M21" s="65">
        <f t="shared" si="1"/>
        <v>70356.07792000004</v>
      </c>
      <c r="N21" s="185"/>
    </row>
    <row r="22" spans="1:14">
      <c r="A22" s="188">
        <v>19</v>
      </c>
      <c r="B22" s="310">
        <v>46284</v>
      </c>
      <c r="C22" s="64"/>
      <c r="D22" s="306"/>
      <c r="E22" s="14"/>
      <c r="F22" s="14"/>
      <c r="G22" s="8">
        <f t="shared" si="0"/>
        <v>0</v>
      </c>
      <c r="H22" s="369"/>
      <c r="I22" s="155"/>
      <c r="J22" s="8">
        <f t="shared" si="2"/>
        <v>0</v>
      </c>
      <c r="K22" s="8">
        <f t="shared" si="3"/>
        <v>0</v>
      </c>
      <c r="L22" s="65"/>
      <c r="M22" s="65">
        <f t="shared" si="1"/>
        <v>70356.07792000004</v>
      </c>
      <c r="N22" s="185"/>
    </row>
    <row r="23" spans="1:14">
      <c r="A23" s="188">
        <v>20</v>
      </c>
      <c r="B23" s="310">
        <v>46285</v>
      </c>
      <c r="C23" s="64"/>
      <c r="D23" s="306"/>
      <c r="E23" s="14"/>
      <c r="F23" s="14"/>
      <c r="G23" s="8">
        <f t="shared" si="0"/>
        <v>0</v>
      </c>
      <c r="H23" s="62"/>
      <c r="I23" s="63"/>
      <c r="J23" s="8">
        <f t="shared" si="2"/>
        <v>0</v>
      </c>
      <c r="K23" s="8">
        <f t="shared" si="3"/>
        <v>0</v>
      </c>
      <c r="L23" s="65"/>
      <c r="M23" s="65">
        <f t="shared" si="1"/>
        <v>70356.07792000004</v>
      </c>
      <c r="N23" s="185"/>
    </row>
    <row r="24" spans="1:14">
      <c r="A24" s="43">
        <v>21</v>
      </c>
      <c r="B24" s="310">
        <v>46286</v>
      </c>
      <c r="C24" s="64"/>
      <c r="D24" s="306"/>
      <c r="E24" s="14">
        <v>34</v>
      </c>
      <c r="F24" s="14">
        <v>104.68</v>
      </c>
      <c r="G24" s="8">
        <f t="shared" si="0"/>
        <v>3559.1200000000003</v>
      </c>
      <c r="H24" s="62">
        <v>5</v>
      </c>
      <c r="I24" s="63">
        <v>116.96</v>
      </c>
      <c r="J24" s="8">
        <f t="shared" si="2"/>
        <v>584.79999999999995</v>
      </c>
      <c r="K24" s="8">
        <f t="shared" si="3"/>
        <v>4143.92</v>
      </c>
      <c r="L24" s="65"/>
      <c r="M24" s="65">
        <f t="shared" si="1"/>
        <v>74499.997920000038</v>
      </c>
      <c r="N24" s="185"/>
    </row>
    <row r="25" spans="1:14">
      <c r="A25" s="188">
        <v>22</v>
      </c>
      <c r="B25" s="310">
        <v>46287</v>
      </c>
      <c r="C25" s="64"/>
      <c r="D25" s="306"/>
      <c r="E25" s="14">
        <v>79</v>
      </c>
      <c r="F25" s="14">
        <v>104.68</v>
      </c>
      <c r="G25" s="8">
        <f t="shared" si="0"/>
        <v>8269.7200000000012</v>
      </c>
      <c r="H25" s="62">
        <v>5</v>
      </c>
      <c r="I25" s="63">
        <v>116.96</v>
      </c>
      <c r="J25" s="8">
        <f t="shared" si="2"/>
        <v>584.79999999999995</v>
      </c>
      <c r="K25" s="8">
        <f t="shared" si="3"/>
        <v>8854.52</v>
      </c>
      <c r="L25" s="65"/>
      <c r="M25" s="65">
        <f t="shared" si="1"/>
        <v>83354.517920000042</v>
      </c>
      <c r="N25" s="185"/>
    </row>
    <row r="26" spans="1:14">
      <c r="A26" s="188">
        <v>23</v>
      </c>
      <c r="B26" s="310">
        <v>46288</v>
      </c>
      <c r="C26" s="64"/>
      <c r="D26" s="306"/>
      <c r="E26" s="14">
        <v>49</v>
      </c>
      <c r="F26" s="14">
        <v>104.68</v>
      </c>
      <c r="G26" s="8">
        <f t="shared" si="0"/>
        <v>5129.3200000000006</v>
      </c>
      <c r="H26" s="62">
        <v>5</v>
      </c>
      <c r="I26" s="63">
        <v>116.96</v>
      </c>
      <c r="J26" s="8">
        <f t="shared" si="2"/>
        <v>584.79999999999995</v>
      </c>
      <c r="K26" s="8">
        <f t="shared" si="3"/>
        <v>5714.1200000000008</v>
      </c>
      <c r="L26" s="65"/>
      <c r="M26" s="65">
        <f t="shared" si="1"/>
        <v>89068.637920000037</v>
      </c>
      <c r="N26" s="185"/>
    </row>
    <row r="27" spans="1:14">
      <c r="A27" s="43">
        <v>24</v>
      </c>
      <c r="B27" s="310">
        <v>46289</v>
      </c>
      <c r="C27" s="64"/>
      <c r="D27" s="306"/>
      <c r="E27" s="14"/>
      <c r="F27" s="14"/>
      <c r="G27" s="8">
        <f t="shared" si="0"/>
        <v>0</v>
      </c>
      <c r="H27" s="62">
        <v>5</v>
      </c>
      <c r="I27" s="63">
        <v>116.96</v>
      </c>
      <c r="J27" s="8">
        <f t="shared" si="2"/>
        <v>584.79999999999995</v>
      </c>
      <c r="K27" s="8">
        <f t="shared" si="3"/>
        <v>584.79999999999995</v>
      </c>
      <c r="L27" s="65"/>
      <c r="M27" s="65">
        <f t="shared" si="1"/>
        <v>89653.43792000004</v>
      </c>
      <c r="N27" s="185"/>
    </row>
    <row r="28" spans="1:14">
      <c r="A28" s="188">
        <v>25</v>
      </c>
      <c r="B28" s="310">
        <v>46290</v>
      </c>
      <c r="C28" s="64"/>
      <c r="D28" s="306"/>
      <c r="E28" s="14"/>
      <c r="F28" s="14"/>
      <c r="G28" s="8">
        <f t="shared" si="0"/>
        <v>0</v>
      </c>
      <c r="H28" s="62">
        <v>5</v>
      </c>
      <c r="I28" s="63">
        <v>116.96</v>
      </c>
      <c r="J28" s="8">
        <f t="shared" si="2"/>
        <v>584.79999999999995</v>
      </c>
      <c r="K28" s="8">
        <f t="shared" si="3"/>
        <v>584.79999999999995</v>
      </c>
      <c r="L28" s="65"/>
      <c r="M28" s="65">
        <f t="shared" si="1"/>
        <v>90238.237920000043</v>
      </c>
      <c r="N28" s="185"/>
    </row>
    <row r="29" spans="1:14">
      <c r="A29" s="188">
        <v>26</v>
      </c>
      <c r="B29" s="310">
        <v>46291</v>
      </c>
      <c r="C29" s="64"/>
      <c r="D29" s="306"/>
      <c r="E29" s="14">
        <v>40</v>
      </c>
      <c r="F29" s="14">
        <v>104.68</v>
      </c>
      <c r="G29" s="8">
        <f t="shared" si="0"/>
        <v>4187.2000000000007</v>
      </c>
      <c r="H29" s="62"/>
      <c r="I29" s="63"/>
      <c r="J29" s="8">
        <f t="shared" si="2"/>
        <v>0</v>
      </c>
      <c r="K29" s="8">
        <f t="shared" si="3"/>
        <v>4187.2000000000007</v>
      </c>
      <c r="L29" s="65"/>
      <c r="M29" s="65">
        <f t="shared" si="1"/>
        <v>94425.43792000004</v>
      </c>
      <c r="N29" s="185"/>
    </row>
    <row r="30" spans="1:14">
      <c r="A30" s="43">
        <v>27</v>
      </c>
      <c r="B30" s="310">
        <v>46292</v>
      </c>
      <c r="C30" s="64"/>
      <c r="D30" s="306"/>
      <c r="E30" s="14"/>
      <c r="F30" s="14"/>
      <c r="G30" s="8">
        <f t="shared" si="0"/>
        <v>0</v>
      </c>
      <c r="H30" s="62"/>
      <c r="I30" s="63"/>
      <c r="J30" s="8">
        <f t="shared" si="2"/>
        <v>0</v>
      </c>
      <c r="K30" s="8">
        <f t="shared" si="3"/>
        <v>0</v>
      </c>
      <c r="L30" s="65"/>
      <c r="M30" s="65">
        <f t="shared" si="1"/>
        <v>94425.43792000004</v>
      </c>
      <c r="N30" s="185"/>
    </row>
    <row r="31" spans="1:14">
      <c r="A31" s="188">
        <v>28</v>
      </c>
      <c r="B31" s="310">
        <v>46293</v>
      </c>
      <c r="C31" s="64"/>
      <c r="D31" s="152"/>
      <c r="E31" s="14">
        <v>100</v>
      </c>
      <c r="F31" s="14">
        <v>104.68</v>
      </c>
      <c r="G31" s="16">
        <f t="shared" si="0"/>
        <v>10468</v>
      </c>
      <c r="H31" s="62">
        <v>55</v>
      </c>
      <c r="I31" s="63">
        <v>116.96</v>
      </c>
      <c r="J31" s="16">
        <f t="shared" si="2"/>
        <v>6432.7999999999993</v>
      </c>
      <c r="K31" s="16">
        <f t="shared" si="3"/>
        <v>16900.8</v>
      </c>
      <c r="L31" s="126"/>
      <c r="M31" s="65">
        <f t="shared" si="1"/>
        <v>111326.23792000004</v>
      </c>
      <c r="N31" s="8"/>
    </row>
    <row r="32" spans="1:14">
      <c r="A32" s="188">
        <v>29</v>
      </c>
      <c r="B32" s="310">
        <v>46294</v>
      </c>
      <c r="C32" s="64"/>
      <c r="D32" s="152"/>
      <c r="E32" s="14"/>
      <c r="F32" s="14"/>
      <c r="G32" s="8">
        <f t="shared" si="0"/>
        <v>0</v>
      </c>
      <c r="H32" s="62">
        <v>35</v>
      </c>
      <c r="I32" s="63">
        <v>116.96</v>
      </c>
      <c r="J32" s="8">
        <f t="shared" si="2"/>
        <v>4093.6</v>
      </c>
      <c r="K32" s="8">
        <f t="shared" si="3"/>
        <v>4093.6</v>
      </c>
      <c r="L32" s="65"/>
      <c r="M32" s="65">
        <f t="shared" si="1"/>
        <v>115419.83792000005</v>
      </c>
      <c r="N32" s="8"/>
    </row>
    <row r="33" spans="1:14">
      <c r="A33" s="43">
        <v>30</v>
      </c>
      <c r="B33" s="310">
        <v>46295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2"/>
        <v>0</v>
      </c>
      <c r="K33" s="8">
        <f t="shared" si="3"/>
        <v>0</v>
      </c>
      <c r="L33" s="65"/>
      <c r="M33" s="65">
        <f t="shared" si="1"/>
        <v>115419.83792000005</v>
      </c>
      <c r="N33" s="8"/>
    </row>
    <row r="34" spans="1:14">
      <c r="A34" s="188">
        <v>31</v>
      </c>
      <c r="B34" s="310"/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2"/>
        <v>0</v>
      </c>
      <c r="K34" s="8">
        <f t="shared" si="3"/>
        <v>0</v>
      </c>
      <c r="L34" s="65"/>
      <c r="M34" s="65">
        <f t="shared" si="1"/>
        <v>115419.83792000005</v>
      </c>
      <c r="N34" s="8"/>
    </row>
    <row r="35" spans="1:14">
      <c r="A35" s="188">
        <v>32</v>
      </c>
      <c r="B35" s="211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2"/>
        <v>0</v>
      </c>
      <c r="K35" s="8">
        <f t="shared" si="3"/>
        <v>0</v>
      </c>
      <c r="L35" s="65"/>
      <c r="M35" s="65">
        <f t="shared" si="1"/>
        <v>115419.83792000005</v>
      </c>
      <c r="N35" s="8"/>
    </row>
    <row r="36" spans="1:14">
      <c r="A36" s="43">
        <v>33</v>
      </c>
      <c r="B36" s="211"/>
      <c r="C36" s="64"/>
      <c r="D36" s="152"/>
      <c r="E36" s="248"/>
      <c r="F36" s="14"/>
      <c r="G36" s="8">
        <f t="shared" si="0"/>
        <v>0</v>
      </c>
      <c r="H36" s="62"/>
      <c r="I36" s="63"/>
      <c r="J36" s="8">
        <f t="shared" si="2"/>
        <v>0</v>
      </c>
      <c r="K36" s="8">
        <f t="shared" si="3"/>
        <v>0</v>
      </c>
      <c r="L36" s="65"/>
      <c r="M36" s="65">
        <f t="shared" si="1"/>
        <v>115419.83792000005</v>
      </c>
      <c r="N36" s="8"/>
    </row>
    <row r="37" spans="1:14">
      <c r="A37" s="59"/>
      <c r="B37" s="59"/>
      <c r="C37" s="59"/>
      <c r="D37" s="59"/>
      <c r="E37" s="249">
        <f>SUM(E4:E36)</f>
        <v>1621.364</v>
      </c>
      <c r="F37" s="249"/>
      <c r="G37" s="60">
        <f>SUM(G4:G36)</f>
        <v>169724.38352</v>
      </c>
      <c r="H37" s="60">
        <f>SUM(H4:H36)</f>
        <v>245.02</v>
      </c>
      <c r="I37" s="60"/>
      <c r="J37" s="60">
        <f>SUM(J4:J36)</f>
        <v>28657.539199999992</v>
      </c>
      <c r="K37" s="60">
        <f>SUM(K4:K36)</f>
        <v>198381.92271999997</v>
      </c>
      <c r="L37" s="60">
        <f>SUM(L4:L36)</f>
        <v>100000</v>
      </c>
      <c r="M37" s="60"/>
      <c r="N37" s="60"/>
    </row>
  </sheetData>
  <mergeCells count="2">
    <mergeCell ref="A1:N1"/>
    <mergeCell ref="A3:L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C8F1-971A-4EB0-AA96-56FBEA110413}">
  <sheetPr>
    <tabColor rgb="FFFFC000"/>
  </sheetPr>
  <dimension ref="A1:N35"/>
  <sheetViews>
    <sheetView topLeftCell="A19" workbookViewId="0">
      <selection activeCell="J40" sqref="J40"/>
    </sheetView>
  </sheetViews>
  <sheetFormatPr defaultRowHeight="15"/>
  <cols>
    <col min="7" max="7" width="13.42578125" customWidth="1"/>
    <col min="11" max="11" width="18.42578125" customWidth="1"/>
    <col min="13" max="13" width="10.42578125" bestFit="1" customWidth="1"/>
  </cols>
  <sheetData>
    <row r="1" spans="1:14" ht="15.75">
      <c r="A1" s="602" t="s">
        <v>88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4" ht="27">
      <c r="A2" s="84" t="s">
        <v>0</v>
      </c>
      <c r="B2" s="85" t="s">
        <v>168</v>
      </c>
      <c r="C2" s="85" t="s">
        <v>169</v>
      </c>
      <c r="D2" s="85" t="s">
        <v>170</v>
      </c>
      <c r="E2" s="85" t="s">
        <v>171</v>
      </c>
      <c r="F2" s="85" t="s">
        <v>172</v>
      </c>
      <c r="G2" s="85" t="s">
        <v>173</v>
      </c>
      <c r="H2" s="85" t="s">
        <v>174</v>
      </c>
      <c r="I2" s="85" t="s">
        <v>172</v>
      </c>
      <c r="J2" s="108" t="s">
        <v>173</v>
      </c>
      <c r="K2" s="110" t="s">
        <v>175</v>
      </c>
      <c r="L2" s="111" t="s">
        <v>176</v>
      </c>
      <c r="M2" s="112" t="s">
        <v>185</v>
      </c>
      <c r="N2" s="86" t="s">
        <v>178</v>
      </c>
    </row>
    <row r="3" spans="1:14">
      <c r="A3" s="591" t="s">
        <v>179</v>
      </c>
      <c r="B3" s="592"/>
      <c r="C3" s="597"/>
      <c r="D3" s="597"/>
      <c r="E3" s="597"/>
      <c r="F3" s="597"/>
      <c r="G3" s="597"/>
      <c r="H3" s="597"/>
      <c r="I3" s="597"/>
      <c r="J3" s="600"/>
      <c r="K3" s="192"/>
      <c r="L3" s="195"/>
      <c r="M3" s="192"/>
      <c r="N3" s="195"/>
    </row>
    <row r="4" spans="1:14">
      <c r="A4" s="23">
        <v>1</v>
      </c>
      <c r="B4" s="24">
        <v>45901</v>
      </c>
      <c r="C4" s="103"/>
      <c r="D4" s="103"/>
      <c r="E4" s="33"/>
      <c r="F4" s="33"/>
      <c r="G4" s="33">
        <f>E4*F4</f>
        <v>0</v>
      </c>
      <c r="H4" s="191"/>
      <c r="I4" s="191"/>
      <c r="J4" s="33">
        <f>H4*I4</f>
        <v>0</v>
      </c>
      <c r="K4" s="33">
        <f>G4+J4</f>
        <v>0</v>
      </c>
      <c r="L4" s="195"/>
      <c r="M4" s="192">
        <f>M3+K4-L4</f>
        <v>0</v>
      </c>
      <c r="N4" s="33"/>
    </row>
    <row r="5" spans="1:14">
      <c r="A5" s="23">
        <v>2</v>
      </c>
      <c r="B5" s="24">
        <v>45902</v>
      </c>
      <c r="C5" s="103"/>
      <c r="D5" s="103"/>
      <c r="E5" s="33"/>
      <c r="F5" s="33"/>
      <c r="G5" s="33">
        <f t="shared" ref="G5:G34" si="0">E5*F5</f>
        <v>0</v>
      </c>
      <c r="H5" s="191"/>
      <c r="I5" s="191"/>
      <c r="J5" s="33">
        <f t="shared" ref="J5:J34" si="1">H5*I5</f>
        <v>0</v>
      </c>
      <c r="K5" s="33">
        <f t="shared" ref="K5:K34" si="2">G5+J5</f>
        <v>0</v>
      </c>
      <c r="L5" s="195"/>
      <c r="M5" s="192">
        <f>M4+K5-L5</f>
        <v>0</v>
      </c>
      <c r="N5" s="33"/>
    </row>
    <row r="6" spans="1:14">
      <c r="A6" s="23">
        <v>3</v>
      </c>
      <c r="B6" s="24">
        <v>45903</v>
      </c>
      <c r="C6" s="103"/>
      <c r="D6" s="103"/>
      <c r="E6" s="33"/>
      <c r="F6" s="33"/>
      <c r="G6" s="33">
        <f t="shared" si="0"/>
        <v>0</v>
      </c>
      <c r="H6" s="191"/>
      <c r="I6" s="191"/>
      <c r="J6" s="33">
        <f t="shared" si="1"/>
        <v>0</v>
      </c>
      <c r="K6" s="33">
        <f t="shared" si="2"/>
        <v>0</v>
      </c>
      <c r="L6" s="195"/>
      <c r="M6" s="192">
        <f>M5+K6-L6</f>
        <v>0</v>
      </c>
      <c r="N6" s="33"/>
    </row>
    <row r="7" spans="1:14">
      <c r="A7" s="23">
        <v>4</v>
      </c>
      <c r="B7" s="24">
        <v>45904</v>
      </c>
      <c r="C7" s="103"/>
      <c r="D7" s="103"/>
      <c r="E7" s="33"/>
      <c r="F7" s="33"/>
      <c r="G7" s="33">
        <f t="shared" si="0"/>
        <v>0</v>
      </c>
      <c r="H7" s="191"/>
      <c r="I7" s="191"/>
      <c r="J7" s="33">
        <f t="shared" si="1"/>
        <v>0</v>
      </c>
      <c r="K7" s="33">
        <f t="shared" si="2"/>
        <v>0</v>
      </c>
      <c r="L7" s="195"/>
      <c r="M7" s="192">
        <f>M6+K7-L7</f>
        <v>0</v>
      </c>
      <c r="N7" s="33"/>
    </row>
    <row r="8" spans="1:14">
      <c r="A8" s="23">
        <v>5</v>
      </c>
      <c r="B8" s="24">
        <v>45905</v>
      </c>
      <c r="C8" s="103"/>
      <c r="D8" s="103"/>
      <c r="E8" s="33"/>
      <c r="F8" s="33"/>
      <c r="G8" s="33">
        <f t="shared" si="0"/>
        <v>0</v>
      </c>
      <c r="H8" s="191"/>
      <c r="I8" s="191"/>
      <c r="J8" s="33">
        <f t="shared" si="1"/>
        <v>0</v>
      </c>
      <c r="K8" s="33">
        <f t="shared" si="2"/>
        <v>0</v>
      </c>
      <c r="L8" s="195"/>
      <c r="M8" s="192">
        <f>M7+K8-L8</f>
        <v>0</v>
      </c>
      <c r="N8" s="33"/>
    </row>
    <row r="9" spans="1:14">
      <c r="A9" s="23">
        <v>6</v>
      </c>
      <c r="B9" s="24">
        <v>45906</v>
      </c>
      <c r="C9" s="103"/>
      <c r="D9" s="103"/>
      <c r="E9" s="33"/>
      <c r="F9" s="33"/>
      <c r="G9" s="33">
        <f t="shared" si="0"/>
        <v>0</v>
      </c>
      <c r="H9" s="191"/>
      <c r="I9" s="191"/>
      <c r="J9" s="33">
        <f t="shared" si="1"/>
        <v>0</v>
      </c>
      <c r="K9" s="33">
        <f t="shared" si="2"/>
        <v>0</v>
      </c>
      <c r="L9" s="195"/>
      <c r="M9" s="192">
        <f t="shared" ref="M9:M33" si="3">M8+K9-L9</f>
        <v>0</v>
      </c>
      <c r="N9" s="33"/>
    </row>
    <row r="10" spans="1:14">
      <c r="A10" s="23">
        <v>7</v>
      </c>
      <c r="B10" s="24">
        <v>45907</v>
      </c>
      <c r="C10" s="103"/>
      <c r="D10" s="103"/>
      <c r="E10" s="33"/>
      <c r="F10" s="33"/>
      <c r="G10" s="33">
        <f t="shared" si="0"/>
        <v>0</v>
      </c>
      <c r="H10" s="191"/>
      <c r="I10" s="191"/>
      <c r="J10" s="33">
        <f t="shared" si="1"/>
        <v>0</v>
      </c>
      <c r="K10" s="33">
        <f t="shared" si="2"/>
        <v>0</v>
      </c>
      <c r="L10" s="195"/>
      <c r="M10" s="192">
        <f t="shared" si="3"/>
        <v>0</v>
      </c>
      <c r="N10" s="33"/>
    </row>
    <row r="11" spans="1:14">
      <c r="A11" s="23">
        <v>8</v>
      </c>
      <c r="B11" s="24">
        <v>45908</v>
      </c>
      <c r="C11" s="103"/>
      <c r="D11" s="103"/>
      <c r="E11" s="33"/>
      <c r="F11" s="33"/>
      <c r="G11" s="33">
        <f t="shared" si="0"/>
        <v>0</v>
      </c>
      <c r="H11" s="191"/>
      <c r="I11" s="191"/>
      <c r="J11" s="33">
        <f t="shared" si="1"/>
        <v>0</v>
      </c>
      <c r="K11" s="33">
        <f t="shared" si="2"/>
        <v>0</v>
      </c>
      <c r="L11" s="195"/>
      <c r="M11" s="192">
        <f t="shared" si="3"/>
        <v>0</v>
      </c>
      <c r="N11" s="33"/>
    </row>
    <row r="12" spans="1:14">
      <c r="A12" s="23">
        <v>9</v>
      </c>
      <c r="B12" s="24">
        <v>45909</v>
      </c>
      <c r="C12" s="103"/>
      <c r="D12" s="103"/>
      <c r="E12" s="33"/>
      <c r="F12" s="33"/>
      <c r="G12" s="33">
        <f t="shared" si="0"/>
        <v>0</v>
      </c>
      <c r="H12" s="191"/>
      <c r="I12" s="191"/>
      <c r="J12" s="33">
        <f t="shared" si="1"/>
        <v>0</v>
      </c>
      <c r="K12" s="33">
        <f t="shared" si="2"/>
        <v>0</v>
      </c>
      <c r="L12" s="195"/>
      <c r="M12" s="192">
        <f t="shared" si="3"/>
        <v>0</v>
      </c>
      <c r="N12" s="33"/>
    </row>
    <row r="13" spans="1:14">
      <c r="A13" s="23">
        <v>10</v>
      </c>
      <c r="B13" s="24">
        <v>45910</v>
      </c>
      <c r="C13" s="103"/>
      <c r="D13" s="103"/>
      <c r="E13" s="33"/>
      <c r="F13" s="33"/>
      <c r="G13" s="33">
        <f t="shared" si="0"/>
        <v>0</v>
      </c>
      <c r="H13" s="191"/>
      <c r="I13" s="191"/>
      <c r="J13" s="33">
        <f t="shared" si="1"/>
        <v>0</v>
      </c>
      <c r="K13" s="33">
        <f t="shared" si="2"/>
        <v>0</v>
      </c>
      <c r="L13" s="195"/>
      <c r="M13" s="192">
        <f t="shared" si="3"/>
        <v>0</v>
      </c>
      <c r="N13" s="33"/>
    </row>
    <row r="14" spans="1:14">
      <c r="A14" s="23">
        <v>11</v>
      </c>
      <c r="B14" s="24">
        <v>45911</v>
      </c>
      <c r="C14" s="103"/>
      <c r="D14" s="103"/>
      <c r="E14" s="33"/>
      <c r="F14" s="33"/>
      <c r="G14" s="33">
        <f t="shared" si="0"/>
        <v>0</v>
      </c>
      <c r="H14" s="191"/>
      <c r="I14" s="191"/>
      <c r="J14" s="33">
        <f t="shared" si="1"/>
        <v>0</v>
      </c>
      <c r="K14" s="33">
        <f t="shared" si="2"/>
        <v>0</v>
      </c>
      <c r="L14" s="195"/>
      <c r="M14" s="192">
        <f t="shared" si="3"/>
        <v>0</v>
      </c>
      <c r="N14" s="33"/>
    </row>
    <row r="15" spans="1:14">
      <c r="A15" s="23">
        <v>12</v>
      </c>
      <c r="B15" s="24">
        <v>45912</v>
      </c>
      <c r="C15" s="103"/>
      <c r="D15" s="103"/>
      <c r="E15" s="33"/>
      <c r="F15" s="33"/>
      <c r="G15" s="33">
        <f t="shared" si="0"/>
        <v>0</v>
      </c>
      <c r="H15" s="191"/>
      <c r="I15" s="191"/>
      <c r="J15" s="33">
        <f t="shared" si="1"/>
        <v>0</v>
      </c>
      <c r="K15" s="33">
        <f t="shared" si="2"/>
        <v>0</v>
      </c>
      <c r="L15" s="195"/>
      <c r="M15" s="192">
        <f t="shared" si="3"/>
        <v>0</v>
      </c>
      <c r="N15" s="33"/>
    </row>
    <row r="16" spans="1:14">
      <c r="A16" s="23">
        <v>13</v>
      </c>
      <c r="B16" s="24">
        <v>45913</v>
      </c>
      <c r="C16" s="103"/>
      <c r="D16" s="103"/>
      <c r="E16" s="33"/>
      <c r="F16" s="33"/>
      <c r="G16" s="33">
        <f t="shared" si="0"/>
        <v>0</v>
      </c>
      <c r="H16" s="191"/>
      <c r="I16" s="191"/>
      <c r="J16" s="33">
        <f t="shared" si="1"/>
        <v>0</v>
      </c>
      <c r="K16" s="33">
        <f t="shared" si="2"/>
        <v>0</v>
      </c>
      <c r="L16" s="195"/>
      <c r="M16" s="192">
        <f t="shared" si="3"/>
        <v>0</v>
      </c>
      <c r="N16" s="33"/>
    </row>
    <row r="17" spans="1:14">
      <c r="A17" s="23">
        <v>14</v>
      </c>
      <c r="B17" s="24">
        <v>45914</v>
      </c>
      <c r="C17" s="103"/>
      <c r="D17" s="103"/>
      <c r="E17" s="33"/>
      <c r="F17" s="33"/>
      <c r="G17" s="33">
        <f t="shared" si="0"/>
        <v>0</v>
      </c>
      <c r="H17" s="191"/>
      <c r="I17" s="191"/>
      <c r="J17" s="33">
        <f t="shared" si="1"/>
        <v>0</v>
      </c>
      <c r="K17" s="33">
        <f t="shared" si="2"/>
        <v>0</v>
      </c>
      <c r="L17" s="195"/>
      <c r="M17" s="192">
        <f t="shared" si="3"/>
        <v>0</v>
      </c>
      <c r="N17" s="33"/>
    </row>
    <row r="18" spans="1:14">
      <c r="A18" s="23">
        <v>15</v>
      </c>
      <c r="B18" s="24">
        <v>45915</v>
      </c>
      <c r="C18" s="103"/>
      <c r="D18" s="103"/>
      <c r="E18" s="33"/>
      <c r="F18" s="33"/>
      <c r="G18" s="33">
        <f t="shared" si="0"/>
        <v>0</v>
      </c>
      <c r="H18" s="191"/>
      <c r="I18" s="191"/>
      <c r="J18" s="33">
        <f t="shared" si="1"/>
        <v>0</v>
      </c>
      <c r="K18" s="33">
        <f t="shared" si="2"/>
        <v>0</v>
      </c>
      <c r="L18" s="195"/>
      <c r="M18" s="192">
        <f t="shared" si="3"/>
        <v>0</v>
      </c>
      <c r="N18" s="33"/>
    </row>
    <row r="19" spans="1:14">
      <c r="A19" s="23">
        <v>16</v>
      </c>
      <c r="B19" s="24">
        <v>45916</v>
      </c>
      <c r="C19" s="103"/>
      <c r="D19" s="103"/>
      <c r="E19" s="33"/>
      <c r="F19" s="33"/>
      <c r="G19" s="33">
        <f t="shared" si="0"/>
        <v>0</v>
      </c>
      <c r="H19" s="191"/>
      <c r="I19" s="191"/>
      <c r="J19" s="33">
        <f t="shared" si="1"/>
        <v>0</v>
      </c>
      <c r="K19" s="33">
        <f t="shared" si="2"/>
        <v>0</v>
      </c>
      <c r="L19" s="195"/>
      <c r="M19" s="192">
        <f t="shared" si="3"/>
        <v>0</v>
      </c>
      <c r="N19" s="33"/>
    </row>
    <row r="20" spans="1:14">
      <c r="A20" s="23">
        <v>17</v>
      </c>
      <c r="B20" s="24">
        <v>45917</v>
      </c>
      <c r="C20" s="103"/>
      <c r="D20" s="103"/>
      <c r="E20" s="33"/>
      <c r="F20" s="33"/>
      <c r="G20" s="33">
        <f t="shared" si="0"/>
        <v>0</v>
      </c>
      <c r="H20" s="191"/>
      <c r="I20" s="191"/>
      <c r="J20" s="33">
        <f t="shared" si="1"/>
        <v>0</v>
      </c>
      <c r="K20" s="33">
        <f t="shared" si="2"/>
        <v>0</v>
      </c>
      <c r="L20" s="195"/>
      <c r="M20" s="192">
        <f t="shared" si="3"/>
        <v>0</v>
      </c>
      <c r="N20" s="33"/>
    </row>
    <row r="21" spans="1:14">
      <c r="A21" s="23">
        <v>18</v>
      </c>
      <c r="B21" s="24">
        <v>45918</v>
      </c>
      <c r="C21" s="103"/>
      <c r="D21" s="103"/>
      <c r="E21" s="33"/>
      <c r="F21" s="33"/>
      <c r="G21" s="33">
        <f t="shared" si="0"/>
        <v>0</v>
      </c>
      <c r="H21" s="191"/>
      <c r="I21" s="191"/>
      <c r="J21" s="33">
        <f t="shared" si="1"/>
        <v>0</v>
      </c>
      <c r="K21" s="33">
        <f t="shared" si="2"/>
        <v>0</v>
      </c>
      <c r="L21" s="195"/>
      <c r="M21" s="192">
        <f t="shared" si="3"/>
        <v>0</v>
      </c>
      <c r="N21" s="33"/>
    </row>
    <row r="22" spans="1:14">
      <c r="A22" s="23">
        <v>19</v>
      </c>
      <c r="B22" s="24">
        <v>45919</v>
      </c>
      <c r="C22" s="103"/>
      <c r="D22" s="103"/>
      <c r="E22" s="33"/>
      <c r="F22" s="33"/>
      <c r="G22" s="33"/>
      <c r="H22" s="191">
        <v>0</v>
      </c>
      <c r="I22" s="191">
        <v>0</v>
      </c>
      <c r="J22" s="33">
        <f t="shared" si="1"/>
        <v>0</v>
      </c>
      <c r="K22" s="33">
        <f t="shared" si="2"/>
        <v>0</v>
      </c>
      <c r="L22" s="195"/>
      <c r="M22" s="192">
        <f t="shared" si="3"/>
        <v>0</v>
      </c>
      <c r="N22" s="33"/>
    </row>
    <row r="23" spans="1:14">
      <c r="A23" s="23">
        <v>20</v>
      </c>
      <c r="B23" s="24">
        <v>45920</v>
      </c>
      <c r="C23" s="103"/>
      <c r="D23" s="103"/>
      <c r="E23" s="33"/>
      <c r="F23" s="33"/>
      <c r="G23" s="33"/>
      <c r="H23" s="191">
        <v>0</v>
      </c>
      <c r="I23" s="191">
        <v>0</v>
      </c>
      <c r="J23" s="33">
        <f t="shared" si="1"/>
        <v>0</v>
      </c>
      <c r="K23" s="33">
        <f t="shared" si="2"/>
        <v>0</v>
      </c>
      <c r="L23" s="195"/>
      <c r="M23" s="192">
        <f t="shared" si="3"/>
        <v>0</v>
      </c>
      <c r="N23" s="33"/>
    </row>
    <row r="24" spans="1:14">
      <c r="A24" s="23">
        <v>21</v>
      </c>
      <c r="B24" s="24">
        <v>45921</v>
      </c>
      <c r="C24" s="103"/>
      <c r="D24" s="103"/>
      <c r="E24" s="33"/>
      <c r="F24" s="33"/>
      <c r="G24" s="33"/>
      <c r="H24" s="191"/>
      <c r="I24" s="191"/>
      <c r="J24" s="33">
        <f t="shared" si="1"/>
        <v>0</v>
      </c>
      <c r="K24" s="33">
        <f t="shared" si="2"/>
        <v>0</v>
      </c>
      <c r="L24" s="195"/>
      <c r="M24" s="192">
        <f t="shared" si="3"/>
        <v>0</v>
      </c>
      <c r="N24" s="33"/>
    </row>
    <row r="25" spans="1:14">
      <c r="A25" s="23">
        <v>22</v>
      </c>
      <c r="B25" s="24">
        <v>45922</v>
      </c>
      <c r="C25" s="103"/>
      <c r="D25" s="103"/>
      <c r="E25" s="33"/>
      <c r="F25" s="33"/>
      <c r="G25" s="33"/>
      <c r="H25" s="191"/>
      <c r="I25" s="191"/>
      <c r="J25" s="33">
        <f t="shared" si="1"/>
        <v>0</v>
      </c>
      <c r="K25" s="33">
        <f t="shared" si="2"/>
        <v>0</v>
      </c>
      <c r="L25" s="195"/>
      <c r="M25" s="192">
        <f t="shared" si="3"/>
        <v>0</v>
      </c>
      <c r="N25" s="33"/>
    </row>
    <row r="26" spans="1:14">
      <c r="A26" s="23">
        <v>23</v>
      </c>
      <c r="B26" s="24">
        <v>45923</v>
      </c>
      <c r="C26" s="103"/>
      <c r="D26" s="103"/>
      <c r="E26" s="33"/>
      <c r="F26" s="33"/>
      <c r="G26" s="33"/>
      <c r="H26" s="191"/>
      <c r="I26" s="191"/>
      <c r="J26" s="33">
        <f t="shared" si="1"/>
        <v>0</v>
      </c>
      <c r="K26" s="33">
        <f t="shared" si="2"/>
        <v>0</v>
      </c>
      <c r="L26" s="195"/>
      <c r="M26" s="192">
        <f t="shared" si="3"/>
        <v>0</v>
      </c>
      <c r="N26" s="33"/>
    </row>
    <row r="27" spans="1:14">
      <c r="A27" s="23">
        <v>24</v>
      </c>
      <c r="B27" s="24">
        <v>45924</v>
      </c>
      <c r="C27" s="103"/>
      <c r="D27" s="103"/>
      <c r="E27" s="33"/>
      <c r="F27" s="33"/>
      <c r="G27" s="33"/>
      <c r="H27" s="191"/>
      <c r="I27" s="191"/>
      <c r="J27" s="33">
        <f t="shared" si="1"/>
        <v>0</v>
      </c>
      <c r="K27" s="33">
        <f t="shared" si="2"/>
        <v>0</v>
      </c>
      <c r="L27" s="195"/>
      <c r="M27" s="192">
        <f t="shared" si="3"/>
        <v>0</v>
      </c>
      <c r="N27" s="33"/>
    </row>
    <row r="28" spans="1:14">
      <c r="A28" s="23">
        <v>25</v>
      </c>
      <c r="B28" s="24">
        <v>45925</v>
      </c>
      <c r="C28" s="103"/>
      <c r="D28" s="103"/>
      <c r="E28" s="33"/>
      <c r="F28" s="33"/>
      <c r="G28" s="33"/>
      <c r="H28" s="191"/>
      <c r="I28" s="191"/>
      <c r="J28" s="33">
        <f t="shared" si="1"/>
        <v>0</v>
      </c>
      <c r="K28" s="33">
        <f t="shared" si="2"/>
        <v>0</v>
      </c>
      <c r="L28" s="195"/>
      <c r="M28" s="192">
        <f>M27+K28-L28</f>
        <v>0</v>
      </c>
      <c r="N28" s="33"/>
    </row>
    <row r="29" spans="1:14">
      <c r="A29" s="23">
        <v>26</v>
      </c>
      <c r="B29" s="24">
        <v>45926</v>
      </c>
      <c r="C29" s="103"/>
      <c r="D29" s="103"/>
      <c r="E29" s="33"/>
      <c r="F29" s="33"/>
      <c r="G29" s="33"/>
      <c r="H29" s="191"/>
      <c r="I29" s="191"/>
      <c r="J29" s="33">
        <f t="shared" si="1"/>
        <v>0</v>
      </c>
      <c r="K29" s="33">
        <f t="shared" si="2"/>
        <v>0</v>
      </c>
      <c r="L29" s="195"/>
      <c r="M29" s="192">
        <f t="shared" si="3"/>
        <v>0</v>
      </c>
      <c r="N29" s="33"/>
    </row>
    <row r="30" spans="1:14">
      <c r="A30" s="23">
        <v>27</v>
      </c>
      <c r="B30" s="24">
        <v>45927</v>
      </c>
      <c r="C30" s="103"/>
      <c r="D30" s="103"/>
      <c r="E30" s="33"/>
      <c r="F30" s="33"/>
      <c r="G30" s="33"/>
      <c r="H30" s="191"/>
      <c r="I30" s="191"/>
      <c r="J30" s="33">
        <f t="shared" si="1"/>
        <v>0</v>
      </c>
      <c r="K30" s="33">
        <f t="shared" si="2"/>
        <v>0</v>
      </c>
      <c r="L30" s="195"/>
      <c r="M30" s="192">
        <f t="shared" si="3"/>
        <v>0</v>
      </c>
      <c r="N30" s="33"/>
    </row>
    <row r="31" spans="1:14">
      <c r="A31" s="23">
        <v>28</v>
      </c>
      <c r="B31" s="24">
        <v>45928</v>
      </c>
      <c r="C31" s="103"/>
      <c r="D31" s="103"/>
      <c r="E31" s="33"/>
      <c r="F31" s="33"/>
      <c r="G31" s="33"/>
      <c r="H31" s="191"/>
      <c r="I31" s="191"/>
      <c r="J31" s="33">
        <f t="shared" si="1"/>
        <v>0</v>
      </c>
      <c r="K31" s="33">
        <f t="shared" si="2"/>
        <v>0</v>
      </c>
      <c r="L31" s="195"/>
      <c r="M31" s="192">
        <f t="shared" si="3"/>
        <v>0</v>
      </c>
      <c r="N31" s="33"/>
    </row>
    <row r="32" spans="1:14">
      <c r="A32" s="23">
        <v>29</v>
      </c>
      <c r="B32" s="24">
        <v>45929</v>
      </c>
      <c r="C32" s="103"/>
      <c r="D32" s="103"/>
      <c r="E32" s="33">
        <v>44</v>
      </c>
      <c r="F32" s="33">
        <v>105.59</v>
      </c>
      <c r="G32" s="33">
        <f t="shared" ref="G32" si="4">E32*F32</f>
        <v>4645.96</v>
      </c>
      <c r="H32" s="191">
        <v>14</v>
      </c>
      <c r="I32" s="191">
        <v>117.98</v>
      </c>
      <c r="J32" s="33">
        <f t="shared" si="1"/>
        <v>1651.72</v>
      </c>
      <c r="K32" s="33">
        <f t="shared" si="2"/>
        <v>6297.68</v>
      </c>
      <c r="L32" s="195"/>
      <c r="M32" s="192">
        <f t="shared" si="3"/>
        <v>6297.68</v>
      </c>
      <c r="N32" s="208"/>
    </row>
    <row r="33" spans="1:14">
      <c r="A33" s="23">
        <v>30</v>
      </c>
      <c r="B33" s="24">
        <v>45930</v>
      </c>
      <c r="C33" s="103"/>
      <c r="D33" s="103"/>
      <c r="E33" s="33">
        <v>75</v>
      </c>
      <c r="F33" s="33">
        <v>105.59</v>
      </c>
      <c r="G33" s="33">
        <f t="shared" si="0"/>
        <v>7919.25</v>
      </c>
      <c r="H33" s="191">
        <v>0</v>
      </c>
      <c r="I33" s="191">
        <v>0</v>
      </c>
      <c r="J33" s="33">
        <f t="shared" si="1"/>
        <v>0</v>
      </c>
      <c r="K33" s="33">
        <f t="shared" si="2"/>
        <v>7919.25</v>
      </c>
      <c r="L33" s="195"/>
      <c r="M33" s="192">
        <f t="shared" si="3"/>
        <v>14216.93</v>
      </c>
      <c r="N33" s="208"/>
    </row>
    <row r="34" spans="1:14">
      <c r="A34" s="23">
        <v>31</v>
      </c>
      <c r="B34" s="24"/>
      <c r="C34" s="103"/>
      <c r="D34" s="103"/>
      <c r="E34" s="33"/>
      <c r="F34" s="33">
        <v>0</v>
      </c>
      <c r="G34" s="33">
        <f t="shared" si="0"/>
        <v>0</v>
      </c>
      <c r="H34" s="191"/>
      <c r="I34" s="191"/>
      <c r="J34" s="33">
        <f t="shared" si="1"/>
        <v>0</v>
      </c>
      <c r="K34" s="33">
        <f t="shared" si="2"/>
        <v>0</v>
      </c>
      <c r="L34" s="195"/>
      <c r="M34" s="208"/>
      <c r="N34" s="208"/>
    </row>
    <row r="35" spans="1:14">
      <c r="A35" s="39"/>
      <c r="B35" s="39"/>
      <c r="C35" s="196"/>
      <c r="D35" s="196"/>
      <c r="E35" s="197">
        <f>SUM(E4:E34)</f>
        <v>119</v>
      </c>
      <c r="F35" s="197"/>
      <c r="G35" s="197">
        <f>SUM(G4:G34)</f>
        <v>12565.21</v>
      </c>
      <c r="H35" s="197">
        <f>SUM(H4:H34)</f>
        <v>14</v>
      </c>
      <c r="I35" s="197"/>
      <c r="J35" s="197">
        <f>SUM(J4:J34)</f>
        <v>1651.72</v>
      </c>
      <c r="K35" s="197">
        <f>SUM(K4:K34)</f>
        <v>14216.93</v>
      </c>
      <c r="L35" s="197">
        <f>SUM(L4:L31)</f>
        <v>0</v>
      </c>
      <c r="M35" s="197"/>
      <c r="N35" s="197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6"/>
  <sheetViews>
    <sheetView workbookViewId="0">
      <pane ySplit="3" topLeftCell="A4" activePane="bottomLeft" state="frozen"/>
      <selection pane="bottomLeft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590" t="s">
        <v>167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8" ht="30.75">
      <c r="A2" s="95" t="s">
        <v>0</v>
      </c>
      <c r="B2" s="96" t="s">
        <v>168</v>
      </c>
      <c r="C2" s="96" t="s">
        <v>169</v>
      </c>
      <c r="D2" s="96" t="s">
        <v>184</v>
      </c>
      <c r="E2" s="247" t="s">
        <v>171</v>
      </c>
      <c r="F2" s="247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8">
      <c r="A3" s="591" t="s">
        <v>179</v>
      </c>
      <c r="B3" s="592"/>
      <c r="C3" s="597"/>
      <c r="D3" s="597"/>
      <c r="E3" s="592"/>
      <c r="F3" s="592"/>
      <c r="G3" s="592"/>
      <c r="H3" s="592"/>
      <c r="I3" s="592"/>
      <c r="J3" s="592"/>
      <c r="K3" s="592"/>
      <c r="L3" s="593"/>
      <c r="M3" s="143">
        <v>0</v>
      </c>
      <c r="N3" s="149"/>
      <c r="O3" s="56"/>
    </row>
    <row r="4" spans="1:18">
      <c r="A4" s="188">
        <v>1</v>
      </c>
      <c r="B4" s="211">
        <v>46266</v>
      </c>
      <c r="C4" s="64"/>
      <c r="D4" s="152"/>
      <c r="E4" s="534"/>
      <c r="F4" s="248"/>
      <c r="G4" s="8">
        <f t="shared" ref="G4:G36" si="0">E4*F4</f>
        <v>0</v>
      </c>
      <c r="H4" s="62"/>
      <c r="I4" s="63"/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8">
      <c r="A5" s="188"/>
      <c r="B5" s="211">
        <v>46267</v>
      </c>
      <c r="C5" s="64"/>
      <c r="D5" s="152"/>
      <c r="E5" s="534"/>
      <c r="F5" s="248"/>
      <c r="G5" s="8"/>
      <c r="H5" s="62"/>
      <c r="I5" s="63"/>
      <c r="J5" s="8">
        <f>H5*I5</f>
        <v>0</v>
      </c>
      <c r="K5" s="8">
        <f>G5+J5</f>
        <v>0</v>
      </c>
      <c r="L5" s="65">
        <f>+K5</f>
        <v>0</v>
      </c>
      <c r="M5" s="65"/>
      <c r="N5" s="175"/>
    </row>
    <row r="6" spans="1:18">
      <c r="A6" s="43">
        <v>2</v>
      </c>
      <c r="B6" s="211">
        <v>46268</v>
      </c>
      <c r="C6" s="64"/>
      <c r="D6" s="14"/>
      <c r="E6" s="534"/>
      <c r="F6" s="248"/>
      <c r="G6" s="8">
        <f t="shared" si="0"/>
        <v>0</v>
      </c>
      <c r="H6" s="62"/>
      <c r="I6" s="63"/>
      <c r="J6" s="8">
        <f t="shared" ref="J6:J36" si="1">H6*I6</f>
        <v>0</v>
      </c>
      <c r="K6" s="8">
        <f t="shared" ref="K6:K36" si="2">G6+J6</f>
        <v>0</v>
      </c>
      <c r="L6" s="65">
        <f t="shared" ref="L6:L36" si="3">+K6</f>
        <v>0</v>
      </c>
      <c r="M6" s="65">
        <v>0</v>
      </c>
      <c r="N6" s="175"/>
    </row>
    <row r="7" spans="1:18">
      <c r="A7" s="43">
        <v>3</v>
      </c>
      <c r="B7" s="211">
        <v>46269</v>
      </c>
      <c r="C7" s="64"/>
      <c r="D7" s="152"/>
      <c r="E7" s="534"/>
      <c r="F7" s="248"/>
      <c r="G7" s="8">
        <f t="shared" si="0"/>
        <v>0</v>
      </c>
      <c r="H7" s="62"/>
      <c r="I7" s="63"/>
      <c r="J7" s="8">
        <f t="shared" si="1"/>
        <v>0</v>
      </c>
      <c r="K7" s="8">
        <f t="shared" si="2"/>
        <v>0</v>
      </c>
      <c r="L7" s="65">
        <f t="shared" si="3"/>
        <v>0</v>
      </c>
      <c r="M7" s="357">
        <v>0</v>
      </c>
      <c r="N7" s="14"/>
    </row>
    <row r="8" spans="1:18">
      <c r="A8" s="43">
        <v>4</v>
      </c>
      <c r="B8" s="211">
        <v>46270</v>
      </c>
      <c r="C8" s="64"/>
      <c r="D8" s="152"/>
      <c r="E8" s="534"/>
      <c r="F8" s="248"/>
      <c r="G8" s="8">
        <f t="shared" si="0"/>
        <v>0</v>
      </c>
      <c r="H8" s="62"/>
      <c r="I8" s="63"/>
      <c r="J8" s="8">
        <f t="shared" si="1"/>
        <v>0</v>
      </c>
      <c r="K8" s="8">
        <f t="shared" si="2"/>
        <v>0</v>
      </c>
      <c r="L8" s="65">
        <f t="shared" si="3"/>
        <v>0</v>
      </c>
      <c r="M8" s="357">
        <v>0</v>
      </c>
      <c r="N8" s="8"/>
    </row>
    <row r="9" spans="1:18">
      <c r="A9" s="43">
        <v>5</v>
      </c>
      <c r="B9" s="211">
        <v>46271</v>
      </c>
      <c r="C9" s="124"/>
      <c r="D9" s="125"/>
      <c r="E9" s="248"/>
      <c r="F9" s="248"/>
      <c r="G9" s="8">
        <f t="shared" si="0"/>
        <v>0</v>
      </c>
      <c r="H9" s="62"/>
      <c r="I9" s="63"/>
      <c r="J9" s="8">
        <f t="shared" si="1"/>
        <v>0</v>
      </c>
      <c r="K9" s="8">
        <f t="shared" si="2"/>
        <v>0</v>
      </c>
      <c r="L9" s="65">
        <f t="shared" si="3"/>
        <v>0</v>
      </c>
      <c r="M9" s="357">
        <v>0</v>
      </c>
      <c r="N9" s="8"/>
      <c r="O9" s="66"/>
      <c r="R9" s="217"/>
    </row>
    <row r="10" spans="1:18">
      <c r="A10" s="43">
        <v>6</v>
      </c>
      <c r="B10" s="211">
        <v>46272</v>
      </c>
      <c r="C10" s="64"/>
      <c r="D10" s="152"/>
      <c r="E10" s="248"/>
      <c r="F10" s="248"/>
      <c r="G10" s="8">
        <f t="shared" si="0"/>
        <v>0</v>
      </c>
      <c r="H10" s="62"/>
      <c r="I10" s="63"/>
      <c r="J10" s="8">
        <f t="shared" si="1"/>
        <v>0</v>
      </c>
      <c r="K10" s="8">
        <f t="shared" si="2"/>
        <v>0</v>
      </c>
      <c r="L10" s="65">
        <f t="shared" si="3"/>
        <v>0</v>
      </c>
      <c r="M10" s="65">
        <v>0</v>
      </c>
      <c r="N10" s="16"/>
      <c r="O10" s="66"/>
    </row>
    <row r="11" spans="1:18">
      <c r="A11" s="43">
        <v>7</v>
      </c>
      <c r="B11" s="211">
        <v>46273</v>
      </c>
      <c r="C11" s="64"/>
      <c r="D11" s="152"/>
      <c r="E11" s="248"/>
      <c r="F11" s="248"/>
      <c r="G11" s="8">
        <f t="shared" si="0"/>
        <v>0</v>
      </c>
      <c r="H11" s="62"/>
      <c r="I11" s="63"/>
      <c r="J11" s="8">
        <f t="shared" si="1"/>
        <v>0</v>
      </c>
      <c r="K11" s="8">
        <f t="shared" si="2"/>
        <v>0</v>
      </c>
      <c r="L11" s="65">
        <f t="shared" si="3"/>
        <v>0</v>
      </c>
      <c r="M11" s="65">
        <v>0</v>
      </c>
      <c r="N11" s="8"/>
      <c r="O11" s="66"/>
    </row>
    <row r="12" spans="1:18">
      <c r="A12" s="43">
        <v>8</v>
      </c>
      <c r="B12" s="211">
        <v>46274</v>
      </c>
      <c r="C12" s="64"/>
      <c r="D12" s="152"/>
      <c r="E12" s="248"/>
      <c r="F12" s="248"/>
      <c r="G12" s="8">
        <f t="shared" si="0"/>
        <v>0</v>
      </c>
      <c r="H12" s="62"/>
      <c r="I12" s="63"/>
      <c r="J12" s="8">
        <f t="shared" si="1"/>
        <v>0</v>
      </c>
      <c r="K12" s="8">
        <f t="shared" si="2"/>
        <v>0</v>
      </c>
      <c r="L12" s="65">
        <f t="shared" si="3"/>
        <v>0</v>
      </c>
      <c r="M12" s="65">
        <v>0</v>
      </c>
      <c r="N12" s="8"/>
      <c r="O12" s="66"/>
    </row>
    <row r="13" spans="1:18">
      <c r="A13" s="43">
        <v>9</v>
      </c>
      <c r="B13" s="211">
        <v>46275</v>
      </c>
      <c r="C13" s="64"/>
      <c r="D13" s="152"/>
      <c r="E13" s="248"/>
      <c r="F13" s="248"/>
      <c r="G13" s="8">
        <f t="shared" si="0"/>
        <v>0</v>
      </c>
      <c r="H13" s="62"/>
      <c r="I13" s="63"/>
      <c r="J13" s="8">
        <f t="shared" si="1"/>
        <v>0</v>
      </c>
      <c r="K13" s="8">
        <f t="shared" si="2"/>
        <v>0</v>
      </c>
      <c r="L13" s="65">
        <f t="shared" si="3"/>
        <v>0</v>
      </c>
      <c r="M13" s="65">
        <v>0</v>
      </c>
      <c r="N13" s="8"/>
      <c r="O13" s="66"/>
    </row>
    <row r="14" spans="1:18">
      <c r="A14" s="43">
        <v>10</v>
      </c>
      <c r="B14" s="211">
        <v>46276</v>
      </c>
      <c r="C14" s="64"/>
      <c r="D14" s="152"/>
      <c r="E14" s="248"/>
      <c r="F14" s="248"/>
      <c r="G14" s="8">
        <f t="shared" si="0"/>
        <v>0</v>
      </c>
      <c r="H14" s="62"/>
      <c r="I14" s="63"/>
      <c r="J14" s="8">
        <f t="shared" si="1"/>
        <v>0</v>
      </c>
      <c r="K14" s="8">
        <f t="shared" si="2"/>
        <v>0</v>
      </c>
      <c r="L14" s="65">
        <f t="shared" si="3"/>
        <v>0</v>
      </c>
      <c r="M14" s="65">
        <v>0</v>
      </c>
      <c r="N14" s="8"/>
      <c r="O14" s="66"/>
    </row>
    <row r="15" spans="1:18">
      <c r="A15" s="43">
        <v>11</v>
      </c>
      <c r="B15" s="211">
        <v>46277</v>
      </c>
      <c r="C15" s="64"/>
      <c r="D15" s="152"/>
      <c r="E15" s="248"/>
      <c r="F15" s="248"/>
      <c r="G15" s="8">
        <f t="shared" si="0"/>
        <v>0</v>
      </c>
      <c r="H15" s="62"/>
      <c r="I15" s="63"/>
      <c r="J15" s="8">
        <f t="shared" si="1"/>
        <v>0</v>
      </c>
      <c r="K15" s="8">
        <f>G15+J15</f>
        <v>0</v>
      </c>
      <c r="L15" s="65">
        <f>+K15</f>
        <v>0</v>
      </c>
      <c r="M15" s="65">
        <v>0</v>
      </c>
      <c r="N15" s="8"/>
      <c r="O15" s="66"/>
    </row>
    <row r="16" spans="1:18">
      <c r="A16" s="43">
        <v>12</v>
      </c>
      <c r="B16" s="211">
        <v>46278</v>
      </c>
      <c r="C16" s="64"/>
      <c r="D16" s="152"/>
      <c r="E16" s="248"/>
      <c r="F16" s="248"/>
      <c r="G16" s="8">
        <f t="shared" si="0"/>
        <v>0</v>
      </c>
      <c r="H16" s="62"/>
      <c r="I16" s="63"/>
      <c r="J16" s="8">
        <f t="shared" si="1"/>
        <v>0</v>
      </c>
      <c r="K16" s="8">
        <f t="shared" si="2"/>
        <v>0</v>
      </c>
      <c r="L16" s="65">
        <f t="shared" si="3"/>
        <v>0</v>
      </c>
      <c r="M16" s="65">
        <v>0</v>
      </c>
      <c r="N16" s="8"/>
      <c r="O16" s="66"/>
    </row>
    <row r="17" spans="1:15">
      <c r="A17" s="43">
        <v>13</v>
      </c>
      <c r="B17" s="211">
        <v>46279</v>
      </c>
      <c r="C17" s="64"/>
      <c r="D17" s="152"/>
      <c r="E17" s="248"/>
      <c r="F17" s="248"/>
      <c r="G17" s="8">
        <f t="shared" si="0"/>
        <v>0</v>
      </c>
      <c r="H17" s="62"/>
      <c r="I17" s="63"/>
      <c r="J17" s="8">
        <f t="shared" si="1"/>
        <v>0</v>
      </c>
      <c r="K17" s="8">
        <f t="shared" si="2"/>
        <v>0</v>
      </c>
      <c r="L17" s="65">
        <f t="shared" si="3"/>
        <v>0</v>
      </c>
      <c r="M17" s="65">
        <v>0</v>
      </c>
      <c r="N17" s="8"/>
      <c r="O17" s="66"/>
    </row>
    <row r="18" spans="1:15">
      <c r="A18" s="43">
        <v>14</v>
      </c>
      <c r="B18" s="211">
        <v>46280</v>
      </c>
      <c r="C18" s="64"/>
      <c r="D18" s="152"/>
      <c r="E18" s="248"/>
      <c r="F18" s="248"/>
      <c r="G18" s="8">
        <f t="shared" si="0"/>
        <v>0</v>
      </c>
      <c r="H18" s="62"/>
      <c r="I18" s="63"/>
      <c r="J18" s="8">
        <f t="shared" si="1"/>
        <v>0</v>
      </c>
      <c r="K18" s="8">
        <f t="shared" si="2"/>
        <v>0</v>
      </c>
      <c r="L18" s="65">
        <f t="shared" si="3"/>
        <v>0</v>
      </c>
      <c r="M18" s="65">
        <v>0</v>
      </c>
      <c r="N18" s="8"/>
      <c r="O18" s="66"/>
    </row>
    <row r="19" spans="1:15">
      <c r="A19" s="43">
        <v>15</v>
      </c>
      <c r="B19" s="211">
        <v>46281</v>
      </c>
      <c r="C19" s="64"/>
      <c r="D19" s="152"/>
      <c r="E19" s="307"/>
      <c r="F19" s="307"/>
      <c r="G19" s="175">
        <f t="shared" si="0"/>
        <v>0</v>
      </c>
      <c r="H19" s="62"/>
      <c r="I19" s="63"/>
      <c r="J19" s="175">
        <f t="shared" si="1"/>
        <v>0</v>
      </c>
      <c r="K19" s="175">
        <f t="shared" si="2"/>
        <v>0</v>
      </c>
      <c r="L19" s="308">
        <f t="shared" si="3"/>
        <v>0</v>
      </c>
      <c r="M19" s="308">
        <v>0</v>
      </c>
      <c r="N19" s="8"/>
      <c r="O19" s="66"/>
    </row>
    <row r="20" spans="1:15">
      <c r="A20" s="43">
        <v>16</v>
      </c>
      <c r="B20" s="211">
        <v>46282</v>
      </c>
      <c r="C20" s="64"/>
      <c r="D20" s="306"/>
      <c r="E20" s="248"/>
      <c r="F20" s="248"/>
      <c r="G20" s="8">
        <f t="shared" si="0"/>
        <v>0</v>
      </c>
      <c r="H20" s="62"/>
      <c r="I20" s="63"/>
      <c r="J20" s="8">
        <f t="shared" si="1"/>
        <v>0</v>
      </c>
      <c r="K20" s="8">
        <f t="shared" si="2"/>
        <v>0</v>
      </c>
      <c r="L20" s="65">
        <f>+K20</f>
        <v>0</v>
      </c>
      <c r="M20" s="65">
        <v>0</v>
      </c>
      <c r="N20" s="185"/>
      <c r="O20" s="66"/>
    </row>
    <row r="21" spans="1:15">
      <c r="A21" s="43">
        <v>17</v>
      </c>
      <c r="B21" s="211">
        <v>46283</v>
      </c>
      <c r="C21" s="64"/>
      <c r="D21" s="306"/>
      <c r="E21" s="248"/>
      <c r="F21" s="248"/>
      <c r="G21" s="8">
        <f t="shared" si="0"/>
        <v>0</v>
      </c>
      <c r="H21" s="62"/>
      <c r="I21" s="63"/>
      <c r="J21" s="8">
        <f t="shared" si="1"/>
        <v>0</v>
      </c>
      <c r="K21" s="8">
        <f t="shared" si="2"/>
        <v>0</v>
      </c>
      <c r="L21" s="65">
        <f t="shared" si="3"/>
        <v>0</v>
      </c>
      <c r="M21" s="65">
        <v>0</v>
      </c>
      <c r="N21" s="185"/>
      <c r="O21" s="66"/>
    </row>
    <row r="22" spans="1:15">
      <c r="A22" s="43">
        <v>18</v>
      </c>
      <c r="B22" s="211">
        <v>46284</v>
      </c>
      <c r="C22" s="64"/>
      <c r="D22" s="306"/>
      <c r="E22" s="14"/>
      <c r="F22" s="14"/>
      <c r="G22" s="8">
        <f t="shared" si="0"/>
        <v>0</v>
      </c>
      <c r="H22" s="62"/>
      <c r="I22" s="63"/>
      <c r="J22" s="8">
        <f t="shared" si="1"/>
        <v>0</v>
      </c>
      <c r="K22" s="8">
        <f t="shared" si="2"/>
        <v>0</v>
      </c>
      <c r="L22" s="65">
        <f t="shared" si="3"/>
        <v>0</v>
      </c>
      <c r="M22" s="65">
        <v>0</v>
      </c>
      <c r="N22" s="185"/>
      <c r="O22" s="66"/>
    </row>
    <row r="23" spans="1:15">
      <c r="A23" s="43">
        <v>19</v>
      </c>
      <c r="B23" s="211">
        <v>46285</v>
      </c>
      <c r="C23" s="64"/>
      <c r="D23" s="306"/>
      <c r="E23" s="14"/>
      <c r="F23" s="14"/>
      <c r="G23" s="8">
        <f t="shared" si="0"/>
        <v>0</v>
      </c>
      <c r="H23" s="62"/>
      <c r="I23" s="63"/>
      <c r="J23" s="8">
        <f t="shared" si="1"/>
        <v>0</v>
      </c>
      <c r="K23" s="8">
        <f t="shared" si="2"/>
        <v>0</v>
      </c>
      <c r="L23" s="65">
        <f t="shared" si="3"/>
        <v>0</v>
      </c>
      <c r="M23" s="65">
        <v>0</v>
      </c>
      <c r="N23" s="185"/>
      <c r="O23" s="66"/>
    </row>
    <row r="24" spans="1:15">
      <c r="A24" s="43">
        <v>20</v>
      </c>
      <c r="B24" s="211">
        <v>46286</v>
      </c>
      <c r="C24" s="64"/>
      <c r="D24" s="306"/>
      <c r="E24" s="14"/>
      <c r="F24" s="14"/>
      <c r="G24" s="8">
        <f t="shared" si="0"/>
        <v>0</v>
      </c>
      <c r="H24" s="62"/>
      <c r="I24" s="63"/>
      <c r="J24" s="8">
        <f t="shared" si="1"/>
        <v>0</v>
      </c>
      <c r="K24" s="8">
        <f t="shared" si="2"/>
        <v>0</v>
      </c>
      <c r="L24" s="65">
        <f t="shared" si="3"/>
        <v>0</v>
      </c>
      <c r="M24" s="65">
        <v>0</v>
      </c>
      <c r="N24" s="185"/>
      <c r="O24" s="66"/>
    </row>
    <row r="25" spans="1:15">
      <c r="A25" s="43">
        <v>21</v>
      </c>
      <c r="B25" s="211">
        <v>46287</v>
      </c>
      <c r="C25" s="64"/>
      <c r="D25" s="306"/>
      <c r="E25" s="14"/>
      <c r="F25" s="14"/>
      <c r="G25" s="8">
        <f t="shared" si="0"/>
        <v>0</v>
      </c>
      <c r="H25" s="62"/>
      <c r="I25" s="63"/>
      <c r="J25" s="8">
        <f t="shared" si="1"/>
        <v>0</v>
      </c>
      <c r="K25" s="8">
        <f t="shared" si="2"/>
        <v>0</v>
      </c>
      <c r="L25" s="65">
        <f t="shared" si="3"/>
        <v>0</v>
      </c>
      <c r="M25" s="65">
        <v>0</v>
      </c>
      <c r="N25" s="185"/>
      <c r="O25" s="66"/>
    </row>
    <row r="26" spans="1:15">
      <c r="A26" s="43">
        <v>22</v>
      </c>
      <c r="B26" s="211">
        <v>46288</v>
      </c>
      <c r="C26" s="64"/>
      <c r="D26" s="306"/>
      <c r="E26" s="14"/>
      <c r="F26" s="14"/>
      <c r="G26" s="8">
        <f t="shared" si="0"/>
        <v>0</v>
      </c>
      <c r="H26" s="62"/>
      <c r="I26" s="63"/>
      <c r="J26" s="8">
        <f t="shared" si="1"/>
        <v>0</v>
      </c>
      <c r="K26" s="8">
        <f t="shared" si="2"/>
        <v>0</v>
      </c>
      <c r="L26" s="65">
        <f t="shared" si="3"/>
        <v>0</v>
      </c>
      <c r="M26" s="65">
        <v>0</v>
      </c>
      <c r="N26" s="185"/>
      <c r="O26" s="66"/>
    </row>
    <row r="27" spans="1:15">
      <c r="A27" s="43">
        <v>23</v>
      </c>
      <c r="B27" s="211">
        <v>46289</v>
      </c>
      <c r="C27" s="64"/>
      <c r="D27" s="306"/>
      <c r="E27" s="14"/>
      <c r="F27" s="14"/>
      <c r="G27" s="8">
        <f t="shared" si="0"/>
        <v>0</v>
      </c>
      <c r="H27" s="62"/>
      <c r="I27" s="63"/>
      <c r="J27" s="8">
        <f t="shared" si="1"/>
        <v>0</v>
      </c>
      <c r="K27" s="8">
        <f t="shared" si="2"/>
        <v>0</v>
      </c>
      <c r="L27" s="65">
        <f t="shared" si="3"/>
        <v>0</v>
      </c>
      <c r="M27" s="65">
        <v>0</v>
      </c>
      <c r="N27" s="185"/>
      <c r="O27" s="66"/>
    </row>
    <row r="28" spans="1:15">
      <c r="A28" s="43">
        <v>24</v>
      </c>
      <c r="B28" s="211">
        <v>46290</v>
      </c>
      <c r="C28" s="64"/>
      <c r="D28" s="306"/>
      <c r="E28" s="14"/>
      <c r="F28" s="14"/>
      <c r="G28" s="8">
        <f t="shared" si="0"/>
        <v>0</v>
      </c>
      <c r="H28" s="62"/>
      <c r="I28" s="63"/>
      <c r="J28" s="8">
        <f t="shared" si="1"/>
        <v>0</v>
      </c>
      <c r="K28" s="8">
        <f t="shared" si="2"/>
        <v>0</v>
      </c>
      <c r="L28" s="65">
        <f t="shared" si="3"/>
        <v>0</v>
      </c>
      <c r="M28" s="65">
        <v>0</v>
      </c>
      <c r="N28" s="185"/>
      <c r="O28" s="66"/>
    </row>
    <row r="29" spans="1:15">
      <c r="A29" s="213">
        <v>25</v>
      </c>
      <c r="B29" s="211">
        <v>46291</v>
      </c>
      <c r="C29" s="64"/>
      <c r="D29" s="306"/>
      <c r="E29" s="14"/>
      <c r="F29" s="14"/>
      <c r="G29" s="8">
        <f t="shared" si="0"/>
        <v>0</v>
      </c>
      <c r="H29" s="62"/>
      <c r="I29" s="63"/>
      <c r="J29" s="8">
        <f t="shared" si="1"/>
        <v>0</v>
      </c>
      <c r="K29" s="8">
        <f t="shared" si="2"/>
        <v>0</v>
      </c>
      <c r="L29" s="65">
        <f t="shared" si="3"/>
        <v>0</v>
      </c>
      <c r="M29" s="65">
        <v>0</v>
      </c>
      <c r="N29" s="185"/>
      <c r="O29" s="66"/>
    </row>
    <row r="30" spans="1:15">
      <c r="A30" s="213"/>
      <c r="B30" s="211">
        <v>46292</v>
      </c>
      <c r="C30" s="64"/>
      <c r="D30" s="306"/>
      <c r="E30" s="14"/>
      <c r="F30" s="14"/>
      <c r="G30" s="16"/>
      <c r="H30" s="62"/>
      <c r="I30" s="63"/>
      <c r="J30" s="8">
        <f t="shared" si="1"/>
        <v>0</v>
      </c>
      <c r="K30" s="8">
        <f t="shared" si="2"/>
        <v>0</v>
      </c>
      <c r="L30" s="65">
        <f t="shared" si="3"/>
        <v>0</v>
      </c>
      <c r="M30" s="126"/>
      <c r="N30" s="185"/>
      <c r="O30" s="66"/>
    </row>
    <row r="31" spans="1:15">
      <c r="A31" s="213">
        <v>26</v>
      </c>
      <c r="B31" s="211">
        <v>46293</v>
      </c>
      <c r="C31" s="64"/>
      <c r="D31" s="152"/>
      <c r="E31" s="14"/>
      <c r="F31" s="14"/>
      <c r="G31" s="16">
        <f t="shared" si="0"/>
        <v>0</v>
      </c>
      <c r="H31" s="62"/>
      <c r="I31" s="63"/>
      <c r="J31" s="16">
        <f t="shared" si="1"/>
        <v>0</v>
      </c>
      <c r="K31" s="16">
        <f t="shared" si="2"/>
        <v>0</v>
      </c>
      <c r="L31" s="126">
        <f t="shared" si="3"/>
        <v>0</v>
      </c>
      <c r="M31" s="126">
        <v>0</v>
      </c>
      <c r="N31" s="8"/>
      <c r="O31" s="66"/>
    </row>
    <row r="32" spans="1:15">
      <c r="A32" s="213">
        <v>27</v>
      </c>
      <c r="B32" s="211">
        <v>46294</v>
      </c>
      <c r="C32" s="64"/>
      <c r="D32" s="152"/>
      <c r="E32" s="14"/>
      <c r="F32" s="14"/>
      <c r="G32" s="8">
        <f t="shared" si="0"/>
        <v>0</v>
      </c>
      <c r="H32" s="62"/>
      <c r="I32" s="63"/>
      <c r="J32" s="8">
        <f t="shared" si="1"/>
        <v>0</v>
      </c>
      <c r="K32" s="8">
        <f t="shared" si="2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3">
        <v>28</v>
      </c>
      <c r="B33" s="211">
        <v>46295</v>
      </c>
      <c r="C33" s="64"/>
      <c r="D33" s="152"/>
      <c r="E33" s="152"/>
      <c r="F33" s="14"/>
      <c r="G33" s="8">
        <f t="shared" si="0"/>
        <v>0</v>
      </c>
      <c r="H33" s="62"/>
      <c r="I33" s="63"/>
      <c r="J33" s="8">
        <f t="shared" si="1"/>
        <v>0</v>
      </c>
      <c r="K33" s="8">
        <f t="shared" si="2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4">
        <v>29</v>
      </c>
      <c r="B34" s="211"/>
      <c r="C34" s="64"/>
      <c r="D34" s="152"/>
      <c r="E34" s="14"/>
      <c r="F34" s="14"/>
      <c r="G34" s="8">
        <f t="shared" si="0"/>
        <v>0</v>
      </c>
      <c r="H34" s="62"/>
      <c r="I34" s="63"/>
      <c r="J34" s="8">
        <f t="shared" si="1"/>
        <v>0</v>
      </c>
      <c r="K34" s="8">
        <f t="shared" si="2"/>
        <v>0</v>
      </c>
      <c r="L34" s="65">
        <f t="shared" si="3"/>
        <v>0</v>
      </c>
      <c r="M34" s="65">
        <v>0</v>
      </c>
      <c r="N34" s="8"/>
      <c r="O34" s="66"/>
    </row>
    <row r="35" spans="1:15">
      <c r="A35" s="214">
        <v>30</v>
      </c>
      <c r="B35" s="211"/>
      <c r="C35" s="64"/>
      <c r="D35" s="152"/>
      <c r="E35" s="14"/>
      <c r="F35" s="14"/>
      <c r="G35" s="8">
        <f t="shared" si="0"/>
        <v>0</v>
      </c>
      <c r="H35" s="62"/>
      <c r="I35" s="63"/>
      <c r="J35" s="8">
        <f t="shared" si="1"/>
        <v>0</v>
      </c>
      <c r="K35" s="8">
        <f t="shared" si="2"/>
        <v>0</v>
      </c>
      <c r="L35" s="65">
        <f t="shared" si="3"/>
        <v>0</v>
      </c>
      <c r="M35" s="65">
        <v>0</v>
      </c>
      <c r="N35" s="8"/>
      <c r="O35" s="66"/>
    </row>
    <row r="36" spans="1:15">
      <c r="A36" s="214">
        <v>31</v>
      </c>
      <c r="B36" s="211"/>
      <c r="C36" s="64"/>
      <c r="D36" s="152"/>
      <c r="E36" s="248"/>
      <c r="F36" s="14"/>
      <c r="G36" s="8">
        <f t="shared" si="0"/>
        <v>0</v>
      </c>
      <c r="H36" s="62"/>
      <c r="I36" s="63"/>
      <c r="J36" s="8">
        <f t="shared" si="1"/>
        <v>0</v>
      </c>
      <c r="K36" s="8">
        <f t="shared" si="2"/>
        <v>0</v>
      </c>
      <c r="L36" s="65">
        <f t="shared" si="3"/>
        <v>0</v>
      </c>
      <c r="M36" s="65">
        <v>0</v>
      </c>
      <c r="N36" s="8"/>
      <c r="O36" s="66"/>
    </row>
    <row r="37" spans="1:15">
      <c r="A37" s="59"/>
      <c r="B37" s="59"/>
      <c r="C37" s="59"/>
      <c r="D37" s="59"/>
      <c r="E37" s="249">
        <f>SUM(E4:E36)</f>
        <v>0</v>
      </c>
      <c r="F37" s="249"/>
      <c r="G37" s="60">
        <f>SUM(G4:G36)</f>
        <v>0</v>
      </c>
      <c r="H37" s="60">
        <f>SUM(H4:H36)</f>
        <v>0</v>
      </c>
      <c r="I37" s="60"/>
      <c r="J37" s="60">
        <f>SUM(J4:J36)</f>
        <v>0</v>
      </c>
      <c r="K37" s="60">
        <f>SUM(K4:K36)</f>
        <v>0</v>
      </c>
      <c r="L37" s="60">
        <f>SUM(L4:L36)</f>
        <v>0</v>
      </c>
      <c r="M37" s="60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O43" s="66"/>
    </row>
    <row r="44" spans="1:15">
      <c r="A44" s="66"/>
      <c r="B44" s="56"/>
      <c r="C44" s="66"/>
      <c r="D44" s="66"/>
      <c r="E44" s="66"/>
      <c r="F44" s="66"/>
      <c r="G44" s="73"/>
      <c r="H44" s="66"/>
      <c r="I44" s="66"/>
      <c r="J44" s="56"/>
      <c r="K44" s="56"/>
      <c r="L44" s="56"/>
      <c r="M44" s="56"/>
      <c r="N44" s="66"/>
      <c r="O44" s="71"/>
    </row>
    <row r="45" spans="1:15">
      <c r="A45" s="66"/>
      <c r="B45" s="599"/>
      <c r="C45" s="599"/>
      <c r="D45" s="599"/>
      <c r="E45" s="599"/>
      <c r="F45" s="66"/>
      <c r="G45" s="66"/>
      <c r="H45" s="66"/>
      <c r="I45" s="599"/>
      <c r="J45" s="599"/>
      <c r="K45" s="599"/>
      <c r="L45" s="599"/>
      <c r="M45" s="599"/>
      <c r="N45" s="599"/>
      <c r="O45" s="71"/>
    </row>
    <row r="46" spans="1:15">
      <c r="A46" s="66"/>
      <c r="B46" s="56"/>
      <c r="C46" s="66"/>
      <c r="D46" s="66"/>
      <c r="E46" s="66"/>
      <c r="F46" s="66"/>
      <c r="G46" s="66"/>
      <c r="H46" s="66"/>
      <c r="I46" s="66"/>
      <c r="J46" s="56"/>
      <c r="K46" s="56"/>
      <c r="L46" s="56"/>
      <c r="M46" s="56"/>
      <c r="N46" s="66"/>
      <c r="O46" s="71"/>
    </row>
  </sheetData>
  <mergeCells count="4">
    <mergeCell ref="A1:N1"/>
    <mergeCell ref="A3:L3"/>
    <mergeCell ref="B45:E45"/>
    <mergeCell ref="I45:N4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3" topLeftCell="A31" activePane="bottomLeft" state="frozen"/>
      <selection pane="bottomLeft" sqref="A1:N35"/>
    </sheetView>
  </sheetViews>
  <sheetFormatPr defaultColWidth="12.28515625" defaultRowHeight="12.75"/>
  <cols>
    <col min="1" max="1" width="8.42578125" style="58" customWidth="1"/>
    <col min="2" max="3" width="12.28515625" style="58"/>
    <col min="4" max="4" width="13.5703125" style="58" customWidth="1"/>
    <col min="5" max="5" width="12.28515625" style="58"/>
    <col min="6" max="6" width="13.7109375" style="58" bestFit="1" customWidth="1"/>
    <col min="7" max="16384" width="12.28515625" style="58"/>
  </cols>
  <sheetData>
    <row r="1" spans="1:15" ht="15.75" customHeight="1">
      <c r="A1" s="602" t="s">
        <v>108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57"/>
    </row>
    <row r="2" spans="1:15" ht="15.75" customHeight="1">
      <c r="A2" s="84" t="s">
        <v>0</v>
      </c>
      <c r="B2" s="85" t="s">
        <v>168</v>
      </c>
      <c r="C2" s="85" t="s">
        <v>169</v>
      </c>
      <c r="D2" s="85" t="s">
        <v>170</v>
      </c>
      <c r="E2" s="85" t="s">
        <v>171</v>
      </c>
      <c r="F2" s="85" t="s">
        <v>172</v>
      </c>
      <c r="G2" s="85" t="s">
        <v>173</v>
      </c>
      <c r="H2" s="85" t="s">
        <v>174</v>
      </c>
      <c r="I2" s="85" t="s">
        <v>172</v>
      </c>
      <c r="J2" s="108" t="s">
        <v>173</v>
      </c>
      <c r="K2" s="110" t="s">
        <v>175</v>
      </c>
      <c r="L2" s="111" t="s">
        <v>176</v>
      </c>
      <c r="M2" s="112" t="s">
        <v>185</v>
      </c>
      <c r="N2" s="86" t="s">
        <v>178</v>
      </c>
      <c r="O2" s="30"/>
    </row>
    <row r="3" spans="1:15" ht="15.75" customHeight="1">
      <c r="A3" s="591" t="s">
        <v>179</v>
      </c>
      <c r="B3" s="592"/>
      <c r="C3" s="597"/>
      <c r="D3" s="597"/>
      <c r="E3" s="597"/>
      <c r="F3" s="597"/>
      <c r="G3" s="597"/>
      <c r="H3" s="597"/>
      <c r="I3" s="597"/>
      <c r="J3" s="600"/>
      <c r="K3" s="192"/>
      <c r="L3" s="195"/>
      <c r="M3" s="192"/>
      <c r="N3" s="195"/>
      <c r="O3" s="30"/>
    </row>
    <row r="4" spans="1:15" ht="15">
      <c r="A4" s="23">
        <v>1</v>
      </c>
      <c r="B4" s="24">
        <v>45901</v>
      </c>
      <c r="C4" s="103"/>
      <c r="D4" s="103"/>
      <c r="E4" s="33">
        <v>1600</v>
      </c>
      <c r="F4" s="33">
        <v>99.96</v>
      </c>
      <c r="G4" s="33">
        <f>E4*F4</f>
        <v>159936</v>
      </c>
      <c r="H4" s="191">
        <v>140</v>
      </c>
      <c r="I4" s="191">
        <v>112.3</v>
      </c>
      <c r="J4" s="33">
        <f>H4*I4</f>
        <v>15722</v>
      </c>
      <c r="K4" s="33">
        <f>G4+J4</f>
        <v>175658</v>
      </c>
      <c r="L4" s="195"/>
      <c r="M4" s="192">
        <f>M3+K4-L4</f>
        <v>175658</v>
      </c>
      <c r="N4" s="33"/>
      <c r="O4" s="25"/>
    </row>
    <row r="5" spans="1:15" ht="15">
      <c r="A5" s="23">
        <v>2</v>
      </c>
      <c r="B5" s="24">
        <v>45902</v>
      </c>
      <c r="C5" s="103"/>
      <c r="D5" s="103"/>
      <c r="E5" s="33"/>
      <c r="F5" s="33"/>
      <c r="G5" s="33">
        <f t="shared" ref="G5:G33" si="0">E5*F5</f>
        <v>0</v>
      </c>
      <c r="H5" s="191"/>
      <c r="I5" s="191"/>
      <c r="J5" s="33">
        <f t="shared" ref="J5:J33" si="1">H5*I5</f>
        <v>0</v>
      </c>
      <c r="K5" s="33">
        <f t="shared" ref="K5:K33" si="2">G5+J5</f>
        <v>0</v>
      </c>
      <c r="L5" s="195"/>
      <c r="M5" s="192">
        <f>M4+K5-L5</f>
        <v>175658</v>
      </c>
      <c r="N5" s="33"/>
      <c r="O5" s="25"/>
    </row>
    <row r="6" spans="1:15" ht="15">
      <c r="A6" s="23">
        <v>3</v>
      </c>
      <c r="B6" s="24">
        <v>45903</v>
      </c>
      <c r="C6" s="103"/>
      <c r="D6" s="103"/>
      <c r="E6" s="33"/>
      <c r="F6" s="33"/>
      <c r="G6" s="33">
        <f t="shared" si="0"/>
        <v>0</v>
      </c>
      <c r="H6" s="191"/>
      <c r="I6" s="191"/>
      <c r="J6" s="33">
        <f t="shared" si="1"/>
        <v>0</v>
      </c>
      <c r="K6" s="33">
        <f t="shared" si="2"/>
        <v>0</v>
      </c>
      <c r="L6" s="195"/>
      <c r="M6" s="192">
        <f>M5+K6-L6</f>
        <v>175658</v>
      </c>
      <c r="N6" s="33"/>
      <c r="O6" s="25"/>
    </row>
    <row r="7" spans="1:15" ht="15">
      <c r="A7" s="23">
        <v>4</v>
      </c>
      <c r="B7" s="24">
        <v>45904</v>
      </c>
      <c r="C7" s="103"/>
      <c r="D7" s="103"/>
      <c r="E7" s="33"/>
      <c r="F7" s="33"/>
      <c r="G7" s="33">
        <f t="shared" si="0"/>
        <v>0</v>
      </c>
      <c r="H7" s="191"/>
      <c r="I7" s="191"/>
      <c r="J7" s="33">
        <f t="shared" si="1"/>
        <v>0</v>
      </c>
      <c r="K7" s="33">
        <f t="shared" si="2"/>
        <v>0</v>
      </c>
      <c r="L7" s="195"/>
      <c r="M7" s="192">
        <f>M6+K7-L7</f>
        <v>175658</v>
      </c>
      <c r="N7" s="33"/>
      <c r="O7" s="25"/>
    </row>
    <row r="8" spans="1:15" ht="15">
      <c r="A8" s="23">
        <v>5</v>
      </c>
      <c r="B8" s="24">
        <v>45905</v>
      </c>
      <c r="C8" s="103"/>
      <c r="D8" s="103"/>
      <c r="E8" s="33"/>
      <c r="F8" s="33"/>
      <c r="G8" s="33">
        <f t="shared" si="0"/>
        <v>0</v>
      </c>
      <c r="H8" s="191"/>
      <c r="I8" s="191"/>
      <c r="J8" s="33">
        <f t="shared" si="1"/>
        <v>0</v>
      </c>
      <c r="K8" s="33">
        <f t="shared" si="2"/>
        <v>0</v>
      </c>
      <c r="L8" s="195"/>
      <c r="M8" s="192">
        <f>M7+K8-L8</f>
        <v>175658</v>
      </c>
      <c r="N8" s="33"/>
      <c r="O8" s="25"/>
    </row>
    <row r="9" spans="1:15" ht="15">
      <c r="A9" s="23">
        <v>6</v>
      </c>
      <c r="B9" s="24">
        <v>45906</v>
      </c>
      <c r="C9" s="103"/>
      <c r="D9" s="103"/>
      <c r="E9" s="33"/>
      <c r="F9" s="33"/>
      <c r="G9" s="33">
        <f t="shared" ref="G9:G18" si="3">E9*F9</f>
        <v>0</v>
      </c>
      <c r="H9" s="191"/>
      <c r="I9" s="191"/>
      <c r="J9" s="33">
        <f t="shared" si="1"/>
        <v>0</v>
      </c>
      <c r="K9" s="33">
        <f t="shared" si="2"/>
        <v>0</v>
      </c>
      <c r="L9" s="195"/>
      <c r="M9" s="192">
        <f t="shared" ref="M9:M33" si="4">M8+K9-L9</f>
        <v>175658</v>
      </c>
      <c r="N9" s="33"/>
      <c r="O9" s="25"/>
    </row>
    <row r="10" spans="1:15" ht="15">
      <c r="A10" s="23">
        <v>7</v>
      </c>
      <c r="B10" s="24">
        <v>45907</v>
      </c>
      <c r="C10" s="103"/>
      <c r="D10" s="103"/>
      <c r="E10" s="33"/>
      <c r="F10" s="33"/>
      <c r="G10" s="33">
        <f t="shared" si="3"/>
        <v>0</v>
      </c>
      <c r="H10" s="191"/>
      <c r="I10" s="191"/>
      <c r="J10" s="33">
        <f t="shared" ref="J10:J17" si="5">H10*I10</f>
        <v>0</v>
      </c>
      <c r="K10" s="33">
        <f t="shared" ref="K10:K17" si="6">G10+J10</f>
        <v>0</v>
      </c>
      <c r="L10" s="195"/>
      <c r="M10" s="192">
        <f t="shared" si="4"/>
        <v>175658</v>
      </c>
      <c r="N10" s="33"/>
      <c r="O10" s="25"/>
    </row>
    <row r="11" spans="1:15" ht="15">
      <c r="A11" s="23">
        <v>8</v>
      </c>
      <c r="B11" s="24">
        <v>45908</v>
      </c>
      <c r="C11" s="103"/>
      <c r="D11" s="103"/>
      <c r="E11" s="33"/>
      <c r="F11" s="33"/>
      <c r="G11" s="33">
        <f t="shared" si="3"/>
        <v>0</v>
      </c>
      <c r="H11" s="191"/>
      <c r="I11" s="191"/>
      <c r="J11" s="33">
        <f t="shared" si="5"/>
        <v>0</v>
      </c>
      <c r="K11" s="33">
        <f t="shared" si="6"/>
        <v>0</v>
      </c>
      <c r="L11" s="195"/>
      <c r="M11" s="192">
        <f t="shared" si="4"/>
        <v>175658</v>
      </c>
      <c r="N11" s="33"/>
      <c r="O11" s="25"/>
    </row>
    <row r="12" spans="1:15" ht="15">
      <c r="A12" s="23">
        <v>9</v>
      </c>
      <c r="B12" s="24">
        <v>45909</v>
      </c>
      <c r="C12" s="103"/>
      <c r="D12" s="103"/>
      <c r="E12" s="33"/>
      <c r="F12" s="33"/>
      <c r="G12" s="33">
        <f t="shared" si="3"/>
        <v>0</v>
      </c>
      <c r="H12" s="191"/>
      <c r="I12" s="191"/>
      <c r="J12" s="33">
        <f t="shared" si="5"/>
        <v>0</v>
      </c>
      <c r="K12" s="33">
        <f t="shared" si="6"/>
        <v>0</v>
      </c>
      <c r="L12" s="195"/>
      <c r="M12" s="192">
        <f t="shared" si="4"/>
        <v>175658</v>
      </c>
      <c r="N12" s="33"/>
      <c r="O12" s="25"/>
    </row>
    <row r="13" spans="1:15" ht="15">
      <c r="A13" s="23">
        <v>10</v>
      </c>
      <c r="B13" s="24">
        <v>45910</v>
      </c>
      <c r="C13" s="103"/>
      <c r="D13" s="103"/>
      <c r="E13" s="33"/>
      <c r="F13" s="33"/>
      <c r="G13" s="33">
        <f t="shared" si="3"/>
        <v>0</v>
      </c>
      <c r="H13" s="191"/>
      <c r="I13" s="191"/>
      <c r="J13" s="33">
        <f t="shared" si="5"/>
        <v>0</v>
      </c>
      <c r="K13" s="33">
        <f t="shared" si="6"/>
        <v>0</v>
      </c>
      <c r="L13" s="195"/>
      <c r="M13" s="192">
        <f t="shared" si="4"/>
        <v>175658</v>
      </c>
      <c r="N13" s="33"/>
      <c r="O13" s="25"/>
    </row>
    <row r="14" spans="1:15" ht="15">
      <c r="A14" s="23">
        <v>11</v>
      </c>
      <c r="B14" s="24">
        <v>45911</v>
      </c>
      <c r="C14" s="103"/>
      <c r="D14" s="103"/>
      <c r="E14" s="33"/>
      <c r="F14" s="33"/>
      <c r="G14" s="33">
        <f t="shared" si="3"/>
        <v>0</v>
      </c>
      <c r="H14" s="191"/>
      <c r="I14" s="191"/>
      <c r="J14" s="33">
        <f t="shared" si="5"/>
        <v>0</v>
      </c>
      <c r="K14" s="33">
        <f t="shared" si="6"/>
        <v>0</v>
      </c>
      <c r="L14" s="195"/>
      <c r="M14" s="192">
        <f t="shared" si="4"/>
        <v>175658</v>
      </c>
      <c r="N14" s="33"/>
      <c r="O14" s="25"/>
    </row>
    <row r="15" spans="1:15" ht="15">
      <c r="A15" s="23">
        <v>12</v>
      </c>
      <c r="B15" s="24">
        <v>45912</v>
      </c>
      <c r="C15" s="103"/>
      <c r="D15" s="103"/>
      <c r="E15" s="33"/>
      <c r="F15" s="33"/>
      <c r="G15" s="33">
        <f t="shared" si="3"/>
        <v>0</v>
      </c>
      <c r="H15" s="191"/>
      <c r="I15" s="191"/>
      <c r="J15" s="33">
        <f t="shared" si="5"/>
        <v>0</v>
      </c>
      <c r="K15" s="33">
        <f t="shared" si="6"/>
        <v>0</v>
      </c>
      <c r="L15" s="195"/>
      <c r="M15" s="192">
        <f t="shared" si="4"/>
        <v>175658</v>
      </c>
      <c r="N15" s="33"/>
      <c r="O15" s="25"/>
    </row>
    <row r="16" spans="1:15" ht="15">
      <c r="A16" s="23">
        <v>13</v>
      </c>
      <c r="B16" s="24">
        <v>45913</v>
      </c>
      <c r="C16" s="103"/>
      <c r="D16" s="103"/>
      <c r="E16" s="33"/>
      <c r="F16" s="33"/>
      <c r="G16" s="33">
        <f t="shared" si="3"/>
        <v>0</v>
      </c>
      <c r="H16" s="191"/>
      <c r="I16" s="191"/>
      <c r="J16" s="33">
        <f t="shared" si="5"/>
        <v>0</v>
      </c>
      <c r="K16" s="33">
        <f t="shared" si="6"/>
        <v>0</v>
      </c>
      <c r="L16" s="195"/>
      <c r="M16" s="192">
        <f t="shared" si="4"/>
        <v>175658</v>
      </c>
      <c r="N16" s="33"/>
      <c r="O16" s="25"/>
    </row>
    <row r="17" spans="1:15" ht="15">
      <c r="A17" s="23">
        <v>14</v>
      </c>
      <c r="B17" s="24">
        <v>45914</v>
      </c>
      <c r="C17" s="103"/>
      <c r="D17" s="103"/>
      <c r="E17" s="33"/>
      <c r="F17" s="33"/>
      <c r="G17" s="33">
        <f t="shared" si="3"/>
        <v>0</v>
      </c>
      <c r="H17" s="191"/>
      <c r="I17" s="191"/>
      <c r="J17" s="33">
        <f t="shared" si="5"/>
        <v>0</v>
      </c>
      <c r="K17" s="33">
        <f t="shared" si="6"/>
        <v>0</v>
      </c>
      <c r="L17" s="195"/>
      <c r="M17" s="192">
        <f t="shared" si="4"/>
        <v>175658</v>
      </c>
      <c r="N17" s="33"/>
      <c r="O17" s="25"/>
    </row>
    <row r="18" spans="1:15" ht="15">
      <c r="A18" s="23">
        <v>15</v>
      </c>
      <c r="B18" s="24">
        <v>45915</v>
      </c>
      <c r="C18" s="103"/>
      <c r="D18" s="103"/>
      <c r="E18" s="33"/>
      <c r="F18" s="33"/>
      <c r="G18" s="33">
        <f t="shared" si="3"/>
        <v>0</v>
      </c>
      <c r="H18" s="191"/>
      <c r="I18" s="191"/>
      <c r="J18" s="33">
        <f t="shared" si="1"/>
        <v>0</v>
      </c>
      <c r="K18" s="33">
        <f t="shared" si="2"/>
        <v>0</v>
      </c>
      <c r="L18" s="195"/>
      <c r="M18" s="192">
        <f t="shared" si="4"/>
        <v>175658</v>
      </c>
      <c r="N18" s="33"/>
      <c r="O18" s="25"/>
    </row>
    <row r="19" spans="1:15" ht="15">
      <c r="A19" s="23">
        <v>16</v>
      </c>
      <c r="B19" s="24">
        <v>45916</v>
      </c>
      <c r="C19" s="103"/>
      <c r="D19" s="103"/>
      <c r="E19" s="33"/>
      <c r="F19" s="33"/>
      <c r="G19" s="33">
        <f t="shared" si="0"/>
        <v>0</v>
      </c>
      <c r="H19" s="191"/>
      <c r="I19" s="191"/>
      <c r="J19" s="33">
        <f t="shared" si="1"/>
        <v>0</v>
      </c>
      <c r="K19" s="33">
        <f t="shared" si="2"/>
        <v>0</v>
      </c>
      <c r="L19" s="195"/>
      <c r="M19" s="192">
        <f t="shared" si="4"/>
        <v>175658</v>
      </c>
      <c r="N19" s="33"/>
      <c r="O19" s="25"/>
    </row>
    <row r="20" spans="1:15" ht="15">
      <c r="A20" s="23">
        <v>17</v>
      </c>
      <c r="B20" s="24">
        <v>45917</v>
      </c>
      <c r="C20" s="103"/>
      <c r="D20" s="103"/>
      <c r="E20" s="33"/>
      <c r="F20" s="33"/>
      <c r="G20" s="33">
        <f t="shared" si="0"/>
        <v>0</v>
      </c>
      <c r="H20" s="191"/>
      <c r="I20" s="191"/>
      <c r="J20" s="33">
        <f t="shared" si="1"/>
        <v>0</v>
      </c>
      <c r="K20" s="33">
        <f t="shared" si="2"/>
        <v>0</v>
      </c>
      <c r="L20" s="195"/>
      <c r="M20" s="192">
        <f t="shared" si="4"/>
        <v>175658</v>
      </c>
      <c r="N20" s="33"/>
      <c r="O20" s="25"/>
    </row>
    <row r="21" spans="1:15" ht="15">
      <c r="A21" s="23">
        <v>18</v>
      </c>
      <c r="B21" s="24">
        <v>45918</v>
      </c>
      <c r="C21" s="103"/>
      <c r="D21" s="103"/>
      <c r="E21" s="33"/>
      <c r="F21" s="33"/>
      <c r="G21" s="33">
        <f t="shared" si="0"/>
        <v>0</v>
      </c>
      <c r="H21" s="191"/>
      <c r="I21" s="191"/>
      <c r="J21" s="33">
        <f t="shared" si="1"/>
        <v>0</v>
      </c>
      <c r="K21" s="33">
        <f t="shared" si="2"/>
        <v>0</v>
      </c>
      <c r="L21" s="195"/>
      <c r="M21" s="192">
        <f t="shared" si="4"/>
        <v>175658</v>
      </c>
      <c r="N21" s="33"/>
      <c r="O21" s="25"/>
    </row>
    <row r="22" spans="1:15" ht="15">
      <c r="A22" s="23">
        <v>19</v>
      </c>
      <c r="B22" s="24">
        <v>45919</v>
      </c>
      <c r="C22" s="103"/>
      <c r="D22" s="103"/>
      <c r="E22" s="33"/>
      <c r="F22" s="33"/>
      <c r="G22" s="33"/>
      <c r="H22" s="191">
        <v>0</v>
      </c>
      <c r="I22" s="191">
        <v>0</v>
      </c>
      <c r="J22" s="33">
        <f t="shared" si="1"/>
        <v>0</v>
      </c>
      <c r="K22" s="33">
        <f t="shared" si="2"/>
        <v>0</v>
      </c>
      <c r="L22" s="195"/>
      <c r="M22" s="192">
        <f t="shared" si="4"/>
        <v>175658</v>
      </c>
      <c r="N22" s="33"/>
      <c r="O22" s="25"/>
    </row>
    <row r="23" spans="1:15" ht="15">
      <c r="A23" s="23">
        <v>20</v>
      </c>
      <c r="B23" s="24">
        <v>45920</v>
      </c>
      <c r="C23" s="103"/>
      <c r="D23" s="103"/>
      <c r="E23" s="33"/>
      <c r="F23" s="33"/>
      <c r="G23" s="33"/>
      <c r="H23" s="191">
        <v>0</v>
      </c>
      <c r="I23" s="191">
        <v>0</v>
      </c>
      <c r="J23" s="33">
        <f t="shared" ref="J23:J32" si="7">H23*I23</f>
        <v>0</v>
      </c>
      <c r="K23" s="33">
        <f t="shared" ref="K23:K32" si="8">G23+J23</f>
        <v>0</v>
      </c>
      <c r="L23" s="195"/>
      <c r="M23" s="192">
        <f t="shared" si="4"/>
        <v>175658</v>
      </c>
      <c r="N23" s="33"/>
      <c r="O23" s="25"/>
    </row>
    <row r="24" spans="1:15" ht="15">
      <c r="A24" s="23">
        <v>21</v>
      </c>
      <c r="B24" s="24">
        <v>45921</v>
      </c>
      <c r="C24" s="103"/>
      <c r="D24" s="103"/>
      <c r="E24" s="33"/>
      <c r="F24" s="33"/>
      <c r="G24" s="33"/>
      <c r="H24" s="191"/>
      <c r="I24" s="191"/>
      <c r="J24" s="33">
        <f t="shared" si="7"/>
        <v>0</v>
      </c>
      <c r="K24" s="33">
        <f t="shared" si="8"/>
        <v>0</v>
      </c>
      <c r="L24" s="195"/>
      <c r="M24" s="192">
        <f t="shared" si="4"/>
        <v>175658</v>
      </c>
      <c r="N24" s="33"/>
      <c r="O24" s="25"/>
    </row>
    <row r="25" spans="1:15" ht="15">
      <c r="A25" s="23">
        <v>22</v>
      </c>
      <c r="B25" s="24">
        <v>45922</v>
      </c>
      <c r="C25" s="103"/>
      <c r="D25" s="103"/>
      <c r="E25" s="33"/>
      <c r="F25" s="33"/>
      <c r="G25" s="33"/>
      <c r="H25" s="191"/>
      <c r="I25" s="191"/>
      <c r="J25" s="33">
        <f t="shared" si="7"/>
        <v>0</v>
      </c>
      <c r="K25" s="33">
        <f t="shared" si="8"/>
        <v>0</v>
      </c>
      <c r="L25" s="195"/>
      <c r="M25" s="192">
        <f t="shared" si="4"/>
        <v>175658</v>
      </c>
      <c r="N25" s="33"/>
      <c r="O25" s="25"/>
    </row>
    <row r="26" spans="1:15" ht="15">
      <c r="A26" s="23">
        <v>23</v>
      </c>
      <c r="B26" s="24">
        <v>45923</v>
      </c>
      <c r="C26" s="103"/>
      <c r="D26" s="103"/>
      <c r="E26" s="33"/>
      <c r="F26" s="33"/>
      <c r="G26" s="33"/>
      <c r="H26" s="191"/>
      <c r="I26" s="191"/>
      <c r="J26" s="33">
        <f t="shared" si="7"/>
        <v>0</v>
      </c>
      <c r="K26" s="33">
        <f t="shared" si="8"/>
        <v>0</v>
      </c>
      <c r="L26" s="195"/>
      <c r="M26" s="192">
        <f t="shared" si="4"/>
        <v>175658</v>
      </c>
      <c r="N26" s="33"/>
      <c r="O26" s="25"/>
    </row>
    <row r="27" spans="1:15" ht="15">
      <c r="A27" s="23">
        <v>24</v>
      </c>
      <c r="B27" s="24">
        <v>45924</v>
      </c>
      <c r="C27" s="103"/>
      <c r="D27" s="103"/>
      <c r="E27" s="33"/>
      <c r="F27" s="33"/>
      <c r="G27" s="33"/>
      <c r="H27" s="191"/>
      <c r="I27" s="191"/>
      <c r="J27" s="33">
        <f t="shared" si="7"/>
        <v>0</v>
      </c>
      <c r="K27" s="33">
        <f t="shared" si="8"/>
        <v>0</v>
      </c>
      <c r="L27" s="195"/>
      <c r="M27" s="192">
        <f t="shared" si="4"/>
        <v>175658</v>
      </c>
      <c r="N27" s="33"/>
      <c r="O27" s="25"/>
    </row>
    <row r="28" spans="1:15" ht="15">
      <c r="A28" s="23">
        <v>25</v>
      </c>
      <c r="B28" s="24">
        <v>45925</v>
      </c>
      <c r="C28" s="103"/>
      <c r="D28" s="103"/>
      <c r="E28" s="33"/>
      <c r="F28" s="33"/>
      <c r="G28" s="33"/>
      <c r="H28" s="191"/>
      <c r="I28" s="191"/>
      <c r="J28" s="33">
        <f t="shared" si="7"/>
        <v>0</v>
      </c>
      <c r="K28" s="33">
        <f t="shared" si="8"/>
        <v>0</v>
      </c>
      <c r="L28" s="195"/>
      <c r="M28" s="192">
        <f>M27+K28-L28</f>
        <v>175658</v>
      </c>
      <c r="N28" s="33"/>
      <c r="O28" s="25"/>
    </row>
    <row r="29" spans="1:15" ht="15">
      <c r="A29" s="23">
        <v>26</v>
      </c>
      <c r="B29" s="24">
        <v>45926</v>
      </c>
      <c r="C29" s="103"/>
      <c r="D29" s="103"/>
      <c r="E29" s="33"/>
      <c r="F29" s="33"/>
      <c r="G29" s="33"/>
      <c r="H29" s="191"/>
      <c r="I29" s="191"/>
      <c r="J29" s="33">
        <f t="shared" si="7"/>
        <v>0</v>
      </c>
      <c r="K29" s="33">
        <f t="shared" si="8"/>
        <v>0</v>
      </c>
      <c r="L29" s="195"/>
      <c r="M29" s="192">
        <f t="shared" si="4"/>
        <v>175658</v>
      </c>
      <c r="N29" s="33"/>
      <c r="O29" s="25"/>
    </row>
    <row r="30" spans="1:15" ht="15">
      <c r="A30" s="23">
        <v>27</v>
      </c>
      <c r="B30" s="24">
        <v>45927</v>
      </c>
      <c r="C30" s="103"/>
      <c r="D30" s="103"/>
      <c r="E30" s="33"/>
      <c r="F30" s="33"/>
      <c r="G30" s="33"/>
      <c r="H30" s="191"/>
      <c r="I30" s="191"/>
      <c r="J30" s="33">
        <f t="shared" si="7"/>
        <v>0</v>
      </c>
      <c r="K30" s="33">
        <f t="shared" si="8"/>
        <v>0</v>
      </c>
      <c r="L30" s="195"/>
      <c r="M30" s="192">
        <f t="shared" si="4"/>
        <v>175658</v>
      </c>
      <c r="N30" s="33"/>
      <c r="O30" s="25"/>
    </row>
    <row r="31" spans="1:15" ht="15">
      <c r="A31" s="23">
        <v>28</v>
      </c>
      <c r="B31" s="24">
        <v>45928</v>
      </c>
      <c r="C31" s="103"/>
      <c r="D31" s="103"/>
      <c r="E31" s="33"/>
      <c r="F31" s="33"/>
      <c r="G31" s="33"/>
      <c r="H31" s="191"/>
      <c r="I31" s="191"/>
      <c r="J31" s="33">
        <f t="shared" si="7"/>
        <v>0</v>
      </c>
      <c r="K31" s="33">
        <f t="shared" si="8"/>
        <v>0</v>
      </c>
      <c r="L31" s="195"/>
      <c r="M31" s="192">
        <f t="shared" si="4"/>
        <v>175658</v>
      </c>
      <c r="N31" s="33"/>
      <c r="O31" s="25"/>
    </row>
    <row r="32" spans="1:15" ht="15">
      <c r="A32" s="23">
        <v>29</v>
      </c>
      <c r="B32" s="24">
        <v>45929</v>
      </c>
      <c r="C32" s="103"/>
      <c r="D32" s="103"/>
      <c r="E32" s="33"/>
      <c r="F32" s="33"/>
      <c r="G32" s="33">
        <f t="shared" ref="G32" si="9">E32*F32</f>
        <v>0</v>
      </c>
      <c r="H32" s="191">
        <v>0</v>
      </c>
      <c r="I32" s="191">
        <v>0</v>
      </c>
      <c r="J32" s="33">
        <f t="shared" si="7"/>
        <v>0</v>
      </c>
      <c r="K32" s="33">
        <f t="shared" si="8"/>
        <v>0</v>
      </c>
      <c r="L32" s="195"/>
      <c r="M32" s="192">
        <f t="shared" si="4"/>
        <v>175658</v>
      </c>
      <c r="N32" s="208"/>
      <c r="O32" s="25"/>
    </row>
    <row r="33" spans="1:15" ht="15">
      <c r="A33" s="23">
        <v>30</v>
      </c>
      <c r="B33" s="24">
        <v>45930</v>
      </c>
      <c r="C33" s="103"/>
      <c r="D33" s="103"/>
      <c r="E33" s="33"/>
      <c r="F33" s="33">
        <v>0</v>
      </c>
      <c r="G33" s="33">
        <f t="shared" si="0"/>
        <v>0</v>
      </c>
      <c r="H33" s="191">
        <v>0</v>
      </c>
      <c r="I33" s="191">
        <v>0</v>
      </c>
      <c r="J33" s="33">
        <f t="shared" si="1"/>
        <v>0</v>
      </c>
      <c r="K33" s="33">
        <f t="shared" si="2"/>
        <v>0</v>
      </c>
      <c r="L33" s="195"/>
      <c r="M33" s="192">
        <f t="shared" si="4"/>
        <v>175658</v>
      </c>
      <c r="N33" s="208"/>
      <c r="O33" s="25"/>
    </row>
    <row r="34" spans="1:15" ht="15">
      <c r="A34" s="23">
        <v>31</v>
      </c>
      <c r="B34" s="24"/>
      <c r="C34" s="103"/>
      <c r="D34" s="103"/>
      <c r="E34" s="33"/>
      <c r="F34" s="33">
        <v>0</v>
      </c>
      <c r="G34" s="33">
        <f t="shared" ref="G34" si="10">E34*F34</f>
        <v>0</v>
      </c>
      <c r="H34" s="191"/>
      <c r="I34" s="191"/>
      <c r="J34" s="33">
        <f t="shared" ref="J34" si="11">H34*I34</f>
        <v>0</v>
      </c>
      <c r="K34" s="33">
        <f t="shared" ref="K34" si="12">G34+J34</f>
        <v>0</v>
      </c>
      <c r="L34" s="195"/>
      <c r="M34" s="208"/>
      <c r="N34" s="208"/>
      <c r="O34" s="25"/>
    </row>
    <row r="35" spans="1:15">
      <c r="A35" s="39"/>
      <c r="B35" s="39"/>
      <c r="C35" s="196"/>
      <c r="D35" s="196"/>
      <c r="E35" s="197">
        <f>SUM(E4:E34)</f>
        <v>1600</v>
      </c>
      <c r="F35" s="197"/>
      <c r="G35" s="197">
        <f>SUM(G4:G34)</f>
        <v>159936</v>
      </c>
      <c r="H35" s="197">
        <f>SUM(H4:H34)</f>
        <v>140</v>
      </c>
      <c r="I35" s="197"/>
      <c r="J35" s="197">
        <f>SUM(J4:J34)</f>
        <v>15722</v>
      </c>
      <c r="K35" s="197">
        <f>SUM(K4:K34)</f>
        <v>175658</v>
      </c>
      <c r="L35" s="197">
        <f>SUM(L4:L31)</f>
        <v>0</v>
      </c>
      <c r="M35" s="197"/>
      <c r="N35" s="197"/>
      <c r="O35" s="30"/>
    </row>
    <row r="36" spans="1:15">
      <c r="A36" s="27"/>
      <c r="B36" s="27"/>
      <c r="C36" s="27"/>
      <c r="D36" s="27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5"/>
    </row>
    <row r="37" spans="1:15">
      <c r="A37" s="25"/>
      <c r="B37" s="25"/>
      <c r="C37" s="25"/>
      <c r="D37" s="25"/>
      <c r="E37" s="25"/>
      <c r="F37" s="25"/>
      <c r="G37" s="28"/>
      <c r="H37" s="25"/>
      <c r="I37" s="25"/>
      <c r="J37" s="25"/>
      <c r="K37" s="25"/>
      <c r="L37" s="25"/>
      <c r="M37" s="25"/>
      <c r="N37" s="25"/>
      <c r="O37" s="29"/>
    </row>
    <row r="38" spans="1:15">
      <c r="A38" s="25"/>
      <c r="B38" s="603"/>
      <c r="C38" s="603"/>
      <c r="D38" s="603"/>
      <c r="E38" s="603"/>
      <c r="F38" s="25"/>
      <c r="G38" s="25"/>
      <c r="H38" s="25"/>
      <c r="I38" s="603"/>
      <c r="J38" s="603"/>
      <c r="K38" s="603"/>
      <c r="L38" s="603"/>
      <c r="M38" s="603"/>
      <c r="N38" s="603"/>
      <c r="O38" s="29"/>
    </row>
    <row r="39" spans="1:1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9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G41"/>
  <sheetViews>
    <sheetView workbookViewId="0">
      <pane ySplit="3" topLeftCell="A4" activePane="bottomLeft" state="frozen"/>
      <selection pane="bottomLeft" activeCell="K3" sqref="K3"/>
    </sheetView>
  </sheetViews>
  <sheetFormatPr defaultRowHeight="15"/>
  <cols>
    <col min="2" max="2" width="10.28515625" customWidth="1"/>
    <col min="5" max="5" width="12.5703125" bestFit="1" customWidth="1"/>
    <col min="10" max="10" width="10.85546875" bestFit="1" customWidth="1"/>
    <col min="11" max="12" width="11.85546875" bestFit="1" customWidth="1"/>
    <col min="13" max="13" width="13.5703125" bestFit="1" customWidth="1"/>
    <col min="14" max="14" width="25.28515625" bestFit="1" customWidth="1"/>
  </cols>
  <sheetData>
    <row r="1" spans="1:33">
      <c r="A1" s="604" t="s">
        <v>101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1:33" ht="27">
      <c r="A2" s="84" t="s">
        <v>0</v>
      </c>
      <c r="B2" s="85" t="s">
        <v>168</v>
      </c>
      <c r="C2" s="85" t="s">
        <v>169</v>
      </c>
      <c r="D2" s="85" t="s">
        <v>170</v>
      </c>
      <c r="E2" s="85" t="s">
        <v>171</v>
      </c>
      <c r="F2" s="85" t="s">
        <v>172</v>
      </c>
      <c r="G2" s="85" t="s">
        <v>173</v>
      </c>
      <c r="H2" s="85" t="s">
        <v>174</v>
      </c>
      <c r="I2" s="85" t="s">
        <v>172</v>
      </c>
      <c r="J2" s="108" t="s">
        <v>173</v>
      </c>
      <c r="K2" s="85" t="s">
        <v>175</v>
      </c>
      <c r="L2" s="108" t="s">
        <v>176</v>
      </c>
      <c r="M2" s="107" t="s">
        <v>185</v>
      </c>
      <c r="N2" s="86" t="s">
        <v>178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</row>
    <row r="3" spans="1:33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605"/>
      <c r="K3" s="26">
        <v>127791.15990300011</v>
      </c>
      <c r="L3" s="43"/>
      <c r="M3" s="109">
        <v>127791.15990300011</v>
      </c>
      <c r="N3" s="43"/>
      <c r="O3" s="30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</row>
    <row r="4" spans="1:33">
      <c r="A4" s="23">
        <v>1</v>
      </c>
      <c r="B4" s="24">
        <v>46266</v>
      </c>
      <c r="C4" s="44" t="s">
        <v>206</v>
      </c>
      <c r="D4" s="45" t="s">
        <v>206</v>
      </c>
      <c r="E4" s="44"/>
      <c r="F4" s="44"/>
      <c r="G4" s="43">
        <f t="shared" ref="G4:G5" si="0">E4*F4</f>
        <v>0</v>
      </c>
      <c r="H4" s="44"/>
      <c r="I4" s="44"/>
      <c r="J4" s="46">
        <f t="shared" ref="J4" si="1">H4*I4</f>
        <v>0</v>
      </c>
      <c r="K4" s="43">
        <f t="shared" ref="K4:L5" si="2">G4+J4</f>
        <v>0</v>
      </c>
      <c r="L4" s="43"/>
      <c r="M4" s="46">
        <f>M3+K4-L4</f>
        <v>127791.15990300011</v>
      </c>
      <c r="N4" s="101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33">
      <c r="A5" s="23"/>
      <c r="B5" s="24">
        <v>46267</v>
      </c>
      <c r="C5" s="44"/>
      <c r="D5" s="45"/>
      <c r="E5" s="44"/>
      <c r="F5" s="44"/>
      <c r="G5" s="43">
        <f t="shared" si="0"/>
        <v>0</v>
      </c>
      <c r="H5" s="44"/>
      <c r="I5" s="44"/>
      <c r="J5" s="46"/>
      <c r="K5" s="43">
        <f t="shared" si="2"/>
        <v>0</v>
      </c>
      <c r="L5" s="43"/>
      <c r="M5" s="46">
        <f>M4+K5-L5</f>
        <v>127791.15990300011</v>
      </c>
      <c r="N5" s="101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</row>
    <row r="6" spans="1:33">
      <c r="A6" s="23">
        <v>2</v>
      </c>
      <c r="B6" s="24">
        <v>46268</v>
      </c>
      <c r="C6" s="44" t="s">
        <v>206</v>
      </c>
      <c r="D6" s="45" t="s">
        <v>206</v>
      </c>
      <c r="E6" s="44"/>
      <c r="F6" s="44"/>
      <c r="G6" s="43">
        <f t="shared" ref="G6:G36" si="3">E6*F6</f>
        <v>0</v>
      </c>
      <c r="H6" s="44"/>
      <c r="I6" s="44"/>
      <c r="J6" s="46">
        <f t="shared" ref="J6:J36" si="4">H6*I6</f>
        <v>0</v>
      </c>
      <c r="K6" s="43">
        <f t="shared" ref="K6:L36" si="5">G6+J6</f>
        <v>0</v>
      </c>
      <c r="L6" s="43"/>
      <c r="M6" s="46">
        <f t="shared" ref="M6:M38" si="6">M5+K6-L6</f>
        <v>127791.15990300011</v>
      </c>
      <c r="N6" s="101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</row>
    <row r="7" spans="1:33">
      <c r="A7" s="23">
        <v>3</v>
      </c>
      <c r="B7" s="24">
        <v>46269</v>
      </c>
      <c r="C7" s="44" t="s">
        <v>206</v>
      </c>
      <c r="D7" s="45" t="s">
        <v>206</v>
      </c>
      <c r="E7" s="44">
        <v>1200</v>
      </c>
      <c r="F7" s="44">
        <v>99.14</v>
      </c>
      <c r="G7" s="43">
        <f t="shared" si="3"/>
        <v>118968</v>
      </c>
      <c r="H7" s="44">
        <v>70</v>
      </c>
      <c r="I7" s="44">
        <v>111.24</v>
      </c>
      <c r="J7" s="46">
        <f t="shared" si="4"/>
        <v>7786.7999999999993</v>
      </c>
      <c r="K7" s="43">
        <f t="shared" si="5"/>
        <v>126754.8</v>
      </c>
      <c r="L7" s="43"/>
      <c r="M7" s="46">
        <f t="shared" si="6"/>
        <v>254545.9599030001</v>
      </c>
      <c r="N7" s="101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</row>
    <row r="8" spans="1:33">
      <c r="A8" s="23">
        <v>4</v>
      </c>
      <c r="B8" s="24">
        <v>46270</v>
      </c>
      <c r="C8" s="44" t="s">
        <v>206</v>
      </c>
      <c r="D8" s="45" t="s">
        <v>206</v>
      </c>
      <c r="E8" s="44"/>
      <c r="F8" s="44"/>
      <c r="G8" s="43">
        <f t="shared" ref="G8:G17" si="7">E8*F8</f>
        <v>0</v>
      </c>
      <c r="H8" s="44"/>
      <c r="I8" s="44"/>
      <c r="J8" s="46">
        <f t="shared" si="4"/>
        <v>0</v>
      </c>
      <c r="K8" s="43">
        <f t="shared" si="5"/>
        <v>0</v>
      </c>
      <c r="L8" s="43"/>
      <c r="M8" s="46">
        <f t="shared" si="6"/>
        <v>254545.9599030001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</row>
    <row r="9" spans="1:33">
      <c r="A9" s="23">
        <v>5</v>
      </c>
      <c r="B9" s="24">
        <v>46271</v>
      </c>
      <c r="C9" s="44" t="s">
        <v>206</v>
      </c>
      <c r="D9" s="45" t="s">
        <v>206</v>
      </c>
      <c r="E9" s="44"/>
      <c r="F9" s="44"/>
      <c r="G9" s="43">
        <f t="shared" si="3"/>
        <v>0</v>
      </c>
      <c r="H9" s="44"/>
      <c r="I9" s="44"/>
      <c r="J9" s="46">
        <f t="shared" si="4"/>
        <v>0</v>
      </c>
      <c r="K9" s="46">
        <f>G9+J9</f>
        <v>0</v>
      </c>
      <c r="L9" s="43"/>
      <c r="M9" s="46">
        <f t="shared" si="6"/>
        <v>254545.9599030001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0" spans="1:33">
      <c r="A10" s="23">
        <v>6</v>
      </c>
      <c r="B10" s="24">
        <v>46272</v>
      </c>
      <c r="C10" s="44" t="s">
        <v>206</v>
      </c>
      <c r="D10" s="45" t="s">
        <v>206</v>
      </c>
      <c r="E10" s="44"/>
      <c r="F10" s="44"/>
      <c r="G10" s="43">
        <f t="shared" ref="G9:G37" si="8">E10*F10</f>
        <v>0</v>
      </c>
      <c r="H10" s="44"/>
      <c r="I10" s="44"/>
      <c r="J10" s="46">
        <f t="shared" si="4"/>
        <v>0</v>
      </c>
      <c r="K10" s="43">
        <f t="shared" si="5"/>
        <v>0</v>
      </c>
      <c r="L10" s="43"/>
      <c r="M10" s="46">
        <f t="shared" si="6"/>
        <v>254545.9599030001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</row>
    <row r="11" spans="1:33">
      <c r="A11" s="23">
        <v>7</v>
      </c>
      <c r="B11" s="24">
        <v>46273</v>
      </c>
      <c r="C11" s="44" t="s">
        <v>206</v>
      </c>
      <c r="D11" s="45" t="s">
        <v>206</v>
      </c>
      <c r="E11" s="44">
        <v>1000</v>
      </c>
      <c r="F11" s="44">
        <v>99.14</v>
      </c>
      <c r="G11" s="43">
        <f t="shared" si="8"/>
        <v>99140</v>
      </c>
      <c r="H11" s="44">
        <v>35</v>
      </c>
      <c r="I11" s="44">
        <v>111.24</v>
      </c>
      <c r="J11" s="46">
        <f t="shared" si="4"/>
        <v>3893.3999999999996</v>
      </c>
      <c r="K11" s="43">
        <f t="shared" si="5"/>
        <v>103033.4</v>
      </c>
      <c r="L11" s="43"/>
      <c r="M11" s="46">
        <f t="shared" si="6"/>
        <v>357579.35990300006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</row>
    <row r="12" spans="1:33">
      <c r="A12" s="23">
        <v>8</v>
      </c>
      <c r="B12" s="24">
        <v>46274</v>
      </c>
      <c r="C12" s="44" t="s">
        <v>206</v>
      </c>
      <c r="D12" s="45" t="s">
        <v>206</v>
      </c>
      <c r="E12" s="44"/>
      <c r="F12" s="44"/>
      <c r="G12" s="43">
        <f t="shared" si="8"/>
        <v>0</v>
      </c>
      <c r="H12" s="44"/>
      <c r="I12" s="44"/>
      <c r="J12" s="46">
        <f t="shared" si="4"/>
        <v>0</v>
      </c>
      <c r="K12" s="43">
        <f t="shared" si="5"/>
        <v>0</v>
      </c>
      <c r="L12" s="43"/>
      <c r="M12" s="46">
        <f t="shared" si="6"/>
        <v>357579.35990300006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</row>
    <row r="13" spans="1:33">
      <c r="A13" s="23">
        <v>9</v>
      </c>
      <c r="B13" s="24">
        <v>46275</v>
      </c>
      <c r="C13" s="44" t="s">
        <v>206</v>
      </c>
      <c r="D13" s="45" t="s">
        <v>206</v>
      </c>
      <c r="E13" s="44">
        <v>1000</v>
      </c>
      <c r="F13" s="44">
        <v>99.14</v>
      </c>
      <c r="G13" s="43">
        <f t="shared" si="8"/>
        <v>99140</v>
      </c>
      <c r="H13" s="44">
        <v>35</v>
      </c>
      <c r="I13" s="44">
        <v>111.24</v>
      </c>
      <c r="J13" s="46">
        <f t="shared" si="4"/>
        <v>3893.3999999999996</v>
      </c>
      <c r="K13" s="43">
        <f t="shared" si="5"/>
        <v>103033.4</v>
      </c>
      <c r="L13" s="43"/>
      <c r="M13" s="46">
        <f t="shared" si="6"/>
        <v>460612.75990300009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</row>
    <row r="14" spans="1:33">
      <c r="A14" s="23">
        <v>10</v>
      </c>
      <c r="B14" s="24">
        <v>46276</v>
      </c>
      <c r="C14" s="44" t="s">
        <v>206</v>
      </c>
      <c r="D14" s="45" t="s">
        <v>206</v>
      </c>
      <c r="E14" s="44"/>
      <c r="F14" s="44"/>
      <c r="G14" s="43">
        <f t="shared" si="8"/>
        <v>0</v>
      </c>
      <c r="H14" s="44"/>
      <c r="I14" s="44"/>
      <c r="J14" s="46">
        <f t="shared" si="4"/>
        <v>0</v>
      </c>
      <c r="K14" s="43">
        <f t="shared" si="5"/>
        <v>0</v>
      </c>
      <c r="L14" s="43"/>
      <c r="M14" s="46">
        <f t="shared" si="6"/>
        <v>460612.75990300009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</row>
    <row r="15" spans="1:33">
      <c r="A15" s="23">
        <v>11</v>
      </c>
      <c r="B15" s="24">
        <v>46277</v>
      </c>
      <c r="C15" s="44" t="s">
        <v>206</v>
      </c>
      <c r="D15" s="45" t="s">
        <v>206</v>
      </c>
      <c r="E15" s="44"/>
      <c r="F15" s="44"/>
      <c r="G15" s="43">
        <f t="shared" si="8"/>
        <v>0</v>
      </c>
      <c r="H15" s="44"/>
      <c r="I15" s="44"/>
      <c r="J15" s="46">
        <f t="shared" si="4"/>
        <v>0</v>
      </c>
      <c r="K15" s="43">
        <f t="shared" si="5"/>
        <v>0</v>
      </c>
      <c r="L15" s="43"/>
      <c r="M15" s="46">
        <f t="shared" si="6"/>
        <v>460612.75990300009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</row>
    <row r="16" spans="1:33">
      <c r="A16" s="23">
        <v>12</v>
      </c>
      <c r="B16" s="24">
        <v>46278</v>
      </c>
      <c r="C16" s="44"/>
      <c r="D16" s="45"/>
      <c r="E16" s="44">
        <v>600</v>
      </c>
      <c r="F16" s="44">
        <v>99.14</v>
      </c>
      <c r="G16" s="43">
        <f t="shared" si="8"/>
        <v>59484</v>
      </c>
      <c r="H16" s="44">
        <v>35</v>
      </c>
      <c r="I16" s="44">
        <v>111.24</v>
      </c>
      <c r="J16" s="46">
        <f t="shared" si="4"/>
        <v>3893.3999999999996</v>
      </c>
      <c r="K16" s="43">
        <f t="shared" si="5"/>
        <v>63377.4</v>
      </c>
      <c r="L16" s="43"/>
      <c r="M16" s="46">
        <f t="shared" si="6"/>
        <v>523990.15990300011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</row>
    <row r="17" spans="1:33">
      <c r="A17" s="23">
        <v>13</v>
      </c>
      <c r="B17" s="24">
        <v>46279</v>
      </c>
      <c r="C17" s="44" t="s">
        <v>206</v>
      </c>
      <c r="D17" s="45" t="s">
        <v>206</v>
      </c>
      <c r="E17" s="44"/>
      <c r="F17" s="44"/>
      <c r="G17" s="43">
        <f t="shared" si="8"/>
        <v>0</v>
      </c>
      <c r="H17" s="44"/>
      <c r="I17" s="44"/>
      <c r="J17" s="46">
        <f t="shared" si="4"/>
        <v>0</v>
      </c>
      <c r="K17" s="43">
        <f t="shared" si="5"/>
        <v>0</v>
      </c>
      <c r="L17" s="43"/>
      <c r="M17" s="46">
        <f t="shared" si="6"/>
        <v>523990.15990300011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</row>
    <row r="18" spans="1:33">
      <c r="A18" s="23">
        <v>14</v>
      </c>
      <c r="B18" s="24">
        <v>46280</v>
      </c>
      <c r="C18" s="44" t="s">
        <v>206</v>
      </c>
      <c r="D18" s="45" t="s">
        <v>206</v>
      </c>
      <c r="E18" s="44"/>
      <c r="F18" s="44"/>
      <c r="G18" s="43">
        <f t="shared" si="8"/>
        <v>0</v>
      </c>
      <c r="H18" s="44"/>
      <c r="I18" s="44"/>
      <c r="J18" s="46">
        <f t="shared" si="4"/>
        <v>0</v>
      </c>
      <c r="K18" s="43">
        <f t="shared" si="5"/>
        <v>0</v>
      </c>
      <c r="L18" s="43"/>
      <c r="M18" s="46">
        <f t="shared" si="6"/>
        <v>523990.15990300011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</row>
    <row r="19" spans="1:33">
      <c r="A19" s="23">
        <v>15</v>
      </c>
      <c r="B19" s="24">
        <v>46281</v>
      </c>
      <c r="C19" s="44" t="s">
        <v>206</v>
      </c>
      <c r="D19" s="45" t="s">
        <v>206</v>
      </c>
      <c r="E19" s="44">
        <v>1000</v>
      </c>
      <c r="F19" s="44">
        <v>99.14</v>
      </c>
      <c r="G19" s="43">
        <f t="shared" si="8"/>
        <v>99140</v>
      </c>
      <c r="H19" s="44">
        <v>70</v>
      </c>
      <c r="I19" s="44">
        <v>111.24</v>
      </c>
      <c r="J19" s="46">
        <f t="shared" si="4"/>
        <v>7786.7999999999993</v>
      </c>
      <c r="K19" s="43">
        <f t="shared" si="5"/>
        <v>106926.8</v>
      </c>
      <c r="L19" s="43">
        <v>350000</v>
      </c>
      <c r="M19" s="46">
        <f t="shared" si="6"/>
        <v>280916.95990300016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1:33">
      <c r="A20" s="23">
        <v>16</v>
      </c>
      <c r="B20" s="24">
        <v>46282</v>
      </c>
      <c r="C20" s="44" t="s">
        <v>206</v>
      </c>
      <c r="D20" s="45" t="s">
        <v>206</v>
      </c>
      <c r="E20" s="44"/>
      <c r="F20" s="44"/>
      <c r="G20" s="43">
        <f t="shared" si="8"/>
        <v>0</v>
      </c>
      <c r="H20" s="44"/>
      <c r="I20" s="44"/>
      <c r="J20" s="46">
        <f t="shared" si="4"/>
        <v>0</v>
      </c>
      <c r="K20" s="43">
        <f t="shared" si="5"/>
        <v>0</v>
      </c>
      <c r="L20" s="43"/>
      <c r="M20" s="46">
        <f t="shared" si="6"/>
        <v>280916.95990300016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</row>
    <row r="21" spans="1:33">
      <c r="A21" s="23">
        <v>17</v>
      </c>
      <c r="B21" s="24">
        <v>46283</v>
      </c>
      <c r="C21" s="44" t="s">
        <v>206</v>
      </c>
      <c r="D21" s="45" t="s">
        <v>206</v>
      </c>
      <c r="E21" s="44"/>
      <c r="F21" s="44"/>
      <c r="G21" s="43">
        <f t="shared" si="8"/>
        <v>0</v>
      </c>
      <c r="H21" s="429"/>
      <c r="I21" s="44"/>
      <c r="J21" s="46">
        <f t="shared" si="4"/>
        <v>0</v>
      </c>
      <c r="K21" s="43">
        <f t="shared" si="5"/>
        <v>0</v>
      </c>
      <c r="L21" s="43"/>
      <c r="M21" s="46">
        <f t="shared" si="6"/>
        <v>280916.95990300016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</row>
    <row r="22" spans="1:33">
      <c r="A22" s="23">
        <v>18</v>
      </c>
      <c r="B22" s="24">
        <v>46284</v>
      </c>
      <c r="C22" s="44" t="s">
        <v>206</v>
      </c>
      <c r="D22" s="45" t="s">
        <v>206</v>
      </c>
      <c r="E22" s="44">
        <v>1000</v>
      </c>
      <c r="F22" s="44">
        <v>99.14</v>
      </c>
      <c r="G22" s="43">
        <f t="shared" si="8"/>
        <v>99140</v>
      </c>
      <c r="H22" s="44">
        <v>35</v>
      </c>
      <c r="I22" s="44">
        <v>111.24</v>
      </c>
      <c r="J22" s="46">
        <f t="shared" si="4"/>
        <v>3893.3999999999996</v>
      </c>
      <c r="K22" s="43">
        <f t="shared" si="5"/>
        <v>103033.4</v>
      </c>
      <c r="L22" s="43"/>
      <c r="M22" s="46">
        <f t="shared" si="6"/>
        <v>383950.35990300018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 spans="1:33">
      <c r="A23" s="23">
        <v>19</v>
      </c>
      <c r="B23" s="24">
        <v>46285</v>
      </c>
      <c r="C23" s="44" t="s">
        <v>206</v>
      </c>
      <c r="D23" s="45" t="s">
        <v>206</v>
      </c>
      <c r="E23" s="44"/>
      <c r="F23" s="44"/>
      <c r="G23" s="43">
        <f t="shared" si="8"/>
        <v>0</v>
      </c>
      <c r="H23" s="44"/>
      <c r="I23" s="44"/>
      <c r="J23" s="46">
        <f t="shared" si="4"/>
        <v>0</v>
      </c>
      <c r="K23" s="43">
        <f t="shared" si="5"/>
        <v>0</v>
      </c>
      <c r="L23" s="43"/>
      <c r="M23" s="46">
        <f t="shared" si="6"/>
        <v>383950.35990300018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 spans="1:33">
      <c r="A24" s="23">
        <v>20</v>
      </c>
      <c r="B24" s="24">
        <v>46286</v>
      </c>
      <c r="C24" s="44" t="s">
        <v>206</v>
      </c>
      <c r="D24" s="45" t="s">
        <v>206</v>
      </c>
      <c r="E24" s="44"/>
      <c r="F24" s="44"/>
      <c r="G24" s="43">
        <f t="shared" si="8"/>
        <v>0</v>
      </c>
      <c r="H24" s="44"/>
      <c r="I24" s="44"/>
      <c r="J24" s="46">
        <f t="shared" si="4"/>
        <v>0</v>
      </c>
      <c r="K24" s="43">
        <f t="shared" si="5"/>
        <v>0</v>
      </c>
      <c r="L24" s="43"/>
      <c r="M24" s="46">
        <f t="shared" si="6"/>
        <v>383950.35990300018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</row>
    <row r="25" spans="1:33">
      <c r="A25" s="23">
        <v>21</v>
      </c>
      <c r="B25" s="24">
        <v>46287</v>
      </c>
      <c r="C25" s="44" t="s">
        <v>206</v>
      </c>
      <c r="D25" s="45" t="s">
        <v>206</v>
      </c>
      <c r="E25" s="44">
        <v>1200</v>
      </c>
      <c r="F25" s="44">
        <v>99.14</v>
      </c>
      <c r="G25" s="43">
        <f t="shared" si="8"/>
        <v>118968</v>
      </c>
      <c r="H25" s="44">
        <v>35</v>
      </c>
      <c r="I25" s="44">
        <v>111.24</v>
      </c>
      <c r="J25" s="46">
        <f t="shared" si="4"/>
        <v>3893.3999999999996</v>
      </c>
      <c r="K25" s="43">
        <f t="shared" si="5"/>
        <v>122861.4</v>
      </c>
      <c r="L25" s="43"/>
      <c r="M25" s="46">
        <f t="shared" si="6"/>
        <v>506811.7599030002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  <row r="26" spans="1:33">
      <c r="A26" s="23">
        <v>22</v>
      </c>
      <c r="B26" s="24">
        <v>46288</v>
      </c>
      <c r="C26" s="44" t="s">
        <v>206</v>
      </c>
      <c r="D26" s="45" t="s">
        <v>206</v>
      </c>
      <c r="E26" s="44"/>
      <c r="F26" s="44"/>
      <c r="G26" s="43">
        <f t="shared" si="8"/>
        <v>0</v>
      </c>
      <c r="H26" s="44"/>
      <c r="I26" s="44"/>
      <c r="J26" s="46">
        <f t="shared" si="4"/>
        <v>0</v>
      </c>
      <c r="K26" s="43">
        <f t="shared" si="5"/>
        <v>0</v>
      </c>
      <c r="L26" s="43">
        <v>300000</v>
      </c>
      <c r="M26" s="46">
        <f t="shared" si="6"/>
        <v>206811.7599030002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</row>
    <row r="27" spans="1:33">
      <c r="A27" s="23">
        <v>23</v>
      </c>
      <c r="B27" s="24">
        <v>46289</v>
      </c>
      <c r="C27" s="44" t="s">
        <v>206</v>
      </c>
      <c r="D27" s="45" t="s">
        <v>206</v>
      </c>
      <c r="E27" s="44"/>
      <c r="F27" s="44"/>
      <c r="G27" s="43">
        <f t="shared" si="8"/>
        <v>0</v>
      </c>
      <c r="H27" s="44"/>
      <c r="I27" s="44"/>
      <c r="J27" s="46">
        <f t="shared" si="4"/>
        <v>0</v>
      </c>
      <c r="K27" s="43">
        <f t="shared" si="5"/>
        <v>0</v>
      </c>
      <c r="L27" s="43"/>
      <c r="M27" s="46">
        <f t="shared" si="6"/>
        <v>206811.7599030002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</row>
    <row r="28" spans="1:33">
      <c r="A28" s="23">
        <v>24</v>
      </c>
      <c r="B28" s="24">
        <v>46290</v>
      </c>
      <c r="C28" s="44" t="s">
        <v>206</v>
      </c>
      <c r="D28" s="45" t="s">
        <v>206</v>
      </c>
      <c r="E28" s="44"/>
      <c r="F28" s="44"/>
      <c r="G28" s="43">
        <f t="shared" si="8"/>
        <v>0</v>
      </c>
      <c r="H28" s="44"/>
      <c r="I28" s="44">
        <v>111.24</v>
      </c>
      <c r="J28" s="46">
        <f t="shared" si="4"/>
        <v>0</v>
      </c>
      <c r="K28" s="43">
        <f t="shared" si="5"/>
        <v>0</v>
      </c>
      <c r="L28" s="43"/>
      <c r="M28" s="46">
        <f t="shared" si="6"/>
        <v>206811.7599030002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</row>
    <row r="29" spans="1:33">
      <c r="A29" s="23">
        <v>25</v>
      </c>
      <c r="B29" s="24">
        <v>46291</v>
      </c>
      <c r="C29" s="44" t="s">
        <v>206</v>
      </c>
      <c r="D29" s="45" t="s">
        <v>206</v>
      </c>
      <c r="E29" s="44"/>
      <c r="F29" s="44"/>
      <c r="G29" s="43">
        <f t="shared" si="8"/>
        <v>0</v>
      </c>
      <c r="H29" s="44"/>
      <c r="I29" s="44"/>
      <c r="J29" s="46">
        <f t="shared" si="4"/>
        <v>0</v>
      </c>
      <c r="K29" s="43">
        <f t="shared" si="5"/>
        <v>0</v>
      </c>
      <c r="L29" s="43"/>
      <c r="M29" s="46">
        <f t="shared" si="6"/>
        <v>206811.7599030002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</row>
    <row r="30" spans="1:33">
      <c r="A30" s="23">
        <v>26</v>
      </c>
      <c r="B30" s="24">
        <v>46292</v>
      </c>
      <c r="C30" s="44"/>
      <c r="D30" s="45"/>
      <c r="E30" s="44"/>
      <c r="F30" s="44"/>
      <c r="G30" s="43">
        <f t="shared" si="8"/>
        <v>0</v>
      </c>
      <c r="H30" s="44"/>
      <c r="I30" s="44"/>
      <c r="J30" s="46">
        <f t="shared" si="4"/>
        <v>0</v>
      </c>
      <c r="K30" s="43">
        <f t="shared" si="5"/>
        <v>0</v>
      </c>
      <c r="L30" s="43"/>
      <c r="M30" s="46">
        <f t="shared" si="6"/>
        <v>206811.7599030002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</row>
    <row r="31" spans="1:33">
      <c r="A31" s="23">
        <v>27</v>
      </c>
      <c r="B31" s="24">
        <v>46293</v>
      </c>
      <c r="C31" s="44"/>
      <c r="D31" s="45"/>
      <c r="E31" s="44"/>
      <c r="F31" s="44"/>
      <c r="G31" s="43">
        <f t="shared" si="8"/>
        <v>0</v>
      </c>
      <c r="H31" s="44"/>
      <c r="I31" s="44"/>
      <c r="J31" s="46">
        <f t="shared" si="4"/>
        <v>0</v>
      </c>
      <c r="K31" s="43">
        <f t="shared" si="5"/>
        <v>0</v>
      </c>
      <c r="L31" s="43"/>
      <c r="M31" s="46">
        <f t="shared" si="6"/>
        <v>206811.7599030002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</row>
    <row r="32" spans="1:33">
      <c r="A32" s="23">
        <v>28</v>
      </c>
      <c r="B32" s="24">
        <v>46294</v>
      </c>
      <c r="C32" s="44" t="s">
        <v>206</v>
      </c>
      <c r="D32" s="45" t="s">
        <v>206</v>
      </c>
      <c r="E32" s="429">
        <v>1000</v>
      </c>
      <c r="F32" s="300">
        <v>99.14</v>
      </c>
      <c r="G32" s="43">
        <f t="shared" si="8"/>
        <v>99140</v>
      </c>
      <c r="H32" s="44"/>
      <c r="I32" s="44"/>
      <c r="J32" s="46">
        <f t="shared" si="4"/>
        <v>0</v>
      </c>
      <c r="K32" s="43">
        <f t="shared" si="5"/>
        <v>99140</v>
      </c>
      <c r="L32" s="43"/>
      <c r="M32" s="46">
        <f t="shared" si="6"/>
        <v>305951.7599030002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</row>
    <row r="33" spans="1:33">
      <c r="A33" s="23">
        <v>29</v>
      </c>
      <c r="B33" s="24">
        <v>46295</v>
      </c>
      <c r="C33" s="44" t="s">
        <v>206</v>
      </c>
      <c r="D33" s="45" t="s">
        <v>206</v>
      </c>
      <c r="E33" s="44"/>
      <c r="F33" s="44"/>
      <c r="G33" s="43">
        <f t="shared" si="8"/>
        <v>0</v>
      </c>
      <c r="H33" s="44"/>
      <c r="I33" s="44"/>
      <c r="J33" s="46">
        <f t="shared" si="4"/>
        <v>0</v>
      </c>
      <c r="K33" s="43">
        <f t="shared" si="5"/>
        <v>0</v>
      </c>
      <c r="L33" s="43"/>
      <c r="M33" s="46">
        <f t="shared" si="6"/>
        <v>305951.7599030002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</row>
    <row r="34" spans="1:33">
      <c r="A34" s="23">
        <v>30</v>
      </c>
      <c r="B34" s="24"/>
      <c r="C34" s="44" t="s">
        <v>206</v>
      </c>
      <c r="D34" s="45" t="s">
        <v>206</v>
      </c>
      <c r="E34" s="44"/>
      <c r="F34" s="44"/>
      <c r="G34" s="43">
        <f t="shared" si="8"/>
        <v>0</v>
      </c>
      <c r="H34" s="44"/>
      <c r="I34" s="44"/>
      <c r="J34" s="46">
        <f t="shared" si="4"/>
        <v>0</v>
      </c>
      <c r="K34" s="43">
        <f t="shared" si="5"/>
        <v>0</v>
      </c>
      <c r="L34" s="43"/>
      <c r="M34" s="46">
        <f t="shared" si="6"/>
        <v>305951.7599030002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</row>
    <row r="35" spans="1:33">
      <c r="A35" s="23">
        <v>31</v>
      </c>
      <c r="B35" s="24"/>
      <c r="C35" s="43"/>
      <c r="D35" s="45" t="s">
        <v>206</v>
      </c>
      <c r="E35" s="44"/>
      <c r="F35" s="44"/>
      <c r="G35" s="43">
        <f t="shared" si="8"/>
        <v>0</v>
      </c>
      <c r="H35" s="44"/>
      <c r="I35" s="44"/>
      <c r="J35" s="46">
        <f t="shared" si="4"/>
        <v>0</v>
      </c>
      <c r="K35" s="43">
        <f t="shared" si="5"/>
        <v>0</v>
      </c>
      <c r="L35" s="43"/>
      <c r="M35" s="46">
        <f t="shared" si="6"/>
        <v>305951.7599030002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</row>
    <row r="36" spans="1:33">
      <c r="A36" s="23">
        <v>32</v>
      </c>
      <c r="B36" s="24"/>
      <c r="C36" s="43"/>
      <c r="D36" s="45" t="s">
        <v>206</v>
      </c>
      <c r="E36" s="44"/>
      <c r="F36" s="44"/>
      <c r="G36" s="43">
        <f t="shared" si="8"/>
        <v>0</v>
      </c>
      <c r="H36" s="44"/>
      <c r="I36" s="44"/>
      <c r="J36" s="46">
        <f t="shared" si="4"/>
        <v>0</v>
      </c>
      <c r="K36" s="43">
        <f t="shared" si="5"/>
        <v>0</v>
      </c>
      <c r="L36" s="43"/>
      <c r="M36" s="46">
        <f t="shared" si="6"/>
        <v>305951.7599030002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</row>
    <row r="37" spans="1:33">
      <c r="A37" s="23">
        <v>33</v>
      </c>
      <c r="B37" s="24"/>
      <c r="C37" s="43"/>
      <c r="D37" s="45" t="s">
        <v>206</v>
      </c>
      <c r="E37" s="44"/>
      <c r="F37" s="44"/>
      <c r="G37" s="43">
        <f t="shared" si="8"/>
        <v>0</v>
      </c>
      <c r="H37" s="44"/>
      <c r="I37" s="44"/>
      <c r="J37" s="46">
        <f t="shared" ref="J6:J37" si="9">H37*I37</f>
        <v>0</v>
      </c>
      <c r="K37" s="43">
        <f t="shared" ref="K6:K38" si="10">G37+J37</f>
        <v>0</v>
      </c>
      <c r="L37" s="43"/>
      <c r="M37" s="46">
        <f t="shared" si="6"/>
        <v>305951.7599030002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33">
      <c r="A38" s="23">
        <v>34</v>
      </c>
      <c r="B38" s="24"/>
      <c r="C38" s="43"/>
      <c r="D38" s="45" t="s">
        <v>206</v>
      </c>
      <c r="E38" s="44"/>
      <c r="F38" s="44"/>
      <c r="G38" s="43">
        <f t="shared" ref="G6:G38" si="11">E38*F38</f>
        <v>0</v>
      </c>
      <c r="H38" s="44"/>
      <c r="I38" s="44"/>
      <c r="J38" s="46">
        <f t="shared" ref="J6:J38" si="12">H38*I38</f>
        <v>0</v>
      </c>
      <c r="K38" s="43">
        <f t="shared" si="10"/>
        <v>0</v>
      </c>
      <c r="L38" s="104"/>
      <c r="M38" s="46">
        <f t="shared" si="6"/>
        <v>305951.7599030002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</row>
    <row r="39" spans="1:33">
      <c r="A39" s="39"/>
      <c r="B39" s="39"/>
      <c r="C39" s="39"/>
      <c r="D39" s="39"/>
      <c r="E39" s="40">
        <f>SUM(E4:E38)</f>
        <v>8000</v>
      </c>
      <c r="F39" s="40"/>
      <c r="G39" s="40">
        <f>SUM(G4:G38)</f>
        <v>793120</v>
      </c>
      <c r="H39" s="40">
        <f>SUM(H4:H38)</f>
        <v>315</v>
      </c>
      <c r="I39" s="40"/>
      <c r="J39" s="40">
        <f>SUM(J4:J38)</f>
        <v>35040.6</v>
      </c>
      <c r="K39" s="40">
        <f>SUM(K4:K38)</f>
        <v>828160.6</v>
      </c>
      <c r="L39" s="40">
        <f>SUM(L4:L38)</f>
        <v>650000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</row>
    <row r="40" spans="1:3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</row>
    <row r="41" spans="1:3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660B-2832-46A0-9F46-5DA983B0C51D}">
  <dimension ref="A1:AG41"/>
  <sheetViews>
    <sheetView workbookViewId="0">
      <pane ySplit="3" topLeftCell="A4" activePane="bottomLeft" state="frozen"/>
      <selection pane="bottomLeft" activeCell="E32" sqref="E32"/>
    </sheetView>
  </sheetViews>
  <sheetFormatPr defaultRowHeight="15"/>
  <cols>
    <col min="2" max="2" width="10.140625" customWidth="1"/>
    <col min="7" max="7" width="11.7109375" customWidth="1"/>
    <col min="11" max="11" width="10.7109375" customWidth="1"/>
    <col min="12" max="12" width="10.28515625" customWidth="1"/>
    <col min="13" max="13" width="11.7109375" customWidth="1"/>
  </cols>
  <sheetData>
    <row r="1" spans="1:33">
      <c r="A1" s="604" t="s">
        <v>207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</row>
    <row r="2" spans="1:33" ht="27">
      <c r="A2" s="84" t="s">
        <v>0</v>
      </c>
      <c r="B2" s="85" t="s">
        <v>168</v>
      </c>
      <c r="C2" s="85" t="s">
        <v>169</v>
      </c>
      <c r="D2" s="85" t="s">
        <v>170</v>
      </c>
      <c r="E2" s="85" t="s">
        <v>171</v>
      </c>
      <c r="F2" s="85" t="s">
        <v>172</v>
      </c>
      <c r="G2" s="85" t="s">
        <v>173</v>
      </c>
      <c r="H2" s="85" t="s">
        <v>174</v>
      </c>
      <c r="I2" s="85" t="s">
        <v>172</v>
      </c>
      <c r="J2" s="108" t="s">
        <v>173</v>
      </c>
      <c r="K2" s="85" t="s">
        <v>175</v>
      </c>
      <c r="L2" s="108" t="s">
        <v>176</v>
      </c>
      <c r="M2" s="107" t="s">
        <v>185</v>
      </c>
      <c r="N2" s="86" t="s">
        <v>178</v>
      </c>
      <c r="O2" s="30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</row>
    <row r="3" spans="1:33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605"/>
      <c r="K3" s="26">
        <v>156607.71919999999</v>
      </c>
      <c r="L3" s="43"/>
      <c r="M3" s="109">
        <v>156607.71919999999</v>
      </c>
      <c r="N3" s="43"/>
      <c r="O3" s="30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</row>
    <row r="4" spans="1:33">
      <c r="A4" s="23">
        <v>1</v>
      </c>
      <c r="B4" s="24">
        <v>46266</v>
      </c>
      <c r="C4" s="44" t="s">
        <v>206</v>
      </c>
      <c r="D4" s="45" t="s">
        <v>206</v>
      </c>
      <c r="E4" s="44"/>
      <c r="F4" s="44"/>
      <c r="G4" s="43">
        <f>E4*F4</f>
        <v>0</v>
      </c>
      <c r="H4" s="44"/>
      <c r="I4" s="44"/>
      <c r="J4" s="46">
        <f>H4*I4</f>
        <v>0</v>
      </c>
      <c r="K4" s="46">
        <f>I4*J4</f>
        <v>0</v>
      </c>
      <c r="L4" s="43"/>
      <c r="M4" s="46">
        <f>M3+K4-L4</f>
        <v>156607.71919999999</v>
      </c>
      <c r="N4" s="43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</row>
    <row r="5" spans="1:33">
      <c r="A5" s="23"/>
      <c r="B5" s="24">
        <v>46267</v>
      </c>
      <c r="C5" s="44"/>
      <c r="D5" s="45"/>
      <c r="E5" s="44"/>
      <c r="F5" s="44"/>
      <c r="G5" s="43">
        <f t="shared" ref="G5:G38" si="0">E5*F5</f>
        <v>0</v>
      </c>
      <c r="H5" s="44"/>
      <c r="I5" s="44"/>
      <c r="J5" s="46">
        <f>H5*I5</f>
        <v>0</v>
      </c>
      <c r="K5" s="46">
        <f t="shared" ref="K5:K38" si="1">I5*J5</f>
        <v>0</v>
      </c>
      <c r="L5" s="43"/>
      <c r="M5" s="46">
        <f>M4+K5-L5</f>
        <v>156607.71919999999</v>
      </c>
      <c r="N5" s="43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</row>
    <row r="6" spans="1:33">
      <c r="A6" s="23">
        <v>2</v>
      </c>
      <c r="B6" s="24">
        <v>46268</v>
      </c>
      <c r="C6" s="44" t="s">
        <v>206</v>
      </c>
      <c r="D6" s="45" t="s">
        <v>206</v>
      </c>
      <c r="E6" s="44"/>
      <c r="F6" s="44"/>
      <c r="G6" s="43">
        <f t="shared" si="0"/>
        <v>0</v>
      </c>
      <c r="H6" s="44"/>
      <c r="I6" s="44"/>
      <c r="J6" s="46">
        <f>H6*I6</f>
        <v>0</v>
      </c>
      <c r="K6" s="46">
        <f t="shared" si="1"/>
        <v>0</v>
      </c>
      <c r="L6" s="43"/>
      <c r="M6" s="46">
        <f>M4+K6-L6</f>
        <v>156607.71919999999</v>
      </c>
      <c r="N6" s="43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</row>
    <row r="7" spans="1:33">
      <c r="A7" s="23">
        <v>3</v>
      </c>
      <c r="B7" s="24">
        <v>46269</v>
      </c>
      <c r="C7" s="44" t="s">
        <v>206</v>
      </c>
      <c r="D7" s="45" t="s">
        <v>206</v>
      </c>
      <c r="E7" s="44"/>
      <c r="F7" s="44"/>
      <c r="G7" s="43">
        <f t="shared" si="0"/>
        <v>0</v>
      </c>
      <c r="H7" s="44"/>
      <c r="I7" s="44"/>
      <c r="J7" s="46">
        <f>H7*I7</f>
        <v>0</v>
      </c>
      <c r="K7" s="46">
        <f t="shared" si="1"/>
        <v>0</v>
      </c>
      <c r="L7" s="43"/>
      <c r="M7" s="46">
        <f t="shared" ref="M7:M38" si="2">M6+K7-L7</f>
        <v>156607.71919999999</v>
      </c>
      <c r="N7" s="43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</row>
    <row r="8" spans="1:33">
      <c r="A8" s="23">
        <v>4</v>
      </c>
      <c r="B8" s="24">
        <v>46270</v>
      </c>
      <c r="C8" s="44" t="s">
        <v>206</v>
      </c>
      <c r="D8" s="45" t="s">
        <v>206</v>
      </c>
      <c r="E8" s="44"/>
      <c r="F8" s="44"/>
      <c r="G8" s="43">
        <f t="shared" si="0"/>
        <v>0</v>
      </c>
      <c r="H8" s="44"/>
      <c r="I8" s="44"/>
      <c r="J8" s="46">
        <f>H8*I8</f>
        <v>0</v>
      </c>
      <c r="K8" s="46">
        <f t="shared" si="1"/>
        <v>0</v>
      </c>
      <c r="L8" s="43"/>
      <c r="M8" s="46">
        <f t="shared" si="2"/>
        <v>156607.71919999999</v>
      </c>
      <c r="N8" s="106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</row>
    <row r="9" spans="1:33">
      <c r="A9" s="23">
        <v>5</v>
      </c>
      <c r="B9" s="24">
        <v>46271</v>
      </c>
      <c r="C9" s="44" t="s">
        <v>206</v>
      </c>
      <c r="D9" s="45" t="s">
        <v>206</v>
      </c>
      <c r="E9" s="44"/>
      <c r="F9" s="44"/>
      <c r="G9" s="43">
        <f t="shared" si="0"/>
        <v>0</v>
      </c>
      <c r="H9" s="44"/>
      <c r="I9" s="44"/>
      <c r="J9" s="46">
        <f>H9*I9</f>
        <v>0</v>
      </c>
      <c r="K9" s="46">
        <f t="shared" si="1"/>
        <v>0</v>
      </c>
      <c r="L9" s="43"/>
      <c r="M9" s="46">
        <f t="shared" si="2"/>
        <v>156607.71919999999</v>
      </c>
      <c r="N9" s="101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</row>
    <row r="10" spans="1:33">
      <c r="A10" s="23">
        <v>6</v>
      </c>
      <c r="B10" s="24">
        <v>46272</v>
      </c>
      <c r="C10" s="44" t="s">
        <v>206</v>
      </c>
      <c r="D10" s="45" t="s">
        <v>206</v>
      </c>
      <c r="E10" s="44"/>
      <c r="F10" s="44"/>
      <c r="G10" s="43">
        <f t="shared" si="0"/>
        <v>0</v>
      </c>
      <c r="H10" s="44"/>
      <c r="I10" s="44"/>
      <c r="J10" s="46">
        <f>H10*I10</f>
        <v>0</v>
      </c>
      <c r="K10" s="46">
        <f t="shared" si="1"/>
        <v>0</v>
      </c>
      <c r="L10" s="43"/>
      <c r="M10" s="46">
        <f t="shared" si="2"/>
        <v>156607.71919999999</v>
      </c>
      <c r="N10" s="106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</row>
    <row r="11" spans="1:33">
      <c r="A11" s="23">
        <v>7</v>
      </c>
      <c r="B11" s="24">
        <v>46273</v>
      </c>
      <c r="C11" s="44" t="s">
        <v>206</v>
      </c>
      <c r="D11" s="45" t="s">
        <v>206</v>
      </c>
      <c r="E11" s="44"/>
      <c r="F11" s="44"/>
      <c r="G11" s="43">
        <f t="shared" si="0"/>
        <v>0</v>
      </c>
      <c r="H11" s="44"/>
      <c r="I11" s="44"/>
      <c r="J11" s="46">
        <f>H11*I11</f>
        <v>0</v>
      </c>
      <c r="K11" s="46">
        <f t="shared" si="1"/>
        <v>0</v>
      </c>
      <c r="L11" s="43"/>
      <c r="M11" s="46">
        <f t="shared" si="2"/>
        <v>156607.71919999999</v>
      </c>
      <c r="N11" s="10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</row>
    <row r="12" spans="1:33">
      <c r="A12" s="23">
        <v>8</v>
      </c>
      <c r="B12" s="24">
        <v>46274</v>
      </c>
      <c r="C12" s="44" t="s">
        <v>206</v>
      </c>
      <c r="D12" s="45" t="s">
        <v>206</v>
      </c>
      <c r="E12" s="44"/>
      <c r="F12" s="44"/>
      <c r="G12" s="43">
        <f t="shared" si="0"/>
        <v>0</v>
      </c>
      <c r="H12" s="44"/>
      <c r="I12" s="44"/>
      <c r="J12" s="46">
        <f>H12*I12</f>
        <v>0</v>
      </c>
      <c r="K12" s="46">
        <f t="shared" si="1"/>
        <v>0</v>
      </c>
      <c r="L12" s="43"/>
      <c r="M12" s="46">
        <f t="shared" si="2"/>
        <v>156607.71919999999</v>
      </c>
      <c r="N12" s="105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</row>
    <row r="13" spans="1:33">
      <c r="A13" s="23">
        <v>9</v>
      </c>
      <c r="B13" s="24">
        <v>46275</v>
      </c>
      <c r="C13" s="44" t="s">
        <v>206</v>
      </c>
      <c r="D13" s="45" t="s">
        <v>206</v>
      </c>
      <c r="E13" s="44"/>
      <c r="F13" s="44"/>
      <c r="G13" s="43">
        <f t="shared" si="0"/>
        <v>0</v>
      </c>
      <c r="H13" s="44"/>
      <c r="I13" s="44"/>
      <c r="J13" s="46">
        <f>H13*I13</f>
        <v>0</v>
      </c>
      <c r="K13" s="46">
        <f t="shared" si="1"/>
        <v>0</v>
      </c>
      <c r="L13" s="43"/>
      <c r="M13" s="46">
        <f t="shared" si="2"/>
        <v>156607.71919999999</v>
      </c>
      <c r="N13" s="101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</row>
    <row r="14" spans="1:33">
      <c r="A14" s="23">
        <v>10</v>
      </c>
      <c r="B14" s="24">
        <v>46276</v>
      </c>
      <c r="C14" s="44" t="s">
        <v>206</v>
      </c>
      <c r="D14" s="45" t="s">
        <v>206</v>
      </c>
      <c r="E14" s="44"/>
      <c r="F14" s="44"/>
      <c r="G14" s="43">
        <f t="shared" si="0"/>
        <v>0</v>
      </c>
      <c r="H14" s="44"/>
      <c r="I14" s="44"/>
      <c r="J14" s="46">
        <f>H14*I14</f>
        <v>0</v>
      </c>
      <c r="K14" s="46">
        <f t="shared" si="1"/>
        <v>0</v>
      </c>
      <c r="L14" s="43"/>
      <c r="M14" s="46">
        <f t="shared" si="2"/>
        <v>156607.71919999999</v>
      </c>
      <c r="N14" s="101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</row>
    <row r="15" spans="1:33">
      <c r="A15" s="23">
        <v>11</v>
      </c>
      <c r="B15" s="24">
        <v>46277</v>
      </c>
      <c r="C15" s="44" t="s">
        <v>206</v>
      </c>
      <c r="D15" s="45" t="s">
        <v>206</v>
      </c>
      <c r="E15" s="44"/>
      <c r="F15" s="44"/>
      <c r="G15" s="43">
        <f t="shared" si="0"/>
        <v>0</v>
      </c>
      <c r="H15" s="44"/>
      <c r="I15" s="44"/>
      <c r="J15" s="46">
        <f>H15*I15</f>
        <v>0</v>
      </c>
      <c r="K15" s="46">
        <f t="shared" si="1"/>
        <v>0</v>
      </c>
      <c r="L15" s="43"/>
      <c r="M15" s="46">
        <f t="shared" si="2"/>
        <v>156607.71919999999</v>
      </c>
      <c r="N15" s="101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</row>
    <row r="16" spans="1:33">
      <c r="A16" s="23">
        <v>12</v>
      </c>
      <c r="B16" s="24">
        <v>46278</v>
      </c>
      <c r="C16" s="44"/>
      <c r="D16" s="45"/>
      <c r="E16" s="44"/>
      <c r="F16" s="44"/>
      <c r="G16" s="43">
        <f t="shared" si="0"/>
        <v>0</v>
      </c>
      <c r="H16" s="44"/>
      <c r="I16" s="44"/>
      <c r="J16" s="46">
        <f>H16*I16</f>
        <v>0</v>
      </c>
      <c r="K16" s="46">
        <f t="shared" si="1"/>
        <v>0</v>
      </c>
      <c r="L16" s="43"/>
      <c r="M16" s="46">
        <f t="shared" si="2"/>
        <v>156607.71919999999</v>
      </c>
      <c r="N16" s="101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</row>
    <row r="17" spans="1:33">
      <c r="A17" s="23">
        <v>13</v>
      </c>
      <c r="B17" s="24">
        <v>46279</v>
      </c>
      <c r="C17" s="44" t="s">
        <v>206</v>
      </c>
      <c r="D17" s="45" t="s">
        <v>206</v>
      </c>
      <c r="E17" s="44"/>
      <c r="F17" s="44"/>
      <c r="G17" s="43">
        <f t="shared" si="0"/>
        <v>0</v>
      </c>
      <c r="H17" s="44"/>
      <c r="I17" s="44"/>
      <c r="J17" s="46">
        <f t="shared" ref="J6:J38" si="3">H17*I17</f>
        <v>0</v>
      </c>
      <c r="K17" s="46">
        <f t="shared" si="1"/>
        <v>0</v>
      </c>
      <c r="L17" s="43"/>
      <c r="M17" s="46">
        <f t="shared" si="2"/>
        <v>156607.71919999999</v>
      </c>
      <c r="N17" s="101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</row>
    <row r="18" spans="1:33">
      <c r="A18" s="23">
        <v>14</v>
      </c>
      <c r="B18" s="24">
        <v>46280</v>
      </c>
      <c r="C18" s="44" t="s">
        <v>206</v>
      </c>
      <c r="D18" s="45" t="s">
        <v>206</v>
      </c>
      <c r="E18" s="44"/>
      <c r="F18" s="44"/>
      <c r="G18" s="43">
        <f t="shared" si="0"/>
        <v>0</v>
      </c>
      <c r="H18" s="44"/>
      <c r="I18" s="44"/>
      <c r="J18" s="46">
        <f t="shared" si="3"/>
        <v>0</v>
      </c>
      <c r="K18" s="46">
        <f t="shared" si="1"/>
        <v>0</v>
      </c>
      <c r="L18" s="43"/>
      <c r="M18" s="46">
        <f t="shared" si="2"/>
        <v>156607.71919999999</v>
      </c>
      <c r="N18" s="101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</row>
    <row r="19" spans="1:33">
      <c r="A19" s="23">
        <v>15</v>
      </c>
      <c r="B19" s="24">
        <v>46281</v>
      </c>
      <c r="C19" s="44" t="s">
        <v>206</v>
      </c>
      <c r="D19" s="45" t="s">
        <v>206</v>
      </c>
      <c r="E19" s="44"/>
      <c r="F19" s="44"/>
      <c r="G19" s="43">
        <f t="shared" si="0"/>
        <v>0</v>
      </c>
      <c r="H19" s="44"/>
      <c r="I19" s="44"/>
      <c r="J19" s="46">
        <f t="shared" si="3"/>
        <v>0</v>
      </c>
      <c r="K19" s="46">
        <f t="shared" si="1"/>
        <v>0</v>
      </c>
      <c r="L19" s="43">
        <v>150000</v>
      </c>
      <c r="M19" s="46">
        <f t="shared" si="2"/>
        <v>6607.7191999999923</v>
      </c>
      <c r="N19" s="46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</row>
    <row r="20" spans="1:33">
      <c r="A20" s="23">
        <v>16</v>
      </c>
      <c r="B20" s="24">
        <v>46282</v>
      </c>
      <c r="C20" s="44" t="s">
        <v>206</v>
      </c>
      <c r="D20" s="45" t="s">
        <v>206</v>
      </c>
      <c r="E20" s="44"/>
      <c r="F20" s="44"/>
      <c r="G20" s="43">
        <f t="shared" si="0"/>
        <v>0</v>
      </c>
      <c r="H20" s="44"/>
      <c r="I20" s="44"/>
      <c r="J20" s="46">
        <f t="shared" si="3"/>
        <v>0</v>
      </c>
      <c r="K20" s="46">
        <f t="shared" si="1"/>
        <v>0</v>
      </c>
      <c r="L20" s="43"/>
      <c r="M20" s="46">
        <f t="shared" si="2"/>
        <v>6607.7191999999923</v>
      </c>
      <c r="N20" s="101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</row>
    <row r="21" spans="1:33">
      <c r="A21" s="23">
        <v>17</v>
      </c>
      <c r="B21" s="24">
        <v>46283</v>
      </c>
      <c r="C21" s="44" t="s">
        <v>206</v>
      </c>
      <c r="D21" s="45" t="s">
        <v>206</v>
      </c>
      <c r="E21" s="44"/>
      <c r="F21" s="44"/>
      <c r="G21" s="43">
        <f t="shared" si="0"/>
        <v>0</v>
      </c>
      <c r="H21" s="44"/>
      <c r="I21" s="44"/>
      <c r="J21" s="46">
        <f t="shared" si="3"/>
        <v>0</v>
      </c>
      <c r="K21" s="46">
        <f t="shared" si="1"/>
        <v>0</v>
      </c>
      <c r="L21" s="43"/>
      <c r="M21" s="46">
        <f t="shared" si="2"/>
        <v>6607.7191999999923</v>
      </c>
      <c r="N21" s="101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</row>
    <row r="22" spans="1:33">
      <c r="A22" s="23">
        <v>18</v>
      </c>
      <c r="B22" s="24">
        <v>46284</v>
      </c>
      <c r="C22" s="44" t="s">
        <v>206</v>
      </c>
      <c r="D22" s="45" t="s">
        <v>206</v>
      </c>
      <c r="E22" s="44"/>
      <c r="F22" s="44"/>
      <c r="G22" s="43">
        <f t="shared" si="0"/>
        <v>0</v>
      </c>
      <c r="H22" s="44"/>
      <c r="I22" s="44"/>
      <c r="J22" s="46">
        <f t="shared" si="3"/>
        <v>0</v>
      </c>
      <c r="K22" s="46">
        <f t="shared" si="1"/>
        <v>0</v>
      </c>
      <c r="L22" s="43"/>
      <c r="M22" s="46">
        <f t="shared" si="2"/>
        <v>6607.7191999999923</v>
      </c>
      <c r="N22" s="101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</row>
    <row r="23" spans="1:33">
      <c r="A23" s="23">
        <v>19</v>
      </c>
      <c r="B23" s="24">
        <v>46285</v>
      </c>
      <c r="C23" s="44" t="s">
        <v>206</v>
      </c>
      <c r="D23" s="45" t="s">
        <v>206</v>
      </c>
      <c r="E23" s="44"/>
      <c r="F23" s="44"/>
      <c r="G23" s="43">
        <f t="shared" si="0"/>
        <v>0</v>
      </c>
      <c r="H23" s="44"/>
      <c r="I23" s="44"/>
      <c r="J23" s="46">
        <f t="shared" si="3"/>
        <v>0</v>
      </c>
      <c r="K23" s="46">
        <f t="shared" si="1"/>
        <v>0</v>
      </c>
      <c r="L23" s="43"/>
      <c r="M23" s="46">
        <f t="shared" si="2"/>
        <v>6607.7191999999923</v>
      </c>
      <c r="N23" s="101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</row>
    <row r="24" spans="1:33">
      <c r="A24" s="23">
        <v>20</v>
      </c>
      <c r="B24" s="24">
        <v>46286</v>
      </c>
      <c r="C24" s="44" t="s">
        <v>206</v>
      </c>
      <c r="D24" s="45" t="s">
        <v>206</v>
      </c>
      <c r="E24" s="44"/>
      <c r="F24" s="44"/>
      <c r="G24" s="43">
        <f t="shared" si="0"/>
        <v>0</v>
      </c>
      <c r="H24" s="44"/>
      <c r="I24" s="44"/>
      <c r="J24" s="46">
        <f t="shared" si="3"/>
        <v>0</v>
      </c>
      <c r="K24" s="46">
        <f t="shared" si="1"/>
        <v>0</v>
      </c>
      <c r="L24" s="43"/>
      <c r="M24" s="46">
        <f t="shared" si="2"/>
        <v>6607.7191999999923</v>
      </c>
      <c r="N24" s="101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</row>
    <row r="25" spans="1:33">
      <c r="A25" s="23">
        <v>21</v>
      </c>
      <c r="B25" s="24">
        <v>46287</v>
      </c>
      <c r="C25" s="44" t="s">
        <v>206</v>
      </c>
      <c r="D25" s="45" t="s">
        <v>206</v>
      </c>
      <c r="E25" s="44"/>
      <c r="F25" s="44"/>
      <c r="G25" s="43">
        <f t="shared" si="0"/>
        <v>0</v>
      </c>
      <c r="H25" s="44"/>
      <c r="I25" s="44"/>
      <c r="J25" s="46">
        <f t="shared" si="3"/>
        <v>0</v>
      </c>
      <c r="K25" s="46">
        <f t="shared" si="1"/>
        <v>0</v>
      </c>
      <c r="L25" s="43"/>
      <c r="M25" s="46">
        <f t="shared" si="2"/>
        <v>6607.7191999999923</v>
      </c>
      <c r="N25" s="10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</row>
    <row r="26" spans="1:33">
      <c r="A26" s="23">
        <v>22</v>
      </c>
      <c r="B26" s="24">
        <v>46288</v>
      </c>
      <c r="C26" s="44" t="s">
        <v>206</v>
      </c>
      <c r="D26" s="45" t="s">
        <v>206</v>
      </c>
      <c r="E26" s="44"/>
      <c r="F26" s="44"/>
      <c r="G26" s="43">
        <f t="shared" si="0"/>
        <v>0</v>
      </c>
      <c r="H26" s="44"/>
      <c r="I26" s="44"/>
      <c r="J26" s="46">
        <f t="shared" si="3"/>
        <v>0</v>
      </c>
      <c r="K26" s="46">
        <f t="shared" si="1"/>
        <v>0</v>
      </c>
      <c r="L26" s="43"/>
      <c r="M26" s="46">
        <f t="shared" si="2"/>
        <v>6607.7191999999923</v>
      </c>
      <c r="N26" s="101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</row>
    <row r="27" spans="1:33">
      <c r="A27" s="23">
        <v>23</v>
      </c>
      <c r="B27" s="24">
        <v>46289</v>
      </c>
      <c r="C27" s="44" t="s">
        <v>206</v>
      </c>
      <c r="D27" s="45" t="s">
        <v>206</v>
      </c>
      <c r="E27" s="44"/>
      <c r="F27" s="44"/>
      <c r="G27" s="43">
        <f t="shared" si="0"/>
        <v>0</v>
      </c>
      <c r="H27" s="44"/>
      <c r="I27" s="44"/>
      <c r="J27" s="46">
        <f t="shared" si="3"/>
        <v>0</v>
      </c>
      <c r="K27" s="46">
        <f t="shared" si="1"/>
        <v>0</v>
      </c>
      <c r="L27" s="43"/>
      <c r="M27" s="46">
        <f t="shared" si="2"/>
        <v>6607.7191999999923</v>
      </c>
      <c r="N27" s="101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</row>
    <row r="28" spans="1:33">
      <c r="A28" s="23">
        <v>24</v>
      </c>
      <c r="B28" s="24">
        <v>46290</v>
      </c>
      <c r="C28" s="44" t="s">
        <v>206</v>
      </c>
      <c r="D28" s="45" t="s">
        <v>206</v>
      </c>
      <c r="E28" s="44">
        <v>800</v>
      </c>
      <c r="F28" s="44">
        <v>99.02</v>
      </c>
      <c r="G28" s="43">
        <f t="shared" si="0"/>
        <v>79216</v>
      </c>
      <c r="H28" s="44">
        <v>70</v>
      </c>
      <c r="I28" s="300">
        <v>111.12</v>
      </c>
      <c r="J28" s="46">
        <f t="shared" si="3"/>
        <v>7778.4000000000005</v>
      </c>
      <c r="K28" s="43">
        <f t="shared" ref="K28:K32" si="4">G28+J28</f>
        <v>86994.4</v>
      </c>
      <c r="L28" s="43"/>
      <c r="M28" s="46">
        <f t="shared" si="2"/>
        <v>93602.119199999986</v>
      </c>
      <c r="N28" s="101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</row>
    <row r="29" spans="1:33">
      <c r="A29" s="23">
        <v>25</v>
      </c>
      <c r="B29" s="24">
        <v>46291</v>
      </c>
      <c r="C29" s="44" t="s">
        <v>206</v>
      </c>
      <c r="D29" s="45" t="s">
        <v>206</v>
      </c>
      <c r="E29" s="44">
        <v>800</v>
      </c>
      <c r="F29" s="44">
        <v>99.02</v>
      </c>
      <c r="G29" s="43">
        <f t="shared" si="0"/>
        <v>79216</v>
      </c>
      <c r="H29" s="44"/>
      <c r="I29" s="44"/>
      <c r="J29" s="46">
        <f t="shared" si="3"/>
        <v>0</v>
      </c>
      <c r="K29" s="43">
        <f t="shared" si="4"/>
        <v>79216</v>
      </c>
      <c r="L29" s="43"/>
      <c r="M29" s="46">
        <f t="shared" si="2"/>
        <v>172818.11919999999</v>
      </c>
      <c r="N29" s="10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</row>
    <row r="30" spans="1:33">
      <c r="A30" s="23">
        <v>26</v>
      </c>
      <c r="B30" s="24">
        <v>46292</v>
      </c>
      <c r="C30" s="44"/>
      <c r="D30" s="45"/>
      <c r="E30" s="44"/>
      <c r="F30" s="44"/>
      <c r="G30" s="43">
        <f t="shared" si="0"/>
        <v>0</v>
      </c>
      <c r="H30" s="44"/>
      <c r="I30" s="44"/>
      <c r="J30" s="46">
        <f t="shared" si="3"/>
        <v>0</v>
      </c>
      <c r="K30" s="43">
        <f t="shared" si="4"/>
        <v>0</v>
      </c>
      <c r="L30" s="43"/>
      <c r="M30" s="46">
        <f t="shared" si="2"/>
        <v>172818.11919999999</v>
      </c>
      <c r="N30" s="101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</row>
    <row r="31" spans="1:33">
      <c r="A31" s="23">
        <v>27</v>
      </c>
      <c r="B31" s="24">
        <v>46293</v>
      </c>
      <c r="C31" s="44"/>
      <c r="D31" s="45"/>
      <c r="E31" s="44">
        <v>800</v>
      </c>
      <c r="F31" s="44">
        <v>99.02</v>
      </c>
      <c r="G31" s="43">
        <f t="shared" si="0"/>
        <v>79216</v>
      </c>
      <c r="H31" s="44">
        <v>35</v>
      </c>
      <c r="I31" s="44">
        <v>111.12</v>
      </c>
      <c r="J31" s="46">
        <f>H31*I31</f>
        <v>3889.2000000000003</v>
      </c>
      <c r="K31" s="43">
        <f t="shared" si="4"/>
        <v>83105.2</v>
      </c>
      <c r="L31" s="43"/>
      <c r="M31" s="46">
        <f t="shared" si="2"/>
        <v>255923.31919999997</v>
      </c>
      <c r="N31" s="101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</row>
    <row r="32" spans="1:33">
      <c r="A32" s="23">
        <v>28</v>
      </c>
      <c r="B32" s="24">
        <v>46294</v>
      </c>
      <c r="C32" s="44" t="s">
        <v>206</v>
      </c>
      <c r="D32" s="45" t="s">
        <v>206</v>
      </c>
      <c r="E32" s="44"/>
      <c r="F32" s="44"/>
      <c r="G32" s="43">
        <f t="shared" si="0"/>
        <v>0</v>
      </c>
      <c r="H32" s="44"/>
      <c r="I32" s="44"/>
      <c r="J32" s="46">
        <f t="shared" si="3"/>
        <v>0</v>
      </c>
      <c r="K32" s="43">
        <f t="shared" si="4"/>
        <v>0</v>
      </c>
      <c r="L32" s="43"/>
      <c r="M32" s="46">
        <f t="shared" si="2"/>
        <v>255923.31919999997</v>
      </c>
      <c r="N32" s="10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</row>
    <row r="33" spans="1:33">
      <c r="A33" s="23">
        <v>29</v>
      </c>
      <c r="B33" s="24">
        <v>46295</v>
      </c>
      <c r="C33" s="44" t="s">
        <v>206</v>
      </c>
      <c r="D33" s="45" t="s">
        <v>206</v>
      </c>
      <c r="E33" s="44"/>
      <c r="F33" s="44"/>
      <c r="G33" s="43">
        <f t="shared" si="0"/>
        <v>0</v>
      </c>
      <c r="H33" s="44"/>
      <c r="I33" s="44"/>
      <c r="J33" s="46">
        <f t="shared" si="3"/>
        <v>0</v>
      </c>
      <c r="K33" s="46">
        <f t="shared" si="1"/>
        <v>0</v>
      </c>
      <c r="L33" s="43"/>
      <c r="M33" s="46">
        <f t="shared" si="2"/>
        <v>255923.31919999997</v>
      </c>
      <c r="N33" s="101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</row>
    <row r="34" spans="1:33">
      <c r="A34" s="23">
        <v>30</v>
      </c>
      <c r="B34" s="24"/>
      <c r="C34" s="44" t="s">
        <v>206</v>
      </c>
      <c r="D34" s="45" t="s">
        <v>206</v>
      </c>
      <c r="E34" s="44"/>
      <c r="F34" s="44"/>
      <c r="G34" s="43">
        <f>E34*F34</f>
        <v>0</v>
      </c>
      <c r="H34" s="44"/>
      <c r="I34" s="44"/>
      <c r="J34" s="46">
        <f>H34*I34</f>
        <v>0</v>
      </c>
      <c r="K34" s="46">
        <f>G34+J34</f>
        <v>0</v>
      </c>
      <c r="L34" s="43"/>
      <c r="M34" s="46">
        <f t="shared" si="2"/>
        <v>255923.31919999997</v>
      </c>
      <c r="N34" s="101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</row>
    <row r="35" spans="1:33">
      <c r="A35" s="23">
        <v>31</v>
      </c>
      <c r="B35" s="24"/>
      <c r="C35" s="43"/>
      <c r="D35" s="45" t="s">
        <v>206</v>
      </c>
      <c r="E35" s="44"/>
      <c r="F35" s="44"/>
      <c r="G35" s="43">
        <f t="shared" si="0"/>
        <v>0</v>
      </c>
      <c r="H35" s="44"/>
      <c r="I35" s="44"/>
      <c r="J35" s="46">
        <f t="shared" si="3"/>
        <v>0</v>
      </c>
      <c r="K35" s="46">
        <f t="shared" si="1"/>
        <v>0</v>
      </c>
      <c r="L35" s="43"/>
      <c r="M35" s="46">
        <f t="shared" si="2"/>
        <v>255923.31919999997</v>
      </c>
      <c r="N35" s="101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</row>
    <row r="36" spans="1:33">
      <c r="A36" s="23">
        <v>32</v>
      </c>
      <c r="B36" s="24"/>
      <c r="C36" s="43"/>
      <c r="D36" s="45" t="s">
        <v>206</v>
      </c>
      <c r="E36" s="44"/>
      <c r="F36" s="44"/>
      <c r="G36" s="43">
        <f t="shared" si="0"/>
        <v>0</v>
      </c>
      <c r="H36" s="44"/>
      <c r="I36" s="44"/>
      <c r="J36" s="46">
        <f t="shared" si="3"/>
        <v>0</v>
      </c>
      <c r="K36" s="46">
        <f t="shared" si="1"/>
        <v>0</v>
      </c>
      <c r="L36" s="43"/>
      <c r="M36" s="46">
        <f t="shared" si="2"/>
        <v>255923.31919999997</v>
      </c>
      <c r="N36" s="101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</row>
    <row r="37" spans="1:33">
      <c r="A37" s="23">
        <v>33</v>
      </c>
      <c r="B37" s="24"/>
      <c r="C37" s="43"/>
      <c r="D37" s="45" t="s">
        <v>206</v>
      </c>
      <c r="E37" s="44"/>
      <c r="F37" s="44"/>
      <c r="G37" s="43">
        <f t="shared" si="0"/>
        <v>0</v>
      </c>
      <c r="H37" s="44"/>
      <c r="I37" s="44"/>
      <c r="J37" s="46">
        <f t="shared" si="3"/>
        <v>0</v>
      </c>
      <c r="K37" s="46">
        <f t="shared" si="1"/>
        <v>0</v>
      </c>
      <c r="L37" s="43"/>
      <c r="M37" s="46">
        <f t="shared" si="2"/>
        <v>255923.31919999997</v>
      </c>
      <c r="N37" s="101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</row>
    <row r="38" spans="1:33">
      <c r="A38" s="23">
        <v>34</v>
      </c>
      <c r="B38" s="24"/>
      <c r="C38" s="43"/>
      <c r="D38" s="45" t="s">
        <v>206</v>
      </c>
      <c r="E38" s="44"/>
      <c r="F38" s="44"/>
      <c r="G38" s="43">
        <f t="shared" si="0"/>
        <v>0</v>
      </c>
      <c r="H38" s="44"/>
      <c r="I38" s="44"/>
      <c r="J38" s="46">
        <f t="shared" si="3"/>
        <v>0</v>
      </c>
      <c r="K38" s="46">
        <f t="shared" si="1"/>
        <v>0</v>
      </c>
      <c r="L38" s="104"/>
      <c r="M38" s="46">
        <f t="shared" si="2"/>
        <v>255923.31919999997</v>
      </c>
      <c r="N38" s="101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</row>
    <row r="39" spans="1:33">
      <c r="A39" s="39"/>
      <c r="B39" s="39"/>
      <c r="C39" s="39"/>
      <c r="D39" s="39"/>
      <c r="E39" s="40">
        <f>SUM(E4:E38)</f>
        <v>2400</v>
      </c>
      <c r="F39" s="40"/>
      <c r="G39" s="40">
        <f>SUM(G4:G38)</f>
        <v>237648</v>
      </c>
      <c r="H39" s="40">
        <f>SUM(H4:H38)</f>
        <v>105</v>
      </c>
      <c r="I39" s="40"/>
      <c r="J39" s="40">
        <f>SUM(J4:J38)</f>
        <v>11667.6</v>
      </c>
      <c r="K39" s="40">
        <f>SUM(K4:K38)</f>
        <v>249315.59999999998</v>
      </c>
      <c r="L39" s="40">
        <f>SUM(L4:L38)</f>
        <v>150000</v>
      </c>
      <c r="M39" s="40"/>
      <c r="N39" s="40"/>
      <c r="O39" s="30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</row>
    <row r="40" spans="1:3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</row>
    <row r="41" spans="1:3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workbookViewId="0">
      <pane ySplit="3" topLeftCell="A20" activePane="bottomLeft" state="frozen"/>
      <selection pane="bottomLeft" activeCell="J26" sqref="J26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4" max="14" width="14.85546875" bestFit="1" customWidth="1"/>
    <col min="16" max="16" width="10" customWidth="1"/>
  </cols>
  <sheetData>
    <row r="1" spans="1:14" ht="15.75" customHeight="1">
      <c r="A1" s="606" t="s">
        <v>104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25.5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02" t="s">
        <v>175</v>
      </c>
      <c r="L2" s="102" t="s">
        <v>176</v>
      </c>
      <c r="M2" s="102" t="s">
        <v>185</v>
      </c>
      <c r="N2" s="102" t="s">
        <v>178</v>
      </c>
    </row>
    <row r="3" spans="1:14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>
        <v>118809.59409999978</v>
      </c>
      <c r="L3" s="145">
        <v>118809.59409999978</v>
      </c>
      <c r="M3" s="145">
        <v>118809.59409999978</v>
      </c>
      <c r="N3" s="103"/>
    </row>
    <row r="4" spans="1:14">
      <c r="A4" s="23">
        <v>1</v>
      </c>
      <c r="B4" s="24">
        <v>46266</v>
      </c>
      <c r="C4" s="103"/>
      <c r="D4" s="117"/>
      <c r="E4" s="33"/>
      <c r="F4" s="33"/>
      <c r="G4" s="33">
        <f>E4*F4</f>
        <v>0</v>
      </c>
      <c r="H4" s="118"/>
      <c r="I4" s="118"/>
      <c r="J4" s="33">
        <f>H4*I4</f>
        <v>0</v>
      </c>
      <c r="K4" s="33">
        <f>G4+J4</f>
        <v>0</v>
      </c>
      <c r="L4" s="33"/>
      <c r="M4" s="33">
        <f t="shared" ref="M4:M33" si="0">M3+K4-L4</f>
        <v>118809.59409999978</v>
      </c>
      <c r="N4" s="103"/>
    </row>
    <row r="5" spans="1:14">
      <c r="A5" s="23">
        <v>2</v>
      </c>
      <c r="B5" s="24">
        <v>46267</v>
      </c>
      <c r="C5" s="103"/>
      <c r="D5" s="117"/>
      <c r="E5" s="33"/>
      <c r="F5" s="33"/>
      <c r="G5" s="33">
        <f t="shared" ref="G5:G31" si="1">E5*F5</f>
        <v>0</v>
      </c>
      <c r="H5" s="118"/>
      <c r="I5" s="118"/>
      <c r="J5" s="33">
        <f t="shared" ref="J5:J31" si="2">H5*I5</f>
        <v>0</v>
      </c>
      <c r="K5" s="33">
        <f t="shared" ref="K5:K31" si="3">G5+J5</f>
        <v>0</v>
      </c>
      <c r="L5" s="33"/>
      <c r="M5" s="33">
        <f t="shared" si="0"/>
        <v>118809.59409999978</v>
      </c>
      <c r="N5" s="103"/>
    </row>
    <row r="6" spans="1:14">
      <c r="A6" s="23">
        <v>3</v>
      </c>
      <c r="B6" s="24">
        <v>46268</v>
      </c>
      <c r="C6" s="103"/>
      <c r="D6" s="117"/>
      <c r="E6" s="33"/>
      <c r="F6" s="33"/>
      <c r="G6" s="33">
        <f t="shared" si="1"/>
        <v>0</v>
      </c>
      <c r="H6" s="118"/>
      <c r="I6" s="118"/>
      <c r="J6" s="33">
        <f t="shared" si="2"/>
        <v>0</v>
      </c>
      <c r="K6" s="33">
        <f t="shared" si="3"/>
        <v>0</v>
      </c>
      <c r="L6" s="33"/>
      <c r="M6" s="33">
        <f t="shared" si="0"/>
        <v>118809.59409999978</v>
      </c>
      <c r="N6" s="41"/>
    </row>
    <row r="7" spans="1:14">
      <c r="A7" s="23">
        <v>4</v>
      </c>
      <c r="B7" s="24">
        <v>46269</v>
      </c>
      <c r="C7" s="103"/>
      <c r="D7" s="117"/>
      <c r="E7" s="33"/>
      <c r="F7" s="33"/>
      <c r="G7" s="33">
        <f t="shared" si="1"/>
        <v>0</v>
      </c>
      <c r="H7" s="118"/>
      <c r="I7" s="118"/>
      <c r="J7" s="33">
        <f t="shared" si="2"/>
        <v>0</v>
      </c>
      <c r="K7" s="33">
        <f t="shared" si="3"/>
        <v>0</v>
      </c>
      <c r="L7" s="33"/>
      <c r="M7" s="33">
        <f t="shared" si="0"/>
        <v>118809.59409999978</v>
      </c>
      <c r="N7" s="41"/>
    </row>
    <row r="8" spans="1:14">
      <c r="A8" s="23">
        <v>5</v>
      </c>
      <c r="B8" s="24">
        <v>46270</v>
      </c>
      <c r="C8" s="103"/>
      <c r="D8" s="117"/>
      <c r="E8" s="33"/>
      <c r="F8" s="33"/>
      <c r="G8" s="33">
        <f t="shared" ref="G8:G20" si="4">E8*F8</f>
        <v>0</v>
      </c>
      <c r="H8" s="118"/>
      <c r="I8" s="118"/>
      <c r="J8" s="33">
        <f t="shared" ref="J8:J20" si="5">H8*I8</f>
        <v>0</v>
      </c>
      <c r="K8" s="33">
        <f t="shared" ref="K8:K34" si="6">G8+J8</f>
        <v>0</v>
      </c>
      <c r="L8" s="33"/>
      <c r="M8" s="33">
        <f t="shared" si="0"/>
        <v>118809.59409999978</v>
      </c>
      <c r="N8" s="41"/>
    </row>
    <row r="9" spans="1:14">
      <c r="A9" s="23">
        <v>6</v>
      </c>
      <c r="B9" s="24">
        <v>46271</v>
      </c>
      <c r="C9" s="103"/>
      <c r="D9" s="117"/>
      <c r="E9" s="33"/>
      <c r="F9" s="33"/>
      <c r="G9" s="33">
        <f t="shared" si="4"/>
        <v>0</v>
      </c>
      <c r="H9" s="118"/>
      <c r="I9" s="118"/>
      <c r="J9" s="33">
        <f t="shared" si="5"/>
        <v>0</v>
      </c>
      <c r="K9" s="33">
        <f t="shared" si="6"/>
        <v>0</v>
      </c>
      <c r="L9" s="33"/>
      <c r="M9" s="33">
        <f t="shared" si="0"/>
        <v>118809.59409999978</v>
      </c>
      <c r="N9" s="41"/>
    </row>
    <row r="10" spans="1:14">
      <c r="A10" s="23">
        <v>7</v>
      </c>
      <c r="B10" s="24">
        <v>46272</v>
      </c>
      <c r="C10" s="103"/>
      <c r="D10" s="117"/>
      <c r="E10" s="33"/>
      <c r="F10" s="33"/>
      <c r="G10" s="33">
        <f t="shared" si="4"/>
        <v>0</v>
      </c>
      <c r="H10" s="118"/>
      <c r="I10" s="118"/>
      <c r="J10" s="33">
        <f t="shared" si="5"/>
        <v>0</v>
      </c>
      <c r="K10" s="33">
        <f t="shared" si="6"/>
        <v>0</v>
      </c>
      <c r="L10" s="33"/>
      <c r="M10" s="33">
        <f t="shared" si="0"/>
        <v>118809.59409999978</v>
      </c>
      <c r="N10" s="41"/>
    </row>
    <row r="11" spans="1:14">
      <c r="A11" s="23">
        <v>8</v>
      </c>
      <c r="B11" s="24">
        <v>46273</v>
      </c>
      <c r="C11" s="103"/>
      <c r="D11" s="117"/>
      <c r="E11" s="33"/>
      <c r="F11" s="33"/>
      <c r="G11" s="33">
        <f t="shared" si="4"/>
        <v>0</v>
      </c>
      <c r="H11" s="118"/>
      <c r="I11" s="118"/>
      <c r="J11" s="33">
        <f t="shared" si="5"/>
        <v>0</v>
      </c>
      <c r="K11" s="33">
        <f t="shared" si="6"/>
        <v>0</v>
      </c>
      <c r="L11" s="33"/>
      <c r="M11" s="33">
        <f t="shared" si="0"/>
        <v>118809.59409999978</v>
      </c>
      <c r="N11" s="41"/>
    </row>
    <row r="12" spans="1:14">
      <c r="A12" s="23">
        <v>9</v>
      </c>
      <c r="B12" s="24">
        <v>46274</v>
      </c>
      <c r="C12" s="103"/>
      <c r="D12" s="117"/>
      <c r="E12" s="33"/>
      <c r="F12" s="33"/>
      <c r="G12" s="33">
        <f t="shared" si="4"/>
        <v>0</v>
      </c>
      <c r="H12" s="118"/>
      <c r="I12" s="118"/>
      <c r="J12" s="33">
        <f t="shared" si="5"/>
        <v>0</v>
      </c>
      <c r="K12" s="33">
        <f t="shared" si="6"/>
        <v>0</v>
      </c>
      <c r="L12" s="33"/>
      <c r="M12" s="33">
        <f t="shared" si="0"/>
        <v>118809.59409999978</v>
      </c>
      <c r="N12" s="41"/>
    </row>
    <row r="13" spans="1:14">
      <c r="A13" s="23">
        <v>10</v>
      </c>
      <c r="B13" s="24">
        <v>46275</v>
      </c>
      <c r="C13" s="103"/>
      <c r="D13" s="117"/>
      <c r="E13" s="33"/>
      <c r="F13" s="33"/>
      <c r="G13" s="33">
        <f t="shared" si="4"/>
        <v>0</v>
      </c>
      <c r="H13" s="118"/>
      <c r="I13" s="118"/>
      <c r="J13" s="33">
        <f t="shared" si="5"/>
        <v>0</v>
      </c>
      <c r="K13" s="33">
        <f t="shared" si="6"/>
        <v>0</v>
      </c>
      <c r="L13" s="33"/>
      <c r="M13" s="33">
        <f t="shared" si="0"/>
        <v>118809.59409999978</v>
      </c>
      <c r="N13" s="41"/>
    </row>
    <row r="14" spans="1:14">
      <c r="A14" s="23">
        <v>11</v>
      </c>
      <c r="B14" s="24">
        <v>46276</v>
      </c>
      <c r="C14" s="103"/>
      <c r="D14" s="117"/>
      <c r="E14" s="33"/>
      <c r="F14" s="33"/>
      <c r="G14" s="33">
        <f t="shared" si="4"/>
        <v>0</v>
      </c>
      <c r="H14" s="118"/>
      <c r="I14" s="118"/>
      <c r="J14" s="33">
        <f t="shared" si="5"/>
        <v>0</v>
      </c>
      <c r="K14" s="33">
        <f t="shared" si="6"/>
        <v>0</v>
      </c>
      <c r="L14" s="33"/>
      <c r="M14" s="33">
        <f t="shared" si="0"/>
        <v>118809.59409999978</v>
      </c>
      <c r="N14" s="41"/>
    </row>
    <row r="15" spans="1:14">
      <c r="A15" s="23">
        <v>12</v>
      </c>
      <c r="B15" s="24">
        <v>46277</v>
      </c>
      <c r="C15" s="103"/>
      <c r="D15" s="117"/>
      <c r="E15" s="33"/>
      <c r="F15" s="33"/>
      <c r="G15" s="33">
        <f t="shared" si="4"/>
        <v>0</v>
      </c>
      <c r="H15" s="118"/>
      <c r="I15" s="118"/>
      <c r="J15" s="33">
        <f t="shared" si="5"/>
        <v>0</v>
      </c>
      <c r="K15" s="33">
        <f t="shared" si="6"/>
        <v>0</v>
      </c>
      <c r="L15" s="33"/>
      <c r="M15" s="33">
        <f t="shared" si="0"/>
        <v>118809.59409999978</v>
      </c>
      <c r="N15" s="41"/>
    </row>
    <row r="16" spans="1:14">
      <c r="A16" s="23">
        <v>13</v>
      </c>
      <c r="B16" s="24">
        <v>46278</v>
      </c>
      <c r="C16" s="103"/>
      <c r="D16" s="117"/>
      <c r="E16" s="33"/>
      <c r="F16" s="33"/>
      <c r="G16" s="33">
        <f t="shared" si="4"/>
        <v>0</v>
      </c>
      <c r="H16" s="118"/>
      <c r="I16" s="118"/>
      <c r="J16" s="33">
        <f t="shared" si="5"/>
        <v>0</v>
      </c>
      <c r="K16" s="33">
        <f t="shared" si="6"/>
        <v>0</v>
      </c>
      <c r="L16" s="33"/>
      <c r="M16" s="33">
        <f t="shared" si="0"/>
        <v>118809.59409999978</v>
      </c>
      <c r="N16" s="41"/>
    </row>
    <row r="17" spans="1:14">
      <c r="A17" s="23">
        <v>14</v>
      </c>
      <c r="B17" s="24">
        <v>46279</v>
      </c>
      <c r="C17" s="103"/>
      <c r="D17" s="117"/>
      <c r="E17" s="33"/>
      <c r="F17" s="33"/>
      <c r="G17" s="33">
        <f t="shared" si="4"/>
        <v>0</v>
      </c>
      <c r="H17" s="118"/>
      <c r="I17" s="118"/>
      <c r="J17" s="33">
        <f t="shared" si="5"/>
        <v>0</v>
      </c>
      <c r="K17" s="33">
        <f t="shared" si="6"/>
        <v>0</v>
      </c>
      <c r="L17" s="33"/>
      <c r="M17" s="33">
        <f t="shared" si="0"/>
        <v>118809.59409999978</v>
      </c>
      <c r="N17" s="41"/>
    </row>
    <row r="18" spans="1:14">
      <c r="A18" s="23">
        <v>15</v>
      </c>
      <c r="B18" s="24">
        <v>46280</v>
      </c>
      <c r="C18" s="103"/>
      <c r="D18" s="117"/>
      <c r="E18" s="33"/>
      <c r="F18" s="33"/>
      <c r="G18" s="33">
        <f t="shared" si="4"/>
        <v>0</v>
      </c>
      <c r="H18" s="118"/>
      <c r="I18" s="118"/>
      <c r="J18" s="33">
        <f t="shared" si="5"/>
        <v>0</v>
      </c>
      <c r="K18" s="33">
        <f t="shared" si="6"/>
        <v>0</v>
      </c>
      <c r="L18" s="33"/>
      <c r="M18" s="33">
        <f t="shared" si="0"/>
        <v>118809.59409999978</v>
      </c>
      <c r="N18" s="41"/>
    </row>
    <row r="19" spans="1:14">
      <c r="A19" s="23">
        <v>16</v>
      </c>
      <c r="B19" s="24">
        <v>46281</v>
      </c>
      <c r="C19" s="103"/>
      <c r="D19" s="117"/>
      <c r="E19" s="33"/>
      <c r="F19" s="33"/>
      <c r="G19" s="33">
        <f t="shared" si="4"/>
        <v>0</v>
      </c>
      <c r="H19" s="118"/>
      <c r="I19" s="118"/>
      <c r="J19" s="33">
        <f t="shared" si="5"/>
        <v>0</v>
      </c>
      <c r="K19" s="33">
        <f t="shared" si="6"/>
        <v>0</v>
      </c>
      <c r="L19" s="33">
        <v>100000</v>
      </c>
      <c r="M19" s="33">
        <f t="shared" si="0"/>
        <v>18809.594099999784</v>
      </c>
      <c r="N19" s="41"/>
    </row>
    <row r="20" spans="1:14">
      <c r="A20" s="23">
        <v>17</v>
      </c>
      <c r="B20" s="24">
        <v>46282</v>
      </c>
      <c r="C20" s="103"/>
      <c r="D20" s="117"/>
      <c r="E20" s="33">
        <v>1000</v>
      </c>
      <c r="F20" s="33">
        <v>99.38</v>
      </c>
      <c r="G20" s="33">
        <f t="shared" si="4"/>
        <v>99380</v>
      </c>
      <c r="H20" s="118">
        <v>70</v>
      </c>
      <c r="I20" s="118">
        <v>111.72</v>
      </c>
      <c r="J20" s="33">
        <f t="shared" si="5"/>
        <v>7820.4</v>
      </c>
      <c r="K20" s="33">
        <f t="shared" si="6"/>
        <v>107200.4</v>
      </c>
      <c r="L20" s="33"/>
      <c r="M20" s="33">
        <f t="shared" si="0"/>
        <v>126009.99409999978</v>
      </c>
      <c r="N20" s="41"/>
    </row>
    <row r="21" spans="1:14">
      <c r="A21" s="23">
        <v>18</v>
      </c>
      <c r="B21" s="24">
        <v>46283</v>
      </c>
      <c r="C21" s="103"/>
      <c r="D21" s="117"/>
      <c r="E21" s="33"/>
      <c r="F21" s="33"/>
      <c r="G21" s="33">
        <f t="shared" si="1"/>
        <v>0</v>
      </c>
      <c r="H21" s="118"/>
      <c r="I21" s="118"/>
      <c r="J21" s="33">
        <f t="shared" si="2"/>
        <v>0</v>
      </c>
      <c r="K21" s="33">
        <f t="shared" si="6"/>
        <v>0</v>
      </c>
      <c r="L21" s="33"/>
      <c r="M21" s="33">
        <f t="shared" si="0"/>
        <v>126009.99409999978</v>
      </c>
      <c r="N21" s="41"/>
    </row>
    <row r="22" spans="1:14">
      <c r="A22" s="23">
        <v>19</v>
      </c>
      <c r="B22" s="24">
        <v>46284</v>
      </c>
      <c r="C22" s="103"/>
      <c r="D22" s="117"/>
      <c r="E22" s="33"/>
      <c r="F22" s="33"/>
      <c r="G22" s="33">
        <f t="shared" si="1"/>
        <v>0</v>
      </c>
      <c r="H22" s="118"/>
      <c r="I22" s="118"/>
      <c r="J22" s="33">
        <f t="shared" si="2"/>
        <v>0</v>
      </c>
      <c r="K22" s="33">
        <f t="shared" si="6"/>
        <v>0</v>
      </c>
      <c r="L22" s="33"/>
      <c r="M22" s="33">
        <f t="shared" si="0"/>
        <v>126009.99409999978</v>
      </c>
      <c r="N22" s="41"/>
    </row>
    <row r="23" spans="1:14">
      <c r="A23" s="23">
        <v>20</v>
      </c>
      <c r="B23" s="24">
        <v>46285</v>
      </c>
      <c r="C23" s="103"/>
      <c r="D23" s="117"/>
      <c r="E23" s="33"/>
      <c r="F23" s="33"/>
      <c r="G23" s="33">
        <f t="shared" si="1"/>
        <v>0</v>
      </c>
      <c r="H23" s="118"/>
      <c r="I23" s="118"/>
      <c r="J23" s="33">
        <f t="shared" si="2"/>
        <v>0</v>
      </c>
      <c r="K23" s="33">
        <f t="shared" si="6"/>
        <v>0</v>
      </c>
      <c r="L23" s="33"/>
      <c r="M23" s="33">
        <f t="shared" si="0"/>
        <v>126009.99409999978</v>
      </c>
      <c r="N23" s="41"/>
    </row>
    <row r="24" spans="1:14">
      <c r="A24" s="23">
        <v>21</v>
      </c>
      <c r="B24" s="24">
        <v>46286</v>
      </c>
      <c r="C24" s="103"/>
      <c r="D24" s="117"/>
      <c r="E24" s="33"/>
      <c r="F24" s="33"/>
      <c r="G24" s="33">
        <f t="shared" si="1"/>
        <v>0</v>
      </c>
      <c r="H24" s="118"/>
      <c r="I24" s="118"/>
      <c r="J24" s="33">
        <f t="shared" si="2"/>
        <v>0</v>
      </c>
      <c r="K24" s="33">
        <f t="shared" si="6"/>
        <v>0</v>
      </c>
      <c r="L24" s="33"/>
      <c r="M24" s="33">
        <f t="shared" si="0"/>
        <v>126009.99409999978</v>
      </c>
      <c r="N24" s="41"/>
    </row>
    <row r="25" spans="1:14">
      <c r="A25" s="23">
        <v>22</v>
      </c>
      <c r="B25" s="24">
        <v>46287</v>
      </c>
      <c r="C25" s="103"/>
      <c r="D25" s="117"/>
      <c r="E25" s="33"/>
      <c r="F25" s="33"/>
      <c r="G25" s="33">
        <f t="shared" ref="G25:G33" si="7">E25*F25</f>
        <v>0</v>
      </c>
      <c r="H25" s="118"/>
      <c r="I25" s="118"/>
      <c r="J25" s="33">
        <f t="shared" ref="J25:J33" si="8">H25*I25</f>
        <v>0</v>
      </c>
      <c r="K25" s="33">
        <f t="shared" si="6"/>
        <v>0</v>
      </c>
      <c r="L25" s="33"/>
      <c r="M25" s="33">
        <f t="shared" si="0"/>
        <v>126009.99409999978</v>
      </c>
      <c r="N25" s="41"/>
    </row>
    <row r="26" spans="1:14">
      <c r="A26" s="23">
        <v>23</v>
      </c>
      <c r="B26" s="24">
        <v>46288</v>
      </c>
      <c r="C26" s="103"/>
      <c r="D26" s="117"/>
      <c r="E26" s="33"/>
      <c r="F26" s="33"/>
      <c r="G26" s="33">
        <f t="shared" si="7"/>
        <v>0</v>
      </c>
      <c r="H26" s="118"/>
      <c r="I26" s="118"/>
      <c r="J26" s="33">
        <f t="shared" si="8"/>
        <v>0</v>
      </c>
      <c r="K26" s="33">
        <f t="shared" si="6"/>
        <v>0</v>
      </c>
      <c r="L26" s="33"/>
      <c r="M26" s="33">
        <f t="shared" si="0"/>
        <v>126009.99409999978</v>
      </c>
      <c r="N26" s="41"/>
    </row>
    <row r="27" spans="1:14">
      <c r="A27" s="23">
        <v>24</v>
      </c>
      <c r="B27" s="24">
        <v>46289</v>
      </c>
      <c r="C27" s="103"/>
      <c r="D27" s="117"/>
      <c r="E27" s="33"/>
      <c r="F27" s="33"/>
      <c r="G27" s="33">
        <f t="shared" si="7"/>
        <v>0</v>
      </c>
      <c r="H27" s="118"/>
      <c r="I27" s="118"/>
      <c r="J27" s="33">
        <f t="shared" si="8"/>
        <v>0</v>
      </c>
      <c r="K27" s="33">
        <f t="shared" si="6"/>
        <v>0</v>
      </c>
      <c r="L27" s="33"/>
      <c r="M27" s="33">
        <f t="shared" si="0"/>
        <v>126009.99409999978</v>
      </c>
      <c r="N27" s="41"/>
    </row>
    <row r="28" spans="1:14">
      <c r="A28" s="23">
        <v>25</v>
      </c>
      <c r="B28" s="24">
        <v>46290</v>
      </c>
      <c r="C28" s="103"/>
      <c r="D28" s="117"/>
      <c r="E28" s="33"/>
      <c r="F28" s="33"/>
      <c r="G28" s="33">
        <f t="shared" si="7"/>
        <v>0</v>
      </c>
      <c r="H28" s="118"/>
      <c r="I28" s="118"/>
      <c r="J28" s="33">
        <f t="shared" si="8"/>
        <v>0</v>
      </c>
      <c r="K28" s="33">
        <f t="shared" si="6"/>
        <v>0</v>
      </c>
      <c r="L28" s="33"/>
      <c r="M28" s="33">
        <f t="shared" si="0"/>
        <v>126009.99409999978</v>
      </c>
      <c r="N28" s="41"/>
    </row>
    <row r="29" spans="1:14">
      <c r="A29" s="23">
        <v>26</v>
      </c>
      <c r="B29" s="24">
        <v>46291</v>
      </c>
      <c r="C29" s="103"/>
      <c r="D29" s="117"/>
      <c r="E29" s="33"/>
      <c r="F29" s="33"/>
      <c r="G29" s="33">
        <f t="shared" si="7"/>
        <v>0</v>
      </c>
      <c r="H29" s="118"/>
      <c r="I29" s="118"/>
      <c r="J29" s="33">
        <f t="shared" si="8"/>
        <v>0</v>
      </c>
      <c r="K29" s="33">
        <f t="shared" si="6"/>
        <v>0</v>
      </c>
      <c r="L29" s="33"/>
      <c r="M29" s="33">
        <f t="shared" si="0"/>
        <v>126009.99409999978</v>
      </c>
      <c r="N29" s="41"/>
    </row>
    <row r="30" spans="1:14">
      <c r="A30" s="23">
        <v>27</v>
      </c>
      <c r="B30" s="24">
        <v>46292</v>
      </c>
      <c r="C30" s="103"/>
      <c r="D30" s="117"/>
      <c r="E30" s="33"/>
      <c r="F30" s="33"/>
      <c r="G30" s="33">
        <f t="shared" si="7"/>
        <v>0</v>
      </c>
      <c r="H30" s="118"/>
      <c r="I30" s="118"/>
      <c r="J30" s="33">
        <f t="shared" si="8"/>
        <v>0</v>
      </c>
      <c r="K30" s="33">
        <f t="shared" si="6"/>
        <v>0</v>
      </c>
      <c r="L30" s="33"/>
      <c r="M30" s="33">
        <f t="shared" si="0"/>
        <v>126009.99409999978</v>
      </c>
      <c r="N30" s="41"/>
    </row>
    <row r="31" spans="1:14">
      <c r="A31" s="23">
        <v>28</v>
      </c>
      <c r="B31" s="24">
        <v>46293</v>
      </c>
      <c r="C31" s="103"/>
      <c r="D31" s="117"/>
      <c r="E31" s="33"/>
      <c r="F31" s="33"/>
      <c r="G31" s="33">
        <f t="shared" si="7"/>
        <v>0</v>
      </c>
      <c r="H31" s="118"/>
      <c r="I31" s="118"/>
      <c r="J31" s="33">
        <f t="shared" si="8"/>
        <v>0</v>
      </c>
      <c r="K31" s="33">
        <f t="shared" si="6"/>
        <v>0</v>
      </c>
      <c r="L31" s="33"/>
      <c r="M31" s="33">
        <f t="shared" si="0"/>
        <v>126009.99409999978</v>
      </c>
      <c r="N31" s="41"/>
    </row>
    <row r="32" spans="1:14">
      <c r="A32" s="23">
        <v>29</v>
      </c>
      <c r="B32" s="24">
        <v>46294</v>
      </c>
      <c r="C32" s="103"/>
      <c r="D32" s="117"/>
      <c r="E32" s="33"/>
      <c r="F32" s="33"/>
      <c r="G32" s="33">
        <f t="shared" si="7"/>
        <v>0</v>
      </c>
      <c r="H32" s="118"/>
      <c r="I32" s="118"/>
      <c r="J32" s="33">
        <f t="shared" si="8"/>
        <v>0</v>
      </c>
      <c r="K32" s="33">
        <f t="shared" si="6"/>
        <v>0</v>
      </c>
      <c r="L32" s="33"/>
      <c r="M32" s="33">
        <f t="shared" si="0"/>
        <v>126009.99409999978</v>
      </c>
      <c r="N32" s="41"/>
    </row>
    <row r="33" spans="1:14">
      <c r="A33" s="23">
        <v>30</v>
      </c>
      <c r="B33" s="24">
        <v>46295</v>
      </c>
      <c r="C33" s="103"/>
      <c r="D33" s="117"/>
      <c r="E33" s="33"/>
      <c r="F33" s="33"/>
      <c r="G33" s="33">
        <f t="shared" si="7"/>
        <v>0</v>
      </c>
      <c r="H33" s="118"/>
      <c r="I33" s="118"/>
      <c r="J33" s="33">
        <f t="shared" si="8"/>
        <v>0</v>
      </c>
      <c r="K33" s="33">
        <f t="shared" si="6"/>
        <v>0</v>
      </c>
      <c r="L33" s="33"/>
      <c r="M33" s="33">
        <f t="shared" si="0"/>
        <v>126009.99409999978</v>
      </c>
      <c r="N33" s="41"/>
    </row>
    <row r="34" spans="1:14">
      <c r="A34" s="23">
        <v>31</v>
      </c>
      <c r="B34" s="24"/>
      <c r="C34" s="103"/>
      <c r="D34" s="117"/>
      <c r="E34" s="33"/>
      <c r="F34" s="33"/>
      <c r="G34" s="33"/>
      <c r="H34" s="118"/>
      <c r="I34" s="118"/>
      <c r="J34" s="33"/>
      <c r="K34" s="33">
        <f t="shared" si="6"/>
        <v>0</v>
      </c>
      <c r="L34" s="33"/>
      <c r="M34" s="33"/>
      <c r="N34" s="41"/>
    </row>
    <row r="35" spans="1:14">
      <c r="A35" s="39"/>
      <c r="B35" s="39"/>
      <c r="C35" s="39"/>
      <c r="D35" s="39"/>
      <c r="E35" s="40">
        <f>SUM(E4:E34)</f>
        <v>1000</v>
      </c>
      <c r="F35" s="40"/>
      <c r="G35" s="40">
        <f>SUM(G4:G34)</f>
        <v>99380</v>
      </c>
      <c r="H35" s="40">
        <f>SUM(H4:H34)</f>
        <v>70</v>
      </c>
      <c r="I35" s="40"/>
      <c r="J35" s="40">
        <f>SUM(J4:J34)</f>
        <v>7820.4</v>
      </c>
      <c r="K35" s="40">
        <f>SUM(K4:K34)</f>
        <v>107200.4</v>
      </c>
      <c r="L35" s="40">
        <f>SUM(L4:L34)</f>
        <v>100000</v>
      </c>
      <c r="M35" s="40"/>
      <c r="N35" s="40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3" topLeftCell="A18" activePane="bottomLeft" state="frozen"/>
      <selection pane="bottomLeft" activeCell="M32" sqref="M32"/>
    </sheetView>
  </sheetViews>
  <sheetFormatPr defaultColWidth="9.28515625" defaultRowHeight="15"/>
  <cols>
    <col min="1" max="1" width="5.42578125" style="48" bestFit="1" customWidth="1"/>
    <col min="2" max="2" width="11" style="48" bestFit="1" customWidth="1"/>
    <col min="3" max="3" width="7.140625" style="48" bestFit="1" customWidth="1"/>
    <col min="4" max="4" width="15.140625" style="48" bestFit="1" customWidth="1"/>
    <col min="5" max="5" width="9.28515625" style="48"/>
    <col min="6" max="6" width="9.85546875" style="48" bestFit="1" customWidth="1"/>
    <col min="7" max="7" width="10.42578125" style="48" bestFit="1" customWidth="1"/>
    <col min="8" max="8" width="9.28515625" style="48"/>
    <col min="9" max="9" width="11.7109375" style="48" customWidth="1"/>
    <col min="10" max="10" width="9.5703125" style="48" bestFit="1" customWidth="1"/>
    <col min="11" max="11" width="12.28515625" style="48" customWidth="1"/>
    <col min="12" max="12" width="11.7109375" style="48" bestFit="1" customWidth="1"/>
    <col min="13" max="13" width="11.7109375" style="48" customWidth="1"/>
    <col min="14" max="14" width="17.7109375" style="48" bestFit="1" customWidth="1"/>
    <col min="15" max="16384" width="9.28515625" style="48"/>
  </cols>
  <sheetData>
    <row r="1" spans="1:15" ht="15.75">
      <c r="A1" s="607" t="s">
        <v>110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</row>
    <row r="2" spans="1:15" ht="25.5">
      <c r="A2" s="84" t="s">
        <v>0</v>
      </c>
      <c r="B2" s="85" t="s">
        <v>168</v>
      </c>
      <c r="C2" s="85" t="s">
        <v>169</v>
      </c>
      <c r="D2" s="85" t="s">
        <v>170</v>
      </c>
      <c r="E2" s="85" t="s">
        <v>171</v>
      </c>
      <c r="F2" s="85" t="s">
        <v>172</v>
      </c>
      <c r="G2" s="85" t="s">
        <v>173</v>
      </c>
      <c r="H2" s="85" t="s">
        <v>174</v>
      </c>
      <c r="I2" s="85" t="s">
        <v>172</v>
      </c>
      <c r="J2" s="108" t="s">
        <v>173</v>
      </c>
      <c r="K2" s="110" t="s">
        <v>175</v>
      </c>
      <c r="L2" s="111" t="s">
        <v>176</v>
      </c>
      <c r="M2" s="112" t="s">
        <v>185</v>
      </c>
      <c r="N2" s="86" t="s">
        <v>178</v>
      </c>
      <c r="O2" s="30"/>
    </row>
    <row r="3" spans="1:15" ht="15.75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 s="49">
        <v>219945.70000000004</v>
      </c>
      <c r="L3" s="119"/>
      <c r="M3" s="116">
        <v>219945.70000000004</v>
      </c>
      <c r="N3" s="47"/>
    </row>
    <row r="4" spans="1:15" ht="15.75">
      <c r="A4" s="23">
        <v>1</v>
      </c>
      <c r="B4" s="24">
        <v>46266</v>
      </c>
      <c r="C4" s="114"/>
      <c r="D4" s="115"/>
      <c r="E4" s="76"/>
      <c r="F4" s="113"/>
      <c r="G4" s="113">
        <f>E4*F4</f>
        <v>0</v>
      </c>
      <c r="H4" s="113"/>
      <c r="I4" s="113"/>
      <c r="J4" s="113">
        <f>H4*I4</f>
        <v>0</v>
      </c>
      <c r="K4" s="113">
        <f>G4+J4</f>
        <v>0</v>
      </c>
      <c r="L4" s="113">
        <v>219000</v>
      </c>
      <c r="M4" s="119">
        <f>M3+K4-L4</f>
        <v>945.70000000004075</v>
      </c>
      <c r="N4" s="113"/>
    </row>
    <row r="5" spans="1:15" ht="15.75">
      <c r="A5" s="23">
        <v>2</v>
      </c>
      <c r="B5" s="24">
        <v>46267</v>
      </c>
      <c r="C5" s="20"/>
      <c r="D5" s="21"/>
      <c r="E5" s="76"/>
      <c r="F5" s="113"/>
      <c r="G5" s="113">
        <f t="shared" ref="G5:G33" si="0">E5*F5</f>
        <v>0</v>
      </c>
      <c r="H5" s="113"/>
      <c r="I5" s="113"/>
      <c r="J5" s="113">
        <f t="shared" ref="J5:J33" si="1">H5*I5</f>
        <v>0</v>
      </c>
      <c r="K5" s="113">
        <f t="shared" ref="K5:K33" si="2">G5+J5</f>
        <v>0</v>
      </c>
      <c r="L5" s="113"/>
      <c r="M5" s="119">
        <f>M4+K5-L5</f>
        <v>945.70000000004075</v>
      </c>
      <c r="N5" s="41"/>
    </row>
    <row r="6" spans="1:15" ht="18.75" customHeight="1">
      <c r="A6" s="23">
        <v>3</v>
      </c>
      <c r="B6" s="24">
        <v>46268</v>
      </c>
      <c r="C6" s="200"/>
      <c r="D6" s="181"/>
      <c r="E6" s="76">
        <v>2500</v>
      </c>
      <c r="F6" s="113">
        <v>100.09</v>
      </c>
      <c r="G6" s="113">
        <f t="shared" si="0"/>
        <v>250225</v>
      </c>
      <c r="H6" s="113">
        <v>70</v>
      </c>
      <c r="I6" s="113">
        <v>112.12</v>
      </c>
      <c r="J6" s="113">
        <f t="shared" si="1"/>
        <v>7848.4000000000005</v>
      </c>
      <c r="K6" s="113">
        <f t="shared" si="2"/>
        <v>258073.4</v>
      </c>
      <c r="L6" s="113"/>
      <c r="M6" s="119">
        <f>M5+K6-L6</f>
        <v>259019.10000000003</v>
      </c>
      <c r="N6" s="47"/>
    </row>
    <row r="7" spans="1:15" ht="15.75">
      <c r="A7" s="23">
        <v>4</v>
      </c>
      <c r="B7" s="24">
        <v>46269</v>
      </c>
      <c r="C7" s="198"/>
      <c r="D7" s="199"/>
      <c r="E7" s="76"/>
      <c r="F7" s="113"/>
      <c r="G7" s="113">
        <f t="shared" si="0"/>
        <v>0</v>
      </c>
      <c r="H7" s="113"/>
      <c r="I7" s="113"/>
      <c r="J7" s="113">
        <f t="shared" si="1"/>
        <v>0</v>
      </c>
      <c r="K7" s="113">
        <f t="shared" si="2"/>
        <v>0</v>
      </c>
      <c r="L7" s="113"/>
      <c r="M7" s="119">
        <f>M6+K7-L7</f>
        <v>259019.10000000003</v>
      </c>
      <c r="N7" s="41"/>
    </row>
    <row r="8" spans="1:15" ht="15.75" customHeight="1">
      <c r="A8" s="23">
        <v>5</v>
      </c>
      <c r="B8" s="24">
        <v>46270</v>
      </c>
      <c r="C8" s="113"/>
      <c r="D8" s="113"/>
      <c r="E8" s="76"/>
      <c r="F8" s="113"/>
      <c r="G8" s="113">
        <f t="shared" si="0"/>
        <v>0</v>
      </c>
      <c r="H8" s="113"/>
      <c r="I8" s="113"/>
      <c r="J8" s="113">
        <f t="shared" si="1"/>
        <v>0</v>
      </c>
      <c r="K8" s="113">
        <f t="shared" si="2"/>
        <v>0</v>
      </c>
      <c r="L8" s="113"/>
      <c r="M8" s="119">
        <f t="shared" ref="M8:M34" si="3">M7+K8-L8</f>
        <v>259019.10000000003</v>
      </c>
      <c r="N8" s="47"/>
    </row>
    <row r="9" spans="1:15" ht="15.75" customHeight="1">
      <c r="A9" s="23">
        <v>6</v>
      </c>
      <c r="B9" s="24">
        <v>46271</v>
      </c>
      <c r="C9" s="47"/>
      <c r="D9" s="113"/>
      <c r="E9" s="76"/>
      <c r="F9" s="113"/>
      <c r="G9" s="113">
        <f t="shared" si="0"/>
        <v>0</v>
      </c>
      <c r="H9" s="113"/>
      <c r="I9" s="113"/>
      <c r="J9" s="113">
        <f t="shared" si="1"/>
        <v>0</v>
      </c>
      <c r="K9" s="113">
        <f t="shared" si="2"/>
        <v>0</v>
      </c>
      <c r="L9" s="113"/>
      <c r="M9" s="119">
        <f t="shared" si="3"/>
        <v>259019.10000000003</v>
      </c>
      <c r="N9" s="47"/>
    </row>
    <row r="10" spans="1:15" ht="15.75" customHeight="1">
      <c r="A10" s="23">
        <v>7</v>
      </c>
      <c r="B10" s="24">
        <v>46272</v>
      </c>
      <c r="C10" s="47"/>
      <c r="D10" s="113"/>
      <c r="E10" s="76"/>
      <c r="F10" s="113"/>
      <c r="G10" s="113">
        <f t="shared" si="0"/>
        <v>0</v>
      </c>
      <c r="H10" s="113"/>
      <c r="I10" s="113"/>
      <c r="J10" s="113">
        <f t="shared" si="1"/>
        <v>0</v>
      </c>
      <c r="K10" s="113">
        <f t="shared" si="2"/>
        <v>0</v>
      </c>
      <c r="L10" s="113"/>
      <c r="M10" s="119">
        <f t="shared" si="3"/>
        <v>259019.10000000003</v>
      </c>
      <c r="N10" s="47"/>
    </row>
    <row r="11" spans="1:15" ht="15.75" customHeight="1">
      <c r="A11" s="23">
        <v>8</v>
      </c>
      <c r="B11" s="24">
        <v>46273</v>
      </c>
      <c r="C11" s="47"/>
      <c r="D11" s="113"/>
      <c r="E11" s="76"/>
      <c r="F11" s="113"/>
      <c r="G11" s="113">
        <f t="shared" si="0"/>
        <v>0</v>
      </c>
      <c r="H11" s="113"/>
      <c r="I11" s="113"/>
      <c r="J11" s="113">
        <f t="shared" si="1"/>
        <v>0</v>
      </c>
      <c r="K11" s="113">
        <f t="shared" si="2"/>
        <v>0</v>
      </c>
      <c r="L11" s="113"/>
      <c r="M11" s="119">
        <f t="shared" si="3"/>
        <v>259019.10000000003</v>
      </c>
      <c r="N11" s="47"/>
    </row>
    <row r="12" spans="1:15" ht="15.75" customHeight="1">
      <c r="A12" s="23">
        <v>9</v>
      </c>
      <c r="B12" s="24">
        <v>46274</v>
      </c>
      <c r="C12" s="47"/>
      <c r="D12" s="113"/>
      <c r="E12" s="76"/>
      <c r="F12" s="113"/>
      <c r="G12" s="113">
        <f t="shared" si="0"/>
        <v>0</v>
      </c>
      <c r="H12" s="113"/>
      <c r="I12" s="113"/>
      <c r="J12" s="113">
        <f t="shared" si="1"/>
        <v>0</v>
      </c>
      <c r="K12" s="113">
        <f t="shared" si="2"/>
        <v>0</v>
      </c>
      <c r="L12" s="113"/>
      <c r="M12" s="119">
        <f t="shared" si="3"/>
        <v>259019.10000000003</v>
      </c>
      <c r="N12" s="47"/>
    </row>
    <row r="13" spans="1:15" ht="15.75" customHeight="1">
      <c r="A13" s="23">
        <v>10</v>
      </c>
      <c r="B13" s="24">
        <v>46275</v>
      </c>
      <c r="C13" s="47"/>
      <c r="D13" s="113"/>
      <c r="E13" s="76"/>
      <c r="F13" s="113"/>
      <c r="G13" s="113">
        <f t="shared" si="0"/>
        <v>0</v>
      </c>
      <c r="H13" s="113"/>
      <c r="I13" s="113"/>
      <c r="J13" s="113">
        <f t="shared" si="1"/>
        <v>0</v>
      </c>
      <c r="K13" s="113">
        <f t="shared" si="2"/>
        <v>0</v>
      </c>
      <c r="L13" s="113"/>
      <c r="M13" s="119">
        <f t="shared" si="3"/>
        <v>259019.10000000003</v>
      </c>
      <c r="N13" s="47"/>
    </row>
    <row r="14" spans="1:15" ht="15.75" customHeight="1">
      <c r="A14" s="23">
        <v>11</v>
      </c>
      <c r="B14" s="24">
        <v>46276</v>
      </c>
      <c r="C14" s="47"/>
      <c r="D14" s="113"/>
      <c r="E14" s="76"/>
      <c r="F14" s="113"/>
      <c r="G14" s="113">
        <f t="shared" si="0"/>
        <v>0</v>
      </c>
      <c r="H14" s="113">
        <v>70</v>
      </c>
      <c r="I14" s="113">
        <v>112.12</v>
      </c>
      <c r="J14" s="113">
        <f t="shared" si="1"/>
        <v>7848.4000000000005</v>
      </c>
      <c r="K14" s="113">
        <f t="shared" si="2"/>
        <v>7848.4000000000005</v>
      </c>
      <c r="L14" s="113"/>
      <c r="M14" s="119">
        <f t="shared" si="3"/>
        <v>266867.50000000006</v>
      </c>
      <c r="N14" s="47"/>
    </row>
    <row r="15" spans="1:15" ht="15.75" customHeight="1">
      <c r="A15" s="23">
        <v>12</v>
      </c>
      <c r="B15" s="24">
        <v>46277</v>
      </c>
      <c r="C15" s="47"/>
      <c r="D15" s="113"/>
      <c r="E15" s="76"/>
      <c r="F15" s="113"/>
      <c r="G15" s="113">
        <f t="shared" si="0"/>
        <v>0</v>
      </c>
      <c r="H15" s="113"/>
      <c r="I15" s="113"/>
      <c r="J15" s="113">
        <f t="shared" si="1"/>
        <v>0</v>
      </c>
      <c r="K15" s="113">
        <f t="shared" si="2"/>
        <v>0</v>
      </c>
      <c r="L15" s="113"/>
      <c r="M15" s="119">
        <f t="shared" si="3"/>
        <v>266867.50000000006</v>
      </c>
      <c r="N15" s="47"/>
    </row>
    <row r="16" spans="1:15" ht="15.75" customHeight="1">
      <c r="A16" s="23">
        <v>13</v>
      </c>
      <c r="B16" s="24">
        <v>46278</v>
      </c>
      <c r="C16" s="47"/>
      <c r="D16" s="113"/>
      <c r="E16" s="76"/>
      <c r="F16" s="113"/>
      <c r="G16" s="113">
        <f t="shared" si="0"/>
        <v>0</v>
      </c>
      <c r="H16" s="113"/>
      <c r="I16" s="113"/>
      <c r="J16" s="113">
        <f t="shared" si="1"/>
        <v>0</v>
      </c>
      <c r="K16" s="113">
        <f t="shared" si="2"/>
        <v>0</v>
      </c>
      <c r="L16" s="113"/>
      <c r="M16" s="119">
        <f t="shared" si="3"/>
        <v>266867.50000000006</v>
      </c>
      <c r="N16" s="47"/>
    </row>
    <row r="17" spans="1:14" ht="15.75" customHeight="1">
      <c r="A17" s="23">
        <v>14</v>
      </c>
      <c r="B17" s="24">
        <v>46279</v>
      </c>
      <c r="C17" s="47"/>
      <c r="D17" s="113"/>
      <c r="E17" s="76"/>
      <c r="F17" s="113"/>
      <c r="G17" s="113">
        <f t="shared" si="0"/>
        <v>0</v>
      </c>
      <c r="H17" s="113"/>
      <c r="I17" s="113"/>
      <c r="J17" s="113">
        <f t="shared" si="1"/>
        <v>0</v>
      </c>
      <c r="K17" s="113">
        <f t="shared" si="2"/>
        <v>0</v>
      </c>
      <c r="L17" s="113"/>
      <c r="M17" s="119">
        <f t="shared" si="3"/>
        <v>266867.50000000006</v>
      </c>
      <c r="N17" s="47"/>
    </row>
    <row r="18" spans="1:14" ht="15.75" customHeight="1">
      <c r="A18" s="23">
        <v>15</v>
      </c>
      <c r="B18" s="24">
        <v>46280</v>
      </c>
      <c r="C18" s="47"/>
      <c r="D18" s="113"/>
      <c r="E18" s="76"/>
      <c r="F18" s="113"/>
      <c r="G18" s="113">
        <f t="shared" si="0"/>
        <v>0</v>
      </c>
      <c r="H18" s="113"/>
      <c r="I18" s="113"/>
      <c r="J18" s="113">
        <f t="shared" si="1"/>
        <v>0</v>
      </c>
      <c r="K18" s="113">
        <f t="shared" si="2"/>
        <v>0</v>
      </c>
      <c r="L18" s="113"/>
      <c r="M18" s="119">
        <f t="shared" si="3"/>
        <v>266867.50000000006</v>
      </c>
      <c r="N18" s="47"/>
    </row>
    <row r="19" spans="1:14" ht="15.75" customHeight="1">
      <c r="A19" s="23">
        <v>16</v>
      </c>
      <c r="B19" s="24">
        <v>46281</v>
      </c>
      <c r="C19" s="47"/>
      <c r="D19" s="113"/>
      <c r="E19" s="76"/>
      <c r="F19" s="113"/>
      <c r="G19" s="113">
        <f>E19*F19</f>
        <v>0</v>
      </c>
      <c r="H19" s="113"/>
      <c r="I19" s="113"/>
      <c r="J19" s="113">
        <f t="shared" si="1"/>
        <v>0</v>
      </c>
      <c r="K19" s="113">
        <f t="shared" si="2"/>
        <v>0</v>
      </c>
      <c r="L19" s="113"/>
      <c r="M19" s="119">
        <f t="shared" si="3"/>
        <v>266867.50000000006</v>
      </c>
      <c r="N19" s="47"/>
    </row>
    <row r="20" spans="1:14" ht="15.75" customHeight="1">
      <c r="A20" s="23">
        <v>17</v>
      </c>
      <c r="B20" s="24">
        <v>46282</v>
      </c>
      <c r="C20" s="47"/>
      <c r="D20" s="113"/>
      <c r="E20" s="76"/>
      <c r="F20" s="113"/>
      <c r="G20" s="113">
        <f t="shared" si="0"/>
        <v>0</v>
      </c>
      <c r="H20" s="113"/>
      <c r="I20" s="113"/>
      <c r="J20" s="113">
        <f t="shared" si="1"/>
        <v>0</v>
      </c>
      <c r="K20" s="113">
        <f t="shared" si="2"/>
        <v>0</v>
      </c>
      <c r="L20" s="113"/>
      <c r="M20" s="119">
        <f t="shared" si="3"/>
        <v>266867.50000000006</v>
      </c>
      <c r="N20" s="47"/>
    </row>
    <row r="21" spans="1:14" ht="15.75" customHeight="1">
      <c r="A21" s="23">
        <v>18</v>
      </c>
      <c r="B21" s="24">
        <v>46283</v>
      </c>
      <c r="C21" s="47"/>
      <c r="D21" s="113"/>
      <c r="E21" s="76"/>
      <c r="F21" s="113"/>
      <c r="G21" s="113">
        <f t="shared" si="0"/>
        <v>0</v>
      </c>
      <c r="H21" s="113"/>
      <c r="I21" s="113"/>
      <c r="J21" s="113">
        <f t="shared" si="1"/>
        <v>0</v>
      </c>
      <c r="K21" s="113">
        <f t="shared" si="2"/>
        <v>0</v>
      </c>
      <c r="L21" s="113"/>
      <c r="M21" s="119">
        <f t="shared" si="3"/>
        <v>266867.50000000006</v>
      </c>
      <c r="N21" s="47"/>
    </row>
    <row r="22" spans="1:14" ht="15.75" customHeight="1">
      <c r="A22" s="23">
        <v>19</v>
      </c>
      <c r="B22" s="24">
        <v>46284</v>
      </c>
      <c r="C22" s="47"/>
      <c r="D22" s="113"/>
      <c r="E22" s="76">
        <v>200</v>
      </c>
      <c r="F22" s="113">
        <v>100.09</v>
      </c>
      <c r="G22" s="113">
        <f t="shared" si="0"/>
        <v>20018</v>
      </c>
      <c r="H22" s="113">
        <v>50</v>
      </c>
      <c r="I22" s="113">
        <v>112.12</v>
      </c>
      <c r="J22" s="113">
        <f t="shared" si="1"/>
        <v>5606</v>
      </c>
      <c r="K22" s="113">
        <f t="shared" si="2"/>
        <v>25624</v>
      </c>
      <c r="L22" s="113"/>
      <c r="M22" s="119">
        <f t="shared" si="3"/>
        <v>292491.50000000006</v>
      </c>
      <c r="N22" s="47"/>
    </row>
    <row r="23" spans="1:14" ht="15.75" customHeight="1">
      <c r="A23" s="23">
        <v>20</v>
      </c>
      <c r="B23" s="24">
        <v>46285</v>
      </c>
      <c r="C23" s="47"/>
      <c r="D23" s="113"/>
      <c r="E23" s="76"/>
      <c r="F23" s="113"/>
      <c r="G23" s="113">
        <f t="shared" si="0"/>
        <v>0</v>
      </c>
      <c r="H23" s="113"/>
      <c r="I23" s="113"/>
      <c r="J23" s="113">
        <f t="shared" si="1"/>
        <v>0</v>
      </c>
      <c r="K23" s="113">
        <f t="shared" si="2"/>
        <v>0</v>
      </c>
      <c r="L23" s="113"/>
      <c r="M23" s="119">
        <f t="shared" si="3"/>
        <v>292491.50000000006</v>
      </c>
      <c r="N23" s="47"/>
    </row>
    <row r="24" spans="1:14" ht="15.75" customHeight="1">
      <c r="A24" s="23">
        <v>21</v>
      </c>
      <c r="B24" s="24">
        <v>46286</v>
      </c>
      <c r="C24" s="47"/>
      <c r="D24" s="113"/>
      <c r="E24" s="76">
        <v>2000</v>
      </c>
      <c r="F24" s="113">
        <v>100.09</v>
      </c>
      <c r="G24" s="113">
        <f t="shared" si="0"/>
        <v>200180</v>
      </c>
      <c r="H24" s="113">
        <v>35</v>
      </c>
      <c r="I24" s="113">
        <v>112.12</v>
      </c>
      <c r="J24" s="113">
        <f t="shared" si="1"/>
        <v>3924.2000000000003</v>
      </c>
      <c r="K24" s="113">
        <f t="shared" si="2"/>
        <v>204104.2</v>
      </c>
      <c r="L24" s="113">
        <v>292000</v>
      </c>
      <c r="M24" s="119">
        <f t="shared" si="3"/>
        <v>204595.70000000007</v>
      </c>
      <c r="N24" s="47"/>
    </row>
    <row r="25" spans="1:14" ht="15.75" customHeight="1">
      <c r="A25" s="23">
        <v>22</v>
      </c>
      <c r="B25" s="24">
        <v>46287</v>
      </c>
      <c r="C25" s="47"/>
      <c r="D25" s="113"/>
      <c r="E25" s="76"/>
      <c r="F25" s="113"/>
      <c r="G25" s="113">
        <f t="shared" si="0"/>
        <v>0</v>
      </c>
      <c r="H25" s="113"/>
      <c r="I25" s="113"/>
      <c r="J25" s="113">
        <f t="shared" si="1"/>
        <v>0</v>
      </c>
      <c r="K25" s="113">
        <f t="shared" si="2"/>
        <v>0</v>
      </c>
      <c r="L25" s="113"/>
      <c r="M25" s="119">
        <f t="shared" si="3"/>
        <v>204595.70000000007</v>
      </c>
      <c r="N25" s="47"/>
    </row>
    <row r="26" spans="1:14" ht="15.75" customHeight="1">
      <c r="A26" s="23">
        <v>23</v>
      </c>
      <c r="B26" s="24">
        <v>46288</v>
      </c>
      <c r="C26" s="47"/>
      <c r="D26" s="113"/>
      <c r="E26" s="76"/>
      <c r="F26" s="113"/>
      <c r="G26" s="113">
        <f t="shared" si="0"/>
        <v>0</v>
      </c>
      <c r="H26" s="113"/>
      <c r="I26" s="113"/>
      <c r="J26" s="113">
        <f t="shared" si="1"/>
        <v>0</v>
      </c>
      <c r="K26" s="113">
        <f t="shared" si="2"/>
        <v>0</v>
      </c>
      <c r="L26" s="113"/>
      <c r="M26" s="119">
        <f t="shared" si="3"/>
        <v>204595.70000000007</v>
      </c>
      <c r="N26" s="47"/>
    </row>
    <row r="27" spans="1:14" ht="15.75" customHeight="1">
      <c r="A27" s="23">
        <v>24</v>
      </c>
      <c r="B27" s="24">
        <v>46289</v>
      </c>
      <c r="C27" s="47"/>
      <c r="D27" s="113"/>
      <c r="E27" s="76"/>
      <c r="F27" s="113"/>
      <c r="G27" s="113">
        <f t="shared" si="0"/>
        <v>0</v>
      </c>
      <c r="H27" s="113"/>
      <c r="I27" s="113"/>
      <c r="J27" s="113">
        <f t="shared" si="1"/>
        <v>0</v>
      </c>
      <c r="K27" s="113">
        <f t="shared" si="2"/>
        <v>0</v>
      </c>
      <c r="L27" s="113"/>
      <c r="M27" s="119">
        <f t="shared" si="3"/>
        <v>204595.70000000007</v>
      </c>
      <c r="N27" s="47"/>
    </row>
    <row r="28" spans="1:14" ht="15.75" customHeight="1">
      <c r="A28" s="23">
        <v>25</v>
      </c>
      <c r="B28" s="24">
        <v>46290</v>
      </c>
      <c r="C28" s="47"/>
      <c r="D28" s="113"/>
      <c r="E28" s="76"/>
      <c r="F28" s="113"/>
      <c r="G28" s="113">
        <f t="shared" si="0"/>
        <v>0</v>
      </c>
      <c r="H28" s="113"/>
      <c r="I28" s="113"/>
      <c r="J28" s="113">
        <f t="shared" si="1"/>
        <v>0</v>
      </c>
      <c r="K28" s="113">
        <f t="shared" si="2"/>
        <v>0</v>
      </c>
      <c r="L28" s="113"/>
      <c r="M28" s="119">
        <f t="shared" si="3"/>
        <v>204595.70000000007</v>
      </c>
      <c r="N28" s="47"/>
    </row>
    <row r="29" spans="1:14" ht="15.75" customHeight="1">
      <c r="A29" s="23">
        <v>26</v>
      </c>
      <c r="B29" s="24">
        <v>46291</v>
      </c>
      <c r="C29" s="47"/>
      <c r="D29" s="113"/>
      <c r="E29" s="76"/>
      <c r="F29" s="113"/>
      <c r="G29" s="113">
        <f t="shared" si="0"/>
        <v>0</v>
      </c>
      <c r="H29" s="113"/>
      <c r="I29" s="113"/>
      <c r="J29" s="113">
        <f t="shared" si="1"/>
        <v>0</v>
      </c>
      <c r="K29" s="113">
        <f t="shared" si="2"/>
        <v>0</v>
      </c>
      <c r="L29" s="113"/>
      <c r="M29" s="119">
        <f t="shared" si="3"/>
        <v>204595.70000000007</v>
      </c>
      <c r="N29" s="47"/>
    </row>
    <row r="30" spans="1:14" ht="15.75" customHeight="1">
      <c r="A30" s="23">
        <v>27</v>
      </c>
      <c r="B30" s="24">
        <v>46292</v>
      </c>
      <c r="C30" s="47"/>
      <c r="D30" s="113"/>
      <c r="E30" s="76"/>
      <c r="F30" s="113"/>
      <c r="G30" s="113">
        <f t="shared" si="0"/>
        <v>0</v>
      </c>
      <c r="H30" s="113"/>
      <c r="I30" s="113"/>
      <c r="J30" s="113">
        <f t="shared" si="1"/>
        <v>0</v>
      </c>
      <c r="K30" s="113">
        <f t="shared" si="2"/>
        <v>0</v>
      </c>
      <c r="L30" s="113"/>
      <c r="M30" s="119">
        <f t="shared" si="3"/>
        <v>204595.70000000007</v>
      </c>
      <c r="N30" s="47"/>
    </row>
    <row r="31" spans="1:14" ht="15.75" customHeight="1">
      <c r="A31" s="23">
        <v>28</v>
      </c>
      <c r="B31" s="24">
        <v>46293</v>
      </c>
      <c r="C31" s="47"/>
      <c r="D31" s="113"/>
      <c r="E31" s="76"/>
      <c r="F31" s="113"/>
      <c r="G31" s="113">
        <f t="shared" si="0"/>
        <v>0</v>
      </c>
      <c r="H31" s="113"/>
      <c r="I31" s="113"/>
      <c r="J31" s="113">
        <f t="shared" si="1"/>
        <v>0</v>
      </c>
      <c r="K31" s="113">
        <f t="shared" si="2"/>
        <v>0</v>
      </c>
      <c r="L31" s="113"/>
      <c r="M31" s="119">
        <f t="shared" si="3"/>
        <v>204595.70000000007</v>
      </c>
      <c r="N31" s="47"/>
    </row>
    <row r="32" spans="1:14" ht="15.75" customHeight="1">
      <c r="A32" s="23">
        <v>29</v>
      </c>
      <c r="B32" s="24">
        <v>46294</v>
      </c>
      <c r="C32" s="47"/>
      <c r="D32" s="113"/>
      <c r="E32" s="76"/>
      <c r="F32" s="113"/>
      <c r="G32" s="113">
        <f t="shared" si="0"/>
        <v>0</v>
      </c>
      <c r="H32" s="113">
        <v>70</v>
      </c>
      <c r="I32" s="113">
        <v>112.12</v>
      </c>
      <c r="J32" s="113">
        <f t="shared" si="1"/>
        <v>7848.4000000000005</v>
      </c>
      <c r="K32" s="113">
        <f t="shared" si="2"/>
        <v>7848.4000000000005</v>
      </c>
      <c r="L32" s="113"/>
      <c r="M32" s="119">
        <f t="shared" si="3"/>
        <v>212444.10000000006</v>
      </c>
      <c r="N32" s="47"/>
    </row>
    <row r="33" spans="1:15" ht="15.75" customHeight="1">
      <c r="A33" s="23">
        <v>30</v>
      </c>
      <c r="B33" s="24">
        <v>46295</v>
      </c>
      <c r="C33" s="47"/>
      <c r="D33" s="113"/>
      <c r="E33" s="76"/>
      <c r="F33" s="113"/>
      <c r="G33" s="113">
        <f t="shared" si="0"/>
        <v>0</v>
      </c>
      <c r="H33" s="113"/>
      <c r="I33" s="113"/>
      <c r="J33" s="113">
        <f t="shared" si="1"/>
        <v>0</v>
      </c>
      <c r="K33" s="113">
        <f t="shared" si="2"/>
        <v>0</v>
      </c>
      <c r="L33" s="113"/>
      <c r="M33" s="119">
        <f t="shared" si="3"/>
        <v>212444.10000000006</v>
      </c>
      <c r="N33" s="47"/>
    </row>
    <row r="34" spans="1:15" ht="15.75" customHeight="1">
      <c r="A34" s="23">
        <v>31</v>
      </c>
      <c r="B34" s="24"/>
      <c r="C34" s="47"/>
      <c r="D34" s="113"/>
      <c r="E34" s="76"/>
      <c r="F34" s="113"/>
      <c r="G34" s="113">
        <f t="shared" ref="G34" si="4">E34*F34</f>
        <v>0</v>
      </c>
      <c r="H34" s="113"/>
      <c r="I34" s="113"/>
      <c r="J34" s="113">
        <f t="shared" ref="J34" si="5">H34*I34</f>
        <v>0</v>
      </c>
      <c r="K34" s="113">
        <f t="shared" ref="K34" si="6">G34+J34</f>
        <v>0</v>
      </c>
      <c r="L34" s="113"/>
      <c r="M34" s="119">
        <f t="shared" si="3"/>
        <v>212444.10000000006</v>
      </c>
      <c r="N34" s="47"/>
    </row>
    <row r="35" spans="1:15">
      <c r="A35" s="39"/>
      <c r="B35" s="39"/>
      <c r="C35" s="39"/>
      <c r="D35" s="39"/>
      <c r="E35" s="40">
        <f>SUM(E4:E34)</f>
        <v>4700</v>
      </c>
      <c r="F35" s="40"/>
      <c r="G35" s="40">
        <f>SUM(G4:G34)</f>
        <v>470423</v>
      </c>
      <c r="H35" s="40">
        <f>SUM(H4:H34)</f>
        <v>295</v>
      </c>
      <c r="I35" s="40"/>
      <c r="J35" s="40">
        <f>SUM(J4:J34)</f>
        <v>33075.4</v>
      </c>
      <c r="K35" s="40">
        <f>SUM(K4:K34)</f>
        <v>503498.4</v>
      </c>
      <c r="L35" s="40">
        <f>SUM(L4:L34)</f>
        <v>511000</v>
      </c>
      <c r="M35" s="40"/>
      <c r="N35" s="40"/>
      <c r="O35" s="30"/>
    </row>
    <row r="37" spans="1:15">
      <c r="D37" s="42"/>
      <c r="E37" s="42"/>
    </row>
  </sheetData>
  <mergeCells count="2">
    <mergeCell ref="A1:N1"/>
    <mergeCell ref="A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S47"/>
  <sheetViews>
    <sheetView workbookViewId="0">
      <pane ySplit="3" topLeftCell="A18" activePane="bottomLeft" state="frozen"/>
      <selection pane="bottomLeft" activeCell="I36" sqref="I36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10.7109375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27.5703125" bestFit="1" customWidth="1"/>
    <col min="15" max="15" width="10" customWidth="1"/>
    <col min="16" max="16" width="12" bestFit="1" customWidth="1"/>
    <col min="19" max="19" width="12" bestFit="1" customWidth="1"/>
  </cols>
  <sheetData>
    <row r="1" spans="1:15">
      <c r="A1" s="608" t="s">
        <v>208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79"/>
    </row>
    <row r="2" spans="1:15">
      <c r="A2" s="120" t="s">
        <v>0</v>
      </c>
      <c r="B2" s="121" t="s">
        <v>168</v>
      </c>
      <c r="C2" s="121" t="s">
        <v>169</v>
      </c>
      <c r="D2" s="121" t="s">
        <v>170</v>
      </c>
      <c r="E2" s="121" t="s">
        <v>171</v>
      </c>
      <c r="F2" s="121" t="s">
        <v>172</v>
      </c>
      <c r="G2" s="121" t="s">
        <v>173</v>
      </c>
      <c r="H2" s="121" t="s">
        <v>174</v>
      </c>
      <c r="I2" s="121" t="s">
        <v>172</v>
      </c>
      <c r="J2" s="122" t="s">
        <v>173</v>
      </c>
      <c r="K2" s="120" t="s">
        <v>175</v>
      </c>
      <c r="L2" s="123" t="s">
        <v>176</v>
      </c>
      <c r="M2" s="123" t="s">
        <v>185</v>
      </c>
      <c r="N2" s="121" t="s">
        <v>178</v>
      </c>
      <c r="O2" s="56"/>
    </row>
    <row r="3" spans="1:15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 s="93"/>
      <c r="L3" s="37">
        <v>122228.40989999997</v>
      </c>
      <c r="M3" s="37">
        <v>122228.40989999997</v>
      </c>
      <c r="N3" s="14"/>
      <c r="O3" s="56"/>
    </row>
    <row r="4" spans="1:15">
      <c r="A4" s="23">
        <v>1</v>
      </c>
      <c r="B4" s="24">
        <v>45901</v>
      </c>
      <c r="C4" s="124"/>
      <c r="D4" s="125"/>
      <c r="E4" s="90"/>
      <c r="F4" s="90"/>
      <c r="G4" s="16">
        <f>E4*F4</f>
        <v>0</v>
      </c>
      <c r="H4" s="90"/>
      <c r="I4" s="314"/>
      <c r="J4" s="16">
        <f>H4*I4</f>
        <v>0</v>
      </c>
      <c r="K4" s="16">
        <f>G4+J4</f>
        <v>0</v>
      </c>
      <c r="L4" s="126"/>
      <c r="M4" s="126">
        <f>M3+K4-L4</f>
        <v>122228.40989999997</v>
      </c>
      <c r="N4" s="41"/>
    </row>
    <row r="5" spans="1:15">
      <c r="A5" s="23">
        <v>2</v>
      </c>
      <c r="B5" s="24">
        <v>45902</v>
      </c>
      <c r="C5" s="124"/>
      <c r="D5" s="125"/>
      <c r="E5" s="90">
        <v>600</v>
      </c>
      <c r="F5" s="90">
        <v>99.99</v>
      </c>
      <c r="G5" s="16">
        <f t="shared" ref="G5:G36" si="0">E5*F5</f>
        <v>59994</v>
      </c>
      <c r="H5" s="90">
        <v>35</v>
      </c>
      <c r="I5" s="314">
        <v>112.02</v>
      </c>
      <c r="J5" s="16">
        <f t="shared" ref="J5:J36" si="1">H5*I5</f>
        <v>3920.7</v>
      </c>
      <c r="K5" s="16">
        <f t="shared" ref="K5:L36" si="2">G5+J5</f>
        <v>63914.7</v>
      </c>
      <c r="L5" s="126"/>
      <c r="M5" s="126">
        <f>M4+K5-L5</f>
        <v>186143.10989999998</v>
      </c>
      <c r="N5" s="41"/>
    </row>
    <row r="6" spans="1:15">
      <c r="A6" s="23">
        <v>3</v>
      </c>
      <c r="B6" s="24">
        <v>45903</v>
      </c>
      <c r="C6" s="124"/>
      <c r="D6" s="125"/>
      <c r="E6" s="90"/>
      <c r="F6" s="90"/>
      <c r="G6" s="16">
        <f t="shared" si="0"/>
        <v>0</v>
      </c>
      <c r="H6" s="90"/>
      <c r="I6" s="314"/>
      <c r="J6" s="16">
        <f t="shared" si="1"/>
        <v>0</v>
      </c>
      <c r="K6" s="16">
        <f t="shared" si="2"/>
        <v>0</v>
      </c>
      <c r="L6" s="126"/>
      <c r="M6" s="126">
        <f>M5+K6-L6</f>
        <v>186143.10989999998</v>
      </c>
      <c r="N6" s="41"/>
    </row>
    <row r="7" spans="1:15">
      <c r="A7" s="23">
        <v>4</v>
      </c>
      <c r="B7" s="24">
        <v>45904</v>
      </c>
      <c r="C7" s="124"/>
      <c r="D7" s="125"/>
      <c r="E7" s="90"/>
      <c r="F7" s="90"/>
      <c r="G7" s="16">
        <f t="shared" si="0"/>
        <v>0</v>
      </c>
      <c r="H7" s="90"/>
      <c r="I7" s="314"/>
      <c r="J7" s="16">
        <f t="shared" si="1"/>
        <v>0</v>
      </c>
      <c r="K7" s="16">
        <f t="shared" si="2"/>
        <v>0</v>
      </c>
      <c r="L7" s="126"/>
      <c r="M7" s="126">
        <f>M6+K7-L7</f>
        <v>186143.10989999998</v>
      </c>
      <c r="N7" s="41"/>
    </row>
    <row r="8" spans="1:15">
      <c r="A8" s="23">
        <v>5</v>
      </c>
      <c r="B8" s="24">
        <v>45905</v>
      </c>
      <c r="C8" s="124"/>
      <c r="D8" s="125"/>
      <c r="E8" s="90">
        <v>600</v>
      </c>
      <c r="F8" s="90">
        <v>99.99</v>
      </c>
      <c r="G8" s="16">
        <f t="shared" ref="G8:G35" si="3">E8*F8</f>
        <v>59994</v>
      </c>
      <c r="H8" s="90"/>
      <c r="I8" s="314"/>
      <c r="J8" s="16">
        <f t="shared" si="1"/>
        <v>0</v>
      </c>
      <c r="K8" s="16">
        <f t="shared" si="2"/>
        <v>59994</v>
      </c>
      <c r="L8" s="126"/>
      <c r="M8" s="126">
        <f t="shared" ref="M8:M37" si="4">M7+K8-L8</f>
        <v>246137.10989999998</v>
      </c>
      <c r="N8" s="41"/>
      <c r="O8" s="66"/>
    </row>
    <row r="9" spans="1:15">
      <c r="A9" s="23">
        <v>6</v>
      </c>
      <c r="B9" s="24">
        <v>45906</v>
      </c>
      <c r="C9" s="124"/>
      <c r="D9" s="125"/>
      <c r="E9" s="90"/>
      <c r="F9" s="90"/>
      <c r="G9" s="16">
        <f t="shared" si="3"/>
        <v>0</v>
      </c>
      <c r="H9" s="90"/>
      <c r="I9" s="314"/>
      <c r="J9" s="16">
        <f t="shared" si="1"/>
        <v>0</v>
      </c>
      <c r="K9" s="16">
        <f t="shared" si="2"/>
        <v>0</v>
      </c>
      <c r="L9" s="126"/>
      <c r="M9" s="126">
        <f t="shared" si="4"/>
        <v>246137.10989999998</v>
      </c>
      <c r="N9" s="41"/>
      <c r="O9" s="66"/>
    </row>
    <row r="10" spans="1:15">
      <c r="A10" s="23">
        <v>7</v>
      </c>
      <c r="B10" s="24">
        <v>45907</v>
      </c>
      <c r="C10" s="124"/>
      <c r="D10" s="125"/>
      <c r="E10" s="90">
        <v>600</v>
      </c>
      <c r="F10" s="90">
        <v>99.99</v>
      </c>
      <c r="G10" s="16">
        <f t="shared" si="3"/>
        <v>59994</v>
      </c>
      <c r="H10" s="90">
        <v>30</v>
      </c>
      <c r="I10" s="314">
        <v>112.02</v>
      </c>
      <c r="J10" s="16">
        <f t="shared" si="1"/>
        <v>3360.6</v>
      </c>
      <c r="K10" s="16">
        <f t="shared" si="2"/>
        <v>63354.6</v>
      </c>
      <c r="L10" s="126"/>
      <c r="M10" s="126">
        <f t="shared" si="4"/>
        <v>309491.70989999996</v>
      </c>
      <c r="N10" s="41"/>
      <c r="O10" s="66"/>
    </row>
    <row r="11" spans="1:15">
      <c r="A11" s="23">
        <v>8</v>
      </c>
      <c r="B11" s="24">
        <v>45908</v>
      </c>
      <c r="C11" s="124"/>
      <c r="D11" s="125"/>
      <c r="E11" s="90"/>
      <c r="F11" s="90"/>
      <c r="G11" s="16">
        <f t="shared" si="3"/>
        <v>0</v>
      </c>
      <c r="H11" s="90"/>
      <c r="I11" s="314"/>
      <c r="J11" s="16">
        <f t="shared" si="1"/>
        <v>0</v>
      </c>
      <c r="K11" s="16">
        <f t="shared" si="2"/>
        <v>0</v>
      </c>
      <c r="L11" s="126"/>
      <c r="M11" s="126">
        <f t="shared" si="4"/>
        <v>309491.70989999996</v>
      </c>
      <c r="N11" s="41"/>
      <c r="O11" s="66"/>
    </row>
    <row r="12" spans="1:15">
      <c r="A12" s="23">
        <v>9</v>
      </c>
      <c r="B12" s="24">
        <v>45909</v>
      </c>
      <c r="C12" s="124"/>
      <c r="D12" s="125"/>
      <c r="E12" s="90"/>
      <c r="F12" s="90"/>
      <c r="G12" s="16">
        <f t="shared" si="3"/>
        <v>0</v>
      </c>
      <c r="H12" s="90"/>
      <c r="I12" s="314"/>
      <c r="J12" s="16">
        <f t="shared" si="1"/>
        <v>0</v>
      </c>
      <c r="K12" s="16">
        <f t="shared" si="2"/>
        <v>0</v>
      </c>
      <c r="L12" s="126">
        <v>200000</v>
      </c>
      <c r="M12" s="126">
        <f t="shared" si="4"/>
        <v>109491.70989999996</v>
      </c>
      <c r="N12" s="41"/>
      <c r="O12" s="66"/>
    </row>
    <row r="13" spans="1:15">
      <c r="A13" s="23">
        <v>10</v>
      </c>
      <c r="B13" s="24">
        <v>45910</v>
      </c>
      <c r="C13" s="124"/>
      <c r="D13" s="125"/>
      <c r="E13" s="90">
        <v>800</v>
      </c>
      <c r="F13" s="90">
        <v>99.99</v>
      </c>
      <c r="G13" s="16">
        <f t="shared" si="3"/>
        <v>79992</v>
      </c>
      <c r="H13" s="90"/>
      <c r="I13" s="314"/>
      <c r="J13" s="16">
        <f t="shared" si="1"/>
        <v>0</v>
      </c>
      <c r="K13" s="16">
        <f t="shared" si="2"/>
        <v>79992</v>
      </c>
      <c r="L13" s="126"/>
      <c r="M13" s="126">
        <f t="shared" si="4"/>
        <v>189483.70989999996</v>
      </c>
      <c r="N13" s="41"/>
      <c r="O13" s="66"/>
    </row>
    <row r="14" spans="1:15">
      <c r="A14" s="23">
        <v>11</v>
      </c>
      <c r="B14" s="24">
        <v>45911</v>
      </c>
      <c r="C14" s="124"/>
      <c r="D14" s="125"/>
      <c r="E14" s="90"/>
      <c r="F14" s="90"/>
      <c r="G14" s="16">
        <f t="shared" si="3"/>
        <v>0</v>
      </c>
      <c r="H14" s="90"/>
      <c r="I14" s="314"/>
      <c r="J14" s="16">
        <f t="shared" si="1"/>
        <v>0</v>
      </c>
      <c r="K14" s="16">
        <f t="shared" si="2"/>
        <v>0</v>
      </c>
      <c r="L14" s="126"/>
      <c r="M14" s="126">
        <f t="shared" si="4"/>
        <v>189483.70989999996</v>
      </c>
      <c r="N14" s="41"/>
      <c r="O14" s="66"/>
    </row>
    <row r="15" spans="1:15">
      <c r="A15" s="23">
        <v>12</v>
      </c>
      <c r="B15" s="24">
        <v>45912</v>
      </c>
      <c r="C15" s="124"/>
      <c r="D15" s="125"/>
      <c r="E15" s="90"/>
      <c r="F15" s="90"/>
      <c r="G15" s="16">
        <f t="shared" si="3"/>
        <v>0</v>
      </c>
      <c r="H15" s="90"/>
      <c r="I15" s="314"/>
      <c r="J15" s="16">
        <f t="shared" si="1"/>
        <v>0</v>
      </c>
      <c r="K15" s="16">
        <f t="shared" si="2"/>
        <v>0</v>
      </c>
      <c r="L15" s="126"/>
      <c r="M15" s="126">
        <f t="shared" si="4"/>
        <v>189483.70989999996</v>
      </c>
      <c r="N15" s="41"/>
      <c r="O15" s="66"/>
    </row>
    <row r="16" spans="1:15">
      <c r="A16" s="23">
        <v>13</v>
      </c>
      <c r="B16" s="24">
        <v>45913</v>
      </c>
      <c r="C16" s="124"/>
      <c r="D16" s="125"/>
      <c r="E16" s="90">
        <v>600</v>
      </c>
      <c r="F16" s="90">
        <v>99.99</v>
      </c>
      <c r="G16" s="16">
        <f t="shared" si="3"/>
        <v>59994</v>
      </c>
      <c r="H16" s="90"/>
      <c r="I16" s="314"/>
      <c r="J16" s="16">
        <f t="shared" si="1"/>
        <v>0</v>
      </c>
      <c r="K16" s="16">
        <f t="shared" si="2"/>
        <v>59994</v>
      </c>
      <c r="L16" s="126"/>
      <c r="M16" s="126">
        <f t="shared" si="4"/>
        <v>249477.70989999996</v>
      </c>
      <c r="N16" s="41"/>
      <c r="O16" s="66"/>
    </row>
    <row r="17" spans="1:19">
      <c r="A17" s="23">
        <v>14</v>
      </c>
      <c r="B17" s="24">
        <v>45914</v>
      </c>
      <c r="C17" s="124"/>
      <c r="D17" s="125"/>
      <c r="E17" s="90"/>
      <c r="F17" s="90"/>
      <c r="G17" s="16">
        <f t="shared" si="3"/>
        <v>0</v>
      </c>
      <c r="H17" s="90"/>
      <c r="I17" s="314"/>
      <c r="J17" s="16">
        <f t="shared" si="1"/>
        <v>0</v>
      </c>
      <c r="K17" s="16">
        <f t="shared" si="2"/>
        <v>0</v>
      </c>
      <c r="L17" s="126"/>
      <c r="M17" s="126">
        <f t="shared" si="4"/>
        <v>249477.70989999996</v>
      </c>
      <c r="N17" s="41"/>
      <c r="O17" s="66"/>
    </row>
    <row r="18" spans="1:19">
      <c r="A18" s="23">
        <v>15</v>
      </c>
      <c r="B18" s="24">
        <v>45915</v>
      </c>
      <c r="C18" s="124"/>
      <c r="D18" s="125"/>
      <c r="E18" s="90"/>
      <c r="F18" s="90"/>
      <c r="G18" s="16">
        <f t="shared" si="3"/>
        <v>0</v>
      </c>
      <c r="H18" s="90"/>
      <c r="I18" s="314"/>
      <c r="J18" s="16">
        <f t="shared" si="1"/>
        <v>0</v>
      </c>
      <c r="K18" s="16">
        <f t="shared" si="2"/>
        <v>0</v>
      </c>
      <c r="L18" s="126"/>
      <c r="M18" s="126">
        <f t="shared" si="4"/>
        <v>249477.70989999996</v>
      </c>
      <c r="N18" s="41"/>
      <c r="O18" s="66"/>
      <c r="Q18" s="233"/>
      <c r="S18" s="167"/>
    </row>
    <row r="19" spans="1:19">
      <c r="A19" s="23">
        <v>16</v>
      </c>
      <c r="B19" s="24">
        <v>45916</v>
      </c>
      <c r="C19" s="124"/>
      <c r="D19" s="125"/>
      <c r="E19" s="90"/>
      <c r="F19" s="90"/>
      <c r="G19" s="16">
        <f t="shared" si="3"/>
        <v>0</v>
      </c>
      <c r="H19" s="90">
        <v>30</v>
      </c>
      <c r="I19" s="314">
        <v>112.02</v>
      </c>
      <c r="J19" s="16">
        <f t="shared" si="1"/>
        <v>3360.6</v>
      </c>
      <c r="K19" s="16">
        <f t="shared" si="2"/>
        <v>3360.6</v>
      </c>
      <c r="L19" s="126"/>
      <c r="M19" s="126">
        <f t="shared" si="4"/>
        <v>252838.30989999996</v>
      </c>
      <c r="N19" s="41"/>
      <c r="O19" s="66"/>
    </row>
    <row r="20" spans="1:19">
      <c r="A20" s="23">
        <v>17</v>
      </c>
      <c r="B20" s="24">
        <v>45917</v>
      </c>
      <c r="C20" s="124"/>
      <c r="D20" s="125"/>
      <c r="E20" s="90"/>
      <c r="F20" s="90"/>
      <c r="G20" s="16">
        <f t="shared" si="3"/>
        <v>0</v>
      </c>
      <c r="H20" s="90"/>
      <c r="I20" s="314"/>
      <c r="J20" s="16">
        <f t="shared" si="1"/>
        <v>0</v>
      </c>
      <c r="K20" s="16">
        <f t="shared" si="2"/>
        <v>0</v>
      </c>
      <c r="L20" s="126"/>
      <c r="M20" s="126">
        <f t="shared" si="4"/>
        <v>252838.30989999996</v>
      </c>
      <c r="N20" s="41"/>
      <c r="O20" s="66"/>
    </row>
    <row r="21" spans="1:19">
      <c r="A21" s="23">
        <v>18</v>
      </c>
      <c r="B21" s="24">
        <v>45918</v>
      </c>
      <c r="C21" s="124"/>
      <c r="D21" s="125"/>
      <c r="E21" s="90"/>
      <c r="F21" s="90"/>
      <c r="G21" s="16">
        <f t="shared" si="3"/>
        <v>0</v>
      </c>
      <c r="H21" s="90"/>
      <c r="I21" s="314"/>
      <c r="J21" s="16">
        <f t="shared" si="1"/>
        <v>0</v>
      </c>
      <c r="K21" s="16">
        <f t="shared" si="2"/>
        <v>0</v>
      </c>
      <c r="L21" s="126"/>
      <c r="M21" s="126">
        <f t="shared" si="4"/>
        <v>252838.30989999996</v>
      </c>
      <c r="N21" s="41"/>
      <c r="O21" s="66"/>
    </row>
    <row r="22" spans="1:19">
      <c r="A22" s="23">
        <v>19</v>
      </c>
      <c r="B22" s="24">
        <v>45919</v>
      </c>
      <c r="C22" s="124"/>
      <c r="D22" s="125"/>
      <c r="E22" s="90">
        <v>600</v>
      </c>
      <c r="F22" s="90">
        <v>99.99</v>
      </c>
      <c r="G22" s="16">
        <f t="shared" si="3"/>
        <v>59994</v>
      </c>
      <c r="H22" s="90">
        <v>30</v>
      </c>
      <c r="I22" s="314">
        <v>112.02</v>
      </c>
      <c r="J22" s="16">
        <f t="shared" si="1"/>
        <v>3360.6</v>
      </c>
      <c r="K22" s="16">
        <f t="shared" si="2"/>
        <v>63354.6</v>
      </c>
      <c r="L22" s="126"/>
      <c r="M22" s="126">
        <f t="shared" si="4"/>
        <v>316192.90989999997</v>
      </c>
      <c r="N22" s="41"/>
      <c r="O22" s="66"/>
    </row>
    <row r="23" spans="1:19">
      <c r="A23" s="23">
        <v>20</v>
      </c>
      <c r="B23" s="24">
        <v>45920</v>
      </c>
      <c r="C23" s="124"/>
      <c r="D23" s="125"/>
      <c r="E23" s="90"/>
      <c r="F23" s="90"/>
      <c r="G23" s="16">
        <f t="shared" si="3"/>
        <v>0</v>
      </c>
      <c r="H23" s="90"/>
      <c r="I23" s="314"/>
      <c r="J23" s="16">
        <f t="shared" si="1"/>
        <v>0</v>
      </c>
      <c r="K23" s="16">
        <f t="shared" si="2"/>
        <v>0</v>
      </c>
      <c r="L23" s="16"/>
      <c r="M23" s="126">
        <f t="shared" si="4"/>
        <v>316192.90989999997</v>
      </c>
      <c r="N23" s="41"/>
      <c r="O23" s="66"/>
    </row>
    <row r="24" spans="1:19">
      <c r="A24" s="23">
        <v>21</v>
      </c>
      <c r="B24" s="24">
        <v>45921</v>
      </c>
      <c r="C24" s="124"/>
      <c r="D24" s="125"/>
      <c r="E24" s="90"/>
      <c r="F24" s="90"/>
      <c r="G24" s="16">
        <f t="shared" si="3"/>
        <v>0</v>
      </c>
      <c r="H24" s="90"/>
      <c r="I24" s="314"/>
      <c r="J24" s="16">
        <f t="shared" si="1"/>
        <v>0</v>
      </c>
      <c r="K24" s="16">
        <f t="shared" si="2"/>
        <v>0</v>
      </c>
      <c r="L24" s="126"/>
      <c r="M24" s="126">
        <f t="shared" si="4"/>
        <v>316192.90989999997</v>
      </c>
      <c r="N24" s="41"/>
      <c r="O24" s="232"/>
    </row>
    <row r="25" spans="1:19">
      <c r="A25" s="23">
        <v>22</v>
      </c>
      <c r="B25" s="24">
        <v>45922</v>
      </c>
      <c r="C25" s="124"/>
      <c r="D25" s="125"/>
      <c r="E25" s="90"/>
      <c r="F25" s="90"/>
      <c r="G25" s="16">
        <f t="shared" si="3"/>
        <v>0</v>
      </c>
      <c r="H25" s="90"/>
      <c r="I25" s="314"/>
      <c r="J25" s="16">
        <f t="shared" si="1"/>
        <v>0</v>
      </c>
      <c r="K25" s="465">
        <f t="shared" si="2"/>
        <v>0</v>
      </c>
      <c r="L25" s="465"/>
      <c r="M25" s="126">
        <f t="shared" si="4"/>
        <v>316192.90989999997</v>
      </c>
      <c r="N25" s="41"/>
      <c r="O25" s="66"/>
    </row>
    <row r="26" spans="1:19">
      <c r="A26" s="23">
        <v>23</v>
      </c>
      <c r="B26" s="24">
        <v>45923</v>
      </c>
      <c r="C26" s="124"/>
      <c r="D26" s="125"/>
      <c r="E26" s="90">
        <v>800</v>
      </c>
      <c r="F26" s="90">
        <v>99.99</v>
      </c>
      <c r="G26" s="16">
        <f t="shared" si="3"/>
        <v>79992</v>
      </c>
      <c r="H26" s="90"/>
      <c r="I26" s="314"/>
      <c r="J26" s="16">
        <f t="shared" si="1"/>
        <v>0</v>
      </c>
      <c r="K26" s="16">
        <f t="shared" si="2"/>
        <v>79992</v>
      </c>
      <c r="L26" s="126">
        <v>252000</v>
      </c>
      <c r="M26" s="126">
        <f t="shared" si="4"/>
        <v>144184.90989999997</v>
      </c>
      <c r="N26" s="41"/>
      <c r="O26" s="66"/>
    </row>
    <row r="27" spans="1:19">
      <c r="A27" s="23"/>
      <c r="B27" s="24">
        <v>45923</v>
      </c>
      <c r="C27" s="124"/>
      <c r="D27" s="125"/>
      <c r="E27" s="90">
        <v>99.92</v>
      </c>
      <c r="F27" s="90">
        <v>100.08</v>
      </c>
      <c r="G27" s="16">
        <f t="shared" si="3"/>
        <v>9999.9935999999998</v>
      </c>
      <c r="H27" s="90"/>
      <c r="I27" s="314"/>
      <c r="J27" s="16"/>
      <c r="K27" s="16">
        <f t="shared" si="2"/>
        <v>9999.9935999999998</v>
      </c>
      <c r="L27" s="126">
        <v>9999.9935999999998</v>
      </c>
      <c r="M27" s="126">
        <f t="shared" si="4"/>
        <v>144184.90989999997</v>
      </c>
      <c r="N27" s="41"/>
      <c r="O27" s="66"/>
    </row>
    <row r="28" spans="1:19">
      <c r="A28" s="23">
        <v>24</v>
      </c>
      <c r="B28" s="24">
        <v>45924</v>
      </c>
      <c r="C28" s="124"/>
      <c r="D28" s="125"/>
      <c r="E28" s="90"/>
      <c r="F28" s="90"/>
      <c r="G28" s="16">
        <f t="shared" si="3"/>
        <v>0</v>
      </c>
      <c r="H28" s="90"/>
      <c r="I28" s="314"/>
      <c r="J28" s="16">
        <f t="shared" si="1"/>
        <v>0</v>
      </c>
      <c r="K28" s="16">
        <f t="shared" si="2"/>
        <v>0</v>
      </c>
      <c r="L28" s="126"/>
      <c r="M28" s="126">
        <f t="shared" si="4"/>
        <v>144184.90989999997</v>
      </c>
      <c r="N28" s="41"/>
      <c r="O28" s="66"/>
    </row>
    <row r="29" spans="1:19">
      <c r="A29" s="23">
        <v>25</v>
      </c>
      <c r="B29" s="24">
        <v>45925</v>
      </c>
      <c r="C29" s="124"/>
      <c r="D29" s="125"/>
      <c r="E29" s="90"/>
      <c r="F29" s="90"/>
      <c r="G29" s="16">
        <f t="shared" si="3"/>
        <v>0</v>
      </c>
      <c r="H29" s="90"/>
      <c r="I29" s="314"/>
      <c r="J29" s="16">
        <f t="shared" si="1"/>
        <v>0</v>
      </c>
      <c r="K29" s="16">
        <f t="shared" si="2"/>
        <v>0</v>
      </c>
      <c r="L29" s="16"/>
      <c r="M29" s="126">
        <f t="shared" si="4"/>
        <v>144184.90989999997</v>
      </c>
      <c r="N29" s="41"/>
      <c r="O29" s="66"/>
    </row>
    <row r="30" spans="1:19">
      <c r="A30" s="23">
        <v>26</v>
      </c>
      <c r="B30" s="24">
        <v>45926</v>
      </c>
      <c r="C30" s="124"/>
      <c r="D30" s="125"/>
      <c r="E30" s="568">
        <v>800</v>
      </c>
      <c r="F30" s="568">
        <v>99.99</v>
      </c>
      <c r="G30" s="16">
        <f t="shared" si="3"/>
        <v>79992</v>
      </c>
      <c r="H30" s="90">
        <v>30</v>
      </c>
      <c r="I30" s="314">
        <v>112.02</v>
      </c>
      <c r="J30" s="16">
        <f t="shared" si="1"/>
        <v>3360.6</v>
      </c>
      <c r="K30" s="16">
        <f t="shared" si="2"/>
        <v>83352.600000000006</v>
      </c>
      <c r="L30" s="126"/>
      <c r="M30" s="126">
        <f t="shared" si="4"/>
        <v>227537.50989999998</v>
      </c>
      <c r="N30" s="41"/>
      <c r="O30" s="66"/>
    </row>
    <row r="31" spans="1:19">
      <c r="A31" s="23">
        <v>27</v>
      </c>
      <c r="B31" s="24">
        <v>45927</v>
      </c>
      <c r="C31" s="124"/>
      <c r="D31" s="125"/>
      <c r="E31" s="90"/>
      <c r="F31" s="90"/>
      <c r="G31" s="16">
        <f t="shared" si="3"/>
        <v>0</v>
      </c>
      <c r="H31" s="90"/>
      <c r="I31" s="314"/>
      <c r="J31" s="16">
        <f t="shared" si="1"/>
        <v>0</v>
      </c>
      <c r="K31" s="465">
        <f t="shared" si="2"/>
        <v>0</v>
      </c>
      <c r="L31" s="465"/>
      <c r="M31" s="126">
        <f t="shared" si="4"/>
        <v>227537.50989999998</v>
      </c>
      <c r="N31" s="41"/>
      <c r="O31" s="66"/>
    </row>
    <row r="32" spans="1:19">
      <c r="A32" s="23">
        <v>28</v>
      </c>
      <c r="B32" s="24">
        <v>45928</v>
      </c>
      <c r="C32" s="124"/>
      <c r="D32" s="125"/>
      <c r="E32" s="568">
        <v>600</v>
      </c>
      <c r="F32" s="568">
        <v>99.99</v>
      </c>
      <c r="G32" s="16">
        <f t="shared" si="3"/>
        <v>59994</v>
      </c>
      <c r="H32" s="90">
        <v>30</v>
      </c>
      <c r="I32" s="314">
        <v>112.02</v>
      </c>
      <c r="J32" s="16">
        <f t="shared" si="1"/>
        <v>3360.6</v>
      </c>
      <c r="K32" s="465">
        <f t="shared" si="2"/>
        <v>63354.6</v>
      </c>
      <c r="L32" s="465"/>
      <c r="M32" s="126">
        <f t="shared" si="4"/>
        <v>290892.10989999998</v>
      </c>
      <c r="N32" s="41"/>
      <c r="O32" s="66"/>
      <c r="P32" s="233"/>
    </row>
    <row r="33" spans="1:19">
      <c r="A33" s="23">
        <v>29</v>
      </c>
      <c r="B33" s="24">
        <v>45929</v>
      </c>
      <c r="C33" s="124"/>
      <c r="D33" s="125"/>
      <c r="E33" s="90"/>
      <c r="F33" s="90"/>
      <c r="G33" s="16">
        <f t="shared" si="3"/>
        <v>0</v>
      </c>
      <c r="H33" s="90"/>
      <c r="I33" s="314"/>
      <c r="J33" s="16">
        <f t="shared" si="1"/>
        <v>0</v>
      </c>
      <c r="K33" s="16">
        <f t="shared" si="2"/>
        <v>0</v>
      </c>
      <c r="L33" s="126"/>
      <c r="M33" s="126">
        <f t="shared" si="4"/>
        <v>290892.10989999998</v>
      </c>
      <c r="N33" s="41"/>
      <c r="O33" s="66"/>
    </row>
    <row r="34" spans="1:19">
      <c r="A34" s="23">
        <v>30</v>
      </c>
      <c r="B34" s="24">
        <v>45930</v>
      </c>
      <c r="C34" s="124"/>
      <c r="D34" s="125"/>
      <c r="E34" s="90"/>
      <c r="F34" s="90"/>
      <c r="G34" s="16">
        <f t="shared" si="3"/>
        <v>0</v>
      </c>
      <c r="H34" s="90"/>
      <c r="I34" s="314"/>
      <c r="J34" s="16">
        <f t="shared" si="1"/>
        <v>0</v>
      </c>
      <c r="K34" s="16">
        <f t="shared" si="2"/>
        <v>0</v>
      </c>
      <c r="L34" s="126"/>
      <c r="M34" s="126">
        <f t="shared" si="4"/>
        <v>290892.10989999998</v>
      </c>
      <c r="N34" s="41"/>
      <c r="O34" s="66"/>
      <c r="P34" s="233"/>
    </row>
    <row r="35" spans="1:19">
      <c r="A35" s="23">
        <v>31</v>
      </c>
      <c r="B35" s="24"/>
      <c r="C35" s="124"/>
      <c r="D35" s="125"/>
      <c r="E35" s="90"/>
      <c r="F35" s="90"/>
      <c r="G35" s="16">
        <f t="shared" si="3"/>
        <v>0</v>
      </c>
      <c r="H35" s="90"/>
      <c r="I35" s="314"/>
      <c r="J35" s="16">
        <f t="shared" si="1"/>
        <v>0</v>
      </c>
      <c r="K35" s="16">
        <f t="shared" si="2"/>
        <v>0</v>
      </c>
      <c r="L35" s="126"/>
      <c r="M35" s="126">
        <f t="shared" si="4"/>
        <v>290892.10989999998</v>
      </c>
      <c r="N35" s="41"/>
      <c r="O35" s="66"/>
    </row>
    <row r="36" spans="1:19">
      <c r="A36" s="23"/>
      <c r="B36" s="24"/>
      <c r="C36" s="124"/>
      <c r="D36" s="125"/>
      <c r="E36" s="90"/>
      <c r="F36" s="90"/>
      <c r="G36" s="16">
        <f t="shared" si="0"/>
        <v>0</v>
      </c>
      <c r="H36" s="90"/>
      <c r="I36" s="314"/>
      <c r="J36" s="16">
        <f t="shared" si="1"/>
        <v>0</v>
      </c>
      <c r="K36" s="16">
        <f t="shared" si="2"/>
        <v>0</v>
      </c>
      <c r="L36" s="126"/>
      <c r="M36" s="126">
        <f t="shared" si="4"/>
        <v>290892.10989999998</v>
      </c>
      <c r="N36" s="41"/>
      <c r="O36" s="66"/>
    </row>
    <row r="37" spans="1:19">
      <c r="A37" s="23"/>
      <c r="B37" s="24"/>
      <c r="C37" s="124"/>
      <c r="D37" s="125"/>
      <c r="E37" s="90"/>
      <c r="F37" s="90"/>
      <c r="G37" s="16">
        <f t="shared" ref="G37" si="5">E37*F37</f>
        <v>0</v>
      </c>
      <c r="H37" s="90"/>
      <c r="I37" s="314"/>
      <c r="J37" s="16">
        <f t="shared" ref="J37" si="6">H37*I37</f>
        <v>0</v>
      </c>
      <c r="K37" s="16">
        <f t="shared" ref="K37" si="7">G37+J37</f>
        <v>0</v>
      </c>
      <c r="L37" s="126"/>
      <c r="M37" s="126">
        <f t="shared" si="4"/>
        <v>290892.10989999998</v>
      </c>
      <c r="N37" s="41"/>
      <c r="O37" s="66"/>
    </row>
    <row r="38" spans="1:19">
      <c r="A38" s="39"/>
      <c r="B38" s="39"/>
      <c r="C38" s="39"/>
      <c r="D38" s="39"/>
      <c r="E38" s="40">
        <f>SUM(E4:E36)</f>
        <v>6099.92</v>
      </c>
      <c r="F38" s="40"/>
      <c r="G38" s="40">
        <f>SUM(G4:G36)</f>
        <v>609939.99359999993</v>
      </c>
      <c r="H38" s="40">
        <f>SUM(H4:H36)</f>
        <v>185</v>
      </c>
      <c r="I38" s="40"/>
      <c r="J38" s="40">
        <f>SUM(J4:J36)</f>
        <v>20723.699999999997</v>
      </c>
      <c r="K38" s="40">
        <f>SUM(K4:K36)</f>
        <v>630663.69359999988</v>
      </c>
      <c r="L38" s="40">
        <f>SUM(L4:L36)</f>
        <v>461999.99359999999</v>
      </c>
      <c r="M38" s="40"/>
      <c r="N38" s="40"/>
      <c r="O38" s="30"/>
    </row>
    <row r="39" spans="1:19">
      <c r="A39" s="69"/>
      <c r="B39" s="70"/>
      <c r="C39" s="69"/>
      <c r="D39" s="69"/>
      <c r="E39" s="71"/>
      <c r="F39" s="71"/>
      <c r="G39" s="71"/>
      <c r="H39" s="71"/>
      <c r="I39" s="71"/>
      <c r="J39" s="72"/>
      <c r="K39" s="72"/>
      <c r="L39" s="72"/>
      <c r="M39" s="72"/>
      <c r="N39" s="71"/>
      <c r="O39" s="66"/>
    </row>
    <row r="40" spans="1:19">
      <c r="E40" s="131"/>
      <c r="F40" s="131"/>
      <c r="G40" s="131"/>
      <c r="H40" s="131"/>
      <c r="I40" s="131"/>
      <c r="J40" s="131"/>
      <c r="K40" s="131"/>
      <c r="L40" s="131"/>
      <c r="M40" s="233"/>
      <c r="O40" s="66"/>
    </row>
    <row r="41" spans="1:19">
      <c r="O41" s="66"/>
    </row>
    <row r="42" spans="1:19">
      <c r="M42" s="167"/>
      <c r="O42" s="66"/>
    </row>
    <row r="43" spans="1:19">
      <c r="O43" s="66"/>
    </row>
    <row r="44" spans="1:19">
      <c r="O44" s="66"/>
      <c r="S44">
        <v>9052944708</v>
      </c>
    </row>
    <row r="45" spans="1:19">
      <c r="A45" s="66"/>
      <c r="B45" s="56"/>
      <c r="C45" s="66"/>
      <c r="D45" s="66"/>
      <c r="E45" s="66"/>
      <c r="F45" s="66"/>
      <c r="G45" s="73"/>
      <c r="H45" s="66"/>
      <c r="I45" s="66"/>
      <c r="J45" s="56"/>
      <c r="K45" s="56"/>
      <c r="L45" s="56"/>
      <c r="M45" s="56"/>
      <c r="N45" s="66"/>
      <c r="O45" s="71"/>
    </row>
    <row r="46" spans="1:19">
      <c r="A46" s="66"/>
      <c r="B46" s="599"/>
      <c r="C46" s="599"/>
      <c r="D46" s="599"/>
      <c r="E46" s="599"/>
      <c r="F46" s="66"/>
      <c r="G46" s="66"/>
      <c r="H46" s="66"/>
      <c r="I46" s="599"/>
      <c r="J46" s="599"/>
      <c r="K46" s="599"/>
      <c r="L46" s="599"/>
      <c r="M46" s="599"/>
      <c r="N46" s="599"/>
      <c r="O46" s="71"/>
    </row>
    <row r="47" spans="1:19">
      <c r="A47" s="66"/>
      <c r="B47" s="56"/>
      <c r="C47" s="66"/>
      <c r="D47" s="66"/>
      <c r="E47" s="66"/>
      <c r="F47" s="66"/>
      <c r="G47" s="66"/>
      <c r="H47" s="66"/>
      <c r="I47" s="66"/>
      <c r="J47" s="56"/>
      <c r="K47" s="56"/>
      <c r="L47" s="56"/>
      <c r="M47" s="56"/>
      <c r="N47" s="66"/>
      <c r="O47" s="71"/>
    </row>
  </sheetData>
  <mergeCells count="4">
    <mergeCell ref="A1:N1"/>
    <mergeCell ref="B46:E46"/>
    <mergeCell ref="I46:N46"/>
    <mergeCell ref="A3:J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N35"/>
  <sheetViews>
    <sheetView workbookViewId="0">
      <pane ySplit="3" topLeftCell="A15" activePane="bottomLeft" state="frozen"/>
      <selection pane="bottomLeft" activeCell="M26" sqref="M26"/>
    </sheetView>
  </sheetViews>
  <sheetFormatPr defaultRowHeight="15"/>
  <cols>
    <col min="2" max="2" width="10.140625" bestFit="1" customWidth="1"/>
    <col min="4" max="4" width="24.85546875" bestFit="1" customWidth="1"/>
    <col min="7" max="7" width="8.28515625" bestFit="1" customWidth="1"/>
    <col min="12" max="12" width="9.28515625" bestFit="1" customWidth="1"/>
    <col min="13" max="13" width="10.42578125" bestFit="1" customWidth="1"/>
    <col min="14" max="14" width="12.7109375" customWidth="1"/>
  </cols>
  <sheetData>
    <row r="1" spans="1:14" ht="15.75">
      <c r="A1" s="606" t="s">
        <v>209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25.5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02" t="s">
        <v>175</v>
      </c>
      <c r="L2" s="102" t="s">
        <v>176</v>
      </c>
      <c r="M2" s="102" t="s">
        <v>185</v>
      </c>
      <c r="N2" s="102" t="s">
        <v>178</v>
      </c>
    </row>
    <row r="3" spans="1:14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92">
        <v>35260.26</v>
      </c>
      <c r="L3" s="92">
        <v>35260.26</v>
      </c>
      <c r="M3" s="92">
        <v>35260.26</v>
      </c>
      <c r="N3" s="14"/>
    </row>
    <row r="4" spans="1:14">
      <c r="A4" s="23">
        <v>1</v>
      </c>
      <c r="B4" s="24">
        <v>46266</v>
      </c>
      <c r="C4" s="14"/>
      <c r="D4" s="14"/>
      <c r="E4" s="83"/>
      <c r="F4" s="83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35260.26</v>
      </c>
      <c r="N4" s="216"/>
    </row>
    <row r="5" spans="1:14">
      <c r="A5" s="23">
        <v>2</v>
      </c>
      <c r="B5" s="24">
        <v>46267</v>
      </c>
      <c r="C5" s="14"/>
      <c r="D5" s="14"/>
      <c r="E5" s="83"/>
      <c r="F5" s="83"/>
      <c r="G5" s="14">
        <f t="shared" ref="G5" si="0">E5*F5</f>
        <v>0</v>
      </c>
      <c r="H5" s="83"/>
      <c r="I5" s="83"/>
      <c r="J5" s="14">
        <f t="shared" ref="J5" si="1">H5*I5</f>
        <v>0</v>
      </c>
      <c r="K5" s="14">
        <f t="shared" ref="K5" si="2">G5+J5</f>
        <v>0</v>
      </c>
      <c r="L5" s="14"/>
      <c r="M5" s="94">
        <f t="shared" ref="M5:M34" si="3">M4+K5-L5</f>
        <v>35260.26</v>
      </c>
      <c r="N5" s="41"/>
    </row>
    <row r="6" spans="1:14">
      <c r="A6" s="23">
        <v>3</v>
      </c>
      <c r="B6" s="24">
        <v>46268</v>
      </c>
      <c r="C6" s="14"/>
      <c r="D6" s="14"/>
      <c r="E6" s="83"/>
      <c r="F6" s="83"/>
      <c r="G6" s="14">
        <f t="shared" ref="G6:G7" si="4">E6*F6</f>
        <v>0</v>
      </c>
      <c r="H6" s="83"/>
      <c r="I6" s="83"/>
      <c r="J6" s="14">
        <f t="shared" ref="J6:J33" si="5">H6*I6</f>
        <v>0</v>
      </c>
      <c r="K6" s="14">
        <f t="shared" ref="K6:K33" si="6">G6+J6</f>
        <v>0</v>
      </c>
      <c r="L6" s="14"/>
      <c r="M6" s="94">
        <f t="shared" si="3"/>
        <v>35260.26</v>
      </c>
      <c r="N6" s="41"/>
    </row>
    <row r="7" spans="1:14">
      <c r="A7" s="23">
        <v>4</v>
      </c>
      <c r="B7" s="24">
        <v>46269</v>
      </c>
      <c r="C7" s="14"/>
      <c r="D7" s="14"/>
      <c r="E7" s="83"/>
      <c r="F7" s="83"/>
      <c r="G7" s="14">
        <f t="shared" si="4"/>
        <v>0</v>
      </c>
      <c r="H7" s="83"/>
      <c r="I7" s="83"/>
      <c r="J7" s="14">
        <f t="shared" si="5"/>
        <v>0</v>
      </c>
      <c r="K7" s="14">
        <f t="shared" si="6"/>
        <v>0</v>
      </c>
      <c r="L7" s="14"/>
      <c r="M7" s="419">
        <f t="shared" si="3"/>
        <v>35260.26</v>
      </c>
      <c r="N7" s="14"/>
    </row>
    <row r="8" spans="1:14">
      <c r="A8" s="23">
        <v>5</v>
      </c>
      <c r="B8" s="24">
        <v>46270</v>
      </c>
      <c r="C8" s="14"/>
      <c r="D8" s="14"/>
      <c r="E8" s="83"/>
      <c r="F8" s="83"/>
      <c r="G8" s="14">
        <f>E8*F8</f>
        <v>0</v>
      </c>
      <c r="H8" s="83"/>
      <c r="I8" s="83"/>
      <c r="J8" s="14">
        <f t="shared" si="5"/>
        <v>0</v>
      </c>
      <c r="K8" s="14">
        <f t="shared" si="6"/>
        <v>0</v>
      </c>
      <c r="L8" s="14"/>
      <c r="M8" s="419">
        <f t="shared" si="3"/>
        <v>35260.26</v>
      </c>
      <c r="N8" s="41"/>
    </row>
    <row r="9" spans="1:14">
      <c r="A9" s="23">
        <v>6</v>
      </c>
      <c r="B9" s="24">
        <v>46271</v>
      </c>
      <c r="C9" s="14"/>
      <c r="D9" s="14"/>
      <c r="E9" s="83"/>
      <c r="F9" s="83"/>
      <c r="G9" s="14">
        <f>E9*F9</f>
        <v>0</v>
      </c>
      <c r="H9" s="83"/>
      <c r="I9" s="83"/>
      <c r="J9" s="14">
        <f t="shared" si="5"/>
        <v>0</v>
      </c>
      <c r="K9" s="14">
        <f t="shared" si="6"/>
        <v>0</v>
      </c>
      <c r="L9" s="14"/>
      <c r="M9" s="419">
        <f t="shared" si="3"/>
        <v>35260.26</v>
      </c>
      <c r="N9" s="41"/>
    </row>
    <row r="10" spans="1:14">
      <c r="A10" s="23">
        <v>7</v>
      </c>
      <c r="B10" s="24">
        <v>46272</v>
      </c>
      <c r="C10" s="14"/>
      <c r="D10" s="14"/>
      <c r="E10" s="83"/>
      <c r="F10" s="83"/>
      <c r="G10" s="14">
        <f>E10*F10</f>
        <v>0</v>
      </c>
      <c r="H10" s="83"/>
      <c r="I10" s="83"/>
      <c r="J10" s="14">
        <f t="shared" si="5"/>
        <v>0</v>
      </c>
      <c r="K10" s="14">
        <f t="shared" si="6"/>
        <v>0</v>
      </c>
      <c r="L10" s="14"/>
      <c r="M10" s="419">
        <f t="shared" si="3"/>
        <v>35260.26</v>
      </c>
      <c r="N10" s="41"/>
    </row>
    <row r="11" spans="1:14">
      <c r="A11" s="23">
        <v>8</v>
      </c>
      <c r="B11" s="24">
        <v>46273</v>
      </c>
      <c r="C11" s="14"/>
      <c r="D11" s="14"/>
      <c r="E11" s="83"/>
      <c r="F11" s="83"/>
      <c r="G11" s="14">
        <f>E11*F11</f>
        <v>0</v>
      </c>
      <c r="H11" s="83"/>
      <c r="I11" s="83"/>
      <c r="J11" s="14">
        <f t="shared" si="5"/>
        <v>0</v>
      </c>
      <c r="K11" s="14">
        <f t="shared" si="6"/>
        <v>0</v>
      </c>
      <c r="L11" s="14"/>
      <c r="M11" s="419">
        <f t="shared" si="3"/>
        <v>35260.26</v>
      </c>
      <c r="N11" s="41"/>
    </row>
    <row r="12" spans="1:14">
      <c r="A12" s="23">
        <v>9</v>
      </c>
      <c r="B12" s="24">
        <v>46274</v>
      </c>
      <c r="C12" s="14"/>
      <c r="D12" s="14"/>
      <c r="E12" s="83">
        <v>300</v>
      </c>
      <c r="F12" s="83">
        <v>100.04</v>
      </c>
      <c r="G12" s="14">
        <f>E12*F12</f>
        <v>30012.000000000004</v>
      </c>
      <c r="H12" s="83">
        <v>20</v>
      </c>
      <c r="I12" s="83">
        <v>112.06</v>
      </c>
      <c r="J12" s="14">
        <f t="shared" si="5"/>
        <v>2241.1999999999998</v>
      </c>
      <c r="K12" s="14">
        <f t="shared" si="6"/>
        <v>32253.200000000004</v>
      </c>
      <c r="L12" s="14"/>
      <c r="M12" s="37">
        <f t="shared" si="3"/>
        <v>67513.460000000006</v>
      </c>
      <c r="N12" s="90"/>
    </row>
    <row r="13" spans="1:14">
      <c r="A13" s="23">
        <v>10</v>
      </c>
      <c r="B13" s="24">
        <v>46275</v>
      </c>
      <c r="C13" s="14"/>
      <c r="D13" s="14"/>
      <c r="E13" s="83"/>
      <c r="F13" s="83"/>
      <c r="G13" s="14">
        <f>E13*F13</f>
        <v>0</v>
      </c>
      <c r="H13" s="83"/>
      <c r="I13" s="83"/>
      <c r="J13" s="14">
        <f t="shared" si="5"/>
        <v>0</v>
      </c>
      <c r="K13" s="14">
        <f t="shared" si="6"/>
        <v>0</v>
      </c>
      <c r="L13" s="14"/>
      <c r="M13" s="37">
        <f t="shared" si="3"/>
        <v>67513.460000000006</v>
      </c>
      <c r="N13" s="41"/>
    </row>
    <row r="14" spans="1:14">
      <c r="A14" s="23">
        <v>11</v>
      </c>
      <c r="B14" s="24">
        <v>46276</v>
      </c>
      <c r="C14" s="14"/>
      <c r="D14" s="14"/>
      <c r="E14" s="83"/>
      <c r="F14" s="83"/>
      <c r="G14" s="14">
        <f>E14*F14</f>
        <v>0</v>
      </c>
      <c r="H14" s="83"/>
      <c r="I14" s="83"/>
      <c r="J14" s="14">
        <f t="shared" si="5"/>
        <v>0</v>
      </c>
      <c r="K14" s="14">
        <f t="shared" si="6"/>
        <v>0</v>
      </c>
      <c r="L14" s="14"/>
      <c r="M14" s="37">
        <f t="shared" si="3"/>
        <v>67513.460000000006</v>
      </c>
      <c r="N14" s="41"/>
    </row>
    <row r="15" spans="1:14">
      <c r="A15" s="23">
        <v>12</v>
      </c>
      <c r="B15" s="24">
        <v>46277</v>
      </c>
      <c r="C15" s="14"/>
      <c r="D15" s="14"/>
      <c r="E15" s="83"/>
      <c r="F15" s="83"/>
      <c r="G15" s="14">
        <f>E15*F15</f>
        <v>0</v>
      </c>
      <c r="H15" s="83"/>
      <c r="I15" s="83"/>
      <c r="J15" s="14">
        <f t="shared" si="5"/>
        <v>0</v>
      </c>
      <c r="K15" s="14">
        <f t="shared" si="6"/>
        <v>0</v>
      </c>
      <c r="L15" s="14"/>
      <c r="M15" s="37">
        <f t="shared" si="3"/>
        <v>67513.460000000006</v>
      </c>
      <c r="N15" s="41"/>
    </row>
    <row r="16" spans="1:14">
      <c r="A16" s="23">
        <v>13</v>
      </c>
      <c r="B16" s="24">
        <v>46278</v>
      </c>
      <c r="C16" s="14"/>
      <c r="D16" s="14"/>
      <c r="E16" s="83"/>
      <c r="F16" s="83"/>
      <c r="G16" s="14">
        <f>E16*F16</f>
        <v>0</v>
      </c>
      <c r="H16" s="83"/>
      <c r="I16" s="83"/>
      <c r="J16" s="14">
        <f t="shared" si="5"/>
        <v>0</v>
      </c>
      <c r="K16" s="14">
        <f t="shared" si="6"/>
        <v>0</v>
      </c>
      <c r="L16" s="14"/>
      <c r="M16" s="37">
        <f t="shared" si="3"/>
        <v>67513.460000000006</v>
      </c>
      <c r="N16" s="41"/>
    </row>
    <row r="17" spans="1:14">
      <c r="A17" s="23">
        <v>14</v>
      </c>
      <c r="B17" s="24">
        <v>46279</v>
      </c>
      <c r="C17" s="14"/>
      <c r="D17" s="14"/>
      <c r="E17" s="83"/>
      <c r="F17" s="83"/>
      <c r="G17" s="14">
        <f>E17*F17</f>
        <v>0</v>
      </c>
      <c r="H17" s="83"/>
      <c r="I17" s="83"/>
      <c r="J17" s="14">
        <f t="shared" si="5"/>
        <v>0</v>
      </c>
      <c r="K17" s="14">
        <f t="shared" si="6"/>
        <v>0</v>
      </c>
      <c r="L17" s="14"/>
      <c r="M17" s="37">
        <f t="shared" si="3"/>
        <v>67513.460000000006</v>
      </c>
      <c r="N17" s="41"/>
    </row>
    <row r="18" spans="1:14">
      <c r="A18" s="23">
        <v>15</v>
      </c>
      <c r="B18" s="24">
        <v>46280</v>
      </c>
      <c r="C18" s="14"/>
      <c r="D18" s="14"/>
      <c r="E18" s="83"/>
      <c r="F18" s="83"/>
      <c r="G18" s="14">
        <f>E18*F18</f>
        <v>0</v>
      </c>
      <c r="H18" s="83"/>
      <c r="I18" s="83"/>
      <c r="J18" s="14">
        <f t="shared" si="5"/>
        <v>0</v>
      </c>
      <c r="K18" s="14">
        <f t="shared" si="6"/>
        <v>0</v>
      </c>
      <c r="L18" s="14"/>
      <c r="M18" s="37">
        <f t="shared" si="3"/>
        <v>67513.460000000006</v>
      </c>
      <c r="N18" s="41"/>
    </row>
    <row r="19" spans="1:14">
      <c r="A19" s="23">
        <v>16</v>
      </c>
      <c r="B19" s="24">
        <v>46281</v>
      </c>
      <c r="C19" s="14"/>
      <c r="D19" s="14"/>
      <c r="E19" s="83"/>
      <c r="F19" s="83"/>
      <c r="G19" s="14">
        <f>E19*F19</f>
        <v>0</v>
      </c>
      <c r="H19" s="83"/>
      <c r="I19" s="83"/>
      <c r="J19" s="14">
        <f t="shared" si="5"/>
        <v>0</v>
      </c>
      <c r="K19" s="14">
        <f t="shared" si="6"/>
        <v>0</v>
      </c>
      <c r="L19" s="14"/>
      <c r="M19" s="37">
        <f t="shared" si="3"/>
        <v>67513.460000000006</v>
      </c>
      <c r="N19" s="41"/>
    </row>
    <row r="20" spans="1:14">
      <c r="A20" s="23">
        <v>17</v>
      </c>
      <c r="B20" s="24">
        <v>46282</v>
      </c>
      <c r="C20" s="14"/>
      <c r="D20" s="14"/>
      <c r="E20" s="83"/>
      <c r="F20" s="83"/>
      <c r="G20" s="14">
        <f>E20*F20</f>
        <v>0</v>
      </c>
      <c r="H20" s="83"/>
      <c r="I20" s="83"/>
      <c r="J20" s="14">
        <f t="shared" si="5"/>
        <v>0</v>
      </c>
      <c r="K20" s="14">
        <f t="shared" si="6"/>
        <v>0</v>
      </c>
      <c r="L20" s="14"/>
      <c r="M20" s="37">
        <f t="shared" si="3"/>
        <v>67513.460000000006</v>
      </c>
      <c r="N20" s="41"/>
    </row>
    <row r="21" spans="1:14">
      <c r="A21" s="23">
        <v>18</v>
      </c>
      <c r="B21" s="24">
        <v>46283</v>
      </c>
      <c r="C21" s="14"/>
      <c r="D21" s="14"/>
      <c r="E21" s="83"/>
      <c r="F21" s="83"/>
      <c r="G21" s="14">
        <f>E21*F21</f>
        <v>0</v>
      </c>
      <c r="H21" s="83"/>
      <c r="I21" s="83"/>
      <c r="J21" s="14">
        <f t="shared" si="5"/>
        <v>0</v>
      </c>
      <c r="K21" s="14">
        <f t="shared" si="6"/>
        <v>0</v>
      </c>
      <c r="L21" s="14"/>
      <c r="M21" s="37">
        <f t="shared" si="3"/>
        <v>67513.460000000006</v>
      </c>
      <c r="N21" s="41"/>
    </row>
    <row r="22" spans="1:14">
      <c r="A22" s="23">
        <v>19</v>
      </c>
      <c r="B22" s="24">
        <v>46284</v>
      </c>
      <c r="C22" s="14"/>
      <c r="D22" s="14"/>
      <c r="E22" s="83"/>
      <c r="F22" s="83"/>
      <c r="G22" s="14">
        <f>E22*F22</f>
        <v>0</v>
      </c>
      <c r="H22" s="83"/>
      <c r="I22" s="83"/>
      <c r="J22" s="14">
        <f t="shared" si="5"/>
        <v>0</v>
      </c>
      <c r="K22" s="14">
        <f t="shared" si="6"/>
        <v>0</v>
      </c>
      <c r="L22" s="14">
        <v>65000</v>
      </c>
      <c r="M22" s="37">
        <f t="shared" si="3"/>
        <v>2513.4600000000064</v>
      </c>
      <c r="N22" s="41"/>
    </row>
    <row r="23" spans="1:14">
      <c r="A23" s="23">
        <v>20</v>
      </c>
      <c r="B23" s="24">
        <v>46285</v>
      </c>
      <c r="C23" s="14"/>
      <c r="D23" s="14"/>
      <c r="E23" s="83"/>
      <c r="F23" s="83"/>
      <c r="G23" s="14">
        <f>E23*F23</f>
        <v>0</v>
      </c>
      <c r="H23" s="83"/>
      <c r="I23" s="83"/>
      <c r="J23" s="14">
        <f t="shared" si="5"/>
        <v>0</v>
      </c>
      <c r="K23" s="14">
        <f t="shared" si="6"/>
        <v>0</v>
      </c>
      <c r="L23" s="14"/>
      <c r="M23" s="37">
        <f t="shared" si="3"/>
        <v>2513.4600000000064</v>
      </c>
      <c r="N23" s="41"/>
    </row>
    <row r="24" spans="1:14">
      <c r="A24" s="23">
        <v>21</v>
      </c>
      <c r="B24" s="24">
        <v>46286</v>
      </c>
      <c r="C24" s="14"/>
      <c r="D24" s="14"/>
      <c r="E24" s="83"/>
      <c r="F24" s="83"/>
      <c r="G24" s="14">
        <f>E24*F24</f>
        <v>0</v>
      </c>
      <c r="H24" s="83"/>
      <c r="I24" s="83"/>
      <c r="J24" s="14">
        <f t="shared" si="5"/>
        <v>0</v>
      </c>
      <c r="K24" s="14">
        <f t="shared" si="6"/>
        <v>0</v>
      </c>
      <c r="L24" s="14"/>
      <c r="M24" s="37">
        <f t="shared" si="3"/>
        <v>2513.4600000000064</v>
      </c>
      <c r="N24" s="41"/>
    </row>
    <row r="25" spans="1:14">
      <c r="A25" s="23">
        <v>22</v>
      </c>
      <c r="B25" s="24">
        <v>46287</v>
      </c>
      <c r="C25" s="14"/>
      <c r="D25" s="14"/>
      <c r="E25" s="83">
        <v>400</v>
      </c>
      <c r="F25" s="83">
        <v>100.04</v>
      </c>
      <c r="G25" s="14">
        <f>E25*F25</f>
        <v>40016</v>
      </c>
      <c r="H25" s="83">
        <v>20</v>
      </c>
      <c r="I25" s="83">
        <v>112.06</v>
      </c>
      <c r="J25" s="14">
        <f t="shared" si="5"/>
        <v>2241.1999999999998</v>
      </c>
      <c r="K25" s="14">
        <f t="shared" si="6"/>
        <v>42257.2</v>
      </c>
      <c r="L25" s="14"/>
      <c r="M25" s="37">
        <f>M24+K25-L25</f>
        <v>44770.66</v>
      </c>
      <c r="N25" s="41"/>
    </row>
    <row r="26" spans="1:14">
      <c r="A26" s="23">
        <v>23</v>
      </c>
      <c r="B26" s="24">
        <v>46288</v>
      </c>
      <c r="C26" s="14"/>
      <c r="D26" s="14"/>
      <c r="E26" s="83"/>
      <c r="F26" s="83"/>
      <c r="G26" s="14">
        <f>E26*F26</f>
        <v>0</v>
      </c>
      <c r="H26" s="83"/>
      <c r="I26" s="83"/>
      <c r="J26" s="14">
        <f t="shared" si="5"/>
        <v>0</v>
      </c>
      <c r="K26" s="14">
        <f t="shared" si="6"/>
        <v>0</v>
      </c>
      <c r="L26" s="14"/>
      <c r="M26" s="37">
        <f t="shared" si="3"/>
        <v>44770.66</v>
      </c>
      <c r="N26" s="41"/>
    </row>
    <row r="27" spans="1:14">
      <c r="A27" s="23">
        <v>24</v>
      </c>
      <c r="B27" s="24">
        <v>46289</v>
      </c>
      <c r="C27" s="14"/>
      <c r="D27" s="14"/>
      <c r="E27" s="83"/>
      <c r="F27" s="83"/>
      <c r="G27" s="14">
        <f>E27*F27</f>
        <v>0</v>
      </c>
      <c r="H27" s="83"/>
      <c r="I27" s="83"/>
      <c r="J27" s="14">
        <f t="shared" si="5"/>
        <v>0</v>
      </c>
      <c r="K27" s="14">
        <f t="shared" si="6"/>
        <v>0</v>
      </c>
      <c r="L27" s="14"/>
      <c r="M27" s="37">
        <f t="shared" si="3"/>
        <v>44770.66</v>
      </c>
      <c r="N27" s="41"/>
    </row>
    <row r="28" spans="1:14">
      <c r="A28" s="23">
        <v>25</v>
      </c>
      <c r="B28" s="24">
        <v>46290</v>
      </c>
      <c r="C28" s="14"/>
      <c r="D28" s="14"/>
      <c r="E28" s="83"/>
      <c r="F28" s="83"/>
      <c r="G28" s="14">
        <f>E28*F28</f>
        <v>0</v>
      </c>
      <c r="H28" s="83"/>
      <c r="I28" s="83"/>
      <c r="J28" s="14">
        <f t="shared" si="5"/>
        <v>0</v>
      </c>
      <c r="K28" s="14">
        <f t="shared" si="6"/>
        <v>0</v>
      </c>
      <c r="L28" s="14"/>
      <c r="M28" s="37">
        <f t="shared" si="3"/>
        <v>44770.66</v>
      </c>
      <c r="N28" s="41"/>
    </row>
    <row r="29" spans="1:14">
      <c r="A29" s="23">
        <v>26</v>
      </c>
      <c r="B29" s="24">
        <v>46291</v>
      </c>
      <c r="C29" s="14"/>
      <c r="D29" s="14"/>
      <c r="E29" s="83"/>
      <c r="F29" s="83"/>
      <c r="G29" s="14">
        <f>E29*F29</f>
        <v>0</v>
      </c>
      <c r="H29" s="83"/>
      <c r="I29" s="83"/>
      <c r="J29" s="14">
        <f t="shared" si="5"/>
        <v>0</v>
      </c>
      <c r="K29" s="14">
        <f t="shared" si="6"/>
        <v>0</v>
      </c>
      <c r="L29" s="14"/>
      <c r="M29" s="37">
        <f t="shared" si="3"/>
        <v>44770.66</v>
      </c>
      <c r="N29" s="41"/>
    </row>
    <row r="30" spans="1:14">
      <c r="A30" s="23">
        <v>27</v>
      </c>
      <c r="B30" s="24">
        <v>46292</v>
      </c>
      <c r="C30" s="14"/>
      <c r="D30" s="14"/>
      <c r="E30" s="83"/>
      <c r="F30" s="83"/>
      <c r="G30" s="14">
        <f>E30*F30</f>
        <v>0</v>
      </c>
      <c r="H30" s="83"/>
      <c r="I30" s="83"/>
      <c r="J30" s="14">
        <f t="shared" si="5"/>
        <v>0</v>
      </c>
      <c r="K30" s="14">
        <f t="shared" si="6"/>
        <v>0</v>
      </c>
      <c r="L30" s="14"/>
      <c r="M30" s="37">
        <f t="shared" si="3"/>
        <v>44770.66</v>
      </c>
      <c r="N30" s="41"/>
    </row>
    <row r="31" spans="1:14">
      <c r="A31" s="23">
        <v>28</v>
      </c>
      <c r="B31" s="24">
        <v>46293</v>
      </c>
      <c r="C31" s="14"/>
      <c r="D31" s="14"/>
      <c r="E31" s="83"/>
      <c r="F31" s="83"/>
      <c r="G31" s="14">
        <f>E31*F31</f>
        <v>0</v>
      </c>
      <c r="H31" s="83"/>
      <c r="I31" s="83"/>
      <c r="J31" s="14">
        <f t="shared" si="5"/>
        <v>0</v>
      </c>
      <c r="K31" s="14">
        <f t="shared" si="6"/>
        <v>0</v>
      </c>
      <c r="L31" s="14"/>
      <c r="M31" s="37">
        <f t="shared" si="3"/>
        <v>44770.66</v>
      </c>
      <c r="N31" s="41"/>
    </row>
    <row r="32" spans="1:14">
      <c r="A32" s="23">
        <v>29</v>
      </c>
      <c r="B32" s="24">
        <v>46294</v>
      </c>
      <c r="C32" s="14"/>
      <c r="D32" s="14"/>
      <c r="E32" s="83"/>
      <c r="F32" s="83"/>
      <c r="G32" s="14">
        <f>E32*F32</f>
        <v>0</v>
      </c>
      <c r="H32" s="83"/>
      <c r="I32" s="83"/>
      <c r="J32" s="14">
        <f t="shared" si="5"/>
        <v>0</v>
      </c>
      <c r="K32" s="14">
        <f t="shared" si="6"/>
        <v>0</v>
      </c>
      <c r="L32" s="14"/>
      <c r="M32" s="37">
        <f t="shared" si="3"/>
        <v>44770.66</v>
      </c>
      <c r="N32" s="41"/>
    </row>
    <row r="33" spans="1:14">
      <c r="A33" s="23">
        <v>30</v>
      </c>
      <c r="B33" s="24">
        <v>46295</v>
      </c>
      <c r="C33" s="14"/>
      <c r="D33" s="14"/>
      <c r="E33" s="83"/>
      <c r="F33" s="83"/>
      <c r="G33" s="14">
        <f>E33*F33</f>
        <v>0</v>
      </c>
      <c r="H33" s="83"/>
      <c r="I33" s="83"/>
      <c r="J33" s="14">
        <f t="shared" si="5"/>
        <v>0</v>
      </c>
      <c r="K33" s="14">
        <f t="shared" si="6"/>
        <v>0</v>
      </c>
      <c r="L33" s="14"/>
      <c r="M33" s="37">
        <f t="shared" si="3"/>
        <v>44770.66</v>
      </c>
      <c r="N33" s="41"/>
    </row>
    <row r="34" spans="1:14">
      <c r="A34" s="23">
        <v>31</v>
      </c>
      <c r="B34" s="24"/>
      <c r="C34" s="14"/>
      <c r="D34" s="14"/>
      <c r="E34" s="83"/>
      <c r="F34" s="83"/>
      <c r="G34" s="14">
        <f t="shared" ref="G34" si="7">E34*F34</f>
        <v>0</v>
      </c>
      <c r="H34" s="83"/>
      <c r="I34" s="83"/>
      <c r="J34" s="14"/>
      <c r="K34" s="14">
        <f>G34+J34</f>
        <v>0</v>
      </c>
      <c r="L34" s="14"/>
      <c r="M34" s="37">
        <f>M33+K34-L34</f>
        <v>44770.66</v>
      </c>
      <c r="N34" s="41"/>
    </row>
    <row r="35" spans="1:14">
      <c r="A35" s="39"/>
      <c r="B35" s="39"/>
      <c r="C35" s="39"/>
      <c r="D35" s="39"/>
      <c r="E35" s="39">
        <f>SUM(E4:E34)</f>
        <v>700</v>
      </c>
      <c r="F35" s="39"/>
      <c r="G35" s="39">
        <f>SUM(G4:G34)</f>
        <v>70028</v>
      </c>
      <c r="H35" s="39">
        <f>SUM(H4:H34)</f>
        <v>40</v>
      </c>
      <c r="I35" s="39"/>
      <c r="J35" s="39">
        <f>SUM(J4:J34)</f>
        <v>4482.3999999999996</v>
      </c>
      <c r="K35" s="39">
        <f>SUM(K4:K34)</f>
        <v>74510.399999999994</v>
      </c>
      <c r="L35" s="39">
        <f>SUM(L4:L34)</f>
        <v>65000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8"/>
  <sheetViews>
    <sheetView workbookViewId="0">
      <pane ySplit="3" topLeftCell="A31" activePane="bottomLeft" state="frozen"/>
      <selection pane="bottomLeft" activeCell="M32" sqref="M32"/>
    </sheetView>
  </sheetViews>
  <sheetFormatPr defaultRowHeight="15"/>
  <cols>
    <col min="2" max="2" width="18.42578125" customWidth="1"/>
    <col min="5" max="5" width="9.28515625" bestFit="1" customWidth="1"/>
    <col min="7" max="7" width="9.28515625" bestFit="1" customWidth="1"/>
    <col min="12" max="12" width="16.85546875" customWidth="1"/>
    <col min="14" max="14" width="24.7109375" bestFit="1" customWidth="1"/>
    <col min="19" max="19" width="9.28515625" bestFit="1" customWidth="1"/>
  </cols>
  <sheetData>
    <row r="1" spans="1:14" ht="15.75">
      <c r="A1" s="606" t="s">
        <v>210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25.5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02" t="s">
        <v>175</v>
      </c>
      <c r="L2" s="102" t="s">
        <v>176</v>
      </c>
      <c r="M2" s="102" t="s">
        <v>185</v>
      </c>
      <c r="N2" s="102" t="s">
        <v>178</v>
      </c>
    </row>
    <row r="3" spans="1:14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92"/>
      <c r="L3" s="499"/>
      <c r="M3" s="92"/>
      <c r="N3" s="14"/>
    </row>
    <row r="4" spans="1:14">
      <c r="A4" s="23">
        <v>1</v>
      </c>
      <c r="B4" s="24">
        <v>46266</v>
      </c>
      <c r="C4" s="14"/>
      <c r="D4" s="14"/>
      <c r="E4" s="363"/>
      <c r="F4" s="363"/>
      <c r="G4" s="14">
        <f>E4*F4</f>
        <v>0</v>
      </c>
      <c r="H4" s="83"/>
      <c r="I4" s="83"/>
      <c r="J4" s="14">
        <f>H4*I4</f>
        <v>0</v>
      </c>
      <c r="K4" s="14">
        <f>G4+J4</f>
        <v>0</v>
      </c>
      <c r="L4" s="14"/>
      <c r="M4" s="14">
        <f>M3+K4-L4</f>
        <v>0</v>
      </c>
      <c r="N4" s="41"/>
    </row>
    <row r="5" spans="1:14">
      <c r="A5" s="23">
        <v>2</v>
      </c>
      <c r="B5" s="24">
        <v>46267</v>
      </c>
      <c r="C5" s="14"/>
      <c r="D5" s="14"/>
      <c r="E5" s="83">
        <v>600</v>
      </c>
      <c r="F5" s="83">
        <v>100.05</v>
      </c>
      <c r="G5" s="14">
        <f t="shared" ref="G5:G35" si="0">E5*F5</f>
        <v>60030</v>
      </c>
      <c r="H5" s="83">
        <v>35</v>
      </c>
      <c r="I5" s="83">
        <v>112.07</v>
      </c>
      <c r="J5" s="14">
        <f t="shared" ref="J5:J35" si="1">H5*I5</f>
        <v>3922.45</v>
      </c>
      <c r="K5" s="14">
        <f t="shared" ref="K5:L35" si="2">G5+J5</f>
        <v>63952.45</v>
      </c>
      <c r="L5" s="14"/>
      <c r="M5" s="14">
        <f t="shared" ref="M5:M35" si="3">M4+K5-L5</f>
        <v>63952.45</v>
      </c>
      <c r="N5" s="41"/>
    </row>
    <row r="6" spans="1:14">
      <c r="A6" s="23">
        <v>3</v>
      </c>
      <c r="B6" s="24">
        <v>46268</v>
      </c>
      <c r="C6" s="14"/>
      <c r="D6" s="14"/>
      <c r="E6" s="83"/>
      <c r="F6" s="83"/>
      <c r="G6" s="14">
        <f t="shared" si="0"/>
        <v>0</v>
      </c>
      <c r="H6" s="83"/>
      <c r="I6" s="83"/>
      <c r="J6" s="14">
        <f t="shared" si="1"/>
        <v>0</v>
      </c>
      <c r="K6" s="14">
        <f t="shared" si="2"/>
        <v>0</v>
      </c>
      <c r="L6" s="14"/>
      <c r="M6" s="14">
        <f t="shared" si="3"/>
        <v>63952.45</v>
      </c>
      <c r="N6" s="41"/>
    </row>
    <row r="7" spans="1:14">
      <c r="A7" s="23">
        <v>4</v>
      </c>
      <c r="B7" s="24">
        <v>46269</v>
      </c>
      <c r="C7" s="14"/>
      <c r="D7" s="14"/>
      <c r="E7" s="83"/>
      <c r="F7" s="83"/>
      <c r="G7" s="14">
        <f t="shared" si="0"/>
        <v>0</v>
      </c>
      <c r="H7" s="83"/>
      <c r="I7" s="83"/>
      <c r="J7" s="14">
        <f t="shared" si="1"/>
        <v>0</v>
      </c>
      <c r="K7" s="14">
        <f t="shared" si="2"/>
        <v>0</v>
      </c>
      <c r="L7" s="14"/>
      <c r="M7" s="14">
        <f t="shared" si="3"/>
        <v>63952.45</v>
      </c>
      <c r="N7" s="41"/>
    </row>
    <row r="8" spans="1:14">
      <c r="A8" s="23">
        <v>5</v>
      </c>
      <c r="B8" s="24">
        <v>46270</v>
      </c>
      <c r="C8" s="14"/>
      <c r="D8" s="14"/>
      <c r="E8" s="83"/>
      <c r="F8" s="83"/>
      <c r="G8" s="14">
        <f t="shared" si="0"/>
        <v>0</v>
      </c>
      <c r="H8" s="83"/>
      <c r="I8" s="83"/>
      <c r="J8" s="14">
        <f t="shared" si="1"/>
        <v>0</v>
      </c>
      <c r="K8" s="14">
        <f t="shared" si="2"/>
        <v>0</v>
      </c>
      <c r="L8" s="14"/>
      <c r="M8" s="14">
        <f t="shared" si="3"/>
        <v>63952.45</v>
      </c>
      <c r="N8" s="41"/>
    </row>
    <row r="9" spans="1:14">
      <c r="A9" s="23">
        <v>6</v>
      </c>
      <c r="B9" s="24">
        <v>46271</v>
      </c>
      <c r="C9" s="14"/>
      <c r="D9" s="14"/>
      <c r="E9" s="83"/>
      <c r="F9" s="83"/>
      <c r="G9" s="14">
        <f t="shared" si="0"/>
        <v>0</v>
      </c>
      <c r="H9" s="83"/>
      <c r="I9" s="83"/>
      <c r="J9" s="14">
        <f t="shared" si="1"/>
        <v>0</v>
      </c>
      <c r="K9" s="14">
        <f t="shared" si="2"/>
        <v>0</v>
      </c>
      <c r="L9" s="14"/>
      <c r="M9" s="14">
        <f t="shared" si="3"/>
        <v>63952.45</v>
      </c>
      <c r="N9" s="41"/>
    </row>
    <row r="10" spans="1:14">
      <c r="A10" s="23">
        <v>7</v>
      </c>
      <c r="B10" s="24">
        <v>46272</v>
      </c>
      <c r="C10" s="14"/>
      <c r="D10" s="14"/>
      <c r="E10" s="83">
        <v>600</v>
      </c>
      <c r="F10" s="83">
        <v>100.05</v>
      </c>
      <c r="G10" s="14">
        <f t="shared" si="0"/>
        <v>60030</v>
      </c>
      <c r="H10" s="83">
        <v>35</v>
      </c>
      <c r="I10" s="83">
        <v>112.07</v>
      </c>
      <c r="J10" s="14">
        <f t="shared" si="1"/>
        <v>3922.45</v>
      </c>
      <c r="K10" s="14">
        <f t="shared" si="2"/>
        <v>63952.45</v>
      </c>
      <c r="L10" s="14"/>
      <c r="M10" s="14">
        <f>M9+K10-L10</f>
        <v>127904.9</v>
      </c>
      <c r="N10" s="41"/>
    </row>
    <row r="11" spans="1:14">
      <c r="A11" s="23">
        <v>8</v>
      </c>
      <c r="B11" s="24">
        <v>46273</v>
      </c>
      <c r="C11" s="14"/>
      <c r="D11" s="14"/>
      <c r="E11" s="83"/>
      <c r="F11" s="83"/>
      <c r="G11" s="14">
        <f t="shared" si="0"/>
        <v>0</v>
      </c>
      <c r="H11" s="83"/>
      <c r="I11" s="83"/>
      <c r="J11" s="14">
        <f t="shared" si="1"/>
        <v>0</v>
      </c>
      <c r="K11" s="14">
        <f t="shared" si="2"/>
        <v>0</v>
      </c>
      <c r="L11" s="14"/>
      <c r="M11" s="14">
        <f t="shared" si="3"/>
        <v>127904.9</v>
      </c>
      <c r="N11" s="41"/>
    </row>
    <row r="12" spans="1:14">
      <c r="A12" s="23">
        <v>9</v>
      </c>
      <c r="B12" s="24">
        <v>46274</v>
      </c>
      <c r="C12" s="14"/>
      <c r="D12" s="14"/>
      <c r="E12" s="83"/>
      <c r="F12" s="83"/>
      <c r="G12" s="14">
        <f t="shared" si="0"/>
        <v>0</v>
      </c>
      <c r="H12" s="83"/>
      <c r="I12" s="83"/>
      <c r="J12" s="14">
        <f t="shared" si="1"/>
        <v>0</v>
      </c>
      <c r="K12" s="14">
        <f t="shared" si="2"/>
        <v>0</v>
      </c>
      <c r="L12" s="14"/>
      <c r="M12" s="14">
        <f t="shared" si="3"/>
        <v>127904.9</v>
      </c>
      <c r="N12" s="41"/>
    </row>
    <row r="13" spans="1:14">
      <c r="A13" s="23">
        <v>10</v>
      </c>
      <c r="B13" s="24">
        <v>46275</v>
      </c>
      <c r="C13" s="14"/>
      <c r="D13" s="14"/>
      <c r="E13" s="83"/>
      <c r="F13" s="83"/>
      <c r="G13" s="14">
        <f t="shared" si="0"/>
        <v>0</v>
      </c>
      <c r="H13" s="83"/>
      <c r="I13" s="83"/>
      <c r="J13" s="14">
        <f t="shared" si="1"/>
        <v>0</v>
      </c>
      <c r="K13" s="14">
        <f t="shared" si="2"/>
        <v>0</v>
      </c>
      <c r="L13" s="14"/>
      <c r="M13" s="14">
        <f t="shared" si="3"/>
        <v>127904.9</v>
      </c>
      <c r="N13" s="41"/>
    </row>
    <row r="14" spans="1:14">
      <c r="A14" s="23">
        <v>11</v>
      </c>
      <c r="B14" s="24">
        <v>46276</v>
      </c>
      <c r="C14" s="14"/>
      <c r="D14" s="14"/>
      <c r="E14" s="83"/>
      <c r="F14" s="83"/>
      <c r="G14" s="14">
        <f t="shared" ref="G14" si="4">E14*F14</f>
        <v>0</v>
      </c>
      <c r="H14" s="83"/>
      <c r="I14" s="83"/>
      <c r="J14" s="14">
        <f t="shared" si="1"/>
        <v>0</v>
      </c>
      <c r="K14" s="14">
        <f t="shared" si="2"/>
        <v>0</v>
      </c>
      <c r="L14" s="14"/>
      <c r="M14" s="14">
        <f t="shared" si="3"/>
        <v>127904.9</v>
      </c>
      <c r="N14" s="41"/>
    </row>
    <row r="15" spans="1:14">
      <c r="A15" s="23">
        <v>12</v>
      </c>
      <c r="B15" s="24">
        <v>46277</v>
      </c>
      <c r="C15" s="14"/>
      <c r="D15" s="14"/>
      <c r="E15" s="83">
        <v>600</v>
      </c>
      <c r="F15" s="83">
        <v>100.05</v>
      </c>
      <c r="G15" s="14">
        <f t="shared" si="0"/>
        <v>60030</v>
      </c>
      <c r="H15" s="83">
        <v>35</v>
      </c>
      <c r="I15" s="83">
        <v>112.07</v>
      </c>
      <c r="J15" s="14">
        <f t="shared" si="1"/>
        <v>3922.45</v>
      </c>
      <c r="K15" s="14">
        <f t="shared" si="2"/>
        <v>63952.45</v>
      </c>
      <c r="L15" s="14"/>
      <c r="M15" s="14">
        <f t="shared" si="3"/>
        <v>191857.34999999998</v>
      </c>
      <c r="N15" s="41"/>
    </row>
    <row r="16" spans="1:14">
      <c r="A16" s="23">
        <v>13</v>
      </c>
      <c r="B16" s="24">
        <v>46278</v>
      </c>
      <c r="C16" s="14"/>
      <c r="D16" s="14"/>
      <c r="E16" s="83"/>
      <c r="F16" s="83"/>
      <c r="G16" s="14">
        <f t="shared" si="0"/>
        <v>0</v>
      </c>
      <c r="H16" s="83"/>
      <c r="I16" s="83"/>
      <c r="J16" s="14">
        <f t="shared" si="1"/>
        <v>0</v>
      </c>
      <c r="K16" s="14">
        <f t="shared" si="2"/>
        <v>0</v>
      </c>
      <c r="L16" s="14"/>
      <c r="M16" s="14">
        <f t="shared" si="3"/>
        <v>191857.34999999998</v>
      </c>
      <c r="N16" s="41"/>
    </row>
    <row r="17" spans="1:14">
      <c r="A17" s="23">
        <v>14</v>
      </c>
      <c r="B17" s="24">
        <v>46279</v>
      </c>
      <c r="C17" s="14"/>
      <c r="D17" s="14"/>
      <c r="E17" s="83"/>
      <c r="F17" s="83"/>
      <c r="G17" s="14">
        <f t="shared" si="0"/>
        <v>0</v>
      </c>
      <c r="H17" s="83"/>
      <c r="I17" s="83"/>
      <c r="J17" s="14">
        <f t="shared" si="1"/>
        <v>0</v>
      </c>
      <c r="K17" s="14">
        <f t="shared" si="2"/>
        <v>0</v>
      </c>
      <c r="L17" s="14"/>
      <c r="M17" s="14">
        <f t="shared" si="3"/>
        <v>191857.34999999998</v>
      </c>
      <c r="N17" s="41"/>
    </row>
    <row r="18" spans="1:14">
      <c r="A18" s="23">
        <v>15</v>
      </c>
      <c r="B18" s="24">
        <v>46280</v>
      </c>
      <c r="C18" s="14"/>
      <c r="D18" s="14"/>
      <c r="E18" s="83"/>
      <c r="F18" s="83"/>
      <c r="G18" s="14">
        <f t="shared" si="0"/>
        <v>0</v>
      </c>
      <c r="H18" s="83"/>
      <c r="I18" s="83"/>
      <c r="J18" s="14">
        <f t="shared" si="1"/>
        <v>0</v>
      </c>
      <c r="K18" s="14">
        <f t="shared" si="2"/>
        <v>0</v>
      </c>
      <c r="L18" s="14"/>
      <c r="M18" s="14">
        <f t="shared" si="3"/>
        <v>191857.34999999998</v>
      </c>
      <c r="N18" s="41"/>
    </row>
    <row r="19" spans="1:14">
      <c r="A19" s="23">
        <v>16</v>
      </c>
      <c r="B19" s="24">
        <v>46281</v>
      </c>
      <c r="C19" s="14"/>
      <c r="D19" s="14"/>
      <c r="E19" s="83"/>
      <c r="F19" s="83"/>
      <c r="G19" s="14">
        <f t="shared" si="0"/>
        <v>0</v>
      </c>
      <c r="H19" s="83"/>
      <c r="I19" s="83"/>
      <c r="J19" s="14">
        <f t="shared" si="1"/>
        <v>0</v>
      </c>
      <c r="K19" s="14">
        <f t="shared" si="2"/>
        <v>0</v>
      </c>
      <c r="L19" s="14"/>
      <c r="M19" s="14">
        <f t="shared" si="3"/>
        <v>191857.34999999998</v>
      </c>
      <c r="N19" s="41"/>
    </row>
    <row r="20" spans="1:14">
      <c r="A20" s="23">
        <v>17</v>
      </c>
      <c r="B20" s="24">
        <v>46282</v>
      </c>
      <c r="C20" s="14"/>
      <c r="D20" s="14"/>
      <c r="E20" s="83"/>
      <c r="F20" s="83"/>
      <c r="G20" s="14">
        <f t="shared" si="0"/>
        <v>0</v>
      </c>
      <c r="H20" s="83"/>
      <c r="I20" s="83"/>
      <c r="J20" s="14">
        <f t="shared" si="1"/>
        <v>0</v>
      </c>
      <c r="K20" s="14">
        <f t="shared" si="2"/>
        <v>0</v>
      </c>
      <c r="L20" s="14"/>
      <c r="M20" s="14">
        <f t="shared" si="3"/>
        <v>191857.34999999998</v>
      </c>
      <c r="N20" s="41"/>
    </row>
    <row r="21" spans="1:14">
      <c r="A21" s="23">
        <v>18</v>
      </c>
      <c r="B21" s="24">
        <v>46283</v>
      </c>
      <c r="C21" s="14"/>
      <c r="D21" s="14"/>
      <c r="E21" s="83"/>
      <c r="F21" s="83"/>
      <c r="G21" s="14">
        <f t="shared" si="0"/>
        <v>0</v>
      </c>
      <c r="H21" s="83"/>
      <c r="I21" s="83"/>
      <c r="J21" s="14">
        <f t="shared" si="1"/>
        <v>0</v>
      </c>
      <c r="K21" s="14">
        <f t="shared" si="2"/>
        <v>0</v>
      </c>
      <c r="L21" s="14"/>
      <c r="M21" s="14">
        <f t="shared" si="3"/>
        <v>191857.34999999998</v>
      </c>
      <c r="N21" s="41"/>
    </row>
    <row r="22" spans="1:14">
      <c r="A22" s="23">
        <v>19</v>
      </c>
      <c r="B22" s="24">
        <v>46284</v>
      </c>
      <c r="C22" s="14"/>
      <c r="D22" s="14"/>
      <c r="E22" s="83"/>
      <c r="F22" s="83"/>
      <c r="G22" s="14">
        <f t="shared" si="0"/>
        <v>0</v>
      </c>
      <c r="H22" s="83"/>
      <c r="I22" s="83"/>
      <c r="J22" s="14">
        <f t="shared" si="1"/>
        <v>0</v>
      </c>
      <c r="K22" s="14">
        <f t="shared" si="2"/>
        <v>0</v>
      </c>
      <c r="L22" s="14">
        <v>191000</v>
      </c>
      <c r="M22" s="14">
        <f t="shared" si="3"/>
        <v>857.34999999997672</v>
      </c>
      <c r="N22" s="41" t="s">
        <v>211</v>
      </c>
    </row>
    <row r="23" spans="1:14">
      <c r="A23" s="23">
        <v>20</v>
      </c>
      <c r="B23" s="24">
        <v>46285</v>
      </c>
      <c r="C23" s="14"/>
      <c r="D23" s="14"/>
      <c r="E23" s="83"/>
      <c r="F23" s="83"/>
      <c r="G23" s="14">
        <f t="shared" si="0"/>
        <v>0</v>
      </c>
      <c r="H23" s="83"/>
      <c r="I23" s="83"/>
      <c r="J23" s="14">
        <f t="shared" si="1"/>
        <v>0</v>
      </c>
      <c r="K23" s="14">
        <f t="shared" si="2"/>
        <v>0</v>
      </c>
      <c r="L23" s="14"/>
      <c r="M23" s="14">
        <f t="shared" si="3"/>
        <v>857.34999999997672</v>
      </c>
      <c r="N23" s="41"/>
    </row>
    <row r="24" spans="1:14">
      <c r="A24" s="23">
        <v>21</v>
      </c>
      <c r="B24" s="24">
        <v>46286</v>
      </c>
      <c r="C24" s="14"/>
      <c r="D24" s="14"/>
      <c r="E24" s="83">
        <v>600</v>
      </c>
      <c r="F24" s="83">
        <v>100.05</v>
      </c>
      <c r="G24" s="14">
        <f t="shared" si="0"/>
        <v>60030</v>
      </c>
      <c r="H24" s="83">
        <v>35</v>
      </c>
      <c r="I24" s="83">
        <v>112.07</v>
      </c>
      <c r="J24" s="14">
        <f t="shared" si="1"/>
        <v>3922.45</v>
      </c>
      <c r="K24" s="14">
        <f t="shared" si="2"/>
        <v>63952.45</v>
      </c>
      <c r="L24" s="14"/>
      <c r="M24" s="14">
        <f t="shared" si="3"/>
        <v>64809.799999999974</v>
      </c>
      <c r="N24" s="41"/>
    </row>
    <row r="25" spans="1:14">
      <c r="A25" s="23">
        <v>22</v>
      </c>
      <c r="B25" s="24">
        <v>46287</v>
      </c>
      <c r="C25" s="14"/>
      <c r="D25" s="14"/>
      <c r="E25" s="83"/>
      <c r="F25" s="83"/>
      <c r="G25" s="14">
        <f t="shared" si="0"/>
        <v>0</v>
      </c>
      <c r="H25" s="83"/>
      <c r="I25" s="83"/>
      <c r="J25" s="14">
        <f t="shared" si="1"/>
        <v>0</v>
      </c>
      <c r="K25" s="14">
        <f t="shared" si="2"/>
        <v>0</v>
      </c>
      <c r="L25" s="14"/>
      <c r="M25" s="14">
        <f t="shared" si="3"/>
        <v>64809.799999999974</v>
      </c>
      <c r="N25" s="41"/>
    </row>
    <row r="26" spans="1:14">
      <c r="A26" s="23">
        <v>23</v>
      </c>
      <c r="B26" s="24">
        <v>46288</v>
      </c>
      <c r="C26" s="14"/>
      <c r="D26" s="14"/>
      <c r="E26" s="83"/>
      <c r="F26" s="83"/>
      <c r="G26" s="14">
        <f t="shared" si="0"/>
        <v>0</v>
      </c>
      <c r="H26" s="83"/>
      <c r="I26" s="83"/>
      <c r="J26" s="14">
        <f t="shared" si="1"/>
        <v>0</v>
      </c>
      <c r="K26" s="14">
        <f t="shared" si="2"/>
        <v>0</v>
      </c>
      <c r="L26" s="14"/>
      <c r="M26" s="14">
        <f t="shared" si="3"/>
        <v>64809.799999999974</v>
      </c>
      <c r="N26" s="41"/>
    </row>
    <row r="27" spans="1:14">
      <c r="A27" s="23">
        <v>24</v>
      </c>
      <c r="B27" s="24">
        <v>46289</v>
      </c>
      <c r="C27" s="14"/>
      <c r="D27" s="14"/>
      <c r="E27" s="83">
        <v>600</v>
      </c>
      <c r="F27" s="83">
        <v>100.05</v>
      </c>
      <c r="G27" s="14">
        <f t="shared" si="0"/>
        <v>60030</v>
      </c>
      <c r="H27" s="83"/>
      <c r="I27" s="83"/>
      <c r="J27" s="14">
        <f t="shared" si="1"/>
        <v>0</v>
      </c>
      <c r="K27" s="14">
        <f t="shared" si="2"/>
        <v>60030</v>
      </c>
      <c r="L27" s="14"/>
      <c r="M27" s="14">
        <f t="shared" si="3"/>
        <v>124839.79999999997</v>
      </c>
      <c r="N27" s="41"/>
    </row>
    <row r="28" spans="1:14">
      <c r="A28" s="23">
        <v>25</v>
      </c>
      <c r="B28" s="24">
        <v>46290</v>
      </c>
      <c r="C28" s="14"/>
      <c r="D28" s="14"/>
      <c r="E28" s="83"/>
      <c r="F28" s="83"/>
      <c r="G28" s="14">
        <f t="shared" si="0"/>
        <v>0</v>
      </c>
      <c r="H28" s="83"/>
      <c r="I28" s="83"/>
      <c r="J28" s="14">
        <f t="shared" si="1"/>
        <v>0</v>
      </c>
      <c r="K28" s="14">
        <f t="shared" si="2"/>
        <v>0</v>
      </c>
      <c r="L28" s="14"/>
      <c r="M28" s="14">
        <f t="shared" si="3"/>
        <v>124839.79999999997</v>
      </c>
      <c r="N28" s="41"/>
    </row>
    <row r="29" spans="1:14">
      <c r="A29" s="23">
        <v>26</v>
      </c>
      <c r="B29" s="24">
        <v>46291</v>
      </c>
      <c r="C29" s="14"/>
      <c r="D29" s="14"/>
      <c r="E29" s="83"/>
      <c r="F29" s="83"/>
      <c r="G29" s="14">
        <f t="shared" si="0"/>
        <v>0</v>
      </c>
      <c r="H29" s="83"/>
      <c r="I29" s="83"/>
      <c r="J29" s="14">
        <f t="shared" si="1"/>
        <v>0</v>
      </c>
      <c r="K29" s="14">
        <f t="shared" si="2"/>
        <v>0</v>
      </c>
      <c r="L29" s="14"/>
      <c r="M29" s="14">
        <f t="shared" si="3"/>
        <v>124839.79999999997</v>
      </c>
      <c r="N29" s="41"/>
    </row>
    <row r="30" spans="1:14">
      <c r="A30" s="23">
        <v>27</v>
      </c>
      <c r="B30" s="24">
        <v>46292</v>
      </c>
      <c r="C30" s="14"/>
      <c r="D30" s="14"/>
      <c r="E30" s="83"/>
      <c r="F30" s="83"/>
      <c r="G30" s="14">
        <f t="shared" si="0"/>
        <v>0</v>
      </c>
      <c r="H30" s="83"/>
      <c r="I30" s="83"/>
      <c r="J30" s="14">
        <f t="shared" si="1"/>
        <v>0</v>
      </c>
      <c r="K30" s="14">
        <f t="shared" si="2"/>
        <v>0</v>
      </c>
      <c r="L30" s="14"/>
      <c r="M30" s="14">
        <f t="shared" si="3"/>
        <v>124839.79999999997</v>
      </c>
      <c r="N30" s="41"/>
    </row>
    <row r="31" spans="1:14">
      <c r="A31" s="23">
        <v>28</v>
      </c>
      <c r="B31" s="24">
        <v>46293</v>
      </c>
      <c r="C31" s="14"/>
      <c r="D31" s="14"/>
      <c r="E31" s="83"/>
      <c r="F31" s="83"/>
      <c r="G31" s="14">
        <f t="shared" si="0"/>
        <v>0</v>
      </c>
      <c r="H31" s="83"/>
      <c r="I31" s="83"/>
      <c r="J31" s="14">
        <f t="shared" si="1"/>
        <v>0</v>
      </c>
      <c r="K31" s="14">
        <f t="shared" si="2"/>
        <v>0</v>
      </c>
      <c r="L31" s="14"/>
      <c r="M31" s="14">
        <f t="shared" si="3"/>
        <v>124839.79999999997</v>
      </c>
      <c r="N31" s="41"/>
    </row>
    <row r="32" spans="1:14">
      <c r="A32" s="23">
        <v>29</v>
      </c>
      <c r="B32" s="24">
        <v>46294</v>
      </c>
      <c r="C32" s="14"/>
      <c r="D32" s="14"/>
      <c r="E32" s="83">
        <v>600</v>
      </c>
      <c r="F32" s="83">
        <v>100.05</v>
      </c>
      <c r="G32" s="14">
        <f t="shared" si="0"/>
        <v>60030</v>
      </c>
      <c r="H32" s="83">
        <v>35</v>
      </c>
      <c r="I32" s="83">
        <v>112.07</v>
      </c>
      <c r="J32" s="14">
        <f t="shared" si="1"/>
        <v>3922.45</v>
      </c>
      <c r="K32" s="14">
        <f t="shared" si="2"/>
        <v>63952.45</v>
      </c>
      <c r="L32" s="14"/>
      <c r="M32" s="14">
        <f t="shared" si="3"/>
        <v>188792.24999999997</v>
      </c>
      <c r="N32" s="41"/>
    </row>
    <row r="33" spans="1:14">
      <c r="A33" s="23">
        <v>30</v>
      </c>
      <c r="B33" s="24">
        <v>46295</v>
      </c>
      <c r="C33" s="14"/>
      <c r="D33" s="14"/>
      <c r="E33" s="83"/>
      <c r="F33" s="83"/>
      <c r="G33" s="14">
        <f t="shared" si="0"/>
        <v>0</v>
      </c>
      <c r="H33" s="83"/>
      <c r="I33" s="83"/>
      <c r="J33" s="14">
        <f t="shared" si="1"/>
        <v>0</v>
      </c>
      <c r="K33" s="14">
        <f t="shared" si="2"/>
        <v>0</v>
      </c>
      <c r="L33" s="14"/>
      <c r="M33" s="14">
        <f t="shared" si="3"/>
        <v>188792.24999999997</v>
      </c>
      <c r="N33" s="41"/>
    </row>
    <row r="34" spans="1:14">
      <c r="A34" s="23">
        <v>31</v>
      </c>
      <c r="B34" s="24"/>
      <c r="C34" s="14"/>
      <c r="D34" s="14"/>
      <c r="E34" s="83"/>
      <c r="F34" s="83"/>
      <c r="G34" s="14">
        <f t="shared" si="0"/>
        <v>0</v>
      </c>
      <c r="H34" s="83"/>
      <c r="I34" s="83"/>
      <c r="J34" s="14">
        <f t="shared" si="1"/>
        <v>0</v>
      </c>
      <c r="K34" s="14">
        <f t="shared" si="2"/>
        <v>0</v>
      </c>
      <c r="L34" s="14"/>
      <c r="M34" s="14">
        <f t="shared" si="3"/>
        <v>188792.24999999997</v>
      </c>
      <c r="N34" s="41"/>
    </row>
    <row r="35" spans="1:14">
      <c r="A35" s="23">
        <v>32</v>
      </c>
      <c r="B35" s="24"/>
      <c r="C35" s="14"/>
      <c r="D35" s="14"/>
      <c r="E35" s="83"/>
      <c r="F35" s="83"/>
      <c r="G35" s="14">
        <f t="shared" si="0"/>
        <v>0</v>
      </c>
      <c r="H35" s="83"/>
      <c r="I35" s="83"/>
      <c r="J35" s="14">
        <f t="shared" si="1"/>
        <v>0</v>
      </c>
      <c r="K35" s="14">
        <f t="shared" si="2"/>
        <v>0</v>
      </c>
      <c r="L35" s="14"/>
      <c r="M35" s="14">
        <f t="shared" si="3"/>
        <v>188792.24999999997</v>
      </c>
      <c r="N35" s="41"/>
    </row>
    <row r="36" spans="1:14">
      <c r="A36" s="23"/>
      <c r="B36" s="24"/>
      <c r="C36" s="14"/>
      <c r="D36" s="14"/>
      <c r="E36" s="83"/>
      <c r="F36" s="83"/>
      <c r="G36" s="14"/>
      <c r="H36" s="83"/>
      <c r="I36" s="83"/>
      <c r="J36" s="14"/>
      <c r="K36" s="14"/>
      <c r="L36" s="14"/>
      <c r="M36" s="14"/>
      <c r="N36" s="41"/>
    </row>
    <row r="37" spans="1:14">
      <c r="A37" s="23"/>
      <c r="B37" s="24"/>
      <c r="C37" s="14"/>
      <c r="D37" s="14"/>
      <c r="E37" s="83"/>
      <c r="F37" s="83"/>
      <c r="G37" s="14"/>
      <c r="H37" s="83"/>
      <c r="I37" s="83"/>
      <c r="J37" s="14"/>
      <c r="K37" s="14"/>
      <c r="L37" s="14"/>
      <c r="M37" s="14"/>
      <c r="N37" s="41"/>
    </row>
    <row r="38" spans="1:14">
      <c r="A38" s="39"/>
      <c r="B38" s="39"/>
      <c r="C38" s="39"/>
      <c r="D38" s="39"/>
      <c r="E38" s="39">
        <f>SUM(E4:E35)</f>
        <v>3600</v>
      </c>
      <c r="F38" s="39"/>
      <c r="G38" s="39">
        <f>SUM(G4:G35)</f>
        <v>360180</v>
      </c>
      <c r="H38" s="39">
        <f>SUM(H4:H35)</f>
        <v>175</v>
      </c>
      <c r="I38" s="39"/>
      <c r="J38" s="39">
        <f>SUM(J4:J35)</f>
        <v>19612.25</v>
      </c>
      <c r="K38" s="39">
        <f>SUM(K4:K35)</f>
        <v>379792.25</v>
      </c>
      <c r="L38" s="39">
        <f>SUM(L4:L35)</f>
        <v>191000</v>
      </c>
      <c r="M38" s="39"/>
      <c r="N38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8"/>
  <sheetViews>
    <sheetView workbookViewId="0">
      <pane ySplit="3" topLeftCell="A25" activePane="bottomLeft" state="frozen"/>
      <selection pane="bottomLeft" activeCell="M41" sqref="M41"/>
    </sheetView>
  </sheetViews>
  <sheetFormatPr defaultRowHeight="15"/>
  <cols>
    <col min="2" max="2" width="10.5703125" bestFit="1" customWidth="1"/>
    <col min="3" max="3" width="15.42578125" customWidth="1"/>
    <col min="4" max="4" width="19.140625" customWidth="1"/>
    <col min="14" max="14" width="33.7109375" bestFit="1" customWidth="1"/>
  </cols>
  <sheetData>
    <row r="1" spans="1:14" ht="15.75">
      <c r="A1" s="606" t="s">
        <v>212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27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02" t="s">
        <v>175</v>
      </c>
      <c r="L2" s="102" t="s">
        <v>176</v>
      </c>
      <c r="M2" s="102" t="s">
        <v>185</v>
      </c>
      <c r="N2" s="102" t="s">
        <v>178</v>
      </c>
    </row>
    <row r="3" spans="1:14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92"/>
      <c r="L3" s="92"/>
      <c r="M3" s="92"/>
      <c r="N3" s="14"/>
    </row>
    <row r="4" spans="1:14">
      <c r="A4" s="23">
        <v>1</v>
      </c>
      <c r="B4" s="24">
        <v>46266</v>
      </c>
      <c r="C4" s="14"/>
      <c r="D4" s="14"/>
      <c r="E4" s="83">
        <v>29.99</v>
      </c>
      <c r="F4" s="83">
        <v>100.05</v>
      </c>
      <c r="G4" s="14">
        <f>E4*F4</f>
        <v>3000.4994999999999</v>
      </c>
      <c r="H4" s="83"/>
      <c r="I4" s="83"/>
      <c r="J4" s="14">
        <f>H4*I4</f>
        <v>0</v>
      </c>
      <c r="K4" s="14">
        <f>G4+J4</f>
        <v>3000.4994999999999</v>
      </c>
      <c r="L4" s="14">
        <f>K4</f>
        <v>3000.4994999999999</v>
      </c>
      <c r="M4" s="14">
        <f>M3+K4-L4</f>
        <v>0</v>
      </c>
      <c r="N4" s="41"/>
    </row>
    <row r="5" spans="1:14">
      <c r="A5" s="23">
        <v>2</v>
      </c>
      <c r="B5" s="24">
        <v>46267</v>
      </c>
      <c r="C5" s="14"/>
      <c r="D5" s="14"/>
      <c r="E5" s="83">
        <v>8</v>
      </c>
      <c r="F5" s="83">
        <v>100.05</v>
      </c>
      <c r="G5" s="14">
        <f t="shared" ref="G5:G36" si="0">E5*F5</f>
        <v>800.4</v>
      </c>
      <c r="H5" s="83"/>
      <c r="I5" s="83"/>
      <c r="J5" s="14">
        <f t="shared" ref="J5:J36" si="1">H5*I5</f>
        <v>0</v>
      </c>
      <c r="K5" s="14">
        <f>G5+J5</f>
        <v>800.4</v>
      </c>
      <c r="L5" s="14">
        <f t="shared" ref="L5:L37" si="2">K5</f>
        <v>800.4</v>
      </c>
      <c r="M5" s="14">
        <f t="shared" ref="M5:M35" si="3">M4+K5-L5</f>
        <v>0</v>
      </c>
      <c r="N5" s="41"/>
    </row>
    <row r="6" spans="1:14">
      <c r="A6" s="23">
        <v>3</v>
      </c>
      <c r="B6" s="24">
        <v>46268</v>
      </c>
      <c r="C6" s="14"/>
      <c r="D6" s="14"/>
      <c r="E6" s="83"/>
      <c r="F6" s="83"/>
      <c r="G6" s="14">
        <f t="shared" si="0"/>
        <v>0</v>
      </c>
      <c r="H6" s="83"/>
      <c r="I6" s="83"/>
      <c r="J6" s="14">
        <f t="shared" si="1"/>
        <v>0</v>
      </c>
      <c r="K6" s="14">
        <f t="shared" ref="K6:K37" si="4">G6+J6</f>
        <v>0</v>
      </c>
      <c r="L6" s="14">
        <f t="shared" si="2"/>
        <v>0</v>
      </c>
      <c r="M6" s="14">
        <f t="shared" si="3"/>
        <v>0</v>
      </c>
      <c r="N6" s="41"/>
    </row>
    <row r="7" spans="1:14">
      <c r="A7" s="23">
        <v>4</v>
      </c>
      <c r="B7" s="24">
        <v>46269</v>
      </c>
      <c r="C7" s="14"/>
      <c r="D7" s="14"/>
      <c r="E7" s="83">
        <v>139.97</v>
      </c>
      <c r="F7" s="83">
        <v>100.05</v>
      </c>
      <c r="G7" s="14">
        <f t="shared" si="0"/>
        <v>14003.9985</v>
      </c>
      <c r="H7" s="83"/>
      <c r="I7" s="83"/>
      <c r="J7" s="14">
        <f t="shared" si="1"/>
        <v>0</v>
      </c>
      <c r="K7" s="14">
        <f t="shared" si="4"/>
        <v>14003.9985</v>
      </c>
      <c r="L7" s="14">
        <f t="shared" si="2"/>
        <v>14003.9985</v>
      </c>
      <c r="M7" s="14">
        <f t="shared" si="3"/>
        <v>0</v>
      </c>
      <c r="N7" s="41"/>
    </row>
    <row r="8" spans="1:14">
      <c r="A8" s="23">
        <v>5</v>
      </c>
      <c r="B8" s="24">
        <v>46270</v>
      </c>
      <c r="C8" s="14"/>
      <c r="D8" s="14"/>
      <c r="E8" s="83"/>
      <c r="F8" s="83"/>
      <c r="G8" s="14">
        <f t="shared" si="0"/>
        <v>0</v>
      </c>
      <c r="H8" s="83"/>
      <c r="I8" s="83"/>
      <c r="J8" s="14">
        <f t="shared" si="1"/>
        <v>0</v>
      </c>
      <c r="K8" s="14">
        <f t="shared" si="4"/>
        <v>0</v>
      </c>
      <c r="L8" s="14">
        <f t="shared" si="2"/>
        <v>0</v>
      </c>
      <c r="M8" s="14">
        <f t="shared" si="3"/>
        <v>0</v>
      </c>
      <c r="N8" s="41"/>
    </row>
    <row r="9" spans="1:14">
      <c r="A9" s="23">
        <v>6</v>
      </c>
      <c r="B9" s="24">
        <v>46271</v>
      </c>
      <c r="C9" s="14"/>
      <c r="D9" s="14"/>
      <c r="E9" s="83"/>
      <c r="F9" s="83"/>
      <c r="G9" s="14">
        <f t="shared" si="0"/>
        <v>0</v>
      </c>
      <c r="H9" s="83"/>
      <c r="I9" s="83"/>
      <c r="J9" s="14">
        <f t="shared" si="1"/>
        <v>0</v>
      </c>
      <c r="K9" s="14">
        <f t="shared" si="4"/>
        <v>0</v>
      </c>
      <c r="L9" s="14">
        <f t="shared" si="2"/>
        <v>0</v>
      </c>
      <c r="M9" s="14">
        <f t="shared" si="3"/>
        <v>0</v>
      </c>
      <c r="N9" s="41"/>
    </row>
    <row r="10" spans="1:14">
      <c r="A10" s="23">
        <v>7</v>
      </c>
      <c r="B10" s="24">
        <v>46272</v>
      </c>
      <c r="C10" s="14"/>
      <c r="D10" s="14"/>
      <c r="E10" s="83"/>
      <c r="F10" s="83"/>
      <c r="G10" s="14">
        <f t="shared" si="0"/>
        <v>0</v>
      </c>
      <c r="H10" s="83"/>
      <c r="I10" s="83"/>
      <c r="J10" s="14">
        <f t="shared" si="1"/>
        <v>0</v>
      </c>
      <c r="K10" s="14">
        <f t="shared" si="4"/>
        <v>0</v>
      </c>
      <c r="L10" s="14">
        <f t="shared" si="2"/>
        <v>0</v>
      </c>
      <c r="M10" s="14">
        <f t="shared" si="3"/>
        <v>0</v>
      </c>
      <c r="N10" s="41"/>
    </row>
    <row r="11" spans="1:14">
      <c r="A11" s="23">
        <v>8</v>
      </c>
      <c r="B11" s="24">
        <v>46273</v>
      </c>
      <c r="C11" s="14"/>
      <c r="D11" s="14"/>
      <c r="E11" s="83">
        <v>99.95</v>
      </c>
      <c r="F11" s="83">
        <v>100.05</v>
      </c>
      <c r="G11" s="14">
        <f t="shared" si="0"/>
        <v>9999.9974999999995</v>
      </c>
      <c r="H11" s="83">
        <v>5.35</v>
      </c>
      <c r="I11" s="83">
        <v>112.07</v>
      </c>
      <c r="J11" s="14">
        <f t="shared" si="1"/>
        <v>599.57449999999994</v>
      </c>
      <c r="K11" s="14">
        <f t="shared" si="4"/>
        <v>10599.572</v>
      </c>
      <c r="L11" s="14">
        <f t="shared" si="2"/>
        <v>10599.572</v>
      </c>
      <c r="M11" s="14">
        <f t="shared" si="3"/>
        <v>0</v>
      </c>
      <c r="N11" s="41"/>
    </row>
    <row r="12" spans="1:14">
      <c r="A12" s="23">
        <v>9</v>
      </c>
      <c r="B12" s="24">
        <v>46274</v>
      </c>
      <c r="C12" s="14"/>
      <c r="D12" s="14"/>
      <c r="E12" s="83">
        <v>75</v>
      </c>
      <c r="F12" s="83">
        <v>100.05</v>
      </c>
      <c r="G12" s="14">
        <f t="shared" si="0"/>
        <v>7503.75</v>
      </c>
      <c r="H12" s="83">
        <v>12</v>
      </c>
      <c r="I12" s="83">
        <v>112.07</v>
      </c>
      <c r="J12" s="14">
        <f t="shared" si="1"/>
        <v>1344.84</v>
      </c>
      <c r="K12" s="14">
        <f t="shared" si="4"/>
        <v>8848.59</v>
      </c>
      <c r="L12" s="14">
        <v>3001</v>
      </c>
      <c r="M12" s="14">
        <f t="shared" si="3"/>
        <v>5847.59</v>
      </c>
      <c r="N12" s="41"/>
    </row>
    <row r="13" spans="1:14">
      <c r="A13" s="23">
        <v>10</v>
      </c>
      <c r="B13" s="24">
        <v>46275</v>
      </c>
      <c r="C13" s="14"/>
      <c r="D13" s="14"/>
      <c r="E13" s="83">
        <v>43.69</v>
      </c>
      <c r="F13" s="83">
        <v>100.05</v>
      </c>
      <c r="G13" s="14">
        <f t="shared" si="0"/>
        <v>4371.1844999999994</v>
      </c>
      <c r="H13" s="83"/>
      <c r="I13" s="83"/>
      <c r="J13" s="14">
        <f t="shared" si="1"/>
        <v>0</v>
      </c>
      <c r="K13" s="14">
        <f t="shared" si="4"/>
        <v>4371.1844999999994</v>
      </c>
      <c r="L13" s="14"/>
      <c r="M13" s="14">
        <f t="shared" si="3"/>
        <v>10218.7745</v>
      </c>
      <c r="N13" s="41"/>
    </row>
    <row r="14" spans="1:14">
      <c r="A14" s="23">
        <v>11</v>
      </c>
      <c r="B14" s="24">
        <v>46276</v>
      </c>
      <c r="C14" s="14"/>
      <c r="D14" s="14"/>
      <c r="E14" s="83"/>
      <c r="F14" s="83"/>
      <c r="G14" s="14">
        <f t="shared" si="0"/>
        <v>0</v>
      </c>
      <c r="H14" s="83"/>
      <c r="I14" s="83"/>
      <c r="J14" s="14">
        <f t="shared" si="1"/>
        <v>0</v>
      </c>
      <c r="K14" s="14">
        <f t="shared" si="4"/>
        <v>0</v>
      </c>
      <c r="L14" s="14">
        <f t="shared" si="2"/>
        <v>0</v>
      </c>
      <c r="M14" s="14">
        <f t="shared" si="3"/>
        <v>10218.7745</v>
      </c>
      <c r="N14" s="41"/>
    </row>
    <row r="15" spans="1:14">
      <c r="A15" s="23">
        <v>12</v>
      </c>
      <c r="B15" s="24">
        <v>46277</v>
      </c>
      <c r="C15" s="14"/>
      <c r="D15" s="14"/>
      <c r="E15" s="83"/>
      <c r="F15" s="83"/>
      <c r="G15" s="14">
        <f t="shared" si="0"/>
        <v>0</v>
      </c>
      <c r="H15" s="83"/>
      <c r="I15" s="83"/>
      <c r="J15" s="14">
        <f t="shared" si="1"/>
        <v>0</v>
      </c>
      <c r="K15" s="14">
        <f t="shared" si="4"/>
        <v>0</v>
      </c>
      <c r="L15" s="14">
        <f t="shared" si="2"/>
        <v>0</v>
      </c>
      <c r="M15" s="14">
        <f t="shared" si="3"/>
        <v>10218.7745</v>
      </c>
      <c r="N15" s="41"/>
    </row>
    <row r="16" spans="1:14">
      <c r="A16" s="23">
        <v>13</v>
      </c>
      <c r="B16" s="24">
        <v>46278</v>
      </c>
      <c r="C16" s="14"/>
      <c r="D16" s="14"/>
      <c r="E16" s="83"/>
      <c r="F16" s="83"/>
      <c r="G16" s="14">
        <f t="shared" si="0"/>
        <v>0</v>
      </c>
      <c r="H16" s="83"/>
      <c r="I16" s="83"/>
      <c r="J16" s="14">
        <f t="shared" si="1"/>
        <v>0</v>
      </c>
      <c r="K16" s="14">
        <f t="shared" si="4"/>
        <v>0</v>
      </c>
      <c r="L16" s="14">
        <f t="shared" si="2"/>
        <v>0</v>
      </c>
      <c r="M16" s="14">
        <f t="shared" si="3"/>
        <v>10218.7745</v>
      </c>
      <c r="N16" s="41"/>
    </row>
    <row r="17" spans="1:14">
      <c r="A17" s="23">
        <v>14</v>
      </c>
      <c r="B17" s="24">
        <v>46279</v>
      </c>
      <c r="C17" s="14"/>
      <c r="D17" s="14"/>
      <c r="E17" s="83"/>
      <c r="F17" s="83"/>
      <c r="G17" s="14">
        <f t="shared" si="0"/>
        <v>0</v>
      </c>
      <c r="H17" s="83"/>
      <c r="I17" s="83"/>
      <c r="J17" s="14">
        <f t="shared" si="1"/>
        <v>0</v>
      </c>
      <c r="K17" s="14">
        <f t="shared" si="4"/>
        <v>0</v>
      </c>
      <c r="L17" s="14">
        <f t="shared" si="2"/>
        <v>0</v>
      </c>
      <c r="M17" s="14">
        <f t="shared" si="3"/>
        <v>10218.7745</v>
      </c>
      <c r="N17" s="41"/>
    </row>
    <row r="18" spans="1:14">
      <c r="A18" s="23">
        <v>15</v>
      </c>
      <c r="B18" s="24">
        <v>46280</v>
      </c>
      <c r="C18" s="14"/>
      <c r="D18" s="14"/>
      <c r="E18" s="83">
        <v>40</v>
      </c>
      <c r="F18" s="83">
        <v>100.05</v>
      </c>
      <c r="G18" s="14">
        <f t="shared" si="0"/>
        <v>4002</v>
      </c>
      <c r="H18" s="83"/>
      <c r="I18" s="83"/>
      <c r="J18" s="14">
        <f t="shared" si="1"/>
        <v>0</v>
      </c>
      <c r="K18" s="14">
        <f t="shared" si="4"/>
        <v>4002</v>
      </c>
      <c r="L18" s="14"/>
      <c r="M18" s="14">
        <f t="shared" si="3"/>
        <v>14220.7745</v>
      </c>
      <c r="N18" s="41"/>
    </row>
    <row r="19" spans="1:14">
      <c r="A19" s="23">
        <v>16</v>
      </c>
      <c r="B19" s="24">
        <v>46281</v>
      </c>
      <c r="C19" s="14"/>
      <c r="D19" s="14"/>
      <c r="E19" s="83">
        <v>34.979999999999997</v>
      </c>
      <c r="F19" s="83">
        <v>100.05</v>
      </c>
      <c r="G19" s="14">
        <f t="shared" si="0"/>
        <v>3499.7489999999998</v>
      </c>
      <c r="H19" s="83"/>
      <c r="I19" s="83"/>
      <c r="J19" s="14">
        <f t="shared" si="1"/>
        <v>0</v>
      </c>
      <c r="K19" s="14">
        <f t="shared" si="4"/>
        <v>3499.7489999999998</v>
      </c>
      <c r="L19" s="14">
        <f t="shared" si="2"/>
        <v>3499.7489999999998</v>
      </c>
      <c r="M19" s="14">
        <f t="shared" si="3"/>
        <v>14220.7745</v>
      </c>
      <c r="N19" s="41"/>
    </row>
    <row r="20" spans="1:14">
      <c r="A20" s="23">
        <v>17</v>
      </c>
      <c r="B20" s="24">
        <v>46282</v>
      </c>
      <c r="C20" s="14"/>
      <c r="D20" s="14"/>
      <c r="E20" s="83">
        <v>57.69</v>
      </c>
      <c r="F20" s="83">
        <v>100.05</v>
      </c>
      <c r="G20" s="14">
        <f t="shared" si="0"/>
        <v>5771.8844999999992</v>
      </c>
      <c r="H20" s="83"/>
      <c r="I20" s="83"/>
      <c r="J20" s="14">
        <f t="shared" si="1"/>
        <v>0</v>
      </c>
      <c r="K20" s="14">
        <f t="shared" si="4"/>
        <v>5771.8844999999992</v>
      </c>
      <c r="L20" s="14">
        <v>20067</v>
      </c>
      <c r="M20" s="14">
        <f t="shared" si="3"/>
        <v>-74.341000000000349</v>
      </c>
      <c r="N20" s="41"/>
    </row>
    <row r="21" spans="1:14">
      <c r="A21" s="23">
        <v>18</v>
      </c>
      <c r="B21" s="24">
        <v>46283</v>
      </c>
      <c r="C21" s="14"/>
      <c r="D21" s="14"/>
      <c r="E21" s="83">
        <v>30</v>
      </c>
      <c r="F21" s="83">
        <v>100.05</v>
      </c>
      <c r="G21" s="14">
        <f t="shared" si="0"/>
        <v>3001.5</v>
      </c>
      <c r="H21" s="83"/>
      <c r="I21" s="83"/>
      <c r="J21" s="14">
        <f t="shared" si="1"/>
        <v>0</v>
      </c>
      <c r="K21" s="14">
        <f t="shared" si="4"/>
        <v>3001.5</v>
      </c>
      <c r="L21" s="14">
        <f t="shared" si="2"/>
        <v>3001.5</v>
      </c>
      <c r="M21" s="14">
        <f t="shared" si="3"/>
        <v>-74.341000000000349</v>
      </c>
      <c r="N21" s="41"/>
    </row>
    <row r="22" spans="1:14">
      <c r="A22" s="23">
        <v>19</v>
      </c>
      <c r="B22" s="24">
        <v>46284</v>
      </c>
      <c r="C22" s="14"/>
      <c r="D22" s="14"/>
      <c r="E22" s="83">
        <v>20</v>
      </c>
      <c r="F22" s="83">
        <v>100.05</v>
      </c>
      <c r="G22" s="14">
        <f t="shared" si="0"/>
        <v>2001</v>
      </c>
      <c r="H22" s="83"/>
      <c r="I22" s="83"/>
      <c r="J22" s="14">
        <f t="shared" si="1"/>
        <v>0</v>
      </c>
      <c r="K22" s="14">
        <f t="shared" si="4"/>
        <v>2001</v>
      </c>
      <c r="L22" s="14">
        <f t="shared" si="2"/>
        <v>2001</v>
      </c>
      <c r="M22" s="14">
        <f t="shared" si="3"/>
        <v>-74.341000000000349</v>
      </c>
      <c r="N22" s="41"/>
    </row>
    <row r="23" spans="1:14">
      <c r="A23" s="23"/>
      <c r="B23" s="24">
        <v>46285</v>
      </c>
      <c r="C23" s="14"/>
      <c r="D23" s="14"/>
      <c r="E23" s="83"/>
      <c r="F23" s="83"/>
      <c r="G23" s="14">
        <f t="shared" si="0"/>
        <v>0</v>
      </c>
      <c r="H23" s="83"/>
      <c r="I23" s="83"/>
      <c r="J23" s="14"/>
      <c r="K23" s="14">
        <f t="shared" si="4"/>
        <v>0</v>
      </c>
      <c r="L23" s="14">
        <f t="shared" si="2"/>
        <v>0</v>
      </c>
      <c r="M23" s="14">
        <f t="shared" si="3"/>
        <v>-74.341000000000349</v>
      </c>
      <c r="N23" s="41"/>
    </row>
    <row r="24" spans="1:14">
      <c r="A24" s="23">
        <v>20</v>
      </c>
      <c r="B24" s="24">
        <v>46286</v>
      </c>
      <c r="C24" s="14"/>
      <c r="D24" s="14"/>
      <c r="E24" s="83"/>
      <c r="F24" s="83"/>
      <c r="G24" s="14">
        <f t="shared" si="0"/>
        <v>0</v>
      </c>
      <c r="H24" s="83"/>
      <c r="I24" s="83"/>
      <c r="J24" s="14">
        <f t="shared" si="1"/>
        <v>0</v>
      </c>
      <c r="K24" s="14">
        <f t="shared" si="4"/>
        <v>0</v>
      </c>
      <c r="L24" s="14">
        <f t="shared" si="2"/>
        <v>0</v>
      </c>
      <c r="M24" s="14">
        <f t="shared" si="3"/>
        <v>-74.341000000000349</v>
      </c>
      <c r="N24" s="41"/>
    </row>
    <row r="25" spans="1:14">
      <c r="A25" s="23">
        <v>21</v>
      </c>
      <c r="B25" s="24">
        <v>46287</v>
      </c>
      <c r="C25" s="14"/>
      <c r="D25" s="14"/>
      <c r="E25" s="565">
        <v>60</v>
      </c>
      <c r="F25" s="83">
        <v>100.05</v>
      </c>
      <c r="G25" s="14">
        <f t="shared" si="0"/>
        <v>6003</v>
      </c>
      <c r="H25" s="83"/>
      <c r="I25" s="83"/>
      <c r="J25" s="14">
        <f t="shared" si="1"/>
        <v>0</v>
      </c>
      <c r="K25" s="14">
        <f t="shared" si="4"/>
        <v>6003</v>
      </c>
      <c r="L25" s="14">
        <f t="shared" si="2"/>
        <v>6003</v>
      </c>
      <c r="M25" s="14">
        <f t="shared" si="3"/>
        <v>-74.341000000000349</v>
      </c>
      <c r="N25" s="41"/>
    </row>
    <row r="26" spans="1:14">
      <c r="A26" s="23"/>
      <c r="B26" s="24">
        <v>46287</v>
      </c>
      <c r="C26" s="14"/>
      <c r="D26" s="14"/>
      <c r="E26" s="565">
        <v>70</v>
      </c>
      <c r="F26" s="83">
        <v>100.05</v>
      </c>
      <c r="G26" s="14">
        <f t="shared" si="0"/>
        <v>7003.5</v>
      </c>
      <c r="H26" s="83"/>
      <c r="I26" s="83"/>
      <c r="J26" s="14">
        <f t="shared" si="1"/>
        <v>0</v>
      </c>
      <c r="K26" s="14">
        <f t="shared" si="4"/>
        <v>7003.5</v>
      </c>
      <c r="L26" s="14"/>
      <c r="M26" s="14">
        <f t="shared" si="3"/>
        <v>6929.1589999999997</v>
      </c>
      <c r="N26" s="41"/>
    </row>
    <row r="27" spans="1:14">
      <c r="A27" s="23">
        <v>22</v>
      </c>
      <c r="B27" s="24">
        <v>46288</v>
      </c>
      <c r="C27" s="14"/>
      <c r="D27" s="14"/>
      <c r="E27" s="83"/>
      <c r="F27" s="83"/>
      <c r="G27" s="14">
        <f t="shared" si="0"/>
        <v>0</v>
      </c>
      <c r="H27" s="83"/>
      <c r="I27" s="83"/>
      <c r="J27" s="14">
        <f t="shared" si="1"/>
        <v>0</v>
      </c>
      <c r="K27" s="14">
        <f t="shared" si="4"/>
        <v>0</v>
      </c>
      <c r="L27" s="14">
        <v>7003.5</v>
      </c>
      <c r="M27" s="14">
        <f t="shared" si="3"/>
        <v>-74.341000000000349</v>
      </c>
      <c r="N27" s="41"/>
    </row>
    <row r="28" spans="1:14">
      <c r="A28" s="23"/>
      <c r="B28" s="24">
        <v>46288</v>
      </c>
      <c r="C28" s="14"/>
      <c r="D28" s="14"/>
      <c r="E28" s="83"/>
      <c r="F28" s="83"/>
      <c r="G28" s="14"/>
      <c r="H28" s="83">
        <v>15</v>
      </c>
      <c r="I28" s="83">
        <v>112.07</v>
      </c>
      <c r="J28" s="14">
        <f t="shared" si="1"/>
        <v>1681.05</v>
      </c>
      <c r="K28" s="14">
        <f t="shared" si="4"/>
        <v>1681.05</v>
      </c>
      <c r="L28" s="14">
        <v>1681.05</v>
      </c>
      <c r="M28" s="14">
        <f t="shared" si="3"/>
        <v>-74.341000000000349</v>
      </c>
      <c r="N28" s="41"/>
    </row>
    <row r="29" spans="1:14">
      <c r="A29" s="23">
        <v>23</v>
      </c>
      <c r="B29" s="24">
        <v>46289</v>
      </c>
      <c r="C29" s="14"/>
      <c r="D29" s="14"/>
      <c r="E29" s="83"/>
      <c r="F29" s="83"/>
      <c r="G29" s="14">
        <f t="shared" si="0"/>
        <v>0</v>
      </c>
      <c r="H29" s="83"/>
      <c r="I29" s="83"/>
      <c r="J29" s="14">
        <f t="shared" si="1"/>
        <v>0</v>
      </c>
      <c r="K29" s="14">
        <f t="shared" si="4"/>
        <v>0</v>
      </c>
      <c r="L29" s="14">
        <f t="shared" si="2"/>
        <v>0</v>
      </c>
      <c r="M29" s="14">
        <f t="shared" si="3"/>
        <v>-74.341000000000349</v>
      </c>
      <c r="N29" s="41"/>
    </row>
    <row r="30" spans="1:14">
      <c r="A30" s="23">
        <v>24</v>
      </c>
      <c r="B30" s="24">
        <v>46290</v>
      </c>
      <c r="C30" s="14"/>
      <c r="D30" s="14"/>
      <c r="E30" s="83">
        <v>149.94</v>
      </c>
      <c r="F30" s="83">
        <v>100.05</v>
      </c>
      <c r="G30" s="14">
        <f t="shared" si="0"/>
        <v>15001.496999999999</v>
      </c>
      <c r="H30" s="83"/>
      <c r="I30" s="83"/>
      <c r="J30" s="14">
        <f t="shared" si="1"/>
        <v>0</v>
      </c>
      <c r="K30" s="14">
        <f t="shared" si="4"/>
        <v>15001.496999999999</v>
      </c>
      <c r="L30" s="14">
        <f t="shared" si="2"/>
        <v>15001.496999999999</v>
      </c>
      <c r="M30" s="14">
        <f t="shared" si="3"/>
        <v>-74.341000000000349</v>
      </c>
      <c r="N30" s="41"/>
    </row>
    <row r="31" spans="1:14">
      <c r="A31" s="23">
        <v>25</v>
      </c>
      <c r="B31" s="24">
        <v>46291</v>
      </c>
      <c r="C31" s="14"/>
      <c r="D31" s="14"/>
      <c r="E31" s="83"/>
      <c r="F31" s="83"/>
      <c r="G31" s="14">
        <f t="shared" si="0"/>
        <v>0</v>
      </c>
      <c r="H31" s="83"/>
      <c r="I31" s="83"/>
      <c r="J31" s="14">
        <f t="shared" si="1"/>
        <v>0</v>
      </c>
      <c r="K31" s="14">
        <f>G31+J31</f>
        <v>0</v>
      </c>
      <c r="L31" s="14">
        <f t="shared" si="2"/>
        <v>0</v>
      </c>
      <c r="M31" s="14">
        <f t="shared" si="3"/>
        <v>-74.341000000000349</v>
      </c>
      <c r="N31" s="41"/>
    </row>
    <row r="32" spans="1:14">
      <c r="A32" s="23">
        <v>26</v>
      </c>
      <c r="B32" s="24">
        <v>46292</v>
      </c>
      <c r="C32" s="14"/>
      <c r="D32" s="14"/>
      <c r="E32" s="83"/>
      <c r="F32" s="83"/>
      <c r="G32" s="14">
        <f t="shared" si="0"/>
        <v>0</v>
      </c>
      <c r="H32" s="83"/>
      <c r="I32" s="83"/>
      <c r="J32" s="14">
        <f t="shared" si="1"/>
        <v>0</v>
      </c>
      <c r="K32" s="14">
        <f t="shared" si="4"/>
        <v>0</v>
      </c>
      <c r="L32" s="14">
        <f t="shared" si="2"/>
        <v>0</v>
      </c>
      <c r="M32" s="14">
        <f t="shared" si="3"/>
        <v>-74.341000000000349</v>
      </c>
      <c r="N32" s="41"/>
    </row>
    <row r="33" spans="1:14">
      <c r="A33" s="23">
        <v>27</v>
      </c>
      <c r="B33" s="24">
        <v>46293</v>
      </c>
      <c r="C33" s="14"/>
      <c r="D33" s="14"/>
      <c r="E33" s="83">
        <v>123.94</v>
      </c>
      <c r="F33" s="83">
        <v>100.05</v>
      </c>
      <c r="G33" s="14">
        <f t="shared" si="0"/>
        <v>12400.197</v>
      </c>
      <c r="H33" s="83">
        <v>15.89</v>
      </c>
      <c r="I33" s="83">
        <v>112.07</v>
      </c>
      <c r="J33" s="14">
        <f t="shared" si="1"/>
        <v>1780.7923000000001</v>
      </c>
      <c r="K33" s="14">
        <f t="shared" si="4"/>
        <v>14180.989300000001</v>
      </c>
      <c r="L33" s="14">
        <f t="shared" si="2"/>
        <v>14180.989300000001</v>
      </c>
      <c r="M33" s="14">
        <f t="shared" si="3"/>
        <v>-74.341000000000349</v>
      </c>
      <c r="N33" s="41"/>
    </row>
    <row r="34" spans="1:14">
      <c r="A34" s="23">
        <v>28</v>
      </c>
      <c r="B34" s="24">
        <v>46294</v>
      </c>
      <c r="C34" s="14"/>
      <c r="D34" s="14"/>
      <c r="E34" s="83"/>
      <c r="F34" s="83"/>
      <c r="G34" s="14">
        <f t="shared" si="0"/>
        <v>0</v>
      </c>
      <c r="H34" s="83"/>
      <c r="I34" s="83"/>
      <c r="J34" s="14">
        <f t="shared" si="1"/>
        <v>0</v>
      </c>
      <c r="K34" s="14">
        <f t="shared" si="4"/>
        <v>0</v>
      </c>
      <c r="L34" s="14">
        <v>-75.34</v>
      </c>
      <c r="M34" s="14">
        <f t="shared" si="3"/>
        <v>0.99899999999965416</v>
      </c>
      <c r="N34" s="41"/>
    </row>
    <row r="35" spans="1:14">
      <c r="A35" s="23">
        <v>29</v>
      </c>
      <c r="B35" s="24">
        <v>46295</v>
      </c>
      <c r="C35" s="14"/>
      <c r="D35" s="14"/>
      <c r="E35" s="83"/>
      <c r="F35" s="83"/>
      <c r="G35" s="14">
        <f t="shared" si="0"/>
        <v>0</v>
      </c>
      <c r="H35" s="83"/>
      <c r="I35" s="83"/>
      <c r="J35" s="14">
        <f t="shared" si="1"/>
        <v>0</v>
      </c>
      <c r="K35" s="14">
        <f t="shared" si="4"/>
        <v>0</v>
      </c>
      <c r="L35" s="14">
        <f t="shared" si="2"/>
        <v>0</v>
      </c>
      <c r="M35" s="14">
        <f t="shared" si="3"/>
        <v>0.99899999999965416</v>
      </c>
      <c r="N35" s="41"/>
    </row>
    <row r="36" spans="1:14">
      <c r="A36" s="23">
        <v>30</v>
      </c>
      <c r="B36" s="24"/>
      <c r="C36" s="14"/>
      <c r="D36" s="14"/>
      <c r="E36" s="83"/>
      <c r="F36" s="83"/>
      <c r="G36" s="14">
        <f t="shared" si="0"/>
        <v>0</v>
      </c>
      <c r="H36" s="83"/>
      <c r="I36" s="83"/>
      <c r="J36" s="14">
        <f t="shared" si="1"/>
        <v>0</v>
      </c>
      <c r="K36" s="14">
        <f t="shared" si="4"/>
        <v>0</v>
      </c>
      <c r="L36" s="14">
        <f t="shared" si="2"/>
        <v>0</v>
      </c>
      <c r="M36" s="14"/>
      <c r="N36" s="41"/>
    </row>
    <row r="37" spans="1:14">
      <c r="A37" s="23">
        <v>31</v>
      </c>
      <c r="B37" s="24"/>
      <c r="C37" s="14"/>
      <c r="D37" s="14"/>
      <c r="E37" s="83"/>
      <c r="F37" s="83"/>
      <c r="G37" s="14">
        <f t="shared" ref="G5:G37" si="5">E37*F37</f>
        <v>0</v>
      </c>
      <c r="H37" s="83"/>
      <c r="I37" s="83"/>
      <c r="J37" s="14">
        <f t="shared" ref="J5:J37" si="6">H37*I37</f>
        <v>0</v>
      </c>
      <c r="K37" s="14">
        <f t="shared" si="4"/>
        <v>0</v>
      </c>
      <c r="L37" s="14">
        <f t="shared" si="2"/>
        <v>0</v>
      </c>
      <c r="M37" s="14"/>
      <c r="N37" s="41"/>
    </row>
    <row r="38" spans="1:14">
      <c r="A38" s="39"/>
      <c r="B38" s="39"/>
      <c r="C38" s="39"/>
      <c r="D38" s="39"/>
      <c r="E38" s="39">
        <f>SUM(E4:E37)</f>
        <v>983.15000000000009</v>
      </c>
      <c r="F38" s="39"/>
      <c r="G38" s="39">
        <f>SUM(G4:G37)</f>
        <v>98364.157500000001</v>
      </c>
      <c r="H38" s="39">
        <f>SUM(H4:H37)</f>
        <v>48.24</v>
      </c>
      <c r="I38" s="39"/>
      <c r="J38" s="39">
        <f>SUM(J4:J37)</f>
        <v>5406.2568000000001</v>
      </c>
      <c r="K38" s="39">
        <f>SUM(K4:K37)</f>
        <v>103770.4143</v>
      </c>
      <c r="L38" s="39">
        <f>SUM(L4:L37)</f>
        <v>103769.41530000001</v>
      </c>
      <c r="M38" s="39"/>
      <c r="N38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workbookViewId="0">
      <pane ySplit="3" topLeftCell="A26" activePane="bottomLeft" state="frozen"/>
      <selection pane="bottomLeft" activeCell="F38" sqref="F38"/>
    </sheetView>
  </sheetViews>
  <sheetFormatPr defaultRowHeight="15"/>
  <cols>
    <col min="2" max="2" width="10.140625" bestFit="1" customWidth="1"/>
    <col min="4" max="4" width="11.42578125" customWidth="1"/>
    <col min="9" max="9" width="12" customWidth="1"/>
    <col min="10" max="10" width="11" customWidth="1"/>
    <col min="11" max="11" width="11.28515625" customWidth="1"/>
    <col min="12" max="12" width="11.42578125" customWidth="1"/>
  </cols>
  <sheetData>
    <row r="1" spans="1:14" ht="15.75">
      <c r="A1" s="606" t="s">
        <v>116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4" ht="21.75" customHeight="1">
      <c r="A2" s="100" t="s">
        <v>0</v>
      </c>
      <c r="B2" s="102" t="s">
        <v>168</v>
      </c>
      <c r="C2" s="102" t="s">
        <v>169</v>
      </c>
      <c r="D2" s="102" t="s">
        <v>170</v>
      </c>
      <c r="E2" s="102" t="s">
        <v>171</v>
      </c>
      <c r="F2" s="102" t="s">
        <v>172</v>
      </c>
      <c r="G2" s="102" t="s">
        <v>173</v>
      </c>
      <c r="H2" s="102" t="s">
        <v>174</v>
      </c>
      <c r="I2" s="102" t="s">
        <v>172</v>
      </c>
      <c r="J2" s="102" t="s">
        <v>173</v>
      </c>
      <c r="K2" s="102" t="s">
        <v>175</v>
      </c>
      <c r="L2" s="102" t="s">
        <v>176</v>
      </c>
      <c r="M2" s="102" t="s">
        <v>185</v>
      </c>
      <c r="N2" s="102" t="s">
        <v>178</v>
      </c>
    </row>
    <row r="3" spans="1:14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92"/>
      <c r="L3" s="92"/>
      <c r="M3" s="92"/>
      <c r="N3" s="14"/>
    </row>
    <row r="4" spans="1:14">
      <c r="A4" s="23">
        <v>1</v>
      </c>
      <c r="B4" s="24">
        <v>46266</v>
      </c>
      <c r="C4" s="14"/>
      <c r="D4" s="14"/>
      <c r="E4" s="14"/>
      <c r="F4" s="366"/>
      <c r="G4" s="14">
        <f>E4*F4</f>
        <v>0</v>
      </c>
      <c r="H4" s="83"/>
      <c r="I4" s="83"/>
      <c r="J4" s="14">
        <f>H4*I4</f>
        <v>0</v>
      </c>
      <c r="K4" s="320">
        <f>G4+J4</f>
        <v>0</v>
      </c>
      <c r="L4" s="320">
        <f>K4</f>
        <v>0</v>
      </c>
      <c r="M4" s="14">
        <f>M3+K4-L4</f>
        <v>0</v>
      </c>
      <c r="N4" s="41"/>
    </row>
    <row r="5" spans="1:14">
      <c r="A5" s="23">
        <v>2</v>
      </c>
      <c r="B5" s="24">
        <v>46267</v>
      </c>
      <c r="C5" s="14"/>
      <c r="D5" s="14"/>
      <c r="E5" s="366">
        <v>200</v>
      </c>
      <c r="F5" s="366">
        <v>99.87</v>
      </c>
      <c r="G5" s="14">
        <f t="shared" ref="G5:G34" si="0">E5*F5</f>
        <v>19974</v>
      </c>
      <c r="H5" s="83"/>
      <c r="I5" s="83"/>
      <c r="J5" s="14">
        <f t="shared" ref="J5:J33" si="1">H5*I5</f>
        <v>0</v>
      </c>
      <c r="K5" s="320">
        <f>G5+J5</f>
        <v>19974</v>
      </c>
      <c r="L5" s="320">
        <f t="shared" ref="L5:L34" si="2">K5</f>
        <v>19974</v>
      </c>
      <c r="M5" s="14">
        <f t="shared" ref="M5:M27" si="3">M4+K5-L5</f>
        <v>0</v>
      </c>
      <c r="N5" s="41"/>
    </row>
    <row r="6" spans="1:14">
      <c r="A6" s="23">
        <v>3</v>
      </c>
      <c r="B6" s="24">
        <v>46268</v>
      </c>
      <c r="C6" s="14"/>
      <c r="D6" s="14"/>
      <c r="E6" s="83"/>
      <c r="F6" s="83"/>
      <c r="G6" s="14">
        <f t="shared" ref="G6:G34" si="4">E6*F6</f>
        <v>0</v>
      </c>
      <c r="H6" s="83"/>
      <c r="I6" s="83"/>
      <c r="J6" s="14">
        <f t="shared" ref="J6:J34" si="5">H6*I6</f>
        <v>0</v>
      </c>
      <c r="K6" s="320">
        <f t="shared" ref="K6:K34" si="6">G6+J6</f>
        <v>0</v>
      </c>
      <c r="L6" s="320">
        <f t="shared" si="2"/>
        <v>0</v>
      </c>
      <c r="M6" s="14">
        <f t="shared" si="3"/>
        <v>0</v>
      </c>
      <c r="N6" s="41"/>
    </row>
    <row r="7" spans="1:14">
      <c r="A7" s="23">
        <v>4</v>
      </c>
      <c r="B7" s="24">
        <v>46269</v>
      </c>
      <c r="C7" s="14"/>
      <c r="D7" s="14"/>
      <c r="E7" s="83"/>
      <c r="F7" s="83"/>
      <c r="G7" s="14">
        <f t="shared" si="4"/>
        <v>0</v>
      </c>
      <c r="H7" s="83"/>
      <c r="I7" s="83"/>
      <c r="J7" s="14">
        <f t="shared" si="5"/>
        <v>0</v>
      </c>
      <c r="K7" s="320">
        <f t="shared" si="6"/>
        <v>0</v>
      </c>
      <c r="L7" s="320">
        <f t="shared" si="2"/>
        <v>0</v>
      </c>
      <c r="M7" s="14">
        <f t="shared" si="3"/>
        <v>0</v>
      </c>
      <c r="N7" s="41"/>
    </row>
    <row r="8" spans="1:14">
      <c r="A8" s="23">
        <v>5</v>
      </c>
      <c r="B8" s="24">
        <v>46270</v>
      </c>
      <c r="C8" s="14"/>
      <c r="D8" s="14"/>
      <c r="E8" s="366">
        <v>120</v>
      </c>
      <c r="F8" s="366">
        <v>99.87</v>
      </c>
      <c r="G8" s="14">
        <f t="shared" si="4"/>
        <v>11984.400000000001</v>
      </c>
      <c r="H8" s="83"/>
      <c r="I8" s="83"/>
      <c r="J8" s="14">
        <f t="shared" si="5"/>
        <v>0</v>
      </c>
      <c r="K8" s="320">
        <f t="shared" si="6"/>
        <v>11984.400000000001</v>
      </c>
      <c r="L8" s="320">
        <f t="shared" si="2"/>
        <v>11984.400000000001</v>
      </c>
      <c r="M8" s="14">
        <f t="shared" si="3"/>
        <v>0</v>
      </c>
      <c r="N8" s="41"/>
    </row>
    <row r="9" spans="1:14">
      <c r="A9" s="23">
        <v>6</v>
      </c>
      <c r="B9" s="24">
        <v>46271</v>
      </c>
      <c r="C9" s="14"/>
      <c r="D9" s="14"/>
      <c r="E9" s="83"/>
      <c r="F9" s="83"/>
      <c r="G9" s="14">
        <f t="shared" si="4"/>
        <v>0</v>
      </c>
      <c r="H9" s="83"/>
      <c r="I9" s="83"/>
      <c r="J9" s="14">
        <f t="shared" si="5"/>
        <v>0</v>
      </c>
      <c r="K9" s="320">
        <f t="shared" si="6"/>
        <v>0</v>
      </c>
      <c r="L9" s="320">
        <f t="shared" si="2"/>
        <v>0</v>
      </c>
      <c r="M9" s="14">
        <f t="shared" si="3"/>
        <v>0</v>
      </c>
      <c r="N9" s="41"/>
    </row>
    <row r="10" spans="1:14">
      <c r="A10" s="23">
        <v>7</v>
      </c>
      <c r="B10" s="24">
        <v>46272</v>
      </c>
      <c r="C10" s="14"/>
      <c r="D10" s="14"/>
      <c r="E10" s="83"/>
      <c r="F10" s="83"/>
      <c r="G10" s="14">
        <f t="shared" si="4"/>
        <v>0</v>
      </c>
      <c r="H10" s="83"/>
      <c r="I10" s="83"/>
      <c r="J10" s="14">
        <f t="shared" si="5"/>
        <v>0</v>
      </c>
      <c r="K10" s="320">
        <f t="shared" si="6"/>
        <v>0</v>
      </c>
      <c r="L10" s="320">
        <f t="shared" si="2"/>
        <v>0</v>
      </c>
      <c r="M10" s="14">
        <f t="shared" si="3"/>
        <v>0</v>
      </c>
      <c r="N10" s="41"/>
    </row>
    <row r="11" spans="1:14">
      <c r="A11" s="23">
        <v>8</v>
      </c>
      <c r="B11" s="24">
        <v>46273</v>
      </c>
      <c r="C11" s="14"/>
      <c r="D11" s="14"/>
      <c r="E11" s="83"/>
      <c r="F11" s="83"/>
      <c r="G11" s="14">
        <f t="shared" si="4"/>
        <v>0</v>
      </c>
      <c r="H11" s="83"/>
      <c r="I11" s="83"/>
      <c r="J11" s="14">
        <f t="shared" si="5"/>
        <v>0</v>
      </c>
      <c r="K11" s="320">
        <f t="shared" si="6"/>
        <v>0</v>
      </c>
      <c r="L11" s="320">
        <f t="shared" si="2"/>
        <v>0</v>
      </c>
      <c r="M11" s="14">
        <f t="shared" si="3"/>
        <v>0</v>
      </c>
      <c r="N11" s="41"/>
    </row>
    <row r="12" spans="1:14">
      <c r="A12" s="23">
        <v>9</v>
      </c>
      <c r="B12" s="24">
        <v>46274</v>
      </c>
      <c r="C12" s="14"/>
      <c r="D12" s="14"/>
      <c r="E12" s="83"/>
      <c r="F12" s="83"/>
      <c r="G12" s="14">
        <f t="shared" si="4"/>
        <v>0</v>
      </c>
      <c r="H12" s="83"/>
      <c r="I12" s="83"/>
      <c r="J12" s="14">
        <f t="shared" si="5"/>
        <v>0</v>
      </c>
      <c r="K12" s="320">
        <f t="shared" si="6"/>
        <v>0</v>
      </c>
      <c r="L12" s="320">
        <f t="shared" si="2"/>
        <v>0</v>
      </c>
      <c r="M12" s="14">
        <f t="shared" si="3"/>
        <v>0</v>
      </c>
      <c r="N12" s="41"/>
    </row>
    <row r="13" spans="1:14">
      <c r="A13" s="23">
        <v>10</v>
      </c>
      <c r="B13" s="24">
        <v>46275</v>
      </c>
      <c r="C13" s="14"/>
      <c r="D13" s="14"/>
      <c r="E13" s="83">
        <v>110</v>
      </c>
      <c r="F13" s="83">
        <v>99.87</v>
      </c>
      <c r="G13" s="14">
        <f t="shared" si="4"/>
        <v>10985.7</v>
      </c>
      <c r="H13" s="83">
        <v>35</v>
      </c>
      <c r="I13" s="83">
        <v>112.06</v>
      </c>
      <c r="J13" s="14">
        <f t="shared" si="5"/>
        <v>3922.1</v>
      </c>
      <c r="K13" s="320">
        <f t="shared" si="6"/>
        <v>14907.800000000001</v>
      </c>
      <c r="L13" s="320">
        <f t="shared" si="2"/>
        <v>14907.800000000001</v>
      </c>
      <c r="M13" s="14">
        <f t="shared" si="3"/>
        <v>0</v>
      </c>
      <c r="N13" s="41"/>
    </row>
    <row r="14" spans="1:14">
      <c r="A14" s="23">
        <v>11</v>
      </c>
      <c r="B14" s="24">
        <v>46276</v>
      </c>
      <c r="C14" s="14"/>
      <c r="D14" s="14"/>
      <c r="E14" s="83"/>
      <c r="F14" s="83"/>
      <c r="G14" s="14">
        <f t="shared" si="4"/>
        <v>0</v>
      </c>
      <c r="H14" s="83"/>
      <c r="I14" s="83"/>
      <c r="J14" s="14">
        <f t="shared" si="5"/>
        <v>0</v>
      </c>
      <c r="K14" s="320">
        <f t="shared" si="6"/>
        <v>0</v>
      </c>
      <c r="L14" s="320">
        <f t="shared" si="2"/>
        <v>0</v>
      </c>
      <c r="M14" s="14">
        <f t="shared" si="3"/>
        <v>0</v>
      </c>
      <c r="N14" s="41"/>
    </row>
    <row r="15" spans="1:14">
      <c r="A15" s="23">
        <v>12</v>
      </c>
      <c r="B15" s="24">
        <v>46277</v>
      </c>
      <c r="C15" s="14"/>
      <c r="D15" s="14"/>
      <c r="E15" s="83">
        <v>200</v>
      </c>
      <c r="F15" s="83">
        <v>99.9</v>
      </c>
      <c r="G15" s="14">
        <f t="shared" si="4"/>
        <v>19980</v>
      </c>
      <c r="H15" s="83"/>
      <c r="I15" s="83"/>
      <c r="J15" s="14">
        <f t="shared" si="5"/>
        <v>0</v>
      </c>
      <c r="K15" s="320">
        <f t="shared" si="6"/>
        <v>19980</v>
      </c>
      <c r="L15" s="320">
        <f t="shared" si="2"/>
        <v>19980</v>
      </c>
      <c r="M15" s="14">
        <f t="shared" si="3"/>
        <v>0</v>
      </c>
      <c r="N15" s="41" t="s">
        <v>213</v>
      </c>
    </row>
    <row r="16" spans="1:14">
      <c r="A16" s="23">
        <v>13</v>
      </c>
      <c r="B16" s="24">
        <v>46278</v>
      </c>
      <c r="C16" s="14"/>
      <c r="D16" s="14"/>
      <c r="E16" s="83"/>
      <c r="F16" s="83"/>
      <c r="G16" s="14">
        <f t="shared" si="4"/>
        <v>0</v>
      </c>
      <c r="H16" s="83"/>
      <c r="I16" s="83"/>
      <c r="J16" s="14">
        <f t="shared" si="5"/>
        <v>0</v>
      </c>
      <c r="K16" s="320">
        <f t="shared" si="6"/>
        <v>0</v>
      </c>
      <c r="L16" s="320">
        <f t="shared" si="2"/>
        <v>0</v>
      </c>
      <c r="M16" s="14">
        <f t="shared" si="3"/>
        <v>0</v>
      </c>
      <c r="N16" s="41"/>
    </row>
    <row r="17" spans="1:14">
      <c r="A17" s="23">
        <v>14</v>
      </c>
      <c r="B17" s="24">
        <v>46279</v>
      </c>
      <c r="C17" s="14"/>
      <c r="D17" s="14"/>
      <c r="E17" s="83"/>
      <c r="F17" s="83"/>
      <c r="G17" s="14">
        <f t="shared" si="4"/>
        <v>0</v>
      </c>
      <c r="H17" s="83"/>
      <c r="I17" s="83"/>
      <c r="J17" s="14">
        <f t="shared" si="5"/>
        <v>0</v>
      </c>
      <c r="K17" s="320">
        <f t="shared" si="6"/>
        <v>0</v>
      </c>
      <c r="L17" s="320">
        <f t="shared" si="2"/>
        <v>0</v>
      </c>
      <c r="M17" s="14">
        <f t="shared" si="3"/>
        <v>0</v>
      </c>
      <c r="N17" s="41"/>
    </row>
    <row r="18" spans="1:14">
      <c r="A18" s="23">
        <v>15</v>
      </c>
      <c r="B18" s="24">
        <v>46280</v>
      </c>
      <c r="C18" s="14"/>
      <c r="D18" s="14"/>
      <c r="E18" s="83"/>
      <c r="F18" s="83"/>
      <c r="G18" s="14">
        <f t="shared" si="4"/>
        <v>0</v>
      </c>
      <c r="H18" s="83"/>
      <c r="I18" s="83"/>
      <c r="J18" s="14">
        <f t="shared" si="5"/>
        <v>0</v>
      </c>
      <c r="K18" s="320">
        <f t="shared" si="6"/>
        <v>0</v>
      </c>
      <c r="L18" s="320">
        <f t="shared" si="2"/>
        <v>0</v>
      </c>
      <c r="M18" s="14">
        <f t="shared" si="3"/>
        <v>0</v>
      </c>
      <c r="N18" s="41"/>
    </row>
    <row r="19" spans="1:14">
      <c r="A19" s="23">
        <v>16</v>
      </c>
      <c r="B19" s="24">
        <v>46281</v>
      </c>
      <c r="C19" s="14"/>
      <c r="D19" s="14"/>
      <c r="E19" s="83"/>
      <c r="F19" s="83"/>
      <c r="G19" s="14">
        <f t="shared" si="4"/>
        <v>0</v>
      </c>
      <c r="H19" s="83"/>
      <c r="I19" s="83"/>
      <c r="J19" s="14">
        <f t="shared" si="5"/>
        <v>0</v>
      </c>
      <c r="K19" s="320">
        <f t="shared" si="6"/>
        <v>0</v>
      </c>
      <c r="L19" s="320">
        <f t="shared" si="2"/>
        <v>0</v>
      </c>
      <c r="M19" s="14">
        <f t="shared" si="3"/>
        <v>0</v>
      </c>
      <c r="N19" s="41"/>
    </row>
    <row r="20" spans="1:14">
      <c r="A20" s="23">
        <v>17</v>
      </c>
      <c r="B20" s="24">
        <v>46282</v>
      </c>
      <c r="C20" s="14"/>
      <c r="D20" s="14"/>
      <c r="E20" s="83">
        <v>200</v>
      </c>
      <c r="F20" s="83">
        <v>99.9</v>
      </c>
      <c r="G20" s="14">
        <f t="shared" si="4"/>
        <v>19980</v>
      </c>
      <c r="H20" s="83"/>
      <c r="I20" s="83"/>
      <c r="J20" s="14">
        <f t="shared" si="5"/>
        <v>0</v>
      </c>
      <c r="K20" s="320">
        <f t="shared" si="6"/>
        <v>19980</v>
      </c>
      <c r="L20" s="320">
        <f t="shared" si="2"/>
        <v>19980</v>
      </c>
      <c r="M20" s="14">
        <f t="shared" si="3"/>
        <v>0</v>
      </c>
      <c r="N20" s="41"/>
    </row>
    <row r="21" spans="1:14">
      <c r="A21" s="23">
        <v>18</v>
      </c>
      <c r="B21" s="24">
        <v>46283</v>
      </c>
      <c r="C21" s="14"/>
      <c r="D21" s="14"/>
      <c r="E21" s="83"/>
      <c r="F21" s="83"/>
      <c r="G21" s="14">
        <f t="shared" si="4"/>
        <v>0</v>
      </c>
      <c r="H21" s="83"/>
      <c r="I21" s="83"/>
      <c r="J21" s="14">
        <f t="shared" si="5"/>
        <v>0</v>
      </c>
      <c r="K21" s="320">
        <f t="shared" si="6"/>
        <v>0</v>
      </c>
      <c r="L21" s="320">
        <f t="shared" si="2"/>
        <v>0</v>
      </c>
      <c r="M21" s="14">
        <f t="shared" si="3"/>
        <v>0</v>
      </c>
      <c r="N21" s="41"/>
    </row>
    <row r="22" spans="1:14">
      <c r="A22" s="23">
        <v>19</v>
      </c>
      <c r="B22" s="24">
        <v>46284</v>
      </c>
      <c r="C22" s="14"/>
      <c r="D22" s="14"/>
      <c r="E22" s="83"/>
      <c r="F22" s="83"/>
      <c r="G22" s="14">
        <f t="shared" si="4"/>
        <v>0</v>
      </c>
      <c r="H22" s="83"/>
      <c r="I22" s="83"/>
      <c r="J22" s="14">
        <f t="shared" si="5"/>
        <v>0</v>
      </c>
      <c r="K22" s="320">
        <f t="shared" si="6"/>
        <v>0</v>
      </c>
      <c r="L22" s="320">
        <f t="shared" si="2"/>
        <v>0</v>
      </c>
      <c r="M22" s="14">
        <f t="shared" si="3"/>
        <v>0</v>
      </c>
      <c r="N22" s="41"/>
    </row>
    <row r="23" spans="1:14">
      <c r="A23" s="23">
        <v>20</v>
      </c>
      <c r="B23" s="24">
        <v>46285</v>
      </c>
      <c r="C23" s="14"/>
      <c r="D23" s="14"/>
      <c r="E23" s="83"/>
      <c r="F23" s="83"/>
      <c r="G23" s="14">
        <f t="shared" si="4"/>
        <v>0</v>
      </c>
      <c r="H23" s="83"/>
      <c r="I23" s="83"/>
      <c r="J23" s="14">
        <f t="shared" si="5"/>
        <v>0</v>
      </c>
      <c r="K23" s="320">
        <f t="shared" si="6"/>
        <v>0</v>
      </c>
      <c r="L23" s="320">
        <f t="shared" si="2"/>
        <v>0</v>
      </c>
      <c r="M23" s="14">
        <f t="shared" si="3"/>
        <v>0</v>
      </c>
      <c r="N23" s="41"/>
    </row>
    <row r="24" spans="1:14">
      <c r="A24" s="23">
        <v>21</v>
      </c>
      <c r="B24" s="24">
        <v>46286</v>
      </c>
      <c r="C24" s="14"/>
      <c r="D24" s="14"/>
      <c r="E24" s="83"/>
      <c r="F24" s="83"/>
      <c r="G24" s="14">
        <f t="shared" si="4"/>
        <v>0</v>
      </c>
      <c r="H24" s="83"/>
      <c r="I24" s="83"/>
      <c r="J24" s="14">
        <f t="shared" si="5"/>
        <v>0</v>
      </c>
      <c r="K24" s="320">
        <f t="shared" si="6"/>
        <v>0</v>
      </c>
      <c r="L24" s="320">
        <f t="shared" si="2"/>
        <v>0</v>
      </c>
      <c r="M24" s="14">
        <f t="shared" si="3"/>
        <v>0</v>
      </c>
      <c r="N24" s="41"/>
    </row>
    <row r="25" spans="1:14">
      <c r="A25" s="23">
        <v>22</v>
      </c>
      <c r="B25" s="24">
        <v>46287</v>
      </c>
      <c r="C25" s="14"/>
      <c r="D25" s="14"/>
      <c r="E25" s="83"/>
      <c r="F25" s="83"/>
      <c r="G25" s="14">
        <f t="shared" si="4"/>
        <v>0</v>
      </c>
      <c r="H25" s="83"/>
      <c r="I25" s="83"/>
      <c r="J25" s="14">
        <f t="shared" si="5"/>
        <v>0</v>
      </c>
      <c r="K25" s="320">
        <f t="shared" si="6"/>
        <v>0</v>
      </c>
      <c r="L25" s="320">
        <f t="shared" si="2"/>
        <v>0</v>
      </c>
      <c r="M25" s="14">
        <f t="shared" si="3"/>
        <v>0</v>
      </c>
      <c r="N25" s="41"/>
    </row>
    <row r="26" spans="1:14">
      <c r="A26" s="23">
        <v>23</v>
      </c>
      <c r="B26" s="24">
        <v>46288</v>
      </c>
      <c r="C26" s="14"/>
      <c r="D26" s="14"/>
      <c r="E26" s="83">
        <v>170</v>
      </c>
      <c r="F26" s="83">
        <v>99.9</v>
      </c>
      <c r="G26" s="14">
        <f t="shared" si="4"/>
        <v>16983</v>
      </c>
      <c r="H26" s="83"/>
      <c r="I26" s="83"/>
      <c r="J26" s="14">
        <f t="shared" si="5"/>
        <v>0</v>
      </c>
      <c r="K26" s="320">
        <f t="shared" si="6"/>
        <v>16983</v>
      </c>
      <c r="L26" s="320">
        <f t="shared" si="2"/>
        <v>16983</v>
      </c>
      <c r="M26" s="14">
        <f t="shared" si="3"/>
        <v>0</v>
      </c>
      <c r="N26" s="41"/>
    </row>
    <row r="27" spans="1:14">
      <c r="A27" s="23">
        <v>24</v>
      </c>
      <c r="B27" s="24">
        <v>46289</v>
      </c>
      <c r="C27" s="14"/>
      <c r="D27" s="14"/>
      <c r="E27" s="83"/>
      <c r="F27" s="83"/>
      <c r="G27" s="14">
        <f t="shared" si="4"/>
        <v>0</v>
      </c>
      <c r="H27" s="83">
        <v>35</v>
      </c>
      <c r="I27" s="83">
        <v>112.06</v>
      </c>
      <c r="J27" s="14">
        <f t="shared" si="5"/>
        <v>3922.1</v>
      </c>
      <c r="K27" s="320">
        <f t="shared" si="6"/>
        <v>3922.1</v>
      </c>
      <c r="L27" s="320">
        <f t="shared" si="2"/>
        <v>3922.1</v>
      </c>
      <c r="M27" s="14">
        <f t="shared" si="3"/>
        <v>0</v>
      </c>
      <c r="N27" s="41"/>
    </row>
    <row r="28" spans="1:14">
      <c r="A28" s="23">
        <v>25</v>
      </c>
      <c r="B28" s="24">
        <v>46290</v>
      </c>
      <c r="C28" s="14"/>
      <c r="D28" s="14"/>
      <c r="E28" s="83"/>
      <c r="F28" s="83"/>
      <c r="G28" s="14">
        <f t="shared" si="4"/>
        <v>0</v>
      </c>
      <c r="H28" s="83"/>
      <c r="I28" s="83"/>
      <c r="J28" s="14">
        <f t="shared" si="5"/>
        <v>0</v>
      </c>
      <c r="K28" s="320">
        <f>G28+J28</f>
        <v>0</v>
      </c>
      <c r="L28" s="320">
        <f t="shared" si="2"/>
        <v>0</v>
      </c>
      <c r="M28" s="14">
        <v>0</v>
      </c>
      <c r="N28" s="41"/>
    </row>
    <row r="29" spans="1:14">
      <c r="A29" s="23">
        <v>26</v>
      </c>
      <c r="B29" s="24">
        <v>46291</v>
      </c>
      <c r="C29" s="14"/>
      <c r="D29" s="14"/>
      <c r="E29" s="83"/>
      <c r="F29" s="83"/>
      <c r="G29" s="14">
        <f t="shared" si="4"/>
        <v>0</v>
      </c>
      <c r="H29" s="83"/>
      <c r="I29" s="83"/>
      <c r="J29" s="14">
        <f t="shared" si="5"/>
        <v>0</v>
      </c>
      <c r="K29" s="320">
        <f t="shared" si="6"/>
        <v>0</v>
      </c>
      <c r="L29" s="320">
        <f t="shared" si="2"/>
        <v>0</v>
      </c>
      <c r="M29" s="14">
        <v>0</v>
      </c>
      <c r="N29" s="41"/>
    </row>
    <row r="30" spans="1:14">
      <c r="A30" s="23">
        <v>27</v>
      </c>
      <c r="B30" s="24">
        <v>46292</v>
      </c>
      <c r="C30" s="14"/>
      <c r="D30" s="14"/>
      <c r="E30" s="83">
        <v>150</v>
      </c>
      <c r="F30" s="83">
        <v>99.9</v>
      </c>
      <c r="G30" s="14">
        <f t="shared" si="4"/>
        <v>14985</v>
      </c>
      <c r="H30" s="83"/>
      <c r="I30" s="83"/>
      <c r="J30" s="14">
        <f t="shared" si="5"/>
        <v>0</v>
      </c>
      <c r="K30" s="320">
        <f t="shared" si="6"/>
        <v>14985</v>
      </c>
      <c r="L30" s="320">
        <f t="shared" si="2"/>
        <v>14985</v>
      </c>
      <c r="M30" s="14">
        <v>0</v>
      </c>
      <c r="N30" s="41"/>
    </row>
    <row r="31" spans="1:14">
      <c r="A31" s="23">
        <v>28</v>
      </c>
      <c r="B31" s="24">
        <v>46293</v>
      </c>
      <c r="C31" s="14"/>
      <c r="D31" s="14"/>
      <c r="E31" s="83"/>
      <c r="F31" s="83"/>
      <c r="G31" s="14">
        <f t="shared" si="4"/>
        <v>0</v>
      </c>
      <c r="H31" s="83"/>
      <c r="I31" s="83"/>
      <c r="J31" s="14">
        <f t="shared" si="5"/>
        <v>0</v>
      </c>
      <c r="K31" s="320">
        <f t="shared" si="6"/>
        <v>0</v>
      </c>
      <c r="L31" s="320">
        <f t="shared" si="2"/>
        <v>0</v>
      </c>
      <c r="M31" s="14">
        <v>0</v>
      </c>
      <c r="N31" s="41"/>
    </row>
    <row r="32" spans="1:14">
      <c r="A32" s="23">
        <v>29</v>
      </c>
      <c r="B32" s="24">
        <v>46294</v>
      </c>
      <c r="C32" s="14"/>
      <c r="D32" s="14"/>
      <c r="E32" s="83">
        <v>140</v>
      </c>
      <c r="F32" s="83">
        <v>99.9</v>
      </c>
      <c r="G32" s="14">
        <f t="shared" si="4"/>
        <v>13986</v>
      </c>
      <c r="H32" s="83"/>
      <c r="I32" s="83"/>
      <c r="J32" s="14">
        <f t="shared" si="5"/>
        <v>0</v>
      </c>
      <c r="K32" s="320">
        <f t="shared" si="6"/>
        <v>13986</v>
      </c>
      <c r="L32" s="320">
        <f t="shared" si="2"/>
        <v>13986</v>
      </c>
      <c r="M32" s="14"/>
      <c r="N32" s="41"/>
    </row>
    <row r="33" spans="1:14">
      <c r="A33" s="23">
        <v>30</v>
      </c>
      <c r="B33" s="24">
        <v>46295</v>
      </c>
      <c r="C33" s="14"/>
      <c r="D33" s="14"/>
      <c r="E33" s="83"/>
      <c r="F33" s="83"/>
      <c r="G33" s="14">
        <f t="shared" si="4"/>
        <v>0</v>
      </c>
      <c r="H33" s="83"/>
      <c r="I33" s="83"/>
      <c r="J33" s="14">
        <f t="shared" si="5"/>
        <v>0</v>
      </c>
      <c r="K33" s="320">
        <f t="shared" si="6"/>
        <v>0</v>
      </c>
      <c r="L33" s="320">
        <f t="shared" si="2"/>
        <v>0</v>
      </c>
      <c r="M33" s="14"/>
      <c r="N33" s="41"/>
    </row>
    <row r="34" spans="1:14">
      <c r="A34" s="23">
        <v>31</v>
      </c>
      <c r="B34" s="24"/>
      <c r="C34" s="14"/>
      <c r="D34" s="14"/>
      <c r="E34" s="83"/>
      <c r="F34" s="83"/>
      <c r="G34" s="14">
        <f t="shared" si="4"/>
        <v>0</v>
      </c>
      <c r="H34" s="83"/>
      <c r="I34" s="83"/>
      <c r="J34" s="14">
        <f t="shared" si="5"/>
        <v>0</v>
      </c>
      <c r="K34" s="320">
        <f t="shared" si="6"/>
        <v>0</v>
      </c>
      <c r="L34" s="320">
        <f t="shared" si="2"/>
        <v>0</v>
      </c>
      <c r="M34" s="14"/>
      <c r="N34" s="41"/>
    </row>
    <row r="35" spans="1:14">
      <c r="A35" s="39"/>
      <c r="B35" s="39"/>
      <c r="C35" s="39"/>
      <c r="D35" s="39"/>
      <c r="E35" s="39">
        <f>SUM(E4:E34)</f>
        <v>1290</v>
      </c>
      <c r="F35" s="39"/>
      <c r="G35" s="39">
        <f>SUM(G4:G34)</f>
        <v>128858.1</v>
      </c>
      <c r="H35" s="39">
        <f>SUM(H4:H34)</f>
        <v>70</v>
      </c>
      <c r="I35" s="39"/>
      <c r="J35" s="39">
        <f>SUM(J4:J34)</f>
        <v>7844.2</v>
      </c>
      <c r="K35" s="39">
        <f>SUM(K4:K34)</f>
        <v>136702.30000000002</v>
      </c>
      <c r="L35" s="39">
        <f>SUM(L4:L34)</f>
        <v>136702.30000000002</v>
      </c>
      <c r="M35" s="39"/>
      <c r="N35" s="39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R37"/>
  <sheetViews>
    <sheetView workbookViewId="0">
      <pane ySplit="3" topLeftCell="A15" activePane="bottomLeft" state="frozen"/>
      <selection pane="bottomLeft" activeCell="F4" sqref="F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9.28515625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18" ht="15.75" customHeight="1">
      <c r="A1" s="609" t="s">
        <v>118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</row>
    <row r="2" spans="1:18">
      <c r="A2" s="120" t="s">
        <v>0</v>
      </c>
      <c r="B2" s="120" t="s">
        <v>168</v>
      </c>
      <c r="C2" s="120" t="s">
        <v>169</v>
      </c>
      <c r="D2" s="120" t="s">
        <v>170</v>
      </c>
      <c r="E2" s="168" t="s">
        <v>171</v>
      </c>
      <c r="F2" s="168" t="s">
        <v>172</v>
      </c>
      <c r="G2" s="168" t="s">
        <v>173</v>
      </c>
      <c r="H2" s="168" t="s">
        <v>174</v>
      </c>
      <c r="I2" s="168" t="s">
        <v>172</v>
      </c>
      <c r="J2" s="168" t="s">
        <v>173</v>
      </c>
      <c r="K2" s="168" t="s">
        <v>175</v>
      </c>
      <c r="L2" s="120" t="s">
        <v>214</v>
      </c>
      <c r="M2" s="123" t="s">
        <v>176</v>
      </c>
      <c r="N2" s="120" t="s">
        <v>178</v>
      </c>
    </row>
    <row r="3" spans="1:18">
      <c r="A3" s="14"/>
      <c r="B3" s="14"/>
      <c r="C3" s="14"/>
      <c r="D3" s="14" t="s">
        <v>179</v>
      </c>
      <c r="E3" s="14"/>
      <c r="F3" s="14"/>
      <c r="G3" s="14"/>
      <c r="H3" s="14"/>
      <c r="I3" s="14"/>
      <c r="J3" s="14"/>
      <c r="K3" s="172"/>
      <c r="L3" s="14">
        <v>41788.870699999992</v>
      </c>
      <c r="M3" s="172">
        <v>41788.870699999992</v>
      </c>
      <c r="N3" s="14"/>
    </row>
    <row r="4" spans="1:18">
      <c r="A4" s="23">
        <v>1</v>
      </c>
      <c r="B4" s="24">
        <v>46266</v>
      </c>
      <c r="C4" s="133"/>
      <c r="D4" s="133"/>
      <c r="E4" s="90">
        <v>50</v>
      </c>
      <c r="F4" s="90">
        <v>98.69</v>
      </c>
      <c r="G4" s="172">
        <f>E4*F4</f>
        <v>4934.5</v>
      </c>
      <c r="H4" s="90"/>
      <c r="I4" s="90"/>
      <c r="J4" s="172">
        <f>H4*I4</f>
        <v>0</v>
      </c>
      <c r="K4" s="172">
        <f>G4+J4</f>
        <v>4934.5</v>
      </c>
      <c r="L4" s="172"/>
      <c r="M4" s="172">
        <f>M3+K4-L4</f>
        <v>46723.370699999992</v>
      </c>
      <c r="N4" s="133"/>
    </row>
    <row r="5" spans="1:18">
      <c r="A5" s="23">
        <v>2</v>
      </c>
      <c r="B5" s="24">
        <v>46267</v>
      </c>
      <c r="C5" s="14"/>
      <c r="D5" s="133"/>
      <c r="E5" s="90">
        <v>33.9</v>
      </c>
      <c r="F5" s="90">
        <v>98.69</v>
      </c>
      <c r="G5" s="172">
        <f t="shared" ref="G5:G28" si="0">E5*F5</f>
        <v>3345.5909999999999</v>
      </c>
      <c r="H5" s="90"/>
      <c r="I5" s="90"/>
      <c r="J5" s="172">
        <f>H5*I5</f>
        <v>0</v>
      </c>
      <c r="K5" s="172">
        <f t="shared" ref="K5:K34" si="1">G5+J5</f>
        <v>3345.5909999999999</v>
      </c>
      <c r="L5" s="172"/>
      <c r="M5" s="172">
        <f t="shared" ref="M5:M34" si="2">M4+K5-L5</f>
        <v>50068.961699999993</v>
      </c>
      <c r="N5" s="14"/>
    </row>
    <row r="6" spans="1:18">
      <c r="A6" s="23">
        <v>3</v>
      </c>
      <c r="B6" s="24">
        <v>46268</v>
      </c>
      <c r="C6" s="14"/>
      <c r="D6" s="133"/>
      <c r="E6" s="90">
        <v>89.54</v>
      </c>
      <c r="F6" s="90">
        <v>98.69</v>
      </c>
      <c r="G6" s="172">
        <f>E6*F6</f>
        <v>8836.7026000000005</v>
      </c>
      <c r="H6" s="90">
        <v>5</v>
      </c>
      <c r="I6" s="90">
        <v>110.74</v>
      </c>
      <c r="J6" s="172">
        <f t="shared" ref="J6:J8" si="3">H6*I6</f>
        <v>553.69999999999993</v>
      </c>
      <c r="K6" s="172">
        <f>G6+J6</f>
        <v>9390.4026000000013</v>
      </c>
      <c r="L6" s="172"/>
      <c r="M6" s="172">
        <f t="shared" si="2"/>
        <v>59459.364299999994</v>
      </c>
      <c r="N6" s="14"/>
    </row>
    <row r="7" spans="1:18">
      <c r="A7" s="23">
        <v>4</v>
      </c>
      <c r="B7" s="24">
        <v>46269</v>
      </c>
      <c r="C7" s="14"/>
      <c r="D7" s="133"/>
      <c r="E7" s="90"/>
      <c r="F7" s="90">
        <v>98.69</v>
      </c>
      <c r="G7" s="172">
        <f t="shared" si="0"/>
        <v>0</v>
      </c>
      <c r="H7" s="90"/>
      <c r="I7" s="90"/>
      <c r="J7" s="172">
        <f t="shared" si="3"/>
        <v>0</v>
      </c>
      <c r="K7" s="172">
        <f t="shared" si="1"/>
        <v>0</v>
      </c>
      <c r="L7" s="172"/>
      <c r="M7" s="172">
        <f t="shared" si="2"/>
        <v>59459.364299999994</v>
      </c>
      <c r="N7" s="14"/>
    </row>
    <row r="8" spans="1:18">
      <c r="A8" s="23">
        <v>5</v>
      </c>
      <c r="B8" s="24">
        <v>46270</v>
      </c>
      <c r="C8" s="14"/>
      <c r="D8" s="133"/>
      <c r="E8" s="90">
        <v>27.45</v>
      </c>
      <c r="F8" s="90">
        <v>98.69</v>
      </c>
      <c r="G8" s="172">
        <f t="shared" si="0"/>
        <v>2709.0405000000001</v>
      </c>
      <c r="H8" s="90">
        <v>10</v>
      </c>
      <c r="I8" s="90">
        <v>110.74</v>
      </c>
      <c r="J8" s="172">
        <f t="shared" si="3"/>
        <v>1107.3999999999999</v>
      </c>
      <c r="K8" s="172">
        <f t="shared" si="1"/>
        <v>3816.4404999999997</v>
      </c>
      <c r="L8" s="172"/>
      <c r="M8" s="172">
        <f t="shared" si="2"/>
        <v>63275.804799999991</v>
      </c>
      <c r="N8" s="14"/>
      <c r="R8">
        <f>30*12</f>
        <v>360</v>
      </c>
    </row>
    <row r="9" spans="1:18">
      <c r="A9" s="23">
        <v>6</v>
      </c>
      <c r="B9" s="24">
        <v>46271</v>
      </c>
      <c r="C9" s="14"/>
      <c r="D9" s="133"/>
      <c r="E9" s="90"/>
      <c r="F9" s="90">
        <v>98.69</v>
      </c>
      <c r="G9" s="172">
        <f t="shared" si="0"/>
        <v>0</v>
      </c>
      <c r="H9" s="90"/>
      <c r="I9" s="90"/>
      <c r="J9" s="172">
        <f>H9*I9</f>
        <v>0</v>
      </c>
      <c r="K9" s="172">
        <f t="shared" si="1"/>
        <v>0</v>
      </c>
      <c r="L9" s="172"/>
      <c r="M9" s="172">
        <f t="shared" si="2"/>
        <v>63275.804799999991</v>
      </c>
      <c r="N9" s="14"/>
    </row>
    <row r="10" spans="1:18">
      <c r="A10" s="23">
        <v>7</v>
      </c>
      <c r="B10" s="24">
        <v>46272</v>
      </c>
      <c r="C10" s="14"/>
      <c r="D10" s="133"/>
      <c r="E10" s="90">
        <v>30</v>
      </c>
      <c r="F10" s="90">
        <v>98.69</v>
      </c>
      <c r="G10" s="172">
        <f t="shared" si="0"/>
        <v>2960.7</v>
      </c>
      <c r="H10" s="90"/>
      <c r="I10" s="90"/>
      <c r="J10" s="172">
        <f t="shared" ref="J10:J16" si="4">H10*I10</f>
        <v>0</v>
      </c>
      <c r="K10" s="172">
        <f t="shared" si="1"/>
        <v>2960.7</v>
      </c>
      <c r="L10" s="172"/>
      <c r="M10" s="172">
        <f t="shared" si="2"/>
        <v>66236.504799999995</v>
      </c>
      <c r="N10" s="14"/>
    </row>
    <row r="11" spans="1:18">
      <c r="A11" s="23">
        <v>8</v>
      </c>
      <c r="B11" s="24">
        <v>46273</v>
      </c>
      <c r="C11" s="14"/>
      <c r="D11" s="133"/>
      <c r="E11" s="90"/>
      <c r="F11" s="90">
        <v>98.69</v>
      </c>
      <c r="G11" s="172">
        <f t="shared" si="0"/>
        <v>0</v>
      </c>
      <c r="H11" s="90">
        <v>15</v>
      </c>
      <c r="I11" s="90">
        <v>110.74</v>
      </c>
      <c r="J11" s="172">
        <f t="shared" si="4"/>
        <v>1661.1</v>
      </c>
      <c r="K11" s="172">
        <f t="shared" si="1"/>
        <v>1661.1</v>
      </c>
      <c r="L11" s="172"/>
      <c r="M11" s="172">
        <f t="shared" si="2"/>
        <v>67897.604800000001</v>
      </c>
      <c r="N11" s="14"/>
    </row>
    <row r="12" spans="1:18">
      <c r="A12" s="23">
        <v>9</v>
      </c>
      <c r="B12" s="24">
        <v>46274</v>
      </c>
      <c r="C12" s="14"/>
      <c r="D12" s="133"/>
      <c r="E12" s="90">
        <v>30</v>
      </c>
      <c r="F12" s="90">
        <v>98.69</v>
      </c>
      <c r="G12" s="172">
        <f t="shared" si="0"/>
        <v>2960.7</v>
      </c>
      <c r="H12" s="90"/>
      <c r="I12" s="90"/>
      <c r="J12" s="172">
        <f t="shared" si="4"/>
        <v>0</v>
      </c>
      <c r="K12" s="172">
        <f t="shared" si="1"/>
        <v>2960.7</v>
      </c>
      <c r="L12" s="172"/>
      <c r="M12" s="172">
        <f t="shared" si="2"/>
        <v>70858.304799999998</v>
      </c>
      <c r="N12" s="14"/>
    </row>
    <row r="13" spans="1:18">
      <c r="A13" s="23">
        <v>10</v>
      </c>
      <c r="B13" s="24">
        <v>46275</v>
      </c>
      <c r="C13" s="14"/>
      <c r="D13" s="133"/>
      <c r="E13" s="90">
        <v>30</v>
      </c>
      <c r="F13" s="90">
        <v>98.69</v>
      </c>
      <c r="G13" s="172">
        <f t="shared" si="0"/>
        <v>2960.7</v>
      </c>
      <c r="H13" s="90"/>
      <c r="I13" s="90"/>
      <c r="J13" s="172">
        <f t="shared" si="4"/>
        <v>0</v>
      </c>
      <c r="K13" s="172">
        <f t="shared" si="1"/>
        <v>2960.7</v>
      </c>
      <c r="L13" s="172"/>
      <c r="M13" s="172">
        <f t="shared" si="2"/>
        <v>73819.004799999995</v>
      </c>
      <c r="N13" s="14"/>
    </row>
    <row r="14" spans="1:18">
      <c r="A14" s="23">
        <v>11</v>
      </c>
      <c r="B14" s="24">
        <v>46276</v>
      </c>
      <c r="C14" s="14"/>
      <c r="D14" s="133"/>
      <c r="E14" s="90"/>
      <c r="F14" s="90">
        <v>98.69</v>
      </c>
      <c r="G14" s="172">
        <f t="shared" ref="G14:G20" si="5">E14*F14</f>
        <v>0</v>
      </c>
      <c r="H14" s="90"/>
      <c r="I14" s="90"/>
      <c r="J14" s="172">
        <f t="shared" ref="J14:J20" si="6">H14*I14</f>
        <v>0</v>
      </c>
      <c r="K14" s="172">
        <f t="shared" si="1"/>
        <v>0</v>
      </c>
      <c r="L14" s="172"/>
      <c r="M14" s="172">
        <f t="shared" si="2"/>
        <v>73819.004799999995</v>
      </c>
      <c r="N14" s="14"/>
    </row>
    <row r="15" spans="1:18">
      <c r="A15" s="23">
        <v>12</v>
      </c>
      <c r="B15" s="24">
        <v>46277</v>
      </c>
      <c r="C15" s="14"/>
      <c r="D15" s="133"/>
      <c r="E15" s="90"/>
      <c r="F15" s="90">
        <v>98.69</v>
      </c>
      <c r="G15" s="172">
        <f t="shared" si="5"/>
        <v>0</v>
      </c>
      <c r="H15" s="90"/>
      <c r="I15" s="90"/>
      <c r="J15" s="172">
        <f t="shared" si="6"/>
        <v>0</v>
      </c>
      <c r="K15" s="172">
        <f t="shared" si="1"/>
        <v>0</v>
      </c>
      <c r="L15" s="172"/>
      <c r="M15" s="172">
        <f t="shared" si="2"/>
        <v>73819.004799999995</v>
      </c>
      <c r="N15" s="14"/>
    </row>
    <row r="16" spans="1:18">
      <c r="A16" s="23">
        <v>13</v>
      </c>
      <c r="B16" s="24">
        <v>46278</v>
      </c>
      <c r="C16" s="14"/>
      <c r="D16" s="133"/>
      <c r="E16" s="90"/>
      <c r="F16" s="90">
        <v>98.69</v>
      </c>
      <c r="G16" s="172">
        <f t="shared" si="5"/>
        <v>0</v>
      </c>
      <c r="H16" s="41">
        <v>5</v>
      </c>
      <c r="I16" s="90">
        <v>110.74</v>
      </c>
      <c r="J16" s="172">
        <f t="shared" si="6"/>
        <v>553.69999999999993</v>
      </c>
      <c r="K16" s="172">
        <f t="shared" si="1"/>
        <v>553.69999999999993</v>
      </c>
      <c r="L16" s="172"/>
      <c r="M16" s="172">
        <f t="shared" si="2"/>
        <v>74372.704799999992</v>
      </c>
      <c r="N16" s="14"/>
    </row>
    <row r="17" spans="1:14">
      <c r="A17" s="23">
        <v>14</v>
      </c>
      <c r="B17" s="24">
        <v>46279</v>
      </c>
      <c r="C17" s="14"/>
      <c r="D17" s="133"/>
      <c r="E17" s="90"/>
      <c r="F17" s="90">
        <v>98.69</v>
      </c>
      <c r="G17" s="172">
        <f t="shared" si="5"/>
        <v>0</v>
      </c>
      <c r="H17" s="90">
        <v>6</v>
      </c>
      <c r="I17" s="90">
        <v>110.74</v>
      </c>
      <c r="J17" s="172">
        <f t="shared" si="6"/>
        <v>664.43999999999994</v>
      </c>
      <c r="K17" s="172">
        <f t="shared" si="1"/>
        <v>664.43999999999994</v>
      </c>
      <c r="L17" s="172"/>
      <c r="M17" s="172">
        <f t="shared" si="2"/>
        <v>75037.144799999995</v>
      </c>
      <c r="N17" s="14"/>
    </row>
    <row r="18" spans="1:14">
      <c r="A18" s="23">
        <v>15</v>
      </c>
      <c r="B18" s="24">
        <v>46280</v>
      </c>
      <c r="C18" s="14"/>
      <c r="D18" s="133"/>
      <c r="E18" s="90">
        <v>50</v>
      </c>
      <c r="F18" s="90">
        <v>98.69</v>
      </c>
      <c r="G18" s="172">
        <f t="shared" si="5"/>
        <v>4934.5</v>
      </c>
      <c r="H18" s="90">
        <v>4</v>
      </c>
      <c r="I18" s="90">
        <v>110.74</v>
      </c>
      <c r="J18" s="172">
        <f t="shared" si="6"/>
        <v>442.96</v>
      </c>
      <c r="K18" s="172">
        <f t="shared" si="1"/>
        <v>5377.46</v>
      </c>
      <c r="L18" s="172"/>
      <c r="M18" s="172">
        <f t="shared" si="2"/>
        <v>80414.604800000001</v>
      </c>
      <c r="N18" s="14"/>
    </row>
    <row r="19" spans="1:14">
      <c r="A19" s="23">
        <v>16</v>
      </c>
      <c r="B19" s="24">
        <v>46281</v>
      </c>
      <c r="C19" s="14"/>
      <c r="D19" s="133"/>
      <c r="E19" s="90">
        <v>30</v>
      </c>
      <c r="F19" s="90">
        <v>98.69</v>
      </c>
      <c r="G19" s="172">
        <f t="shared" si="5"/>
        <v>2960.7</v>
      </c>
      <c r="H19" s="90"/>
      <c r="I19" s="90"/>
      <c r="J19" s="172">
        <f t="shared" si="6"/>
        <v>0</v>
      </c>
      <c r="K19" s="172">
        <f t="shared" si="1"/>
        <v>2960.7</v>
      </c>
      <c r="L19" s="172"/>
      <c r="M19" s="172">
        <f t="shared" si="2"/>
        <v>83375.304799999998</v>
      </c>
      <c r="N19" s="14"/>
    </row>
    <row r="20" spans="1:14">
      <c r="A20" s="23">
        <v>17</v>
      </c>
      <c r="B20" s="24">
        <v>46282</v>
      </c>
      <c r="C20" s="14"/>
      <c r="D20" s="133"/>
      <c r="E20" s="90"/>
      <c r="F20" s="90">
        <v>98.69</v>
      </c>
      <c r="G20" s="172">
        <f t="shared" si="5"/>
        <v>0</v>
      </c>
      <c r="H20" s="90"/>
      <c r="I20" s="90"/>
      <c r="J20" s="172">
        <f t="shared" si="6"/>
        <v>0</v>
      </c>
      <c r="K20" s="172">
        <f t="shared" si="1"/>
        <v>0</v>
      </c>
      <c r="L20" s="172"/>
      <c r="M20" s="172">
        <f t="shared" si="2"/>
        <v>83375.304799999998</v>
      </c>
      <c r="N20" s="14"/>
    </row>
    <row r="21" spans="1:14">
      <c r="A21" s="23">
        <v>18</v>
      </c>
      <c r="B21" s="24">
        <v>46283</v>
      </c>
      <c r="C21" s="14"/>
      <c r="D21" s="133"/>
      <c r="E21" s="90"/>
      <c r="F21" s="90">
        <v>98.69</v>
      </c>
      <c r="G21" s="172">
        <f t="shared" si="0"/>
        <v>0</v>
      </c>
      <c r="H21" s="90"/>
      <c r="I21" s="90"/>
      <c r="J21" s="172">
        <f>H21*I21</f>
        <v>0</v>
      </c>
      <c r="K21" s="172">
        <f t="shared" si="1"/>
        <v>0</v>
      </c>
      <c r="L21" s="172"/>
      <c r="M21" s="172">
        <f t="shared" si="2"/>
        <v>83375.304799999998</v>
      </c>
      <c r="N21" s="14"/>
    </row>
    <row r="22" spans="1:14">
      <c r="A22" s="23">
        <v>19</v>
      </c>
      <c r="B22" s="24">
        <v>46284</v>
      </c>
      <c r="C22" s="14"/>
      <c r="D22" s="133"/>
      <c r="E22" s="90"/>
      <c r="F22" s="90">
        <v>98.69</v>
      </c>
      <c r="G22" s="172">
        <f t="shared" si="0"/>
        <v>0</v>
      </c>
      <c r="H22" s="90">
        <v>10</v>
      </c>
      <c r="I22" s="90">
        <v>110.74</v>
      </c>
      <c r="J22" s="172">
        <f>H22*I22</f>
        <v>1107.3999999999999</v>
      </c>
      <c r="K22" s="172">
        <f t="shared" si="1"/>
        <v>1107.3999999999999</v>
      </c>
      <c r="L22" s="172"/>
      <c r="M22" s="172">
        <f t="shared" si="2"/>
        <v>84482.704799999992</v>
      </c>
      <c r="N22" s="14"/>
    </row>
    <row r="23" spans="1:14">
      <c r="A23" s="23">
        <v>20</v>
      </c>
      <c r="B23" s="24">
        <v>46285</v>
      </c>
      <c r="C23" s="14"/>
      <c r="D23" s="133"/>
      <c r="E23" s="90">
        <v>188.48</v>
      </c>
      <c r="F23" s="90">
        <v>98.69</v>
      </c>
      <c r="G23" s="172">
        <f t="shared" si="0"/>
        <v>18601.091199999999</v>
      </c>
      <c r="H23" s="90"/>
      <c r="I23" s="90"/>
      <c r="J23" s="172">
        <f t="shared" ref="J23:J34" si="7">H23*I23</f>
        <v>0</v>
      </c>
      <c r="K23" s="172">
        <f t="shared" si="1"/>
        <v>18601.091199999999</v>
      </c>
      <c r="L23" s="172"/>
      <c r="M23" s="172">
        <f>M22+K23-L23</f>
        <v>103083.79599999999</v>
      </c>
      <c r="N23" s="14"/>
    </row>
    <row r="24" spans="1:14">
      <c r="A24" s="23">
        <v>21</v>
      </c>
      <c r="B24" s="24">
        <v>46286</v>
      </c>
      <c r="C24" s="14"/>
      <c r="D24" s="133"/>
      <c r="E24" s="90"/>
      <c r="F24" s="90">
        <v>98.69</v>
      </c>
      <c r="G24" s="172">
        <f t="shared" si="0"/>
        <v>0</v>
      </c>
      <c r="H24" s="90">
        <v>5</v>
      </c>
      <c r="I24" s="90">
        <v>110.74</v>
      </c>
      <c r="J24" s="172">
        <f t="shared" si="7"/>
        <v>553.69999999999993</v>
      </c>
      <c r="K24" s="172">
        <f t="shared" si="1"/>
        <v>553.69999999999993</v>
      </c>
      <c r="L24" s="172"/>
      <c r="M24" s="172">
        <f t="shared" si="2"/>
        <v>103637.49599999998</v>
      </c>
      <c r="N24" s="14"/>
    </row>
    <row r="25" spans="1:14">
      <c r="A25" s="23">
        <v>22</v>
      </c>
      <c r="B25" s="24">
        <v>46287</v>
      </c>
      <c r="C25" s="14"/>
      <c r="D25" s="133"/>
      <c r="E25" s="90">
        <v>30</v>
      </c>
      <c r="F25" s="90">
        <v>98.69</v>
      </c>
      <c r="G25" s="172">
        <f t="shared" si="0"/>
        <v>2960.7</v>
      </c>
      <c r="H25" s="90">
        <v>5</v>
      </c>
      <c r="I25" s="90">
        <v>110.74</v>
      </c>
      <c r="J25" s="172">
        <f t="shared" si="7"/>
        <v>553.69999999999993</v>
      </c>
      <c r="K25" s="172">
        <f t="shared" si="1"/>
        <v>3514.3999999999996</v>
      </c>
      <c r="L25" s="172"/>
      <c r="M25" s="172">
        <f t="shared" si="2"/>
        <v>107151.89599999998</v>
      </c>
      <c r="N25" s="14"/>
    </row>
    <row r="26" spans="1:14">
      <c r="A26" s="23">
        <v>23</v>
      </c>
      <c r="B26" s="24">
        <v>46288</v>
      </c>
      <c r="C26" s="14"/>
      <c r="D26" s="133"/>
      <c r="E26" s="90"/>
      <c r="F26" s="90">
        <v>98.69</v>
      </c>
      <c r="G26" s="172">
        <f t="shared" si="0"/>
        <v>0</v>
      </c>
      <c r="H26" s="90">
        <v>5</v>
      </c>
      <c r="I26" s="90">
        <v>110.74</v>
      </c>
      <c r="J26" s="172">
        <f t="shared" si="7"/>
        <v>553.69999999999993</v>
      </c>
      <c r="K26" s="172">
        <f t="shared" si="1"/>
        <v>553.69999999999993</v>
      </c>
      <c r="L26" s="172"/>
      <c r="M26" s="172">
        <f t="shared" si="2"/>
        <v>107705.59599999998</v>
      </c>
      <c r="N26" s="14"/>
    </row>
    <row r="27" spans="1:14">
      <c r="A27" s="23">
        <v>24</v>
      </c>
      <c r="B27" s="24">
        <v>46289</v>
      </c>
      <c r="C27" s="14"/>
      <c r="D27" s="133"/>
      <c r="E27" s="90"/>
      <c r="F27" s="90">
        <v>98.69</v>
      </c>
      <c r="G27" s="172">
        <f t="shared" si="0"/>
        <v>0</v>
      </c>
      <c r="H27" s="90">
        <v>5</v>
      </c>
      <c r="I27" s="90">
        <v>110.74</v>
      </c>
      <c r="J27" s="172">
        <f t="shared" si="7"/>
        <v>553.69999999999993</v>
      </c>
      <c r="K27" s="172">
        <f t="shared" si="1"/>
        <v>553.69999999999993</v>
      </c>
      <c r="L27" s="172"/>
      <c r="M27" s="172">
        <f t="shared" si="2"/>
        <v>108259.29599999997</v>
      </c>
      <c r="N27" s="14"/>
    </row>
    <row r="28" spans="1:14">
      <c r="A28" s="23">
        <v>25</v>
      </c>
      <c r="B28" s="24">
        <v>46290</v>
      </c>
      <c r="C28" s="14"/>
      <c r="D28" s="133"/>
      <c r="E28" s="90"/>
      <c r="F28" s="90">
        <v>98.69</v>
      </c>
      <c r="G28" s="172">
        <f t="shared" si="0"/>
        <v>0</v>
      </c>
      <c r="H28" s="90"/>
      <c r="I28" s="90"/>
      <c r="J28" s="172">
        <f t="shared" si="7"/>
        <v>0</v>
      </c>
      <c r="K28" s="172">
        <f t="shared" si="1"/>
        <v>0</v>
      </c>
      <c r="L28" s="172"/>
      <c r="M28" s="172">
        <f t="shared" si="2"/>
        <v>108259.29599999997</v>
      </c>
      <c r="N28" s="14"/>
    </row>
    <row r="29" spans="1:14">
      <c r="A29" s="23">
        <v>26</v>
      </c>
      <c r="B29" s="24">
        <v>46291</v>
      </c>
      <c r="C29" s="14"/>
      <c r="D29" s="133"/>
      <c r="E29" s="90">
        <v>45</v>
      </c>
      <c r="F29" s="90">
        <v>98.69</v>
      </c>
      <c r="G29" s="172">
        <f t="shared" ref="G5:G34" si="8">F29*E29</f>
        <v>4441.05</v>
      </c>
      <c r="H29" s="90"/>
      <c r="I29" s="90">
        <v>110.74</v>
      </c>
      <c r="J29" s="172">
        <f t="shared" si="7"/>
        <v>0</v>
      </c>
      <c r="K29" s="172">
        <f t="shared" si="1"/>
        <v>4441.05</v>
      </c>
      <c r="L29" s="172"/>
      <c r="M29" s="172">
        <f t="shared" si="2"/>
        <v>112700.34599999998</v>
      </c>
      <c r="N29" s="14"/>
    </row>
    <row r="30" spans="1:14">
      <c r="A30" s="23">
        <v>27</v>
      </c>
      <c r="B30" s="24">
        <v>46292</v>
      </c>
      <c r="C30" s="14"/>
      <c r="D30" s="133"/>
      <c r="E30" s="90"/>
      <c r="F30" s="90">
        <v>98.69</v>
      </c>
      <c r="G30" s="63">
        <f t="shared" ref="G30:G31" si="9">E30*F30</f>
        <v>0</v>
      </c>
      <c r="H30" s="90">
        <v>5</v>
      </c>
      <c r="I30" s="90">
        <v>110.74</v>
      </c>
      <c r="J30" s="172">
        <f t="shared" si="7"/>
        <v>553.69999999999993</v>
      </c>
      <c r="K30" s="172">
        <f t="shared" si="1"/>
        <v>553.69999999999993</v>
      </c>
      <c r="L30" s="172"/>
      <c r="M30" s="172">
        <f t="shared" si="2"/>
        <v>113254.04599999997</v>
      </c>
      <c r="N30" s="14"/>
    </row>
    <row r="31" spans="1:14">
      <c r="A31" s="23">
        <v>28</v>
      </c>
      <c r="B31" s="24">
        <v>46293</v>
      </c>
      <c r="C31" s="14"/>
      <c r="D31" s="133"/>
      <c r="E31" s="90">
        <v>30</v>
      </c>
      <c r="F31" s="90">
        <v>98.69</v>
      </c>
      <c r="G31" s="63">
        <f t="shared" si="9"/>
        <v>2960.7</v>
      </c>
      <c r="H31" s="90">
        <v>5</v>
      </c>
      <c r="I31" s="90">
        <v>110.74</v>
      </c>
      <c r="J31" s="172">
        <f t="shared" si="7"/>
        <v>553.69999999999993</v>
      </c>
      <c r="K31" s="172">
        <f t="shared" si="1"/>
        <v>3514.3999999999996</v>
      </c>
      <c r="L31" s="172"/>
      <c r="M31" s="172">
        <f>M30+K31-L31</f>
        <v>116768.44599999997</v>
      </c>
      <c r="N31" s="14"/>
    </row>
    <row r="32" spans="1:14">
      <c r="A32" s="23">
        <v>29</v>
      </c>
      <c r="B32" s="24">
        <v>46294</v>
      </c>
      <c r="C32" s="14"/>
      <c r="D32" s="133"/>
      <c r="E32" s="90">
        <v>40.700000000000003</v>
      </c>
      <c r="F32" s="90">
        <v>98.69</v>
      </c>
      <c r="G32" s="172">
        <f t="shared" si="8"/>
        <v>4016.683</v>
      </c>
      <c r="H32" s="90"/>
      <c r="I32" s="90"/>
      <c r="J32" s="172">
        <f t="shared" si="7"/>
        <v>0</v>
      </c>
      <c r="K32" s="172">
        <f t="shared" si="1"/>
        <v>4016.683</v>
      </c>
      <c r="L32" s="172"/>
      <c r="M32" s="172">
        <f t="shared" si="2"/>
        <v>120785.12899999997</v>
      </c>
      <c r="N32" s="14"/>
    </row>
    <row r="33" spans="1:14">
      <c r="A33" s="23">
        <v>30</v>
      </c>
      <c r="B33" s="24">
        <v>46295</v>
      </c>
      <c r="C33" s="14"/>
      <c r="D33" s="133"/>
      <c r="E33" s="90"/>
      <c r="F33" s="90"/>
      <c r="G33" s="172">
        <f t="shared" si="8"/>
        <v>0</v>
      </c>
      <c r="H33" s="90"/>
      <c r="I33" s="90"/>
      <c r="J33" s="172">
        <f t="shared" si="7"/>
        <v>0</v>
      </c>
      <c r="K33" s="172">
        <f t="shared" si="1"/>
        <v>0</v>
      </c>
      <c r="L33" s="172"/>
      <c r="M33" s="172">
        <f t="shared" si="2"/>
        <v>120785.12899999997</v>
      </c>
      <c r="N33" s="14"/>
    </row>
    <row r="34" spans="1:14">
      <c r="A34" s="23">
        <v>31</v>
      </c>
      <c r="B34" s="24"/>
      <c r="C34" s="14"/>
      <c r="D34" s="14"/>
      <c r="E34" s="90"/>
      <c r="F34" s="90"/>
      <c r="G34" s="172">
        <f t="shared" si="8"/>
        <v>0</v>
      </c>
      <c r="H34" s="90"/>
      <c r="I34" s="90"/>
      <c r="J34" s="172">
        <f t="shared" si="7"/>
        <v>0</v>
      </c>
      <c r="K34" s="172">
        <f t="shared" si="1"/>
        <v>0</v>
      </c>
      <c r="L34" s="133"/>
      <c r="M34" s="172">
        <f t="shared" si="2"/>
        <v>120785.12899999997</v>
      </c>
      <c r="N34" s="14"/>
    </row>
    <row r="35" spans="1:14">
      <c r="A35" s="39"/>
      <c r="B35" s="39"/>
      <c r="C35" s="39"/>
      <c r="D35" s="39"/>
      <c r="E35" s="39">
        <f>SUM(E4:E34)</f>
        <v>705.07</v>
      </c>
      <c r="F35" s="39"/>
      <c r="G35" s="39">
        <f>SUM(G4:G34)</f>
        <v>69583.358299999993</v>
      </c>
      <c r="H35" s="39">
        <f>SUM(H4:H34)</f>
        <v>85</v>
      </c>
      <c r="I35" s="39"/>
      <c r="J35" s="39">
        <f>SUM(J4:J34)</f>
        <v>9412.9</v>
      </c>
      <c r="K35" s="39">
        <f>SUM(K4:K34)</f>
        <v>78996.258300000001</v>
      </c>
      <c r="L35" s="39">
        <f>SUM(L4:L34)</f>
        <v>0</v>
      </c>
      <c r="M35" s="39">
        <f>SUM(M4:M34)</f>
        <v>2676320.7740000007</v>
      </c>
      <c r="N35" s="39"/>
    </row>
    <row r="37" spans="1:14">
      <c r="K37" s="19"/>
    </row>
  </sheetData>
  <mergeCells count="1">
    <mergeCell ref="A1:N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P40"/>
  <sheetViews>
    <sheetView workbookViewId="0">
      <pane ySplit="3" topLeftCell="A25" activePane="bottomLeft" state="frozen"/>
      <selection pane="bottomLeft" activeCell="J43" sqref="J43"/>
    </sheetView>
  </sheetViews>
  <sheetFormatPr defaultRowHeight="15"/>
  <cols>
    <col min="2" max="2" width="14.42578125" customWidth="1"/>
    <col min="4" max="4" width="13.28515625" customWidth="1"/>
    <col min="5" max="5" width="10.7109375" bestFit="1" customWidth="1"/>
    <col min="7" max="7" width="10.42578125" bestFit="1" customWidth="1"/>
    <col min="11" max="12" width="13.5703125" bestFit="1" customWidth="1"/>
    <col min="13" max="13" width="11.28515625" bestFit="1" customWidth="1"/>
  </cols>
  <sheetData>
    <row r="1" spans="1:16" ht="15.75">
      <c r="A1" s="609" t="s">
        <v>215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89"/>
      <c r="P1" s="89"/>
    </row>
    <row r="2" spans="1:16">
      <c r="A2" s="61" t="s">
        <v>0</v>
      </c>
      <c r="B2" s="61" t="s">
        <v>168</v>
      </c>
      <c r="C2" s="61" t="s">
        <v>169</v>
      </c>
      <c r="D2" s="61" t="s">
        <v>170</v>
      </c>
      <c r="E2" s="88" t="s">
        <v>171</v>
      </c>
      <c r="F2" s="88" t="s">
        <v>172</v>
      </c>
      <c r="G2" s="88" t="s">
        <v>173</v>
      </c>
      <c r="H2" s="88" t="s">
        <v>174</v>
      </c>
      <c r="I2" s="88" t="s">
        <v>172</v>
      </c>
      <c r="J2" s="88" t="s">
        <v>173</v>
      </c>
      <c r="K2" s="88" t="s">
        <v>175</v>
      </c>
      <c r="L2" s="82" t="s">
        <v>176</v>
      </c>
      <c r="M2" s="82" t="s">
        <v>177</v>
      </c>
      <c r="N2" s="61" t="s">
        <v>178</v>
      </c>
    </row>
    <row r="3" spans="1:16">
      <c r="A3" s="14"/>
      <c r="B3" s="14"/>
      <c r="C3" s="14"/>
      <c r="D3" s="14" t="s">
        <v>179</v>
      </c>
      <c r="E3" s="14"/>
      <c r="F3" s="14"/>
      <c r="G3" s="14"/>
      <c r="H3" s="14"/>
      <c r="I3" s="14"/>
      <c r="J3" s="14"/>
      <c r="K3" s="37"/>
      <c r="L3" s="14"/>
      <c r="M3" s="37">
        <v>346801.5</v>
      </c>
      <c r="N3" s="14"/>
    </row>
    <row r="4" spans="1:16">
      <c r="A4" s="23">
        <v>1</v>
      </c>
      <c r="B4" s="24">
        <v>46266</v>
      </c>
      <c r="C4" s="14"/>
      <c r="D4" s="14"/>
      <c r="E4" s="355"/>
      <c r="F4" s="90"/>
      <c r="G4" s="37">
        <f t="shared" ref="G4" si="0">E4*F4</f>
        <v>0</v>
      </c>
      <c r="H4" s="41"/>
      <c r="I4" s="41"/>
      <c r="J4" s="37">
        <f t="shared" ref="J4" si="1">H4*I4</f>
        <v>0</v>
      </c>
      <c r="K4" s="37">
        <f>G4+J4</f>
        <v>0</v>
      </c>
      <c r="L4" s="37">
        <v>300000</v>
      </c>
      <c r="M4" s="37">
        <f>M3+K4-L4</f>
        <v>46801.5</v>
      </c>
      <c r="N4" s="14"/>
    </row>
    <row r="5" spans="1:16">
      <c r="A5" s="23">
        <v>2</v>
      </c>
      <c r="B5" s="24">
        <v>46267</v>
      </c>
      <c r="C5" s="14"/>
      <c r="D5" s="14"/>
      <c r="E5" s="355">
        <v>800</v>
      </c>
      <c r="F5" s="90">
        <v>99.35</v>
      </c>
      <c r="G5" s="37">
        <f t="shared" ref="G5:G38" si="2">E5*F5</f>
        <v>79480</v>
      </c>
      <c r="H5" s="41"/>
      <c r="I5" s="41"/>
      <c r="J5" s="37">
        <f t="shared" ref="J5:J38" si="3">H5*I5</f>
        <v>0</v>
      </c>
      <c r="K5" s="37">
        <f t="shared" ref="K5:L39" si="4">G5+J5</f>
        <v>79480</v>
      </c>
      <c r="L5" s="37"/>
      <c r="M5" s="37">
        <f t="shared" ref="M5:M10" si="5">M4+K5-L5</f>
        <v>126281.5</v>
      </c>
      <c r="N5" s="14"/>
    </row>
    <row r="6" spans="1:16">
      <c r="A6" s="23">
        <v>3</v>
      </c>
      <c r="B6" s="24">
        <v>46268</v>
      </c>
      <c r="C6" s="14"/>
      <c r="D6" s="14"/>
      <c r="E6" s="355"/>
      <c r="F6" s="90"/>
      <c r="G6" s="37">
        <f t="shared" si="2"/>
        <v>0</v>
      </c>
      <c r="H6" s="41"/>
      <c r="I6" s="41"/>
      <c r="J6" s="37">
        <f t="shared" si="3"/>
        <v>0</v>
      </c>
      <c r="K6" s="37">
        <f t="shared" si="4"/>
        <v>0</v>
      </c>
      <c r="L6" s="37"/>
      <c r="M6" s="37">
        <f t="shared" si="5"/>
        <v>126281.5</v>
      </c>
      <c r="N6" s="14"/>
    </row>
    <row r="7" spans="1:16">
      <c r="A7" s="23">
        <v>4</v>
      </c>
      <c r="B7" s="24">
        <v>46269</v>
      </c>
      <c r="C7" s="14"/>
      <c r="D7" s="14"/>
      <c r="E7" s="355"/>
      <c r="F7" s="90"/>
      <c r="G7" s="37">
        <f t="shared" si="2"/>
        <v>0</v>
      </c>
      <c r="H7" s="41"/>
      <c r="I7" s="41"/>
      <c r="J7" s="37">
        <f t="shared" si="3"/>
        <v>0</v>
      </c>
      <c r="K7" s="37">
        <f t="shared" si="4"/>
        <v>0</v>
      </c>
      <c r="L7" s="37"/>
      <c r="M7" s="37">
        <f t="shared" si="5"/>
        <v>126281.5</v>
      </c>
      <c r="N7" s="14"/>
    </row>
    <row r="8" spans="1:16">
      <c r="A8" s="23">
        <v>5</v>
      </c>
      <c r="B8" s="24">
        <v>46270</v>
      </c>
      <c r="C8" s="14"/>
      <c r="D8" s="14"/>
      <c r="E8" s="355"/>
      <c r="F8" s="90"/>
      <c r="G8" s="37">
        <f t="shared" si="2"/>
        <v>0</v>
      </c>
      <c r="H8" s="41"/>
      <c r="I8" s="41"/>
      <c r="J8" s="37">
        <f t="shared" si="3"/>
        <v>0</v>
      </c>
      <c r="K8" s="37">
        <f t="shared" si="4"/>
        <v>0</v>
      </c>
      <c r="L8" s="37"/>
      <c r="M8" s="37">
        <f t="shared" si="5"/>
        <v>126281.5</v>
      </c>
      <c r="N8" s="14"/>
    </row>
    <row r="9" spans="1:16">
      <c r="A9" s="23">
        <v>6</v>
      </c>
      <c r="B9" s="24">
        <v>46271</v>
      </c>
      <c r="C9" s="14"/>
      <c r="D9" s="14"/>
      <c r="E9" s="355"/>
      <c r="F9" s="90"/>
      <c r="G9" s="37">
        <f t="shared" si="2"/>
        <v>0</v>
      </c>
      <c r="H9" s="41"/>
      <c r="I9" s="41"/>
      <c r="J9" s="37">
        <f t="shared" si="3"/>
        <v>0</v>
      </c>
      <c r="K9" s="37">
        <f t="shared" si="4"/>
        <v>0</v>
      </c>
      <c r="L9" s="37"/>
      <c r="M9" s="37">
        <f t="shared" si="5"/>
        <v>126281.5</v>
      </c>
      <c r="N9" s="14"/>
    </row>
    <row r="10" spans="1:16">
      <c r="A10" s="23">
        <v>7</v>
      </c>
      <c r="B10" s="24">
        <v>46272</v>
      </c>
      <c r="C10" s="14"/>
      <c r="D10" s="14"/>
      <c r="E10" s="355"/>
      <c r="F10" s="90"/>
      <c r="G10" s="37">
        <f t="shared" si="2"/>
        <v>0</v>
      </c>
      <c r="H10" s="41"/>
      <c r="I10" s="41"/>
      <c r="J10" s="37">
        <f t="shared" si="3"/>
        <v>0</v>
      </c>
      <c r="K10" s="37">
        <f t="shared" si="4"/>
        <v>0</v>
      </c>
      <c r="L10" s="37"/>
      <c r="M10" s="37">
        <f t="shared" si="5"/>
        <v>126281.5</v>
      </c>
      <c r="N10" s="14"/>
    </row>
    <row r="11" spans="1:16">
      <c r="A11" s="23">
        <v>8</v>
      </c>
      <c r="B11" s="24">
        <v>46273</v>
      </c>
      <c r="C11" s="14"/>
      <c r="D11" s="14"/>
      <c r="E11" s="355">
        <v>800</v>
      </c>
      <c r="F11" s="90">
        <v>99.35</v>
      </c>
      <c r="G11" s="37">
        <f t="shared" si="2"/>
        <v>79480</v>
      </c>
      <c r="H11" s="41"/>
      <c r="I11" s="41"/>
      <c r="J11" s="37">
        <f t="shared" si="3"/>
        <v>0</v>
      </c>
      <c r="K11" s="37">
        <f>G11+J11</f>
        <v>79480</v>
      </c>
      <c r="L11" s="37"/>
      <c r="M11" s="37">
        <f t="shared" ref="M9:M39" si="6">M10+K11-L11</f>
        <v>205761.5</v>
      </c>
      <c r="N11" s="14"/>
    </row>
    <row r="12" spans="1:16">
      <c r="A12" s="23">
        <v>9</v>
      </c>
      <c r="B12" s="24">
        <v>46274</v>
      </c>
      <c r="C12" s="14"/>
      <c r="D12" s="14"/>
      <c r="E12" s="355"/>
      <c r="F12" s="90"/>
      <c r="G12" s="37">
        <f t="shared" si="2"/>
        <v>0</v>
      </c>
      <c r="H12" s="41"/>
      <c r="I12" s="41"/>
      <c r="J12" s="37">
        <f t="shared" si="3"/>
        <v>0</v>
      </c>
      <c r="K12" s="37">
        <f t="shared" si="4"/>
        <v>0</v>
      </c>
      <c r="L12" s="37"/>
      <c r="M12" s="37">
        <f t="shared" si="6"/>
        <v>205761.5</v>
      </c>
      <c r="N12" s="14"/>
    </row>
    <row r="13" spans="1:16">
      <c r="A13" s="23">
        <v>10</v>
      </c>
      <c r="B13" s="24">
        <v>46275</v>
      </c>
      <c r="C13" s="14"/>
      <c r="D13" s="14"/>
      <c r="E13" s="355"/>
      <c r="F13" s="90"/>
      <c r="G13" s="37">
        <f t="shared" si="2"/>
        <v>0</v>
      </c>
      <c r="H13" s="41"/>
      <c r="I13" s="41"/>
      <c r="J13" s="37">
        <f t="shared" si="3"/>
        <v>0</v>
      </c>
      <c r="K13" s="37">
        <f t="shared" si="4"/>
        <v>0</v>
      </c>
      <c r="L13" s="37"/>
      <c r="M13" s="37">
        <f t="shared" si="6"/>
        <v>205761.5</v>
      </c>
      <c r="N13" s="14"/>
    </row>
    <row r="14" spans="1:16">
      <c r="A14" s="23">
        <v>11</v>
      </c>
      <c r="B14" s="24">
        <v>46276</v>
      </c>
      <c r="C14" s="14"/>
      <c r="D14" s="14"/>
      <c r="E14" s="355"/>
      <c r="F14" s="90"/>
      <c r="G14" s="37">
        <f t="shared" si="2"/>
        <v>0</v>
      </c>
      <c r="H14" s="41"/>
      <c r="I14" s="41"/>
      <c r="J14" s="37">
        <f t="shared" si="3"/>
        <v>0</v>
      </c>
      <c r="K14" s="37">
        <f t="shared" si="4"/>
        <v>0</v>
      </c>
      <c r="L14" s="37"/>
      <c r="M14" s="37">
        <f t="shared" si="6"/>
        <v>205761.5</v>
      </c>
      <c r="N14" s="14"/>
    </row>
    <row r="15" spans="1:16">
      <c r="A15" s="23">
        <v>12</v>
      </c>
      <c r="B15" s="24">
        <v>46277</v>
      </c>
      <c r="C15" s="14"/>
      <c r="D15" s="14"/>
      <c r="E15" s="355">
        <v>800</v>
      </c>
      <c r="F15" s="90">
        <v>99.35</v>
      </c>
      <c r="G15" s="37">
        <f t="shared" si="2"/>
        <v>79480</v>
      </c>
      <c r="H15" s="41"/>
      <c r="I15" s="41"/>
      <c r="J15" s="37">
        <f t="shared" si="3"/>
        <v>0</v>
      </c>
      <c r="K15" s="37">
        <f t="shared" si="4"/>
        <v>79480</v>
      </c>
      <c r="L15" s="37"/>
      <c r="M15" s="37">
        <f t="shared" si="6"/>
        <v>285241.5</v>
      </c>
      <c r="N15" s="14"/>
    </row>
    <row r="16" spans="1:16">
      <c r="A16" s="23">
        <v>13</v>
      </c>
      <c r="B16" s="24">
        <v>46278</v>
      </c>
      <c r="C16" s="14"/>
      <c r="D16" s="90"/>
      <c r="E16" s="355"/>
      <c r="F16" s="90"/>
      <c r="G16" s="37">
        <f t="shared" si="2"/>
        <v>0</v>
      </c>
      <c r="H16" s="41"/>
      <c r="I16" s="41"/>
      <c r="J16" s="37">
        <f t="shared" si="3"/>
        <v>0</v>
      </c>
      <c r="K16" s="37">
        <f t="shared" si="4"/>
        <v>0</v>
      </c>
      <c r="L16" s="37"/>
      <c r="M16" s="37">
        <f t="shared" si="6"/>
        <v>285241.5</v>
      </c>
      <c r="N16" s="14"/>
    </row>
    <row r="17" spans="1:16">
      <c r="A17" s="23">
        <v>14</v>
      </c>
      <c r="B17" s="24">
        <v>46279</v>
      </c>
      <c r="C17" s="14"/>
      <c r="D17" s="90"/>
      <c r="E17" s="355"/>
      <c r="F17" s="90"/>
      <c r="G17" s="37">
        <f t="shared" si="2"/>
        <v>0</v>
      </c>
      <c r="H17" s="41"/>
      <c r="I17" s="41"/>
      <c r="J17" s="37">
        <f>H17*I17</f>
        <v>0</v>
      </c>
      <c r="K17" s="37">
        <f t="shared" si="4"/>
        <v>0</v>
      </c>
      <c r="L17" s="37"/>
      <c r="M17" s="37">
        <f t="shared" si="6"/>
        <v>285241.5</v>
      </c>
      <c r="N17" s="14"/>
    </row>
    <row r="18" spans="1:16">
      <c r="A18" s="23">
        <v>15</v>
      </c>
      <c r="B18" s="24">
        <v>46280</v>
      </c>
      <c r="C18" s="14"/>
      <c r="D18" s="14"/>
      <c r="E18" s="355"/>
      <c r="F18" s="90"/>
      <c r="G18" s="37">
        <f t="shared" si="2"/>
        <v>0</v>
      </c>
      <c r="H18" s="41"/>
      <c r="I18" s="41"/>
      <c r="J18" s="37">
        <f t="shared" si="3"/>
        <v>0</v>
      </c>
      <c r="K18" s="37">
        <f t="shared" si="4"/>
        <v>0</v>
      </c>
      <c r="L18" s="37"/>
      <c r="M18" s="37">
        <f t="shared" si="6"/>
        <v>285241.5</v>
      </c>
      <c r="N18" s="14"/>
      <c r="P18" s="313"/>
    </row>
    <row r="19" spans="1:16">
      <c r="A19" s="23">
        <v>16</v>
      </c>
      <c r="B19" s="24">
        <v>46281</v>
      </c>
      <c r="C19" s="14"/>
      <c r="D19" s="14"/>
      <c r="E19" s="355"/>
      <c r="F19" s="90"/>
      <c r="G19" s="37">
        <f t="shared" si="2"/>
        <v>0</v>
      </c>
      <c r="H19" s="41"/>
      <c r="I19" s="41"/>
      <c r="J19" s="37">
        <f t="shared" si="3"/>
        <v>0</v>
      </c>
      <c r="K19" s="37">
        <f t="shared" si="4"/>
        <v>0</v>
      </c>
      <c r="L19" s="37"/>
      <c r="M19" s="37">
        <f t="shared" si="6"/>
        <v>285241.5</v>
      </c>
      <c r="N19" s="14"/>
    </row>
    <row r="20" spans="1:16">
      <c r="A20" s="23">
        <v>17</v>
      </c>
      <c r="B20" s="24">
        <v>46282</v>
      </c>
      <c r="C20" s="14"/>
      <c r="D20" s="14"/>
      <c r="E20" s="355"/>
      <c r="F20" s="90"/>
      <c r="G20" s="37">
        <f t="shared" si="2"/>
        <v>0</v>
      </c>
      <c r="H20" s="41"/>
      <c r="I20" s="41"/>
      <c r="J20" s="37">
        <f t="shared" si="3"/>
        <v>0</v>
      </c>
      <c r="K20" s="37">
        <f t="shared" si="4"/>
        <v>0</v>
      </c>
      <c r="L20" s="37"/>
      <c r="M20" s="37">
        <f t="shared" si="6"/>
        <v>285241.5</v>
      </c>
      <c r="N20" s="14"/>
    </row>
    <row r="21" spans="1:16">
      <c r="A21" s="23">
        <v>18</v>
      </c>
      <c r="B21" s="24">
        <v>46283</v>
      </c>
      <c r="C21" s="14"/>
      <c r="D21" s="14"/>
      <c r="E21" s="355"/>
      <c r="F21" s="90"/>
      <c r="G21" s="37">
        <f t="shared" si="2"/>
        <v>0</v>
      </c>
      <c r="H21" s="41"/>
      <c r="I21" s="41"/>
      <c r="J21" s="37">
        <f t="shared" si="3"/>
        <v>0</v>
      </c>
      <c r="K21" s="37">
        <f t="shared" si="4"/>
        <v>0</v>
      </c>
      <c r="L21" s="37"/>
      <c r="M21" s="37">
        <f t="shared" si="6"/>
        <v>285241.5</v>
      </c>
      <c r="N21" s="14"/>
    </row>
    <row r="22" spans="1:16">
      <c r="A22" s="23">
        <v>19</v>
      </c>
      <c r="B22" s="24">
        <v>46284</v>
      </c>
      <c r="C22" s="14"/>
      <c r="D22" s="14"/>
      <c r="E22" s="355">
        <v>1000</v>
      </c>
      <c r="F22" s="90">
        <v>99.35</v>
      </c>
      <c r="G22" s="37">
        <f t="shared" si="2"/>
        <v>99350</v>
      </c>
      <c r="H22" s="41"/>
      <c r="I22" s="41"/>
      <c r="J22" s="37">
        <f t="shared" si="3"/>
        <v>0</v>
      </c>
      <c r="K22" s="37">
        <f t="shared" si="4"/>
        <v>99350</v>
      </c>
      <c r="L22" s="37"/>
      <c r="M22" s="37">
        <f t="shared" si="6"/>
        <v>384591.5</v>
      </c>
      <c r="N22" s="14"/>
    </row>
    <row r="23" spans="1:16">
      <c r="A23" s="23">
        <v>20</v>
      </c>
      <c r="B23" s="24">
        <v>46285</v>
      </c>
      <c r="C23" s="14"/>
      <c r="D23" s="14"/>
      <c r="E23" s="355"/>
      <c r="F23" s="90"/>
      <c r="G23" s="37">
        <f t="shared" si="2"/>
        <v>0</v>
      </c>
      <c r="H23" s="41"/>
      <c r="I23" s="41"/>
      <c r="J23" s="37">
        <v>0</v>
      </c>
      <c r="K23" s="37">
        <f t="shared" si="4"/>
        <v>0</v>
      </c>
      <c r="L23" s="37"/>
      <c r="M23" s="37">
        <f t="shared" si="6"/>
        <v>384591.5</v>
      </c>
      <c r="N23" s="14"/>
    </row>
    <row r="24" spans="1:16">
      <c r="A24" s="23">
        <v>21</v>
      </c>
      <c r="B24" s="24">
        <v>46286</v>
      </c>
      <c r="C24" s="14"/>
      <c r="D24" s="14"/>
      <c r="E24" s="355"/>
      <c r="F24" s="90"/>
      <c r="G24" s="37">
        <f t="shared" si="2"/>
        <v>0</v>
      </c>
      <c r="H24" s="41"/>
      <c r="I24" s="41"/>
      <c r="J24" s="37">
        <f t="shared" si="3"/>
        <v>0</v>
      </c>
      <c r="K24" s="37">
        <f t="shared" si="4"/>
        <v>0</v>
      </c>
      <c r="L24" s="37"/>
      <c r="M24" s="37">
        <f t="shared" si="6"/>
        <v>384591.5</v>
      </c>
      <c r="N24" s="14"/>
      <c r="O24" s="19"/>
    </row>
    <row r="25" spans="1:16">
      <c r="A25" s="23">
        <v>22</v>
      </c>
      <c r="B25" s="24">
        <v>46287</v>
      </c>
      <c r="C25" s="14"/>
      <c r="D25" s="14"/>
      <c r="E25" s="355"/>
      <c r="F25" s="90"/>
      <c r="G25" s="37">
        <f t="shared" si="2"/>
        <v>0</v>
      </c>
      <c r="H25" s="41"/>
      <c r="I25" s="41"/>
      <c r="J25" s="37">
        <f t="shared" si="3"/>
        <v>0</v>
      </c>
      <c r="K25" s="37">
        <f t="shared" si="4"/>
        <v>0</v>
      </c>
      <c r="L25" s="37"/>
      <c r="M25" s="37">
        <f t="shared" si="6"/>
        <v>384591.5</v>
      </c>
      <c r="N25" s="14"/>
    </row>
    <row r="26" spans="1:16">
      <c r="A26" s="23">
        <v>23</v>
      </c>
      <c r="B26" s="24">
        <v>46288</v>
      </c>
      <c r="C26" s="14"/>
      <c r="D26" s="14"/>
      <c r="E26" s="355"/>
      <c r="F26" s="90"/>
      <c r="G26" s="37">
        <f t="shared" si="2"/>
        <v>0</v>
      </c>
      <c r="H26" s="41"/>
      <c r="I26" s="41"/>
      <c r="J26" s="37">
        <f t="shared" si="3"/>
        <v>0</v>
      </c>
      <c r="K26" s="37">
        <f t="shared" si="4"/>
        <v>0</v>
      </c>
      <c r="L26" s="37">
        <v>300000</v>
      </c>
      <c r="M26" s="37">
        <f t="shared" si="6"/>
        <v>84591.5</v>
      </c>
      <c r="N26" s="14"/>
    </row>
    <row r="27" spans="1:16">
      <c r="A27" s="23">
        <v>24</v>
      </c>
      <c r="B27" s="24">
        <v>46289</v>
      </c>
      <c r="C27" s="14"/>
      <c r="D27" s="14"/>
      <c r="E27" s="355">
        <v>800</v>
      </c>
      <c r="F27" s="90">
        <v>99.35</v>
      </c>
      <c r="G27" s="37">
        <f t="shared" si="2"/>
        <v>79480</v>
      </c>
      <c r="H27" s="41"/>
      <c r="I27" s="41"/>
      <c r="J27" s="37">
        <f t="shared" si="3"/>
        <v>0</v>
      </c>
      <c r="K27" s="37">
        <f t="shared" si="4"/>
        <v>79480</v>
      </c>
      <c r="L27" s="37"/>
      <c r="M27" s="37">
        <f t="shared" si="6"/>
        <v>164071.5</v>
      </c>
      <c r="N27" s="14"/>
    </row>
    <row r="28" spans="1:16">
      <c r="A28" s="23">
        <v>25</v>
      </c>
      <c r="B28" s="24">
        <v>46290</v>
      </c>
      <c r="C28" s="14"/>
      <c r="D28" s="14"/>
      <c r="E28" s="355"/>
      <c r="F28" s="90"/>
      <c r="G28" s="37">
        <f t="shared" si="2"/>
        <v>0</v>
      </c>
      <c r="H28" s="41"/>
      <c r="I28" s="41"/>
      <c r="J28" s="37">
        <f t="shared" si="3"/>
        <v>0</v>
      </c>
      <c r="K28" s="37">
        <f t="shared" si="4"/>
        <v>0</v>
      </c>
      <c r="L28" s="37"/>
      <c r="M28" s="37">
        <f t="shared" si="6"/>
        <v>164071.5</v>
      </c>
      <c r="N28" s="14"/>
    </row>
    <row r="29" spans="1:16">
      <c r="A29" s="23">
        <v>26</v>
      </c>
      <c r="B29" s="24">
        <v>46291</v>
      </c>
      <c r="C29" s="14"/>
      <c r="D29" s="14"/>
      <c r="E29" s="355"/>
      <c r="F29" s="90"/>
      <c r="G29" s="37">
        <f t="shared" si="2"/>
        <v>0</v>
      </c>
      <c r="H29" s="41"/>
      <c r="I29" s="41"/>
      <c r="J29" s="37">
        <f t="shared" si="3"/>
        <v>0</v>
      </c>
      <c r="K29" s="37">
        <f t="shared" si="4"/>
        <v>0</v>
      </c>
      <c r="L29" s="37"/>
      <c r="M29" s="37">
        <f t="shared" si="6"/>
        <v>164071.5</v>
      </c>
      <c r="N29" s="14"/>
    </row>
    <row r="30" spans="1:16">
      <c r="A30" s="23">
        <v>27</v>
      </c>
      <c r="B30" s="24">
        <v>46292</v>
      </c>
      <c r="C30" s="14"/>
      <c r="D30" s="14"/>
      <c r="E30" s="355"/>
      <c r="F30" s="90"/>
      <c r="G30" s="37">
        <f t="shared" si="2"/>
        <v>0</v>
      </c>
      <c r="H30" s="41"/>
      <c r="I30" s="41"/>
      <c r="J30" s="37">
        <f t="shared" si="3"/>
        <v>0</v>
      </c>
      <c r="K30" s="37">
        <f t="shared" si="4"/>
        <v>0</v>
      </c>
      <c r="L30" s="37"/>
      <c r="M30" s="37">
        <f t="shared" si="6"/>
        <v>164071.5</v>
      </c>
      <c r="N30" s="14"/>
      <c r="O30" s="19"/>
    </row>
    <row r="31" spans="1:16">
      <c r="A31" s="23">
        <v>28</v>
      </c>
      <c r="B31" s="24">
        <v>46293</v>
      </c>
      <c r="C31" s="14"/>
      <c r="D31" s="14"/>
      <c r="E31" s="355"/>
      <c r="F31" s="90"/>
      <c r="G31" s="37">
        <f t="shared" si="2"/>
        <v>0</v>
      </c>
      <c r="H31" s="41"/>
      <c r="I31" s="41"/>
      <c r="J31" s="37">
        <f t="shared" si="3"/>
        <v>0</v>
      </c>
      <c r="K31" s="37">
        <f t="shared" si="4"/>
        <v>0</v>
      </c>
      <c r="L31" s="37"/>
      <c r="M31" s="37">
        <f t="shared" si="6"/>
        <v>164071.5</v>
      </c>
      <c r="N31" s="14"/>
    </row>
    <row r="32" spans="1:16">
      <c r="A32" s="23">
        <v>29</v>
      </c>
      <c r="B32" s="24">
        <v>46294</v>
      </c>
      <c r="C32" s="14"/>
      <c r="D32" s="222"/>
      <c r="E32" s="355"/>
      <c r="F32" s="90"/>
      <c r="G32" s="37">
        <f t="shared" si="2"/>
        <v>0</v>
      </c>
      <c r="H32" s="41"/>
      <c r="I32" s="41"/>
      <c r="J32" s="37">
        <f t="shared" si="3"/>
        <v>0</v>
      </c>
      <c r="K32" s="37">
        <f t="shared" si="4"/>
        <v>0</v>
      </c>
      <c r="L32" s="37"/>
      <c r="M32" s="37">
        <f t="shared" si="6"/>
        <v>164071.5</v>
      </c>
      <c r="N32" s="14"/>
    </row>
    <row r="33" spans="1:16">
      <c r="A33" s="23">
        <v>30</v>
      </c>
      <c r="B33" s="24">
        <v>46295</v>
      </c>
      <c r="C33" s="14"/>
      <c r="D33" s="14"/>
      <c r="E33" s="380">
        <v>1000</v>
      </c>
      <c r="F33" s="380">
        <v>99.35</v>
      </c>
      <c r="G33" s="37">
        <f t="shared" si="2"/>
        <v>99350</v>
      </c>
      <c r="H33" s="41"/>
      <c r="I33" s="41"/>
      <c r="J33" s="37">
        <f t="shared" si="3"/>
        <v>0</v>
      </c>
      <c r="K33" s="37">
        <f t="shared" si="4"/>
        <v>99350</v>
      </c>
      <c r="L33" s="37"/>
      <c r="M33" s="37">
        <f t="shared" si="6"/>
        <v>263421.5</v>
      </c>
      <c r="N33" s="14"/>
    </row>
    <row r="34" spans="1:16">
      <c r="A34" s="23">
        <v>31</v>
      </c>
      <c r="B34" s="24"/>
      <c r="C34" s="14"/>
      <c r="D34" s="14"/>
      <c r="E34" s="355"/>
      <c r="F34" s="90"/>
      <c r="G34" s="37">
        <f t="shared" si="2"/>
        <v>0</v>
      </c>
      <c r="H34" s="41"/>
      <c r="I34" s="41"/>
      <c r="J34" s="37">
        <f t="shared" si="3"/>
        <v>0</v>
      </c>
      <c r="K34" s="37">
        <f t="shared" si="4"/>
        <v>0</v>
      </c>
      <c r="L34" s="37"/>
      <c r="M34" s="37">
        <f t="shared" si="6"/>
        <v>263421.5</v>
      </c>
      <c r="N34" s="14"/>
    </row>
    <row r="35" spans="1:16">
      <c r="A35" s="23">
        <v>32</v>
      </c>
      <c r="B35" s="24"/>
      <c r="C35" s="14"/>
      <c r="D35" s="14"/>
      <c r="E35" s="355"/>
      <c r="F35" s="90"/>
      <c r="G35" s="37">
        <f t="shared" si="2"/>
        <v>0</v>
      </c>
      <c r="H35" s="41"/>
      <c r="I35" s="41"/>
      <c r="J35" s="37">
        <f t="shared" si="3"/>
        <v>0</v>
      </c>
      <c r="K35" s="37">
        <f t="shared" si="4"/>
        <v>0</v>
      </c>
      <c r="L35" s="37"/>
      <c r="M35" s="37">
        <f t="shared" si="6"/>
        <v>263421.5</v>
      </c>
      <c r="N35" s="14"/>
    </row>
    <row r="36" spans="1:16">
      <c r="A36" s="23">
        <v>33</v>
      </c>
      <c r="B36" s="24"/>
      <c r="C36" s="14"/>
      <c r="D36" s="14"/>
      <c r="E36" s="355"/>
      <c r="F36" s="90"/>
      <c r="G36" s="37">
        <f t="shared" si="2"/>
        <v>0</v>
      </c>
      <c r="H36" s="41"/>
      <c r="I36" s="41"/>
      <c r="J36" s="37">
        <f t="shared" si="3"/>
        <v>0</v>
      </c>
      <c r="K36" s="37">
        <f t="shared" si="4"/>
        <v>0</v>
      </c>
      <c r="L36" s="37"/>
      <c r="M36" s="37">
        <f t="shared" si="6"/>
        <v>263421.5</v>
      </c>
      <c r="N36" s="14"/>
    </row>
    <row r="37" spans="1:16">
      <c r="A37" s="23">
        <v>34</v>
      </c>
      <c r="B37" s="24"/>
      <c r="C37" s="14"/>
      <c r="D37" s="14"/>
      <c r="E37" s="355"/>
      <c r="F37" s="90"/>
      <c r="G37" s="37">
        <f t="shared" si="2"/>
        <v>0</v>
      </c>
      <c r="H37" s="41"/>
      <c r="I37" s="41"/>
      <c r="J37" s="37">
        <f t="shared" si="3"/>
        <v>0</v>
      </c>
      <c r="K37" s="37">
        <f t="shared" si="4"/>
        <v>0</v>
      </c>
      <c r="L37" s="37"/>
      <c r="M37" s="37">
        <f t="shared" si="6"/>
        <v>263421.5</v>
      </c>
      <c r="N37" s="14"/>
      <c r="P37" s="233"/>
    </row>
    <row r="38" spans="1:16">
      <c r="A38" s="23">
        <v>35</v>
      </c>
      <c r="B38" s="24"/>
      <c r="C38" s="14"/>
      <c r="D38" s="14"/>
      <c r="E38" s="355"/>
      <c r="F38" s="90"/>
      <c r="G38" s="37">
        <f t="shared" si="2"/>
        <v>0</v>
      </c>
      <c r="H38" s="41"/>
      <c r="I38" s="41"/>
      <c r="J38" s="37">
        <f t="shared" si="3"/>
        <v>0</v>
      </c>
      <c r="K38" s="37">
        <f t="shared" si="4"/>
        <v>0</v>
      </c>
      <c r="L38" s="37"/>
      <c r="M38" s="37">
        <f t="shared" si="6"/>
        <v>263421.5</v>
      </c>
      <c r="N38" s="14"/>
      <c r="P38" s="233"/>
    </row>
    <row r="39" spans="1:16">
      <c r="A39" s="23">
        <v>36</v>
      </c>
      <c r="B39" s="24"/>
      <c r="C39" s="14"/>
      <c r="D39" s="14"/>
      <c r="E39" s="90"/>
      <c r="F39" s="90"/>
      <c r="G39" s="37">
        <f t="shared" ref="G5:G39" si="7">E39*F39</f>
        <v>0</v>
      </c>
      <c r="H39" s="41"/>
      <c r="I39" s="41"/>
      <c r="J39" s="37">
        <f t="shared" ref="J5:J39" si="8">H39*I39</f>
        <v>0</v>
      </c>
      <c r="K39" s="37">
        <f t="shared" si="4"/>
        <v>0</v>
      </c>
      <c r="L39" s="37"/>
      <c r="M39" s="37">
        <f t="shared" si="6"/>
        <v>263421.5</v>
      </c>
      <c r="N39" s="14"/>
      <c r="P39" s="233"/>
    </row>
    <row r="40" spans="1:16">
      <c r="A40" s="39"/>
      <c r="B40" s="39"/>
      <c r="C40" s="39"/>
      <c r="D40" s="39"/>
      <c r="E40" s="39">
        <f>SUM(E4:E39)</f>
        <v>5200</v>
      </c>
      <c r="F40" s="39"/>
      <c r="G40" s="39">
        <f>SUM(G4:G39)</f>
        <v>516620</v>
      </c>
      <c r="H40" s="39">
        <f>SUM(H4:H39)</f>
        <v>0</v>
      </c>
      <c r="I40" s="39"/>
      <c r="J40" s="39">
        <f>SUM(J4:J39)</f>
        <v>0</v>
      </c>
      <c r="K40" s="39">
        <f>SUM(K4:K39)</f>
        <v>516620</v>
      </c>
      <c r="L40" s="39">
        <f>SUM(L4:L39)</f>
        <v>600000</v>
      </c>
      <c r="M40" s="39"/>
      <c r="N40" s="39"/>
    </row>
  </sheetData>
  <mergeCells count="1">
    <mergeCell ref="A1:N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86DD-CD71-4150-9FE7-AC077EDC0FB9}">
  <dimension ref="A1:P39"/>
  <sheetViews>
    <sheetView workbookViewId="0">
      <pane ySplit="3" topLeftCell="A26" activePane="bottomLeft" state="frozen"/>
      <selection pane="bottomLeft" activeCell="M38" sqref="M38"/>
    </sheetView>
  </sheetViews>
  <sheetFormatPr defaultRowHeight="15"/>
  <cols>
    <col min="1" max="1" width="5.140625" bestFit="1" customWidth="1"/>
    <col min="2" max="2" width="10.5703125" bestFit="1" customWidth="1"/>
    <col min="5" max="5" width="15.140625" customWidth="1"/>
    <col min="6" max="6" width="16.42578125" customWidth="1"/>
    <col min="7" max="7" width="9.28515625" bestFit="1" customWidth="1"/>
    <col min="8" max="8" width="10.7109375" bestFit="1" customWidth="1"/>
    <col min="11" max="11" width="13.5703125" bestFit="1" customWidth="1"/>
    <col min="12" max="12" width="17" customWidth="1"/>
    <col min="13" max="13" width="11.28515625" bestFit="1" customWidth="1"/>
  </cols>
  <sheetData>
    <row r="1" spans="1:16" ht="15.75">
      <c r="A1" s="609" t="s">
        <v>216</v>
      </c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89"/>
      <c r="P1" s="89"/>
    </row>
    <row r="2" spans="1:16">
      <c r="A2" s="61" t="s">
        <v>0</v>
      </c>
      <c r="B2" s="61" t="s">
        <v>168</v>
      </c>
      <c r="C2" s="61" t="s">
        <v>169</v>
      </c>
      <c r="D2" s="61" t="s">
        <v>170</v>
      </c>
      <c r="E2" s="88" t="s">
        <v>171</v>
      </c>
      <c r="F2" s="88" t="s">
        <v>172</v>
      </c>
      <c r="G2" s="88" t="s">
        <v>173</v>
      </c>
      <c r="H2" s="88" t="s">
        <v>174</v>
      </c>
      <c r="I2" s="88" t="s">
        <v>172</v>
      </c>
      <c r="J2" s="88" t="s">
        <v>173</v>
      </c>
      <c r="K2" s="88" t="s">
        <v>175</v>
      </c>
      <c r="L2" s="82" t="s">
        <v>176</v>
      </c>
      <c r="M2" s="82" t="s">
        <v>177</v>
      </c>
      <c r="N2" s="61" t="s">
        <v>178</v>
      </c>
    </row>
    <row r="3" spans="1:16">
      <c r="A3" s="14"/>
      <c r="B3" s="14"/>
      <c r="C3" s="14"/>
      <c r="D3" s="14" t="s">
        <v>179</v>
      </c>
      <c r="E3" s="14"/>
      <c r="F3" s="14"/>
      <c r="G3" s="14"/>
      <c r="H3" s="14"/>
      <c r="I3" s="14"/>
      <c r="J3" s="14"/>
      <c r="K3" s="37"/>
      <c r="L3" s="14"/>
      <c r="M3" s="37">
        <v>665.26989999966463</v>
      </c>
      <c r="N3" s="14"/>
    </row>
    <row r="4" spans="1:16">
      <c r="A4" s="23">
        <v>1</v>
      </c>
      <c r="B4" s="24">
        <v>46266</v>
      </c>
      <c r="C4" s="14"/>
      <c r="D4" s="14"/>
      <c r="E4" s="355"/>
      <c r="F4" s="90"/>
      <c r="G4" s="37">
        <f t="shared" ref="G4:G38" si="0">E4*F4</f>
        <v>0</v>
      </c>
      <c r="H4" s="41">
        <v>30</v>
      </c>
      <c r="I4" s="41">
        <v>111.21</v>
      </c>
      <c r="J4" s="37">
        <f t="shared" ref="J4:J38" si="1">H4*I4</f>
        <v>3336.2999999999997</v>
      </c>
      <c r="K4" s="37">
        <f>G4+J4</f>
        <v>3336.2999999999997</v>
      </c>
      <c r="L4" s="37"/>
      <c r="M4" s="37">
        <f>M3+K4-L4</f>
        <v>4001.5698999996644</v>
      </c>
      <c r="N4" s="14"/>
    </row>
    <row r="5" spans="1:16">
      <c r="A5" s="23">
        <v>2</v>
      </c>
      <c r="B5" s="24">
        <v>46267</v>
      </c>
      <c r="C5" s="14"/>
      <c r="D5" s="14"/>
      <c r="E5" s="355">
        <v>27.13</v>
      </c>
      <c r="F5" s="90">
        <v>99.13</v>
      </c>
      <c r="G5" s="37">
        <f t="shared" si="0"/>
        <v>2689.3968999999997</v>
      </c>
      <c r="H5" s="41"/>
      <c r="I5" s="41"/>
      <c r="J5" s="37">
        <f t="shared" si="1"/>
        <v>0</v>
      </c>
      <c r="K5" s="37">
        <f t="shared" ref="K5:K38" si="2">G5+J5</f>
        <v>2689.3968999999997</v>
      </c>
      <c r="L5" s="37"/>
      <c r="M5" s="37">
        <f>M4+K5-L5</f>
        <v>6690.9667999996636</v>
      </c>
      <c r="N5" s="14"/>
    </row>
    <row r="6" spans="1:16">
      <c r="A6" s="23">
        <v>3</v>
      </c>
      <c r="B6" s="24">
        <v>46268</v>
      </c>
      <c r="C6" s="14"/>
      <c r="D6" s="14"/>
      <c r="E6" s="355"/>
      <c r="F6" s="90"/>
      <c r="G6" s="37">
        <f t="shared" si="0"/>
        <v>0</v>
      </c>
      <c r="H6" s="41">
        <v>30</v>
      </c>
      <c r="I6" s="41">
        <v>111.21</v>
      </c>
      <c r="J6" s="37">
        <f t="shared" si="1"/>
        <v>3336.2999999999997</v>
      </c>
      <c r="K6" s="37">
        <f t="shared" si="2"/>
        <v>3336.2999999999997</v>
      </c>
      <c r="L6" s="37"/>
      <c r="M6" s="37">
        <f>M5+K6-L6</f>
        <v>10027.266799999663</v>
      </c>
      <c r="N6" s="14"/>
    </row>
    <row r="7" spans="1:16">
      <c r="A7" s="23">
        <v>4</v>
      </c>
      <c r="B7" s="24">
        <v>46269</v>
      </c>
      <c r="C7" s="14"/>
      <c r="D7" s="14"/>
      <c r="E7" s="355"/>
      <c r="F7" s="90"/>
      <c r="G7" s="37">
        <f t="shared" si="0"/>
        <v>0</v>
      </c>
      <c r="H7" s="355"/>
      <c r="I7" s="90"/>
      <c r="J7" s="37">
        <f t="shared" si="1"/>
        <v>0</v>
      </c>
      <c r="K7" s="37">
        <f t="shared" si="2"/>
        <v>0</v>
      </c>
      <c r="L7" s="37"/>
      <c r="M7" s="37">
        <f>M6+K7-L7</f>
        <v>10027.266799999663</v>
      </c>
      <c r="N7" s="14"/>
    </row>
    <row r="8" spans="1:16">
      <c r="A8" s="23">
        <v>5</v>
      </c>
      <c r="B8" s="24">
        <v>46270</v>
      </c>
      <c r="C8" s="14"/>
      <c r="D8" s="14"/>
      <c r="E8" s="355"/>
      <c r="F8" s="90"/>
      <c r="G8" s="37">
        <f t="shared" si="0"/>
        <v>0</v>
      </c>
      <c r="H8" s="355"/>
      <c r="I8" s="90"/>
      <c r="J8" s="37">
        <f t="shared" si="1"/>
        <v>0</v>
      </c>
      <c r="K8" s="37">
        <f t="shared" si="2"/>
        <v>0</v>
      </c>
      <c r="L8" s="37"/>
      <c r="M8" s="37">
        <f>M7+K8-L8</f>
        <v>10027.266799999663</v>
      </c>
      <c r="N8" s="14"/>
    </row>
    <row r="9" spans="1:16">
      <c r="A9" s="23">
        <v>6</v>
      </c>
      <c r="B9" s="24">
        <v>46271</v>
      </c>
      <c r="C9" s="14"/>
      <c r="D9" s="14"/>
      <c r="E9" s="355"/>
      <c r="F9" s="90"/>
      <c r="G9" s="37">
        <f t="shared" si="0"/>
        <v>0</v>
      </c>
      <c r="H9" s="355"/>
      <c r="I9" s="90"/>
      <c r="J9" s="37">
        <f t="shared" si="1"/>
        <v>0</v>
      </c>
      <c r="K9" s="37">
        <f t="shared" si="2"/>
        <v>0</v>
      </c>
      <c r="L9" s="37"/>
      <c r="M9" s="37">
        <f t="shared" ref="M9:M38" si="3">M8+K9-L9</f>
        <v>10027.266799999663</v>
      </c>
      <c r="N9" s="14"/>
    </row>
    <row r="10" spans="1:16">
      <c r="A10" s="23">
        <v>7</v>
      </c>
      <c r="B10" s="24">
        <v>46272</v>
      </c>
      <c r="C10" s="14"/>
      <c r="D10" s="14"/>
      <c r="E10" s="355"/>
      <c r="F10" s="90"/>
      <c r="G10" s="37">
        <f t="shared" si="0"/>
        <v>0</v>
      </c>
      <c r="H10" s="41"/>
      <c r="I10" s="41"/>
      <c r="J10" s="37">
        <f t="shared" si="1"/>
        <v>0</v>
      </c>
      <c r="K10" s="37">
        <f t="shared" si="2"/>
        <v>0</v>
      </c>
      <c r="L10" s="37"/>
      <c r="M10" s="37">
        <f t="shared" si="3"/>
        <v>10027.266799999663</v>
      </c>
      <c r="N10" s="14"/>
    </row>
    <row r="11" spans="1:16">
      <c r="A11" s="23">
        <v>8</v>
      </c>
      <c r="B11" s="24">
        <v>46273</v>
      </c>
      <c r="C11" s="14"/>
      <c r="D11" s="14"/>
      <c r="E11" s="355"/>
      <c r="F11" s="90"/>
      <c r="G11" s="37">
        <f t="shared" si="0"/>
        <v>0</v>
      </c>
      <c r="H11" s="41">
        <v>30</v>
      </c>
      <c r="I11" s="41">
        <v>111.21</v>
      </c>
      <c r="J11" s="37">
        <f t="shared" si="1"/>
        <v>3336.2999999999997</v>
      </c>
      <c r="K11" s="37">
        <f t="shared" si="2"/>
        <v>3336.2999999999997</v>
      </c>
      <c r="L11" s="37"/>
      <c r="M11" s="37">
        <f t="shared" si="3"/>
        <v>13363.566799999662</v>
      </c>
      <c r="N11" s="14"/>
    </row>
    <row r="12" spans="1:16">
      <c r="A12" s="23">
        <v>9</v>
      </c>
      <c r="B12" s="24">
        <v>46274</v>
      </c>
      <c r="C12" s="14"/>
      <c r="D12" s="14"/>
      <c r="E12" s="380"/>
      <c r="F12" s="90"/>
      <c r="G12" s="37">
        <f t="shared" si="0"/>
        <v>0</v>
      </c>
      <c r="H12" s="41"/>
      <c r="I12" s="41"/>
      <c r="J12" s="37">
        <f t="shared" si="1"/>
        <v>0</v>
      </c>
      <c r="K12" s="37">
        <f t="shared" si="2"/>
        <v>0</v>
      </c>
      <c r="L12" s="37"/>
      <c r="M12" s="37">
        <f t="shared" si="3"/>
        <v>13363.566799999662</v>
      </c>
      <c r="N12" s="14"/>
    </row>
    <row r="13" spans="1:16">
      <c r="A13" s="23">
        <v>10</v>
      </c>
      <c r="B13" s="24">
        <v>46275</v>
      </c>
      <c r="C13" s="14"/>
      <c r="D13" s="14"/>
      <c r="E13" s="380"/>
      <c r="F13" s="380"/>
      <c r="G13" s="37">
        <f t="shared" si="0"/>
        <v>0</v>
      </c>
      <c r="H13" s="41"/>
      <c r="I13" s="41"/>
      <c r="J13" s="37">
        <f t="shared" si="1"/>
        <v>0</v>
      </c>
      <c r="K13" s="37">
        <f t="shared" si="2"/>
        <v>0</v>
      </c>
      <c r="L13" s="37"/>
      <c r="M13" s="37">
        <f t="shared" si="3"/>
        <v>13363.566799999662</v>
      </c>
      <c r="N13" s="14"/>
    </row>
    <row r="14" spans="1:16">
      <c r="A14" s="23">
        <v>11</v>
      </c>
      <c r="B14" s="24">
        <v>46276</v>
      </c>
      <c r="C14" s="14"/>
      <c r="D14" s="14"/>
      <c r="E14" s="355"/>
      <c r="F14" s="90"/>
      <c r="G14" s="37">
        <f t="shared" si="0"/>
        <v>0</v>
      </c>
      <c r="H14" s="41">
        <v>30</v>
      </c>
      <c r="I14" s="41">
        <v>111.21</v>
      </c>
      <c r="J14" s="37">
        <f t="shared" si="1"/>
        <v>3336.2999999999997</v>
      </c>
      <c r="K14" s="37">
        <f t="shared" si="2"/>
        <v>3336.2999999999997</v>
      </c>
      <c r="L14" s="37"/>
      <c r="M14" s="37">
        <f t="shared" si="3"/>
        <v>16699.866799999661</v>
      </c>
      <c r="N14" s="14"/>
    </row>
    <row r="15" spans="1:16">
      <c r="A15" s="23">
        <v>12</v>
      </c>
      <c r="B15" s="24">
        <v>46277</v>
      </c>
      <c r="C15" s="14"/>
      <c r="D15" s="14"/>
      <c r="E15" s="355"/>
      <c r="F15" s="90"/>
      <c r="G15" s="37">
        <f t="shared" si="0"/>
        <v>0</v>
      </c>
      <c r="H15" s="41"/>
      <c r="I15" s="41"/>
      <c r="J15" s="37">
        <f t="shared" si="1"/>
        <v>0</v>
      </c>
      <c r="K15" s="37">
        <f t="shared" si="2"/>
        <v>0</v>
      </c>
      <c r="L15" s="37"/>
      <c r="M15" s="37">
        <f t="shared" si="3"/>
        <v>16699.866799999661</v>
      </c>
      <c r="N15" s="14"/>
    </row>
    <row r="16" spans="1:16">
      <c r="A16" s="23">
        <v>13</v>
      </c>
      <c r="B16" s="24">
        <v>46278</v>
      </c>
      <c r="C16" s="14"/>
      <c r="D16" s="90"/>
      <c r="E16" s="355"/>
      <c r="F16" s="90"/>
      <c r="G16" s="37">
        <f t="shared" si="0"/>
        <v>0</v>
      </c>
      <c r="H16" s="41"/>
      <c r="I16" s="41"/>
      <c r="J16" s="37">
        <f t="shared" si="1"/>
        <v>0</v>
      </c>
      <c r="K16" s="37">
        <f t="shared" si="2"/>
        <v>0</v>
      </c>
      <c r="L16" s="37"/>
      <c r="M16" s="37">
        <f t="shared" si="3"/>
        <v>16699.866799999661</v>
      </c>
      <c r="N16" s="14"/>
    </row>
    <row r="17" spans="1:16">
      <c r="A17" s="23">
        <v>14</v>
      </c>
      <c r="B17" s="24">
        <v>46279</v>
      </c>
      <c r="C17" s="14"/>
      <c r="D17" s="90"/>
      <c r="E17" s="355"/>
      <c r="F17" s="90"/>
      <c r="G17" s="37">
        <f t="shared" si="0"/>
        <v>0</v>
      </c>
      <c r="H17" s="41"/>
      <c r="I17" s="41"/>
      <c r="J17" s="37">
        <f t="shared" si="1"/>
        <v>0</v>
      </c>
      <c r="K17" s="37">
        <f t="shared" si="2"/>
        <v>0</v>
      </c>
      <c r="L17" s="37"/>
      <c r="M17" s="37">
        <f t="shared" si="3"/>
        <v>16699.866799999661</v>
      </c>
      <c r="N17" s="14"/>
    </row>
    <row r="18" spans="1:16">
      <c r="A18" s="23">
        <v>15</v>
      </c>
      <c r="B18" s="24">
        <v>46280</v>
      </c>
      <c r="C18" s="14"/>
      <c r="D18" s="14"/>
      <c r="E18" s="355"/>
      <c r="F18" s="90"/>
      <c r="G18" s="37">
        <f t="shared" si="0"/>
        <v>0</v>
      </c>
      <c r="H18" s="41">
        <v>30</v>
      </c>
      <c r="I18" s="41">
        <v>111.21</v>
      </c>
      <c r="J18" s="37">
        <f t="shared" si="1"/>
        <v>3336.2999999999997</v>
      </c>
      <c r="K18" s="37">
        <f t="shared" si="2"/>
        <v>3336.2999999999997</v>
      </c>
      <c r="L18" s="37"/>
      <c r="M18" s="37">
        <f t="shared" si="3"/>
        <v>20036.166799999661</v>
      </c>
      <c r="N18" s="14"/>
      <c r="P18" s="313"/>
    </row>
    <row r="19" spans="1:16">
      <c r="A19" s="23">
        <v>16</v>
      </c>
      <c r="B19" s="24">
        <v>46281</v>
      </c>
      <c r="C19" s="14"/>
      <c r="D19" s="14"/>
      <c r="E19" s="355"/>
      <c r="F19" s="90"/>
      <c r="G19" s="37">
        <f t="shared" si="0"/>
        <v>0</v>
      </c>
      <c r="H19" s="41"/>
      <c r="I19" s="41"/>
      <c r="J19" s="37">
        <f t="shared" si="1"/>
        <v>0</v>
      </c>
      <c r="K19" s="37">
        <f t="shared" si="2"/>
        <v>0</v>
      </c>
      <c r="L19" s="37"/>
      <c r="M19" s="37">
        <f t="shared" si="3"/>
        <v>20036.166799999661</v>
      </c>
      <c r="N19" s="14"/>
    </row>
    <row r="20" spans="1:16">
      <c r="A20" s="23">
        <v>17</v>
      </c>
      <c r="B20" s="24">
        <v>46282</v>
      </c>
      <c r="C20" s="14"/>
      <c r="D20" s="14"/>
      <c r="E20" s="355"/>
      <c r="F20" s="90"/>
      <c r="G20" s="37">
        <f t="shared" si="0"/>
        <v>0</v>
      </c>
      <c r="H20" s="41"/>
      <c r="I20" s="41"/>
      <c r="J20" s="37">
        <f t="shared" si="1"/>
        <v>0</v>
      </c>
      <c r="K20" s="37">
        <f t="shared" si="2"/>
        <v>0</v>
      </c>
      <c r="L20" s="37"/>
      <c r="M20" s="37">
        <f t="shared" si="3"/>
        <v>20036.166799999661</v>
      </c>
      <c r="N20" s="14"/>
    </row>
    <row r="21" spans="1:16">
      <c r="A21" s="23">
        <v>18</v>
      </c>
      <c r="B21" s="24">
        <v>46283</v>
      </c>
      <c r="C21" s="14"/>
      <c r="D21" s="14"/>
      <c r="E21" s="355"/>
      <c r="F21" s="90"/>
      <c r="G21" s="37">
        <f t="shared" si="0"/>
        <v>0</v>
      </c>
      <c r="H21" s="41"/>
      <c r="I21" s="41"/>
      <c r="J21" s="37">
        <f t="shared" si="1"/>
        <v>0</v>
      </c>
      <c r="K21" s="37">
        <f t="shared" si="2"/>
        <v>0</v>
      </c>
      <c r="L21" s="37"/>
      <c r="M21" s="37">
        <f t="shared" si="3"/>
        <v>20036.166799999661</v>
      </c>
      <c r="N21" s="14"/>
    </row>
    <row r="22" spans="1:16">
      <c r="A22" s="23">
        <v>19</v>
      </c>
      <c r="B22" s="24">
        <v>46284</v>
      </c>
      <c r="C22" s="14"/>
      <c r="D22" s="14"/>
      <c r="E22" s="355"/>
      <c r="F22" s="90"/>
      <c r="G22" s="37">
        <f t="shared" si="0"/>
        <v>0</v>
      </c>
      <c r="H22" s="41"/>
      <c r="I22" s="41"/>
      <c r="J22" s="37">
        <f t="shared" si="1"/>
        <v>0</v>
      </c>
      <c r="K22" s="37">
        <f t="shared" si="2"/>
        <v>0</v>
      </c>
      <c r="L22" s="37"/>
      <c r="M22" s="37">
        <f t="shared" si="3"/>
        <v>20036.166799999661</v>
      </c>
      <c r="N22" s="14"/>
    </row>
    <row r="23" spans="1:16">
      <c r="A23" s="23">
        <v>20</v>
      </c>
      <c r="B23" s="24">
        <v>46285</v>
      </c>
      <c r="C23" s="14"/>
      <c r="D23" s="14"/>
      <c r="E23" s="355"/>
      <c r="F23" s="90"/>
      <c r="G23" s="37">
        <f t="shared" si="0"/>
        <v>0</v>
      </c>
      <c r="H23" s="41"/>
      <c r="I23" s="41"/>
      <c r="J23" s="37">
        <f t="shared" si="1"/>
        <v>0</v>
      </c>
      <c r="K23" s="37">
        <f t="shared" si="2"/>
        <v>0</v>
      </c>
      <c r="L23" s="37"/>
      <c r="M23" s="37">
        <f t="shared" si="3"/>
        <v>20036.166799999661</v>
      </c>
      <c r="N23" s="14"/>
    </row>
    <row r="24" spans="1:16">
      <c r="A24" s="23">
        <v>22</v>
      </c>
      <c r="B24" s="24">
        <v>46286</v>
      </c>
      <c r="C24" s="14"/>
      <c r="D24" s="14"/>
      <c r="E24" s="355"/>
      <c r="F24" s="90"/>
      <c r="G24" s="37">
        <f t="shared" si="0"/>
        <v>0</v>
      </c>
      <c r="H24" s="41"/>
      <c r="I24" s="41"/>
      <c r="J24" s="37">
        <f t="shared" si="1"/>
        <v>0</v>
      </c>
      <c r="K24" s="37">
        <f t="shared" si="2"/>
        <v>0</v>
      </c>
      <c r="L24" s="37"/>
      <c r="M24" s="37">
        <f t="shared" si="3"/>
        <v>20036.166799999661</v>
      </c>
      <c r="N24" s="14"/>
    </row>
    <row r="25" spans="1:16">
      <c r="A25" s="23">
        <v>23</v>
      </c>
      <c r="B25" s="24">
        <v>46287</v>
      </c>
      <c r="C25" s="14"/>
      <c r="D25" s="14"/>
      <c r="E25" s="355"/>
      <c r="F25" s="90"/>
      <c r="G25" s="37">
        <f t="shared" si="0"/>
        <v>0</v>
      </c>
      <c r="H25" s="41">
        <v>30</v>
      </c>
      <c r="I25" s="41">
        <v>111.21</v>
      </c>
      <c r="J25" s="37">
        <f t="shared" si="1"/>
        <v>3336.2999999999997</v>
      </c>
      <c r="K25" s="37">
        <f t="shared" si="2"/>
        <v>3336.2999999999997</v>
      </c>
      <c r="L25" s="37"/>
      <c r="M25" s="37">
        <f t="shared" si="3"/>
        <v>23372.46679999966</v>
      </c>
      <c r="N25" s="14"/>
    </row>
    <row r="26" spans="1:16">
      <c r="A26" s="23">
        <v>24</v>
      </c>
      <c r="B26" s="24">
        <v>46288</v>
      </c>
      <c r="C26" s="14"/>
      <c r="D26" s="14"/>
      <c r="E26" s="355"/>
      <c r="F26" s="90"/>
      <c r="G26" s="37">
        <f t="shared" si="0"/>
        <v>0</v>
      </c>
      <c r="H26" s="41"/>
      <c r="I26" s="41"/>
      <c r="J26" s="37">
        <f t="shared" si="1"/>
        <v>0</v>
      </c>
      <c r="K26" s="37">
        <f t="shared" si="2"/>
        <v>0</v>
      </c>
      <c r="L26" s="37"/>
      <c r="M26" s="37">
        <f t="shared" si="3"/>
        <v>23372.46679999966</v>
      </c>
      <c r="N26" s="14"/>
    </row>
    <row r="27" spans="1:16">
      <c r="A27" s="23">
        <v>25</v>
      </c>
      <c r="B27" s="24">
        <v>46289</v>
      </c>
      <c r="C27" s="14"/>
      <c r="D27" s="14"/>
      <c r="E27" s="355"/>
      <c r="F27" s="90"/>
      <c r="G27" s="37">
        <f t="shared" si="0"/>
        <v>0</v>
      </c>
      <c r="H27" s="41"/>
      <c r="I27" s="41"/>
      <c r="J27" s="37">
        <f t="shared" si="1"/>
        <v>0</v>
      </c>
      <c r="K27" s="37">
        <f t="shared" si="2"/>
        <v>0</v>
      </c>
      <c r="L27" s="37"/>
      <c r="M27" s="37">
        <f t="shared" si="3"/>
        <v>23372.46679999966</v>
      </c>
      <c r="N27" s="14"/>
    </row>
    <row r="28" spans="1:16">
      <c r="A28" s="23">
        <v>26</v>
      </c>
      <c r="B28" s="24">
        <v>46290</v>
      </c>
      <c r="C28" s="14"/>
      <c r="D28" s="14"/>
      <c r="E28" s="355"/>
      <c r="F28" s="90"/>
      <c r="G28" s="37">
        <f t="shared" si="0"/>
        <v>0</v>
      </c>
      <c r="H28" s="41">
        <v>30</v>
      </c>
      <c r="I28" s="41">
        <v>111.21</v>
      </c>
      <c r="J28" s="37">
        <f t="shared" si="1"/>
        <v>3336.2999999999997</v>
      </c>
      <c r="K28" s="37">
        <f t="shared" si="2"/>
        <v>3336.2999999999997</v>
      </c>
      <c r="L28" s="37"/>
      <c r="M28" s="37">
        <f t="shared" si="3"/>
        <v>26708.766799999659</v>
      </c>
      <c r="N28" s="14"/>
    </row>
    <row r="29" spans="1:16">
      <c r="A29" s="23">
        <v>27</v>
      </c>
      <c r="B29" s="24">
        <v>46291</v>
      </c>
      <c r="C29" s="14"/>
      <c r="D29" s="14"/>
      <c r="E29" s="355"/>
      <c r="F29" s="90"/>
      <c r="G29" s="37">
        <f t="shared" si="0"/>
        <v>0</v>
      </c>
      <c r="H29" s="41"/>
      <c r="I29" s="41"/>
      <c r="J29" s="37">
        <f t="shared" si="1"/>
        <v>0</v>
      </c>
      <c r="K29" s="37">
        <f t="shared" si="2"/>
        <v>0</v>
      </c>
      <c r="L29" s="37"/>
      <c r="M29" s="37">
        <f t="shared" si="3"/>
        <v>26708.766799999659</v>
      </c>
      <c r="N29" s="14"/>
      <c r="O29" s="19"/>
    </row>
    <row r="30" spans="1:16">
      <c r="A30" s="23">
        <v>28</v>
      </c>
      <c r="B30" s="24">
        <v>46292</v>
      </c>
      <c r="C30" s="14"/>
      <c r="D30" s="14"/>
      <c r="E30" s="355"/>
      <c r="F30" s="90"/>
      <c r="G30" s="37">
        <f t="shared" si="0"/>
        <v>0</v>
      </c>
      <c r="H30" s="41"/>
      <c r="I30" s="41"/>
      <c r="J30" s="37">
        <f t="shared" si="1"/>
        <v>0</v>
      </c>
      <c r="K30" s="37">
        <f t="shared" si="2"/>
        <v>0</v>
      </c>
      <c r="L30" s="37"/>
      <c r="M30" s="37">
        <f t="shared" si="3"/>
        <v>26708.766799999659</v>
      </c>
      <c r="N30" s="14"/>
    </row>
    <row r="31" spans="1:16">
      <c r="A31" s="23">
        <v>29</v>
      </c>
      <c r="B31" s="24">
        <v>46293</v>
      </c>
      <c r="C31" s="14"/>
      <c r="D31" s="222"/>
      <c r="E31" s="355"/>
      <c r="F31" s="90"/>
      <c r="G31" s="37">
        <f t="shared" si="0"/>
        <v>0</v>
      </c>
      <c r="H31" s="41"/>
      <c r="I31" s="41"/>
      <c r="J31" s="37">
        <f t="shared" si="1"/>
        <v>0</v>
      </c>
      <c r="K31" s="37">
        <f t="shared" si="2"/>
        <v>0</v>
      </c>
      <c r="L31" s="368"/>
      <c r="M31" s="37">
        <f t="shared" si="3"/>
        <v>26708.766799999659</v>
      </c>
      <c r="N31" s="14"/>
    </row>
    <row r="32" spans="1:16">
      <c r="A32" s="23">
        <v>30</v>
      </c>
      <c r="B32" s="24">
        <v>46294</v>
      </c>
      <c r="C32" s="14"/>
      <c r="D32" s="14"/>
      <c r="E32" s="355"/>
      <c r="F32" s="90"/>
      <c r="G32" s="37">
        <f t="shared" si="0"/>
        <v>0</v>
      </c>
      <c r="H32" s="41"/>
      <c r="I32" s="41"/>
      <c r="J32" s="37">
        <f t="shared" si="1"/>
        <v>0</v>
      </c>
      <c r="K32" s="37">
        <f t="shared" si="2"/>
        <v>0</v>
      </c>
      <c r="L32" s="37"/>
      <c r="M32" s="37">
        <f t="shared" si="3"/>
        <v>26708.766799999659</v>
      </c>
      <c r="N32" s="14"/>
    </row>
    <row r="33" spans="1:16">
      <c r="A33" s="23">
        <v>31</v>
      </c>
      <c r="B33" s="24">
        <v>46295</v>
      </c>
      <c r="C33" s="14"/>
      <c r="D33" s="14"/>
      <c r="E33" s="355"/>
      <c r="F33" s="90"/>
      <c r="G33" s="37">
        <f t="shared" si="0"/>
        <v>0</v>
      </c>
      <c r="H33" s="41">
        <v>30</v>
      </c>
      <c r="I33" s="41">
        <v>111.21</v>
      </c>
      <c r="J33" s="37">
        <f t="shared" si="1"/>
        <v>3336.2999999999997</v>
      </c>
      <c r="K33" s="37">
        <f t="shared" si="2"/>
        <v>3336.2999999999997</v>
      </c>
      <c r="L33" s="37"/>
      <c r="M33" s="37">
        <f t="shared" si="3"/>
        <v>30045.066799999659</v>
      </c>
      <c r="N33" s="14"/>
    </row>
    <row r="34" spans="1:16">
      <c r="A34" s="23">
        <v>32</v>
      </c>
      <c r="B34" s="24"/>
      <c r="C34" s="14"/>
      <c r="D34" s="14"/>
      <c r="E34" s="355"/>
      <c r="F34" s="90"/>
      <c r="G34" s="37">
        <f t="shared" si="0"/>
        <v>0</v>
      </c>
      <c r="H34" s="41"/>
      <c r="I34" s="41"/>
      <c r="J34" s="37">
        <f t="shared" si="1"/>
        <v>0</v>
      </c>
      <c r="K34" s="37">
        <f t="shared" si="2"/>
        <v>0</v>
      </c>
      <c r="L34" s="37"/>
      <c r="M34" s="37">
        <f t="shared" si="3"/>
        <v>30045.066799999659</v>
      </c>
      <c r="N34" s="14"/>
    </row>
    <row r="35" spans="1:16">
      <c r="A35" s="23">
        <v>33</v>
      </c>
      <c r="B35" s="24"/>
      <c r="C35" s="14"/>
      <c r="D35" s="14"/>
      <c r="E35" s="355"/>
      <c r="F35" s="90"/>
      <c r="G35" s="37">
        <f t="shared" si="0"/>
        <v>0</v>
      </c>
      <c r="H35" s="41"/>
      <c r="I35" s="41"/>
      <c r="J35" s="37">
        <f t="shared" si="1"/>
        <v>0</v>
      </c>
      <c r="K35" s="37">
        <f t="shared" si="2"/>
        <v>0</v>
      </c>
      <c r="L35" s="37"/>
      <c r="M35" s="37">
        <f t="shared" si="3"/>
        <v>30045.066799999659</v>
      </c>
      <c r="N35" s="14"/>
    </row>
    <row r="36" spans="1:16">
      <c r="A36" s="23">
        <v>34</v>
      </c>
      <c r="B36" s="24"/>
      <c r="C36" s="14"/>
      <c r="D36" s="14"/>
      <c r="E36" s="355"/>
      <c r="F36" s="90"/>
      <c r="G36" s="37">
        <f t="shared" si="0"/>
        <v>0</v>
      </c>
      <c r="H36" s="41"/>
      <c r="I36" s="41"/>
      <c r="J36" s="37">
        <f t="shared" si="1"/>
        <v>0</v>
      </c>
      <c r="K36" s="37">
        <f t="shared" si="2"/>
        <v>0</v>
      </c>
      <c r="L36" s="37"/>
      <c r="M36" s="37">
        <f t="shared" si="3"/>
        <v>30045.066799999659</v>
      </c>
      <c r="N36" s="14"/>
      <c r="P36" s="233"/>
    </row>
    <row r="37" spans="1:16">
      <c r="A37" s="23">
        <v>35</v>
      </c>
      <c r="B37" s="24"/>
      <c r="C37" s="14"/>
      <c r="D37" s="14"/>
      <c r="E37" s="355"/>
      <c r="F37" s="90"/>
      <c r="G37" s="37">
        <f t="shared" si="0"/>
        <v>0</v>
      </c>
      <c r="H37" s="41"/>
      <c r="I37" s="41"/>
      <c r="J37" s="37">
        <f t="shared" si="1"/>
        <v>0</v>
      </c>
      <c r="K37" s="37">
        <f t="shared" si="2"/>
        <v>0</v>
      </c>
      <c r="L37" s="37"/>
      <c r="M37" s="37">
        <f t="shared" si="3"/>
        <v>30045.066799999659</v>
      </c>
      <c r="N37" s="14"/>
      <c r="P37" s="233"/>
    </row>
    <row r="38" spans="1:16">
      <c r="A38" s="23">
        <v>36</v>
      </c>
      <c r="B38" s="24"/>
      <c r="C38" s="14"/>
      <c r="D38" s="14"/>
      <c r="E38" s="90"/>
      <c r="F38" s="90"/>
      <c r="G38" s="37">
        <f t="shared" si="0"/>
        <v>0</v>
      </c>
      <c r="H38" s="41"/>
      <c r="I38" s="41"/>
      <c r="J38" s="37">
        <f t="shared" si="1"/>
        <v>0</v>
      </c>
      <c r="K38" s="37">
        <f t="shared" si="2"/>
        <v>0</v>
      </c>
      <c r="L38" s="37"/>
      <c r="M38" s="37">
        <f t="shared" si="3"/>
        <v>30045.066799999659</v>
      </c>
      <c r="N38" s="14"/>
      <c r="P38" s="233"/>
    </row>
    <row r="39" spans="1:16">
      <c r="A39" s="39"/>
      <c r="B39" s="39"/>
      <c r="C39" s="39"/>
      <c r="D39" s="39"/>
      <c r="E39" s="39">
        <f>SUM(E4:E38)</f>
        <v>27.13</v>
      </c>
      <c r="F39" s="39"/>
      <c r="G39" s="39">
        <f>SUM(G4:G38)</f>
        <v>2689.3968999999997</v>
      </c>
      <c r="H39" s="39">
        <f>SUM(H4:H38)</f>
        <v>240</v>
      </c>
      <c r="I39" s="39"/>
      <c r="J39" s="39">
        <f>SUM(J4:J38)</f>
        <v>26690.399999999998</v>
      </c>
      <c r="K39" s="39">
        <f>SUM(K4:K38)</f>
        <v>29379.796899999994</v>
      </c>
      <c r="L39" s="39">
        <f>SUM(L4:L38)</f>
        <v>0</v>
      </c>
      <c r="M39" s="39"/>
      <c r="N39" s="39"/>
    </row>
  </sheetData>
  <mergeCells count="1">
    <mergeCell ref="A1:N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6"/>
  <sheetViews>
    <sheetView workbookViewId="0">
      <pane ySplit="3" topLeftCell="A20" activePane="bottomLeft" state="frozen"/>
      <selection pane="bottomLeft" activeCell="M33" sqref="M33"/>
    </sheetView>
  </sheetViews>
  <sheetFormatPr defaultRowHeight="15"/>
  <cols>
    <col min="1" max="1" width="5.140625" style="66" bestFit="1" customWidth="1"/>
    <col min="2" max="2" width="10.85546875" style="66" bestFit="1" customWidth="1"/>
    <col min="3" max="3" width="8" style="66" bestFit="1" customWidth="1"/>
    <col min="4" max="4" width="16" style="66" bestFit="1" customWidth="1"/>
    <col min="5" max="5" width="10.7109375" style="66" bestFit="1" customWidth="1"/>
    <col min="6" max="6" width="14.5703125" style="66" bestFit="1" customWidth="1"/>
    <col min="7" max="7" width="18.28515625" style="66" customWidth="1"/>
    <col min="8" max="8" width="10.7109375" style="66" bestFit="1" customWidth="1"/>
    <col min="9" max="9" width="15.5703125" style="66" customWidth="1"/>
    <col min="10" max="10" width="10.85546875" style="66" bestFit="1" customWidth="1"/>
    <col min="11" max="11" width="14.5703125" style="66" bestFit="1" customWidth="1"/>
    <col min="12" max="12" width="13.5703125" style="66" bestFit="1" customWidth="1"/>
    <col min="13" max="13" width="13.5703125" style="66" customWidth="1"/>
    <col min="14" max="14" width="14.140625" style="66" bestFit="1" customWidth="1"/>
    <col min="15" max="15" width="11.28515625" style="66" customWidth="1"/>
    <col min="16" max="16" width="11.5703125" style="66" bestFit="1" customWidth="1"/>
    <col min="17" max="16384" width="9.140625" style="66"/>
  </cols>
  <sheetData>
    <row r="1" spans="1:17" ht="15.75">
      <c r="A1" s="606" t="s">
        <v>123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79"/>
    </row>
    <row r="2" spans="1:17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61" t="s">
        <v>175</v>
      </c>
      <c r="L2" s="82" t="s">
        <v>176</v>
      </c>
      <c r="M2" s="82" t="s">
        <v>185</v>
      </c>
      <c r="N2" s="80" t="s">
        <v>178</v>
      </c>
      <c r="O2" s="56"/>
    </row>
    <row r="3" spans="1:17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3"/>
      <c r="K3" s="156"/>
      <c r="L3" s="64">
        <v>583834.36570000043</v>
      </c>
      <c r="M3" s="156">
        <v>583834.36570000043</v>
      </c>
      <c r="N3" s="64"/>
      <c r="O3" s="56"/>
      <c r="P3" s="232"/>
    </row>
    <row r="4" spans="1:17">
      <c r="A4" s="23">
        <v>1</v>
      </c>
      <c r="B4" s="24">
        <v>46266</v>
      </c>
      <c r="C4" s="64"/>
      <c r="D4" s="152"/>
      <c r="E4" s="157">
        <v>608.23</v>
      </c>
      <c r="F4" s="157">
        <v>99.74</v>
      </c>
      <c r="G4" s="8">
        <f>E4*F4</f>
        <v>60664.860199999996</v>
      </c>
      <c r="H4" s="157">
        <v>35</v>
      </c>
      <c r="I4" s="157">
        <v>111.85</v>
      </c>
      <c r="J4" s="8">
        <f>H4*I4</f>
        <v>3914.75</v>
      </c>
      <c r="K4" s="8">
        <f>G4+J4</f>
        <v>64579.610199999996</v>
      </c>
      <c r="L4" s="158"/>
      <c r="M4" s="158">
        <f t="shared" ref="M4:M35" si="0">M3+K4-L4</f>
        <v>648413.97590000043</v>
      </c>
      <c r="N4" s="38"/>
    </row>
    <row r="5" spans="1:17">
      <c r="A5" s="23">
        <v>2</v>
      </c>
      <c r="B5" s="24">
        <v>46267</v>
      </c>
      <c r="C5" s="64"/>
      <c r="D5" s="152"/>
      <c r="E5" s="157">
        <v>230</v>
      </c>
      <c r="F5" s="157">
        <v>99.74</v>
      </c>
      <c r="G5" s="8">
        <f t="shared" ref="G5:G36" si="1">E5*F5</f>
        <v>22940.199999999997</v>
      </c>
      <c r="H5" s="157">
        <v>25</v>
      </c>
      <c r="I5" s="157">
        <v>111.85</v>
      </c>
      <c r="J5" s="8">
        <f t="shared" ref="J5:J36" si="2">H5*I5</f>
        <v>2796.25</v>
      </c>
      <c r="K5" s="8">
        <f t="shared" ref="K5:K36" si="3">G5+J5</f>
        <v>25736.449999999997</v>
      </c>
      <c r="L5" s="158">
        <v>485150.71999999997</v>
      </c>
      <c r="M5" s="158">
        <f t="shared" si="0"/>
        <v>188999.70590000041</v>
      </c>
      <c r="N5" s="38"/>
    </row>
    <row r="6" spans="1:17">
      <c r="A6" s="23">
        <v>3</v>
      </c>
      <c r="B6" s="24">
        <v>46268</v>
      </c>
      <c r="C6" s="64"/>
      <c r="D6" s="152"/>
      <c r="E6" s="157">
        <v>250</v>
      </c>
      <c r="F6" s="157">
        <v>99.74</v>
      </c>
      <c r="G6" s="8">
        <f t="shared" si="1"/>
        <v>24935</v>
      </c>
      <c r="H6" s="157"/>
      <c r="I6" s="157"/>
      <c r="J6" s="8">
        <f t="shared" si="2"/>
        <v>0</v>
      </c>
      <c r="K6" s="8">
        <f t="shared" si="3"/>
        <v>24935</v>
      </c>
      <c r="L6" s="158"/>
      <c r="M6" s="158">
        <f t="shared" si="0"/>
        <v>213934.70590000041</v>
      </c>
      <c r="N6" s="38"/>
    </row>
    <row r="7" spans="1:17">
      <c r="A7" s="23">
        <v>4</v>
      </c>
      <c r="B7" s="24">
        <v>46269</v>
      </c>
      <c r="C7" s="64"/>
      <c r="D7" s="152"/>
      <c r="E7" s="157">
        <v>40</v>
      </c>
      <c r="F7" s="157">
        <v>99.74</v>
      </c>
      <c r="G7" s="8">
        <f t="shared" si="1"/>
        <v>3989.6</v>
      </c>
      <c r="H7" s="157">
        <v>35</v>
      </c>
      <c r="I7" s="157">
        <v>111.85</v>
      </c>
      <c r="J7" s="8">
        <f t="shared" si="2"/>
        <v>3914.75</v>
      </c>
      <c r="K7" s="8">
        <f t="shared" si="3"/>
        <v>7904.35</v>
      </c>
      <c r="L7" s="158"/>
      <c r="M7" s="158">
        <f t="shared" si="0"/>
        <v>221839.05590000041</v>
      </c>
      <c r="N7" s="38"/>
    </row>
    <row r="8" spans="1:17">
      <c r="A8" s="23">
        <v>5</v>
      </c>
      <c r="B8" s="24">
        <v>46270</v>
      </c>
      <c r="C8" s="64"/>
      <c r="D8" s="152"/>
      <c r="E8" s="157">
        <v>480.24</v>
      </c>
      <c r="F8" s="157">
        <v>99.74</v>
      </c>
      <c r="G8" s="8">
        <f t="shared" si="1"/>
        <v>47899.137600000002</v>
      </c>
      <c r="H8" s="157"/>
      <c r="I8" s="157"/>
      <c r="J8" s="8">
        <f t="shared" si="2"/>
        <v>0</v>
      </c>
      <c r="K8" s="8">
        <f t="shared" si="3"/>
        <v>47899.137600000002</v>
      </c>
      <c r="L8" s="158"/>
      <c r="M8" s="158">
        <f t="shared" si="0"/>
        <v>269738.1935000004</v>
      </c>
      <c r="N8" s="38"/>
      <c r="P8" s="232"/>
    </row>
    <row r="9" spans="1:17">
      <c r="A9" s="23">
        <v>6</v>
      </c>
      <c r="B9" s="24">
        <v>46271</v>
      </c>
      <c r="C9" s="64"/>
      <c r="D9" s="152"/>
      <c r="E9" s="157">
        <v>40</v>
      </c>
      <c r="F9" s="157">
        <v>99.74</v>
      </c>
      <c r="G9" s="8">
        <f t="shared" si="1"/>
        <v>3989.6</v>
      </c>
      <c r="H9" s="157"/>
      <c r="I9" s="157"/>
      <c r="J9" s="8">
        <f t="shared" si="2"/>
        <v>0</v>
      </c>
      <c r="K9" s="8">
        <f t="shared" si="3"/>
        <v>3989.6</v>
      </c>
      <c r="L9" s="158"/>
      <c r="M9" s="158">
        <f t="shared" si="0"/>
        <v>273727.79350000038</v>
      </c>
      <c r="N9" s="38"/>
    </row>
    <row r="10" spans="1:17">
      <c r="A10" s="23">
        <v>7</v>
      </c>
      <c r="B10" s="24">
        <v>46272</v>
      </c>
      <c r="C10" s="64"/>
      <c r="D10" s="152"/>
      <c r="E10" s="157"/>
      <c r="F10" s="157"/>
      <c r="G10" s="8">
        <f t="shared" si="1"/>
        <v>0</v>
      </c>
      <c r="H10" s="157">
        <v>5</v>
      </c>
      <c r="I10" s="157">
        <v>111.86</v>
      </c>
      <c r="J10" s="8">
        <f t="shared" si="2"/>
        <v>559.29999999999995</v>
      </c>
      <c r="K10" s="8">
        <f t="shared" si="3"/>
        <v>559.29999999999995</v>
      </c>
      <c r="L10" s="158"/>
      <c r="M10" s="158">
        <f t="shared" si="0"/>
        <v>274287.09350000037</v>
      </c>
      <c r="N10" s="38"/>
    </row>
    <row r="11" spans="1:17">
      <c r="A11" s="23">
        <v>8</v>
      </c>
      <c r="B11" s="24">
        <v>46273</v>
      </c>
      <c r="C11" s="64"/>
      <c r="D11" s="152"/>
      <c r="E11" s="157">
        <v>465.29</v>
      </c>
      <c r="F11" s="157">
        <v>99.74</v>
      </c>
      <c r="G11" s="8">
        <f t="shared" si="1"/>
        <v>46408.024599999997</v>
      </c>
      <c r="H11" s="157">
        <v>35</v>
      </c>
      <c r="I11" s="157">
        <v>111.86</v>
      </c>
      <c r="J11" s="8">
        <f t="shared" si="2"/>
        <v>3915.1</v>
      </c>
      <c r="K11" s="8">
        <f t="shared" si="3"/>
        <v>50323.124599999996</v>
      </c>
      <c r="L11" s="158"/>
      <c r="M11" s="158">
        <f t="shared" si="0"/>
        <v>324610.21810000035</v>
      </c>
      <c r="N11" s="38" t="s">
        <v>167</v>
      </c>
      <c r="P11" s="231"/>
      <c r="Q11" s="232"/>
    </row>
    <row r="12" spans="1:17">
      <c r="A12" s="23">
        <v>9</v>
      </c>
      <c r="B12" s="24">
        <v>46274</v>
      </c>
      <c r="C12" s="64"/>
      <c r="D12" s="152"/>
      <c r="E12" s="157">
        <v>475</v>
      </c>
      <c r="F12" s="157">
        <v>99.74</v>
      </c>
      <c r="G12" s="8">
        <f t="shared" si="1"/>
        <v>47376.5</v>
      </c>
      <c r="H12" s="157">
        <v>45</v>
      </c>
      <c r="I12" s="157">
        <v>111.86</v>
      </c>
      <c r="J12" s="8">
        <f t="shared" si="2"/>
        <v>5033.7</v>
      </c>
      <c r="K12" s="8">
        <f t="shared" si="3"/>
        <v>52410.2</v>
      </c>
      <c r="L12" s="158"/>
      <c r="M12" s="158">
        <f t="shared" si="0"/>
        <v>377020.41810000036</v>
      </c>
      <c r="N12" s="38"/>
    </row>
    <row r="13" spans="1:17">
      <c r="A13" s="23">
        <v>10</v>
      </c>
      <c r="B13" s="24">
        <v>46275</v>
      </c>
      <c r="C13" s="64"/>
      <c r="D13" s="152"/>
      <c r="E13" s="157">
        <v>40</v>
      </c>
      <c r="F13" s="157">
        <v>99.74</v>
      </c>
      <c r="G13" s="8">
        <f t="shared" si="1"/>
        <v>3989.6</v>
      </c>
      <c r="H13" s="157"/>
      <c r="I13" s="157"/>
      <c r="J13" s="8">
        <f t="shared" si="2"/>
        <v>0</v>
      </c>
      <c r="K13" s="8">
        <f t="shared" si="3"/>
        <v>3989.6</v>
      </c>
      <c r="L13" s="158"/>
      <c r="M13" s="158">
        <f t="shared" si="0"/>
        <v>381010.01810000034</v>
      </c>
      <c r="N13" s="38"/>
    </row>
    <row r="14" spans="1:17">
      <c r="A14" s="23">
        <v>11</v>
      </c>
      <c r="B14" s="24">
        <v>46276</v>
      </c>
      <c r="C14" s="64"/>
      <c r="D14" s="152"/>
      <c r="E14" s="157">
        <v>680</v>
      </c>
      <c r="F14" s="157">
        <v>99.74</v>
      </c>
      <c r="G14" s="8">
        <f t="shared" si="1"/>
        <v>67823.199999999997</v>
      </c>
      <c r="H14" s="157">
        <v>50</v>
      </c>
      <c r="I14" s="157">
        <v>111.85</v>
      </c>
      <c r="J14" s="8">
        <f t="shared" si="2"/>
        <v>5592.5</v>
      </c>
      <c r="K14" s="8">
        <f t="shared" si="3"/>
        <v>73415.7</v>
      </c>
      <c r="L14" s="158"/>
      <c r="M14" s="158">
        <f t="shared" si="0"/>
        <v>454425.71810000035</v>
      </c>
      <c r="N14" s="38"/>
    </row>
    <row r="15" spans="1:17" ht="15.75">
      <c r="A15" s="23">
        <v>12</v>
      </c>
      <c r="B15" s="24">
        <v>46277</v>
      </c>
      <c r="C15" s="64"/>
      <c r="D15" s="152"/>
      <c r="E15" s="558">
        <v>430</v>
      </c>
      <c r="F15" s="559">
        <v>99.74</v>
      </c>
      <c r="G15" s="8">
        <f t="shared" si="1"/>
        <v>42888.2</v>
      </c>
      <c r="H15" s="157">
        <v>6</v>
      </c>
      <c r="I15" s="157">
        <v>111.85</v>
      </c>
      <c r="J15" s="8">
        <f t="shared" si="2"/>
        <v>671.09999999999991</v>
      </c>
      <c r="K15" s="8">
        <f t="shared" si="3"/>
        <v>43559.299999999996</v>
      </c>
      <c r="L15" s="158"/>
      <c r="M15" s="158">
        <f t="shared" si="0"/>
        <v>497985.01810000034</v>
      </c>
      <c r="N15" s="38"/>
    </row>
    <row r="16" spans="1:17" ht="15.75">
      <c r="A16" s="23">
        <v>13</v>
      </c>
      <c r="B16" s="24">
        <v>46278</v>
      </c>
      <c r="C16" s="64"/>
      <c r="D16" s="152"/>
      <c r="E16" s="558">
        <v>600</v>
      </c>
      <c r="F16" s="559">
        <v>99.74</v>
      </c>
      <c r="G16" s="8">
        <f t="shared" si="1"/>
        <v>59844</v>
      </c>
      <c r="H16" s="157">
        <v>35</v>
      </c>
      <c r="I16" s="157">
        <v>111.85</v>
      </c>
      <c r="J16" s="8">
        <f t="shared" si="2"/>
        <v>3914.75</v>
      </c>
      <c r="K16" s="8">
        <f t="shared" si="3"/>
        <v>63758.75</v>
      </c>
      <c r="L16" s="158"/>
      <c r="M16" s="158">
        <f t="shared" si="0"/>
        <v>561743.76810000034</v>
      </c>
      <c r="N16" s="38"/>
    </row>
    <row r="17" spans="1:17">
      <c r="A17" s="23">
        <v>14</v>
      </c>
      <c r="B17" s="24">
        <v>46279</v>
      </c>
      <c r="C17" s="64"/>
      <c r="D17" s="152"/>
      <c r="E17" s="157"/>
      <c r="F17" s="157"/>
      <c r="G17" s="8">
        <f t="shared" si="1"/>
        <v>0</v>
      </c>
      <c r="H17" s="157"/>
      <c r="I17" s="157"/>
      <c r="J17" s="8">
        <f t="shared" si="2"/>
        <v>0</v>
      </c>
      <c r="K17" s="8">
        <f t="shared" si="3"/>
        <v>0</v>
      </c>
      <c r="L17" s="158"/>
      <c r="M17" s="158">
        <f>M16+K17-L17</f>
        <v>561743.76810000034</v>
      </c>
      <c r="N17" s="38"/>
    </row>
    <row r="18" spans="1:17">
      <c r="A18" s="23">
        <v>15</v>
      </c>
      <c r="B18" s="24">
        <v>46280</v>
      </c>
      <c r="C18" s="64"/>
      <c r="D18" s="152"/>
      <c r="E18" s="157"/>
      <c r="F18" s="157"/>
      <c r="G18" s="8">
        <f t="shared" si="1"/>
        <v>0</v>
      </c>
      <c r="H18" s="157"/>
      <c r="I18" s="157"/>
      <c r="J18" s="8">
        <f t="shared" si="2"/>
        <v>0</v>
      </c>
      <c r="K18" s="8">
        <f t="shared" si="3"/>
        <v>0</v>
      </c>
      <c r="L18" s="158"/>
      <c r="M18" s="158">
        <f t="shared" si="0"/>
        <v>561743.76810000034</v>
      </c>
      <c r="N18" s="38"/>
    </row>
    <row r="19" spans="1:17">
      <c r="A19" s="23">
        <v>16</v>
      </c>
      <c r="B19" s="24">
        <v>46281</v>
      </c>
      <c r="C19" s="64"/>
      <c r="D19" s="152"/>
      <c r="E19" s="157">
        <v>240</v>
      </c>
      <c r="F19" s="157">
        <v>99.74</v>
      </c>
      <c r="G19" s="8">
        <f t="shared" si="1"/>
        <v>23937.599999999999</v>
      </c>
      <c r="H19" s="157"/>
      <c r="I19" s="157"/>
      <c r="J19" s="8">
        <f t="shared" si="2"/>
        <v>0</v>
      </c>
      <c r="K19" s="8">
        <f t="shared" si="3"/>
        <v>23937.599999999999</v>
      </c>
      <c r="L19" s="158"/>
      <c r="M19" s="158">
        <f t="shared" si="0"/>
        <v>585681.36810000031</v>
      </c>
      <c r="N19" s="38"/>
      <c r="Q19" s="232"/>
    </row>
    <row r="20" spans="1:17">
      <c r="A20" s="23">
        <v>17</v>
      </c>
      <c r="B20" s="24">
        <v>46282</v>
      </c>
      <c r="C20" s="64"/>
      <c r="D20" s="152"/>
      <c r="E20" s="157"/>
      <c r="F20" s="157"/>
      <c r="G20" s="8">
        <f t="shared" si="1"/>
        <v>0</v>
      </c>
      <c r="H20" s="157"/>
      <c r="I20" s="157"/>
      <c r="J20" s="8">
        <f t="shared" si="2"/>
        <v>0</v>
      </c>
      <c r="K20" s="8">
        <f t="shared" si="3"/>
        <v>0</v>
      </c>
      <c r="L20" s="158"/>
      <c r="M20" s="158">
        <f t="shared" si="0"/>
        <v>585681.36810000031</v>
      </c>
      <c r="N20" s="38"/>
    </row>
    <row r="21" spans="1:17">
      <c r="A21" s="23">
        <v>18</v>
      </c>
      <c r="B21" s="24">
        <v>46283</v>
      </c>
      <c r="C21" s="64"/>
      <c r="D21" s="152"/>
      <c r="E21" s="157">
        <v>475</v>
      </c>
      <c r="F21" s="157">
        <v>99.74</v>
      </c>
      <c r="G21" s="8">
        <f t="shared" si="1"/>
        <v>47376.5</v>
      </c>
      <c r="H21" s="157"/>
      <c r="I21" s="157"/>
      <c r="J21" s="8">
        <f t="shared" si="2"/>
        <v>0</v>
      </c>
      <c r="K21" s="8">
        <f t="shared" si="3"/>
        <v>47376.5</v>
      </c>
      <c r="L21" s="158"/>
      <c r="M21" s="158">
        <f t="shared" si="0"/>
        <v>633057.86810000031</v>
      </c>
      <c r="N21" s="38"/>
    </row>
    <row r="22" spans="1:17" ht="15.75">
      <c r="A22" s="23">
        <v>19</v>
      </c>
      <c r="B22" s="24">
        <v>46284</v>
      </c>
      <c r="C22" s="64"/>
      <c r="D22" s="152"/>
      <c r="E22" s="558">
        <v>400</v>
      </c>
      <c r="F22" s="559">
        <v>99.74</v>
      </c>
      <c r="G22" s="8">
        <f t="shared" si="1"/>
        <v>39896</v>
      </c>
      <c r="H22" s="157">
        <v>15</v>
      </c>
      <c r="I22" s="157">
        <v>111.85</v>
      </c>
      <c r="J22" s="8">
        <f t="shared" si="2"/>
        <v>1677.75</v>
      </c>
      <c r="K22" s="8">
        <f t="shared" si="3"/>
        <v>41573.75</v>
      </c>
      <c r="L22" s="158"/>
      <c r="M22" s="158">
        <f t="shared" si="0"/>
        <v>674631.61810000031</v>
      </c>
      <c r="N22" s="38"/>
    </row>
    <row r="23" spans="1:17" ht="15.75">
      <c r="A23" s="23">
        <v>20</v>
      </c>
      <c r="B23" s="24">
        <v>46285</v>
      </c>
      <c r="C23" s="64"/>
      <c r="D23" s="152"/>
      <c r="E23" s="558">
        <v>440</v>
      </c>
      <c r="F23" s="559">
        <v>99.74</v>
      </c>
      <c r="G23" s="8">
        <f t="shared" si="1"/>
        <v>43885.599999999999</v>
      </c>
      <c r="H23" s="157">
        <v>40</v>
      </c>
      <c r="I23" s="157">
        <v>111.85</v>
      </c>
      <c r="J23" s="8">
        <f t="shared" si="2"/>
        <v>4474</v>
      </c>
      <c r="K23" s="8">
        <f t="shared" si="3"/>
        <v>48359.6</v>
      </c>
      <c r="L23" s="158"/>
      <c r="M23" s="158">
        <f t="shared" si="0"/>
        <v>722991.21810000029</v>
      </c>
      <c r="N23" s="38"/>
    </row>
    <row r="24" spans="1:17">
      <c r="A24" s="23">
        <v>21</v>
      </c>
      <c r="B24" s="24">
        <v>46286</v>
      </c>
      <c r="C24" s="64"/>
      <c r="D24" s="152"/>
      <c r="E24" s="157"/>
      <c r="F24" s="157"/>
      <c r="G24" s="8">
        <f t="shared" si="1"/>
        <v>0</v>
      </c>
      <c r="H24" s="157"/>
      <c r="I24" s="157"/>
      <c r="J24" s="8">
        <f t="shared" si="2"/>
        <v>0</v>
      </c>
      <c r="K24" s="8">
        <f t="shared" si="3"/>
        <v>0</v>
      </c>
      <c r="L24" s="158">
        <v>0</v>
      </c>
      <c r="M24" s="158">
        <f t="shared" si="0"/>
        <v>722991.21810000029</v>
      </c>
      <c r="N24" s="38"/>
    </row>
    <row r="25" spans="1:17" ht="15.75">
      <c r="A25" s="23">
        <v>22</v>
      </c>
      <c r="B25" s="24">
        <v>46287</v>
      </c>
      <c r="C25" s="64"/>
      <c r="D25" s="152"/>
      <c r="E25" s="558">
        <v>400</v>
      </c>
      <c r="F25" s="157">
        <v>99.74</v>
      </c>
      <c r="G25" s="8">
        <f t="shared" si="1"/>
        <v>39896</v>
      </c>
      <c r="H25" s="157"/>
      <c r="I25" s="157"/>
      <c r="J25" s="8">
        <f t="shared" si="2"/>
        <v>0</v>
      </c>
      <c r="K25" s="8">
        <f t="shared" si="3"/>
        <v>39896</v>
      </c>
      <c r="L25" s="158">
        <v>0</v>
      </c>
      <c r="M25" s="158">
        <f t="shared" si="0"/>
        <v>762887.21810000029</v>
      </c>
      <c r="N25" s="38"/>
    </row>
    <row r="26" spans="1:17">
      <c r="A26" s="23">
        <v>23</v>
      </c>
      <c r="B26" s="24">
        <v>46288</v>
      </c>
      <c r="C26" s="64"/>
      <c r="D26" s="152"/>
      <c r="E26" s="157"/>
      <c r="F26" s="157"/>
      <c r="G26" s="8">
        <f t="shared" si="1"/>
        <v>0</v>
      </c>
      <c r="H26" s="157"/>
      <c r="I26" s="157"/>
      <c r="J26" s="8">
        <f t="shared" si="2"/>
        <v>0</v>
      </c>
      <c r="K26" s="8">
        <f t="shared" si="3"/>
        <v>0</v>
      </c>
      <c r="L26" s="158">
        <v>628515.98</v>
      </c>
      <c r="M26" s="158">
        <f t="shared" si="0"/>
        <v>134371.23810000031</v>
      </c>
      <c r="N26" s="38"/>
    </row>
    <row r="27" spans="1:17">
      <c r="A27" s="23">
        <v>24</v>
      </c>
      <c r="B27" s="24">
        <v>46289</v>
      </c>
      <c r="C27" s="64"/>
      <c r="D27" s="152"/>
      <c r="E27" s="157">
        <v>195</v>
      </c>
      <c r="F27" s="157">
        <v>99.74</v>
      </c>
      <c r="G27" s="8">
        <f t="shared" si="1"/>
        <v>19449.3</v>
      </c>
      <c r="H27" s="157"/>
      <c r="I27" s="157"/>
      <c r="J27" s="8">
        <f t="shared" si="2"/>
        <v>0</v>
      </c>
      <c r="K27" s="8">
        <f t="shared" si="3"/>
        <v>19449.3</v>
      </c>
      <c r="L27" s="158">
        <v>0</v>
      </c>
      <c r="M27" s="158">
        <f t="shared" si="0"/>
        <v>153820.5381000003</v>
      </c>
      <c r="N27" s="38"/>
    </row>
    <row r="28" spans="1:17">
      <c r="A28" s="23">
        <v>25</v>
      </c>
      <c r="B28" s="24">
        <v>46290</v>
      </c>
      <c r="C28" s="64"/>
      <c r="D28" s="152"/>
      <c r="E28" s="157">
        <v>472.02</v>
      </c>
      <c r="F28" s="157">
        <v>99.74</v>
      </c>
      <c r="G28" s="8">
        <f t="shared" si="1"/>
        <v>47079.274799999999</v>
      </c>
      <c r="H28" s="157">
        <v>35</v>
      </c>
      <c r="I28" s="157">
        <v>111.85</v>
      </c>
      <c r="J28" s="8">
        <f t="shared" si="2"/>
        <v>3914.75</v>
      </c>
      <c r="K28" s="8">
        <f t="shared" si="3"/>
        <v>50994.024799999999</v>
      </c>
      <c r="L28" s="158">
        <v>0</v>
      </c>
      <c r="M28" s="158">
        <f t="shared" si="0"/>
        <v>204814.56290000031</v>
      </c>
      <c r="N28" s="38"/>
    </row>
    <row r="29" spans="1:17" ht="15.75">
      <c r="A29" s="23">
        <v>26</v>
      </c>
      <c r="B29" s="24">
        <v>46291</v>
      </c>
      <c r="C29" s="64"/>
      <c r="D29" s="152"/>
      <c r="E29" s="558">
        <v>54.84</v>
      </c>
      <c r="F29" s="559">
        <v>99.74</v>
      </c>
      <c r="G29" s="8">
        <f t="shared" si="1"/>
        <v>5469.7416000000003</v>
      </c>
      <c r="H29" s="157">
        <v>15</v>
      </c>
      <c r="I29" s="157">
        <v>111.85</v>
      </c>
      <c r="J29" s="8">
        <f t="shared" si="2"/>
        <v>1677.75</v>
      </c>
      <c r="K29" s="8">
        <f t="shared" si="3"/>
        <v>7147.4916000000003</v>
      </c>
      <c r="L29" s="158">
        <v>0</v>
      </c>
      <c r="M29" s="158">
        <f t="shared" si="0"/>
        <v>211962.05450000032</v>
      </c>
      <c r="N29" s="38"/>
    </row>
    <row r="30" spans="1:17" ht="15.75">
      <c r="A30" s="23">
        <v>27</v>
      </c>
      <c r="B30" s="24">
        <v>46292</v>
      </c>
      <c r="C30" s="64"/>
      <c r="D30" s="152"/>
      <c r="E30" s="558">
        <v>35</v>
      </c>
      <c r="F30" s="559">
        <v>99.74</v>
      </c>
      <c r="G30" s="8">
        <f t="shared" si="1"/>
        <v>3490.8999999999996</v>
      </c>
      <c r="H30" s="157"/>
      <c r="I30" s="157"/>
      <c r="J30" s="8">
        <f t="shared" si="2"/>
        <v>0</v>
      </c>
      <c r="K30" s="8">
        <f t="shared" si="3"/>
        <v>3490.8999999999996</v>
      </c>
      <c r="L30" s="158">
        <v>0</v>
      </c>
      <c r="M30" s="158">
        <f t="shared" si="0"/>
        <v>215452.95450000031</v>
      </c>
      <c r="N30" s="38"/>
    </row>
    <row r="31" spans="1:17">
      <c r="A31" s="23">
        <v>28</v>
      </c>
      <c r="B31" s="24">
        <v>46293</v>
      </c>
      <c r="C31" s="187"/>
      <c r="D31" s="152"/>
      <c r="E31" s="157">
        <v>70</v>
      </c>
      <c r="F31" s="157">
        <v>99.74</v>
      </c>
      <c r="G31" s="8">
        <f t="shared" si="1"/>
        <v>6981.7999999999993</v>
      </c>
      <c r="H31" s="157"/>
      <c r="I31" s="157"/>
      <c r="J31" s="8">
        <f t="shared" si="2"/>
        <v>0</v>
      </c>
      <c r="K31" s="8">
        <f t="shared" si="3"/>
        <v>6981.7999999999993</v>
      </c>
      <c r="L31" s="158">
        <v>0</v>
      </c>
      <c r="M31" s="158">
        <f t="shared" si="0"/>
        <v>222434.7545000003</v>
      </c>
      <c r="N31" s="38"/>
    </row>
    <row r="32" spans="1:17">
      <c r="A32" s="23">
        <v>29</v>
      </c>
      <c r="B32" s="24">
        <v>46294</v>
      </c>
      <c r="C32" s="64"/>
      <c r="D32" s="152"/>
      <c r="E32" s="63">
        <v>500</v>
      </c>
      <c r="F32" s="157">
        <v>99.74</v>
      </c>
      <c r="G32" s="8">
        <f t="shared" si="1"/>
        <v>49870</v>
      </c>
      <c r="H32" s="157">
        <v>35</v>
      </c>
      <c r="I32" s="157">
        <v>111.85</v>
      </c>
      <c r="J32" s="8">
        <f t="shared" si="2"/>
        <v>3914.75</v>
      </c>
      <c r="K32" s="8">
        <f t="shared" si="3"/>
        <v>53784.75</v>
      </c>
      <c r="L32" s="158">
        <v>0</v>
      </c>
      <c r="M32" s="158">
        <f t="shared" si="0"/>
        <v>276219.50450000027</v>
      </c>
      <c r="N32" s="38"/>
    </row>
    <row r="33" spans="1:15">
      <c r="A33" s="23">
        <v>30</v>
      </c>
      <c r="B33" s="24">
        <v>46295</v>
      </c>
      <c r="C33" s="64"/>
      <c r="D33" s="152"/>
      <c r="E33" s="157">
        <v>245</v>
      </c>
      <c r="F33" s="157">
        <v>99.74</v>
      </c>
      <c r="G33" s="8">
        <f t="shared" si="1"/>
        <v>24436.3</v>
      </c>
      <c r="H33" s="157"/>
      <c r="I33" s="157"/>
      <c r="J33" s="8">
        <f t="shared" si="2"/>
        <v>0</v>
      </c>
      <c r="K33" s="8">
        <f t="shared" si="3"/>
        <v>24436.3</v>
      </c>
      <c r="L33" s="158">
        <v>0</v>
      </c>
      <c r="M33" s="158">
        <f t="shared" si="0"/>
        <v>300655.80450000026</v>
      </c>
      <c r="N33" s="38"/>
    </row>
    <row r="34" spans="1:15">
      <c r="A34" s="23">
        <v>31</v>
      </c>
      <c r="B34" s="24"/>
      <c r="C34" s="64"/>
      <c r="D34" s="152"/>
      <c r="E34" s="157"/>
      <c r="F34" s="157"/>
      <c r="G34" s="8">
        <f t="shared" si="1"/>
        <v>0</v>
      </c>
      <c r="H34" s="157"/>
      <c r="I34" s="157"/>
      <c r="J34" s="8">
        <f t="shared" si="2"/>
        <v>0</v>
      </c>
      <c r="K34" s="8">
        <f t="shared" si="3"/>
        <v>0</v>
      </c>
      <c r="L34" s="158">
        <v>0</v>
      </c>
      <c r="M34" s="158">
        <f t="shared" si="0"/>
        <v>300655.80450000026</v>
      </c>
      <c r="N34" s="38"/>
    </row>
    <row r="35" spans="1:15">
      <c r="A35" s="23">
        <v>32</v>
      </c>
      <c r="B35" s="24"/>
      <c r="C35" s="64"/>
      <c r="D35" s="152"/>
      <c r="E35" s="157"/>
      <c r="F35" s="157"/>
      <c r="G35" s="8">
        <f t="shared" si="1"/>
        <v>0</v>
      </c>
      <c r="H35" s="157"/>
      <c r="I35" s="157"/>
      <c r="J35" s="8">
        <f t="shared" si="2"/>
        <v>0</v>
      </c>
      <c r="K35" s="8">
        <f t="shared" si="3"/>
        <v>0</v>
      </c>
      <c r="L35" s="158">
        <v>0</v>
      </c>
      <c r="M35" s="158">
        <f t="shared" si="0"/>
        <v>300655.80450000026</v>
      </c>
      <c r="N35" s="38"/>
    </row>
    <row r="36" spans="1:15">
      <c r="A36" s="23">
        <v>33</v>
      </c>
      <c r="B36" s="24"/>
      <c r="C36" s="64"/>
      <c r="D36" s="152"/>
      <c r="E36" s="157"/>
      <c r="F36" s="157"/>
      <c r="G36" s="8">
        <f t="shared" si="1"/>
        <v>0</v>
      </c>
      <c r="H36" s="157"/>
      <c r="I36" s="157"/>
      <c r="J36" s="8">
        <f t="shared" si="2"/>
        <v>0</v>
      </c>
      <c r="K36" s="8">
        <f t="shared" si="3"/>
        <v>0</v>
      </c>
      <c r="L36" s="158">
        <v>0</v>
      </c>
      <c r="M36" s="158">
        <f>M35+K36-L36</f>
        <v>300655.80450000026</v>
      </c>
      <c r="N36" s="38"/>
    </row>
    <row r="37" spans="1:15">
      <c r="A37" s="153"/>
      <c r="B37" s="153"/>
      <c r="C37" s="153"/>
      <c r="D37" s="153"/>
      <c r="E37" s="154">
        <f>SUM(E4:E36)</f>
        <v>7865.6200000000008</v>
      </c>
      <c r="F37" s="154"/>
      <c r="G37" s="154">
        <f>SUM(G4:G36)</f>
        <v>784516.93880000012</v>
      </c>
      <c r="H37" s="154">
        <f>SUM(H4:H36)</f>
        <v>411</v>
      </c>
      <c r="I37" s="60"/>
      <c r="J37" s="154">
        <f>SUM(J4:J36)</f>
        <v>45971.199999999997</v>
      </c>
      <c r="K37" s="154">
        <f>SUM(K4:K36)</f>
        <v>830488.13880000007</v>
      </c>
      <c r="L37" s="154">
        <f>SUM(L4:L36)</f>
        <v>1113666.7</v>
      </c>
      <c r="M37" s="154"/>
      <c r="N37" s="60"/>
      <c r="O37" s="56"/>
    </row>
    <row r="38" spans="1:15">
      <c r="A38" s="69"/>
      <c r="B38" s="70"/>
      <c r="C38" s="69"/>
      <c r="D38" s="69"/>
      <c r="E38" s="71"/>
      <c r="F38" s="71"/>
      <c r="G38" s="71"/>
      <c r="H38" s="71"/>
      <c r="I38" s="71"/>
      <c r="J38" s="72"/>
      <c r="K38" s="72"/>
      <c r="L38" s="72"/>
      <c r="M38" s="72"/>
      <c r="N38" s="71"/>
    </row>
    <row r="44" spans="1:15">
      <c r="B44" s="56"/>
      <c r="G44" s="73"/>
      <c r="J44" s="56"/>
      <c r="K44" s="56"/>
      <c r="L44" s="56"/>
      <c r="M44" s="56"/>
      <c r="O44" s="71"/>
    </row>
    <row r="45" spans="1:15">
      <c r="B45" s="599"/>
      <c r="C45" s="599"/>
      <c r="D45" s="599"/>
      <c r="E45" s="599"/>
      <c r="I45" s="599"/>
      <c r="J45" s="599"/>
      <c r="K45" s="599"/>
      <c r="L45" s="599"/>
      <c r="M45" s="599"/>
      <c r="N45" s="599"/>
      <c r="O45" s="71"/>
    </row>
    <row r="46" spans="1:15">
      <c r="B46" s="56"/>
      <c r="J46" s="56"/>
      <c r="K46" s="56"/>
      <c r="L46" s="56"/>
      <c r="M46" s="56"/>
      <c r="O46" s="71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4708-290B-4AF1-B44A-9672881C5B56}">
  <dimension ref="A1:Q47"/>
  <sheetViews>
    <sheetView workbookViewId="0">
      <pane ySplit="3" topLeftCell="B4" activePane="bottomLeft" state="frozen"/>
      <selection pane="bottomLeft" activeCell="N13" sqref="N13"/>
    </sheetView>
  </sheetViews>
  <sheetFormatPr defaultRowHeight="15"/>
  <cols>
    <col min="2" max="2" width="18.28515625" customWidth="1"/>
    <col min="4" max="4" width="11.42578125" customWidth="1"/>
    <col min="7" max="7" width="14.7109375" customWidth="1"/>
    <col min="10" max="10" width="13.7109375" customWidth="1"/>
    <col min="11" max="11" width="23.7109375" customWidth="1"/>
    <col min="12" max="12" width="19" customWidth="1"/>
    <col min="13" max="13" width="18.140625" customWidth="1"/>
    <col min="14" max="14" width="32.140625" bestFit="1" customWidth="1"/>
  </cols>
  <sheetData>
    <row r="1" spans="1:17" ht="15.75">
      <c r="A1" s="602" t="s">
        <v>217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74"/>
      <c r="P1" s="74"/>
      <c r="Q1" s="74"/>
    </row>
    <row r="2" spans="1:17" ht="30.75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219" t="s">
        <v>176</v>
      </c>
      <c r="M2" s="138" t="s">
        <v>185</v>
      </c>
      <c r="N2" s="98" t="s">
        <v>178</v>
      </c>
      <c r="O2" s="74"/>
      <c r="P2" s="74"/>
      <c r="Q2" s="74"/>
    </row>
    <row r="3" spans="1:17">
      <c r="A3" s="610" t="s">
        <v>179</v>
      </c>
      <c r="B3" s="611"/>
      <c r="C3" s="611"/>
      <c r="D3" s="611"/>
      <c r="E3" s="611"/>
      <c r="F3" s="611"/>
      <c r="G3" s="611"/>
      <c r="H3" s="611"/>
      <c r="I3" s="611"/>
      <c r="J3" s="612"/>
      <c r="K3" s="201"/>
      <c r="L3" s="201">
        <v>170641.05489999999</v>
      </c>
      <c r="M3" s="201">
        <v>170641.05489999999</v>
      </c>
      <c r="N3" s="149"/>
      <c r="O3" s="74"/>
      <c r="P3" s="74"/>
      <c r="Q3" s="74"/>
    </row>
    <row r="4" spans="1:17">
      <c r="A4" s="23">
        <v>1</v>
      </c>
      <c r="B4" s="24">
        <v>46266</v>
      </c>
      <c r="C4" s="22"/>
      <c r="D4" s="15"/>
      <c r="E4" s="44">
        <v>85</v>
      </c>
      <c r="F4" s="44">
        <v>99.73</v>
      </c>
      <c r="G4" s="8">
        <f>E4*F4</f>
        <v>8477.0500000000011</v>
      </c>
      <c r="H4" s="44"/>
      <c r="I4" s="407"/>
      <c r="J4" s="8">
        <f>H4*I4</f>
        <v>0</v>
      </c>
      <c r="K4" s="8">
        <f>G4+J4</f>
        <v>8477.0500000000011</v>
      </c>
      <c r="L4" s="242">
        <v>100000</v>
      </c>
      <c r="M4" s="8">
        <f>M3+K4-L4</f>
        <v>79118.104899999977</v>
      </c>
      <c r="N4" s="8"/>
      <c r="O4" s="74"/>
      <c r="P4" s="74"/>
      <c r="Q4" s="74"/>
    </row>
    <row r="5" spans="1:17">
      <c r="A5" s="23">
        <v>2</v>
      </c>
      <c r="B5" s="24">
        <v>46267</v>
      </c>
      <c r="C5" s="22"/>
      <c r="D5" s="15"/>
      <c r="E5" s="44">
        <v>400</v>
      </c>
      <c r="F5" s="44">
        <v>99.73</v>
      </c>
      <c r="G5" s="8">
        <f t="shared" ref="G5:G37" si="0">E5*F5</f>
        <v>39892</v>
      </c>
      <c r="H5" s="44"/>
      <c r="I5" s="407"/>
      <c r="J5" s="8">
        <f>H5*I5</f>
        <v>0</v>
      </c>
      <c r="K5" s="8">
        <f t="shared" ref="K5:K37" si="1">G5+J5</f>
        <v>39892</v>
      </c>
      <c r="L5" s="242"/>
      <c r="M5" s="8">
        <f t="shared" ref="M5:M36" si="2">M4+K5-L5</f>
        <v>119010.10489999998</v>
      </c>
      <c r="N5" s="8"/>
      <c r="O5" s="74"/>
      <c r="P5" s="74"/>
      <c r="Q5" s="74"/>
    </row>
    <row r="6" spans="1:17">
      <c r="A6" s="23">
        <v>3</v>
      </c>
      <c r="B6" s="24">
        <v>46268</v>
      </c>
      <c r="C6" s="22"/>
      <c r="D6" s="15"/>
      <c r="E6" s="44"/>
      <c r="F6" s="44"/>
      <c r="G6" s="8">
        <f t="shared" si="0"/>
        <v>0</v>
      </c>
      <c r="H6" s="44"/>
      <c r="I6" s="407"/>
      <c r="J6" s="8">
        <f t="shared" ref="J6:J37" si="3">H6*I6</f>
        <v>0</v>
      </c>
      <c r="K6" s="8">
        <f t="shared" si="1"/>
        <v>0</v>
      </c>
      <c r="L6" s="242"/>
      <c r="M6" s="8">
        <f t="shared" si="2"/>
        <v>119010.10489999998</v>
      </c>
      <c r="N6" s="8"/>
      <c r="O6" s="74"/>
      <c r="P6" s="74"/>
      <c r="Q6" s="74"/>
    </row>
    <row r="7" spans="1:17">
      <c r="A7" s="23">
        <v>4</v>
      </c>
      <c r="B7" s="24">
        <v>46269</v>
      </c>
      <c r="C7" s="22"/>
      <c r="D7" s="15"/>
      <c r="E7" s="44"/>
      <c r="F7" s="44"/>
      <c r="G7" s="8">
        <f t="shared" si="0"/>
        <v>0</v>
      </c>
      <c r="H7" s="44"/>
      <c r="I7" s="407"/>
      <c r="J7" s="8">
        <f t="shared" si="3"/>
        <v>0</v>
      </c>
      <c r="K7" s="8">
        <f t="shared" si="1"/>
        <v>0</v>
      </c>
      <c r="L7" s="242"/>
      <c r="M7" s="8">
        <f t="shared" si="2"/>
        <v>119010.10489999998</v>
      </c>
      <c r="N7" s="8"/>
      <c r="O7" s="74"/>
      <c r="P7" s="74"/>
      <c r="Q7" s="74"/>
    </row>
    <row r="8" spans="1:17">
      <c r="A8" s="23">
        <v>5</v>
      </c>
      <c r="B8" s="24">
        <v>46270</v>
      </c>
      <c r="C8" s="22"/>
      <c r="D8" s="15"/>
      <c r="E8" s="44">
        <v>400</v>
      </c>
      <c r="F8" s="44">
        <v>99.73</v>
      </c>
      <c r="G8" s="8">
        <f t="shared" si="0"/>
        <v>39892</v>
      </c>
      <c r="H8" s="44"/>
      <c r="I8" s="44"/>
      <c r="J8" s="8">
        <f t="shared" si="3"/>
        <v>0</v>
      </c>
      <c r="K8" s="8">
        <f t="shared" si="1"/>
        <v>39892</v>
      </c>
      <c r="L8" s="242"/>
      <c r="M8" s="8">
        <f t="shared" si="2"/>
        <v>158902.10489999998</v>
      </c>
      <c r="N8" s="8"/>
      <c r="O8" s="74"/>
      <c r="P8" s="74"/>
      <c r="Q8" s="74"/>
    </row>
    <row r="9" spans="1:17">
      <c r="A9" s="23">
        <v>6</v>
      </c>
      <c r="B9" s="24">
        <v>46271</v>
      </c>
      <c r="C9" s="22"/>
      <c r="D9" s="15"/>
      <c r="E9" s="44"/>
      <c r="F9" s="44"/>
      <c r="G9" s="8">
        <f t="shared" si="0"/>
        <v>0</v>
      </c>
      <c r="H9" s="44"/>
      <c r="I9" s="44"/>
      <c r="J9" s="8">
        <f t="shared" si="3"/>
        <v>0</v>
      </c>
      <c r="K9" s="8">
        <f t="shared" si="1"/>
        <v>0</v>
      </c>
      <c r="L9" s="242"/>
      <c r="M9" s="8">
        <f t="shared" si="2"/>
        <v>158902.10489999998</v>
      </c>
      <c r="N9" s="8"/>
      <c r="O9" s="74"/>
      <c r="P9" s="74"/>
      <c r="Q9" s="74"/>
    </row>
    <row r="10" spans="1:17">
      <c r="A10" s="23">
        <v>7</v>
      </c>
      <c r="B10" s="24">
        <v>46272</v>
      </c>
      <c r="C10" s="22"/>
      <c r="D10" s="15"/>
      <c r="E10" s="44"/>
      <c r="F10" s="44"/>
      <c r="G10" s="8">
        <f t="shared" si="0"/>
        <v>0</v>
      </c>
      <c r="H10" s="44"/>
      <c r="I10" s="44"/>
      <c r="J10" s="8">
        <f t="shared" si="3"/>
        <v>0</v>
      </c>
      <c r="K10" s="8">
        <f t="shared" si="1"/>
        <v>0</v>
      </c>
      <c r="L10" s="242"/>
      <c r="M10" s="8">
        <f t="shared" si="2"/>
        <v>158902.10489999998</v>
      </c>
      <c r="N10" s="8"/>
      <c r="O10" s="74"/>
      <c r="P10" s="74"/>
      <c r="Q10" s="74"/>
    </row>
    <row r="11" spans="1:17">
      <c r="A11" s="23">
        <v>8</v>
      </c>
      <c r="B11" s="24">
        <v>46273</v>
      </c>
      <c r="C11" s="22"/>
      <c r="D11" s="15"/>
      <c r="E11" s="44">
        <v>280</v>
      </c>
      <c r="F11" s="44">
        <v>99.73</v>
      </c>
      <c r="G11" s="8">
        <f t="shared" si="0"/>
        <v>27924.400000000001</v>
      </c>
      <c r="H11" s="44">
        <v>10</v>
      </c>
      <c r="I11" s="44">
        <v>111.85</v>
      </c>
      <c r="J11" s="8">
        <f t="shared" si="3"/>
        <v>1118.5</v>
      </c>
      <c r="K11" s="8">
        <f t="shared" si="1"/>
        <v>29042.9</v>
      </c>
      <c r="L11" s="242"/>
      <c r="M11" s="8">
        <f t="shared" si="2"/>
        <v>187945.00489999997</v>
      </c>
      <c r="N11" s="8"/>
      <c r="O11" s="74"/>
      <c r="P11" s="74"/>
      <c r="Q11" s="74"/>
    </row>
    <row r="12" spans="1:17">
      <c r="A12" s="23">
        <v>9</v>
      </c>
      <c r="B12" s="24">
        <v>46274</v>
      </c>
      <c r="C12" s="22"/>
      <c r="D12" s="15"/>
      <c r="E12" s="256">
        <v>10.14</v>
      </c>
      <c r="F12" s="283">
        <v>98.63</v>
      </c>
      <c r="G12" s="8">
        <f t="shared" si="0"/>
        <v>1000.1082</v>
      </c>
      <c r="H12" s="256"/>
      <c r="I12" s="44"/>
      <c r="J12" s="8">
        <f t="shared" si="3"/>
        <v>0</v>
      </c>
      <c r="K12" s="8">
        <f t="shared" si="1"/>
        <v>1000.1082</v>
      </c>
      <c r="L12" s="242">
        <v>1000.11</v>
      </c>
      <c r="M12" s="8">
        <f t="shared" si="2"/>
        <v>187945.00309999997</v>
      </c>
      <c r="N12" s="8"/>
      <c r="O12" s="74"/>
      <c r="P12" s="74"/>
      <c r="Q12" s="74"/>
    </row>
    <row r="13" spans="1:17">
      <c r="A13" s="23">
        <v>10</v>
      </c>
      <c r="B13" s="24">
        <v>46275</v>
      </c>
      <c r="C13" s="22"/>
      <c r="D13" s="15"/>
      <c r="E13" s="256"/>
      <c r="F13" s="283"/>
      <c r="G13" s="8">
        <f t="shared" si="0"/>
        <v>0</v>
      </c>
      <c r="H13" s="256"/>
      <c r="I13" s="44"/>
      <c r="J13" s="8">
        <f t="shared" si="3"/>
        <v>0</v>
      </c>
      <c r="K13" s="8">
        <f t="shared" si="1"/>
        <v>0</v>
      </c>
      <c r="L13" s="242"/>
      <c r="M13" s="8">
        <f t="shared" si="2"/>
        <v>187945.00309999997</v>
      </c>
      <c r="N13" s="16"/>
      <c r="O13" s="74"/>
      <c r="P13" s="74"/>
      <c r="Q13" s="74"/>
    </row>
    <row r="14" spans="1:17">
      <c r="A14" s="23">
        <v>11</v>
      </c>
      <c r="B14" s="24">
        <v>46276</v>
      </c>
      <c r="C14" s="22"/>
      <c r="D14" s="15"/>
      <c r="E14" s="44"/>
      <c r="F14" s="44"/>
      <c r="G14" s="8">
        <f t="shared" si="0"/>
        <v>0</v>
      </c>
      <c r="H14" s="44"/>
      <c r="I14" s="283"/>
      <c r="J14" s="8">
        <f t="shared" si="3"/>
        <v>0</v>
      </c>
      <c r="K14" s="8">
        <f t="shared" si="1"/>
        <v>0</v>
      </c>
      <c r="L14" s="242"/>
      <c r="M14" s="8">
        <f t="shared" si="2"/>
        <v>187945.00309999997</v>
      </c>
      <c r="N14" s="16"/>
      <c r="O14" s="74"/>
      <c r="P14" s="74"/>
      <c r="Q14" s="74"/>
    </row>
    <row r="15" spans="1:17">
      <c r="A15" s="23">
        <v>12</v>
      </c>
      <c r="B15" s="24">
        <v>46277</v>
      </c>
      <c r="C15" s="22"/>
      <c r="D15" s="15"/>
      <c r="E15" s="44"/>
      <c r="F15" s="44"/>
      <c r="G15" s="8">
        <f t="shared" si="0"/>
        <v>0</v>
      </c>
      <c r="H15" s="44"/>
      <c r="I15" s="44"/>
      <c r="J15" s="8">
        <f t="shared" si="3"/>
        <v>0</v>
      </c>
      <c r="K15" s="8">
        <f t="shared" si="1"/>
        <v>0</v>
      </c>
      <c r="L15" s="242"/>
      <c r="M15" s="8">
        <f t="shared" si="2"/>
        <v>187945.00309999997</v>
      </c>
      <c r="N15" s="16"/>
      <c r="O15" s="74"/>
      <c r="P15" s="74"/>
      <c r="Q15" s="74"/>
    </row>
    <row r="16" spans="1:17">
      <c r="A16" s="23">
        <v>13</v>
      </c>
      <c r="B16" s="24">
        <v>46278</v>
      </c>
      <c r="C16" s="22"/>
      <c r="D16" s="15"/>
      <c r="E16" s="44"/>
      <c r="F16" s="44"/>
      <c r="G16" s="8">
        <f t="shared" si="0"/>
        <v>0</v>
      </c>
      <c r="H16" s="44"/>
      <c r="I16" s="44"/>
      <c r="J16" s="8">
        <f t="shared" si="3"/>
        <v>0</v>
      </c>
      <c r="K16" s="8">
        <f t="shared" si="1"/>
        <v>0</v>
      </c>
      <c r="L16" s="242"/>
      <c r="M16" s="8">
        <f t="shared" si="2"/>
        <v>187945.00309999997</v>
      </c>
      <c r="N16" s="16"/>
      <c r="O16" s="74"/>
      <c r="P16" s="74"/>
      <c r="Q16" s="74"/>
    </row>
    <row r="17" spans="1:17">
      <c r="A17" s="23">
        <v>14</v>
      </c>
      <c r="B17" s="24">
        <v>46279</v>
      </c>
      <c r="C17" s="22"/>
      <c r="D17" s="15"/>
      <c r="E17" s="44"/>
      <c r="F17" s="44"/>
      <c r="G17" s="8">
        <f t="shared" si="0"/>
        <v>0</v>
      </c>
      <c r="H17" s="44"/>
      <c r="I17" s="283"/>
      <c r="J17" s="8">
        <f t="shared" si="3"/>
        <v>0</v>
      </c>
      <c r="K17" s="8">
        <f t="shared" si="1"/>
        <v>0</v>
      </c>
      <c r="L17" s="242"/>
      <c r="M17" s="8">
        <f t="shared" si="2"/>
        <v>187945.00309999997</v>
      </c>
      <c r="N17" s="16"/>
      <c r="O17" s="74"/>
      <c r="P17" s="74"/>
      <c r="Q17" s="74"/>
    </row>
    <row r="18" spans="1:17">
      <c r="A18" s="23">
        <v>15</v>
      </c>
      <c r="B18" s="24">
        <v>46280</v>
      </c>
      <c r="C18" s="22"/>
      <c r="D18" s="15"/>
      <c r="E18" s="44">
        <v>320</v>
      </c>
      <c r="F18" s="44">
        <v>99.73</v>
      </c>
      <c r="G18" s="8">
        <f t="shared" si="0"/>
        <v>31913.600000000002</v>
      </c>
      <c r="H18" s="44">
        <v>15</v>
      </c>
      <c r="I18" s="44">
        <v>111.85</v>
      </c>
      <c r="J18" s="8">
        <f t="shared" si="3"/>
        <v>1677.75</v>
      </c>
      <c r="K18" s="8">
        <f t="shared" si="1"/>
        <v>33591.350000000006</v>
      </c>
      <c r="L18" s="242"/>
      <c r="M18" s="8">
        <f t="shared" si="2"/>
        <v>221536.35309999998</v>
      </c>
      <c r="N18" s="16"/>
      <c r="O18" s="74"/>
      <c r="P18" s="74"/>
      <c r="Q18" s="74"/>
    </row>
    <row r="19" spans="1:17">
      <c r="A19" s="23">
        <v>16</v>
      </c>
      <c r="B19" s="24">
        <v>46281</v>
      </c>
      <c r="C19" s="22"/>
      <c r="D19" s="15"/>
      <c r="E19" s="44"/>
      <c r="F19" s="44"/>
      <c r="G19" s="8">
        <f t="shared" si="0"/>
        <v>0</v>
      </c>
      <c r="H19" s="44"/>
      <c r="I19" s="44"/>
      <c r="J19" s="8">
        <f t="shared" si="3"/>
        <v>0</v>
      </c>
      <c r="K19" s="8">
        <f t="shared" si="1"/>
        <v>0</v>
      </c>
      <c r="L19" s="242"/>
      <c r="M19" s="8">
        <f t="shared" si="2"/>
        <v>221536.35309999998</v>
      </c>
      <c r="N19" s="16"/>
      <c r="O19" s="74"/>
      <c r="P19" s="74"/>
      <c r="Q19" s="74"/>
    </row>
    <row r="20" spans="1:17">
      <c r="A20" s="23">
        <v>17</v>
      </c>
      <c r="B20" s="24">
        <v>46282</v>
      </c>
      <c r="C20" s="22"/>
      <c r="D20" s="141"/>
      <c r="E20" s="551"/>
      <c r="F20" s="552"/>
      <c r="G20" s="8">
        <f t="shared" si="0"/>
        <v>0</v>
      </c>
      <c r="H20" s="44">
        <v>42</v>
      </c>
      <c r="I20" s="44">
        <v>111.85</v>
      </c>
      <c r="J20" s="8">
        <f t="shared" si="3"/>
        <v>4697.7</v>
      </c>
      <c r="K20" s="8">
        <f t="shared" si="1"/>
        <v>4697.7</v>
      </c>
      <c r="L20" s="242"/>
      <c r="M20" s="8">
        <f t="shared" si="2"/>
        <v>226234.05309999999</v>
      </c>
      <c r="N20" s="16"/>
      <c r="O20" s="74"/>
      <c r="P20" s="74"/>
      <c r="Q20" s="74"/>
    </row>
    <row r="21" spans="1:17">
      <c r="A21" s="23">
        <v>18</v>
      </c>
      <c r="B21" s="24">
        <v>46283</v>
      </c>
      <c r="C21" s="22"/>
      <c r="D21" s="141"/>
      <c r="E21" s="551"/>
      <c r="F21" s="552"/>
      <c r="G21" s="8">
        <f t="shared" si="0"/>
        <v>0</v>
      </c>
      <c r="H21" s="44"/>
      <c r="I21" s="44"/>
      <c r="J21" s="8">
        <f t="shared" si="3"/>
        <v>0</v>
      </c>
      <c r="K21" s="8">
        <f t="shared" si="1"/>
        <v>0</v>
      </c>
      <c r="L21" s="242"/>
      <c r="M21" s="8">
        <f t="shared" si="2"/>
        <v>226234.05309999999</v>
      </c>
      <c r="N21" s="16"/>
      <c r="O21" s="74"/>
      <c r="P21" s="74"/>
      <c r="Q21" s="74"/>
    </row>
    <row r="22" spans="1:17">
      <c r="A22" s="23">
        <v>19</v>
      </c>
      <c r="B22" s="24">
        <v>46284</v>
      </c>
      <c r="C22" s="22"/>
      <c r="D22" s="141"/>
      <c r="E22" s="551">
        <v>40</v>
      </c>
      <c r="F22" s="552">
        <v>99.73</v>
      </c>
      <c r="G22" s="8">
        <f t="shared" si="0"/>
        <v>3989.2000000000003</v>
      </c>
      <c r="H22" s="44"/>
      <c r="I22" s="44"/>
      <c r="J22" s="8">
        <f t="shared" si="3"/>
        <v>0</v>
      </c>
      <c r="K22" s="8">
        <f t="shared" si="1"/>
        <v>3989.2000000000003</v>
      </c>
      <c r="L22" s="242"/>
      <c r="M22" s="8">
        <f t="shared" si="2"/>
        <v>230223.2531</v>
      </c>
      <c r="N22" s="16"/>
      <c r="O22" s="74"/>
      <c r="P22" s="74"/>
      <c r="Q22" s="74"/>
    </row>
    <row r="23" spans="1:17">
      <c r="A23" s="23">
        <v>20</v>
      </c>
      <c r="B23" s="24">
        <v>46285</v>
      </c>
      <c r="C23" s="22"/>
      <c r="D23" s="15"/>
      <c r="E23" s="44"/>
      <c r="F23" s="44"/>
      <c r="G23" s="8">
        <f t="shared" si="0"/>
        <v>0</v>
      </c>
      <c r="H23" s="44"/>
      <c r="I23" s="44"/>
      <c r="J23" s="8">
        <f t="shared" si="3"/>
        <v>0</v>
      </c>
      <c r="K23" s="8">
        <f t="shared" si="1"/>
        <v>0</v>
      </c>
      <c r="L23" s="242"/>
      <c r="M23" s="8">
        <f t="shared" si="2"/>
        <v>230223.2531</v>
      </c>
      <c r="N23" s="16"/>
      <c r="O23" s="74"/>
      <c r="P23" s="74"/>
      <c r="Q23" s="74"/>
    </row>
    <row r="24" spans="1:17">
      <c r="A24" s="23">
        <v>21</v>
      </c>
      <c r="B24" s="24">
        <v>46286</v>
      </c>
      <c r="C24" s="22"/>
      <c r="D24" s="15"/>
      <c r="E24" s="44">
        <v>35</v>
      </c>
      <c r="F24" s="44">
        <v>99.73</v>
      </c>
      <c r="G24" s="8">
        <f t="shared" si="0"/>
        <v>3490.55</v>
      </c>
      <c r="H24" s="44"/>
      <c r="I24" s="44"/>
      <c r="J24" s="8">
        <f t="shared" si="3"/>
        <v>0</v>
      </c>
      <c r="K24" s="8">
        <f t="shared" si="1"/>
        <v>3490.55</v>
      </c>
      <c r="L24" s="242"/>
      <c r="M24" s="8">
        <f t="shared" si="2"/>
        <v>233713.80309999999</v>
      </c>
      <c r="N24" s="16"/>
      <c r="O24" s="74"/>
      <c r="P24" s="74"/>
      <c r="Q24" s="74"/>
    </row>
    <row r="25" spans="1:17">
      <c r="A25" s="23">
        <v>22</v>
      </c>
      <c r="B25" s="24">
        <v>46287</v>
      </c>
      <c r="C25" s="22"/>
      <c r="D25" s="15"/>
      <c r="E25" s="436">
        <v>200</v>
      </c>
      <c r="F25" s="407">
        <v>99.73</v>
      </c>
      <c r="G25" s="8">
        <f t="shared" si="0"/>
        <v>19946</v>
      </c>
      <c r="H25" s="44">
        <v>35</v>
      </c>
      <c r="I25" s="44">
        <v>111.85</v>
      </c>
      <c r="J25" s="8">
        <f t="shared" si="3"/>
        <v>3914.75</v>
      </c>
      <c r="K25" s="8">
        <f t="shared" si="1"/>
        <v>23860.75</v>
      </c>
      <c r="L25" s="242"/>
      <c r="M25" s="8">
        <f t="shared" si="2"/>
        <v>257574.55309999999</v>
      </c>
      <c r="N25" s="16"/>
      <c r="O25" s="74"/>
      <c r="P25" s="74"/>
      <c r="Q25" s="74"/>
    </row>
    <row r="26" spans="1:17">
      <c r="A26" s="23">
        <v>23</v>
      </c>
      <c r="B26" s="24">
        <v>46288</v>
      </c>
      <c r="C26" s="22"/>
      <c r="D26" s="15"/>
      <c r="E26" s="44">
        <v>25</v>
      </c>
      <c r="F26" s="44">
        <v>99.73</v>
      </c>
      <c r="G26" s="8">
        <f t="shared" si="0"/>
        <v>2493.25</v>
      </c>
      <c r="H26" s="44"/>
      <c r="I26" s="44"/>
      <c r="J26" s="8">
        <f t="shared" si="3"/>
        <v>0</v>
      </c>
      <c r="K26" s="8">
        <f t="shared" si="1"/>
        <v>2493.25</v>
      </c>
      <c r="L26" s="242"/>
      <c r="M26" s="8">
        <f t="shared" si="2"/>
        <v>260067.80309999999</v>
      </c>
      <c r="N26" s="16"/>
      <c r="O26" s="74"/>
      <c r="P26" s="74"/>
      <c r="Q26" s="74"/>
    </row>
    <row r="27" spans="1:17">
      <c r="A27" s="23">
        <v>24</v>
      </c>
      <c r="B27" s="24">
        <v>46289</v>
      </c>
      <c r="C27" s="22"/>
      <c r="D27" s="15"/>
      <c r="E27" s="44"/>
      <c r="F27" s="44"/>
      <c r="G27" s="8">
        <f t="shared" si="0"/>
        <v>0</v>
      </c>
      <c r="H27" s="44"/>
      <c r="I27" s="44"/>
      <c r="J27" s="8">
        <f t="shared" si="3"/>
        <v>0</v>
      </c>
      <c r="K27" s="8">
        <f t="shared" si="1"/>
        <v>0</v>
      </c>
      <c r="L27" s="242">
        <v>130000</v>
      </c>
      <c r="M27" s="8">
        <f t="shared" si="2"/>
        <v>130067.80309999999</v>
      </c>
      <c r="N27" s="16"/>
      <c r="O27" s="74"/>
      <c r="P27" s="74"/>
      <c r="Q27" s="74"/>
    </row>
    <row r="28" spans="1:17">
      <c r="A28" s="23">
        <v>25</v>
      </c>
      <c r="B28" s="24">
        <v>46290</v>
      </c>
      <c r="C28" s="22"/>
      <c r="D28" s="15"/>
      <c r="E28" s="44">
        <v>275</v>
      </c>
      <c r="F28" s="44">
        <v>99.73</v>
      </c>
      <c r="G28" s="8">
        <f t="shared" si="0"/>
        <v>27425.75</v>
      </c>
      <c r="H28" s="44">
        <v>10</v>
      </c>
      <c r="I28" s="44">
        <v>111.85</v>
      </c>
      <c r="J28" s="8">
        <f t="shared" si="3"/>
        <v>1118.5</v>
      </c>
      <c r="K28" s="8">
        <f t="shared" si="1"/>
        <v>28544.25</v>
      </c>
      <c r="L28" s="242"/>
      <c r="M28" s="8">
        <f t="shared" si="2"/>
        <v>158612.05309999999</v>
      </c>
      <c r="N28" s="16"/>
      <c r="O28" s="74"/>
      <c r="P28" s="74"/>
      <c r="Q28" s="74"/>
    </row>
    <row r="29" spans="1:17">
      <c r="A29" s="23">
        <v>26</v>
      </c>
      <c r="B29" s="24">
        <v>46291</v>
      </c>
      <c r="C29" s="22"/>
      <c r="D29" s="15"/>
      <c r="E29" s="44"/>
      <c r="F29" s="44"/>
      <c r="G29" s="8">
        <f t="shared" si="0"/>
        <v>0</v>
      </c>
      <c r="H29" s="44"/>
      <c r="I29" s="44"/>
      <c r="J29" s="8">
        <f t="shared" si="3"/>
        <v>0</v>
      </c>
      <c r="K29" s="8">
        <f t="shared" si="1"/>
        <v>0</v>
      </c>
      <c r="L29" s="242"/>
      <c r="M29" s="8">
        <f t="shared" si="2"/>
        <v>158612.05309999999</v>
      </c>
      <c r="N29" s="16"/>
      <c r="O29" s="74"/>
      <c r="P29" s="74"/>
      <c r="Q29" s="74"/>
    </row>
    <row r="30" spans="1:17">
      <c r="A30" s="23">
        <v>27</v>
      </c>
      <c r="B30" s="24">
        <v>46292</v>
      </c>
      <c r="C30" s="22"/>
      <c r="D30" s="15"/>
      <c r="E30" s="44"/>
      <c r="F30" s="44"/>
      <c r="G30" s="8">
        <f t="shared" si="0"/>
        <v>0</v>
      </c>
      <c r="H30" s="44"/>
      <c r="I30" s="44"/>
      <c r="J30" s="8">
        <f t="shared" si="3"/>
        <v>0</v>
      </c>
      <c r="K30" s="8">
        <f t="shared" si="1"/>
        <v>0</v>
      </c>
      <c r="L30" s="242"/>
      <c r="M30" s="8">
        <f t="shared" si="2"/>
        <v>158612.05309999999</v>
      </c>
      <c r="N30" s="16"/>
      <c r="O30" s="74"/>
      <c r="P30" s="74"/>
      <c r="Q30" s="74"/>
    </row>
    <row r="31" spans="1:17">
      <c r="A31" s="23">
        <v>28</v>
      </c>
      <c r="B31" s="24">
        <v>46293</v>
      </c>
      <c r="C31" s="22"/>
      <c r="D31" s="15"/>
      <c r="E31" s="44"/>
      <c r="F31" s="44"/>
      <c r="G31" s="8">
        <f t="shared" si="0"/>
        <v>0</v>
      </c>
      <c r="H31" s="44"/>
      <c r="I31" s="44"/>
      <c r="J31" s="8">
        <f t="shared" si="3"/>
        <v>0</v>
      </c>
      <c r="K31" s="8">
        <f t="shared" si="1"/>
        <v>0</v>
      </c>
      <c r="L31" s="242"/>
      <c r="M31" s="8">
        <f t="shared" si="2"/>
        <v>158612.05309999999</v>
      </c>
      <c r="N31" s="16"/>
      <c r="O31" s="74"/>
      <c r="P31" s="74"/>
      <c r="Q31" s="74"/>
    </row>
    <row r="32" spans="1:17">
      <c r="A32" s="23"/>
      <c r="B32" s="24">
        <v>46294</v>
      </c>
      <c r="C32" s="22"/>
      <c r="D32" s="15"/>
      <c r="E32" s="44"/>
      <c r="F32" s="44"/>
      <c r="G32" s="8">
        <f t="shared" si="0"/>
        <v>0</v>
      </c>
      <c r="H32" s="44"/>
      <c r="I32" s="44"/>
      <c r="J32" s="8"/>
      <c r="K32" s="8">
        <f t="shared" si="1"/>
        <v>0</v>
      </c>
      <c r="L32" s="242"/>
      <c r="M32" s="8">
        <f t="shared" si="2"/>
        <v>158612.05309999999</v>
      </c>
      <c r="N32" s="16"/>
      <c r="O32" s="74"/>
      <c r="P32" s="74"/>
      <c r="Q32" s="74"/>
    </row>
    <row r="33" spans="1:17">
      <c r="A33" s="23">
        <v>29</v>
      </c>
      <c r="B33" s="24">
        <v>46295</v>
      </c>
      <c r="C33" s="22"/>
      <c r="D33" s="15"/>
      <c r="E33" s="44"/>
      <c r="F33" s="44"/>
      <c r="G33" s="8">
        <f t="shared" si="0"/>
        <v>0</v>
      </c>
      <c r="H33" s="44"/>
      <c r="I33" s="44"/>
      <c r="J33" s="8">
        <f t="shared" si="3"/>
        <v>0</v>
      </c>
      <c r="K33" s="8">
        <f t="shared" si="1"/>
        <v>0</v>
      </c>
      <c r="L33" s="242"/>
      <c r="M33" s="8">
        <f t="shared" si="2"/>
        <v>158612.05309999999</v>
      </c>
      <c r="N33" s="16"/>
      <c r="O33" s="74"/>
      <c r="P33" s="74"/>
      <c r="Q33" s="74"/>
    </row>
    <row r="34" spans="1:17">
      <c r="A34" s="23">
        <v>30</v>
      </c>
      <c r="B34" s="24"/>
      <c r="C34" s="22"/>
      <c r="D34" s="15"/>
      <c r="E34" s="44"/>
      <c r="F34" s="44"/>
      <c r="G34" s="8">
        <f t="shared" si="0"/>
        <v>0</v>
      </c>
      <c r="H34" s="44"/>
      <c r="I34" s="44"/>
      <c r="J34" s="8">
        <f t="shared" si="3"/>
        <v>0</v>
      </c>
      <c r="K34" s="8">
        <f t="shared" si="1"/>
        <v>0</v>
      </c>
      <c r="L34" s="242"/>
      <c r="M34" s="8">
        <f t="shared" si="2"/>
        <v>158612.05309999999</v>
      </c>
      <c r="N34" s="16"/>
      <c r="O34" s="74"/>
      <c r="P34" s="74"/>
      <c r="Q34" s="74"/>
    </row>
    <row r="35" spans="1:17">
      <c r="A35" s="23">
        <v>31</v>
      </c>
      <c r="B35" s="24"/>
      <c r="C35" s="22"/>
      <c r="D35" s="15"/>
      <c r="E35" s="44"/>
      <c r="F35" s="44"/>
      <c r="G35" s="8">
        <f t="shared" si="0"/>
        <v>0</v>
      </c>
      <c r="H35" s="44"/>
      <c r="I35" s="44"/>
      <c r="J35" s="8">
        <f t="shared" si="3"/>
        <v>0</v>
      </c>
      <c r="K35" s="8">
        <f t="shared" si="1"/>
        <v>0</v>
      </c>
      <c r="L35" s="242"/>
      <c r="M35" s="8">
        <f t="shared" si="2"/>
        <v>158612.05309999999</v>
      </c>
      <c r="N35" s="16"/>
      <c r="O35" s="74"/>
      <c r="P35" s="74"/>
      <c r="Q35" s="74"/>
    </row>
    <row r="36" spans="1:17">
      <c r="A36" s="23">
        <v>32</v>
      </c>
      <c r="B36" s="24"/>
      <c r="C36" s="22"/>
      <c r="D36" s="15"/>
      <c r="E36" s="44"/>
      <c r="F36" s="44"/>
      <c r="G36" s="8">
        <f t="shared" si="0"/>
        <v>0</v>
      </c>
      <c r="H36" s="44"/>
      <c r="I36" s="44"/>
      <c r="J36" s="8">
        <f t="shared" si="3"/>
        <v>0</v>
      </c>
      <c r="K36" s="8">
        <f t="shared" si="1"/>
        <v>0</v>
      </c>
      <c r="L36" s="242"/>
      <c r="M36" s="8">
        <f t="shared" si="2"/>
        <v>158612.05309999999</v>
      </c>
      <c r="N36" s="16"/>
      <c r="O36" s="74"/>
      <c r="P36" s="74"/>
      <c r="Q36" s="74"/>
    </row>
    <row r="37" spans="1:17">
      <c r="A37" s="23">
        <v>33</v>
      </c>
      <c r="B37" s="24"/>
      <c r="C37" s="22"/>
      <c r="D37" s="15"/>
      <c r="E37" s="44"/>
      <c r="F37" s="44"/>
      <c r="G37" s="8">
        <f t="shared" si="0"/>
        <v>0</v>
      </c>
      <c r="H37" s="44"/>
      <c r="I37" s="407"/>
      <c r="J37" s="8">
        <f t="shared" si="3"/>
        <v>0</v>
      </c>
      <c r="K37" s="8">
        <f t="shared" si="1"/>
        <v>0</v>
      </c>
      <c r="L37" s="242"/>
      <c r="M37" s="8">
        <f>M36+K37-L37</f>
        <v>158612.05309999999</v>
      </c>
      <c r="N37" s="16"/>
      <c r="O37" s="74"/>
      <c r="P37" s="74"/>
      <c r="Q37" s="74"/>
    </row>
    <row r="38" spans="1:17">
      <c r="A38" s="153"/>
      <c r="B38" s="153"/>
      <c r="C38" s="153"/>
      <c r="D38" s="153"/>
      <c r="E38" s="154">
        <f>SUM(E4:E37)</f>
        <v>2070.1400000000003</v>
      </c>
      <c r="F38" s="154"/>
      <c r="G38" s="154">
        <f>SUM(G4:G37)</f>
        <v>206443.90820000001</v>
      </c>
      <c r="H38" s="154">
        <f>SUM(H4:H37)</f>
        <v>112</v>
      </c>
      <c r="I38" s="154"/>
      <c r="J38" s="154">
        <f>SUM(J4:J37)</f>
        <v>12527.2</v>
      </c>
      <c r="K38" s="154">
        <f>SUM(K4:K37)</f>
        <v>218971.10820000002</v>
      </c>
      <c r="L38" s="154">
        <f>SUM(L4:L37)</f>
        <v>231000.11</v>
      </c>
      <c r="M38" s="154"/>
      <c r="N38" s="154"/>
      <c r="O38" s="74"/>
      <c r="P38" s="74"/>
      <c r="Q38" s="74"/>
    </row>
    <row r="39" spans="1:17">
      <c r="A39" s="70"/>
      <c r="B39" s="70"/>
      <c r="C39" s="70"/>
      <c r="D39" s="70"/>
      <c r="E39" s="72"/>
      <c r="F39" s="72"/>
      <c r="G39" s="72"/>
      <c r="H39" s="72"/>
      <c r="I39" s="72"/>
      <c r="J39" s="72"/>
      <c r="K39" s="72"/>
      <c r="L39" s="243"/>
      <c r="M39" s="72"/>
      <c r="N39" s="72"/>
      <c r="O39" s="74"/>
      <c r="P39" s="74"/>
      <c r="Q39" s="74"/>
    </row>
    <row r="40" spans="1:17">
      <c r="A40" s="74"/>
      <c r="B40" s="74"/>
      <c r="C40" s="74"/>
      <c r="D40" s="74"/>
      <c r="E40" s="246"/>
      <c r="F40" s="246"/>
      <c r="G40" s="246"/>
      <c r="H40" s="246"/>
      <c r="I40" s="246"/>
      <c r="J40" s="246"/>
      <c r="K40" s="246"/>
      <c r="L40" s="246"/>
      <c r="M40" s="74"/>
      <c r="N40" s="74"/>
      <c r="O40" s="74"/>
      <c r="P40" s="74"/>
      <c r="Q40" s="74"/>
    </row>
    <row r="41" spans="1:17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244"/>
      <c r="M41" s="74"/>
      <c r="N41" s="74"/>
      <c r="O41" s="74"/>
      <c r="P41" s="74"/>
      <c r="Q41" s="74"/>
    </row>
    <row r="42" spans="1:17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244"/>
      <c r="M42" s="74"/>
      <c r="N42" s="74"/>
      <c r="O42" s="74"/>
      <c r="P42" s="74"/>
      <c r="Q42" s="74"/>
    </row>
    <row r="43" spans="1:17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244"/>
      <c r="M43" s="74"/>
      <c r="N43" s="74"/>
      <c r="O43" s="74"/>
      <c r="P43" s="74"/>
      <c r="Q43" s="74"/>
    </row>
    <row r="44" spans="1:17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244"/>
      <c r="M44" s="74"/>
      <c r="N44" s="74"/>
      <c r="O44" s="74"/>
      <c r="P44" s="74"/>
      <c r="Q44" s="74"/>
    </row>
    <row r="45" spans="1:17">
      <c r="A45" s="56"/>
      <c r="B45" s="56"/>
      <c r="C45" s="56"/>
      <c r="D45" s="56"/>
      <c r="E45" s="56"/>
      <c r="F45" s="56"/>
      <c r="G45" s="78"/>
      <c r="H45" s="56"/>
      <c r="I45" s="56"/>
      <c r="J45" s="56"/>
      <c r="K45" s="56"/>
      <c r="L45" s="70"/>
      <c r="M45" s="56"/>
      <c r="N45" s="56"/>
      <c r="O45" s="74"/>
      <c r="P45" s="74"/>
      <c r="Q45" s="74"/>
    </row>
    <row r="46" spans="1:17">
      <c r="A46" s="56"/>
      <c r="B46" s="613"/>
      <c r="C46" s="613"/>
      <c r="D46" s="613"/>
      <c r="E46" s="613"/>
      <c r="F46" s="56"/>
      <c r="G46" s="56"/>
      <c r="H46" s="56"/>
      <c r="I46" s="613"/>
      <c r="J46" s="613"/>
      <c r="K46" s="613"/>
      <c r="L46" s="613"/>
      <c r="M46" s="613"/>
      <c r="N46" s="613"/>
      <c r="O46" s="74"/>
      <c r="P46" s="74"/>
      <c r="Q46" s="74"/>
    </row>
    <row r="47" spans="1:1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70"/>
      <c r="M47" s="56"/>
      <c r="N47" s="56"/>
      <c r="O47" s="74"/>
      <c r="P47" s="74"/>
      <c r="Q47" s="74"/>
    </row>
  </sheetData>
  <mergeCells count="4">
    <mergeCell ref="A1:N1"/>
    <mergeCell ref="A3:J3"/>
    <mergeCell ref="B46:E46"/>
    <mergeCell ref="I46:N4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N35"/>
  <sheetViews>
    <sheetView workbookViewId="0">
      <pane ySplit="3" topLeftCell="A27" activePane="bottomLeft" state="frozen"/>
      <selection pane="bottomLeft" activeCell="L36" sqref="L36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19" customWidth="1"/>
    <col min="8" max="8" width="12" style="19" customWidth="1"/>
    <col min="9" max="9" width="9.140625" style="19"/>
    <col min="10" max="10" width="11.140625" style="19" customWidth="1"/>
    <col min="11" max="11" width="12" style="19" customWidth="1"/>
    <col min="12" max="12" width="11.85546875" style="19" customWidth="1"/>
    <col min="13" max="13" width="13.85546875" customWidth="1"/>
  </cols>
  <sheetData>
    <row r="1" spans="1:14" ht="15.75">
      <c r="A1" s="602" t="s">
        <v>127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4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218" t="s">
        <v>173</v>
      </c>
      <c r="H2" s="218" t="s">
        <v>174</v>
      </c>
      <c r="I2" s="218" t="s">
        <v>172</v>
      </c>
      <c r="J2" s="218" t="s">
        <v>173</v>
      </c>
      <c r="K2" s="219" t="s">
        <v>175</v>
      </c>
      <c r="L2" s="219" t="s">
        <v>176</v>
      </c>
      <c r="M2" s="138" t="s">
        <v>185</v>
      </c>
      <c r="N2" s="98" t="s">
        <v>178</v>
      </c>
    </row>
    <row r="3" spans="1:14">
      <c r="A3" s="614" t="s">
        <v>179</v>
      </c>
      <c r="B3" s="615"/>
      <c r="C3" s="615"/>
      <c r="D3" s="615"/>
      <c r="E3" s="615"/>
      <c r="F3" s="615"/>
      <c r="G3" s="615"/>
      <c r="H3" s="615"/>
      <c r="I3" s="615"/>
      <c r="J3" s="616"/>
      <c r="K3" s="206">
        <v>0</v>
      </c>
      <c r="L3" s="206"/>
      <c r="M3" s="166">
        <f>+K3</f>
        <v>0</v>
      </c>
      <c r="N3" s="207"/>
    </row>
    <row r="4" spans="1:14">
      <c r="A4" s="23">
        <v>1</v>
      </c>
      <c r="B4" s="24">
        <v>46266</v>
      </c>
      <c r="C4" s="14"/>
      <c r="D4" s="14"/>
      <c r="E4" s="186"/>
      <c r="F4" s="186"/>
      <c r="G4" s="201">
        <f>E4*F4</f>
        <v>0</v>
      </c>
      <c r="H4" s="256"/>
      <c r="I4" s="201"/>
      <c r="J4" s="201">
        <f>H4*I4</f>
        <v>0</v>
      </c>
      <c r="K4" s="201">
        <f>G4+J4</f>
        <v>0</v>
      </c>
      <c r="L4" s="201"/>
      <c r="M4" s="186"/>
      <c r="N4" s="14"/>
    </row>
    <row r="5" spans="1:14">
      <c r="A5" s="23">
        <v>2</v>
      </c>
      <c r="B5" s="24">
        <v>46267</v>
      </c>
      <c r="C5" s="14"/>
      <c r="D5" s="14"/>
      <c r="E5" s="186"/>
      <c r="F5" s="186"/>
      <c r="G5" s="201">
        <f t="shared" ref="G5:G32" si="0">E5*F5</f>
        <v>0</v>
      </c>
      <c r="H5" s="256"/>
      <c r="I5" s="201"/>
      <c r="J5" s="201">
        <f>H5*I5</f>
        <v>0</v>
      </c>
      <c r="K5" s="201">
        <f t="shared" ref="K5:L34" si="1">G5+J5</f>
        <v>0</v>
      </c>
      <c r="L5" s="201"/>
      <c r="M5" s="186"/>
      <c r="N5" s="14"/>
    </row>
    <row r="6" spans="1:14">
      <c r="A6" s="23">
        <v>3</v>
      </c>
      <c r="B6" s="24">
        <v>46268</v>
      </c>
      <c r="C6" s="14"/>
      <c r="D6" s="14"/>
      <c r="E6" s="186"/>
      <c r="F6" s="186"/>
      <c r="G6" s="201">
        <f t="shared" si="0"/>
        <v>0</v>
      </c>
      <c r="H6" s="256"/>
      <c r="I6" s="201"/>
      <c r="J6" s="201">
        <f t="shared" ref="J6:J34" si="2">H6*I6</f>
        <v>0</v>
      </c>
      <c r="K6" s="201">
        <f t="shared" si="1"/>
        <v>0</v>
      </c>
      <c r="L6" s="201"/>
      <c r="M6" s="186"/>
      <c r="N6" s="14"/>
    </row>
    <row r="7" spans="1:14">
      <c r="A7" s="23">
        <v>4</v>
      </c>
      <c r="B7" s="24">
        <v>46269</v>
      </c>
      <c r="C7" s="14"/>
      <c r="D7" s="14"/>
      <c r="E7" s="186"/>
      <c r="F7" s="186"/>
      <c r="G7" s="201">
        <f t="shared" si="0"/>
        <v>0</v>
      </c>
      <c r="H7" s="256">
        <v>7.05</v>
      </c>
      <c r="I7" s="256">
        <v>111.51</v>
      </c>
      <c r="J7" s="201">
        <f t="shared" si="2"/>
        <v>786.14549999999997</v>
      </c>
      <c r="K7" s="201">
        <f t="shared" si="1"/>
        <v>786.14549999999997</v>
      </c>
      <c r="L7" s="201">
        <f>+K7</f>
        <v>786.14549999999997</v>
      </c>
      <c r="M7" s="186"/>
      <c r="N7" s="14"/>
    </row>
    <row r="8" spans="1:14">
      <c r="A8" s="23">
        <v>5</v>
      </c>
      <c r="B8" s="24">
        <v>46270</v>
      </c>
      <c r="C8" s="14"/>
      <c r="D8" s="14"/>
      <c r="E8" s="186"/>
      <c r="F8" s="186"/>
      <c r="G8" s="201">
        <f t="shared" si="0"/>
        <v>0</v>
      </c>
      <c r="H8" s="256"/>
      <c r="I8" s="201"/>
      <c r="J8" s="201">
        <f t="shared" si="2"/>
        <v>0</v>
      </c>
      <c r="K8" s="201">
        <f t="shared" si="1"/>
        <v>0</v>
      </c>
      <c r="L8" s="201">
        <f t="shared" ref="L8:L33" si="3">+K8</f>
        <v>0</v>
      </c>
      <c r="M8" s="186"/>
      <c r="N8" s="14"/>
    </row>
    <row r="9" spans="1:14">
      <c r="A9" s="23">
        <v>6</v>
      </c>
      <c r="B9" s="24">
        <v>46271</v>
      </c>
      <c r="C9" s="14"/>
      <c r="D9" s="14"/>
      <c r="E9" s="186"/>
      <c r="F9" s="186"/>
      <c r="G9" s="201">
        <f t="shared" si="0"/>
        <v>0</v>
      </c>
      <c r="H9" s="256"/>
      <c r="I9" s="201"/>
      <c r="J9" s="201">
        <f t="shared" si="2"/>
        <v>0</v>
      </c>
      <c r="K9" s="201">
        <f t="shared" si="1"/>
        <v>0</v>
      </c>
      <c r="L9" s="201">
        <f t="shared" si="3"/>
        <v>0</v>
      </c>
      <c r="M9" s="186"/>
      <c r="N9" s="14"/>
    </row>
    <row r="10" spans="1:14">
      <c r="A10" s="23">
        <v>7</v>
      </c>
      <c r="B10" s="24">
        <v>46272</v>
      </c>
      <c r="C10" s="14"/>
      <c r="D10" s="14"/>
      <c r="E10" s="186"/>
      <c r="F10" s="186"/>
      <c r="G10" s="201">
        <f t="shared" si="0"/>
        <v>0</v>
      </c>
      <c r="H10" s="256"/>
      <c r="I10" s="201"/>
      <c r="J10" s="201">
        <f t="shared" si="2"/>
        <v>0</v>
      </c>
      <c r="K10" s="201">
        <f t="shared" si="1"/>
        <v>0</v>
      </c>
      <c r="L10" s="201">
        <f t="shared" si="3"/>
        <v>0</v>
      </c>
      <c r="M10" s="186"/>
      <c r="N10" s="14"/>
    </row>
    <row r="11" spans="1:14">
      <c r="A11" s="23">
        <v>8</v>
      </c>
      <c r="B11" s="24">
        <v>46273</v>
      </c>
      <c r="C11" s="14"/>
      <c r="D11" s="14"/>
      <c r="E11" s="186"/>
      <c r="F11" s="186"/>
      <c r="G11" s="201">
        <f t="shared" si="0"/>
        <v>0</v>
      </c>
      <c r="H11" s="256"/>
      <c r="I11" s="201"/>
      <c r="J11" s="201">
        <f t="shared" si="2"/>
        <v>0</v>
      </c>
      <c r="K11" s="201">
        <f t="shared" si="1"/>
        <v>0</v>
      </c>
      <c r="L11" s="201">
        <f t="shared" si="3"/>
        <v>0</v>
      </c>
      <c r="M11" s="186"/>
      <c r="N11" s="14"/>
    </row>
    <row r="12" spans="1:14">
      <c r="A12" s="23">
        <v>9</v>
      </c>
      <c r="B12" s="24">
        <v>46274</v>
      </c>
      <c r="C12" s="14"/>
      <c r="D12" s="14"/>
      <c r="E12" s="186"/>
      <c r="F12" s="186"/>
      <c r="G12" s="201">
        <f t="shared" si="0"/>
        <v>0</v>
      </c>
      <c r="H12" s="256"/>
      <c r="I12" s="201"/>
      <c r="J12" s="201">
        <f t="shared" si="2"/>
        <v>0</v>
      </c>
      <c r="K12" s="201">
        <f t="shared" si="1"/>
        <v>0</v>
      </c>
      <c r="L12" s="201">
        <f t="shared" si="3"/>
        <v>0</v>
      </c>
      <c r="M12" s="186"/>
      <c r="N12" s="14"/>
    </row>
    <row r="13" spans="1:14">
      <c r="A13" s="23">
        <v>10</v>
      </c>
      <c r="B13" s="24">
        <v>46275</v>
      </c>
      <c r="C13" s="14"/>
      <c r="D13" s="14"/>
      <c r="E13" s="186"/>
      <c r="F13" s="186"/>
      <c r="G13" s="201">
        <f t="shared" si="0"/>
        <v>0</v>
      </c>
      <c r="H13" s="256"/>
      <c r="I13" s="201"/>
      <c r="J13" s="201">
        <f t="shared" si="2"/>
        <v>0</v>
      </c>
      <c r="K13" s="201">
        <f t="shared" si="1"/>
        <v>0</v>
      </c>
      <c r="L13" s="201">
        <f t="shared" si="3"/>
        <v>0</v>
      </c>
      <c r="M13" s="186"/>
      <c r="N13" s="14"/>
    </row>
    <row r="14" spans="1:14">
      <c r="A14" s="23">
        <v>11</v>
      </c>
      <c r="B14" s="24">
        <v>46276</v>
      </c>
      <c r="C14" s="14"/>
      <c r="D14" s="14"/>
      <c r="E14" s="186"/>
      <c r="F14" s="186"/>
      <c r="G14" s="201">
        <f t="shared" si="0"/>
        <v>0</v>
      </c>
      <c r="H14" s="256"/>
      <c r="I14" s="201"/>
      <c r="J14" s="201">
        <f t="shared" si="2"/>
        <v>0</v>
      </c>
      <c r="K14" s="201">
        <f t="shared" si="1"/>
        <v>0</v>
      </c>
      <c r="L14" s="201">
        <f t="shared" si="3"/>
        <v>0</v>
      </c>
      <c r="M14" s="186"/>
      <c r="N14" s="14"/>
    </row>
    <row r="15" spans="1:14">
      <c r="A15" s="23">
        <v>12</v>
      </c>
      <c r="B15" s="24">
        <v>46277</v>
      </c>
      <c r="C15" s="14"/>
      <c r="D15" s="14"/>
      <c r="E15" s="186"/>
      <c r="F15" s="186"/>
      <c r="G15" s="201">
        <f t="shared" si="0"/>
        <v>0</v>
      </c>
      <c r="H15" s="256"/>
      <c r="I15" s="201"/>
      <c r="J15" s="201">
        <f t="shared" si="2"/>
        <v>0</v>
      </c>
      <c r="K15" s="201">
        <f t="shared" si="1"/>
        <v>0</v>
      </c>
      <c r="L15" s="201">
        <f t="shared" si="3"/>
        <v>0</v>
      </c>
      <c r="M15" s="186"/>
      <c r="N15" s="14"/>
    </row>
    <row r="16" spans="1:14">
      <c r="A16" s="23">
        <v>13</v>
      </c>
      <c r="B16" s="24">
        <v>46278</v>
      </c>
      <c r="C16" s="14"/>
      <c r="D16" s="14"/>
      <c r="E16" s="186"/>
      <c r="F16" s="186"/>
      <c r="G16" s="201">
        <f t="shared" si="0"/>
        <v>0</v>
      </c>
      <c r="H16" s="256"/>
      <c r="I16" s="201"/>
      <c r="J16" s="201">
        <f t="shared" si="2"/>
        <v>0</v>
      </c>
      <c r="K16" s="201">
        <f t="shared" si="1"/>
        <v>0</v>
      </c>
      <c r="L16" s="201">
        <f t="shared" si="3"/>
        <v>0</v>
      </c>
      <c r="M16" s="186"/>
      <c r="N16" s="14"/>
    </row>
    <row r="17" spans="1:14">
      <c r="A17" s="23">
        <v>14</v>
      </c>
      <c r="B17" s="24">
        <v>46279</v>
      </c>
      <c r="C17" s="14"/>
      <c r="D17" s="14"/>
      <c r="E17" s="186"/>
      <c r="F17" s="186"/>
      <c r="G17" s="201">
        <f t="shared" si="0"/>
        <v>0</v>
      </c>
      <c r="H17" s="256"/>
      <c r="I17" s="201"/>
      <c r="J17" s="201">
        <f t="shared" si="2"/>
        <v>0</v>
      </c>
      <c r="K17" s="201">
        <f t="shared" si="1"/>
        <v>0</v>
      </c>
      <c r="L17" s="201">
        <f t="shared" si="3"/>
        <v>0</v>
      </c>
      <c r="M17" s="186"/>
      <c r="N17" s="14"/>
    </row>
    <row r="18" spans="1:14">
      <c r="A18" s="23">
        <v>15</v>
      </c>
      <c r="B18" s="24">
        <v>46280</v>
      </c>
      <c r="C18" s="14"/>
      <c r="D18" s="14"/>
      <c r="E18" s="186"/>
      <c r="F18" s="186"/>
      <c r="G18" s="201">
        <f t="shared" si="0"/>
        <v>0</v>
      </c>
      <c r="H18" s="256"/>
      <c r="I18" s="201"/>
      <c r="J18" s="201">
        <f t="shared" si="2"/>
        <v>0</v>
      </c>
      <c r="K18" s="201">
        <f t="shared" si="1"/>
        <v>0</v>
      </c>
      <c r="L18" s="201">
        <f t="shared" si="3"/>
        <v>0</v>
      </c>
      <c r="M18" s="186"/>
      <c r="N18" s="91"/>
    </row>
    <row r="19" spans="1:14">
      <c r="A19" s="23">
        <v>16</v>
      </c>
      <c r="B19" s="24">
        <v>46281</v>
      </c>
      <c r="C19" s="14"/>
      <c r="D19" s="14"/>
      <c r="E19" s="186"/>
      <c r="F19" s="186"/>
      <c r="G19" s="201">
        <f t="shared" si="0"/>
        <v>0</v>
      </c>
      <c r="H19" s="256"/>
      <c r="I19" s="201"/>
      <c r="J19" s="201">
        <f t="shared" si="2"/>
        <v>0</v>
      </c>
      <c r="K19" s="201">
        <f t="shared" si="1"/>
        <v>0</v>
      </c>
      <c r="L19" s="201">
        <f t="shared" si="3"/>
        <v>0</v>
      </c>
      <c r="M19" s="416"/>
      <c r="N19" s="14"/>
    </row>
    <row r="20" spans="1:14">
      <c r="A20" s="23">
        <v>17</v>
      </c>
      <c r="B20" s="24">
        <v>46282</v>
      </c>
      <c r="C20" s="14"/>
      <c r="D20" s="14"/>
      <c r="E20" s="186"/>
      <c r="F20" s="186"/>
      <c r="G20" s="201">
        <f t="shared" si="0"/>
        <v>0</v>
      </c>
      <c r="H20" s="256"/>
      <c r="I20" s="201"/>
      <c r="J20" s="201">
        <f t="shared" si="2"/>
        <v>0</v>
      </c>
      <c r="K20" s="201">
        <f t="shared" si="1"/>
        <v>0</v>
      </c>
      <c r="L20" s="201">
        <f t="shared" si="3"/>
        <v>0</v>
      </c>
      <c r="M20" s="416"/>
      <c r="N20" s="14"/>
    </row>
    <row r="21" spans="1:14">
      <c r="A21" s="23">
        <v>18</v>
      </c>
      <c r="B21" s="24">
        <v>46283</v>
      </c>
      <c r="C21" s="14"/>
      <c r="D21" s="14"/>
      <c r="E21" s="186"/>
      <c r="F21" s="186"/>
      <c r="G21" s="201">
        <f t="shared" si="0"/>
        <v>0</v>
      </c>
      <c r="H21" s="256"/>
      <c r="I21" s="201"/>
      <c r="J21" s="201">
        <f t="shared" si="2"/>
        <v>0</v>
      </c>
      <c r="K21" s="201">
        <f t="shared" si="1"/>
        <v>0</v>
      </c>
      <c r="L21" s="201">
        <f t="shared" si="3"/>
        <v>0</v>
      </c>
      <c r="M21" s="416"/>
      <c r="N21" s="14"/>
    </row>
    <row r="22" spans="1:14">
      <c r="A22" s="23">
        <v>19</v>
      </c>
      <c r="B22" s="24">
        <v>46284</v>
      </c>
      <c r="C22" s="14"/>
      <c r="D22" s="14"/>
      <c r="E22" s="186">
        <v>21.58</v>
      </c>
      <c r="F22" s="186">
        <v>99.41</v>
      </c>
      <c r="G22" s="201">
        <f t="shared" si="0"/>
        <v>2145.2677999999996</v>
      </c>
      <c r="H22" s="256"/>
      <c r="I22" s="201"/>
      <c r="J22" s="201">
        <f t="shared" si="2"/>
        <v>0</v>
      </c>
      <c r="K22" s="201">
        <f t="shared" si="1"/>
        <v>2145.2677999999996</v>
      </c>
      <c r="L22" s="201">
        <f t="shared" si="3"/>
        <v>2145.2677999999996</v>
      </c>
      <c r="M22" s="416"/>
      <c r="N22" s="14"/>
    </row>
    <row r="23" spans="1:14">
      <c r="A23" s="23">
        <v>20</v>
      </c>
      <c r="B23" s="24">
        <v>46285</v>
      </c>
      <c r="C23" s="14"/>
      <c r="D23" s="14"/>
      <c r="E23" s="186"/>
      <c r="F23" s="186"/>
      <c r="G23" s="201">
        <f t="shared" si="0"/>
        <v>0</v>
      </c>
      <c r="H23" s="256"/>
      <c r="I23" s="201"/>
      <c r="J23" s="201">
        <f t="shared" si="2"/>
        <v>0</v>
      </c>
      <c r="K23" s="201">
        <f t="shared" si="1"/>
        <v>0</v>
      </c>
      <c r="L23" s="201">
        <f t="shared" si="3"/>
        <v>0</v>
      </c>
      <c r="M23" s="416"/>
      <c r="N23" s="14"/>
    </row>
    <row r="24" spans="1:14">
      <c r="A24" s="23">
        <v>21</v>
      </c>
      <c r="B24" s="24">
        <v>46286</v>
      </c>
      <c r="C24" s="14"/>
      <c r="D24" s="14"/>
      <c r="E24" s="186"/>
      <c r="F24" s="186"/>
      <c r="G24" s="201">
        <f t="shared" si="0"/>
        <v>0</v>
      </c>
      <c r="H24" s="256"/>
      <c r="I24" s="201"/>
      <c r="J24" s="201">
        <f t="shared" si="2"/>
        <v>0</v>
      </c>
      <c r="K24" s="201">
        <f t="shared" si="1"/>
        <v>0</v>
      </c>
      <c r="L24" s="201">
        <f t="shared" si="3"/>
        <v>0</v>
      </c>
      <c r="M24" s="416"/>
      <c r="N24" s="14"/>
    </row>
    <row r="25" spans="1:14">
      <c r="A25" s="23">
        <v>22</v>
      </c>
      <c r="B25" s="24">
        <v>46287</v>
      </c>
      <c r="C25" s="14"/>
      <c r="D25" s="14"/>
      <c r="E25" s="186"/>
      <c r="F25" s="186"/>
      <c r="G25" s="201">
        <f t="shared" si="0"/>
        <v>0</v>
      </c>
      <c r="H25" s="256"/>
      <c r="I25" s="201"/>
      <c r="J25" s="201">
        <f t="shared" si="2"/>
        <v>0</v>
      </c>
      <c r="K25" s="201">
        <f t="shared" si="1"/>
        <v>0</v>
      </c>
      <c r="L25" s="201">
        <f t="shared" si="3"/>
        <v>0</v>
      </c>
      <c r="M25" s="416"/>
      <c r="N25" s="14"/>
    </row>
    <row r="26" spans="1:14">
      <c r="A26" s="23">
        <v>23</v>
      </c>
      <c r="B26" s="24">
        <v>46288</v>
      </c>
      <c r="C26" s="14"/>
      <c r="D26" s="14"/>
      <c r="E26" s="186"/>
      <c r="F26" s="186"/>
      <c r="G26" s="201">
        <f t="shared" si="0"/>
        <v>0</v>
      </c>
      <c r="H26" s="256">
        <v>7.18</v>
      </c>
      <c r="I26" s="201">
        <v>111.51</v>
      </c>
      <c r="J26" s="201">
        <f t="shared" si="2"/>
        <v>800.64179999999999</v>
      </c>
      <c r="K26" s="201">
        <f t="shared" si="1"/>
        <v>800.64179999999999</v>
      </c>
      <c r="L26" s="201">
        <f t="shared" si="3"/>
        <v>800.64179999999999</v>
      </c>
      <c r="M26" s="186"/>
      <c r="N26" s="133"/>
    </row>
    <row r="27" spans="1:14">
      <c r="A27" s="23">
        <v>24</v>
      </c>
      <c r="B27" s="24">
        <v>46289</v>
      </c>
      <c r="C27" s="14"/>
      <c r="D27" s="14"/>
      <c r="E27" s="186"/>
      <c r="F27" s="186"/>
      <c r="G27" s="201">
        <f t="shared" si="0"/>
        <v>0</v>
      </c>
      <c r="H27" s="256"/>
      <c r="I27" s="201"/>
      <c r="J27" s="201">
        <f t="shared" si="2"/>
        <v>0</v>
      </c>
      <c r="K27" s="201">
        <f t="shared" ref="K27:K33" si="4">G27+J27</f>
        <v>0</v>
      </c>
      <c r="L27" s="201">
        <f t="shared" si="3"/>
        <v>0</v>
      </c>
      <c r="M27" s="186"/>
      <c r="N27" s="14"/>
    </row>
    <row r="28" spans="1:14">
      <c r="A28" s="23">
        <v>25</v>
      </c>
      <c r="B28" s="24">
        <v>46290</v>
      </c>
      <c r="C28" s="14"/>
      <c r="D28" s="14"/>
      <c r="E28" s="186"/>
      <c r="F28" s="186"/>
      <c r="G28" s="201">
        <f t="shared" si="0"/>
        <v>0</v>
      </c>
      <c r="H28" s="256"/>
      <c r="I28" s="201"/>
      <c r="J28" s="201">
        <f t="shared" si="2"/>
        <v>0</v>
      </c>
      <c r="K28" s="201">
        <f t="shared" si="4"/>
        <v>0</v>
      </c>
      <c r="L28" s="201">
        <f t="shared" si="3"/>
        <v>0</v>
      </c>
      <c r="M28" s="186"/>
      <c r="N28" s="14"/>
    </row>
    <row r="29" spans="1:14">
      <c r="A29" s="23">
        <v>26</v>
      </c>
      <c r="B29" s="24">
        <v>46291</v>
      </c>
      <c r="C29" s="14"/>
      <c r="D29" s="14"/>
      <c r="E29" s="186"/>
      <c r="F29" s="186"/>
      <c r="G29" s="201">
        <f t="shared" si="0"/>
        <v>0</v>
      </c>
      <c r="H29" s="256"/>
      <c r="I29" s="201"/>
      <c r="J29" s="201">
        <f t="shared" si="2"/>
        <v>0</v>
      </c>
      <c r="K29" s="201">
        <f t="shared" si="4"/>
        <v>0</v>
      </c>
      <c r="L29" s="201">
        <f t="shared" si="3"/>
        <v>0</v>
      </c>
      <c r="M29" s="186"/>
      <c r="N29" s="14"/>
    </row>
    <row r="30" spans="1:14">
      <c r="A30" s="23">
        <v>27</v>
      </c>
      <c r="B30" s="24">
        <v>46292</v>
      </c>
      <c r="C30" s="14"/>
      <c r="D30" s="14"/>
      <c r="E30" s="186"/>
      <c r="F30" s="186"/>
      <c r="G30" s="201">
        <f t="shared" si="0"/>
        <v>0</v>
      </c>
      <c r="H30" s="256"/>
      <c r="I30" s="201"/>
      <c r="J30" s="201">
        <f t="shared" si="2"/>
        <v>0</v>
      </c>
      <c r="K30" s="201">
        <f t="shared" si="4"/>
        <v>0</v>
      </c>
      <c r="L30" s="201">
        <f t="shared" si="3"/>
        <v>0</v>
      </c>
      <c r="M30" s="186"/>
      <c r="N30" s="14"/>
    </row>
    <row r="31" spans="1:14">
      <c r="A31" s="209">
        <v>28</v>
      </c>
      <c r="B31" s="24">
        <v>46293</v>
      </c>
      <c r="C31" s="14"/>
      <c r="D31" s="14"/>
      <c r="E31" s="186"/>
      <c r="F31" s="186"/>
      <c r="G31" s="201">
        <f t="shared" si="0"/>
        <v>0</v>
      </c>
      <c r="H31" s="256"/>
      <c r="I31" s="201"/>
      <c r="J31" s="201">
        <f t="shared" si="2"/>
        <v>0</v>
      </c>
      <c r="K31" s="201">
        <f t="shared" si="4"/>
        <v>0</v>
      </c>
      <c r="L31" s="201">
        <f t="shared" si="3"/>
        <v>0</v>
      </c>
      <c r="M31" s="186"/>
      <c r="N31" s="91"/>
    </row>
    <row r="32" spans="1:14">
      <c r="A32" s="23">
        <v>29</v>
      </c>
      <c r="B32" s="24">
        <v>46294</v>
      </c>
      <c r="C32" s="14"/>
      <c r="D32" s="14"/>
      <c r="E32" s="186"/>
      <c r="F32" s="186"/>
      <c r="G32" s="201">
        <f t="shared" si="0"/>
        <v>0</v>
      </c>
      <c r="H32" s="256"/>
      <c r="I32" s="201"/>
      <c r="J32" s="201">
        <f t="shared" si="2"/>
        <v>0</v>
      </c>
      <c r="K32" s="201">
        <f t="shared" si="4"/>
        <v>0</v>
      </c>
      <c r="L32" s="201">
        <f t="shared" si="3"/>
        <v>0</v>
      </c>
      <c r="M32" s="186"/>
      <c r="N32" s="14"/>
    </row>
    <row r="33" spans="1:14">
      <c r="A33" s="23">
        <v>30</v>
      </c>
      <c r="B33" s="24">
        <v>46295</v>
      </c>
      <c r="C33" s="14"/>
      <c r="D33" s="14"/>
      <c r="E33" s="186"/>
      <c r="F33" s="186"/>
      <c r="G33" s="201">
        <f t="shared" ref="G33:G34" si="5">E33*F33</f>
        <v>0</v>
      </c>
      <c r="H33" s="256"/>
      <c r="I33" s="201"/>
      <c r="J33" s="201">
        <f t="shared" si="2"/>
        <v>0</v>
      </c>
      <c r="K33" s="201">
        <f t="shared" si="4"/>
        <v>0</v>
      </c>
      <c r="L33" s="201">
        <f t="shared" si="3"/>
        <v>0</v>
      </c>
      <c r="M33" s="186"/>
      <c r="N33" s="14"/>
    </row>
    <row r="34" spans="1:14">
      <c r="A34" s="23">
        <v>31</v>
      </c>
      <c r="B34" s="24"/>
      <c r="C34" s="14"/>
      <c r="D34" s="14"/>
      <c r="E34" s="186"/>
      <c r="F34" s="186"/>
      <c r="G34" s="201">
        <f t="shared" si="5"/>
        <v>0</v>
      </c>
      <c r="H34" s="256"/>
      <c r="I34" s="201"/>
      <c r="J34" s="201">
        <f t="shared" si="2"/>
        <v>0</v>
      </c>
      <c r="K34" s="201">
        <f t="shared" si="1"/>
        <v>0</v>
      </c>
      <c r="L34" s="201"/>
      <c r="M34" s="186"/>
      <c r="N34" s="14"/>
    </row>
    <row r="35" spans="1:14">
      <c r="A35" s="174"/>
      <c r="B35" s="174"/>
      <c r="C35" s="174"/>
      <c r="D35" s="174"/>
      <c r="E35" s="174">
        <f>SUM(E4:E34)</f>
        <v>21.58</v>
      </c>
      <c r="F35" s="174"/>
      <c r="G35" s="174">
        <f>SUM(G4:G34)</f>
        <v>2145.2677999999996</v>
      </c>
      <c r="H35" s="174">
        <f>SUM(H4:H34)</f>
        <v>14.23</v>
      </c>
      <c r="I35" s="174"/>
      <c r="J35" s="174">
        <f>SUM(J4:J34)</f>
        <v>1586.7873</v>
      </c>
      <c r="K35" s="174">
        <f>SUM(K4:K34)</f>
        <v>3732.0550999999996</v>
      </c>
      <c r="L35" s="174">
        <f>SUM(L4:L34)</f>
        <v>3732.0550999999996</v>
      </c>
      <c r="M35" s="174"/>
      <c r="N35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U41"/>
  <sheetViews>
    <sheetView workbookViewId="0">
      <pane ySplit="3" topLeftCell="A30" activePane="bottomLeft" state="frozen"/>
      <selection pane="bottomLeft" activeCell="G28" sqref="G28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7" width="9.140625" style="5"/>
    <col min="18" max="18" width="9.7109375" style="5" customWidth="1"/>
    <col min="19" max="19" width="15.42578125" style="5" customWidth="1"/>
    <col min="20" max="20" width="14.28515625" style="5" bestFit="1" customWidth="1"/>
    <col min="21" max="21" width="12.42578125" style="5" bestFit="1" customWidth="1"/>
    <col min="22" max="16384" width="9.140625" style="5"/>
  </cols>
  <sheetData>
    <row r="1" spans="1:18" ht="15.75" customHeight="1">
      <c r="A1" s="617" t="s">
        <v>218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</row>
    <row r="2" spans="1:18">
      <c r="A2" s="61" t="s">
        <v>0</v>
      </c>
      <c r="B2" s="61" t="s">
        <v>168</v>
      </c>
      <c r="C2" s="61" t="s">
        <v>169</v>
      </c>
      <c r="D2" s="61" t="s">
        <v>170</v>
      </c>
      <c r="E2" s="88" t="s">
        <v>171</v>
      </c>
      <c r="F2" s="88" t="s">
        <v>172</v>
      </c>
      <c r="G2" s="88" t="s">
        <v>173</v>
      </c>
      <c r="H2" s="88" t="s">
        <v>174</v>
      </c>
      <c r="I2" s="88" t="s">
        <v>172</v>
      </c>
      <c r="J2" s="88" t="s">
        <v>173</v>
      </c>
      <c r="K2" s="88" t="s">
        <v>175</v>
      </c>
      <c r="L2" s="82" t="s">
        <v>176</v>
      </c>
      <c r="M2" s="82" t="s">
        <v>185</v>
      </c>
      <c r="N2" s="61" t="s">
        <v>178</v>
      </c>
    </row>
    <row r="3" spans="1:18">
      <c r="A3" s="618" t="s">
        <v>179</v>
      </c>
      <c r="B3" s="618"/>
      <c r="C3" s="618"/>
      <c r="D3" s="618"/>
      <c r="E3" s="618"/>
      <c r="F3" s="618"/>
      <c r="G3" s="618"/>
      <c r="H3" s="618"/>
      <c r="I3" s="618"/>
      <c r="J3" s="618"/>
      <c r="K3" s="171"/>
      <c r="L3" s="99"/>
      <c r="M3" s="99">
        <v>24092.226800000022</v>
      </c>
    </row>
    <row r="4" spans="1:18">
      <c r="A4" s="23">
        <v>1</v>
      </c>
      <c r="B4" s="24">
        <v>46266</v>
      </c>
      <c r="C4" s="6"/>
      <c r="D4" s="6"/>
      <c r="E4" s="422">
        <v>60</v>
      </c>
      <c r="F4" s="422">
        <v>99.78</v>
      </c>
      <c r="G4" s="63">
        <f>E4*F4</f>
        <v>5986.8</v>
      </c>
      <c r="H4" s="422"/>
      <c r="I4" s="423"/>
      <c r="J4" s="63">
        <f>H4*I4</f>
        <v>0</v>
      </c>
      <c r="K4" s="63">
        <f>G4+J4</f>
        <v>5986.8</v>
      </c>
      <c r="L4" s="63"/>
      <c r="M4" s="63">
        <f>M3+K4-L4</f>
        <v>30079.026800000021</v>
      </c>
      <c r="N4" s="6"/>
    </row>
    <row r="5" spans="1:18">
      <c r="A5" s="23">
        <v>2</v>
      </c>
      <c r="B5" s="24">
        <v>46267</v>
      </c>
      <c r="C5" s="6"/>
      <c r="D5" s="6"/>
      <c r="E5" s="422">
        <v>60</v>
      </c>
      <c r="F5" s="422">
        <v>99.78</v>
      </c>
      <c r="G5" s="63">
        <f>E5*F5</f>
        <v>5986.8</v>
      </c>
      <c r="H5" s="422"/>
      <c r="I5" s="423"/>
      <c r="J5" s="63">
        <f>H5*I5</f>
        <v>0</v>
      </c>
      <c r="K5" s="63">
        <f>G5+J5</f>
        <v>5986.8</v>
      </c>
      <c r="L5" s="63"/>
      <c r="M5" s="63">
        <f t="shared" ref="M5:M9" si="0">M4+K5-L5</f>
        <v>36065.826800000024</v>
      </c>
      <c r="N5" s="6"/>
    </row>
    <row r="6" spans="1:18">
      <c r="A6" s="23">
        <v>3</v>
      </c>
      <c r="B6" s="24">
        <v>46268</v>
      </c>
      <c r="C6" s="6"/>
      <c r="D6" s="6"/>
      <c r="E6" s="422">
        <v>90</v>
      </c>
      <c r="F6" s="422">
        <v>99.78</v>
      </c>
      <c r="G6" s="63">
        <f t="shared" ref="G6:G40" si="1">E6*F6</f>
        <v>8980.2000000000007</v>
      </c>
      <c r="H6" s="422">
        <v>5</v>
      </c>
      <c r="I6" s="423">
        <v>111.98</v>
      </c>
      <c r="J6" s="63">
        <f t="shared" ref="J6" si="2">H6*I6</f>
        <v>559.9</v>
      </c>
      <c r="K6" s="63">
        <f t="shared" ref="K6:K39" si="3">G6+J6</f>
        <v>9540.1</v>
      </c>
      <c r="L6" s="63"/>
      <c r="M6" s="63">
        <f t="shared" si="0"/>
        <v>45605.926800000023</v>
      </c>
      <c r="N6" s="6"/>
    </row>
    <row r="7" spans="1:18">
      <c r="A7" s="23">
        <v>4</v>
      </c>
      <c r="B7" s="24">
        <v>46269</v>
      </c>
      <c r="C7" s="6"/>
      <c r="D7" s="6"/>
      <c r="E7" s="422">
        <v>98</v>
      </c>
      <c r="F7" s="422">
        <v>99.78</v>
      </c>
      <c r="G7" s="63">
        <f t="shared" si="1"/>
        <v>9778.44</v>
      </c>
      <c r="H7" s="422"/>
      <c r="I7" s="423"/>
      <c r="J7" s="63">
        <f t="shared" ref="J7:J40" si="4">H7*I7</f>
        <v>0</v>
      </c>
      <c r="K7" s="63">
        <f t="shared" si="3"/>
        <v>9778.44</v>
      </c>
      <c r="L7" s="63"/>
      <c r="M7" s="63">
        <f t="shared" si="0"/>
        <v>55384.366800000025</v>
      </c>
      <c r="N7" s="6"/>
    </row>
    <row r="8" spans="1:18">
      <c r="A8" s="23">
        <v>5</v>
      </c>
      <c r="B8" s="24">
        <v>46270</v>
      </c>
      <c r="C8" s="6"/>
      <c r="D8" s="6"/>
      <c r="E8" s="422"/>
      <c r="F8" s="422"/>
      <c r="G8" s="63">
        <f t="shared" si="1"/>
        <v>0</v>
      </c>
      <c r="H8" s="422">
        <v>5</v>
      </c>
      <c r="I8" s="423">
        <v>111.98</v>
      </c>
      <c r="J8" s="63">
        <f t="shared" si="4"/>
        <v>559.9</v>
      </c>
      <c r="K8" s="63">
        <f t="shared" si="3"/>
        <v>559.9</v>
      </c>
      <c r="L8" s="63"/>
      <c r="M8" s="63">
        <f t="shared" si="0"/>
        <v>55944.266800000027</v>
      </c>
      <c r="N8" s="6"/>
    </row>
    <row r="9" spans="1:18">
      <c r="A9" s="23">
        <v>6</v>
      </c>
      <c r="B9" s="24">
        <v>46271</v>
      </c>
      <c r="C9" s="6"/>
      <c r="D9" s="6"/>
      <c r="E9" s="422">
        <v>30</v>
      </c>
      <c r="F9" s="422">
        <v>99.78</v>
      </c>
      <c r="G9" s="63">
        <f t="shared" si="1"/>
        <v>2993.4</v>
      </c>
      <c r="H9" s="422">
        <v>10</v>
      </c>
      <c r="I9" s="423">
        <v>111.98</v>
      </c>
      <c r="J9" s="63">
        <f t="shared" si="4"/>
        <v>1119.8</v>
      </c>
      <c r="K9" s="63">
        <f t="shared" si="3"/>
        <v>4113.2</v>
      </c>
      <c r="L9" s="63"/>
      <c r="M9" s="63">
        <f t="shared" si="0"/>
        <v>60057.466800000024</v>
      </c>
      <c r="N9" s="6"/>
    </row>
    <row r="10" spans="1:18">
      <c r="A10" s="23">
        <v>7</v>
      </c>
      <c r="B10" s="24">
        <v>46272</v>
      </c>
      <c r="C10" s="6"/>
      <c r="D10" s="6"/>
      <c r="E10" s="422"/>
      <c r="F10" s="422"/>
      <c r="G10" s="63">
        <f t="shared" si="1"/>
        <v>0</v>
      </c>
      <c r="H10" s="422">
        <v>5</v>
      </c>
      <c r="I10" s="423">
        <v>111.98</v>
      </c>
      <c r="J10" s="63">
        <f t="shared" si="4"/>
        <v>559.9</v>
      </c>
      <c r="K10" s="63">
        <f t="shared" si="3"/>
        <v>559.9</v>
      </c>
      <c r="L10" s="63"/>
      <c r="M10" s="63">
        <f t="shared" ref="M5:M40" si="5">M9+K10-L10</f>
        <v>60617.366800000025</v>
      </c>
      <c r="N10" s="6"/>
    </row>
    <row r="11" spans="1:18">
      <c r="A11" s="23">
        <v>8</v>
      </c>
      <c r="B11" s="24">
        <v>46273</v>
      </c>
      <c r="C11" s="6"/>
      <c r="D11" s="6"/>
      <c r="E11" s="422">
        <v>60</v>
      </c>
      <c r="F11" s="422">
        <v>99.78</v>
      </c>
      <c r="G11" s="63">
        <f t="shared" si="1"/>
        <v>5986.8</v>
      </c>
      <c r="H11" s="422"/>
      <c r="I11" s="423"/>
      <c r="J11" s="63">
        <f t="shared" si="4"/>
        <v>0</v>
      </c>
      <c r="K11" s="63">
        <f t="shared" si="3"/>
        <v>5986.8</v>
      </c>
      <c r="L11" s="63"/>
      <c r="M11" s="63">
        <f t="shared" si="5"/>
        <v>66604.166800000021</v>
      </c>
      <c r="N11" s="6"/>
      <c r="R11" s="553"/>
    </row>
    <row r="12" spans="1:18">
      <c r="A12" s="23">
        <v>9</v>
      </c>
      <c r="B12" s="24">
        <v>46274</v>
      </c>
      <c r="C12" s="6"/>
      <c r="D12" s="6"/>
      <c r="E12" s="422"/>
      <c r="F12" s="422"/>
      <c r="G12" s="63">
        <f t="shared" si="1"/>
        <v>0</v>
      </c>
      <c r="H12" s="422">
        <v>5</v>
      </c>
      <c r="I12" s="423">
        <v>111.98</v>
      </c>
      <c r="J12" s="63">
        <f t="shared" si="4"/>
        <v>559.9</v>
      </c>
      <c r="K12" s="63">
        <f t="shared" si="3"/>
        <v>559.9</v>
      </c>
      <c r="L12" s="63"/>
      <c r="M12" s="63">
        <f t="shared" si="5"/>
        <v>67164.066800000015</v>
      </c>
      <c r="N12" s="6"/>
    </row>
    <row r="13" spans="1:18">
      <c r="A13" s="23">
        <v>10</v>
      </c>
      <c r="B13" s="24">
        <v>46275</v>
      </c>
      <c r="C13" s="6"/>
      <c r="D13" s="6"/>
      <c r="E13" s="422"/>
      <c r="F13" s="422"/>
      <c r="G13" s="63">
        <f t="shared" si="1"/>
        <v>0</v>
      </c>
      <c r="H13" s="422"/>
      <c r="I13" s="423"/>
      <c r="J13" s="63">
        <f t="shared" si="4"/>
        <v>0</v>
      </c>
      <c r="K13" s="63">
        <f t="shared" si="3"/>
        <v>0</v>
      </c>
      <c r="L13" s="63"/>
      <c r="M13" s="63">
        <f t="shared" si="5"/>
        <v>67164.066800000015</v>
      </c>
      <c r="N13" s="6"/>
    </row>
    <row r="14" spans="1:18">
      <c r="A14" s="23">
        <v>11</v>
      </c>
      <c r="B14" s="24">
        <v>46276</v>
      </c>
      <c r="C14" s="6"/>
      <c r="D14" s="6"/>
      <c r="E14" s="422">
        <v>100</v>
      </c>
      <c r="F14" s="422">
        <v>99.78</v>
      </c>
      <c r="G14" s="63">
        <f t="shared" si="1"/>
        <v>9978</v>
      </c>
      <c r="H14" s="422"/>
      <c r="I14" s="423"/>
      <c r="J14" s="63">
        <f t="shared" si="4"/>
        <v>0</v>
      </c>
      <c r="K14" s="63">
        <f t="shared" si="3"/>
        <v>9978</v>
      </c>
      <c r="L14" s="63"/>
      <c r="M14" s="63">
        <f t="shared" si="5"/>
        <v>77142.066800000015</v>
      </c>
      <c r="N14" s="6"/>
    </row>
    <row r="15" spans="1:18">
      <c r="A15" s="23">
        <v>12</v>
      </c>
      <c r="B15" s="24">
        <v>46277</v>
      </c>
      <c r="C15" s="6"/>
      <c r="D15" s="6"/>
      <c r="E15" s="422">
        <v>80</v>
      </c>
      <c r="F15" s="422">
        <v>99.78</v>
      </c>
      <c r="G15" s="63">
        <f t="shared" si="1"/>
        <v>7982.4</v>
      </c>
      <c r="H15" s="422"/>
      <c r="I15" s="423"/>
      <c r="J15" s="63">
        <f t="shared" si="4"/>
        <v>0</v>
      </c>
      <c r="K15" s="63">
        <f t="shared" si="3"/>
        <v>7982.4</v>
      </c>
      <c r="L15" s="63"/>
      <c r="M15" s="63">
        <f t="shared" si="5"/>
        <v>85124.466800000009</v>
      </c>
      <c r="N15" s="6"/>
    </row>
    <row r="16" spans="1:18">
      <c r="A16" s="23">
        <v>13</v>
      </c>
      <c r="B16" s="24">
        <v>46278</v>
      </c>
      <c r="C16" s="6"/>
      <c r="D16" s="6"/>
      <c r="E16" s="422">
        <v>60</v>
      </c>
      <c r="F16" s="422">
        <v>99.78</v>
      </c>
      <c r="G16" s="63">
        <f t="shared" si="1"/>
        <v>5986.8</v>
      </c>
      <c r="H16" s="422">
        <v>5</v>
      </c>
      <c r="I16" s="423">
        <v>111.98</v>
      </c>
      <c r="J16" s="63">
        <f t="shared" si="4"/>
        <v>559.9</v>
      </c>
      <c r="K16" s="63">
        <f t="shared" si="3"/>
        <v>6546.7</v>
      </c>
      <c r="L16" s="63"/>
      <c r="M16" s="63">
        <f t="shared" si="5"/>
        <v>91671.166800000006</v>
      </c>
      <c r="N16" s="6"/>
    </row>
    <row r="17" spans="1:21">
      <c r="A17" s="23">
        <v>14</v>
      </c>
      <c r="B17" s="24">
        <v>46279</v>
      </c>
      <c r="C17" s="6"/>
      <c r="D17" s="6"/>
      <c r="E17" s="422"/>
      <c r="F17" s="422"/>
      <c r="G17" s="63">
        <f t="shared" si="1"/>
        <v>0</v>
      </c>
      <c r="H17" s="422"/>
      <c r="I17" s="423"/>
      <c r="J17" s="63">
        <f t="shared" si="4"/>
        <v>0</v>
      </c>
      <c r="K17" s="63">
        <f t="shared" si="3"/>
        <v>0</v>
      </c>
      <c r="L17" s="63"/>
      <c r="M17" s="63">
        <f t="shared" si="5"/>
        <v>91671.166800000006</v>
      </c>
      <c r="N17" s="6"/>
    </row>
    <row r="18" spans="1:21">
      <c r="A18" s="23">
        <v>15</v>
      </c>
      <c r="B18" s="24">
        <v>46280</v>
      </c>
      <c r="C18" s="6"/>
      <c r="D18" s="6"/>
      <c r="E18" s="422"/>
      <c r="F18" s="422"/>
      <c r="G18" s="63">
        <f t="shared" si="1"/>
        <v>0</v>
      </c>
      <c r="H18" s="422"/>
      <c r="I18" s="423"/>
      <c r="J18" s="63">
        <f t="shared" si="4"/>
        <v>0</v>
      </c>
      <c r="K18" s="63">
        <f t="shared" si="3"/>
        <v>0</v>
      </c>
      <c r="L18" s="63"/>
      <c r="M18" s="63">
        <f t="shared" si="5"/>
        <v>91671.166800000006</v>
      </c>
      <c r="N18" s="6"/>
    </row>
    <row r="19" spans="1:21">
      <c r="A19" s="23">
        <v>16</v>
      </c>
      <c r="B19" s="24">
        <v>46281</v>
      </c>
      <c r="C19" s="6"/>
      <c r="D19" s="6"/>
      <c r="E19" s="422">
        <v>50</v>
      </c>
      <c r="F19" s="422">
        <v>99.78</v>
      </c>
      <c r="G19" s="63">
        <f t="shared" si="1"/>
        <v>4989</v>
      </c>
      <c r="H19" s="422">
        <v>10</v>
      </c>
      <c r="I19" s="423">
        <v>111.98</v>
      </c>
      <c r="J19" s="63">
        <f t="shared" si="4"/>
        <v>1119.8</v>
      </c>
      <c r="K19" s="63">
        <f t="shared" si="3"/>
        <v>6108.8</v>
      </c>
      <c r="L19" s="63"/>
      <c r="M19" s="63">
        <f t="shared" si="5"/>
        <v>97779.966800000009</v>
      </c>
      <c r="N19" s="6"/>
    </row>
    <row r="20" spans="1:21">
      <c r="A20" s="23">
        <v>17</v>
      </c>
      <c r="B20" s="24">
        <v>46282</v>
      </c>
      <c r="C20" s="170"/>
      <c r="D20" s="6"/>
      <c r="E20" s="422">
        <v>37</v>
      </c>
      <c r="F20" s="422">
        <v>99.78</v>
      </c>
      <c r="G20" s="63">
        <f t="shared" si="1"/>
        <v>3691.86</v>
      </c>
      <c r="H20" s="422"/>
      <c r="I20" s="423"/>
      <c r="J20" s="63">
        <f t="shared" si="4"/>
        <v>0</v>
      </c>
      <c r="K20" s="63">
        <f t="shared" si="3"/>
        <v>3691.86</v>
      </c>
      <c r="L20" s="63"/>
      <c r="M20" s="63">
        <f t="shared" si="5"/>
        <v>101471.82680000001</v>
      </c>
      <c r="N20" s="6"/>
    </row>
    <row r="21" spans="1:21">
      <c r="A21" s="23">
        <v>18</v>
      </c>
      <c r="B21" s="24">
        <v>46283</v>
      </c>
      <c r="C21" s="170"/>
      <c r="D21" s="6"/>
      <c r="E21" s="422">
        <v>60</v>
      </c>
      <c r="F21" s="422">
        <v>99.78</v>
      </c>
      <c r="G21" s="63">
        <f t="shared" si="1"/>
        <v>5986.8</v>
      </c>
      <c r="H21" s="422"/>
      <c r="I21" s="423"/>
      <c r="J21" s="63">
        <f t="shared" si="4"/>
        <v>0</v>
      </c>
      <c r="K21" s="63">
        <f t="shared" si="3"/>
        <v>5986.8</v>
      </c>
      <c r="L21" s="63"/>
      <c r="M21" s="63">
        <f t="shared" si="5"/>
        <v>107458.62680000001</v>
      </c>
      <c r="N21" s="6"/>
    </row>
    <row r="22" spans="1:21">
      <c r="A22" s="23">
        <v>19</v>
      </c>
      <c r="B22" s="24">
        <v>46284</v>
      </c>
      <c r="C22" s="170"/>
      <c r="D22" s="6"/>
      <c r="E22" s="422">
        <v>98</v>
      </c>
      <c r="F22" s="422">
        <v>99.78</v>
      </c>
      <c r="G22" s="63">
        <f>E22*F22</f>
        <v>9778.44</v>
      </c>
      <c r="H22" s="422"/>
      <c r="I22" s="423"/>
      <c r="J22" s="63">
        <f>H22*I22</f>
        <v>0</v>
      </c>
      <c r="K22" s="63">
        <f>G22+J22</f>
        <v>9778.44</v>
      </c>
      <c r="L22" s="63">
        <v>100000</v>
      </c>
      <c r="M22" s="63">
        <f t="shared" si="5"/>
        <v>17237.066800000015</v>
      </c>
      <c r="N22" s="6"/>
    </row>
    <row r="23" spans="1:21">
      <c r="A23" s="23">
        <v>20</v>
      </c>
      <c r="B23" s="24">
        <v>46285</v>
      </c>
      <c r="C23" s="170"/>
      <c r="D23" s="6"/>
      <c r="E23" s="422">
        <v>45</v>
      </c>
      <c r="F23" s="422">
        <v>99.78</v>
      </c>
      <c r="G23" s="63">
        <f t="shared" si="1"/>
        <v>4490.1000000000004</v>
      </c>
      <c r="H23" s="422"/>
      <c r="I23" s="423"/>
      <c r="J23" s="63">
        <f t="shared" si="4"/>
        <v>0</v>
      </c>
      <c r="K23" s="63">
        <f t="shared" si="3"/>
        <v>4490.1000000000004</v>
      </c>
      <c r="L23" s="63"/>
      <c r="M23" s="63">
        <f>M22+K23-L23</f>
        <v>21727.166800000014</v>
      </c>
      <c r="N23" s="6"/>
    </row>
    <row r="24" spans="1:21">
      <c r="A24" s="23">
        <v>21</v>
      </c>
      <c r="B24" s="24">
        <v>46286</v>
      </c>
      <c r="C24" s="170"/>
      <c r="D24" s="6"/>
      <c r="E24" s="422"/>
      <c r="F24" s="422"/>
      <c r="G24" s="63">
        <f t="shared" si="1"/>
        <v>0</v>
      </c>
      <c r="H24" s="422">
        <v>5</v>
      </c>
      <c r="I24" s="423">
        <v>111.98</v>
      </c>
      <c r="J24" s="63">
        <f t="shared" si="4"/>
        <v>559.9</v>
      </c>
      <c r="K24" s="63">
        <f t="shared" si="3"/>
        <v>559.9</v>
      </c>
      <c r="L24" s="63"/>
      <c r="M24" s="63">
        <f t="shared" si="5"/>
        <v>22287.066800000015</v>
      </c>
      <c r="N24" s="6"/>
    </row>
    <row r="25" spans="1:21">
      <c r="A25" s="23">
        <v>22</v>
      </c>
      <c r="B25" s="24">
        <v>46287</v>
      </c>
      <c r="C25" s="170"/>
      <c r="D25" s="6"/>
      <c r="E25" s="422">
        <v>50</v>
      </c>
      <c r="F25" s="422">
        <v>99.78</v>
      </c>
      <c r="G25" s="63">
        <f t="shared" si="1"/>
        <v>4989</v>
      </c>
      <c r="H25" s="422">
        <v>10</v>
      </c>
      <c r="I25" s="423">
        <v>111.98</v>
      </c>
      <c r="J25" s="63">
        <f t="shared" si="4"/>
        <v>1119.8</v>
      </c>
      <c r="K25" s="63">
        <f t="shared" si="3"/>
        <v>6108.8</v>
      </c>
      <c r="L25" s="63"/>
      <c r="M25" s="63">
        <f t="shared" si="5"/>
        <v>28395.866800000014</v>
      </c>
      <c r="N25" s="6"/>
    </row>
    <row r="26" spans="1:21">
      <c r="A26" s="23">
        <v>23</v>
      </c>
      <c r="B26" s="24">
        <v>46288</v>
      </c>
      <c r="C26" s="170"/>
      <c r="D26" s="6"/>
      <c r="E26" s="422">
        <v>30</v>
      </c>
      <c r="F26" s="422">
        <v>99.78</v>
      </c>
      <c r="G26" s="63">
        <f t="shared" si="1"/>
        <v>2993.4</v>
      </c>
      <c r="H26" s="422"/>
      <c r="I26" s="423"/>
      <c r="J26" s="63">
        <f t="shared" si="4"/>
        <v>0</v>
      </c>
      <c r="K26" s="63">
        <f t="shared" si="3"/>
        <v>2993.4</v>
      </c>
      <c r="L26" s="63"/>
      <c r="M26" s="63">
        <f t="shared" si="5"/>
        <v>31389.266800000016</v>
      </c>
      <c r="N26" s="6"/>
      <c r="R26" s="619" t="s">
        <v>219</v>
      </c>
      <c r="S26" s="619"/>
      <c r="T26" s="383" t="s">
        <v>220</v>
      </c>
      <c r="U26" s="383"/>
    </row>
    <row r="27" spans="1:21">
      <c r="A27" s="23">
        <v>24</v>
      </c>
      <c r="B27" s="24">
        <v>46289</v>
      </c>
      <c r="C27" s="170"/>
      <c r="D27" s="6"/>
      <c r="E27" s="422">
        <v>120</v>
      </c>
      <c r="F27" s="422">
        <v>99.78</v>
      </c>
      <c r="G27" s="63">
        <f t="shared" si="1"/>
        <v>11973.6</v>
      </c>
      <c r="H27" s="422"/>
      <c r="I27" s="423"/>
      <c r="J27" s="63">
        <f t="shared" si="4"/>
        <v>0</v>
      </c>
      <c r="K27" s="63">
        <f t="shared" si="3"/>
        <v>11973.6</v>
      </c>
      <c r="L27" s="63"/>
      <c r="M27" s="63">
        <f t="shared" si="5"/>
        <v>43362.866800000018</v>
      </c>
      <c r="N27" s="6"/>
      <c r="R27" s="6" t="s">
        <v>221</v>
      </c>
      <c r="S27" s="6" t="s">
        <v>222</v>
      </c>
      <c r="T27" s="6" t="s">
        <v>223</v>
      </c>
      <c r="U27" s="6" t="s">
        <v>64</v>
      </c>
    </row>
    <row r="28" spans="1:21">
      <c r="A28" s="23">
        <v>25</v>
      </c>
      <c r="B28" s="24">
        <v>46290</v>
      </c>
      <c r="C28" s="170"/>
      <c r="D28" s="6"/>
      <c r="E28" s="422">
        <v>60</v>
      </c>
      <c r="F28" s="422">
        <v>99.78</v>
      </c>
      <c r="G28" s="63">
        <f t="shared" si="1"/>
        <v>5986.8</v>
      </c>
      <c r="H28" s="422">
        <v>10</v>
      </c>
      <c r="I28" s="423">
        <v>111.98</v>
      </c>
      <c r="J28" s="63">
        <f t="shared" si="4"/>
        <v>1119.8</v>
      </c>
      <c r="K28" s="63">
        <f t="shared" si="3"/>
        <v>7106.6</v>
      </c>
      <c r="L28" s="63"/>
      <c r="M28" s="63">
        <f t="shared" si="5"/>
        <v>50469.466800000017</v>
      </c>
      <c r="N28" s="6"/>
      <c r="R28" s="6" t="s">
        <v>224</v>
      </c>
      <c r="S28" s="6">
        <v>2040</v>
      </c>
      <c r="T28" s="6">
        <v>90</v>
      </c>
      <c r="U28" s="6">
        <v>169925</v>
      </c>
    </row>
    <row r="29" spans="1:21">
      <c r="A29" s="23">
        <v>26</v>
      </c>
      <c r="B29" s="24">
        <v>46291</v>
      </c>
      <c r="C29" s="170"/>
      <c r="D29" s="6"/>
      <c r="E29" s="422">
        <v>75.040000000000006</v>
      </c>
      <c r="F29" s="422">
        <v>99.78</v>
      </c>
      <c r="G29" s="63">
        <f t="shared" si="1"/>
        <v>7487.4912000000004</v>
      </c>
      <c r="H29" s="422"/>
      <c r="I29" s="423"/>
      <c r="J29" s="63">
        <f t="shared" si="4"/>
        <v>0</v>
      </c>
      <c r="K29" s="63">
        <f t="shared" si="3"/>
        <v>7487.4912000000004</v>
      </c>
      <c r="L29" s="63"/>
      <c r="M29" s="63">
        <f t="shared" si="5"/>
        <v>57956.958000000013</v>
      </c>
      <c r="N29" s="6"/>
      <c r="R29" s="6" t="s">
        <v>225</v>
      </c>
      <c r="S29" s="6">
        <v>2115</v>
      </c>
      <c r="T29" s="6">
        <v>185</v>
      </c>
      <c r="U29" s="6">
        <v>206053</v>
      </c>
    </row>
    <row r="30" spans="1:21">
      <c r="A30" s="23">
        <v>27</v>
      </c>
      <c r="B30" s="24">
        <v>46292</v>
      </c>
      <c r="C30" s="170"/>
      <c r="D30" s="6"/>
      <c r="E30" s="422">
        <v>75</v>
      </c>
      <c r="F30" s="422">
        <v>99.78</v>
      </c>
      <c r="G30" s="63">
        <f t="shared" si="1"/>
        <v>7483.5</v>
      </c>
      <c r="H30" s="422"/>
      <c r="I30" s="423"/>
      <c r="J30" s="63">
        <f t="shared" si="4"/>
        <v>0</v>
      </c>
      <c r="K30" s="63">
        <f t="shared" si="3"/>
        <v>7483.5</v>
      </c>
      <c r="L30" s="63"/>
      <c r="M30" s="63">
        <f t="shared" si="5"/>
        <v>65440.458000000013</v>
      </c>
      <c r="N30" s="6"/>
      <c r="R30" s="6" t="s">
        <v>226</v>
      </c>
      <c r="S30" s="6">
        <v>2145</v>
      </c>
      <c r="T30" s="6">
        <v>177</v>
      </c>
      <c r="U30" s="6">
        <v>247835</v>
      </c>
    </row>
    <row r="31" spans="1:21">
      <c r="A31" s="23">
        <v>28</v>
      </c>
      <c r="B31" s="24">
        <v>46293</v>
      </c>
      <c r="C31" s="170"/>
      <c r="D31" s="6"/>
      <c r="E31" s="422">
        <v>35</v>
      </c>
      <c r="F31" s="422">
        <v>99.78</v>
      </c>
      <c r="G31" s="63">
        <f t="shared" si="1"/>
        <v>3492.3</v>
      </c>
      <c r="H31" s="422">
        <v>5</v>
      </c>
      <c r="I31" s="423">
        <v>111.98</v>
      </c>
      <c r="J31" s="63">
        <f t="shared" si="4"/>
        <v>559.9</v>
      </c>
      <c r="K31" s="63">
        <f t="shared" si="3"/>
        <v>4052.2000000000003</v>
      </c>
      <c r="L31" s="63"/>
      <c r="M31" s="63">
        <f t="shared" si="5"/>
        <v>69492.65800000001</v>
      </c>
      <c r="N31" s="6"/>
      <c r="R31" s="6" t="s">
        <v>227</v>
      </c>
      <c r="S31" s="6">
        <v>545</v>
      </c>
      <c r="T31" s="6">
        <v>50</v>
      </c>
      <c r="U31" s="6">
        <v>44201</v>
      </c>
    </row>
    <row r="32" spans="1:21">
      <c r="A32" s="23">
        <v>29</v>
      </c>
      <c r="B32" s="24">
        <v>46294</v>
      </c>
      <c r="C32" s="170"/>
      <c r="D32" s="6"/>
      <c r="E32" s="422">
        <v>55</v>
      </c>
      <c r="F32" s="422">
        <v>99.78</v>
      </c>
      <c r="G32" s="63">
        <f t="shared" si="1"/>
        <v>5487.9</v>
      </c>
      <c r="H32" s="422"/>
      <c r="I32" s="423"/>
      <c r="J32" s="63">
        <f t="shared" si="4"/>
        <v>0</v>
      </c>
      <c r="K32" s="63">
        <f t="shared" si="3"/>
        <v>5487.9</v>
      </c>
      <c r="L32" s="63"/>
      <c r="M32" s="63">
        <f t="shared" si="5"/>
        <v>74980.558000000005</v>
      </c>
      <c r="N32" s="6"/>
      <c r="R32" s="6"/>
      <c r="S32" s="383">
        <f>SUM(S28:S31)</f>
        <v>6845</v>
      </c>
      <c r="T32" s="383">
        <f>SUM(T28:T31)</f>
        <v>502</v>
      </c>
      <c r="U32" s="383">
        <f>SUM(U28:U31)</f>
        <v>668014</v>
      </c>
    </row>
    <row r="33" spans="1:14">
      <c r="A33" s="23">
        <v>30</v>
      </c>
      <c r="B33" s="24">
        <v>46295</v>
      </c>
      <c r="C33" s="170"/>
      <c r="D33" s="6"/>
      <c r="E33" s="576">
        <v>90</v>
      </c>
      <c r="F33" s="576">
        <v>99.78</v>
      </c>
      <c r="G33" s="63">
        <f t="shared" si="1"/>
        <v>8980.2000000000007</v>
      </c>
      <c r="H33" s="422">
        <v>5</v>
      </c>
      <c r="I33" s="423">
        <v>111.98</v>
      </c>
      <c r="J33" s="63">
        <f t="shared" si="4"/>
        <v>559.9</v>
      </c>
      <c r="K33" s="63">
        <f t="shared" si="3"/>
        <v>9540.1</v>
      </c>
      <c r="L33" s="63"/>
      <c r="M33" s="63">
        <f t="shared" si="5"/>
        <v>84520.65800000001</v>
      </c>
      <c r="N33" s="6"/>
    </row>
    <row r="34" spans="1:14">
      <c r="A34" s="23">
        <v>31</v>
      </c>
      <c r="B34" s="24"/>
      <c r="C34" s="170"/>
      <c r="D34" s="6"/>
      <c r="E34" s="422"/>
      <c r="F34" s="422"/>
      <c r="G34" s="63">
        <f t="shared" si="1"/>
        <v>0</v>
      </c>
      <c r="H34" s="422"/>
      <c r="I34" s="423"/>
      <c r="J34" s="63">
        <f t="shared" si="4"/>
        <v>0</v>
      </c>
      <c r="K34" s="63">
        <f t="shared" si="3"/>
        <v>0</v>
      </c>
      <c r="L34" s="63"/>
      <c r="M34" s="63">
        <f t="shared" si="5"/>
        <v>84520.65800000001</v>
      </c>
      <c r="N34" s="6"/>
    </row>
    <row r="35" spans="1:14">
      <c r="A35" s="23">
        <v>32</v>
      </c>
      <c r="B35" s="24"/>
      <c r="C35" s="170"/>
      <c r="D35" s="6"/>
      <c r="E35" s="422"/>
      <c r="F35" s="422"/>
      <c r="G35" s="63">
        <f t="shared" si="1"/>
        <v>0</v>
      </c>
      <c r="H35" s="422"/>
      <c r="I35" s="423"/>
      <c r="J35" s="63">
        <f t="shared" si="4"/>
        <v>0</v>
      </c>
      <c r="K35" s="63">
        <f t="shared" si="3"/>
        <v>0</v>
      </c>
      <c r="L35" s="63"/>
      <c r="M35" s="63">
        <f t="shared" si="5"/>
        <v>84520.65800000001</v>
      </c>
      <c r="N35" s="6"/>
    </row>
    <row r="36" spans="1:14">
      <c r="A36" s="23">
        <v>33</v>
      </c>
      <c r="B36" s="24"/>
      <c r="C36" s="170"/>
      <c r="D36" s="6"/>
      <c r="E36" s="422"/>
      <c r="F36" s="422"/>
      <c r="G36" s="63">
        <f t="shared" si="1"/>
        <v>0</v>
      </c>
      <c r="H36" s="422"/>
      <c r="I36" s="423"/>
      <c r="J36" s="63">
        <f t="shared" si="4"/>
        <v>0</v>
      </c>
      <c r="K36" s="63">
        <f t="shared" si="3"/>
        <v>0</v>
      </c>
      <c r="L36" s="63"/>
      <c r="M36" s="63">
        <f t="shared" si="5"/>
        <v>84520.65800000001</v>
      </c>
      <c r="N36" s="6"/>
    </row>
    <row r="37" spans="1:14">
      <c r="A37" s="23">
        <v>34</v>
      </c>
      <c r="B37" s="24"/>
      <c r="C37" s="170"/>
      <c r="D37" s="6"/>
      <c r="E37" s="422"/>
      <c r="F37" s="422"/>
      <c r="G37" s="63">
        <f t="shared" ref="G37" si="6">E37*F37</f>
        <v>0</v>
      </c>
      <c r="H37" s="41"/>
      <c r="I37" s="41"/>
      <c r="J37" s="63">
        <f t="shared" ref="J37" si="7">H37*I37</f>
        <v>0</v>
      </c>
      <c r="K37" s="63">
        <f t="shared" ref="K37:L37" si="8">G37+J37</f>
        <v>0</v>
      </c>
      <c r="L37" s="63"/>
      <c r="M37" s="63">
        <f t="shared" si="5"/>
        <v>84520.65800000001</v>
      </c>
      <c r="N37" s="6"/>
    </row>
    <row r="38" spans="1:14">
      <c r="A38" s="23">
        <v>35</v>
      </c>
      <c r="B38" s="24"/>
      <c r="C38" s="170"/>
      <c r="D38" s="6"/>
      <c r="E38" s="420"/>
      <c r="F38" s="420"/>
      <c r="G38" s="63">
        <f t="shared" si="1"/>
        <v>0</v>
      </c>
      <c r="H38" s="41"/>
      <c r="I38" s="41"/>
      <c r="J38" s="63">
        <f t="shared" si="4"/>
        <v>0</v>
      </c>
      <c r="K38" s="63">
        <f t="shared" si="3"/>
        <v>0</v>
      </c>
      <c r="L38" s="63"/>
      <c r="M38" s="63">
        <f t="shared" si="5"/>
        <v>84520.65800000001</v>
      </c>
      <c r="N38" s="6"/>
    </row>
    <row r="39" spans="1:14">
      <c r="A39" s="23">
        <v>36</v>
      </c>
      <c r="B39" s="24"/>
      <c r="C39" s="170"/>
      <c r="D39" s="6"/>
      <c r="E39" s="420"/>
      <c r="F39" s="420"/>
      <c r="G39" s="63">
        <f t="shared" si="1"/>
        <v>0</v>
      </c>
      <c r="H39" s="41"/>
      <c r="I39" s="41"/>
      <c r="J39" s="63">
        <f t="shared" si="4"/>
        <v>0</v>
      </c>
      <c r="K39" s="63">
        <f t="shared" si="3"/>
        <v>0</v>
      </c>
      <c r="L39" s="63"/>
      <c r="M39" s="63">
        <f t="shared" si="5"/>
        <v>84520.65800000001</v>
      </c>
      <c r="N39" s="6"/>
    </row>
    <row r="40" spans="1:14">
      <c r="A40" s="23">
        <v>37</v>
      </c>
      <c r="B40" s="24"/>
      <c r="C40" s="170"/>
      <c r="D40" s="6"/>
      <c r="E40" s="255"/>
      <c r="F40" s="41"/>
      <c r="G40" s="63">
        <f t="shared" si="1"/>
        <v>0</v>
      </c>
      <c r="H40" s="41"/>
      <c r="I40" s="41"/>
      <c r="J40" s="63">
        <f t="shared" si="4"/>
        <v>0</v>
      </c>
      <c r="K40" s="63">
        <f t="shared" ref="K40" si="9">G40+J40</f>
        <v>0</v>
      </c>
      <c r="L40" s="63"/>
      <c r="M40" s="63">
        <f t="shared" si="5"/>
        <v>84520.65800000001</v>
      </c>
      <c r="N40" s="6"/>
    </row>
    <row r="41" spans="1:14">
      <c r="A41" s="39"/>
      <c r="B41" s="39"/>
      <c r="C41" s="39"/>
      <c r="D41" s="39"/>
      <c r="E41" s="39">
        <f>SUM(E4:E40)</f>
        <v>1518.04</v>
      </c>
      <c r="F41" s="39"/>
      <c r="G41" s="39">
        <f>SUM(G4:G40)</f>
        <v>151470.03120000003</v>
      </c>
      <c r="H41" s="39">
        <f>SUM(H4:H40)</f>
        <v>80</v>
      </c>
      <c r="I41" s="39"/>
      <c r="J41" s="39">
        <f>SUM(J4:J40)</f>
        <v>8958.4</v>
      </c>
      <c r="K41" s="39">
        <f>SUM(K4:K40)</f>
        <v>160428.43120000002</v>
      </c>
      <c r="L41" s="39">
        <f>SUM(L4:L40)</f>
        <v>100000</v>
      </c>
      <c r="M41" s="39"/>
      <c r="N41" s="39"/>
    </row>
  </sheetData>
  <mergeCells count="3">
    <mergeCell ref="A1:N1"/>
    <mergeCell ref="A3:J3"/>
    <mergeCell ref="R26:S2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8753-EB45-413F-AA43-E56ACFC36C88}">
  <dimension ref="A1:Q56"/>
  <sheetViews>
    <sheetView workbookViewId="0">
      <pane ySplit="3" topLeftCell="A48" activePane="bottomLeft" state="frozen"/>
      <selection pane="bottomLeft" activeCell="M55" sqref="M55"/>
    </sheetView>
  </sheetViews>
  <sheetFormatPr defaultRowHeight="15"/>
  <cols>
    <col min="2" max="2" width="10.42578125" bestFit="1" customWidth="1"/>
    <col min="4" max="4" width="11.5703125" customWidth="1"/>
    <col min="5" max="5" width="10.42578125" bestFit="1" customWidth="1"/>
    <col min="7" max="7" width="14.7109375" customWidth="1"/>
    <col min="11" max="11" width="13.5703125" bestFit="1" customWidth="1"/>
    <col min="12" max="12" width="11.42578125" bestFit="1" customWidth="1"/>
    <col min="13" max="13" width="13.5703125" bestFit="1" customWidth="1"/>
    <col min="14" max="14" width="27.5703125" customWidth="1"/>
  </cols>
  <sheetData>
    <row r="1" spans="1:14" ht="15.75">
      <c r="A1" s="620" t="s">
        <v>228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</row>
    <row r="2" spans="1:14" ht="30.75">
      <c r="A2" s="61" t="s">
        <v>0</v>
      </c>
      <c r="B2" s="80" t="s">
        <v>168</v>
      </c>
      <c r="C2" s="80" t="s">
        <v>169</v>
      </c>
      <c r="D2" s="80" t="s">
        <v>170</v>
      </c>
      <c r="E2" s="87" t="s">
        <v>171</v>
      </c>
      <c r="F2" s="87" t="s">
        <v>172</v>
      </c>
      <c r="G2" s="87" t="s">
        <v>173</v>
      </c>
      <c r="H2" s="87" t="s">
        <v>174</v>
      </c>
      <c r="I2" s="87" t="s">
        <v>172</v>
      </c>
      <c r="J2" s="87" t="s">
        <v>173</v>
      </c>
      <c r="K2" s="88" t="s">
        <v>175</v>
      </c>
      <c r="L2" s="82" t="s">
        <v>176</v>
      </c>
      <c r="M2" s="82" t="s">
        <v>185</v>
      </c>
      <c r="N2" s="121" t="s">
        <v>178</v>
      </c>
    </row>
    <row r="3" spans="1:14">
      <c r="A3" s="597" t="s">
        <v>179</v>
      </c>
      <c r="B3" s="597"/>
      <c r="C3" s="597"/>
      <c r="D3" s="597"/>
      <c r="E3" s="597"/>
      <c r="F3" s="597"/>
      <c r="G3" s="597"/>
      <c r="H3" s="597"/>
      <c r="I3" s="597"/>
      <c r="J3" s="600"/>
      <c r="K3" s="194"/>
      <c r="M3" s="131">
        <v>50000.028200000059</v>
      </c>
      <c r="N3" s="91"/>
    </row>
    <row r="4" spans="1:14">
      <c r="A4" s="23">
        <v>1</v>
      </c>
      <c r="B4" s="24">
        <v>46266</v>
      </c>
      <c r="C4" s="14"/>
      <c r="D4" s="14"/>
      <c r="E4" s="37"/>
      <c r="F4" s="37"/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/>
      <c r="M4" s="132">
        <f>M3+K4-L4</f>
        <v>50000.028200000059</v>
      </c>
      <c r="N4" s="14"/>
    </row>
    <row r="5" spans="1:14">
      <c r="A5" s="23">
        <v>2</v>
      </c>
      <c r="B5" s="24">
        <v>46267</v>
      </c>
      <c r="C5" s="14"/>
      <c r="D5" s="14"/>
      <c r="E5" s="37"/>
      <c r="F5" s="37"/>
      <c r="G5" s="37">
        <f>E5*F5</f>
        <v>0</v>
      </c>
      <c r="H5" s="37"/>
      <c r="I5" s="37"/>
      <c r="J5" s="37">
        <f t="shared" ref="J5:J36" si="0">H5*I5</f>
        <v>0</v>
      </c>
      <c r="K5" s="37">
        <f t="shared" ref="K5:L36" si="1">G5+J5</f>
        <v>0</v>
      </c>
      <c r="L5" s="37"/>
      <c r="M5" s="132">
        <f t="shared" ref="M5:M55" si="2">M4+K5-L5</f>
        <v>50000.028200000059</v>
      </c>
      <c r="N5" s="14"/>
    </row>
    <row r="6" spans="1:14">
      <c r="A6" s="23">
        <v>3</v>
      </c>
      <c r="B6" s="24">
        <v>46268</v>
      </c>
      <c r="C6" s="14"/>
      <c r="D6" s="14"/>
      <c r="E6" s="37"/>
      <c r="F6" s="37"/>
      <c r="G6" s="37">
        <f t="shared" ref="G5:G36" si="3">E6*F6</f>
        <v>0</v>
      </c>
      <c r="H6" s="37"/>
      <c r="I6" s="37"/>
      <c r="J6" s="37">
        <f t="shared" si="0"/>
        <v>0</v>
      </c>
      <c r="K6" s="37">
        <f t="shared" si="1"/>
        <v>0</v>
      </c>
      <c r="L6" s="37"/>
      <c r="M6" s="132">
        <f t="shared" si="2"/>
        <v>50000.028200000059</v>
      </c>
      <c r="N6" s="14"/>
    </row>
    <row r="7" spans="1:14">
      <c r="A7" s="23">
        <v>4</v>
      </c>
      <c r="B7" s="24">
        <v>46269</v>
      </c>
      <c r="C7" s="14"/>
      <c r="D7" s="14"/>
      <c r="E7" s="37"/>
      <c r="F7" s="37"/>
      <c r="G7" s="37">
        <f t="shared" si="3"/>
        <v>0</v>
      </c>
      <c r="H7" s="37">
        <v>35</v>
      </c>
      <c r="I7" s="37">
        <v>113.18</v>
      </c>
      <c r="J7" s="37">
        <f t="shared" si="0"/>
        <v>3961.3</v>
      </c>
      <c r="K7" s="37">
        <f t="shared" si="1"/>
        <v>3961.3</v>
      </c>
      <c r="L7" s="37"/>
      <c r="M7" s="132">
        <f t="shared" si="2"/>
        <v>53961.328200000062</v>
      </c>
      <c r="N7" s="14"/>
    </row>
    <row r="8" spans="1:14">
      <c r="A8" s="23">
        <v>5</v>
      </c>
      <c r="B8" s="24">
        <v>46270</v>
      </c>
      <c r="C8" s="14"/>
      <c r="D8" s="14"/>
      <c r="E8" s="37"/>
      <c r="F8" s="37"/>
      <c r="G8" s="37">
        <f t="shared" si="3"/>
        <v>0</v>
      </c>
      <c r="H8" s="37"/>
      <c r="I8" s="37"/>
      <c r="J8" s="37">
        <f t="shared" si="0"/>
        <v>0</v>
      </c>
      <c r="K8" s="37">
        <f t="shared" si="1"/>
        <v>0</v>
      </c>
      <c r="L8" s="37"/>
      <c r="M8" s="132">
        <f t="shared" si="2"/>
        <v>53961.328200000062</v>
      </c>
      <c r="N8" s="14"/>
    </row>
    <row r="9" spans="1:14">
      <c r="A9" s="23">
        <v>6</v>
      </c>
      <c r="B9" s="24">
        <v>46271</v>
      </c>
      <c r="C9" s="14"/>
      <c r="D9" s="14"/>
      <c r="E9" s="37">
        <v>2616</v>
      </c>
      <c r="F9" s="37">
        <v>99.51</v>
      </c>
      <c r="G9" s="37">
        <f t="shared" si="3"/>
        <v>260318.16</v>
      </c>
      <c r="H9" s="37">
        <v>35</v>
      </c>
      <c r="I9" s="37">
        <v>113.18</v>
      </c>
      <c r="J9" s="37">
        <f t="shared" si="0"/>
        <v>3961.3</v>
      </c>
      <c r="K9" s="37">
        <f t="shared" si="1"/>
        <v>264279.46000000002</v>
      </c>
      <c r="L9" s="37"/>
      <c r="M9" s="132">
        <f t="shared" si="2"/>
        <v>318240.78820000007</v>
      </c>
      <c r="N9" s="14"/>
    </row>
    <row r="10" spans="1:14">
      <c r="A10" s="23">
        <v>7</v>
      </c>
      <c r="B10" s="24">
        <v>46272</v>
      </c>
      <c r="C10" s="14"/>
      <c r="D10" s="14"/>
      <c r="E10" s="37"/>
      <c r="F10" s="37"/>
      <c r="G10" s="37">
        <f t="shared" si="3"/>
        <v>0</v>
      </c>
      <c r="H10" s="37"/>
      <c r="I10" s="37"/>
      <c r="J10" s="37">
        <f t="shared" si="0"/>
        <v>0</v>
      </c>
      <c r="K10" s="37">
        <f t="shared" si="1"/>
        <v>0</v>
      </c>
      <c r="L10" s="37"/>
      <c r="M10" s="132">
        <f t="shared" si="2"/>
        <v>318240.78820000007</v>
      </c>
      <c r="N10" s="14"/>
    </row>
    <row r="11" spans="1:14">
      <c r="A11" s="23">
        <v>8</v>
      </c>
      <c r="B11" s="24">
        <v>46273</v>
      </c>
      <c r="C11" s="14"/>
      <c r="D11" s="14"/>
      <c r="E11" s="37"/>
      <c r="F11" s="37"/>
      <c r="G11" s="37">
        <f t="shared" si="3"/>
        <v>0</v>
      </c>
      <c r="H11" s="37"/>
      <c r="I11" s="37"/>
      <c r="J11" s="37">
        <f t="shared" si="0"/>
        <v>0</v>
      </c>
      <c r="K11" s="37">
        <f t="shared" si="1"/>
        <v>0</v>
      </c>
      <c r="L11" s="37"/>
      <c r="M11" s="132">
        <f>M10+K11-L11</f>
        <v>318240.78820000007</v>
      </c>
      <c r="N11" s="41"/>
    </row>
    <row r="12" spans="1:14">
      <c r="A12" s="23">
        <v>9</v>
      </c>
      <c r="B12" s="24">
        <v>46274</v>
      </c>
      <c r="C12" s="14"/>
      <c r="D12" s="14"/>
      <c r="E12" s="37"/>
      <c r="F12" s="37"/>
      <c r="G12" s="37">
        <f t="shared" si="3"/>
        <v>0</v>
      </c>
      <c r="H12" s="37"/>
      <c r="I12" s="37"/>
      <c r="J12" s="37">
        <f t="shared" si="0"/>
        <v>0</v>
      </c>
      <c r="K12" s="37">
        <f t="shared" si="1"/>
        <v>0</v>
      </c>
      <c r="L12" s="37"/>
      <c r="M12" s="132">
        <f>M11+K12-L12</f>
        <v>318240.78820000007</v>
      </c>
      <c r="N12" s="14"/>
    </row>
    <row r="13" spans="1:14">
      <c r="A13" s="23">
        <v>10</v>
      </c>
      <c r="B13" s="24">
        <v>46275</v>
      </c>
      <c r="C13" s="14"/>
      <c r="D13" s="14"/>
      <c r="E13" s="37"/>
      <c r="F13" s="37"/>
      <c r="G13" s="37">
        <f t="shared" si="3"/>
        <v>0</v>
      </c>
      <c r="H13" s="37"/>
      <c r="I13" s="37"/>
      <c r="J13" s="37">
        <f t="shared" si="0"/>
        <v>0</v>
      </c>
      <c r="K13" s="37">
        <f t="shared" si="1"/>
        <v>0</v>
      </c>
      <c r="L13" s="37"/>
      <c r="M13" s="132">
        <f t="shared" si="2"/>
        <v>318240.78820000007</v>
      </c>
      <c r="N13" s="14"/>
    </row>
    <row r="14" spans="1:14">
      <c r="A14" s="23">
        <v>11</v>
      </c>
      <c r="B14" s="24">
        <v>46276</v>
      </c>
      <c r="C14" s="14"/>
      <c r="D14" s="14"/>
      <c r="E14" s="37"/>
      <c r="F14" s="37"/>
      <c r="G14" s="37">
        <f t="shared" si="3"/>
        <v>0</v>
      </c>
      <c r="H14" s="37"/>
      <c r="I14" s="37"/>
      <c r="J14" s="37">
        <f t="shared" si="0"/>
        <v>0</v>
      </c>
      <c r="K14" s="37">
        <f t="shared" si="1"/>
        <v>0</v>
      </c>
      <c r="L14" s="37"/>
      <c r="M14" s="132">
        <f t="shared" si="2"/>
        <v>318240.78820000007</v>
      </c>
      <c r="N14" s="14"/>
    </row>
    <row r="15" spans="1:14">
      <c r="A15" s="23">
        <v>12</v>
      </c>
      <c r="B15" s="24">
        <v>46277</v>
      </c>
      <c r="C15" s="14"/>
      <c r="D15" s="14"/>
      <c r="E15" s="37"/>
      <c r="F15" s="37"/>
      <c r="G15" s="37">
        <f t="shared" si="3"/>
        <v>0</v>
      </c>
      <c r="H15" s="37"/>
      <c r="I15" s="37"/>
      <c r="J15" s="37">
        <f t="shared" si="0"/>
        <v>0</v>
      </c>
      <c r="K15" s="37">
        <f t="shared" si="1"/>
        <v>0</v>
      </c>
      <c r="L15" s="37"/>
      <c r="M15" s="132">
        <f t="shared" si="2"/>
        <v>318240.78820000007</v>
      </c>
      <c r="N15" s="14"/>
    </row>
    <row r="16" spans="1:14">
      <c r="A16" s="23">
        <v>13</v>
      </c>
      <c r="B16" s="24">
        <v>46278</v>
      </c>
      <c r="C16" s="14"/>
      <c r="D16" s="14"/>
      <c r="E16" s="37"/>
      <c r="F16" s="37"/>
      <c r="G16" s="37">
        <f t="shared" si="3"/>
        <v>0</v>
      </c>
      <c r="H16" s="37"/>
      <c r="I16" s="37"/>
      <c r="J16" s="37">
        <f t="shared" si="0"/>
        <v>0</v>
      </c>
      <c r="K16" s="37">
        <f t="shared" si="1"/>
        <v>0</v>
      </c>
      <c r="L16" s="37"/>
      <c r="M16" s="132">
        <f t="shared" si="2"/>
        <v>318240.78820000007</v>
      </c>
      <c r="N16" s="14"/>
    </row>
    <row r="17" spans="1:16">
      <c r="A17" s="23">
        <v>14</v>
      </c>
      <c r="B17" s="24">
        <v>46279</v>
      </c>
      <c r="C17" s="14"/>
      <c r="D17" s="14"/>
      <c r="E17" s="37"/>
      <c r="F17" s="37"/>
      <c r="G17" s="37">
        <f t="shared" si="3"/>
        <v>0</v>
      </c>
      <c r="H17" s="37"/>
      <c r="I17" s="37"/>
      <c r="J17" s="37">
        <f t="shared" si="0"/>
        <v>0</v>
      </c>
      <c r="K17" s="37">
        <f t="shared" si="1"/>
        <v>0</v>
      </c>
      <c r="L17" s="37"/>
      <c r="M17" s="132">
        <f t="shared" si="2"/>
        <v>318240.78820000007</v>
      </c>
      <c r="N17" s="14"/>
    </row>
    <row r="18" spans="1:16">
      <c r="A18" s="23">
        <v>15</v>
      </c>
      <c r="B18" s="24">
        <v>46280</v>
      </c>
      <c r="C18" s="14"/>
      <c r="D18" s="14"/>
      <c r="E18" s="37"/>
      <c r="F18" s="37"/>
      <c r="G18" s="37">
        <f t="shared" si="3"/>
        <v>0</v>
      </c>
      <c r="H18" s="37"/>
      <c r="I18" s="37"/>
      <c r="J18" s="37">
        <f t="shared" si="0"/>
        <v>0</v>
      </c>
      <c r="K18" s="37">
        <f t="shared" si="1"/>
        <v>0</v>
      </c>
      <c r="L18" s="37"/>
      <c r="M18" s="132">
        <f t="shared" si="2"/>
        <v>318240.78820000007</v>
      </c>
      <c r="N18" s="41"/>
    </row>
    <row r="19" spans="1:16">
      <c r="A19" s="23">
        <v>16</v>
      </c>
      <c r="B19" s="24">
        <v>46281</v>
      </c>
      <c r="C19" s="14"/>
      <c r="D19" s="14"/>
      <c r="E19" s="37"/>
      <c r="F19" s="37"/>
      <c r="G19" s="37">
        <f t="shared" si="3"/>
        <v>0</v>
      </c>
      <c r="H19" s="37"/>
      <c r="I19" s="37"/>
      <c r="J19" s="37">
        <f t="shared" si="0"/>
        <v>0</v>
      </c>
      <c r="K19" s="37">
        <f t="shared" si="1"/>
        <v>0</v>
      </c>
      <c r="L19" s="37"/>
      <c r="M19" s="132">
        <f t="shared" si="2"/>
        <v>318240.78820000007</v>
      </c>
      <c r="N19" s="41"/>
    </row>
    <row r="20" spans="1:16">
      <c r="A20" s="23">
        <v>17</v>
      </c>
      <c r="B20" s="24">
        <v>46282</v>
      </c>
      <c r="C20" s="14"/>
      <c r="D20" s="14"/>
      <c r="E20" s="37"/>
      <c r="F20" s="37"/>
      <c r="G20" s="37">
        <f t="shared" si="3"/>
        <v>0</v>
      </c>
      <c r="H20" s="37"/>
      <c r="I20" s="37"/>
      <c r="J20" s="37">
        <f t="shared" si="0"/>
        <v>0</v>
      </c>
      <c r="K20" s="37">
        <f t="shared" si="1"/>
        <v>0</v>
      </c>
      <c r="L20" s="37"/>
      <c r="M20" s="132">
        <f t="shared" si="2"/>
        <v>318240.78820000007</v>
      </c>
      <c r="N20" s="41"/>
      <c r="P20" s="19"/>
    </row>
    <row r="21" spans="1:16">
      <c r="A21" s="23">
        <v>18</v>
      </c>
      <c r="B21" s="24">
        <v>46283</v>
      </c>
      <c r="C21" s="14"/>
      <c r="D21" s="14"/>
      <c r="E21" s="37"/>
      <c r="F21" s="37"/>
      <c r="G21" s="37">
        <f t="shared" si="3"/>
        <v>0</v>
      </c>
      <c r="H21" s="37"/>
      <c r="I21" s="37"/>
      <c r="J21" s="37">
        <f t="shared" si="0"/>
        <v>0</v>
      </c>
      <c r="K21" s="37">
        <f t="shared" si="1"/>
        <v>0</v>
      </c>
      <c r="L21" s="37"/>
      <c r="M21" s="132">
        <f t="shared" si="2"/>
        <v>318240.78820000007</v>
      </c>
      <c r="N21" s="41"/>
      <c r="P21" s="19"/>
    </row>
    <row r="22" spans="1:16">
      <c r="A22" s="23">
        <v>19</v>
      </c>
      <c r="B22" s="24">
        <v>46284</v>
      </c>
      <c r="C22" s="14"/>
      <c r="D22" s="14"/>
      <c r="E22" s="37"/>
      <c r="F22" s="37"/>
      <c r="G22" s="37">
        <f t="shared" si="3"/>
        <v>0</v>
      </c>
      <c r="H22" s="37"/>
      <c r="I22" s="37"/>
      <c r="J22" s="37">
        <f t="shared" si="0"/>
        <v>0</v>
      </c>
      <c r="K22" s="37">
        <f t="shared" si="1"/>
        <v>0</v>
      </c>
      <c r="L22" s="37"/>
      <c r="M22" s="132">
        <f t="shared" si="2"/>
        <v>318240.78820000007</v>
      </c>
      <c r="N22" s="41"/>
      <c r="P22" s="19"/>
    </row>
    <row r="23" spans="1:16">
      <c r="A23" s="23">
        <v>20</v>
      </c>
      <c r="B23" s="24">
        <v>46285</v>
      </c>
      <c r="C23" s="14"/>
      <c r="D23" s="14"/>
      <c r="E23" s="37"/>
      <c r="F23" s="37"/>
      <c r="G23" s="37">
        <f t="shared" si="3"/>
        <v>0</v>
      </c>
      <c r="H23" s="37"/>
      <c r="I23" s="37"/>
      <c r="J23" s="37">
        <f t="shared" si="0"/>
        <v>0</v>
      </c>
      <c r="K23" s="37">
        <f t="shared" si="1"/>
        <v>0</v>
      </c>
      <c r="L23" s="37"/>
      <c r="M23" s="132">
        <f t="shared" si="2"/>
        <v>318240.78820000007</v>
      </c>
      <c r="N23" s="41"/>
      <c r="P23" s="19"/>
    </row>
    <row r="24" spans="1:16">
      <c r="A24" s="23">
        <v>21</v>
      </c>
      <c r="B24" s="24">
        <v>46286</v>
      </c>
      <c r="C24" s="14"/>
      <c r="D24" s="14"/>
      <c r="E24" s="37">
        <v>2815</v>
      </c>
      <c r="F24" s="37">
        <v>99.51</v>
      </c>
      <c r="G24" s="37">
        <f t="shared" si="3"/>
        <v>280120.65000000002</v>
      </c>
      <c r="H24" s="37">
        <v>60</v>
      </c>
      <c r="I24" s="37">
        <v>113.18</v>
      </c>
      <c r="J24" s="37">
        <f t="shared" si="0"/>
        <v>6790.8</v>
      </c>
      <c r="K24" s="37">
        <f t="shared" si="1"/>
        <v>286911.45</v>
      </c>
      <c r="L24" s="37"/>
      <c r="M24" s="132">
        <f t="shared" si="2"/>
        <v>605152.23820000002</v>
      </c>
      <c r="N24" s="41"/>
      <c r="P24" s="19"/>
    </row>
    <row r="25" spans="1:16">
      <c r="A25" s="23">
        <v>22</v>
      </c>
      <c r="B25" s="24">
        <v>46287</v>
      </c>
      <c r="C25" s="14"/>
      <c r="D25" s="14"/>
      <c r="E25" s="37"/>
      <c r="F25" s="37"/>
      <c r="G25" s="37">
        <f t="shared" si="3"/>
        <v>0</v>
      </c>
      <c r="H25" s="37"/>
      <c r="I25" s="37"/>
      <c r="J25" s="37">
        <f t="shared" si="0"/>
        <v>0</v>
      </c>
      <c r="K25" s="37">
        <f t="shared" si="1"/>
        <v>0</v>
      </c>
      <c r="L25" s="37"/>
      <c r="M25" s="132">
        <f t="shared" si="2"/>
        <v>605152.23820000002</v>
      </c>
      <c r="N25" s="41"/>
      <c r="P25" s="19"/>
    </row>
    <row r="26" spans="1:16">
      <c r="A26" s="23">
        <v>23</v>
      </c>
      <c r="B26" s="24">
        <v>46288</v>
      </c>
      <c r="C26" s="14"/>
      <c r="D26" s="14"/>
      <c r="E26" s="37"/>
      <c r="F26" s="37"/>
      <c r="G26" s="37">
        <f t="shared" si="3"/>
        <v>0</v>
      </c>
      <c r="H26" s="37"/>
      <c r="I26" s="37"/>
      <c r="J26" s="37">
        <f t="shared" si="0"/>
        <v>0</v>
      </c>
      <c r="K26" s="37">
        <f t="shared" si="1"/>
        <v>0</v>
      </c>
      <c r="L26" s="37"/>
      <c r="M26" s="132">
        <f t="shared" si="2"/>
        <v>605152.23820000002</v>
      </c>
      <c r="N26" s="41"/>
      <c r="P26" s="19"/>
    </row>
    <row r="27" spans="1:16">
      <c r="A27" s="23">
        <v>24</v>
      </c>
      <c r="B27" s="24">
        <v>46289</v>
      </c>
      <c r="C27" s="14"/>
      <c r="D27" s="14"/>
      <c r="E27" s="37"/>
      <c r="F27" s="37"/>
      <c r="G27" s="37">
        <f t="shared" si="3"/>
        <v>0</v>
      </c>
      <c r="H27" s="37"/>
      <c r="I27" s="37"/>
      <c r="J27" s="37">
        <f t="shared" si="0"/>
        <v>0</v>
      </c>
      <c r="K27" s="37">
        <f t="shared" si="1"/>
        <v>0</v>
      </c>
      <c r="L27" s="37"/>
      <c r="M27" s="132">
        <f t="shared" si="2"/>
        <v>605152.23820000002</v>
      </c>
      <c r="N27" s="41"/>
      <c r="P27" s="19"/>
    </row>
    <row r="28" spans="1:16">
      <c r="A28" s="23">
        <v>25</v>
      </c>
      <c r="B28" s="24">
        <v>46290</v>
      </c>
      <c r="C28" s="14"/>
      <c r="D28" s="14"/>
      <c r="E28" s="37"/>
      <c r="F28" s="37"/>
      <c r="G28" s="37">
        <f t="shared" si="3"/>
        <v>0</v>
      </c>
      <c r="H28" s="37"/>
      <c r="I28" s="37"/>
      <c r="J28" s="37">
        <f t="shared" si="0"/>
        <v>0</v>
      </c>
      <c r="K28" s="37">
        <f t="shared" si="1"/>
        <v>0</v>
      </c>
      <c r="L28" s="37"/>
      <c r="M28" s="132">
        <f t="shared" si="2"/>
        <v>605152.23820000002</v>
      </c>
      <c r="N28" s="41"/>
      <c r="P28" s="19"/>
    </row>
    <row r="29" spans="1:16">
      <c r="A29" s="23">
        <v>26</v>
      </c>
      <c r="B29" s="24">
        <v>46291</v>
      </c>
      <c r="C29" s="14"/>
      <c r="D29" s="14"/>
      <c r="E29" s="37"/>
      <c r="F29" s="37"/>
      <c r="G29" s="37">
        <f t="shared" si="3"/>
        <v>0</v>
      </c>
      <c r="H29" s="37"/>
      <c r="I29" s="37"/>
      <c r="J29" s="37">
        <f t="shared" si="0"/>
        <v>0</v>
      </c>
      <c r="K29" s="37">
        <f t="shared" si="1"/>
        <v>0</v>
      </c>
      <c r="L29" s="37"/>
      <c r="M29" s="132">
        <f t="shared" si="2"/>
        <v>605152.23820000002</v>
      </c>
      <c r="N29" s="41"/>
      <c r="P29" s="19"/>
    </row>
    <row r="30" spans="1:16">
      <c r="A30" s="23">
        <v>27</v>
      </c>
      <c r="B30" s="24">
        <v>46292</v>
      </c>
      <c r="C30" s="14"/>
      <c r="D30" s="14"/>
      <c r="E30" s="37"/>
      <c r="F30" s="37"/>
      <c r="G30" s="37">
        <f t="shared" si="3"/>
        <v>0</v>
      </c>
      <c r="H30" s="37"/>
      <c r="I30" s="37"/>
      <c r="J30" s="37">
        <f t="shared" si="0"/>
        <v>0</v>
      </c>
      <c r="K30" s="37">
        <f t="shared" si="1"/>
        <v>0</v>
      </c>
      <c r="L30" s="37"/>
      <c r="M30" s="132">
        <f t="shared" si="2"/>
        <v>605152.23820000002</v>
      </c>
      <c r="N30" s="41"/>
    </row>
    <row r="31" spans="1:16">
      <c r="A31" s="23">
        <v>28</v>
      </c>
      <c r="B31" s="24">
        <v>46293</v>
      </c>
      <c r="C31" s="14"/>
      <c r="D31" s="14"/>
      <c r="E31" s="37"/>
      <c r="F31" s="37"/>
      <c r="G31" s="37">
        <f t="shared" si="3"/>
        <v>0</v>
      </c>
      <c r="H31" s="37"/>
      <c r="I31" s="37"/>
      <c r="J31" s="37">
        <f t="shared" si="0"/>
        <v>0</v>
      </c>
      <c r="K31" s="37">
        <f t="shared" si="1"/>
        <v>0</v>
      </c>
      <c r="L31" s="37"/>
      <c r="M31" s="132">
        <f t="shared" si="2"/>
        <v>605152.23820000002</v>
      </c>
      <c r="N31" s="41"/>
    </row>
    <row r="32" spans="1:16">
      <c r="A32" s="23">
        <v>29</v>
      </c>
      <c r="B32" s="24">
        <v>46294</v>
      </c>
      <c r="C32" s="14"/>
      <c r="D32" s="14"/>
      <c r="E32" s="37"/>
      <c r="F32" s="37"/>
      <c r="G32" s="37">
        <f t="shared" si="3"/>
        <v>0</v>
      </c>
      <c r="H32" s="37"/>
      <c r="I32" s="37"/>
      <c r="J32" s="37">
        <f t="shared" si="0"/>
        <v>0</v>
      </c>
      <c r="K32" s="37">
        <f t="shared" si="1"/>
        <v>0</v>
      </c>
      <c r="L32" s="37"/>
      <c r="M32" s="132">
        <f t="shared" si="2"/>
        <v>605152.23820000002</v>
      </c>
      <c r="N32" s="41"/>
    </row>
    <row r="33" spans="1:17">
      <c r="A33" s="23">
        <v>30</v>
      </c>
      <c r="B33" s="24">
        <v>46295</v>
      </c>
      <c r="C33" s="14"/>
      <c r="D33" s="14"/>
      <c r="E33" s="37"/>
      <c r="F33" s="37"/>
      <c r="G33" s="37">
        <f t="shared" si="3"/>
        <v>0</v>
      </c>
      <c r="H33" s="37"/>
      <c r="I33" s="37"/>
      <c r="J33" s="37">
        <f t="shared" si="0"/>
        <v>0</v>
      </c>
      <c r="K33" s="37">
        <f t="shared" si="1"/>
        <v>0</v>
      </c>
      <c r="L33" s="37"/>
      <c r="M33" s="132">
        <f t="shared" si="2"/>
        <v>605152.23820000002</v>
      </c>
      <c r="N33" s="41"/>
    </row>
    <row r="34" spans="1:17">
      <c r="A34" s="23">
        <v>31</v>
      </c>
      <c r="B34" s="24"/>
      <c r="C34" s="14"/>
      <c r="D34" s="14"/>
      <c r="E34" s="37"/>
      <c r="F34" s="37"/>
      <c r="G34" s="37">
        <f t="shared" si="3"/>
        <v>0</v>
      </c>
      <c r="H34" s="37"/>
      <c r="I34" s="37"/>
      <c r="J34" s="37">
        <f t="shared" si="0"/>
        <v>0</v>
      </c>
      <c r="K34" s="37">
        <f t="shared" si="1"/>
        <v>0</v>
      </c>
      <c r="L34" s="37"/>
      <c r="M34" s="132">
        <f t="shared" si="2"/>
        <v>605152.23820000002</v>
      </c>
      <c r="N34" s="41"/>
    </row>
    <row r="35" spans="1:17">
      <c r="A35" s="23">
        <v>32</v>
      </c>
      <c r="B35" s="24"/>
      <c r="C35" s="14"/>
      <c r="D35" s="14"/>
      <c r="E35" s="37"/>
      <c r="F35" s="37"/>
      <c r="G35" s="37">
        <f t="shared" si="3"/>
        <v>0</v>
      </c>
      <c r="H35" s="37"/>
      <c r="I35" s="37"/>
      <c r="J35" s="37">
        <f t="shared" si="0"/>
        <v>0</v>
      </c>
      <c r="K35" s="37">
        <f t="shared" si="1"/>
        <v>0</v>
      </c>
      <c r="L35" s="37"/>
      <c r="M35" s="132">
        <f t="shared" si="2"/>
        <v>605152.23820000002</v>
      </c>
      <c r="N35" s="41"/>
    </row>
    <row r="36" spans="1:17">
      <c r="A36" s="23">
        <v>33</v>
      </c>
      <c r="B36" s="24"/>
      <c r="C36" s="14"/>
      <c r="D36" s="14"/>
      <c r="E36" s="37"/>
      <c r="F36" s="37"/>
      <c r="G36" s="37">
        <f t="shared" si="3"/>
        <v>0</v>
      </c>
      <c r="H36" s="37"/>
      <c r="I36" s="37"/>
      <c r="J36" s="37">
        <f t="shared" si="0"/>
        <v>0</v>
      </c>
      <c r="K36" s="37">
        <f t="shared" si="1"/>
        <v>0</v>
      </c>
      <c r="L36" s="37"/>
      <c r="M36" s="132">
        <f t="shared" si="2"/>
        <v>605152.23820000002</v>
      </c>
      <c r="N36" s="41"/>
    </row>
    <row r="37" spans="1:17">
      <c r="A37" s="23">
        <v>34</v>
      </c>
      <c r="B37" s="24"/>
      <c r="C37" s="14"/>
      <c r="D37" s="14"/>
      <c r="E37" s="37"/>
      <c r="F37" s="37"/>
      <c r="G37" s="37">
        <f t="shared" ref="G5:G55" si="4">E37*F37</f>
        <v>0</v>
      </c>
      <c r="H37" s="37"/>
      <c r="I37" s="37"/>
      <c r="J37" s="37">
        <f t="shared" ref="J5:J55" si="5">H37*I37</f>
        <v>0</v>
      </c>
      <c r="K37" s="37">
        <f>G37+J37</f>
        <v>0</v>
      </c>
      <c r="L37" s="37"/>
      <c r="M37" s="132">
        <f t="shared" si="2"/>
        <v>605152.23820000002</v>
      </c>
      <c r="N37" s="41"/>
    </row>
    <row r="38" spans="1:17">
      <c r="A38" s="23">
        <v>35</v>
      </c>
      <c r="B38" s="24"/>
      <c r="C38" s="14"/>
      <c r="D38" s="14"/>
      <c r="E38" s="37"/>
      <c r="F38" s="37"/>
      <c r="G38" s="37">
        <f t="shared" si="4"/>
        <v>0</v>
      </c>
      <c r="H38" s="37"/>
      <c r="I38" s="37"/>
      <c r="J38" s="37">
        <f t="shared" si="5"/>
        <v>0</v>
      </c>
      <c r="K38" s="37">
        <f>G38+J38</f>
        <v>0</v>
      </c>
      <c r="L38" s="37"/>
      <c r="M38" s="132">
        <f t="shared" si="2"/>
        <v>605152.23820000002</v>
      </c>
      <c r="N38" s="41"/>
    </row>
    <row r="39" spans="1:17">
      <c r="A39" s="23">
        <v>36</v>
      </c>
      <c r="B39" s="24"/>
      <c r="C39" s="14"/>
      <c r="D39" s="14"/>
      <c r="E39" s="37"/>
      <c r="F39" s="37"/>
      <c r="G39" s="37">
        <f t="shared" si="4"/>
        <v>0</v>
      </c>
      <c r="H39" s="37"/>
      <c r="I39" s="37"/>
      <c r="J39" s="37">
        <f t="shared" si="5"/>
        <v>0</v>
      </c>
      <c r="K39" s="37">
        <f>G39+J39</f>
        <v>0</v>
      </c>
      <c r="L39" s="37"/>
      <c r="M39" s="132">
        <f t="shared" si="2"/>
        <v>605152.23820000002</v>
      </c>
      <c r="N39" s="41"/>
      <c r="P39">
        <v>41</v>
      </c>
    </row>
    <row r="40" spans="1:17">
      <c r="A40" s="23">
        <v>37</v>
      </c>
      <c r="B40" s="24"/>
      <c r="C40" s="14"/>
      <c r="D40" s="14"/>
      <c r="E40" s="37"/>
      <c r="F40" s="37"/>
      <c r="G40" s="37">
        <f t="shared" si="4"/>
        <v>0</v>
      </c>
      <c r="H40" s="37"/>
      <c r="I40" s="37"/>
      <c r="J40" s="37">
        <f t="shared" si="5"/>
        <v>0</v>
      </c>
      <c r="K40" s="37">
        <f>G40+J40</f>
        <v>0</v>
      </c>
      <c r="L40" s="37"/>
      <c r="M40" s="132">
        <f t="shared" si="2"/>
        <v>605152.23820000002</v>
      </c>
      <c r="N40" s="41"/>
      <c r="P40">
        <v>40</v>
      </c>
      <c r="Q40">
        <v>5</v>
      </c>
    </row>
    <row r="41" spans="1:17">
      <c r="A41" s="23">
        <v>38</v>
      </c>
      <c r="B41" s="24"/>
      <c r="C41" s="14"/>
      <c r="D41" s="14"/>
      <c r="E41" s="37"/>
      <c r="F41" s="37"/>
      <c r="G41" s="37">
        <f t="shared" si="4"/>
        <v>0</v>
      </c>
      <c r="H41" s="37"/>
      <c r="I41" s="37"/>
      <c r="J41" s="37">
        <f t="shared" si="5"/>
        <v>0</v>
      </c>
      <c r="K41" s="37">
        <f>G41+J41</f>
        <v>0</v>
      </c>
      <c r="L41" s="37"/>
      <c r="M41" s="132">
        <f t="shared" si="2"/>
        <v>605152.23820000002</v>
      </c>
      <c r="N41" s="41"/>
    </row>
    <row r="42" spans="1:17">
      <c r="A42" s="23">
        <v>39</v>
      </c>
      <c r="B42" s="24"/>
      <c r="C42" s="14"/>
      <c r="D42" s="14"/>
      <c r="E42" s="37"/>
      <c r="F42" s="37"/>
      <c r="G42" s="37">
        <f t="shared" si="4"/>
        <v>0</v>
      </c>
      <c r="H42" s="37"/>
      <c r="I42" s="37"/>
      <c r="J42" s="37">
        <f t="shared" si="5"/>
        <v>0</v>
      </c>
      <c r="K42" s="37">
        <f>G42+J42</f>
        <v>0</v>
      </c>
      <c r="L42" s="37"/>
      <c r="M42" s="132">
        <f t="shared" si="2"/>
        <v>605152.23820000002</v>
      </c>
      <c r="N42" s="41"/>
    </row>
    <row r="43" spans="1:17">
      <c r="A43" s="23">
        <v>40</v>
      </c>
      <c r="B43" s="24"/>
      <c r="C43" s="14"/>
      <c r="D43" s="14"/>
      <c r="E43" s="37"/>
      <c r="F43" s="37"/>
      <c r="G43" s="37">
        <f t="shared" si="4"/>
        <v>0</v>
      </c>
      <c r="H43" s="37"/>
      <c r="I43" s="37"/>
      <c r="J43" s="37">
        <f t="shared" si="5"/>
        <v>0</v>
      </c>
      <c r="K43" s="37">
        <f>G43+J43</f>
        <v>0</v>
      </c>
      <c r="L43" s="37"/>
      <c r="M43" s="132">
        <f t="shared" si="2"/>
        <v>605152.23820000002</v>
      </c>
      <c r="N43" s="41"/>
    </row>
    <row r="44" spans="1:17">
      <c r="A44" s="23">
        <v>41</v>
      </c>
      <c r="B44" s="24"/>
      <c r="C44" s="14"/>
      <c r="D44" s="14"/>
      <c r="E44" s="37"/>
      <c r="F44" s="37"/>
      <c r="G44" s="37">
        <f t="shared" si="4"/>
        <v>0</v>
      </c>
      <c r="H44" s="37"/>
      <c r="I44" s="37"/>
      <c r="J44" s="37">
        <f t="shared" si="5"/>
        <v>0</v>
      </c>
      <c r="K44" s="37">
        <f>G44+J44</f>
        <v>0</v>
      </c>
      <c r="L44" s="37"/>
      <c r="M44" s="132">
        <f t="shared" si="2"/>
        <v>605152.23820000002</v>
      </c>
      <c r="N44" s="41"/>
    </row>
    <row r="45" spans="1:17">
      <c r="A45" s="23">
        <v>42</v>
      </c>
      <c r="B45" s="24"/>
      <c r="C45" s="14"/>
      <c r="D45" s="14"/>
      <c r="E45" s="37"/>
      <c r="F45" s="37"/>
      <c r="G45" s="37">
        <f t="shared" si="4"/>
        <v>0</v>
      </c>
      <c r="H45" s="37"/>
      <c r="I45" s="37"/>
      <c r="J45" s="37">
        <f t="shared" si="5"/>
        <v>0</v>
      </c>
      <c r="K45" s="37">
        <f>G45+J45</f>
        <v>0</v>
      </c>
      <c r="L45" s="37"/>
      <c r="M45" s="132">
        <f t="shared" si="2"/>
        <v>605152.23820000002</v>
      </c>
      <c r="N45" s="41"/>
    </row>
    <row r="46" spans="1:17">
      <c r="A46" s="23">
        <v>43</v>
      </c>
      <c r="B46" s="24"/>
      <c r="C46" s="14"/>
      <c r="D46" s="14"/>
      <c r="E46" s="37"/>
      <c r="F46" s="37"/>
      <c r="G46" s="37">
        <f t="shared" si="4"/>
        <v>0</v>
      </c>
      <c r="H46" s="37"/>
      <c r="I46" s="37"/>
      <c r="J46" s="37">
        <f t="shared" si="5"/>
        <v>0</v>
      </c>
      <c r="K46" s="37">
        <f>G46+J46</f>
        <v>0</v>
      </c>
      <c r="L46" s="37"/>
      <c r="M46" s="132">
        <f t="shared" si="2"/>
        <v>605152.23820000002</v>
      </c>
      <c r="N46" s="41"/>
    </row>
    <row r="47" spans="1:17">
      <c r="A47" s="23">
        <v>44</v>
      </c>
      <c r="B47" s="24"/>
      <c r="C47" s="14"/>
      <c r="D47" s="14"/>
      <c r="E47" s="37"/>
      <c r="F47" s="37"/>
      <c r="G47" s="37">
        <f t="shared" si="4"/>
        <v>0</v>
      </c>
      <c r="H47" s="37"/>
      <c r="I47" s="37"/>
      <c r="J47" s="37">
        <f t="shared" si="5"/>
        <v>0</v>
      </c>
      <c r="K47" s="37">
        <f>G47+J47</f>
        <v>0</v>
      </c>
      <c r="L47" s="37"/>
      <c r="M47" s="132">
        <f t="shared" si="2"/>
        <v>605152.23820000002</v>
      </c>
      <c r="N47" s="41"/>
    </row>
    <row r="48" spans="1:17">
      <c r="A48" s="23">
        <v>45</v>
      </c>
      <c r="B48" s="24"/>
      <c r="C48" s="14"/>
      <c r="D48" s="14"/>
      <c r="E48" s="37"/>
      <c r="F48" s="37"/>
      <c r="G48" s="37">
        <f t="shared" si="4"/>
        <v>0</v>
      </c>
      <c r="H48" s="37"/>
      <c r="I48" s="37"/>
      <c r="J48" s="37">
        <f t="shared" si="5"/>
        <v>0</v>
      </c>
      <c r="K48" s="37">
        <f>G48+J48</f>
        <v>0</v>
      </c>
      <c r="L48" s="37"/>
      <c r="M48" s="132">
        <f t="shared" si="2"/>
        <v>605152.23820000002</v>
      </c>
      <c r="N48" s="41"/>
    </row>
    <row r="49" spans="1:16">
      <c r="A49" s="23">
        <v>46</v>
      </c>
      <c r="B49" s="24"/>
      <c r="C49" s="14"/>
      <c r="D49" s="14"/>
      <c r="E49" s="37"/>
      <c r="F49" s="37"/>
      <c r="G49" s="37">
        <f t="shared" si="4"/>
        <v>0</v>
      </c>
      <c r="H49" s="37"/>
      <c r="I49" s="37"/>
      <c r="J49" s="37">
        <f t="shared" si="5"/>
        <v>0</v>
      </c>
      <c r="K49" s="37">
        <f>G49+J49</f>
        <v>0</v>
      </c>
      <c r="L49" s="37"/>
      <c r="M49" s="132">
        <f t="shared" si="2"/>
        <v>605152.23820000002</v>
      </c>
      <c r="N49" s="41"/>
    </row>
    <row r="50" spans="1:16">
      <c r="A50" s="23">
        <v>47</v>
      </c>
      <c r="B50" s="24"/>
      <c r="C50" s="14"/>
      <c r="D50" s="14"/>
      <c r="E50" s="37"/>
      <c r="F50" s="37"/>
      <c r="G50" s="37">
        <f t="shared" si="4"/>
        <v>0</v>
      </c>
      <c r="H50" s="37"/>
      <c r="I50" s="37"/>
      <c r="J50" s="37">
        <f t="shared" si="5"/>
        <v>0</v>
      </c>
      <c r="K50" s="37">
        <f>G50+J50</f>
        <v>0</v>
      </c>
      <c r="L50" s="37"/>
      <c r="M50" s="132">
        <f t="shared" si="2"/>
        <v>605152.23820000002</v>
      </c>
      <c r="N50" s="41"/>
    </row>
    <row r="51" spans="1:16">
      <c r="A51" s="23">
        <v>48</v>
      </c>
      <c r="B51" s="24"/>
      <c r="C51" s="14"/>
      <c r="D51" s="14"/>
      <c r="E51" s="37"/>
      <c r="F51" s="37"/>
      <c r="G51" s="37">
        <f t="shared" si="4"/>
        <v>0</v>
      </c>
      <c r="H51" s="37"/>
      <c r="I51" s="37"/>
      <c r="J51" s="37">
        <f t="shared" si="5"/>
        <v>0</v>
      </c>
      <c r="K51" s="37">
        <f>G51+J51</f>
        <v>0</v>
      </c>
      <c r="L51" s="37"/>
      <c r="M51" s="132">
        <f t="shared" si="2"/>
        <v>605152.23820000002</v>
      </c>
      <c r="N51" s="41"/>
    </row>
    <row r="52" spans="1:16">
      <c r="A52" s="23">
        <v>49</v>
      </c>
      <c r="B52" s="24"/>
      <c r="C52" s="14"/>
      <c r="D52" s="14"/>
      <c r="E52" s="37"/>
      <c r="F52" s="37"/>
      <c r="G52" s="37">
        <f t="shared" si="4"/>
        <v>0</v>
      </c>
      <c r="H52" s="37"/>
      <c r="I52" s="37"/>
      <c r="J52" s="37">
        <f t="shared" si="5"/>
        <v>0</v>
      </c>
      <c r="K52" s="37">
        <f>G52+J52</f>
        <v>0</v>
      </c>
      <c r="L52" s="37"/>
      <c r="M52" s="132">
        <f t="shared" si="2"/>
        <v>605152.23820000002</v>
      </c>
      <c r="N52" s="41"/>
    </row>
    <row r="53" spans="1:16">
      <c r="A53" s="23">
        <v>50</v>
      </c>
      <c r="B53" s="24"/>
      <c r="C53" s="91"/>
      <c r="D53" s="91"/>
      <c r="E53" s="37"/>
      <c r="F53" s="37"/>
      <c r="G53" s="37">
        <f t="shared" si="4"/>
        <v>0</v>
      </c>
      <c r="H53" s="37"/>
      <c r="I53" s="37"/>
      <c r="J53" s="37">
        <f t="shared" si="5"/>
        <v>0</v>
      </c>
      <c r="K53" s="37">
        <f>G53+J53</f>
        <v>0</v>
      </c>
      <c r="L53" s="37"/>
      <c r="M53" s="132">
        <f t="shared" si="2"/>
        <v>605152.23820000002</v>
      </c>
      <c r="N53" s="216"/>
    </row>
    <row r="54" spans="1:16">
      <c r="A54" s="23">
        <v>50</v>
      </c>
      <c r="B54" s="24"/>
      <c r="C54" s="14"/>
      <c r="D54" s="14"/>
      <c r="E54" s="37"/>
      <c r="F54" s="37"/>
      <c r="G54" s="37">
        <f t="shared" si="4"/>
        <v>0</v>
      </c>
      <c r="H54" s="37"/>
      <c r="I54" s="37"/>
      <c r="J54" s="37">
        <f t="shared" si="5"/>
        <v>0</v>
      </c>
      <c r="K54" s="37">
        <f>G54+J54</f>
        <v>0</v>
      </c>
      <c r="L54" s="37"/>
      <c r="M54" s="132">
        <f t="shared" si="2"/>
        <v>605152.23820000002</v>
      </c>
      <c r="N54" s="41"/>
    </row>
    <row r="55" spans="1:16">
      <c r="A55" s="23">
        <v>51</v>
      </c>
      <c r="B55" s="24"/>
      <c r="C55" s="14"/>
      <c r="D55" s="14"/>
      <c r="E55" s="37"/>
      <c r="F55" s="37"/>
      <c r="G55" s="37">
        <f t="shared" si="4"/>
        <v>0</v>
      </c>
      <c r="H55" s="37"/>
      <c r="I55" s="37"/>
      <c r="J55" s="37">
        <f t="shared" si="5"/>
        <v>0</v>
      </c>
      <c r="K55" s="37">
        <f>G55+J55</f>
        <v>0</v>
      </c>
      <c r="L55" s="37"/>
      <c r="M55" s="132">
        <f t="shared" si="2"/>
        <v>605152.23820000002</v>
      </c>
      <c r="N55" s="41"/>
      <c r="P55" s="167"/>
    </row>
    <row r="56" spans="1:16">
      <c r="A56" s="174"/>
      <c r="B56" s="174"/>
      <c r="C56" s="174"/>
      <c r="D56" s="174"/>
      <c r="E56" s="174">
        <f>SUM(E4:E55)</f>
        <v>5431</v>
      </c>
      <c r="F56" s="174"/>
      <c r="G56" s="174">
        <f>SUM(G4:G55)</f>
        <v>540438.81000000006</v>
      </c>
      <c r="H56" s="174">
        <f>SUM(H4:H55)</f>
        <v>130</v>
      </c>
      <c r="I56" s="174"/>
      <c r="J56" s="174">
        <f>SUM(J4:J55)</f>
        <v>14713.400000000001</v>
      </c>
      <c r="K56" s="174">
        <f>SUM(K4:K55)</f>
        <v>555152.21</v>
      </c>
      <c r="L56" s="174">
        <f>SUM(L4:L55)</f>
        <v>0</v>
      </c>
      <c r="M56" s="174"/>
      <c r="N56" s="174"/>
    </row>
  </sheetData>
  <mergeCells count="2">
    <mergeCell ref="A1:N1"/>
    <mergeCell ref="A3:J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5"/>
  <sheetViews>
    <sheetView workbookViewId="0">
      <pane ySplit="2" topLeftCell="A14" activePane="bottomLeft" state="frozen"/>
      <selection pane="bottomLeft" activeCell="M27" sqref="M27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26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602" t="s">
        <v>133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50"/>
    </row>
    <row r="2" spans="1:15" ht="30">
      <c r="A2" s="51" t="s">
        <v>0</v>
      </c>
      <c r="B2" s="52" t="s">
        <v>168</v>
      </c>
      <c r="C2" s="52" t="s">
        <v>169</v>
      </c>
      <c r="D2" s="52" t="s">
        <v>170</v>
      </c>
      <c r="E2" s="52" t="s">
        <v>171</v>
      </c>
      <c r="F2" s="52" t="s">
        <v>172</v>
      </c>
      <c r="G2" s="52" t="s">
        <v>173</v>
      </c>
      <c r="H2" s="52" t="s">
        <v>174</v>
      </c>
      <c r="I2" s="52" t="s">
        <v>172</v>
      </c>
      <c r="J2" s="53" t="s">
        <v>173</v>
      </c>
      <c r="K2" s="54" t="s">
        <v>175</v>
      </c>
      <c r="L2" s="55" t="s">
        <v>176</v>
      </c>
      <c r="M2" s="112" t="s">
        <v>185</v>
      </c>
      <c r="N2" s="98" t="s">
        <v>178</v>
      </c>
      <c r="O2" s="56"/>
    </row>
    <row r="3" spans="1:15">
      <c r="A3" s="128" t="s">
        <v>179</v>
      </c>
      <c r="B3" s="129"/>
      <c r="C3" s="129"/>
      <c r="D3" s="129"/>
      <c r="E3" s="129"/>
      <c r="F3" s="129"/>
      <c r="G3" s="129"/>
      <c r="H3" s="129"/>
      <c r="I3" s="129"/>
      <c r="J3" s="129"/>
      <c r="K3" s="19">
        <v>90567.009900001111</v>
      </c>
      <c r="L3" s="130"/>
      <c r="M3" s="252">
        <v>90567.009900001111</v>
      </c>
      <c r="N3" s="14"/>
      <c r="O3" s="56"/>
    </row>
    <row r="4" spans="1:15">
      <c r="A4" s="43">
        <v>1</v>
      </c>
      <c r="B4" s="193">
        <v>46266</v>
      </c>
      <c r="C4" s="10"/>
      <c r="D4" s="15"/>
      <c r="E4" s="185"/>
      <c r="F4" s="8"/>
      <c r="G4" s="13">
        <f>E4*F4</f>
        <v>0</v>
      </c>
      <c r="H4" s="7"/>
      <c r="I4" s="7"/>
      <c r="J4" s="18">
        <f>H4*I4</f>
        <v>0</v>
      </c>
      <c r="K4" s="8">
        <f>G4+J4</f>
        <v>0</v>
      </c>
      <c r="L4" s="8"/>
      <c r="M4" s="8">
        <f t="shared" ref="M4:M23" si="0">M3+K4-L4</f>
        <v>90567.009900001111</v>
      </c>
      <c r="N4" s="16"/>
      <c r="O4" s="1"/>
    </row>
    <row r="5" spans="1:15">
      <c r="A5" s="43">
        <v>2</v>
      </c>
      <c r="B5" s="193">
        <v>46267</v>
      </c>
      <c r="C5" s="10"/>
      <c r="D5" s="15"/>
      <c r="E5" s="185"/>
      <c r="F5" s="8"/>
      <c r="G5" s="13">
        <f t="shared" ref="G5:G9" si="1">E5*F5</f>
        <v>0</v>
      </c>
      <c r="H5" s="7"/>
      <c r="I5" s="7"/>
      <c r="J5" s="18">
        <f t="shared" ref="J5" si="2">H5*I5</f>
        <v>0</v>
      </c>
      <c r="K5" s="8">
        <f t="shared" ref="K5:K8" si="3">G5+J5</f>
        <v>0</v>
      </c>
      <c r="L5" s="8"/>
      <c r="M5" s="8">
        <f t="shared" si="0"/>
        <v>90567.009900001111</v>
      </c>
      <c r="N5" s="8"/>
      <c r="O5" s="1"/>
    </row>
    <row r="6" spans="1:15" ht="15.75">
      <c r="A6" s="43">
        <v>3</v>
      </c>
      <c r="B6" s="193">
        <v>46268</v>
      </c>
      <c r="C6" s="10"/>
      <c r="D6" s="457"/>
      <c r="E6" s="185"/>
      <c r="F6" s="8"/>
      <c r="G6" s="13">
        <f t="shared" si="1"/>
        <v>0</v>
      </c>
      <c r="H6" s="7"/>
      <c r="I6" s="7"/>
      <c r="J6" s="18">
        <f>H6*I6</f>
        <v>0</v>
      </c>
      <c r="K6" s="8">
        <f t="shared" si="3"/>
        <v>0</v>
      </c>
      <c r="L6" s="8"/>
      <c r="M6" s="8">
        <f t="shared" si="0"/>
        <v>90567.009900001111</v>
      </c>
      <c r="N6" s="8"/>
      <c r="O6" s="1"/>
    </row>
    <row r="7" spans="1:15" ht="15.75">
      <c r="A7" s="43">
        <v>3</v>
      </c>
      <c r="B7" s="193">
        <v>46269</v>
      </c>
      <c r="C7" s="10"/>
      <c r="D7" s="458"/>
      <c r="E7" s="8"/>
      <c r="F7" s="8"/>
      <c r="G7" s="13">
        <f t="shared" ref="G7" si="4">E7*F7</f>
        <v>0</v>
      </c>
      <c r="H7" s="7"/>
      <c r="I7" s="7"/>
      <c r="J7" s="18">
        <f>H7*I7</f>
        <v>0</v>
      </c>
      <c r="K7" s="8">
        <f t="shared" ref="K7" si="5">G7+J7</f>
        <v>0</v>
      </c>
      <c r="L7" s="8"/>
      <c r="M7" s="8">
        <f t="shared" si="0"/>
        <v>90567.009900001111</v>
      </c>
      <c r="N7" s="8"/>
      <c r="O7" s="1"/>
    </row>
    <row r="8" spans="1:15">
      <c r="A8" s="43">
        <v>4</v>
      </c>
      <c r="B8" s="193">
        <v>46270</v>
      </c>
      <c r="C8" s="10"/>
      <c r="D8" s="15"/>
      <c r="E8" s="8"/>
      <c r="F8" s="8"/>
      <c r="G8" s="13">
        <f t="shared" si="1"/>
        <v>0</v>
      </c>
      <c r="H8" s="7">
        <v>10</v>
      </c>
      <c r="I8" s="7">
        <v>112.27</v>
      </c>
      <c r="J8" s="18">
        <f>H8*I8</f>
        <v>1122.7</v>
      </c>
      <c r="K8" s="8">
        <f t="shared" si="3"/>
        <v>1122.7</v>
      </c>
      <c r="L8" s="8"/>
      <c r="M8" s="8">
        <f t="shared" si="0"/>
        <v>91689.709900001108</v>
      </c>
      <c r="N8" s="8"/>
      <c r="O8" s="1"/>
    </row>
    <row r="9" spans="1:15">
      <c r="A9" s="43">
        <v>5</v>
      </c>
      <c r="B9" s="193">
        <v>46271</v>
      </c>
      <c r="C9" s="10"/>
      <c r="D9" s="15"/>
      <c r="E9" s="8"/>
      <c r="F9" s="8"/>
      <c r="G9" s="13">
        <f t="shared" si="1"/>
        <v>0</v>
      </c>
      <c r="H9" s="7"/>
      <c r="I9" s="7"/>
      <c r="J9" s="18">
        <v>0</v>
      </c>
      <c r="K9" s="8">
        <f t="shared" ref="K9:K41" si="6">G9+J9</f>
        <v>0</v>
      </c>
      <c r="L9" s="8"/>
      <c r="M9" s="8">
        <f t="shared" si="0"/>
        <v>91689.709900001108</v>
      </c>
      <c r="N9" s="8"/>
      <c r="O9" s="1"/>
    </row>
    <row r="10" spans="1:15">
      <c r="A10" s="43">
        <v>6</v>
      </c>
      <c r="B10" s="193">
        <v>46272</v>
      </c>
      <c r="C10" s="10"/>
      <c r="D10" s="15"/>
      <c r="E10" s="8"/>
      <c r="F10" s="8"/>
      <c r="G10" s="13">
        <f>E10*F10</f>
        <v>0</v>
      </c>
      <c r="H10" s="7"/>
      <c r="I10" s="7"/>
      <c r="J10" s="13">
        <f>H10*I10</f>
        <v>0</v>
      </c>
      <c r="K10" s="8">
        <f t="shared" ref="K10:K40" si="7">G10+J10</f>
        <v>0</v>
      </c>
      <c r="L10" s="8"/>
      <c r="M10" s="8">
        <f t="shared" si="0"/>
        <v>91689.709900001108</v>
      </c>
      <c r="N10" s="8"/>
      <c r="O10" s="1"/>
    </row>
    <row r="11" spans="1:15">
      <c r="A11" s="43">
        <v>7</v>
      </c>
      <c r="B11" s="193">
        <v>46273</v>
      </c>
      <c r="C11" s="10"/>
      <c r="D11" s="15"/>
      <c r="E11" s="8"/>
      <c r="F11" s="8"/>
      <c r="G11" s="13">
        <f>E11*F11</f>
        <v>0</v>
      </c>
      <c r="H11" s="7"/>
      <c r="I11" s="7"/>
      <c r="J11" s="13">
        <f t="shared" ref="J11:J24" si="8">H11*I11</f>
        <v>0</v>
      </c>
      <c r="K11" s="8">
        <f t="shared" si="7"/>
        <v>0</v>
      </c>
      <c r="L11" s="8"/>
      <c r="M11" s="8">
        <f t="shared" si="0"/>
        <v>91689.709900001108</v>
      </c>
      <c r="N11" s="8"/>
      <c r="O11" s="1"/>
    </row>
    <row r="12" spans="1:15">
      <c r="A12" s="43">
        <v>8</v>
      </c>
      <c r="B12" s="193">
        <v>46274</v>
      </c>
      <c r="C12" s="10"/>
      <c r="D12" s="15"/>
      <c r="E12" s="8"/>
      <c r="F12" s="8"/>
      <c r="G12" s="13">
        <f>E12*F12</f>
        <v>0</v>
      </c>
      <c r="H12" s="7"/>
      <c r="I12" s="7"/>
      <c r="J12" s="13">
        <f t="shared" si="8"/>
        <v>0</v>
      </c>
      <c r="K12" s="8">
        <f t="shared" si="7"/>
        <v>0</v>
      </c>
      <c r="L12" s="8"/>
      <c r="M12" s="8">
        <f t="shared" si="0"/>
        <v>91689.709900001108</v>
      </c>
      <c r="N12" s="8"/>
      <c r="O12" s="1"/>
    </row>
    <row r="13" spans="1:15">
      <c r="A13" s="43">
        <v>9</v>
      </c>
      <c r="B13" s="193">
        <v>46275</v>
      </c>
      <c r="C13" s="10"/>
      <c r="D13" s="15"/>
      <c r="E13" s="8"/>
      <c r="F13" s="8"/>
      <c r="G13" s="13">
        <f t="shared" ref="G13:G27" si="9">E13*F13</f>
        <v>0</v>
      </c>
      <c r="H13" s="7"/>
      <c r="I13" s="7"/>
      <c r="J13" s="13">
        <f t="shared" si="8"/>
        <v>0</v>
      </c>
      <c r="K13" s="8">
        <f t="shared" si="7"/>
        <v>0</v>
      </c>
      <c r="L13" s="8"/>
      <c r="M13" s="8">
        <f t="shared" si="0"/>
        <v>91689.709900001108</v>
      </c>
      <c r="N13" s="8"/>
      <c r="O13" s="1"/>
    </row>
    <row r="14" spans="1:15">
      <c r="A14" s="43">
        <v>10</v>
      </c>
      <c r="B14" s="193">
        <v>46276</v>
      </c>
      <c r="C14" s="10"/>
      <c r="D14" s="15"/>
      <c r="E14" s="8"/>
      <c r="F14" s="8"/>
      <c r="G14" s="13">
        <f t="shared" si="9"/>
        <v>0</v>
      </c>
      <c r="H14" s="7"/>
      <c r="I14" s="7"/>
      <c r="J14" s="13">
        <f t="shared" si="8"/>
        <v>0</v>
      </c>
      <c r="K14" s="8">
        <f t="shared" ref="K14" si="10">G14+J14</f>
        <v>0</v>
      </c>
      <c r="L14" s="8"/>
      <c r="M14" s="8">
        <f t="shared" si="0"/>
        <v>91689.709900001108</v>
      </c>
      <c r="N14" s="8"/>
      <c r="O14" s="1"/>
    </row>
    <row r="15" spans="1:15">
      <c r="A15" s="43">
        <v>11</v>
      </c>
      <c r="B15" s="193">
        <v>46277</v>
      </c>
      <c r="C15" s="10"/>
      <c r="D15" s="15"/>
      <c r="E15" s="8"/>
      <c r="F15" s="8"/>
      <c r="G15" s="13">
        <f t="shared" si="9"/>
        <v>0</v>
      </c>
      <c r="H15" s="7"/>
      <c r="I15" s="7"/>
      <c r="J15" s="13">
        <f t="shared" si="8"/>
        <v>0</v>
      </c>
      <c r="K15" s="8">
        <f>G15+J15</f>
        <v>0</v>
      </c>
      <c r="L15" s="8"/>
      <c r="M15" s="8">
        <f t="shared" si="0"/>
        <v>91689.709900001108</v>
      </c>
      <c r="N15" s="185"/>
      <c r="O15" s="1"/>
    </row>
    <row r="16" spans="1:15">
      <c r="A16" s="43">
        <v>12</v>
      </c>
      <c r="B16" s="193">
        <v>46278</v>
      </c>
      <c r="C16" s="10"/>
      <c r="D16" s="15"/>
      <c r="E16" s="8"/>
      <c r="F16" s="8"/>
      <c r="G16" s="13">
        <f t="shared" si="9"/>
        <v>0</v>
      </c>
      <c r="H16" s="7"/>
      <c r="I16" s="7"/>
      <c r="J16" s="13">
        <f t="shared" si="8"/>
        <v>0</v>
      </c>
      <c r="K16" s="8">
        <f t="shared" ref="K16:K18" si="11">G16+J16</f>
        <v>0</v>
      </c>
      <c r="L16" s="8"/>
      <c r="M16" s="8">
        <f t="shared" si="0"/>
        <v>91689.709900001108</v>
      </c>
      <c r="N16" s="185"/>
      <c r="O16" s="1"/>
    </row>
    <row r="17" spans="1:17">
      <c r="A17" s="43">
        <v>13</v>
      </c>
      <c r="B17" s="193">
        <v>46279</v>
      </c>
      <c r="C17" s="10"/>
      <c r="D17" s="15"/>
      <c r="E17" s="8"/>
      <c r="F17" s="8"/>
      <c r="G17" s="13">
        <f t="shared" si="9"/>
        <v>0</v>
      </c>
      <c r="H17" s="7"/>
      <c r="I17" s="7"/>
      <c r="J17" s="13">
        <f t="shared" si="8"/>
        <v>0</v>
      </c>
      <c r="K17" s="8">
        <f t="shared" si="11"/>
        <v>0</v>
      </c>
      <c r="L17" s="8"/>
      <c r="M17" s="8">
        <f t="shared" si="0"/>
        <v>91689.709900001108</v>
      </c>
      <c r="N17" s="185"/>
      <c r="O17" s="1"/>
    </row>
    <row r="18" spans="1:17">
      <c r="A18" s="43">
        <v>14</v>
      </c>
      <c r="B18" s="193">
        <v>46280</v>
      </c>
      <c r="C18" s="10"/>
      <c r="D18" s="15"/>
      <c r="E18" s="8"/>
      <c r="F18" s="8"/>
      <c r="G18" s="13">
        <f t="shared" si="9"/>
        <v>0</v>
      </c>
      <c r="H18" s="7"/>
      <c r="I18" s="7"/>
      <c r="J18" s="13">
        <f t="shared" si="8"/>
        <v>0</v>
      </c>
      <c r="K18" s="8">
        <f t="shared" si="11"/>
        <v>0</v>
      </c>
      <c r="L18" s="8"/>
      <c r="M18" s="8">
        <f t="shared" si="0"/>
        <v>91689.709900001108</v>
      </c>
      <c r="N18" s="185"/>
      <c r="O18" s="1"/>
    </row>
    <row r="19" spans="1:17">
      <c r="A19" s="43">
        <v>15</v>
      </c>
      <c r="B19" s="193">
        <v>46281</v>
      </c>
      <c r="C19" s="10"/>
      <c r="D19" s="15"/>
      <c r="E19" s="8"/>
      <c r="F19" s="8"/>
      <c r="G19" s="13">
        <f t="shared" si="9"/>
        <v>0</v>
      </c>
      <c r="H19" s="7"/>
      <c r="I19" s="7"/>
      <c r="J19" s="13">
        <f t="shared" si="8"/>
        <v>0</v>
      </c>
      <c r="K19" s="8">
        <f t="shared" si="7"/>
        <v>0</v>
      </c>
      <c r="L19" s="8"/>
      <c r="M19" s="8">
        <f t="shared" si="0"/>
        <v>91689.709900001108</v>
      </c>
      <c r="N19" s="185"/>
      <c r="O19" s="1"/>
    </row>
    <row r="20" spans="1:17">
      <c r="A20" s="43">
        <v>16</v>
      </c>
      <c r="B20" s="193">
        <v>46282</v>
      </c>
      <c r="C20" s="10"/>
      <c r="D20" s="15"/>
      <c r="E20" s="8"/>
      <c r="F20" s="8"/>
      <c r="G20" s="13">
        <f t="shared" si="9"/>
        <v>0</v>
      </c>
      <c r="H20" s="7"/>
      <c r="I20" s="7"/>
      <c r="J20" s="13">
        <f t="shared" si="8"/>
        <v>0</v>
      </c>
      <c r="K20" s="8">
        <f t="shared" si="7"/>
        <v>0</v>
      </c>
      <c r="L20" s="8"/>
      <c r="M20" s="8">
        <f t="shared" si="0"/>
        <v>91689.709900001108</v>
      </c>
      <c r="N20" s="185"/>
      <c r="O20" s="1"/>
    </row>
    <row r="21" spans="1:17">
      <c r="A21" s="43">
        <v>17</v>
      </c>
      <c r="B21" s="193">
        <v>46283</v>
      </c>
      <c r="C21" s="10"/>
      <c r="D21" s="15"/>
      <c r="E21" s="8"/>
      <c r="F21" s="8"/>
      <c r="G21" s="13">
        <f t="shared" si="9"/>
        <v>0</v>
      </c>
      <c r="H21" s="7">
        <v>20</v>
      </c>
      <c r="I21" s="7">
        <v>112.27</v>
      </c>
      <c r="J21" s="13">
        <f t="shared" si="8"/>
        <v>2245.4</v>
      </c>
      <c r="K21" s="8">
        <f t="shared" si="7"/>
        <v>2245.4</v>
      </c>
      <c r="L21" s="8"/>
      <c r="M21" s="8">
        <f t="shared" si="0"/>
        <v>93935.109900001102</v>
      </c>
      <c r="N21" s="185"/>
      <c r="O21" s="1"/>
    </row>
    <row r="22" spans="1:17">
      <c r="A22" s="43">
        <v>18</v>
      </c>
      <c r="B22" s="193">
        <v>46284</v>
      </c>
      <c r="C22" s="10"/>
      <c r="D22" s="15"/>
      <c r="E22" s="8"/>
      <c r="F22" s="8"/>
      <c r="G22" s="13">
        <f t="shared" si="9"/>
        <v>0</v>
      </c>
      <c r="H22" s="7"/>
      <c r="I22" s="7"/>
      <c r="J22" s="13">
        <f t="shared" si="8"/>
        <v>0</v>
      </c>
      <c r="K22" s="8">
        <f t="shared" si="7"/>
        <v>0</v>
      </c>
      <c r="L22" s="8"/>
      <c r="M22" s="8">
        <f t="shared" si="0"/>
        <v>93935.109900001102</v>
      </c>
      <c r="N22" s="185"/>
      <c r="O22" s="1"/>
    </row>
    <row r="23" spans="1:17">
      <c r="A23" s="43">
        <v>19</v>
      </c>
      <c r="B23" s="193">
        <v>46285</v>
      </c>
      <c r="C23" s="10"/>
      <c r="D23" s="15"/>
      <c r="E23" s="8"/>
      <c r="F23" s="8"/>
      <c r="G23" s="13">
        <f t="shared" si="9"/>
        <v>0</v>
      </c>
      <c r="H23" s="7"/>
      <c r="I23" s="7"/>
      <c r="J23" s="13">
        <f t="shared" si="8"/>
        <v>0</v>
      </c>
      <c r="K23" s="8">
        <f t="shared" si="7"/>
        <v>0</v>
      </c>
      <c r="L23" s="8"/>
      <c r="M23" s="8">
        <f t="shared" si="0"/>
        <v>93935.109900001102</v>
      </c>
      <c r="N23" s="185"/>
      <c r="O23" s="1"/>
    </row>
    <row r="24" spans="1:17">
      <c r="A24" s="43">
        <v>20</v>
      </c>
      <c r="B24" s="193">
        <v>46286</v>
      </c>
      <c r="C24" s="10"/>
      <c r="D24" s="15"/>
      <c r="E24" s="8"/>
      <c r="F24" s="8"/>
      <c r="G24" s="13">
        <f t="shared" si="9"/>
        <v>0</v>
      </c>
      <c r="H24" s="7"/>
      <c r="I24" s="7"/>
      <c r="J24" s="13">
        <f t="shared" si="8"/>
        <v>0</v>
      </c>
      <c r="K24" s="8">
        <f t="shared" si="7"/>
        <v>0</v>
      </c>
      <c r="L24" s="8"/>
      <c r="M24" s="8">
        <f t="shared" ref="M20:M41" si="12">M23+K24-L24</f>
        <v>93935.109900001102</v>
      </c>
      <c r="N24" s="185"/>
      <c r="O24" s="1"/>
    </row>
    <row r="25" spans="1:17">
      <c r="A25" s="43">
        <v>21</v>
      </c>
      <c r="B25" s="193">
        <v>46287</v>
      </c>
      <c r="C25" s="10"/>
      <c r="D25" s="15"/>
      <c r="E25" s="8"/>
      <c r="F25" s="8"/>
      <c r="G25" s="13">
        <f t="shared" si="9"/>
        <v>0</v>
      </c>
      <c r="H25" s="7"/>
      <c r="I25" s="7"/>
      <c r="J25" s="13">
        <f t="shared" ref="J18:J28" si="13">H25*I25</f>
        <v>0</v>
      </c>
      <c r="K25" s="8">
        <f t="shared" si="7"/>
        <v>0</v>
      </c>
      <c r="L25" s="8"/>
      <c r="M25" s="8">
        <f t="shared" si="12"/>
        <v>93935.109900001102</v>
      </c>
      <c r="N25" s="185"/>
      <c r="O25" s="1"/>
    </row>
    <row r="26" spans="1:17">
      <c r="A26" s="43">
        <v>22</v>
      </c>
      <c r="B26" s="193">
        <v>46288</v>
      </c>
      <c r="C26" s="10"/>
      <c r="D26" s="15"/>
      <c r="E26" s="8">
        <v>500</v>
      </c>
      <c r="F26" s="8">
        <v>98.94</v>
      </c>
      <c r="G26" s="13">
        <f t="shared" si="9"/>
        <v>49470</v>
      </c>
      <c r="H26" s="7">
        <v>10</v>
      </c>
      <c r="I26" s="7">
        <v>112.27</v>
      </c>
      <c r="J26" s="13">
        <f t="shared" si="13"/>
        <v>1122.7</v>
      </c>
      <c r="K26" s="8">
        <f t="shared" si="7"/>
        <v>50592.7</v>
      </c>
      <c r="L26" s="8"/>
      <c r="M26" s="8">
        <f t="shared" si="12"/>
        <v>144527.8099000011</v>
      </c>
      <c r="N26" s="185"/>
      <c r="O26" s="1"/>
      <c r="Q26" s="321"/>
    </row>
    <row r="27" spans="1:17">
      <c r="A27" s="43">
        <v>23</v>
      </c>
      <c r="B27" s="193">
        <v>46289</v>
      </c>
      <c r="C27" s="10"/>
      <c r="D27" s="15"/>
      <c r="E27" s="8">
        <v>2000</v>
      </c>
      <c r="F27" s="8">
        <v>98.94</v>
      </c>
      <c r="G27" s="13">
        <f t="shared" si="9"/>
        <v>197880</v>
      </c>
      <c r="H27" s="7"/>
      <c r="I27" s="7"/>
      <c r="J27" s="13">
        <f t="shared" si="13"/>
        <v>0</v>
      </c>
      <c r="K27" s="8">
        <f t="shared" si="7"/>
        <v>197880</v>
      </c>
      <c r="L27" s="8"/>
      <c r="M27" s="8">
        <f t="shared" si="12"/>
        <v>342407.8099000011</v>
      </c>
      <c r="N27" s="185"/>
      <c r="O27" s="1"/>
    </row>
    <row r="28" spans="1:17">
      <c r="A28" s="43">
        <v>24</v>
      </c>
      <c r="B28" s="193">
        <v>46290</v>
      </c>
      <c r="C28" s="10"/>
      <c r="D28" s="15"/>
      <c r="E28" s="8"/>
      <c r="F28" s="8"/>
      <c r="G28" s="13">
        <f t="shared" ref="G26:G28" si="14">E28*F28</f>
        <v>0</v>
      </c>
      <c r="H28" s="7"/>
      <c r="I28" s="7"/>
      <c r="J28" s="13">
        <f t="shared" si="13"/>
        <v>0</v>
      </c>
      <c r="K28" s="8">
        <f t="shared" si="7"/>
        <v>0</v>
      </c>
      <c r="L28" s="8"/>
      <c r="M28" s="8">
        <f t="shared" si="12"/>
        <v>342407.8099000011</v>
      </c>
      <c r="N28" s="185"/>
      <c r="O28" s="1"/>
    </row>
    <row r="29" spans="1:17">
      <c r="A29" s="43">
        <v>25</v>
      </c>
      <c r="B29" s="193">
        <v>46291</v>
      </c>
      <c r="C29" s="10"/>
      <c r="D29" s="15"/>
      <c r="E29" s="8"/>
      <c r="F29" s="8"/>
      <c r="G29" s="13">
        <f t="shared" ref="G29:G37" si="15">E29*F29</f>
        <v>0</v>
      </c>
      <c r="H29" s="7"/>
      <c r="I29" s="7"/>
      <c r="J29" s="13">
        <f t="shared" ref="J29:J36" si="16">H29*I29</f>
        <v>0</v>
      </c>
      <c r="K29" s="8">
        <f t="shared" ref="K29" si="17">G29+J29</f>
        <v>0</v>
      </c>
      <c r="L29" s="8"/>
      <c r="M29" s="8">
        <f t="shared" si="12"/>
        <v>342407.8099000011</v>
      </c>
      <c r="N29" s="185"/>
      <c r="O29" s="1"/>
    </row>
    <row r="30" spans="1:17">
      <c r="A30" s="43">
        <v>26</v>
      </c>
      <c r="B30" s="193">
        <v>46292</v>
      </c>
      <c r="C30" s="10"/>
      <c r="D30" s="15"/>
      <c r="E30" s="8"/>
      <c r="F30" s="8"/>
      <c r="G30" s="13">
        <f t="shared" si="15"/>
        <v>0</v>
      </c>
      <c r="H30" s="7"/>
      <c r="I30" s="7"/>
      <c r="J30" s="13">
        <f t="shared" si="16"/>
        <v>0</v>
      </c>
      <c r="K30" s="8">
        <f t="shared" si="7"/>
        <v>0</v>
      </c>
      <c r="L30" s="8"/>
      <c r="M30" s="8">
        <f t="shared" si="12"/>
        <v>342407.8099000011</v>
      </c>
      <c r="N30" s="185"/>
      <c r="O30" s="1"/>
    </row>
    <row r="31" spans="1:17">
      <c r="A31" s="43">
        <v>27</v>
      </c>
      <c r="B31" s="193">
        <v>46293</v>
      </c>
      <c r="C31" s="10"/>
      <c r="D31" s="15"/>
      <c r="E31" s="8"/>
      <c r="F31" s="8"/>
      <c r="G31" s="13">
        <f t="shared" si="15"/>
        <v>0</v>
      </c>
      <c r="H31" s="7"/>
      <c r="I31" s="7"/>
      <c r="J31" s="13">
        <f t="shared" si="16"/>
        <v>0</v>
      </c>
      <c r="K31" s="8">
        <f t="shared" si="7"/>
        <v>0</v>
      </c>
      <c r="L31" s="8"/>
      <c r="M31" s="8">
        <f t="shared" si="12"/>
        <v>342407.8099000011</v>
      </c>
      <c r="N31" s="185"/>
      <c r="O31" s="1"/>
    </row>
    <row r="32" spans="1:17">
      <c r="A32" s="43">
        <v>28</v>
      </c>
      <c r="B32" s="193">
        <v>46294</v>
      </c>
      <c r="C32" s="10"/>
      <c r="D32" s="15"/>
      <c r="E32" s="8"/>
      <c r="F32" s="8"/>
      <c r="G32" s="13">
        <f t="shared" si="15"/>
        <v>0</v>
      </c>
      <c r="H32" s="7"/>
      <c r="I32" s="7"/>
      <c r="J32" s="13">
        <f t="shared" si="16"/>
        <v>0</v>
      </c>
      <c r="K32" s="8">
        <f t="shared" si="7"/>
        <v>0</v>
      </c>
      <c r="L32" s="8"/>
      <c r="M32" s="8">
        <f t="shared" si="12"/>
        <v>342407.8099000011</v>
      </c>
      <c r="N32" s="185"/>
      <c r="O32" s="1"/>
    </row>
    <row r="33" spans="1:17">
      <c r="A33" s="43">
        <v>29</v>
      </c>
      <c r="B33" s="193">
        <v>46295</v>
      </c>
      <c r="C33" s="10"/>
      <c r="D33" s="15"/>
      <c r="E33" s="8"/>
      <c r="F33" s="8"/>
      <c r="G33" s="13">
        <f t="shared" si="15"/>
        <v>0</v>
      </c>
      <c r="H33" s="7"/>
      <c r="I33" s="7"/>
      <c r="J33" s="13">
        <f t="shared" si="16"/>
        <v>0</v>
      </c>
      <c r="K33" s="8">
        <f t="shared" si="7"/>
        <v>0</v>
      </c>
      <c r="L33" s="8"/>
      <c r="M33" s="8">
        <f t="shared" si="12"/>
        <v>342407.8099000011</v>
      </c>
      <c r="N33" s="185"/>
      <c r="O33" s="1"/>
    </row>
    <row r="34" spans="1:17">
      <c r="A34" s="43">
        <v>30</v>
      </c>
      <c r="B34" s="193"/>
      <c r="C34" s="10"/>
      <c r="D34" s="15"/>
      <c r="E34" s="8"/>
      <c r="F34" s="312"/>
      <c r="G34" s="13">
        <f t="shared" si="15"/>
        <v>0</v>
      </c>
      <c r="H34" s="7"/>
      <c r="I34" s="7"/>
      <c r="J34" s="13">
        <f t="shared" si="16"/>
        <v>0</v>
      </c>
      <c r="K34" s="8">
        <f t="shared" si="7"/>
        <v>0</v>
      </c>
      <c r="L34" s="8"/>
      <c r="M34" s="8">
        <f t="shared" si="12"/>
        <v>342407.8099000011</v>
      </c>
      <c r="N34" s="185"/>
      <c r="O34" s="1"/>
    </row>
    <row r="35" spans="1:17">
      <c r="A35" s="43">
        <v>31</v>
      </c>
      <c r="B35" s="193"/>
      <c r="C35" s="10"/>
      <c r="D35" s="15"/>
      <c r="E35" s="8"/>
      <c r="F35" s="8"/>
      <c r="G35" s="13">
        <f t="shared" si="15"/>
        <v>0</v>
      </c>
      <c r="H35" s="7"/>
      <c r="I35" s="7"/>
      <c r="J35" s="13">
        <f t="shared" si="16"/>
        <v>0</v>
      </c>
      <c r="K35" s="8">
        <f t="shared" si="7"/>
        <v>0</v>
      </c>
      <c r="L35" s="8"/>
      <c r="M35" s="8">
        <f t="shared" si="12"/>
        <v>342407.8099000011</v>
      </c>
      <c r="N35" s="185"/>
      <c r="O35" s="1"/>
    </row>
    <row r="36" spans="1:17">
      <c r="A36" s="43">
        <v>32</v>
      </c>
      <c r="B36" s="193"/>
      <c r="C36" s="10"/>
      <c r="D36" s="15"/>
      <c r="E36" s="8"/>
      <c r="F36" s="8"/>
      <c r="G36" s="13">
        <f t="shared" si="15"/>
        <v>0</v>
      </c>
      <c r="H36" s="7"/>
      <c r="I36" s="7"/>
      <c r="J36" s="13">
        <f t="shared" si="16"/>
        <v>0</v>
      </c>
      <c r="K36" s="8">
        <f t="shared" si="7"/>
        <v>0</v>
      </c>
      <c r="L36" s="8"/>
      <c r="M36" s="8">
        <f t="shared" si="12"/>
        <v>342407.8099000011</v>
      </c>
      <c r="N36" s="185"/>
      <c r="O36" s="1"/>
    </row>
    <row r="37" spans="1:17">
      <c r="A37" s="43">
        <v>33</v>
      </c>
      <c r="B37" s="193"/>
      <c r="C37" s="10"/>
      <c r="D37" s="15"/>
      <c r="E37" s="8"/>
      <c r="F37" s="312"/>
      <c r="G37" s="13">
        <f t="shared" si="15"/>
        <v>0</v>
      </c>
      <c r="H37" s="7"/>
      <c r="I37" s="7"/>
      <c r="J37" s="18">
        <v>0</v>
      </c>
      <c r="K37" s="8">
        <f t="shared" si="7"/>
        <v>0</v>
      </c>
      <c r="L37" s="8"/>
      <c r="M37" s="8">
        <f t="shared" si="12"/>
        <v>342407.8099000011</v>
      </c>
      <c r="N37" s="185"/>
      <c r="O37" s="1"/>
    </row>
    <row r="38" spans="1:17">
      <c r="A38" s="43">
        <v>34</v>
      </c>
      <c r="B38" s="193"/>
      <c r="C38" s="10"/>
      <c r="D38" s="15"/>
      <c r="E38" s="8"/>
      <c r="F38" s="8"/>
      <c r="G38" s="13">
        <v>0</v>
      </c>
      <c r="H38" s="7"/>
      <c r="I38" s="7"/>
      <c r="J38" s="18">
        <v>0</v>
      </c>
      <c r="K38" s="8">
        <f t="shared" si="7"/>
        <v>0</v>
      </c>
      <c r="L38" s="8"/>
      <c r="M38" s="8">
        <f t="shared" si="12"/>
        <v>342407.8099000011</v>
      </c>
      <c r="N38" s="185"/>
      <c r="O38" s="1"/>
    </row>
    <row r="39" spans="1:17">
      <c r="A39" s="43">
        <v>35</v>
      </c>
      <c r="B39" s="193"/>
      <c r="C39" s="10"/>
      <c r="D39" s="15"/>
      <c r="E39" s="8"/>
      <c r="F39" s="8"/>
      <c r="G39" s="13">
        <f t="shared" ref="G10:G40" si="18">E39*F39</f>
        <v>0</v>
      </c>
      <c r="H39" s="7"/>
      <c r="I39" s="7"/>
      <c r="J39" s="18">
        <f t="shared" ref="J10:J40" si="19">H39*I39</f>
        <v>0</v>
      </c>
      <c r="K39" s="8">
        <f t="shared" si="7"/>
        <v>0</v>
      </c>
      <c r="L39" s="8"/>
      <c r="M39" s="8">
        <f t="shared" si="12"/>
        <v>342407.8099000011</v>
      </c>
      <c r="N39" s="185"/>
      <c r="O39" s="1"/>
    </row>
    <row r="40" spans="1:17">
      <c r="A40" s="43">
        <v>36</v>
      </c>
      <c r="B40" s="193"/>
      <c r="C40" s="240"/>
      <c r="D40" s="241"/>
      <c r="E40" s="8"/>
      <c r="F40" s="8"/>
      <c r="G40" s="13">
        <f t="shared" si="18"/>
        <v>0</v>
      </c>
      <c r="H40" s="7"/>
      <c r="I40" s="7"/>
      <c r="J40" s="18">
        <f t="shared" si="19"/>
        <v>0</v>
      </c>
      <c r="K40" s="8">
        <f t="shared" si="7"/>
        <v>0</v>
      </c>
      <c r="L40" s="8"/>
      <c r="M40" s="8">
        <f t="shared" si="12"/>
        <v>342407.8099000011</v>
      </c>
      <c r="N40" s="185"/>
      <c r="O40" s="1"/>
    </row>
    <row r="41" spans="1:17">
      <c r="A41" s="43">
        <v>37</v>
      </c>
      <c r="B41" s="193"/>
      <c r="C41" s="22"/>
      <c r="D41" s="15"/>
      <c r="E41" s="8">
        <v>0</v>
      </c>
      <c r="F41" s="8">
        <v>0</v>
      </c>
      <c r="G41" s="13">
        <f t="shared" ref="G9:G41" si="20">E41*F41</f>
        <v>0</v>
      </c>
      <c r="H41" s="7"/>
      <c r="I41" s="7"/>
      <c r="J41" s="18">
        <f t="shared" ref="J9:J41" si="21">H41*I41</f>
        <v>0</v>
      </c>
      <c r="K41" s="8">
        <f t="shared" si="6"/>
        <v>0</v>
      </c>
      <c r="L41" s="8"/>
      <c r="M41" s="8">
        <f t="shared" si="12"/>
        <v>342407.8099000011</v>
      </c>
      <c r="N41" s="185"/>
      <c r="O41" s="1"/>
      <c r="Q41" s="287"/>
    </row>
    <row r="42" spans="1:17">
      <c r="A42" s="153"/>
      <c r="B42" s="153"/>
      <c r="C42" s="153"/>
      <c r="D42" s="153"/>
      <c r="E42" s="154">
        <f>SUM(E4:E41)</f>
        <v>2500</v>
      </c>
      <c r="F42" s="154"/>
      <c r="G42" s="154">
        <f>SUM(G4:G41)</f>
        <v>247350</v>
      </c>
      <c r="H42" s="154">
        <f>SUM(H4:H41)</f>
        <v>40</v>
      </c>
      <c r="I42" s="154"/>
      <c r="J42" s="154">
        <f>SUM(J4:J41)</f>
        <v>4490.8</v>
      </c>
      <c r="K42" s="154">
        <f>SUM(K4:K41)</f>
        <v>251840.8</v>
      </c>
      <c r="L42" s="154">
        <f>SUM(L4:L41)</f>
        <v>0</v>
      </c>
      <c r="M42" s="154"/>
      <c r="N42" s="60"/>
      <c r="O42" s="56"/>
    </row>
    <row r="43" spans="1:17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17">
      <c r="A44" s="1"/>
      <c r="B44" s="621"/>
      <c r="C44" s="621"/>
      <c r="D44" s="621"/>
      <c r="E44" s="621"/>
      <c r="F44" s="1"/>
      <c r="G44" s="1"/>
      <c r="H44" s="1"/>
      <c r="I44" s="621"/>
      <c r="J44" s="621"/>
      <c r="K44" s="621"/>
      <c r="L44" s="621"/>
      <c r="M44" s="621"/>
      <c r="N44" s="621"/>
      <c r="O44" s="4"/>
    </row>
    <row r="45" spans="1:1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4"/>
    </row>
  </sheetData>
  <mergeCells count="3">
    <mergeCell ref="B44:E44"/>
    <mergeCell ref="I44:N44"/>
    <mergeCell ref="A1:N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U56"/>
  <sheetViews>
    <sheetView workbookViewId="0">
      <pane ySplit="3" topLeftCell="A30" activePane="bottomLeft" state="frozen"/>
      <selection pane="bottomLeft" activeCell="M41" sqref="M41"/>
    </sheetView>
  </sheetViews>
  <sheetFormatPr defaultRowHeight="15"/>
  <cols>
    <col min="2" max="2" width="10" customWidth="1"/>
    <col min="4" max="4" width="11.85546875" customWidth="1"/>
    <col min="5" max="5" width="10.5703125" customWidth="1"/>
    <col min="7" max="7" width="18.7109375" customWidth="1"/>
    <col min="10" max="10" width="14" customWidth="1"/>
    <col min="11" max="12" width="13.5703125" bestFit="1" customWidth="1"/>
    <col min="13" max="13" width="11.85546875" bestFit="1" customWidth="1"/>
    <col min="14" max="14" width="17.140625" bestFit="1" customWidth="1"/>
    <col min="17" max="17" width="11.28515625" customWidth="1"/>
  </cols>
  <sheetData>
    <row r="1" spans="1:15" ht="15.75">
      <c r="A1" s="594" t="s">
        <v>229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0"/>
    </row>
    <row r="2" spans="1:15" ht="30.75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61" t="s">
        <v>175</v>
      </c>
      <c r="L2" s="82" t="s">
        <v>176</v>
      </c>
      <c r="M2" s="159" t="s">
        <v>185</v>
      </c>
      <c r="N2" s="80" t="s">
        <v>178</v>
      </c>
      <c r="O2" s="56"/>
    </row>
    <row r="3" spans="1:15">
      <c r="A3" s="140"/>
      <c r="B3" s="141"/>
      <c r="C3" s="141"/>
      <c r="D3" s="128" t="s">
        <v>179</v>
      </c>
      <c r="E3" s="141"/>
      <c r="F3" s="141"/>
      <c r="G3" s="141"/>
      <c r="H3" s="141"/>
      <c r="I3" s="141"/>
      <c r="J3" s="142"/>
      <c r="K3" s="253">
        <v>41052.548499999801</v>
      </c>
      <c r="L3" s="223"/>
      <c r="M3" s="223">
        <v>41052.548499999801</v>
      </c>
      <c r="N3" s="141"/>
      <c r="O3" s="56"/>
    </row>
    <row r="4" spans="1:15">
      <c r="A4" s="43">
        <v>1</v>
      </c>
      <c r="B4" s="193">
        <v>46266</v>
      </c>
      <c r="C4" s="22"/>
      <c r="D4" s="22"/>
      <c r="E4" s="8"/>
      <c r="F4" s="8"/>
      <c r="G4" s="8">
        <f>E4*F4</f>
        <v>0</v>
      </c>
      <c r="H4" s="9">
        <v>10</v>
      </c>
      <c r="I4" s="9">
        <v>111.4</v>
      </c>
      <c r="J4" s="8">
        <f>H4*I4</f>
        <v>1114</v>
      </c>
      <c r="K4" s="8">
        <f>G4+J4</f>
        <v>1114</v>
      </c>
      <c r="L4" s="143"/>
      <c r="M4" s="8">
        <f>M3+K4-L4</f>
        <v>42166.548499999801</v>
      </c>
      <c r="N4" s="41"/>
      <c r="O4" s="1"/>
    </row>
    <row r="5" spans="1:15">
      <c r="A5" s="43">
        <v>2</v>
      </c>
      <c r="B5" s="193">
        <v>46267</v>
      </c>
      <c r="C5" s="22"/>
      <c r="D5" s="22"/>
      <c r="E5" s="8">
        <v>179.37</v>
      </c>
      <c r="F5" s="8">
        <v>99.3</v>
      </c>
      <c r="G5" s="8">
        <f t="shared" ref="G5:G34" si="0">E5*F5</f>
        <v>17811.440999999999</v>
      </c>
      <c r="H5" s="9"/>
      <c r="I5" s="9"/>
      <c r="J5" s="8">
        <f t="shared" ref="J5:J34" si="1">H5*I5</f>
        <v>0</v>
      </c>
      <c r="K5" s="8">
        <f t="shared" ref="K5:K40" si="2">G5+J5</f>
        <v>17811.440999999999</v>
      </c>
      <c r="L5" s="143"/>
      <c r="M5" s="8">
        <f t="shared" ref="M5:M41" si="3">M4+K5-L5</f>
        <v>59977.9894999998</v>
      </c>
      <c r="N5" s="41"/>
      <c r="O5" s="1"/>
    </row>
    <row r="6" spans="1:15">
      <c r="A6" s="43">
        <v>3</v>
      </c>
      <c r="B6" s="193">
        <v>46268</v>
      </c>
      <c r="C6" s="22"/>
      <c r="D6" s="22"/>
      <c r="E6" s="8">
        <v>35</v>
      </c>
      <c r="F6" s="8">
        <v>99.3</v>
      </c>
      <c r="G6" s="8">
        <f t="shared" si="0"/>
        <v>3475.5</v>
      </c>
      <c r="H6" s="9">
        <v>11.6</v>
      </c>
      <c r="I6" s="9">
        <v>111.4</v>
      </c>
      <c r="J6" s="8">
        <f t="shared" si="1"/>
        <v>1292.24</v>
      </c>
      <c r="K6" s="8">
        <f t="shared" si="2"/>
        <v>4767.74</v>
      </c>
      <c r="L6" s="143"/>
      <c r="M6" s="8">
        <f t="shared" si="3"/>
        <v>64745.729499999798</v>
      </c>
      <c r="N6" s="41"/>
      <c r="O6" s="1"/>
    </row>
    <row r="7" spans="1:15">
      <c r="A7" s="43">
        <v>4</v>
      </c>
      <c r="B7" s="193">
        <v>46269</v>
      </c>
      <c r="C7" s="22"/>
      <c r="D7" s="22"/>
      <c r="E7" s="8">
        <v>233</v>
      </c>
      <c r="F7" s="8">
        <v>99.3</v>
      </c>
      <c r="G7" s="8">
        <f t="shared" si="0"/>
        <v>23136.899999999998</v>
      </c>
      <c r="H7" s="9">
        <v>11</v>
      </c>
      <c r="I7" s="9">
        <v>111.4</v>
      </c>
      <c r="J7" s="8">
        <f t="shared" si="1"/>
        <v>1225.4000000000001</v>
      </c>
      <c r="K7" s="8">
        <f t="shared" si="2"/>
        <v>24362.3</v>
      </c>
      <c r="L7" s="143"/>
      <c r="M7" s="8">
        <f t="shared" si="3"/>
        <v>89108.0294999998</v>
      </c>
      <c r="N7" s="41"/>
      <c r="O7" s="1"/>
    </row>
    <row r="8" spans="1:15">
      <c r="A8" s="43">
        <v>5</v>
      </c>
      <c r="B8" s="193">
        <v>46270</v>
      </c>
      <c r="C8" s="22"/>
      <c r="D8" s="22"/>
      <c r="E8" s="8">
        <v>415</v>
      </c>
      <c r="F8" s="8">
        <v>99.3</v>
      </c>
      <c r="G8" s="8">
        <f t="shared" si="0"/>
        <v>41209.5</v>
      </c>
      <c r="H8" s="9">
        <v>22</v>
      </c>
      <c r="I8" s="9">
        <v>111.4</v>
      </c>
      <c r="J8" s="8">
        <f t="shared" si="1"/>
        <v>2450.8000000000002</v>
      </c>
      <c r="K8" s="8">
        <f t="shared" si="2"/>
        <v>43660.3</v>
      </c>
      <c r="L8" s="143"/>
      <c r="M8" s="8">
        <f t="shared" si="3"/>
        <v>132768.32949999982</v>
      </c>
      <c r="N8" s="41"/>
      <c r="O8" s="1"/>
    </row>
    <row r="9" spans="1:15">
      <c r="A9" s="43">
        <v>6</v>
      </c>
      <c r="B9" s="193">
        <v>46271</v>
      </c>
      <c r="C9" s="22"/>
      <c r="D9" s="22"/>
      <c r="E9" s="426">
        <v>80</v>
      </c>
      <c r="F9" s="427">
        <v>99.3</v>
      </c>
      <c r="G9" s="8">
        <f t="shared" si="0"/>
        <v>7944</v>
      </c>
      <c r="H9" s="426"/>
      <c r="I9" s="9"/>
      <c r="J9" s="8">
        <f t="shared" si="1"/>
        <v>0</v>
      </c>
      <c r="K9" s="8">
        <f t="shared" si="2"/>
        <v>7944</v>
      </c>
      <c r="L9" s="143"/>
      <c r="M9" s="8">
        <f t="shared" si="3"/>
        <v>140712.32949999982</v>
      </c>
      <c r="N9" s="41"/>
      <c r="O9" s="1"/>
    </row>
    <row r="10" spans="1:15">
      <c r="A10" s="43">
        <v>7</v>
      </c>
      <c r="B10" s="193">
        <v>46272</v>
      </c>
      <c r="C10" s="22"/>
      <c r="D10" s="22"/>
      <c r="E10" s="426">
        <v>43.8</v>
      </c>
      <c r="F10" s="427">
        <v>99.3</v>
      </c>
      <c r="G10" s="8">
        <f t="shared" si="0"/>
        <v>4349.3399999999992</v>
      </c>
      <c r="H10" s="426">
        <v>7</v>
      </c>
      <c r="I10" s="9">
        <v>111.4</v>
      </c>
      <c r="J10" s="8">
        <f t="shared" si="1"/>
        <v>779.80000000000007</v>
      </c>
      <c r="K10" s="8">
        <f t="shared" si="2"/>
        <v>5129.1399999999994</v>
      </c>
      <c r="L10" s="143"/>
      <c r="M10" s="8">
        <f t="shared" si="3"/>
        <v>145841.46949999983</v>
      </c>
      <c r="N10" s="41"/>
      <c r="O10" s="1"/>
    </row>
    <row r="11" spans="1:15">
      <c r="A11" s="43">
        <v>8</v>
      </c>
      <c r="B11" s="193">
        <v>46273</v>
      </c>
      <c r="C11" s="22"/>
      <c r="D11" s="22"/>
      <c r="E11" s="8">
        <v>60</v>
      </c>
      <c r="F11" s="8">
        <v>99.3</v>
      </c>
      <c r="G11" s="8">
        <f t="shared" si="0"/>
        <v>5958</v>
      </c>
      <c r="H11" s="9"/>
      <c r="I11" s="9"/>
      <c r="J11" s="8">
        <f t="shared" si="1"/>
        <v>0</v>
      </c>
      <c r="K11" s="8">
        <f t="shared" si="2"/>
        <v>5958</v>
      </c>
      <c r="L11" s="8"/>
      <c r="M11" s="8">
        <f t="shared" si="3"/>
        <v>151799.46949999983</v>
      </c>
      <c r="N11" s="41"/>
      <c r="O11" s="1"/>
    </row>
    <row r="12" spans="1:15">
      <c r="A12" s="43">
        <v>9</v>
      </c>
      <c r="B12" s="193">
        <v>46274</v>
      </c>
      <c r="C12" s="22"/>
      <c r="D12" s="22"/>
      <c r="E12" s="8">
        <v>420</v>
      </c>
      <c r="F12" s="8">
        <v>99.3</v>
      </c>
      <c r="G12" s="8">
        <f t="shared" si="0"/>
        <v>41706</v>
      </c>
      <c r="H12" s="9"/>
      <c r="I12" s="9"/>
      <c r="J12" s="8">
        <f t="shared" si="1"/>
        <v>0</v>
      </c>
      <c r="K12" s="8">
        <f t="shared" si="2"/>
        <v>41706</v>
      </c>
      <c r="L12" s="143"/>
      <c r="M12" s="8">
        <f t="shared" si="3"/>
        <v>193505.46949999983</v>
      </c>
      <c r="N12" s="41"/>
      <c r="O12" s="1" t="s">
        <v>230</v>
      </c>
    </row>
    <row r="13" spans="1:15">
      <c r="A13" s="43">
        <v>10</v>
      </c>
      <c r="B13" s="193">
        <v>46275</v>
      </c>
      <c r="C13" s="22"/>
      <c r="D13" s="22"/>
      <c r="E13" s="8">
        <v>344</v>
      </c>
      <c r="F13" s="8">
        <v>99.3</v>
      </c>
      <c r="G13" s="8">
        <f t="shared" si="0"/>
        <v>34159.199999999997</v>
      </c>
      <c r="H13" s="9">
        <v>6.7</v>
      </c>
      <c r="I13" s="9">
        <v>111.4</v>
      </c>
      <c r="J13" s="8">
        <f t="shared" si="1"/>
        <v>746.38000000000011</v>
      </c>
      <c r="K13" s="8">
        <f t="shared" si="2"/>
        <v>34905.579999999994</v>
      </c>
      <c r="L13" s="143"/>
      <c r="M13" s="8">
        <f t="shared" si="3"/>
        <v>228411.04949999982</v>
      </c>
      <c r="N13" s="41"/>
      <c r="O13" s="1"/>
    </row>
    <row r="14" spans="1:15">
      <c r="A14" s="43">
        <v>11</v>
      </c>
      <c r="B14" s="193">
        <v>46276</v>
      </c>
      <c r="C14" s="22"/>
      <c r="D14" s="22"/>
      <c r="E14" s="8"/>
      <c r="F14" s="8"/>
      <c r="G14" s="8">
        <f t="shared" si="0"/>
        <v>0</v>
      </c>
      <c r="H14" s="9"/>
      <c r="I14" s="9"/>
      <c r="J14" s="8">
        <f t="shared" si="1"/>
        <v>0</v>
      </c>
      <c r="K14" s="8">
        <f t="shared" si="2"/>
        <v>0</v>
      </c>
      <c r="L14" s="143"/>
      <c r="M14" s="8">
        <f t="shared" si="3"/>
        <v>228411.04949999982</v>
      </c>
      <c r="N14" s="41"/>
      <c r="O14" s="1"/>
    </row>
    <row r="15" spans="1:15">
      <c r="A15" s="43">
        <v>12</v>
      </c>
      <c r="B15" s="193">
        <v>46277</v>
      </c>
      <c r="C15" s="22"/>
      <c r="D15" s="22"/>
      <c r="E15" s="8">
        <v>131.72</v>
      </c>
      <c r="F15" s="8">
        <v>99.3</v>
      </c>
      <c r="G15" s="8">
        <f t="shared" si="0"/>
        <v>13079.796</v>
      </c>
      <c r="H15" s="9"/>
      <c r="I15" s="9"/>
      <c r="J15" s="8">
        <f t="shared" si="1"/>
        <v>0</v>
      </c>
      <c r="K15" s="8">
        <f t="shared" si="2"/>
        <v>13079.796</v>
      </c>
      <c r="L15" s="143"/>
      <c r="M15" s="8">
        <f t="shared" si="3"/>
        <v>241490.84549999982</v>
      </c>
      <c r="N15" s="41"/>
      <c r="O15" s="1"/>
    </row>
    <row r="16" spans="1:15">
      <c r="A16" s="43">
        <v>13</v>
      </c>
      <c r="B16" s="193">
        <v>46278</v>
      </c>
      <c r="C16" s="22"/>
      <c r="D16" s="22"/>
      <c r="E16" s="8"/>
      <c r="F16" s="8"/>
      <c r="G16" s="8">
        <f t="shared" si="0"/>
        <v>0</v>
      </c>
      <c r="H16" s="9"/>
      <c r="I16" s="9"/>
      <c r="J16" s="8">
        <f t="shared" si="1"/>
        <v>0</v>
      </c>
      <c r="K16" s="8">
        <f t="shared" si="2"/>
        <v>0</v>
      </c>
      <c r="L16" s="143"/>
      <c r="M16" s="8">
        <f t="shared" si="3"/>
        <v>241490.84549999982</v>
      </c>
      <c r="N16" s="41"/>
      <c r="O16" s="1"/>
    </row>
    <row r="17" spans="1:15">
      <c r="A17" s="43">
        <v>14</v>
      </c>
      <c r="B17" s="193">
        <v>46279</v>
      </c>
      <c r="C17" s="22"/>
      <c r="D17" s="22"/>
      <c r="E17" s="8"/>
      <c r="F17" s="8"/>
      <c r="G17" s="8">
        <f t="shared" si="0"/>
        <v>0</v>
      </c>
      <c r="H17" s="9"/>
      <c r="I17" s="9"/>
      <c r="J17" s="8">
        <f t="shared" si="1"/>
        <v>0</v>
      </c>
      <c r="K17" s="8">
        <f t="shared" si="2"/>
        <v>0</v>
      </c>
      <c r="L17" s="143"/>
      <c r="M17" s="8">
        <f t="shared" si="3"/>
        <v>241490.84549999982</v>
      </c>
      <c r="N17" s="41"/>
      <c r="O17" s="1"/>
    </row>
    <row r="18" spans="1:15">
      <c r="A18" s="43">
        <v>15</v>
      </c>
      <c r="B18" s="193">
        <v>46280</v>
      </c>
      <c r="C18" s="22"/>
      <c r="D18" s="22"/>
      <c r="E18" s="8">
        <v>171</v>
      </c>
      <c r="F18" s="8">
        <v>99.3</v>
      </c>
      <c r="G18" s="8">
        <f t="shared" si="0"/>
        <v>16980.3</v>
      </c>
      <c r="H18" s="9">
        <v>8</v>
      </c>
      <c r="I18" s="9">
        <v>111.4</v>
      </c>
      <c r="J18" s="8">
        <f t="shared" si="1"/>
        <v>891.2</v>
      </c>
      <c r="K18" s="8">
        <f t="shared" si="2"/>
        <v>17871.5</v>
      </c>
      <c r="L18" s="143"/>
      <c r="M18" s="8">
        <f t="shared" si="3"/>
        <v>259362.34549999982</v>
      </c>
      <c r="N18" s="41"/>
      <c r="O18" s="1"/>
    </row>
    <row r="19" spans="1:15">
      <c r="A19" s="43">
        <v>16</v>
      </c>
      <c r="B19" s="193">
        <v>46281</v>
      </c>
      <c r="C19" s="22"/>
      <c r="D19" s="22"/>
      <c r="E19" s="8">
        <v>246.7</v>
      </c>
      <c r="F19" s="8">
        <v>99.3</v>
      </c>
      <c r="G19" s="8">
        <f t="shared" si="0"/>
        <v>24497.309999999998</v>
      </c>
      <c r="H19" s="9"/>
      <c r="I19" s="9"/>
      <c r="J19" s="8">
        <f t="shared" si="1"/>
        <v>0</v>
      </c>
      <c r="K19" s="8">
        <f t="shared" si="2"/>
        <v>24497.309999999998</v>
      </c>
      <c r="L19" s="143"/>
      <c r="M19" s="8">
        <f t="shared" si="3"/>
        <v>283859.65549999982</v>
      </c>
      <c r="N19" s="41"/>
      <c r="O19" s="1"/>
    </row>
    <row r="20" spans="1:15">
      <c r="A20" s="43">
        <v>17</v>
      </c>
      <c r="B20" s="193">
        <v>46282</v>
      </c>
      <c r="C20" s="22"/>
      <c r="D20" s="22"/>
      <c r="E20" s="8">
        <v>100</v>
      </c>
      <c r="F20" s="8">
        <v>99.3</v>
      </c>
      <c r="G20" s="8">
        <f t="shared" si="0"/>
        <v>9930</v>
      </c>
      <c r="H20" s="9">
        <v>6</v>
      </c>
      <c r="I20" s="9">
        <v>111.4</v>
      </c>
      <c r="J20" s="8">
        <f t="shared" si="1"/>
        <v>668.40000000000009</v>
      </c>
      <c r="K20" s="8">
        <f t="shared" si="2"/>
        <v>10598.4</v>
      </c>
      <c r="L20" s="143"/>
      <c r="M20" s="8">
        <f t="shared" si="3"/>
        <v>294458.05549999984</v>
      </c>
      <c r="N20" s="41"/>
      <c r="O20" s="1"/>
    </row>
    <row r="21" spans="1:15">
      <c r="A21" s="43">
        <v>18</v>
      </c>
      <c r="B21" s="193">
        <v>46283</v>
      </c>
      <c r="C21" s="22"/>
      <c r="D21" s="22"/>
      <c r="E21" s="8">
        <v>36.96</v>
      </c>
      <c r="F21" s="8">
        <v>99.3</v>
      </c>
      <c r="G21" s="8">
        <f t="shared" si="0"/>
        <v>3670.1280000000002</v>
      </c>
      <c r="H21" s="9">
        <v>2</v>
      </c>
      <c r="I21" s="9">
        <v>120.81</v>
      </c>
      <c r="J21" s="8">
        <f t="shared" si="1"/>
        <v>241.62</v>
      </c>
      <c r="K21" s="8">
        <f t="shared" si="2"/>
        <v>3911.748</v>
      </c>
      <c r="L21" s="143"/>
      <c r="M21" s="8">
        <f t="shared" si="3"/>
        <v>298369.80349999986</v>
      </c>
      <c r="N21" s="41"/>
      <c r="O21" s="1"/>
    </row>
    <row r="22" spans="1:15">
      <c r="A22" s="43">
        <v>19</v>
      </c>
      <c r="B22" s="193">
        <v>46284</v>
      </c>
      <c r="C22" s="22"/>
      <c r="D22" s="22"/>
      <c r="E22" s="8">
        <v>30</v>
      </c>
      <c r="F22" s="8">
        <v>99.3</v>
      </c>
      <c r="G22" s="8">
        <f t="shared" si="0"/>
        <v>2979</v>
      </c>
      <c r="H22" s="9">
        <v>7.5</v>
      </c>
      <c r="I22" s="9">
        <v>111.4</v>
      </c>
      <c r="J22" s="8">
        <f t="shared" si="1"/>
        <v>835.5</v>
      </c>
      <c r="K22" s="8">
        <f t="shared" si="2"/>
        <v>3814.5</v>
      </c>
      <c r="L22" s="143"/>
      <c r="M22" s="8">
        <f t="shared" si="3"/>
        <v>302184.30349999986</v>
      </c>
      <c r="N22" s="41"/>
      <c r="O22" s="1"/>
    </row>
    <row r="23" spans="1:15">
      <c r="A23" s="43"/>
      <c r="B23" s="193">
        <v>46285</v>
      </c>
      <c r="C23" s="22"/>
      <c r="D23" s="22"/>
      <c r="E23" s="8"/>
      <c r="F23" s="8"/>
      <c r="G23" s="8">
        <f t="shared" si="0"/>
        <v>0</v>
      </c>
      <c r="H23" s="9"/>
      <c r="I23" s="9"/>
      <c r="J23" s="8">
        <f t="shared" si="1"/>
        <v>0</v>
      </c>
      <c r="K23" s="8">
        <f t="shared" si="2"/>
        <v>0</v>
      </c>
      <c r="L23" s="8"/>
      <c r="M23" s="8">
        <f t="shared" si="3"/>
        <v>302184.30349999986</v>
      </c>
      <c r="N23" s="41"/>
      <c r="O23" s="1"/>
    </row>
    <row r="24" spans="1:15">
      <c r="A24" s="43">
        <v>20</v>
      </c>
      <c r="B24" s="193">
        <v>46286</v>
      </c>
      <c r="C24" s="22"/>
      <c r="D24" s="22"/>
      <c r="E24" s="8">
        <v>178.02</v>
      </c>
      <c r="F24" s="8">
        <v>99.3</v>
      </c>
      <c r="G24" s="8">
        <f t="shared" si="0"/>
        <v>17677.386000000002</v>
      </c>
      <c r="H24" s="9">
        <v>14.01</v>
      </c>
      <c r="I24" s="9">
        <v>111.4</v>
      </c>
      <c r="J24" s="8">
        <f t="shared" si="1"/>
        <v>1560.7140000000002</v>
      </c>
      <c r="K24" s="8">
        <f t="shared" si="2"/>
        <v>19238.100000000002</v>
      </c>
      <c r="L24" s="143"/>
      <c r="M24" s="8">
        <f t="shared" si="3"/>
        <v>321422.40349999984</v>
      </c>
      <c r="N24" s="41"/>
      <c r="O24" s="1"/>
    </row>
    <row r="25" spans="1:15">
      <c r="A25" s="43">
        <v>21</v>
      </c>
      <c r="B25" s="193">
        <v>46287</v>
      </c>
      <c r="C25" s="22"/>
      <c r="D25" s="22"/>
      <c r="E25" s="8"/>
      <c r="F25" s="8"/>
      <c r="G25" s="8">
        <f t="shared" si="0"/>
        <v>0</v>
      </c>
      <c r="H25" s="9"/>
      <c r="I25" s="9"/>
      <c r="J25" s="8">
        <f t="shared" si="1"/>
        <v>0</v>
      </c>
      <c r="K25" s="8">
        <f t="shared" si="2"/>
        <v>0</v>
      </c>
      <c r="L25" s="143"/>
      <c r="M25" s="8">
        <f t="shared" si="3"/>
        <v>321422.40349999984</v>
      </c>
      <c r="N25" s="41"/>
      <c r="O25" s="1"/>
    </row>
    <row r="26" spans="1:15">
      <c r="A26" s="43">
        <v>22</v>
      </c>
      <c r="B26" s="193">
        <v>46288</v>
      </c>
      <c r="C26" s="22"/>
      <c r="D26" s="22"/>
      <c r="E26" s="8"/>
      <c r="F26" s="8"/>
      <c r="G26" s="8">
        <f t="shared" si="0"/>
        <v>0</v>
      </c>
      <c r="H26" s="9"/>
      <c r="I26" s="9"/>
      <c r="J26" s="8">
        <f t="shared" si="1"/>
        <v>0</v>
      </c>
      <c r="K26" s="8">
        <f t="shared" si="2"/>
        <v>0</v>
      </c>
      <c r="L26" s="143">
        <v>300000</v>
      </c>
      <c r="M26" s="8">
        <f>M25+K26-L26</f>
        <v>21422.40349999984</v>
      </c>
      <c r="N26" s="41"/>
      <c r="O26" s="1"/>
    </row>
    <row r="27" spans="1:15">
      <c r="A27" s="43">
        <v>23</v>
      </c>
      <c r="B27" s="193">
        <v>46289</v>
      </c>
      <c r="C27" s="22"/>
      <c r="D27" s="22"/>
      <c r="E27" s="567">
        <v>270</v>
      </c>
      <c r="F27" s="513">
        <v>99.3</v>
      </c>
      <c r="G27" s="8">
        <f t="shared" si="0"/>
        <v>26811</v>
      </c>
      <c r="H27" s="9"/>
      <c r="I27" s="9"/>
      <c r="J27" s="8">
        <f t="shared" si="1"/>
        <v>0</v>
      </c>
      <c r="K27" s="8">
        <f t="shared" si="2"/>
        <v>26811</v>
      </c>
      <c r="L27" s="143"/>
      <c r="N27" s="41"/>
      <c r="O27" s="1"/>
    </row>
    <row r="28" spans="1:15">
      <c r="A28" s="43">
        <v>24</v>
      </c>
      <c r="B28" s="193">
        <v>46290</v>
      </c>
      <c r="C28" s="22"/>
      <c r="D28" s="22"/>
      <c r="E28" s="8"/>
      <c r="F28" s="8"/>
      <c r="G28" s="8">
        <f t="shared" si="0"/>
        <v>0</v>
      </c>
      <c r="H28" s="9"/>
      <c r="I28" s="9"/>
      <c r="J28" s="8">
        <f t="shared" si="1"/>
        <v>0</v>
      </c>
      <c r="K28" s="8">
        <f t="shared" si="2"/>
        <v>0</v>
      </c>
      <c r="L28" s="143"/>
      <c r="M28" s="8">
        <f>N30+K28-L28</f>
        <v>48233.40349999984</v>
      </c>
      <c r="N28" s="41"/>
      <c r="O28" s="1"/>
    </row>
    <row r="29" spans="1:15">
      <c r="A29" s="43">
        <v>25</v>
      </c>
      <c r="B29" s="193">
        <v>46291</v>
      </c>
      <c r="C29" s="22"/>
      <c r="D29" s="22"/>
      <c r="E29" s="8"/>
      <c r="F29" s="8"/>
      <c r="G29" s="8">
        <f t="shared" si="0"/>
        <v>0</v>
      </c>
      <c r="H29" s="9"/>
      <c r="I29" s="9"/>
      <c r="J29" s="8">
        <f t="shared" si="1"/>
        <v>0</v>
      </c>
      <c r="K29" s="8">
        <f t="shared" si="2"/>
        <v>0</v>
      </c>
      <c r="L29" s="143"/>
      <c r="M29" s="8">
        <f t="shared" si="3"/>
        <v>48233.40349999984</v>
      </c>
      <c r="N29" s="41"/>
      <c r="O29" s="1"/>
    </row>
    <row r="30" spans="1:15">
      <c r="A30" s="43">
        <v>26</v>
      </c>
      <c r="B30" s="193">
        <v>46292</v>
      </c>
      <c r="C30" s="22"/>
      <c r="D30" s="22"/>
      <c r="E30" s="8"/>
      <c r="F30" s="8"/>
      <c r="G30" s="8">
        <f t="shared" si="0"/>
        <v>0</v>
      </c>
      <c r="H30" s="9"/>
      <c r="I30" s="9"/>
      <c r="J30" s="8">
        <f t="shared" si="1"/>
        <v>0</v>
      </c>
      <c r="K30" s="8">
        <f t="shared" si="2"/>
        <v>0</v>
      </c>
      <c r="L30" s="143"/>
      <c r="M30" s="8">
        <f t="shared" si="3"/>
        <v>48233.40349999984</v>
      </c>
      <c r="N30" s="8">
        <f>M26+K27-L27</f>
        <v>48233.40349999984</v>
      </c>
      <c r="O30" s="1"/>
    </row>
    <row r="31" spans="1:15">
      <c r="A31" s="43">
        <v>27</v>
      </c>
      <c r="B31" s="193">
        <v>46293</v>
      </c>
      <c r="C31" s="22"/>
      <c r="D31" s="22"/>
      <c r="E31" s="8"/>
      <c r="F31" s="8"/>
      <c r="G31" s="8">
        <f t="shared" si="0"/>
        <v>0</v>
      </c>
      <c r="H31" s="9"/>
      <c r="I31" s="9"/>
      <c r="J31" s="8">
        <f t="shared" si="1"/>
        <v>0</v>
      </c>
      <c r="K31" s="8">
        <f t="shared" si="2"/>
        <v>0</v>
      </c>
      <c r="L31" s="143"/>
      <c r="M31" s="8">
        <f t="shared" si="3"/>
        <v>48233.40349999984</v>
      </c>
      <c r="N31" s="41"/>
      <c r="O31" s="1"/>
    </row>
    <row r="32" spans="1:15">
      <c r="A32" s="43">
        <v>28</v>
      </c>
      <c r="B32" s="193">
        <v>46294</v>
      </c>
      <c r="C32" s="22"/>
      <c r="D32" s="22"/>
      <c r="E32" s="464">
        <v>100</v>
      </c>
      <c r="F32" s="513">
        <v>99.3</v>
      </c>
      <c r="G32" s="8">
        <f t="shared" si="0"/>
        <v>9930</v>
      </c>
      <c r="H32" s="9"/>
      <c r="I32" s="9"/>
      <c r="J32" s="8">
        <f t="shared" si="1"/>
        <v>0</v>
      </c>
      <c r="K32" s="8">
        <f t="shared" si="2"/>
        <v>9930</v>
      </c>
      <c r="L32" s="143"/>
      <c r="M32" s="8">
        <f t="shared" si="3"/>
        <v>58163.40349999984</v>
      </c>
      <c r="N32" s="41"/>
      <c r="O32" s="1"/>
    </row>
    <row r="33" spans="1:21">
      <c r="A33" s="43">
        <v>29</v>
      </c>
      <c r="B33" s="193">
        <v>46295</v>
      </c>
      <c r="C33" s="22"/>
      <c r="D33" s="22"/>
      <c r="E33" s="464">
        <v>248.34</v>
      </c>
      <c r="F33" s="513">
        <v>99.3</v>
      </c>
      <c r="G33" s="8">
        <f t="shared" si="0"/>
        <v>24660.162</v>
      </c>
      <c r="H33" s="9"/>
      <c r="I33" s="9"/>
      <c r="J33" s="8">
        <f t="shared" si="1"/>
        <v>0</v>
      </c>
      <c r="K33" s="8">
        <f t="shared" si="2"/>
        <v>24660.162</v>
      </c>
      <c r="L33" s="143"/>
      <c r="M33" s="8">
        <f t="shared" si="3"/>
        <v>82823.565499999837</v>
      </c>
      <c r="N33" s="41"/>
      <c r="O33" s="1"/>
    </row>
    <row r="34" spans="1:21">
      <c r="A34" s="43">
        <v>30</v>
      </c>
      <c r="B34" s="193"/>
      <c r="C34" s="22"/>
      <c r="D34" s="22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3"/>
      <c r="M34" s="8">
        <f t="shared" si="3"/>
        <v>82823.565499999837</v>
      </c>
      <c r="N34" s="41"/>
      <c r="O34" s="1"/>
    </row>
    <row r="35" spans="1:21">
      <c r="A35" s="43">
        <v>31</v>
      </c>
      <c r="B35" s="193"/>
      <c r="C35" s="22"/>
      <c r="D35" s="22"/>
      <c r="E35" s="8"/>
      <c r="F35" s="8"/>
      <c r="G35" s="8">
        <f t="shared" ref="G35:G40" si="4">E35*F35</f>
        <v>0</v>
      </c>
      <c r="H35" s="9"/>
      <c r="I35" s="9"/>
      <c r="J35" s="8">
        <f t="shared" ref="J35:J40" si="5">H35*I35</f>
        <v>0</v>
      </c>
      <c r="K35" s="8">
        <f t="shared" si="2"/>
        <v>0</v>
      </c>
      <c r="L35" s="143"/>
      <c r="M35" s="8">
        <f t="shared" si="3"/>
        <v>82823.565499999837</v>
      </c>
      <c r="N35" s="41"/>
      <c r="O35" s="1"/>
    </row>
    <row r="36" spans="1:21">
      <c r="A36" s="43">
        <v>32</v>
      </c>
      <c r="B36" s="193"/>
      <c r="C36" s="22"/>
      <c r="D36" s="22"/>
      <c r="E36" s="8"/>
      <c r="F36" s="8"/>
      <c r="G36" s="8">
        <f t="shared" si="4"/>
        <v>0</v>
      </c>
      <c r="H36" s="9"/>
      <c r="I36" s="9"/>
      <c r="J36" s="8">
        <f t="shared" si="5"/>
        <v>0</v>
      </c>
      <c r="K36" s="8">
        <f t="shared" si="2"/>
        <v>0</v>
      </c>
      <c r="L36" s="143"/>
      <c r="M36" s="8">
        <f t="shared" si="3"/>
        <v>82823.565499999837</v>
      </c>
      <c r="N36" s="41"/>
      <c r="O36" s="1"/>
    </row>
    <row r="37" spans="1:21">
      <c r="A37" s="43">
        <v>33</v>
      </c>
      <c r="B37" s="193"/>
      <c r="C37" s="22"/>
      <c r="D37" s="22"/>
      <c r="E37" s="8"/>
      <c r="F37" s="8"/>
      <c r="G37" s="8">
        <f t="shared" si="4"/>
        <v>0</v>
      </c>
      <c r="H37" s="9"/>
      <c r="I37" s="9"/>
      <c r="J37" s="8">
        <f t="shared" si="5"/>
        <v>0</v>
      </c>
      <c r="K37" s="8">
        <f t="shared" si="2"/>
        <v>0</v>
      </c>
      <c r="L37" s="143"/>
      <c r="M37" s="8">
        <f t="shared" si="3"/>
        <v>82823.565499999837</v>
      </c>
      <c r="N37" s="41"/>
      <c r="O37" s="1"/>
    </row>
    <row r="38" spans="1:21">
      <c r="A38" s="43">
        <v>34</v>
      </c>
      <c r="B38" s="193"/>
      <c r="C38" s="22"/>
      <c r="D38" s="22"/>
      <c r="E38" s="8"/>
      <c r="F38" s="8"/>
      <c r="G38" s="8">
        <f t="shared" si="4"/>
        <v>0</v>
      </c>
      <c r="H38" s="9"/>
      <c r="I38" s="9"/>
      <c r="J38" s="8">
        <f t="shared" si="5"/>
        <v>0</v>
      </c>
      <c r="K38" s="8">
        <f t="shared" si="2"/>
        <v>0</v>
      </c>
      <c r="L38" s="143"/>
      <c r="M38" s="8">
        <f t="shared" si="3"/>
        <v>82823.565499999837</v>
      </c>
      <c r="N38" s="41"/>
      <c r="O38" s="1"/>
      <c r="U38" s="8"/>
    </row>
    <row r="39" spans="1:21">
      <c r="A39" s="43">
        <v>35</v>
      </c>
      <c r="B39" s="193"/>
      <c r="C39" s="22"/>
      <c r="D39" s="22"/>
      <c r="E39" s="8"/>
      <c r="F39" s="8"/>
      <c r="G39" s="8">
        <f t="shared" si="4"/>
        <v>0</v>
      </c>
      <c r="H39" s="9"/>
      <c r="I39" s="9"/>
      <c r="J39" s="8">
        <f t="shared" si="5"/>
        <v>0</v>
      </c>
      <c r="K39" s="8">
        <f t="shared" si="2"/>
        <v>0</v>
      </c>
      <c r="L39" s="143"/>
      <c r="M39" s="8">
        <f t="shared" si="3"/>
        <v>82823.565499999837</v>
      </c>
      <c r="N39" s="41"/>
      <c r="O39" s="1"/>
    </row>
    <row r="40" spans="1:21">
      <c r="A40" s="43">
        <v>36</v>
      </c>
      <c r="B40" s="193"/>
      <c r="C40" s="22"/>
      <c r="D40" s="22"/>
      <c r="E40" s="8"/>
      <c r="F40" s="8"/>
      <c r="G40" s="8">
        <f t="shared" si="4"/>
        <v>0</v>
      </c>
      <c r="H40" s="9"/>
      <c r="I40" s="9"/>
      <c r="J40" s="8">
        <f t="shared" si="5"/>
        <v>0</v>
      </c>
      <c r="K40" s="8">
        <f t="shared" si="2"/>
        <v>0</v>
      </c>
      <c r="L40" s="143">
        <v>0</v>
      </c>
      <c r="M40" s="8">
        <f t="shared" si="3"/>
        <v>82823.565499999837</v>
      </c>
      <c r="N40" s="41"/>
      <c r="O40" s="1"/>
    </row>
    <row r="41" spans="1:21">
      <c r="A41" s="43">
        <v>37</v>
      </c>
      <c r="B41" s="193"/>
      <c r="C41" s="22"/>
      <c r="D41" s="22"/>
      <c r="E41" s="8"/>
      <c r="F41" s="8"/>
      <c r="G41" s="8"/>
      <c r="H41" s="9">
        <v>0</v>
      </c>
      <c r="I41" s="9">
        <v>0</v>
      </c>
      <c r="J41" s="8"/>
      <c r="K41" s="8"/>
      <c r="L41" s="143"/>
      <c r="M41" s="8">
        <f t="shared" si="3"/>
        <v>82823.565499999837</v>
      </c>
      <c r="N41" s="41"/>
      <c r="O41" s="1"/>
    </row>
    <row r="42" spans="1:21">
      <c r="A42" s="59"/>
      <c r="B42" s="59"/>
      <c r="C42" s="59"/>
      <c r="D42" s="59"/>
      <c r="E42" s="60">
        <f>SUM(E4:E40)</f>
        <v>3322.9100000000003</v>
      </c>
      <c r="F42" s="60"/>
      <c r="G42" s="60">
        <f>SUM(G4:G40)</f>
        <v>329964.96299999999</v>
      </c>
      <c r="H42" s="60">
        <f>SUM(H4:H40)</f>
        <v>105.81</v>
      </c>
      <c r="I42" s="60"/>
      <c r="J42" s="60">
        <f>SUM(J4:J40)</f>
        <v>11806.054000000002</v>
      </c>
      <c r="K42" s="60">
        <f>SUM(K4:K40)</f>
        <v>341771.01699999999</v>
      </c>
      <c r="L42" s="60">
        <f>SUM(L4:L40)</f>
        <v>300000</v>
      </c>
      <c r="M42" s="60"/>
      <c r="N42" s="60"/>
      <c r="O42" s="56"/>
    </row>
    <row r="43" spans="1:21">
      <c r="A43" s="2"/>
      <c r="B43" s="2"/>
      <c r="C43" s="2"/>
      <c r="D43" s="2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</row>
    <row r="44" spans="1:21">
      <c r="A44" s="1"/>
      <c r="B44" s="1"/>
      <c r="C44" s="1"/>
      <c r="D44" s="1"/>
      <c r="E44" s="1"/>
      <c r="F44" s="1"/>
      <c r="G44" s="3"/>
      <c r="H44" s="1"/>
      <c r="I44" s="1"/>
      <c r="J44" s="1"/>
      <c r="K44" s="1"/>
      <c r="L44" s="8"/>
      <c r="M44" s="1"/>
      <c r="N44" s="1"/>
      <c r="O44" s="4"/>
    </row>
    <row r="45" spans="1:21">
      <c r="A45" s="1"/>
      <c r="B45" s="621"/>
      <c r="C45" s="621"/>
      <c r="D45" s="621"/>
      <c r="E45" s="621"/>
      <c r="F45" s="1"/>
      <c r="G45" s="1"/>
      <c r="H45" s="1"/>
      <c r="I45" s="622">
        <f>K29+L29</f>
        <v>0</v>
      </c>
      <c r="J45" s="621"/>
      <c r="K45" s="621"/>
      <c r="L45" s="621"/>
      <c r="M45" s="621"/>
      <c r="N45" s="621"/>
      <c r="O45" s="4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4"/>
    </row>
    <row r="47" spans="1:2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2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</sheetData>
  <mergeCells count="3">
    <mergeCell ref="A1:N1"/>
    <mergeCell ref="B45:E45"/>
    <mergeCell ref="I45:N45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O48"/>
  <sheetViews>
    <sheetView workbookViewId="0">
      <pane ySplit="3" topLeftCell="A20" activePane="bottomLeft" state="frozen"/>
      <selection pane="bottomLeft" activeCell="M34" sqref="M34"/>
    </sheetView>
  </sheetViews>
  <sheetFormatPr defaultRowHeight="15"/>
  <cols>
    <col min="2" max="2" width="14.5703125" customWidth="1"/>
    <col min="4" max="4" width="11.140625" customWidth="1"/>
    <col min="5" max="5" width="10.140625" bestFit="1" customWidth="1"/>
    <col min="7" max="7" width="11.85546875" bestFit="1" customWidth="1"/>
    <col min="10" max="10" width="17.42578125" customWidth="1"/>
    <col min="11" max="11" width="13.5703125" bestFit="1" customWidth="1"/>
    <col min="12" max="13" width="11.85546875" bestFit="1" customWidth="1"/>
    <col min="15" max="15" width="13.7109375" customWidth="1"/>
    <col min="16" max="16" width="14" customWidth="1"/>
  </cols>
  <sheetData>
    <row r="1" spans="1:15" ht="15.75">
      <c r="A1" s="594" t="s">
        <v>137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0"/>
    </row>
    <row r="2" spans="1:15" ht="30.75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61" t="s">
        <v>175</v>
      </c>
      <c r="L2" s="82" t="s">
        <v>176</v>
      </c>
      <c r="M2" s="159" t="s">
        <v>185</v>
      </c>
      <c r="N2" s="80" t="s">
        <v>178</v>
      </c>
      <c r="O2" s="56"/>
    </row>
    <row r="3" spans="1:15">
      <c r="A3" s="140"/>
      <c r="B3" s="141"/>
      <c r="C3" s="141"/>
      <c r="D3" s="128" t="s">
        <v>179</v>
      </c>
      <c r="E3" s="141"/>
      <c r="F3" s="141"/>
      <c r="G3" s="141"/>
      <c r="H3" s="141"/>
      <c r="I3" s="141"/>
      <c r="J3" s="142"/>
      <c r="K3" s="19">
        <v>408499.97670000012</v>
      </c>
      <c r="L3" s="143"/>
      <c r="M3">
        <v>408499.97670000012</v>
      </c>
      <c r="N3" s="141"/>
      <c r="O3" s="56"/>
    </row>
    <row r="4" spans="1:15">
      <c r="A4" s="43">
        <v>1</v>
      </c>
      <c r="B4" s="193">
        <v>46266</v>
      </c>
      <c r="C4" s="22"/>
      <c r="D4" s="22"/>
      <c r="E4" s="256">
        <v>230</v>
      </c>
      <c r="F4" s="256">
        <v>99.6</v>
      </c>
      <c r="G4" s="8">
        <f>E4*F4</f>
        <v>22908</v>
      </c>
      <c r="H4" s="9"/>
      <c r="I4" s="379"/>
      <c r="J4" s="8">
        <f>H4*I4</f>
        <v>0</v>
      </c>
      <c r="K4" s="8">
        <f>G4+J4</f>
        <v>22908</v>
      </c>
      <c r="L4" s="143">
        <v>300000</v>
      </c>
      <c r="M4" s="8">
        <f>M3+K4-L4</f>
        <v>131407.97670000012</v>
      </c>
      <c r="N4" s="41"/>
      <c r="O4" s="1"/>
    </row>
    <row r="5" spans="1:15">
      <c r="A5" s="43">
        <v>2</v>
      </c>
      <c r="B5" s="193">
        <v>46267</v>
      </c>
      <c r="C5" s="22"/>
      <c r="D5" s="22"/>
      <c r="E5" s="256">
        <v>115</v>
      </c>
      <c r="F5" s="8">
        <v>99.6</v>
      </c>
      <c r="G5" s="8">
        <f t="shared" ref="G5:G6" si="0">E5*F5</f>
        <v>11454</v>
      </c>
      <c r="H5" s="9">
        <v>5</v>
      </c>
      <c r="I5" s="379">
        <v>111.71</v>
      </c>
      <c r="J5" s="8">
        <f>H5*I5</f>
        <v>558.54999999999995</v>
      </c>
      <c r="K5" s="8">
        <f t="shared" ref="K5:K34" si="1">G5+J5</f>
        <v>12012.55</v>
      </c>
      <c r="L5" s="143"/>
      <c r="M5" s="8">
        <f t="shared" ref="M5:M34" si="2">M4+K5-L5</f>
        <v>143420.5267000001</v>
      </c>
      <c r="N5" s="41"/>
      <c r="O5" s="1"/>
    </row>
    <row r="6" spans="1:15">
      <c r="A6" s="43">
        <v>3</v>
      </c>
      <c r="B6" s="193">
        <v>46268</v>
      </c>
      <c r="C6" s="22"/>
      <c r="D6" s="22"/>
      <c r="E6" s="256">
        <v>227.93</v>
      </c>
      <c r="F6" s="8">
        <v>99.6</v>
      </c>
      <c r="G6" s="8">
        <f t="shared" si="0"/>
        <v>22701.827999999998</v>
      </c>
      <c r="H6" s="9">
        <v>5</v>
      </c>
      <c r="I6" s="379">
        <v>111.71</v>
      </c>
      <c r="J6" s="8">
        <f t="shared" ref="J6:J34" si="3">H6*I6</f>
        <v>558.54999999999995</v>
      </c>
      <c r="K6" s="8">
        <f t="shared" si="1"/>
        <v>23260.377999999997</v>
      </c>
      <c r="L6" s="143"/>
      <c r="M6" s="8">
        <f t="shared" si="2"/>
        <v>166680.9047000001</v>
      </c>
      <c r="N6" s="41"/>
      <c r="O6" s="1"/>
    </row>
    <row r="7" spans="1:15">
      <c r="A7" s="43">
        <v>4</v>
      </c>
      <c r="B7" s="193">
        <v>46269</v>
      </c>
      <c r="C7" s="22"/>
      <c r="D7" s="22"/>
      <c r="E7" s="256">
        <v>155</v>
      </c>
      <c r="F7" s="8">
        <v>99.6</v>
      </c>
      <c r="G7" s="8">
        <f t="shared" ref="G5:G34" si="4">E7*F7</f>
        <v>15438</v>
      </c>
      <c r="H7" s="9">
        <v>10</v>
      </c>
      <c r="I7" s="379">
        <v>111.71</v>
      </c>
      <c r="J7" s="8">
        <f t="shared" si="3"/>
        <v>1117.0999999999999</v>
      </c>
      <c r="K7" s="8">
        <f t="shared" si="1"/>
        <v>16555.099999999999</v>
      </c>
      <c r="L7" s="143"/>
      <c r="M7" s="8">
        <f t="shared" si="2"/>
        <v>183236.00470000011</v>
      </c>
      <c r="N7" s="41"/>
      <c r="O7" s="1"/>
    </row>
    <row r="8" spans="1:15">
      <c r="A8" s="43">
        <v>5</v>
      </c>
      <c r="B8" s="193">
        <v>46270</v>
      </c>
      <c r="C8" s="22"/>
      <c r="D8" s="22"/>
      <c r="E8" s="256">
        <v>380</v>
      </c>
      <c r="F8" s="8">
        <v>99.6</v>
      </c>
      <c r="G8" s="8">
        <f t="shared" si="4"/>
        <v>37848</v>
      </c>
      <c r="H8" s="9"/>
      <c r="I8" s="9"/>
      <c r="J8" s="8">
        <f t="shared" si="3"/>
        <v>0</v>
      </c>
      <c r="K8" s="8">
        <f t="shared" si="1"/>
        <v>37848</v>
      </c>
      <c r="L8" s="143"/>
      <c r="M8" s="8">
        <f t="shared" si="2"/>
        <v>221084.00470000011</v>
      </c>
      <c r="N8" s="41"/>
      <c r="O8" s="1"/>
    </row>
    <row r="9" spans="1:15">
      <c r="A9" s="43">
        <v>6</v>
      </c>
      <c r="B9" s="193">
        <v>46271</v>
      </c>
      <c r="C9" s="22"/>
      <c r="D9" s="22"/>
      <c r="E9" s="256">
        <v>50</v>
      </c>
      <c r="F9" s="8">
        <v>99.6</v>
      </c>
      <c r="G9" s="8">
        <f t="shared" si="4"/>
        <v>4980</v>
      </c>
      <c r="H9" s="9"/>
      <c r="I9" s="9"/>
      <c r="J9" s="8">
        <f t="shared" si="3"/>
        <v>0</v>
      </c>
      <c r="K9" s="8">
        <f t="shared" si="1"/>
        <v>4980</v>
      </c>
      <c r="L9" s="143"/>
      <c r="M9" s="8">
        <f t="shared" si="2"/>
        <v>226064.00470000011</v>
      </c>
      <c r="N9" s="41"/>
      <c r="O9" s="1"/>
    </row>
    <row r="10" spans="1:15">
      <c r="A10" s="43">
        <v>7</v>
      </c>
      <c r="B10" s="193">
        <v>46272</v>
      </c>
      <c r="C10" s="22"/>
      <c r="D10" s="22"/>
      <c r="E10" s="256">
        <v>250</v>
      </c>
      <c r="F10" s="8">
        <v>99.6</v>
      </c>
      <c r="G10" s="8">
        <f t="shared" si="4"/>
        <v>24900</v>
      </c>
      <c r="H10" s="9">
        <v>10</v>
      </c>
      <c r="I10" s="9">
        <v>111.71</v>
      </c>
      <c r="J10" s="8">
        <f t="shared" si="3"/>
        <v>1117.0999999999999</v>
      </c>
      <c r="K10" s="8">
        <f t="shared" si="1"/>
        <v>26017.1</v>
      </c>
      <c r="L10" s="143"/>
      <c r="M10" s="8">
        <f t="shared" si="2"/>
        <v>252081.10470000011</v>
      </c>
      <c r="N10" s="41"/>
      <c r="O10" s="1"/>
    </row>
    <row r="11" spans="1:15">
      <c r="A11" s="43">
        <v>8</v>
      </c>
      <c r="B11" s="193">
        <v>46273</v>
      </c>
      <c r="C11" s="22"/>
      <c r="D11" s="22"/>
      <c r="E11" s="256">
        <v>260</v>
      </c>
      <c r="F11" s="8">
        <v>99.6</v>
      </c>
      <c r="G11" s="8">
        <f t="shared" si="4"/>
        <v>25896</v>
      </c>
      <c r="H11" s="9"/>
      <c r="I11" s="9"/>
      <c r="J11" s="8">
        <f t="shared" si="3"/>
        <v>0</v>
      </c>
      <c r="K11" s="8">
        <f t="shared" si="1"/>
        <v>25896</v>
      </c>
      <c r="L11" s="143"/>
      <c r="M11" s="8">
        <f t="shared" si="2"/>
        <v>277977.10470000014</v>
      </c>
      <c r="N11" s="41"/>
      <c r="O11" s="1"/>
    </row>
    <row r="12" spans="1:15">
      <c r="A12" s="43">
        <v>9</v>
      </c>
      <c r="B12" s="193">
        <v>46274</v>
      </c>
      <c r="C12" s="22"/>
      <c r="D12" s="22"/>
      <c r="E12" s="256">
        <v>50</v>
      </c>
      <c r="F12" s="8">
        <v>99.6</v>
      </c>
      <c r="G12" s="8">
        <f t="shared" si="4"/>
        <v>4980</v>
      </c>
      <c r="H12" s="9">
        <v>10</v>
      </c>
      <c r="I12" s="9">
        <v>111.71</v>
      </c>
      <c r="J12" s="8">
        <f t="shared" si="3"/>
        <v>1117.0999999999999</v>
      </c>
      <c r="K12" s="8">
        <f t="shared" si="1"/>
        <v>6097.1</v>
      </c>
      <c r="L12" s="143"/>
      <c r="M12" s="8">
        <f>M11+K12-L12</f>
        <v>284074.20470000012</v>
      </c>
      <c r="N12" s="41"/>
      <c r="O12" s="1"/>
    </row>
    <row r="13" spans="1:15">
      <c r="A13" s="43">
        <v>10</v>
      </c>
      <c r="B13" s="193">
        <v>46275</v>
      </c>
      <c r="C13" s="22"/>
      <c r="D13" s="22"/>
      <c r="E13" s="256">
        <v>315</v>
      </c>
      <c r="F13" s="8">
        <v>99.6</v>
      </c>
      <c r="G13" s="8">
        <f t="shared" si="4"/>
        <v>31374</v>
      </c>
      <c r="H13" s="9"/>
      <c r="I13" s="9"/>
      <c r="J13" s="8">
        <f t="shared" si="3"/>
        <v>0</v>
      </c>
      <c r="K13" s="8">
        <f t="shared" si="1"/>
        <v>31374</v>
      </c>
      <c r="L13" s="143"/>
      <c r="M13" s="8">
        <f t="shared" si="2"/>
        <v>315448.20470000012</v>
      </c>
      <c r="N13" s="41"/>
      <c r="O13" s="1"/>
    </row>
    <row r="14" spans="1:15">
      <c r="A14" s="43">
        <v>11</v>
      </c>
      <c r="B14" s="193">
        <v>46276</v>
      </c>
      <c r="C14" s="22"/>
      <c r="D14" s="22"/>
      <c r="E14" s="256">
        <v>60</v>
      </c>
      <c r="F14" s="8">
        <v>99.6</v>
      </c>
      <c r="G14" s="8">
        <f t="shared" si="4"/>
        <v>5976</v>
      </c>
      <c r="H14" s="9">
        <v>15</v>
      </c>
      <c r="I14" s="9">
        <v>111.71</v>
      </c>
      <c r="J14" s="8">
        <f t="shared" si="3"/>
        <v>1675.6499999999999</v>
      </c>
      <c r="K14" s="8">
        <f t="shared" si="1"/>
        <v>7651.65</v>
      </c>
      <c r="L14" s="143"/>
      <c r="M14" s="8">
        <f t="shared" si="2"/>
        <v>323099.85470000014</v>
      </c>
      <c r="N14" s="41"/>
      <c r="O14" s="1"/>
    </row>
    <row r="15" spans="1:15">
      <c r="A15" s="43">
        <v>12</v>
      </c>
      <c r="B15" s="193">
        <v>46277</v>
      </c>
      <c r="C15" s="22"/>
      <c r="D15" s="22"/>
      <c r="E15" s="256">
        <v>320</v>
      </c>
      <c r="F15" s="8">
        <v>99.6</v>
      </c>
      <c r="G15" s="8">
        <f t="shared" si="4"/>
        <v>31872</v>
      </c>
      <c r="H15" s="9"/>
      <c r="I15" s="9">
        <v>111.71</v>
      </c>
      <c r="J15" s="8">
        <f t="shared" si="3"/>
        <v>0</v>
      </c>
      <c r="K15" s="8">
        <f t="shared" si="1"/>
        <v>31872</v>
      </c>
      <c r="L15" s="143"/>
      <c r="M15" s="8">
        <f t="shared" si="2"/>
        <v>354971.85470000014</v>
      </c>
      <c r="N15" s="41"/>
      <c r="O15" s="1"/>
    </row>
    <row r="16" spans="1:15">
      <c r="A16" s="43">
        <v>13</v>
      </c>
      <c r="B16" s="193">
        <v>46278</v>
      </c>
      <c r="C16" s="22"/>
      <c r="D16" s="22"/>
      <c r="E16" s="256">
        <v>215</v>
      </c>
      <c r="F16" s="8">
        <v>99.6</v>
      </c>
      <c r="G16" s="8">
        <f t="shared" si="4"/>
        <v>21414</v>
      </c>
      <c r="H16" s="428">
        <v>10</v>
      </c>
      <c r="I16" s="9">
        <v>111.71</v>
      </c>
      <c r="J16" s="8">
        <f t="shared" si="3"/>
        <v>1117.0999999999999</v>
      </c>
      <c r="K16" s="8">
        <f t="shared" si="1"/>
        <v>22531.1</v>
      </c>
      <c r="L16" s="143"/>
      <c r="M16" s="8">
        <f t="shared" si="2"/>
        <v>377502.95470000012</v>
      </c>
      <c r="N16" s="41"/>
      <c r="O16" s="1"/>
    </row>
    <row r="17" spans="1:15">
      <c r="A17" s="43">
        <v>14</v>
      </c>
      <c r="B17" s="193">
        <v>46279</v>
      </c>
      <c r="C17" s="22"/>
      <c r="D17" s="22"/>
      <c r="E17" s="493">
        <v>30</v>
      </c>
      <c r="F17" s="464">
        <v>99.6</v>
      </c>
      <c r="G17" s="8">
        <f t="shared" si="4"/>
        <v>2988</v>
      </c>
      <c r="H17" s="493"/>
      <c r="I17" s="507"/>
      <c r="J17" s="8">
        <f t="shared" si="3"/>
        <v>0</v>
      </c>
      <c r="K17" s="8">
        <f t="shared" si="1"/>
        <v>2988</v>
      </c>
      <c r="L17" s="143"/>
      <c r="M17" s="8">
        <f t="shared" si="2"/>
        <v>380490.95470000012</v>
      </c>
      <c r="N17" s="41"/>
      <c r="O17" s="1"/>
    </row>
    <row r="18" spans="1:15">
      <c r="A18" s="43">
        <v>15</v>
      </c>
      <c r="B18" s="193">
        <v>46280</v>
      </c>
      <c r="C18" s="22"/>
      <c r="D18" s="22"/>
      <c r="E18" s="493">
        <v>275</v>
      </c>
      <c r="F18" s="464">
        <v>99.6</v>
      </c>
      <c r="G18" s="8">
        <f t="shared" si="4"/>
        <v>27390</v>
      </c>
      <c r="H18" s="493">
        <v>5</v>
      </c>
      <c r="I18" s="507">
        <v>111.71</v>
      </c>
      <c r="J18" s="8">
        <f t="shared" si="3"/>
        <v>558.54999999999995</v>
      </c>
      <c r="K18" s="8">
        <f t="shared" si="1"/>
        <v>27948.55</v>
      </c>
      <c r="L18" s="143"/>
      <c r="M18" s="8">
        <f t="shared" si="2"/>
        <v>408439.50470000011</v>
      </c>
      <c r="N18" s="41"/>
      <c r="O18" s="1"/>
    </row>
    <row r="19" spans="1:15">
      <c r="A19" s="43">
        <v>16</v>
      </c>
      <c r="B19" s="193">
        <v>46281</v>
      </c>
      <c r="C19" s="22"/>
      <c r="D19" s="22"/>
      <c r="E19" s="493">
        <v>180</v>
      </c>
      <c r="F19" s="464">
        <v>99.6</v>
      </c>
      <c r="G19" s="8">
        <f t="shared" si="4"/>
        <v>17928</v>
      </c>
      <c r="H19" s="493">
        <v>10</v>
      </c>
      <c r="I19" s="507">
        <v>111.71</v>
      </c>
      <c r="J19" s="8">
        <f t="shared" si="3"/>
        <v>1117.0999999999999</v>
      </c>
      <c r="K19" s="8">
        <f t="shared" si="1"/>
        <v>19045.099999999999</v>
      </c>
      <c r="L19" s="143">
        <v>150000</v>
      </c>
      <c r="M19" s="8">
        <f t="shared" si="2"/>
        <v>277484.60470000008</v>
      </c>
      <c r="N19" s="41"/>
      <c r="O19" s="1"/>
    </row>
    <row r="20" spans="1:15">
      <c r="A20" s="43">
        <v>17</v>
      </c>
      <c r="B20" s="193">
        <v>46282</v>
      </c>
      <c r="C20" s="22"/>
      <c r="D20" s="22"/>
      <c r="E20" s="256">
        <v>442</v>
      </c>
      <c r="F20" s="8">
        <v>99.6</v>
      </c>
      <c r="G20" s="8">
        <f t="shared" si="4"/>
        <v>44023.199999999997</v>
      </c>
      <c r="H20" s="9">
        <v>5</v>
      </c>
      <c r="I20" s="507">
        <v>111.71</v>
      </c>
      <c r="J20" s="8">
        <f t="shared" si="3"/>
        <v>558.54999999999995</v>
      </c>
      <c r="K20" s="8">
        <f t="shared" si="1"/>
        <v>44581.75</v>
      </c>
      <c r="L20" s="143"/>
      <c r="M20" s="8">
        <f t="shared" si="2"/>
        <v>322066.35470000008</v>
      </c>
      <c r="N20" s="41"/>
      <c r="O20" s="1"/>
    </row>
    <row r="21" spans="1:15">
      <c r="A21" s="43">
        <v>18</v>
      </c>
      <c r="B21" s="193">
        <v>46283</v>
      </c>
      <c r="C21" s="22"/>
      <c r="D21" s="22"/>
      <c r="E21" s="256">
        <v>308</v>
      </c>
      <c r="F21" s="8">
        <v>99.6</v>
      </c>
      <c r="G21" s="8">
        <f t="shared" si="4"/>
        <v>30676.799999999999</v>
      </c>
      <c r="H21" s="9">
        <v>15</v>
      </c>
      <c r="I21" s="507">
        <v>111.71</v>
      </c>
      <c r="J21" s="8">
        <f t="shared" si="3"/>
        <v>1675.6499999999999</v>
      </c>
      <c r="K21" s="8">
        <f t="shared" si="1"/>
        <v>32352.45</v>
      </c>
      <c r="L21" s="143"/>
      <c r="M21" s="8">
        <f t="shared" si="2"/>
        <v>354418.8047000001</v>
      </c>
      <c r="N21" s="41"/>
      <c r="O21" s="1"/>
    </row>
    <row r="22" spans="1:15">
      <c r="A22" s="43">
        <v>19</v>
      </c>
      <c r="B22" s="193">
        <v>46284</v>
      </c>
      <c r="C22" s="22"/>
      <c r="D22" s="22"/>
      <c r="E22" s="493">
        <v>300</v>
      </c>
      <c r="F22" s="464">
        <v>99.6</v>
      </c>
      <c r="G22" s="8">
        <f t="shared" si="4"/>
        <v>29880</v>
      </c>
      <c r="H22" s="9"/>
      <c r="I22" s="507"/>
      <c r="J22" s="8">
        <f t="shared" si="3"/>
        <v>0</v>
      </c>
      <c r="K22" s="8">
        <f t="shared" si="1"/>
        <v>29880</v>
      </c>
      <c r="L22" s="143"/>
      <c r="M22" s="8">
        <f t="shared" si="2"/>
        <v>384298.8047000001</v>
      </c>
      <c r="N22" s="41"/>
      <c r="O22" s="1"/>
    </row>
    <row r="23" spans="1:15">
      <c r="A23" s="43">
        <v>20</v>
      </c>
      <c r="B23" s="193">
        <v>46285</v>
      </c>
      <c r="C23" s="22"/>
      <c r="D23" s="22"/>
      <c r="E23" s="493">
        <v>205</v>
      </c>
      <c r="F23" s="464">
        <v>99.6</v>
      </c>
      <c r="G23" s="8">
        <f t="shared" si="4"/>
        <v>20418</v>
      </c>
      <c r="H23" s="9">
        <v>5</v>
      </c>
      <c r="I23" s="9">
        <v>111.71</v>
      </c>
      <c r="J23" s="8">
        <f t="shared" si="3"/>
        <v>558.54999999999995</v>
      </c>
      <c r="K23" s="8">
        <f t="shared" si="1"/>
        <v>20976.55</v>
      </c>
      <c r="L23" s="143"/>
      <c r="M23" s="8">
        <f t="shared" si="2"/>
        <v>405275.35470000008</v>
      </c>
      <c r="N23" s="41"/>
      <c r="O23" s="1"/>
    </row>
    <row r="24" spans="1:15">
      <c r="A24" s="43">
        <v>21</v>
      </c>
      <c r="B24" s="193">
        <v>46286</v>
      </c>
      <c r="C24" s="22"/>
      <c r="D24" s="22"/>
      <c r="E24" s="256">
        <v>160</v>
      </c>
      <c r="F24" s="8">
        <v>99.6</v>
      </c>
      <c r="G24" s="8">
        <f t="shared" si="4"/>
        <v>15936</v>
      </c>
      <c r="H24" s="9">
        <v>5</v>
      </c>
      <c r="I24" s="9">
        <v>111.71</v>
      </c>
      <c r="J24" s="8">
        <f t="shared" si="3"/>
        <v>558.54999999999995</v>
      </c>
      <c r="K24" s="8">
        <f t="shared" si="1"/>
        <v>16494.55</v>
      </c>
      <c r="L24" s="143"/>
      <c r="M24" s="8">
        <f t="shared" si="2"/>
        <v>421769.90470000007</v>
      </c>
      <c r="N24" s="41"/>
      <c r="O24" s="1"/>
    </row>
    <row r="25" spans="1:15">
      <c r="A25" s="43">
        <v>22</v>
      </c>
      <c r="B25" s="193">
        <v>46287</v>
      </c>
      <c r="C25" s="22"/>
      <c r="D25" s="22"/>
      <c r="E25" s="256">
        <v>510</v>
      </c>
      <c r="F25" s="8">
        <v>99.6</v>
      </c>
      <c r="G25" s="8">
        <f t="shared" si="4"/>
        <v>50796</v>
      </c>
      <c r="H25" s="9">
        <v>40</v>
      </c>
      <c r="I25" s="9">
        <v>111.71</v>
      </c>
      <c r="J25" s="8">
        <f t="shared" si="3"/>
        <v>4468.3999999999996</v>
      </c>
      <c r="K25" s="8">
        <f t="shared" si="1"/>
        <v>55264.4</v>
      </c>
      <c r="L25" s="143"/>
      <c r="M25" s="8">
        <f t="shared" si="2"/>
        <v>477034.3047000001</v>
      </c>
      <c r="N25" s="41"/>
      <c r="O25" s="1"/>
    </row>
    <row r="26" spans="1:15">
      <c r="A26" s="43">
        <v>23</v>
      </c>
      <c r="B26" s="193">
        <v>46288</v>
      </c>
      <c r="C26" s="22"/>
      <c r="D26" s="22"/>
      <c r="E26" s="256">
        <v>513.05999999999995</v>
      </c>
      <c r="F26" s="8">
        <v>99.6</v>
      </c>
      <c r="G26" s="8">
        <f t="shared" si="4"/>
        <v>51100.775999999991</v>
      </c>
      <c r="H26" s="9">
        <v>5</v>
      </c>
      <c r="I26" s="9">
        <v>111.71</v>
      </c>
      <c r="J26" s="8">
        <f t="shared" si="3"/>
        <v>558.54999999999995</v>
      </c>
      <c r="K26" s="8">
        <f t="shared" si="1"/>
        <v>51659.325999999994</v>
      </c>
      <c r="L26" s="143">
        <v>400000</v>
      </c>
      <c r="M26" s="8">
        <f t="shared" si="2"/>
        <v>128693.6307000001</v>
      </c>
      <c r="N26" s="41"/>
      <c r="O26" s="1"/>
    </row>
    <row r="27" spans="1:15">
      <c r="A27" s="43">
        <v>24</v>
      </c>
      <c r="B27" s="193">
        <v>46289</v>
      </c>
      <c r="C27" s="22"/>
      <c r="D27" s="22"/>
      <c r="E27" s="256">
        <v>294</v>
      </c>
      <c r="F27" s="8">
        <v>99.6</v>
      </c>
      <c r="G27" s="8">
        <f t="shared" si="4"/>
        <v>29282.399999999998</v>
      </c>
      <c r="H27" s="9">
        <v>20</v>
      </c>
      <c r="I27" s="9">
        <v>111.71</v>
      </c>
      <c r="J27" s="8">
        <f t="shared" si="3"/>
        <v>2234.1999999999998</v>
      </c>
      <c r="K27" s="8">
        <f>G27+J27</f>
        <v>31516.6</v>
      </c>
      <c r="L27" s="143"/>
      <c r="M27" s="8">
        <f>M26+K27-L27</f>
        <v>160210.2307000001</v>
      </c>
      <c r="N27" s="41"/>
      <c r="O27" s="1"/>
    </row>
    <row r="28" spans="1:15">
      <c r="A28" s="43">
        <v>25</v>
      </c>
      <c r="B28" s="193">
        <v>46290</v>
      </c>
      <c r="C28" s="22"/>
      <c r="D28" s="22"/>
      <c r="E28" s="493">
        <v>300</v>
      </c>
      <c r="F28" s="464">
        <v>99.6</v>
      </c>
      <c r="G28" s="8">
        <f t="shared" si="4"/>
        <v>29880</v>
      </c>
      <c r="H28" s="9"/>
      <c r="I28" s="9"/>
      <c r="J28" s="8">
        <f t="shared" si="3"/>
        <v>0</v>
      </c>
      <c r="K28" s="8">
        <f t="shared" si="1"/>
        <v>29880</v>
      </c>
      <c r="L28" s="143"/>
      <c r="M28" s="8">
        <f t="shared" si="2"/>
        <v>190090.2307000001</v>
      </c>
      <c r="N28" s="41"/>
      <c r="O28" s="1"/>
    </row>
    <row r="29" spans="1:15">
      <c r="A29" s="43">
        <v>26</v>
      </c>
      <c r="B29" s="193">
        <v>46291</v>
      </c>
      <c r="C29" s="22"/>
      <c r="D29" s="22"/>
      <c r="E29" s="569">
        <v>755</v>
      </c>
      <c r="F29" s="464">
        <v>99.6</v>
      </c>
      <c r="G29" s="8">
        <f t="shared" si="4"/>
        <v>75198</v>
      </c>
      <c r="H29" s="9">
        <v>10</v>
      </c>
      <c r="I29" s="9">
        <v>111.71</v>
      </c>
      <c r="J29" s="8">
        <f t="shared" si="3"/>
        <v>1117.0999999999999</v>
      </c>
      <c r="K29" s="8">
        <f t="shared" si="1"/>
        <v>76315.100000000006</v>
      </c>
      <c r="L29" s="143"/>
      <c r="M29" s="8">
        <f t="shared" si="2"/>
        <v>266405.33070000011</v>
      </c>
      <c r="N29" s="41"/>
      <c r="O29" s="1"/>
    </row>
    <row r="30" spans="1:15">
      <c r="A30" s="43">
        <v>27</v>
      </c>
      <c r="B30" s="193">
        <v>46292</v>
      </c>
      <c r="C30" s="22"/>
      <c r="D30" s="22"/>
      <c r="E30" s="493">
        <f>320+280</f>
        <v>600</v>
      </c>
      <c r="F30" s="570">
        <v>99.6</v>
      </c>
      <c r="G30" s="8">
        <f t="shared" si="4"/>
        <v>59760</v>
      </c>
      <c r="H30" s="9"/>
      <c r="I30" s="9"/>
      <c r="J30" s="8">
        <f t="shared" si="3"/>
        <v>0</v>
      </c>
      <c r="K30" s="8">
        <f t="shared" si="1"/>
        <v>59760</v>
      </c>
      <c r="L30" s="143"/>
      <c r="M30" s="8">
        <f t="shared" si="2"/>
        <v>326165.33070000011</v>
      </c>
      <c r="N30" s="41"/>
      <c r="O30" s="1"/>
    </row>
    <row r="31" spans="1:15">
      <c r="A31" s="43">
        <v>28</v>
      </c>
      <c r="B31" s="193">
        <v>46293</v>
      </c>
      <c r="C31" s="22"/>
      <c r="D31" s="22"/>
      <c r="E31" s="256">
        <v>369</v>
      </c>
      <c r="F31" s="8">
        <v>99.6</v>
      </c>
      <c r="G31" s="8">
        <f t="shared" si="4"/>
        <v>36752.400000000001</v>
      </c>
      <c r="H31" s="9">
        <v>15</v>
      </c>
      <c r="I31" s="9">
        <v>111.71</v>
      </c>
      <c r="J31" s="8">
        <f t="shared" si="3"/>
        <v>1675.6499999999999</v>
      </c>
      <c r="K31" s="8">
        <f t="shared" si="1"/>
        <v>38428.050000000003</v>
      </c>
      <c r="L31" s="143"/>
      <c r="M31" s="8">
        <f t="shared" si="2"/>
        <v>364593.3807000001</v>
      </c>
      <c r="N31" s="41"/>
      <c r="O31" s="1"/>
    </row>
    <row r="32" spans="1:15">
      <c r="A32" s="188">
        <v>29</v>
      </c>
      <c r="B32" s="193">
        <v>46294</v>
      </c>
      <c r="C32" s="22"/>
      <c r="D32" s="22"/>
      <c r="E32" s="256">
        <v>405</v>
      </c>
      <c r="F32" s="256">
        <v>99.6</v>
      </c>
      <c r="G32" s="8">
        <f t="shared" si="4"/>
        <v>40338</v>
      </c>
      <c r="H32" s="9">
        <v>8</v>
      </c>
      <c r="I32" s="9">
        <v>111.71</v>
      </c>
      <c r="J32" s="8">
        <f t="shared" si="3"/>
        <v>893.68</v>
      </c>
      <c r="K32" s="8">
        <f t="shared" si="1"/>
        <v>41231.68</v>
      </c>
      <c r="L32" s="143"/>
      <c r="M32" s="8">
        <f t="shared" si="2"/>
        <v>405825.06070000009</v>
      </c>
      <c r="N32" s="41"/>
      <c r="O32" s="1"/>
    </row>
    <row r="33" spans="1:15">
      <c r="A33" s="188">
        <v>30</v>
      </c>
      <c r="B33" s="193">
        <v>46295</v>
      </c>
      <c r="C33" s="22"/>
      <c r="D33" s="22"/>
      <c r="E33" s="256">
        <v>540.01</v>
      </c>
      <c r="F33" s="256">
        <v>99.6</v>
      </c>
      <c r="G33" s="8">
        <f t="shared" si="4"/>
        <v>53784.995999999999</v>
      </c>
      <c r="H33" s="9"/>
      <c r="I33" s="9"/>
      <c r="J33" s="8">
        <f t="shared" si="3"/>
        <v>0</v>
      </c>
      <c r="K33" s="8">
        <f t="shared" si="1"/>
        <v>53784.995999999999</v>
      </c>
      <c r="L33" s="143"/>
      <c r="M33" s="8">
        <f t="shared" si="2"/>
        <v>459610.05670000007</v>
      </c>
      <c r="N33" s="41"/>
      <c r="O33" s="1"/>
    </row>
    <row r="34" spans="1:15">
      <c r="A34" s="188">
        <v>31</v>
      </c>
      <c r="B34" s="193"/>
      <c r="C34" s="22"/>
      <c r="D34" s="22"/>
      <c r="E34" s="256"/>
      <c r="F34" s="256"/>
      <c r="G34" s="8">
        <f t="shared" si="4"/>
        <v>0</v>
      </c>
      <c r="H34" s="9"/>
      <c r="I34" s="9"/>
      <c r="J34" s="8">
        <f t="shared" si="3"/>
        <v>0</v>
      </c>
      <c r="K34" s="8">
        <f t="shared" si="1"/>
        <v>0</v>
      </c>
      <c r="L34" s="143"/>
      <c r="M34" s="8">
        <f t="shared" si="2"/>
        <v>459610.05670000007</v>
      </c>
      <c r="N34" s="41"/>
      <c r="O34" s="1"/>
    </row>
    <row r="35" spans="1:15">
      <c r="A35" s="59"/>
      <c r="B35" s="59"/>
      <c r="C35" s="59"/>
      <c r="D35" s="59"/>
      <c r="E35" s="60">
        <f>SUM(E4:E34)</f>
        <v>8814</v>
      </c>
      <c r="F35" s="60"/>
      <c r="G35" s="60">
        <f>SUM(G4:G34)</f>
        <v>877874.4</v>
      </c>
      <c r="H35" s="60">
        <f>SUM(H4:H34)</f>
        <v>208</v>
      </c>
      <c r="I35" s="60"/>
      <c r="J35" s="60">
        <f>SUM(J4:J34)</f>
        <v>23235.679999999997</v>
      </c>
      <c r="K35" s="60">
        <f>SUM(K4:K34)</f>
        <v>901110.08000000007</v>
      </c>
      <c r="L35" s="60">
        <f>SUM(L4:L34)</f>
        <v>850000</v>
      </c>
      <c r="M35" s="60"/>
      <c r="N35" s="60"/>
      <c r="O35" s="56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621"/>
      <c r="C37" s="621"/>
      <c r="D37" s="621"/>
      <c r="E37" s="621"/>
      <c r="F37" s="1"/>
      <c r="G37" s="1"/>
      <c r="H37" s="1"/>
      <c r="I37" s="622"/>
      <c r="J37" s="621"/>
      <c r="K37" s="621"/>
      <c r="L37" s="621"/>
      <c r="M37" s="621"/>
      <c r="N37" s="621"/>
      <c r="O37" s="4"/>
    </row>
    <row r="38" spans="1: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"/>
    </row>
    <row r="39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</sheetData>
  <mergeCells count="3">
    <mergeCell ref="A1:N1"/>
    <mergeCell ref="B37:E37"/>
    <mergeCell ref="I37:N37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U51"/>
  <sheetViews>
    <sheetView workbookViewId="0">
      <pane ySplit="3" topLeftCell="A20" activePane="bottomLeft" state="frozen"/>
      <selection pane="bottomLeft" activeCell="M36" sqref="M36"/>
    </sheetView>
  </sheetViews>
  <sheetFormatPr defaultRowHeight="15"/>
  <cols>
    <col min="2" max="2" width="10" bestFit="1" customWidth="1"/>
    <col min="4" max="4" width="12.85546875" customWidth="1"/>
    <col min="5" max="5" width="12.140625" customWidth="1"/>
    <col min="7" max="7" width="11.85546875" bestFit="1" customWidth="1"/>
    <col min="10" max="10" width="10.85546875" bestFit="1" customWidth="1"/>
    <col min="11" max="11" width="13.5703125" bestFit="1" customWidth="1"/>
    <col min="12" max="12" width="14.5703125" customWidth="1"/>
    <col min="13" max="13" width="11.85546875" bestFit="1" customWidth="1"/>
    <col min="16" max="16" width="11.85546875" bestFit="1" customWidth="1"/>
    <col min="17" max="17" width="14" customWidth="1"/>
  </cols>
  <sheetData>
    <row r="1" spans="1:15" ht="15.75">
      <c r="A1" s="594" t="s">
        <v>139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0"/>
    </row>
    <row r="2" spans="1:15" ht="21" customHeight="1">
      <c r="A2" s="61" t="s">
        <v>0</v>
      </c>
      <c r="B2" s="80" t="s">
        <v>168</v>
      </c>
      <c r="C2" s="80" t="s">
        <v>169</v>
      </c>
      <c r="D2" s="80" t="s">
        <v>170</v>
      </c>
      <c r="E2" s="80" t="s">
        <v>171</v>
      </c>
      <c r="F2" s="80" t="s">
        <v>172</v>
      </c>
      <c r="G2" s="80" t="s">
        <v>173</v>
      </c>
      <c r="H2" s="80" t="s">
        <v>174</v>
      </c>
      <c r="I2" s="80" t="s">
        <v>172</v>
      </c>
      <c r="J2" s="81" t="s">
        <v>173</v>
      </c>
      <c r="K2" s="120" t="s">
        <v>175</v>
      </c>
      <c r="L2" s="123" t="s">
        <v>176</v>
      </c>
      <c r="M2" s="455" t="s">
        <v>185</v>
      </c>
      <c r="N2" s="80" t="s">
        <v>178</v>
      </c>
      <c r="O2" s="56"/>
    </row>
    <row r="3" spans="1:15">
      <c r="A3" s="140"/>
      <c r="B3" s="141"/>
      <c r="C3" s="141"/>
      <c r="D3" s="128" t="s">
        <v>179</v>
      </c>
      <c r="E3" s="141"/>
      <c r="F3" s="141"/>
      <c r="G3" s="141"/>
      <c r="H3" s="141"/>
      <c r="I3" s="141"/>
      <c r="J3" s="451"/>
      <c r="K3" s="253">
        <v>144892.22890000002</v>
      </c>
      <c r="L3" s="14"/>
      <c r="M3" s="320">
        <v>144892.22890000002</v>
      </c>
      <c r="N3" s="453"/>
      <c r="O3" s="56"/>
    </row>
    <row r="4" spans="1:15">
      <c r="A4" s="43">
        <v>1</v>
      </c>
      <c r="B4" s="193">
        <v>46266</v>
      </c>
      <c r="C4" s="22"/>
      <c r="D4" s="22"/>
      <c r="E4" s="8">
        <v>36</v>
      </c>
      <c r="F4" s="8">
        <v>99.7</v>
      </c>
      <c r="G4" s="8">
        <f>E4*F4</f>
        <v>3589.2000000000003</v>
      </c>
      <c r="H4" s="9"/>
      <c r="I4" s="9"/>
      <c r="J4" s="452">
        <f>H4*I4</f>
        <v>0</v>
      </c>
      <c r="K4" s="8">
        <f>G4+J4</f>
        <v>3589.2000000000003</v>
      </c>
      <c r="L4" s="143">
        <v>140000</v>
      </c>
      <c r="M4" s="8">
        <f>M3+K4-L4</f>
        <v>8481.4289000000281</v>
      </c>
      <c r="N4" s="454"/>
      <c r="O4" s="1"/>
    </row>
    <row r="5" spans="1:15">
      <c r="A5" s="43">
        <v>2</v>
      </c>
      <c r="B5" s="193">
        <v>46267</v>
      </c>
      <c r="C5" s="22"/>
      <c r="D5" s="22"/>
      <c r="E5" s="8">
        <v>70</v>
      </c>
      <c r="F5" s="8">
        <v>99.7</v>
      </c>
      <c r="G5" s="8">
        <f t="shared" ref="G5:G35" si="0">E5*F5</f>
        <v>6979</v>
      </c>
      <c r="H5" s="9">
        <v>6</v>
      </c>
      <c r="I5" s="9">
        <v>111.82</v>
      </c>
      <c r="J5" s="452">
        <f t="shared" ref="J5:J35" si="1">H5*I5</f>
        <v>670.92</v>
      </c>
      <c r="K5" s="8">
        <f t="shared" ref="K5:K35" si="2">G5+J5</f>
        <v>7649.92</v>
      </c>
      <c r="L5" s="143"/>
      <c r="M5" s="8">
        <f t="shared" ref="M5:M15" si="3">M4+K5-L5</f>
        <v>16131.348900000028</v>
      </c>
      <c r="N5" s="454"/>
      <c r="O5" s="1"/>
    </row>
    <row r="6" spans="1:15">
      <c r="A6" s="43">
        <v>3</v>
      </c>
      <c r="B6" s="193">
        <v>46268</v>
      </c>
      <c r="C6" s="22"/>
      <c r="D6" s="22"/>
      <c r="E6" s="8">
        <v>125</v>
      </c>
      <c r="F6" s="8">
        <v>99.7</v>
      </c>
      <c r="G6" s="8">
        <f t="shared" si="0"/>
        <v>12462.5</v>
      </c>
      <c r="H6" s="9">
        <v>5</v>
      </c>
      <c r="I6" s="9">
        <v>111.82</v>
      </c>
      <c r="J6" s="452">
        <f t="shared" si="1"/>
        <v>559.09999999999991</v>
      </c>
      <c r="K6" s="8">
        <f t="shared" si="2"/>
        <v>13021.6</v>
      </c>
      <c r="L6" s="143"/>
      <c r="M6" s="8">
        <f t="shared" si="3"/>
        <v>29152.948900000029</v>
      </c>
      <c r="N6" s="454"/>
      <c r="O6" s="1"/>
    </row>
    <row r="7" spans="1:15">
      <c r="A7" s="43">
        <v>4</v>
      </c>
      <c r="B7" s="193">
        <v>46269</v>
      </c>
      <c r="C7" s="22"/>
      <c r="D7" s="22"/>
      <c r="E7" s="256">
        <v>70</v>
      </c>
      <c r="F7" s="8">
        <v>99.7</v>
      </c>
      <c r="G7" s="8">
        <f>E7*F7</f>
        <v>6979</v>
      </c>
      <c r="H7" s="9"/>
      <c r="I7" s="9"/>
      <c r="J7" s="452">
        <f t="shared" si="1"/>
        <v>0</v>
      </c>
      <c r="K7" s="8">
        <f t="shared" si="2"/>
        <v>6979</v>
      </c>
      <c r="L7" s="143"/>
      <c r="M7" s="8">
        <f t="shared" si="3"/>
        <v>36131.948900000032</v>
      </c>
      <c r="N7" s="454"/>
      <c r="O7" s="1"/>
    </row>
    <row r="8" spans="1:15">
      <c r="A8" s="43">
        <v>5</v>
      </c>
      <c r="B8" s="193">
        <v>46270</v>
      </c>
      <c r="C8" s="22"/>
      <c r="D8" s="22"/>
      <c r="E8" s="256"/>
      <c r="F8" s="8"/>
      <c r="G8" s="8">
        <f>E8*F8</f>
        <v>0</v>
      </c>
      <c r="H8" s="9"/>
      <c r="I8" s="9"/>
      <c r="J8" s="452">
        <f t="shared" si="1"/>
        <v>0</v>
      </c>
      <c r="K8" s="8">
        <f t="shared" si="2"/>
        <v>0</v>
      </c>
      <c r="L8" s="143"/>
      <c r="M8" s="8">
        <f t="shared" si="3"/>
        <v>36131.948900000032</v>
      </c>
      <c r="N8" s="454"/>
      <c r="O8" s="1"/>
    </row>
    <row r="9" spans="1:15">
      <c r="A9" s="43">
        <v>6</v>
      </c>
      <c r="B9" s="193">
        <v>46271</v>
      </c>
      <c r="C9" s="22"/>
      <c r="D9" s="22"/>
      <c r="E9" s="256">
        <v>30</v>
      </c>
      <c r="F9" s="256">
        <v>99.7</v>
      </c>
      <c r="G9" s="8">
        <f t="shared" si="0"/>
        <v>2991</v>
      </c>
      <c r="H9" s="9">
        <v>5</v>
      </c>
      <c r="I9" s="9">
        <v>111.82</v>
      </c>
      <c r="J9" s="452">
        <f t="shared" si="1"/>
        <v>559.09999999999991</v>
      </c>
      <c r="K9" s="8">
        <f t="shared" si="2"/>
        <v>3550.1</v>
      </c>
      <c r="L9" s="143"/>
      <c r="M9" s="8">
        <f t="shared" si="3"/>
        <v>39682.048900000031</v>
      </c>
      <c r="N9" s="454"/>
      <c r="O9" s="1"/>
    </row>
    <row r="10" spans="1:15">
      <c r="A10" s="43">
        <v>7</v>
      </c>
      <c r="B10" s="193">
        <v>46272</v>
      </c>
      <c r="C10" s="22"/>
      <c r="D10" s="22"/>
      <c r="E10" s="256">
        <v>55</v>
      </c>
      <c r="F10" s="256">
        <v>99.7</v>
      </c>
      <c r="G10" s="8">
        <f t="shared" si="0"/>
        <v>5483.5</v>
      </c>
      <c r="H10" s="9">
        <v>5</v>
      </c>
      <c r="I10" s="9">
        <v>111.82</v>
      </c>
      <c r="J10" s="452">
        <f t="shared" si="1"/>
        <v>559.09999999999991</v>
      </c>
      <c r="K10" s="8">
        <f t="shared" si="2"/>
        <v>6042.6</v>
      </c>
      <c r="L10" s="143"/>
      <c r="M10" s="8">
        <f t="shared" si="3"/>
        <v>45724.648900000029</v>
      </c>
      <c r="N10" s="454"/>
      <c r="O10" s="1"/>
    </row>
    <row r="11" spans="1:15">
      <c r="A11" s="43">
        <v>8</v>
      </c>
      <c r="B11" s="193">
        <v>46273</v>
      </c>
      <c r="C11" s="22"/>
      <c r="D11" s="22"/>
      <c r="E11" s="464"/>
      <c r="F11" s="464"/>
      <c r="G11" s="8">
        <f t="shared" si="0"/>
        <v>0</v>
      </c>
      <c r="H11" s="9">
        <v>3</v>
      </c>
      <c r="I11" s="9">
        <v>111.82</v>
      </c>
      <c r="J11" s="452">
        <f t="shared" si="1"/>
        <v>335.46</v>
      </c>
      <c r="K11" s="8">
        <f t="shared" si="2"/>
        <v>335.46</v>
      </c>
      <c r="L11" s="143"/>
      <c r="M11" s="8">
        <f t="shared" si="3"/>
        <v>46060.108900000028</v>
      </c>
      <c r="N11" s="454"/>
      <c r="O11" s="1"/>
    </row>
    <row r="12" spans="1:15">
      <c r="A12" s="43">
        <v>9</v>
      </c>
      <c r="B12" s="193">
        <v>46274</v>
      </c>
      <c r="C12" s="22"/>
      <c r="D12" s="22"/>
      <c r="E12" s="464">
        <v>50</v>
      </c>
      <c r="F12" s="464">
        <v>99.7</v>
      </c>
      <c r="G12" s="8">
        <f t="shared" si="0"/>
        <v>4985</v>
      </c>
      <c r="H12" s="9"/>
      <c r="I12" s="9"/>
      <c r="J12" s="8">
        <f t="shared" si="1"/>
        <v>0</v>
      </c>
      <c r="K12" s="16">
        <f t="shared" si="2"/>
        <v>4985</v>
      </c>
      <c r="L12" s="456"/>
      <c r="M12" s="16">
        <f t="shared" si="3"/>
        <v>51045.108900000028</v>
      </c>
      <c r="N12" s="41"/>
      <c r="O12" s="1" t="s">
        <v>230</v>
      </c>
    </row>
    <row r="13" spans="1:15">
      <c r="A13" s="43">
        <v>10</v>
      </c>
      <c r="B13" s="193">
        <v>46275</v>
      </c>
      <c r="C13" s="22"/>
      <c r="D13" s="22"/>
      <c r="E13" s="8"/>
      <c r="F13" s="8"/>
      <c r="G13" s="8">
        <f t="shared" si="0"/>
        <v>0</v>
      </c>
      <c r="H13" s="9">
        <v>21</v>
      </c>
      <c r="I13" s="9">
        <v>111.82</v>
      </c>
      <c r="J13" s="8">
        <f t="shared" si="1"/>
        <v>2348.2199999999998</v>
      </c>
      <c r="K13" s="8">
        <f t="shared" si="2"/>
        <v>2348.2199999999998</v>
      </c>
      <c r="L13" s="143"/>
      <c r="M13" s="8">
        <v>53411.720000000008</v>
      </c>
      <c r="N13" s="41"/>
      <c r="O13" s="1"/>
    </row>
    <row r="14" spans="1:15">
      <c r="A14" s="43">
        <v>11</v>
      </c>
      <c r="B14" s="193">
        <v>46276</v>
      </c>
      <c r="C14" s="22"/>
      <c r="D14" s="22"/>
      <c r="E14" s="8">
        <v>102.01</v>
      </c>
      <c r="F14" s="8">
        <v>99.7</v>
      </c>
      <c r="G14" s="8">
        <f t="shared" si="0"/>
        <v>10170.397000000001</v>
      </c>
      <c r="H14" s="9"/>
      <c r="I14" s="9"/>
      <c r="J14" s="8">
        <f t="shared" si="1"/>
        <v>0</v>
      </c>
      <c r="K14" s="8">
        <f t="shared" si="2"/>
        <v>10170.397000000001</v>
      </c>
      <c r="L14" s="143"/>
      <c r="M14" s="8">
        <f t="shared" si="3"/>
        <v>63582.117000000013</v>
      </c>
      <c r="N14" s="41"/>
      <c r="O14" s="1"/>
    </row>
    <row r="15" spans="1:15">
      <c r="A15" s="43">
        <v>12</v>
      </c>
      <c r="B15" s="193">
        <v>46277</v>
      </c>
      <c r="C15" s="22"/>
      <c r="D15" s="22"/>
      <c r="E15" s="8">
        <v>50</v>
      </c>
      <c r="F15" s="8">
        <v>99.7</v>
      </c>
      <c r="G15" s="8">
        <f t="shared" si="0"/>
        <v>4985</v>
      </c>
      <c r="H15" s="9"/>
      <c r="I15" s="9"/>
      <c r="J15" s="8">
        <f t="shared" si="1"/>
        <v>0</v>
      </c>
      <c r="K15" s="8">
        <f t="shared" si="2"/>
        <v>4985</v>
      </c>
      <c r="L15" s="143"/>
      <c r="M15" s="8">
        <f t="shared" si="3"/>
        <v>68567.117000000013</v>
      </c>
      <c r="N15" s="41"/>
      <c r="O15" s="1"/>
    </row>
    <row r="16" spans="1:15">
      <c r="A16" s="43">
        <v>13</v>
      </c>
      <c r="B16" s="193">
        <v>46278</v>
      </c>
      <c r="C16" s="22"/>
      <c r="D16" s="22"/>
      <c r="E16" s="8">
        <v>50</v>
      </c>
      <c r="F16" s="8">
        <v>99.7</v>
      </c>
      <c r="G16" s="8">
        <f t="shared" si="0"/>
        <v>4985</v>
      </c>
      <c r="H16" s="9"/>
      <c r="I16" s="9"/>
      <c r="J16" s="8">
        <f t="shared" si="1"/>
        <v>0</v>
      </c>
      <c r="K16" s="8">
        <f t="shared" si="2"/>
        <v>4985</v>
      </c>
      <c r="L16" s="143"/>
      <c r="M16" s="8">
        <f>M15+K16-L16</f>
        <v>73552.117000000013</v>
      </c>
      <c r="N16" s="41"/>
      <c r="O16" s="1"/>
    </row>
    <row r="17" spans="1:21">
      <c r="A17" s="43">
        <v>14</v>
      </c>
      <c r="B17" s="193">
        <v>46279</v>
      </c>
      <c r="C17" s="22"/>
      <c r="D17" s="22"/>
      <c r="E17" s="8">
        <v>29</v>
      </c>
      <c r="F17" s="8">
        <v>99.7</v>
      </c>
      <c r="G17" s="8">
        <f t="shared" si="0"/>
        <v>2891.3</v>
      </c>
      <c r="H17" s="9"/>
      <c r="I17" s="9"/>
      <c r="J17" s="8">
        <f t="shared" si="1"/>
        <v>0</v>
      </c>
      <c r="K17" s="8">
        <f t="shared" si="2"/>
        <v>2891.3</v>
      </c>
      <c r="L17" s="143"/>
      <c r="M17" s="8">
        <f>M16+K17-L17</f>
        <v>76443.417000000016</v>
      </c>
      <c r="N17" s="41"/>
      <c r="O17" s="1"/>
    </row>
    <row r="18" spans="1:21">
      <c r="A18" s="43">
        <v>15</v>
      </c>
      <c r="B18" s="193">
        <v>46280</v>
      </c>
      <c r="C18" s="22"/>
      <c r="D18" s="22"/>
      <c r="E18" s="8"/>
      <c r="F18" s="8"/>
      <c r="G18" s="8">
        <f t="shared" si="0"/>
        <v>0</v>
      </c>
      <c r="H18" s="9"/>
      <c r="I18" s="9"/>
      <c r="J18" s="8">
        <f t="shared" si="1"/>
        <v>0</v>
      </c>
      <c r="K18" s="8">
        <f t="shared" si="2"/>
        <v>0</v>
      </c>
      <c r="L18" s="143"/>
      <c r="M18" s="8">
        <f t="shared" ref="M18:M36" si="4">M17+K18-L18</f>
        <v>76443.417000000016</v>
      </c>
      <c r="N18" s="41"/>
      <c r="O18" s="1"/>
    </row>
    <row r="19" spans="1:21">
      <c r="A19" s="43">
        <v>16</v>
      </c>
      <c r="B19" s="193">
        <v>46281</v>
      </c>
      <c r="C19" s="22"/>
      <c r="D19" s="22"/>
      <c r="E19" s="8"/>
      <c r="F19" s="8"/>
      <c r="G19" s="8">
        <f t="shared" si="0"/>
        <v>0</v>
      </c>
      <c r="H19" s="9"/>
      <c r="I19" s="9"/>
      <c r="J19" s="8">
        <f t="shared" si="1"/>
        <v>0</v>
      </c>
      <c r="K19" s="8">
        <f t="shared" si="2"/>
        <v>0</v>
      </c>
      <c r="L19" s="143"/>
      <c r="M19" s="8">
        <f t="shared" si="4"/>
        <v>76443.417000000016</v>
      </c>
      <c r="N19" s="41"/>
      <c r="O19" s="1"/>
    </row>
    <row r="20" spans="1:21">
      <c r="A20" s="43">
        <v>17</v>
      </c>
      <c r="B20" s="193">
        <v>46282</v>
      </c>
      <c r="C20" s="22"/>
      <c r="D20" s="22"/>
      <c r="E20" s="8"/>
      <c r="F20" s="8"/>
      <c r="G20" s="8">
        <f t="shared" si="0"/>
        <v>0</v>
      </c>
      <c r="H20" s="9"/>
      <c r="I20" s="9"/>
      <c r="J20" s="8">
        <f t="shared" si="1"/>
        <v>0</v>
      </c>
      <c r="K20" s="8">
        <f t="shared" si="2"/>
        <v>0</v>
      </c>
      <c r="L20" s="143"/>
      <c r="M20" s="8">
        <f t="shared" si="4"/>
        <v>76443.417000000016</v>
      </c>
      <c r="N20" s="41"/>
      <c r="O20" s="1"/>
    </row>
    <row r="21" spans="1:21">
      <c r="A21" s="43">
        <v>18</v>
      </c>
      <c r="B21" s="193">
        <v>46283</v>
      </c>
      <c r="C21" s="22"/>
      <c r="D21" s="22"/>
      <c r="E21" s="8">
        <v>60</v>
      </c>
      <c r="F21" s="8">
        <v>99.7</v>
      </c>
      <c r="G21" s="8">
        <f t="shared" si="0"/>
        <v>5982</v>
      </c>
      <c r="H21" s="464">
        <v>5</v>
      </c>
      <c r="I21" s="9">
        <v>111.82</v>
      </c>
      <c r="J21" s="8">
        <f t="shared" si="1"/>
        <v>559.09999999999991</v>
      </c>
      <c r="K21" s="8">
        <f t="shared" si="2"/>
        <v>6541.1</v>
      </c>
      <c r="L21" s="143"/>
      <c r="M21" s="8">
        <f t="shared" si="4"/>
        <v>82984.517000000022</v>
      </c>
      <c r="N21" s="41"/>
      <c r="O21" s="1"/>
    </row>
    <row r="22" spans="1:21">
      <c r="A22" s="43">
        <v>19</v>
      </c>
      <c r="B22" s="193">
        <v>46284</v>
      </c>
      <c r="C22" s="22"/>
      <c r="D22" s="22"/>
      <c r="E22" s="8">
        <v>32</v>
      </c>
      <c r="F22" s="8">
        <v>99.7</v>
      </c>
      <c r="G22" s="8">
        <f t="shared" si="0"/>
        <v>3190.4</v>
      </c>
      <c r="H22" s="464">
        <v>5</v>
      </c>
      <c r="I22" s="9">
        <v>111.82</v>
      </c>
      <c r="J22" s="8">
        <f t="shared" si="1"/>
        <v>559.09999999999991</v>
      </c>
      <c r="K22" s="8">
        <f>G22+J22</f>
        <v>3749.5</v>
      </c>
      <c r="L22" s="143"/>
      <c r="M22" s="8">
        <f t="shared" si="4"/>
        <v>86734.017000000022</v>
      </c>
      <c r="N22" s="41"/>
      <c r="O22" s="1"/>
      <c r="U22">
        <f>70+20+E2690</f>
        <v>90</v>
      </c>
    </row>
    <row r="23" spans="1:21">
      <c r="A23" s="43">
        <v>20</v>
      </c>
      <c r="B23" s="193">
        <v>46285</v>
      </c>
      <c r="C23" s="22"/>
      <c r="D23" s="22"/>
      <c r="E23" s="8"/>
      <c r="F23" s="8"/>
      <c r="G23" s="8">
        <f t="shared" si="0"/>
        <v>0</v>
      </c>
      <c r="H23" s="9"/>
      <c r="I23" s="9"/>
      <c r="J23" s="8">
        <f t="shared" si="1"/>
        <v>0</v>
      </c>
      <c r="K23" s="8">
        <f t="shared" si="2"/>
        <v>0</v>
      </c>
      <c r="L23" s="143"/>
      <c r="M23" s="8">
        <f t="shared" si="4"/>
        <v>86734.017000000022</v>
      </c>
      <c r="N23" s="41"/>
      <c r="O23" s="1"/>
    </row>
    <row r="24" spans="1:21">
      <c r="A24" s="43">
        <v>21</v>
      </c>
      <c r="B24" s="193">
        <v>46286</v>
      </c>
      <c r="C24" s="22"/>
      <c r="D24" s="22"/>
      <c r="E24" s="8"/>
      <c r="F24" s="8"/>
      <c r="G24" s="8">
        <f t="shared" si="0"/>
        <v>0</v>
      </c>
      <c r="H24" s="9">
        <v>6</v>
      </c>
      <c r="I24" s="9">
        <v>111.82</v>
      </c>
      <c r="J24" s="8">
        <f t="shared" si="1"/>
        <v>670.92</v>
      </c>
      <c r="K24" s="8">
        <f t="shared" si="2"/>
        <v>670.92</v>
      </c>
      <c r="L24" s="143"/>
      <c r="M24" s="8">
        <f t="shared" si="4"/>
        <v>87404.93700000002</v>
      </c>
      <c r="N24" s="41"/>
      <c r="O24" s="1"/>
    </row>
    <row r="25" spans="1:21">
      <c r="A25" s="43">
        <v>22</v>
      </c>
      <c r="B25" s="193">
        <v>46287</v>
      </c>
      <c r="C25" s="22"/>
      <c r="D25" s="22"/>
      <c r="E25" s="8">
        <v>65</v>
      </c>
      <c r="F25" s="8">
        <v>99.7</v>
      </c>
      <c r="G25" s="8">
        <f t="shared" si="0"/>
        <v>6480.5</v>
      </c>
      <c r="H25" s="9">
        <v>5</v>
      </c>
      <c r="I25" s="9">
        <v>111.82</v>
      </c>
      <c r="J25" s="8">
        <f>H25*I25</f>
        <v>559.09999999999991</v>
      </c>
      <c r="K25" s="8">
        <f>G25+J25</f>
        <v>7039.6</v>
      </c>
      <c r="L25" s="143"/>
      <c r="M25" s="8">
        <f t="shared" si="4"/>
        <v>94444.537000000026</v>
      </c>
      <c r="N25" s="41"/>
      <c r="O25" s="1"/>
    </row>
    <row r="26" spans="1:21">
      <c r="A26" s="43">
        <v>23</v>
      </c>
      <c r="B26" s="193">
        <v>46288</v>
      </c>
      <c r="C26" s="22"/>
      <c r="D26" s="22"/>
      <c r="E26" s="8">
        <v>30</v>
      </c>
      <c r="F26" s="8">
        <v>99.7</v>
      </c>
      <c r="G26" s="8">
        <f t="shared" si="0"/>
        <v>2991</v>
      </c>
      <c r="H26" s="9">
        <v>11</v>
      </c>
      <c r="I26" s="9">
        <v>111.82</v>
      </c>
      <c r="J26" s="8">
        <f t="shared" si="1"/>
        <v>1230.02</v>
      </c>
      <c r="K26" s="8">
        <f>G26+J26</f>
        <v>4221.0200000000004</v>
      </c>
      <c r="L26" s="143"/>
      <c r="M26" s="8">
        <f t="shared" si="4"/>
        <v>98665.55700000003</v>
      </c>
      <c r="N26" s="41"/>
      <c r="O26" s="1"/>
    </row>
    <row r="27" spans="1:21">
      <c r="A27" s="43">
        <v>24</v>
      </c>
      <c r="B27" s="193">
        <v>46289</v>
      </c>
      <c r="C27" s="22"/>
      <c r="D27" s="22"/>
      <c r="E27" s="464">
        <v>182.08</v>
      </c>
      <c r="F27" s="464">
        <v>99.7</v>
      </c>
      <c r="G27" s="8">
        <f t="shared" si="0"/>
        <v>18153.376</v>
      </c>
      <c r="H27" s="9"/>
      <c r="I27" s="9"/>
      <c r="J27" s="8">
        <f t="shared" si="1"/>
        <v>0</v>
      </c>
      <c r="K27" s="8">
        <f>G27+J27</f>
        <v>18153.376</v>
      </c>
      <c r="L27" s="143"/>
      <c r="M27" s="8">
        <f t="shared" si="4"/>
        <v>116818.93300000003</v>
      </c>
      <c r="N27" s="41"/>
      <c r="O27" s="1"/>
    </row>
    <row r="28" spans="1:21">
      <c r="A28" s="43">
        <v>25</v>
      </c>
      <c r="B28" s="193">
        <v>46290</v>
      </c>
      <c r="C28" s="22"/>
      <c r="D28" s="22"/>
      <c r="E28" s="8">
        <v>30</v>
      </c>
      <c r="F28" s="8">
        <v>99.7</v>
      </c>
      <c r="G28" s="8">
        <f t="shared" si="0"/>
        <v>2991</v>
      </c>
      <c r="H28" s="9"/>
      <c r="I28" s="9"/>
      <c r="J28" s="8">
        <f t="shared" si="1"/>
        <v>0</v>
      </c>
      <c r="K28" s="8">
        <f t="shared" si="2"/>
        <v>2991</v>
      </c>
      <c r="L28" s="143"/>
      <c r="M28" s="8">
        <f t="shared" si="4"/>
        <v>119809.93300000003</v>
      </c>
      <c r="N28" s="41"/>
      <c r="O28" s="1"/>
    </row>
    <row r="29" spans="1:21">
      <c r="A29" s="43">
        <v>26</v>
      </c>
      <c r="B29" s="193">
        <v>46291</v>
      </c>
      <c r="C29" s="22"/>
      <c r="D29" s="22"/>
      <c r="E29" s="8">
        <v>39.68</v>
      </c>
      <c r="F29" s="8">
        <v>99.7</v>
      </c>
      <c r="G29" s="8">
        <f t="shared" si="0"/>
        <v>3956.096</v>
      </c>
      <c r="H29" s="9"/>
      <c r="I29" s="9"/>
      <c r="J29" s="8">
        <f t="shared" si="1"/>
        <v>0</v>
      </c>
      <c r="K29" s="8">
        <f t="shared" si="2"/>
        <v>3956.096</v>
      </c>
      <c r="L29" s="143"/>
      <c r="M29" s="8">
        <f t="shared" si="4"/>
        <v>123766.02900000004</v>
      </c>
      <c r="N29" s="41"/>
      <c r="O29" s="1"/>
    </row>
    <row r="30" spans="1:21">
      <c r="A30" s="43">
        <v>27</v>
      </c>
      <c r="B30" s="193">
        <v>46292</v>
      </c>
      <c r="C30" s="22"/>
      <c r="D30" s="22"/>
      <c r="E30" s="8">
        <v>70</v>
      </c>
      <c r="F30" s="8">
        <v>99.7</v>
      </c>
      <c r="G30" s="8">
        <f t="shared" si="0"/>
        <v>6979</v>
      </c>
      <c r="H30" s="9">
        <v>4</v>
      </c>
      <c r="I30" s="9">
        <v>111.82</v>
      </c>
      <c r="J30" s="8">
        <f t="shared" si="1"/>
        <v>447.28</v>
      </c>
      <c r="K30" s="8">
        <f t="shared" si="2"/>
        <v>7426.28</v>
      </c>
      <c r="L30" s="143"/>
      <c r="M30" s="8">
        <f t="shared" si="4"/>
        <v>131192.30900000004</v>
      </c>
      <c r="N30" s="41"/>
      <c r="O30" s="1"/>
    </row>
    <row r="31" spans="1:21">
      <c r="A31" s="43">
        <v>28</v>
      </c>
      <c r="B31" s="193">
        <v>46293</v>
      </c>
      <c r="C31" s="22"/>
      <c r="D31" s="22"/>
      <c r="E31" s="8">
        <v>98</v>
      </c>
      <c r="F31" s="8">
        <v>99.7</v>
      </c>
      <c r="G31" s="8">
        <f t="shared" si="0"/>
        <v>9770.6</v>
      </c>
      <c r="H31" s="9"/>
      <c r="I31" s="9"/>
      <c r="J31" s="8">
        <f>H31*I31</f>
        <v>0</v>
      </c>
      <c r="K31" s="8">
        <f t="shared" si="2"/>
        <v>9770.6</v>
      </c>
      <c r="L31" s="143"/>
      <c r="M31" s="8">
        <f t="shared" si="4"/>
        <v>140962.90900000004</v>
      </c>
      <c r="N31" s="41"/>
      <c r="O31" s="1"/>
    </row>
    <row r="32" spans="1:21">
      <c r="A32" s="43">
        <v>29</v>
      </c>
      <c r="B32" s="193">
        <v>46294</v>
      </c>
      <c r="C32" s="22"/>
      <c r="D32" s="22"/>
      <c r="E32" s="8">
        <v>168.19</v>
      </c>
      <c r="F32" s="8">
        <v>99.7</v>
      </c>
      <c r="G32" s="8">
        <f t="shared" si="0"/>
        <v>16768.543000000001</v>
      </c>
      <c r="H32" s="9"/>
      <c r="I32" s="9"/>
      <c r="J32" s="8">
        <f t="shared" si="1"/>
        <v>0</v>
      </c>
      <c r="K32" s="8">
        <f t="shared" si="2"/>
        <v>16768.543000000001</v>
      </c>
      <c r="L32" s="143"/>
      <c r="M32" s="8">
        <f t="shared" si="4"/>
        <v>157731.45200000005</v>
      </c>
      <c r="N32" s="41"/>
      <c r="O32" s="1"/>
    </row>
    <row r="33" spans="1:16">
      <c r="A33" s="43">
        <v>30</v>
      </c>
      <c r="B33" s="193">
        <v>46295</v>
      </c>
      <c r="C33" s="22"/>
      <c r="D33" s="22"/>
      <c r="E33" s="8">
        <v>30</v>
      </c>
      <c r="F33" s="8">
        <v>99.7</v>
      </c>
      <c r="G33" s="8">
        <f t="shared" si="0"/>
        <v>2991</v>
      </c>
      <c r="H33" s="9">
        <v>6</v>
      </c>
      <c r="I33" s="9">
        <v>111.82</v>
      </c>
      <c r="J33" s="8">
        <f t="shared" si="1"/>
        <v>670.92</v>
      </c>
      <c r="K33" s="8">
        <f t="shared" si="2"/>
        <v>3661.92</v>
      </c>
      <c r="L33" s="143"/>
      <c r="M33" s="8">
        <f t="shared" si="4"/>
        <v>161393.37200000006</v>
      </c>
      <c r="N33" s="41"/>
      <c r="O33" s="1"/>
    </row>
    <row r="34" spans="1:16">
      <c r="A34" s="43">
        <v>31</v>
      </c>
      <c r="B34" s="193"/>
      <c r="C34" s="22"/>
      <c r="D34" s="22"/>
      <c r="E34" s="8"/>
      <c r="F34" s="8"/>
      <c r="G34" s="8">
        <f t="shared" si="0"/>
        <v>0</v>
      </c>
      <c r="H34" s="9"/>
      <c r="I34" s="9"/>
      <c r="J34" s="8">
        <f t="shared" si="1"/>
        <v>0</v>
      </c>
      <c r="K34" s="8">
        <f t="shared" si="2"/>
        <v>0</v>
      </c>
      <c r="L34" s="143">
        <v>0</v>
      </c>
      <c r="M34" s="8">
        <f t="shared" si="4"/>
        <v>161393.37200000006</v>
      </c>
      <c r="N34" s="41"/>
      <c r="O34" s="1"/>
    </row>
    <row r="35" spans="1:16">
      <c r="A35" s="43">
        <v>32</v>
      </c>
      <c r="B35" s="193"/>
      <c r="C35" s="22"/>
      <c r="D35" s="22"/>
      <c r="E35" s="8"/>
      <c r="F35" s="8"/>
      <c r="G35" s="8">
        <f t="shared" si="0"/>
        <v>0</v>
      </c>
      <c r="H35" s="9"/>
      <c r="I35" s="9"/>
      <c r="J35" s="8">
        <f t="shared" si="1"/>
        <v>0</v>
      </c>
      <c r="K35" s="8">
        <f t="shared" si="2"/>
        <v>0</v>
      </c>
      <c r="L35" s="143">
        <v>0</v>
      </c>
      <c r="M35" s="8">
        <f t="shared" si="4"/>
        <v>161393.37200000006</v>
      </c>
      <c r="N35" s="41"/>
      <c r="O35" s="1"/>
    </row>
    <row r="36" spans="1:16">
      <c r="A36" s="188"/>
      <c r="B36" s="193"/>
      <c r="C36" s="22"/>
      <c r="D36" s="22"/>
      <c r="E36" s="8"/>
      <c r="F36" s="8"/>
      <c r="G36" s="8"/>
      <c r="H36" s="9">
        <v>0</v>
      </c>
      <c r="I36" s="9">
        <v>0</v>
      </c>
      <c r="J36" s="8"/>
      <c r="K36" s="8"/>
      <c r="L36" s="143"/>
      <c r="M36" s="8">
        <f t="shared" si="4"/>
        <v>161393.37200000006</v>
      </c>
      <c r="N36" s="41"/>
      <c r="O36" s="1"/>
      <c r="P36" s="167"/>
    </row>
    <row r="37" spans="1:16">
      <c r="A37" s="59"/>
      <c r="B37" s="59"/>
      <c r="C37" s="59"/>
      <c r="D37" s="59"/>
      <c r="E37" s="60">
        <f>SUM(E4:E35)</f>
        <v>1471.96</v>
      </c>
      <c r="F37" s="60"/>
      <c r="G37" s="60">
        <f>SUM(G4:G35)</f>
        <v>146754.41200000001</v>
      </c>
      <c r="H37" s="60">
        <f>SUM(H4:H35)</f>
        <v>87</v>
      </c>
      <c r="I37" s="60"/>
      <c r="J37" s="60">
        <f>SUM(J4:J35)</f>
        <v>9728.340000000002</v>
      </c>
      <c r="K37" s="60">
        <f>SUM(K4:K35)</f>
        <v>156482.75200000004</v>
      </c>
      <c r="L37" s="60">
        <f>SUM(L4:L35)</f>
        <v>140000</v>
      </c>
      <c r="M37" s="60"/>
      <c r="N37" s="60"/>
      <c r="O37" s="56"/>
    </row>
    <row r="38" spans="1:16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6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6">
      <c r="A40" s="1"/>
      <c r="B40" s="621"/>
      <c r="C40" s="621"/>
      <c r="D40" s="621"/>
      <c r="E40" s="621"/>
      <c r="F40" s="1"/>
      <c r="G40" s="1"/>
      <c r="H40" s="1"/>
      <c r="I40" s="622">
        <f>K25+L25</f>
        <v>7039.6</v>
      </c>
      <c r="J40" s="621"/>
      <c r="K40" s="621"/>
      <c r="L40" s="621"/>
      <c r="M40" s="621"/>
      <c r="N40" s="621"/>
      <c r="O40" s="4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P45"/>
  <sheetViews>
    <sheetView workbookViewId="0">
      <pane ySplit="3" topLeftCell="A31" activePane="bottomLeft" state="frozen"/>
      <selection pane="bottomLeft" activeCell="L40" sqref="L40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8.7109375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590" t="s">
        <v>141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6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6">
      <c r="A3" s="601" t="s">
        <v>179</v>
      </c>
      <c r="B3" s="601"/>
      <c r="C3" s="601"/>
      <c r="D3" s="601"/>
      <c r="E3" s="601"/>
      <c r="F3" s="601"/>
      <c r="G3" s="601"/>
      <c r="H3" s="601"/>
      <c r="I3" s="601"/>
      <c r="J3" s="601"/>
      <c r="K3" s="92"/>
      <c r="L3" s="14">
        <v>16176.189299999973</v>
      </c>
      <c r="M3" s="14">
        <v>16176.189299999973</v>
      </c>
      <c r="N3" s="225"/>
      <c r="O3" s="56"/>
    </row>
    <row r="4" spans="1:16">
      <c r="A4" s="43">
        <v>1</v>
      </c>
      <c r="B4" s="310">
        <v>46266</v>
      </c>
      <c r="C4" s="64"/>
      <c r="D4" s="152"/>
      <c r="E4" s="62">
        <v>50</v>
      </c>
      <c r="F4" s="62">
        <v>99.64</v>
      </c>
      <c r="G4" s="8">
        <f>E4*F4</f>
        <v>4982</v>
      </c>
      <c r="H4" s="62">
        <v>10</v>
      </c>
      <c r="I4" s="63">
        <v>111.77</v>
      </c>
      <c r="J4" s="8">
        <f>H4*I4</f>
        <v>1117.7</v>
      </c>
      <c r="K4" s="8">
        <f>G4+J4</f>
        <v>6099.7</v>
      </c>
      <c r="L4" s="65"/>
      <c r="M4" s="65">
        <f t="shared" ref="M4:M21" si="0">M3+K4-L4</f>
        <v>22275.889299999973</v>
      </c>
      <c r="N4" s="441"/>
    </row>
    <row r="5" spans="1:16">
      <c r="A5" s="43">
        <v>2</v>
      </c>
      <c r="B5" s="310">
        <v>46267</v>
      </c>
      <c r="C5" s="64"/>
      <c r="D5" s="64"/>
      <c r="E5" s="62">
        <v>76.75</v>
      </c>
      <c r="F5" s="62">
        <v>99.64</v>
      </c>
      <c r="G5" s="8">
        <f t="shared" ref="G5:G35" si="1">E5*F5</f>
        <v>7647.37</v>
      </c>
      <c r="H5" s="62"/>
      <c r="I5" s="63"/>
      <c r="J5" s="8">
        <f t="shared" ref="J5:J35" si="2">H5*I5</f>
        <v>0</v>
      </c>
      <c r="K5" s="8">
        <f t="shared" ref="K5:K35" si="3">G5+J5</f>
        <v>7647.37</v>
      </c>
      <c r="L5" s="65"/>
      <c r="M5" s="65">
        <f t="shared" si="0"/>
        <v>29923.259299999972</v>
      </c>
      <c r="N5" s="442"/>
    </row>
    <row r="6" spans="1:16">
      <c r="A6" s="43">
        <v>3</v>
      </c>
      <c r="B6" s="310">
        <v>46268</v>
      </c>
      <c r="C6" s="64"/>
      <c r="D6" s="64"/>
      <c r="E6" s="62"/>
      <c r="F6" s="62"/>
      <c r="G6" s="8">
        <f t="shared" si="1"/>
        <v>0</v>
      </c>
      <c r="H6" s="62">
        <v>5</v>
      </c>
      <c r="I6" s="63">
        <v>111.77</v>
      </c>
      <c r="J6" s="8">
        <f t="shared" si="2"/>
        <v>558.85</v>
      </c>
      <c r="K6" s="8">
        <f t="shared" si="3"/>
        <v>558.85</v>
      </c>
      <c r="L6" s="65"/>
      <c r="M6" s="65">
        <f t="shared" si="0"/>
        <v>30482.109299999971</v>
      </c>
      <c r="N6" s="443"/>
    </row>
    <row r="7" spans="1:16">
      <c r="A7" s="43">
        <v>4</v>
      </c>
      <c r="B7" s="310">
        <v>46269</v>
      </c>
      <c r="C7" s="64"/>
      <c r="D7" s="68"/>
      <c r="E7" s="62">
        <v>90</v>
      </c>
      <c r="F7" s="62">
        <v>99.64</v>
      </c>
      <c r="G7" s="8">
        <f t="shared" si="1"/>
        <v>8967.6</v>
      </c>
      <c r="H7" s="62"/>
      <c r="I7" s="63"/>
      <c r="J7" s="8">
        <f t="shared" si="2"/>
        <v>0</v>
      </c>
      <c r="K7" s="8">
        <f t="shared" si="3"/>
        <v>8967.6</v>
      </c>
      <c r="L7" s="65"/>
      <c r="M7" s="65">
        <f t="shared" si="0"/>
        <v>39449.709299999973</v>
      </c>
      <c r="N7" s="444"/>
    </row>
    <row r="8" spans="1:16">
      <c r="A8" s="43">
        <v>5</v>
      </c>
      <c r="B8" s="310">
        <v>46270</v>
      </c>
      <c r="C8" s="64"/>
      <c r="D8" s="68"/>
      <c r="E8" s="62"/>
      <c r="F8" s="62"/>
      <c r="G8" s="8">
        <f t="shared" si="1"/>
        <v>0</v>
      </c>
      <c r="H8" s="62">
        <v>6</v>
      </c>
      <c r="I8" s="63">
        <v>111.77</v>
      </c>
      <c r="J8" s="8">
        <f t="shared" si="2"/>
        <v>670.62</v>
      </c>
      <c r="K8" s="8">
        <f t="shared" si="3"/>
        <v>670.62</v>
      </c>
      <c r="L8" s="65"/>
      <c r="M8" s="65">
        <f t="shared" si="0"/>
        <v>40120.329299999976</v>
      </c>
      <c r="N8" s="444"/>
      <c r="O8" s="235">
        <v>8497892194</v>
      </c>
      <c r="P8" s="236" t="s">
        <v>231</v>
      </c>
    </row>
    <row r="9" spans="1:16">
      <c r="A9" s="188">
        <v>6</v>
      </c>
      <c r="B9" s="310">
        <v>46271</v>
      </c>
      <c r="C9" s="445"/>
      <c r="D9" s="446"/>
      <c r="E9" s="62">
        <v>20</v>
      </c>
      <c r="F9" s="62">
        <v>99.64</v>
      </c>
      <c r="G9" s="136">
        <f t="shared" si="1"/>
        <v>1992.8</v>
      </c>
      <c r="H9" s="146"/>
      <c r="I9" s="63"/>
      <c r="J9" s="17">
        <f t="shared" si="2"/>
        <v>0</v>
      </c>
      <c r="K9" s="17">
        <f t="shared" si="3"/>
        <v>1992.8</v>
      </c>
      <c r="L9" s="137"/>
      <c r="M9" s="65">
        <f t="shared" si="0"/>
        <v>42113.129299999979</v>
      </c>
      <c r="N9" s="38"/>
      <c r="O9" s="66"/>
    </row>
    <row r="10" spans="1:16">
      <c r="A10" s="43">
        <v>7</v>
      </c>
      <c r="B10" s="310">
        <v>46272</v>
      </c>
      <c r="C10" s="67"/>
      <c r="D10" s="68"/>
      <c r="E10" s="146">
        <v>70</v>
      </c>
      <c r="F10" s="146">
        <v>99.64</v>
      </c>
      <c r="G10" s="136">
        <f t="shared" si="1"/>
        <v>6974.8</v>
      </c>
      <c r="H10" s="146"/>
      <c r="I10" s="147"/>
      <c r="J10" s="17">
        <f t="shared" si="2"/>
        <v>0</v>
      </c>
      <c r="K10" s="17">
        <f t="shared" si="3"/>
        <v>6974.8</v>
      </c>
      <c r="L10" s="137"/>
      <c r="M10" s="65">
        <f t="shared" si="0"/>
        <v>49087.929299999982</v>
      </c>
      <c r="N10" s="38"/>
      <c r="O10" s="66"/>
    </row>
    <row r="11" spans="1:16">
      <c r="A11" s="43">
        <v>8</v>
      </c>
      <c r="B11" s="310">
        <v>46273</v>
      </c>
      <c r="C11" s="67"/>
      <c r="D11" s="68"/>
      <c r="E11" s="464">
        <v>20</v>
      </c>
      <c r="F11" s="464">
        <v>99.64</v>
      </c>
      <c r="G11" s="136">
        <f t="shared" si="1"/>
        <v>1992.8</v>
      </c>
      <c r="H11" s="146"/>
      <c r="I11" s="147"/>
      <c r="J11" s="17">
        <f t="shared" si="2"/>
        <v>0</v>
      </c>
      <c r="K11" s="17">
        <f t="shared" si="3"/>
        <v>1992.8</v>
      </c>
      <c r="L11" s="137"/>
      <c r="M11" s="65">
        <f t="shared" si="0"/>
        <v>51080.729299999985</v>
      </c>
      <c r="N11" s="38"/>
      <c r="O11" s="66"/>
    </row>
    <row r="12" spans="1:16">
      <c r="A12" s="43">
        <v>9</v>
      </c>
      <c r="B12" s="310">
        <v>46274</v>
      </c>
      <c r="C12" s="67"/>
      <c r="D12" s="68"/>
      <c r="E12" s="464">
        <v>90</v>
      </c>
      <c r="F12" s="464">
        <v>99.64</v>
      </c>
      <c r="G12" s="136">
        <f t="shared" si="1"/>
        <v>8967.6</v>
      </c>
      <c r="H12" s="146">
        <v>5</v>
      </c>
      <c r="I12" s="147">
        <v>111.77</v>
      </c>
      <c r="J12" s="17">
        <f t="shared" si="2"/>
        <v>558.85</v>
      </c>
      <c r="K12" s="17">
        <f t="shared" si="3"/>
        <v>9526.4500000000007</v>
      </c>
      <c r="L12" s="137"/>
      <c r="M12" s="65">
        <f t="shared" si="0"/>
        <v>60607.179299999989</v>
      </c>
      <c r="N12" s="38"/>
      <c r="O12" s="66"/>
    </row>
    <row r="13" spans="1:16">
      <c r="A13" s="43">
        <v>10</v>
      </c>
      <c r="B13" s="310">
        <v>46275</v>
      </c>
      <c r="C13" s="67"/>
      <c r="D13" s="68"/>
      <c r="E13" s="146">
        <v>20</v>
      </c>
      <c r="F13" s="464">
        <v>99.64</v>
      </c>
      <c r="G13" s="136">
        <f t="shared" si="1"/>
        <v>1992.8</v>
      </c>
      <c r="H13" s="146"/>
      <c r="I13" s="147"/>
      <c r="J13" s="17">
        <f t="shared" si="2"/>
        <v>0</v>
      </c>
      <c r="K13" s="17">
        <f t="shared" si="3"/>
        <v>1992.8</v>
      </c>
      <c r="L13" s="137"/>
      <c r="M13" s="65">
        <f t="shared" si="0"/>
        <v>62599.979299999992</v>
      </c>
      <c r="N13" s="38"/>
      <c r="O13" s="66"/>
    </row>
    <row r="14" spans="1:16">
      <c r="A14" s="43">
        <v>11</v>
      </c>
      <c r="B14" s="310">
        <v>46276</v>
      </c>
      <c r="C14" s="67"/>
      <c r="D14" s="68"/>
      <c r="E14" s="146">
        <v>40</v>
      </c>
      <c r="F14" s="146">
        <v>99.64</v>
      </c>
      <c r="G14" s="136">
        <f t="shared" si="1"/>
        <v>3985.6</v>
      </c>
      <c r="H14" s="146"/>
      <c r="I14" s="147"/>
      <c r="J14" s="17">
        <f t="shared" si="2"/>
        <v>0</v>
      </c>
      <c r="K14" s="17">
        <f t="shared" si="3"/>
        <v>3985.6</v>
      </c>
      <c r="L14" s="137"/>
      <c r="M14" s="65">
        <f t="shared" si="0"/>
        <v>66585.579299999998</v>
      </c>
      <c r="N14" s="38"/>
      <c r="O14" s="66"/>
    </row>
    <row r="15" spans="1:16">
      <c r="A15" s="43">
        <v>12</v>
      </c>
      <c r="B15" s="310">
        <v>46277</v>
      </c>
      <c r="C15" s="67"/>
      <c r="D15" s="68"/>
      <c r="E15" s="146">
        <v>40</v>
      </c>
      <c r="F15" s="146">
        <v>99.64</v>
      </c>
      <c r="G15" s="136">
        <f t="shared" si="1"/>
        <v>3985.6</v>
      </c>
      <c r="H15" s="146">
        <v>12</v>
      </c>
      <c r="I15" s="147">
        <v>111.77</v>
      </c>
      <c r="J15" s="17">
        <f t="shared" si="2"/>
        <v>1341.24</v>
      </c>
      <c r="K15" s="17">
        <f t="shared" si="3"/>
        <v>5326.84</v>
      </c>
      <c r="L15" s="137"/>
      <c r="M15" s="11">
        <f t="shared" si="0"/>
        <v>71912.419299999994</v>
      </c>
      <c r="N15" s="38"/>
      <c r="O15" s="66"/>
    </row>
    <row r="16" spans="1:16">
      <c r="A16" s="43">
        <v>13</v>
      </c>
      <c r="B16" s="310">
        <v>46278</v>
      </c>
      <c r="C16" s="67"/>
      <c r="D16" s="68"/>
      <c r="E16" s="146">
        <v>50</v>
      </c>
      <c r="F16" s="147">
        <v>99.64</v>
      </c>
      <c r="G16" s="136">
        <f t="shared" si="1"/>
        <v>4982</v>
      </c>
      <c r="H16" s="146"/>
      <c r="I16" s="147"/>
      <c r="J16" s="17">
        <f t="shared" si="2"/>
        <v>0</v>
      </c>
      <c r="K16" s="17">
        <f t="shared" si="3"/>
        <v>4982</v>
      </c>
      <c r="L16" s="137"/>
      <c r="M16" s="234">
        <f t="shared" si="0"/>
        <v>76894.419299999994</v>
      </c>
      <c r="N16" s="38"/>
      <c r="O16" s="66"/>
    </row>
    <row r="17" spans="1:15">
      <c r="A17" s="43">
        <v>14</v>
      </c>
      <c r="B17" s="310">
        <v>46279</v>
      </c>
      <c r="C17" s="67"/>
      <c r="D17" s="68"/>
      <c r="E17" s="146"/>
      <c r="F17" s="146"/>
      <c r="G17" s="136">
        <f t="shared" si="1"/>
        <v>0</v>
      </c>
      <c r="H17" s="146"/>
      <c r="I17" s="147"/>
      <c r="J17" s="17">
        <f t="shared" si="2"/>
        <v>0</v>
      </c>
      <c r="K17" s="17">
        <f t="shared" si="3"/>
        <v>0</v>
      </c>
      <c r="L17" s="137"/>
      <c r="M17" s="11">
        <f t="shared" si="0"/>
        <v>76894.419299999994</v>
      </c>
      <c r="N17" s="38"/>
      <c r="O17" s="66"/>
    </row>
    <row r="18" spans="1:15">
      <c r="A18" s="43">
        <v>15</v>
      </c>
      <c r="B18" s="310">
        <v>46280</v>
      </c>
      <c r="C18" s="67"/>
      <c r="D18" s="68"/>
      <c r="E18" s="146">
        <v>40</v>
      </c>
      <c r="F18" s="146">
        <v>99.64</v>
      </c>
      <c r="G18" s="136">
        <f t="shared" si="1"/>
        <v>3985.6</v>
      </c>
      <c r="H18" s="146">
        <v>10</v>
      </c>
      <c r="I18" s="147">
        <v>111.77</v>
      </c>
      <c r="J18" s="17">
        <f t="shared" si="2"/>
        <v>1117.7</v>
      </c>
      <c r="K18" s="17">
        <f t="shared" si="3"/>
        <v>5103.3</v>
      </c>
      <c r="L18" s="137"/>
      <c r="M18" s="11">
        <f t="shared" si="0"/>
        <v>81997.719299999997</v>
      </c>
      <c r="N18" s="38"/>
      <c r="O18" s="66"/>
    </row>
    <row r="19" spans="1:15">
      <c r="A19" s="43">
        <v>16</v>
      </c>
      <c r="B19" s="310">
        <v>46281</v>
      </c>
      <c r="C19" s="182"/>
      <c r="D19" s="183"/>
      <c r="E19" s="146">
        <v>70</v>
      </c>
      <c r="F19" s="146">
        <v>99.64</v>
      </c>
      <c r="G19" s="136">
        <f t="shared" si="1"/>
        <v>6974.8</v>
      </c>
      <c r="H19" s="146"/>
      <c r="I19" s="147"/>
      <c r="J19" s="17">
        <f t="shared" si="2"/>
        <v>0</v>
      </c>
      <c r="K19" s="17">
        <f t="shared" si="3"/>
        <v>6974.8</v>
      </c>
      <c r="L19" s="137"/>
      <c r="M19" s="12">
        <f t="shared" si="0"/>
        <v>88972.5193</v>
      </c>
      <c r="N19" s="184"/>
      <c r="O19" s="66"/>
    </row>
    <row r="20" spans="1:15">
      <c r="A20" s="43">
        <v>17</v>
      </c>
      <c r="B20" s="310">
        <v>46282</v>
      </c>
      <c r="C20" s="64"/>
      <c r="D20" s="68"/>
      <c r="E20" s="146"/>
      <c r="F20" s="146"/>
      <c r="G20" s="136">
        <f t="shared" si="1"/>
        <v>0</v>
      </c>
      <c r="H20" s="146"/>
      <c r="I20" s="147"/>
      <c r="J20" s="17">
        <f t="shared" si="2"/>
        <v>0</v>
      </c>
      <c r="K20" s="17">
        <f t="shared" si="3"/>
        <v>0</v>
      </c>
      <c r="L20" s="137"/>
      <c r="M20" s="12">
        <f t="shared" si="0"/>
        <v>88972.5193</v>
      </c>
      <c r="N20" s="38"/>
      <c r="O20" s="66"/>
    </row>
    <row r="21" spans="1:15">
      <c r="A21" s="43">
        <v>18</v>
      </c>
      <c r="B21" s="310">
        <v>46283</v>
      </c>
      <c r="C21" s="64"/>
      <c r="D21" s="68"/>
      <c r="E21" s="464">
        <v>20</v>
      </c>
      <c r="F21" s="146">
        <v>99.64</v>
      </c>
      <c r="G21" s="136">
        <f t="shared" si="1"/>
        <v>1992.8</v>
      </c>
      <c r="H21" s="146">
        <v>5</v>
      </c>
      <c r="I21" s="147">
        <v>111.77</v>
      </c>
      <c r="J21" s="17">
        <f t="shared" si="2"/>
        <v>558.85</v>
      </c>
      <c r="K21" s="17">
        <f t="shared" si="3"/>
        <v>2551.65</v>
      </c>
      <c r="L21" s="137"/>
      <c r="M21" s="12">
        <f t="shared" si="0"/>
        <v>91524.169299999994</v>
      </c>
      <c r="N21" s="38"/>
      <c r="O21" s="66"/>
    </row>
    <row r="22" spans="1:15">
      <c r="A22" s="43">
        <v>19</v>
      </c>
      <c r="B22" s="310">
        <v>46284</v>
      </c>
      <c r="C22" s="64"/>
      <c r="D22" s="68"/>
      <c r="E22" s="464">
        <v>20</v>
      </c>
      <c r="F22" s="464">
        <v>99.64</v>
      </c>
      <c r="G22" s="136">
        <f t="shared" si="1"/>
        <v>1992.8</v>
      </c>
      <c r="H22" s="146">
        <v>6</v>
      </c>
      <c r="I22" s="147">
        <v>111.77</v>
      </c>
      <c r="J22" s="17">
        <f t="shared" si="2"/>
        <v>670.62</v>
      </c>
      <c r="K22" s="17">
        <f t="shared" si="3"/>
        <v>2663.42</v>
      </c>
      <c r="L22" s="137"/>
      <c r="M22" s="12">
        <f t="shared" ref="M22:M31" si="4">M21+K22-L22</f>
        <v>94187.589299999992</v>
      </c>
      <c r="N22" s="38"/>
      <c r="O22" s="66"/>
    </row>
    <row r="23" spans="1:15">
      <c r="A23" s="43"/>
      <c r="B23" s="310">
        <v>46285</v>
      </c>
      <c r="C23" s="64"/>
      <c r="D23" s="68"/>
      <c r="E23" s="146"/>
      <c r="F23" s="146"/>
      <c r="G23" s="136">
        <f t="shared" si="1"/>
        <v>0</v>
      </c>
      <c r="H23" s="146"/>
      <c r="I23" s="147"/>
      <c r="J23" s="17">
        <f t="shared" si="2"/>
        <v>0</v>
      </c>
      <c r="K23" s="17">
        <f t="shared" si="3"/>
        <v>0</v>
      </c>
      <c r="L23" s="137"/>
      <c r="M23" s="12">
        <f t="shared" si="4"/>
        <v>94187.589299999992</v>
      </c>
      <c r="N23" s="38"/>
      <c r="O23" s="66"/>
    </row>
    <row r="24" spans="1:15">
      <c r="A24" s="43">
        <v>20</v>
      </c>
      <c r="B24" s="310">
        <v>46286</v>
      </c>
      <c r="C24" s="64"/>
      <c r="D24" s="68"/>
      <c r="E24" s="464">
        <v>20</v>
      </c>
      <c r="F24" s="464">
        <v>99.64</v>
      </c>
      <c r="G24" s="136">
        <f t="shared" si="1"/>
        <v>1992.8</v>
      </c>
      <c r="H24" s="146">
        <v>10</v>
      </c>
      <c r="I24" s="147">
        <v>111.77</v>
      </c>
      <c r="J24" s="17">
        <f t="shared" si="2"/>
        <v>1117.7</v>
      </c>
      <c r="K24" s="17">
        <f t="shared" si="3"/>
        <v>3110.5</v>
      </c>
      <c r="L24" s="137"/>
      <c r="M24" s="12">
        <f t="shared" si="4"/>
        <v>97298.089299999992</v>
      </c>
      <c r="N24" s="38"/>
      <c r="O24" s="66"/>
    </row>
    <row r="25" spans="1:15">
      <c r="A25" s="43">
        <v>21</v>
      </c>
      <c r="B25" s="310">
        <v>46287</v>
      </c>
      <c r="C25" s="64"/>
      <c r="D25" s="68"/>
      <c r="E25" s="146">
        <v>60</v>
      </c>
      <c r="F25" s="146">
        <v>99.64</v>
      </c>
      <c r="G25" s="136">
        <f t="shared" si="1"/>
        <v>5978.4</v>
      </c>
      <c r="H25" s="146"/>
      <c r="I25" s="147"/>
      <c r="J25" s="17">
        <f t="shared" si="2"/>
        <v>0</v>
      </c>
      <c r="K25" s="17">
        <f t="shared" si="3"/>
        <v>5978.4</v>
      </c>
      <c r="L25" s="137"/>
      <c r="M25" s="12">
        <f t="shared" si="4"/>
        <v>103276.48929999999</v>
      </c>
      <c r="N25" s="38"/>
      <c r="O25" s="66"/>
    </row>
    <row r="26" spans="1:15">
      <c r="A26" s="43">
        <v>22</v>
      </c>
      <c r="B26" s="310">
        <v>46288</v>
      </c>
      <c r="C26" s="64"/>
      <c r="D26" s="68"/>
      <c r="E26" s="146">
        <v>40</v>
      </c>
      <c r="F26" s="146">
        <v>99.64</v>
      </c>
      <c r="G26" s="136">
        <f t="shared" si="1"/>
        <v>3985.6</v>
      </c>
      <c r="H26" s="146"/>
      <c r="I26" s="147"/>
      <c r="J26" s="17">
        <f t="shared" si="2"/>
        <v>0</v>
      </c>
      <c r="K26" s="17">
        <f t="shared" si="3"/>
        <v>3985.6</v>
      </c>
      <c r="L26" s="137"/>
      <c r="M26" s="12">
        <f t="shared" si="4"/>
        <v>107262.08929999999</v>
      </c>
      <c r="N26" s="38"/>
      <c r="O26" s="66"/>
    </row>
    <row r="27" spans="1:15">
      <c r="A27" s="43">
        <v>23</v>
      </c>
      <c r="B27" s="310">
        <v>46289</v>
      </c>
      <c r="C27" s="64"/>
      <c r="D27" s="68"/>
      <c r="E27" s="146">
        <v>30</v>
      </c>
      <c r="F27" s="146">
        <v>99.64</v>
      </c>
      <c r="G27" s="136">
        <f t="shared" si="1"/>
        <v>2989.2</v>
      </c>
      <c r="H27" s="146">
        <v>6</v>
      </c>
      <c r="I27" s="147">
        <v>111.77</v>
      </c>
      <c r="J27" s="17">
        <f t="shared" si="2"/>
        <v>670.62</v>
      </c>
      <c r="K27" s="521">
        <f t="shared" si="3"/>
        <v>3659.8199999999997</v>
      </c>
      <c r="L27" s="450"/>
      <c r="M27" s="12">
        <f t="shared" si="4"/>
        <v>110921.9093</v>
      </c>
      <c r="N27" s="184"/>
      <c r="O27" s="66"/>
    </row>
    <row r="28" spans="1:15">
      <c r="A28" s="43">
        <v>24</v>
      </c>
      <c r="B28" s="310">
        <v>46290</v>
      </c>
      <c r="C28" s="64"/>
      <c r="D28" s="68"/>
      <c r="E28" s="146">
        <v>20</v>
      </c>
      <c r="F28" s="146">
        <v>99.64</v>
      </c>
      <c r="G28" s="136">
        <f t="shared" si="1"/>
        <v>1992.8</v>
      </c>
      <c r="H28" s="146"/>
      <c r="I28" s="147"/>
      <c r="J28" s="447">
        <f t="shared" si="2"/>
        <v>0</v>
      </c>
      <c r="K28" s="8">
        <f t="shared" si="3"/>
        <v>1992.8</v>
      </c>
      <c r="L28" s="65"/>
      <c r="M28" s="65">
        <f t="shared" si="4"/>
        <v>112914.7093</v>
      </c>
      <c r="N28" s="38"/>
      <c r="O28" s="66"/>
    </row>
    <row r="29" spans="1:15">
      <c r="A29" s="210">
        <v>25</v>
      </c>
      <c r="B29" s="310">
        <v>46291</v>
      </c>
      <c r="C29" s="187"/>
      <c r="D29" s="183"/>
      <c r="E29" s="464">
        <v>40</v>
      </c>
      <c r="F29" s="464">
        <v>99.64</v>
      </c>
      <c r="G29" s="136">
        <f t="shared" si="1"/>
        <v>3985.6</v>
      </c>
      <c r="H29" s="146">
        <v>5</v>
      </c>
      <c r="I29" s="147">
        <v>111.77</v>
      </c>
      <c r="J29" s="447">
        <f t="shared" si="2"/>
        <v>558.85</v>
      </c>
      <c r="K29" s="8">
        <f t="shared" si="3"/>
        <v>4544.45</v>
      </c>
      <c r="L29" s="65"/>
      <c r="M29" s="65">
        <f t="shared" si="4"/>
        <v>117459.1593</v>
      </c>
      <c r="N29" s="38"/>
      <c r="O29" s="66"/>
    </row>
    <row r="30" spans="1:15">
      <c r="A30" s="43">
        <v>26</v>
      </c>
      <c r="B30" s="310">
        <v>46292</v>
      </c>
      <c r="C30" s="64"/>
      <c r="D30" s="68"/>
      <c r="E30" s="464">
        <v>25</v>
      </c>
      <c r="F30" s="464">
        <v>99.64</v>
      </c>
      <c r="G30" s="136">
        <f t="shared" si="1"/>
        <v>2491</v>
      </c>
      <c r="H30" s="146"/>
      <c r="I30" s="147"/>
      <c r="J30" s="447">
        <f t="shared" si="2"/>
        <v>0</v>
      </c>
      <c r="K30" s="8">
        <f t="shared" si="3"/>
        <v>2491</v>
      </c>
      <c r="L30" s="65"/>
      <c r="M30" s="65">
        <f t="shared" si="4"/>
        <v>119950.1593</v>
      </c>
      <c r="N30" s="38"/>
      <c r="O30" s="66"/>
    </row>
    <row r="31" spans="1:15">
      <c r="A31" s="43">
        <v>27</v>
      </c>
      <c r="B31" s="310">
        <v>46293</v>
      </c>
      <c r="C31" s="64"/>
      <c r="D31" s="68"/>
      <c r="E31" s="146"/>
      <c r="F31" s="146"/>
      <c r="G31" s="136">
        <f t="shared" si="1"/>
        <v>0</v>
      </c>
      <c r="H31" s="146"/>
      <c r="I31" s="147"/>
      <c r="J31" s="447">
        <f t="shared" si="2"/>
        <v>0</v>
      </c>
      <c r="K31" s="8">
        <f t="shared" si="3"/>
        <v>0</v>
      </c>
      <c r="L31" s="65"/>
      <c r="M31" s="65">
        <f t="shared" si="4"/>
        <v>119950.1593</v>
      </c>
      <c r="N31" s="38"/>
      <c r="O31" s="66"/>
    </row>
    <row r="32" spans="1:15">
      <c r="A32" s="43">
        <v>28</v>
      </c>
      <c r="B32" s="310">
        <v>46294</v>
      </c>
      <c r="C32" s="64"/>
      <c r="D32" s="68"/>
      <c r="E32" s="464">
        <v>50</v>
      </c>
      <c r="F32" s="464">
        <v>99.64</v>
      </c>
      <c r="G32" s="136">
        <f t="shared" si="1"/>
        <v>4982</v>
      </c>
      <c r="H32" s="146"/>
      <c r="I32" s="147"/>
      <c r="J32" s="447">
        <f t="shared" si="2"/>
        <v>0</v>
      </c>
      <c r="K32" s="8">
        <f t="shared" si="3"/>
        <v>4982</v>
      </c>
      <c r="L32" s="65"/>
      <c r="M32" s="65">
        <f>M31+K32-L32</f>
        <v>124932.1593</v>
      </c>
      <c r="N32" s="38"/>
      <c r="O32" s="66"/>
    </row>
    <row r="33" spans="1:15">
      <c r="A33" s="43">
        <v>29</v>
      </c>
      <c r="B33" s="310">
        <v>46295</v>
      </c>
      <c r="C33" s="64"/>
      <c r="D33" s="68"/>
      <c r="E33" s="464">
        <v>20</v>
      </c>
      <c r="F33" s="464">
        <v>99.64</v>
      </c>
      <c r="G33" s="136">
        <f t="shared" si="1"/>
        <v>1992.8</v>
      </c>
      <c r="H33" s="146"/>
      <c r="I33" s="147"/>
      <c r="J33" s="447">
        <f t="shared" si="2"/>
        <v>0</v>
      </c>
      <c r="K33" s="8">
        <f t="shared" si="3"/>
        <v>1992.8</v>
      </c>
      <c r="L33" s="65"/>
      <c r="M33" s="65">
        <f>M32+K33-L33</f>
        <v>126924.9593</v>
      </c>
      <c r="N33" s="38"/>
      <c r="O33" s="66"/>
    </row>
    <row r="34" spans="1:15">
      <c r="A34" s="43">
        <v>30</v>
      </c>
      <c r="B34" s="310"/>
      <c r="C34" s="64"/>
      <c r="D34" s="68"/>
      <c r="E34" s="146"/>
      <c r="F34" s="146"/>
      <c r="G34" s="136">
        <f t="shared" si="1"/>
        <v>0</v>
      </c>
      <c r="H34" s="146"/>
      <c r="I34" s="147"/>
      <c r="J34" s="447">
        <f t="shared" si="2"/>
        <v>0</v>
      </c>
      <c r="K34" s="8">
        <f t="shared" si="3"/>
        <v>0</v>
      </c>
      <c r="L34" s="65"/>
      <c r="M34" s="65">
        <f>M33+K34-L34</f>
        <v>126924.9593</v>
      </c>
      <c r="N34" s="38"/>
      <c r="O34" s="66"/>
    </row>
    <row r="35" spans="1:15">
      <c r="A35" s="43">
        <v>31</v>
      </c>
      <c r="B35" s="310"/>
      <c r="C35" s="64"/>
      <c r="D35" s="68"/>
      <c r="E35" s="146"/>
      <c r="F35" s="146"/>
      <c r="G35" s="136">
        <f t="shared" si="1"/>
        <v>0</v>
      </c>
      <c r="H35" s="146"/>
      <c r="I35" s="147"/>
      <c r="J35" s="447">
        <f t="shared" si="2"/>
        <v>0</v>
      </c>
      <c r="K35" s="8">
        <f t="shared" si="3"/>
        <v>0</v>
      </c>
      <c r="L35" s="65"/>
      <c r="M35" s="65">
        <f>M34+K35-L35</f>
        <v>126924.9593</v>
      </c>
      <c r="N35" s="38"/>
      <c r="O35" s="66"/>
    </row>
    <row r="36" spans="1:15">
      <c r="A36" s="153"/>
      <c r="B36" s="153"/>
      <c r="C36" s="153"/>
      <c r="D36" s="153"/>
      <c r="E36" s="154">
        <f>SUM(E4:E35)</f>
        <v>1021.75</v>
      </c>
      <c r="F36" s="154"/>
      <c r="G36" s="154">
        <f>SUM(G4:G35)</f>
        <v>101807.17000000001</v>
      </c>
      <c r="H36" s="154">
        <f>SUM(H4:H35)</f>
        <v>80</v>
      </c>
      <c r="I36" s="154"/>
      <c r="J36" s="154">
        <f>SUM(J4:J35)</f>
        <v>8941.6</v>
      </c>
      <c r="K36" s="448">
        <f>SUM(K4:K35)</f>
        <v>110748.77</v>
      </c>
      <c r="L36" s="154">
        <f>SUM(L4:L35)</f>
        <v>0</v>
      </c>
      <c r="M36" s="154"/>
      <c r="N36" s="449"/>
      <c r="O36" s="56"/>
    </row>
    <row r="37" spans="1:15">
      <c r="A37" s="69"/>
      <c r="B37" s="70"/>
      <c r="C37" s="69"/>
      <c r="D37" s="69"/>
      <c r="E37" s="71"/>
      <c r="F37" s="71"/>
      <c r="G37" s="71"/>
      <c r="H37" s="71"/>
      <c r="I37" s="71"/>
      <c r="J37" s="72"/>
      <c r="K37" s="72"/>
      <c r="L37" s="72"/>
      <c r="M37" s="72"/>
      <c r="N37" s="71"/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O42" s="66"/>
    </row>
    <row r="43" spans="1:15">
      <c r="A43" s="66"/>
      <c r="B43" s="56"/>
      <c r="C43" s="66"/>
      <c r="D43" s="66"/>
      <c r="E43" s="66"/>
      <c r="F43" s="66"/>
      <c r="G43" s="73"/>
      <c r="H43" s="66"/>
      <c r="I43" s="66"/>
      <c r="J43" s="56"/>
      <c r="K43" s="56"/>
      <c r="L43" s="56"/>
      <c r="M43" s="56"/>
      <c r="N43" s="66"/>
      <c r="O43" s="71"/>
    </row>
    <row r="44" spans="1:15">
      <c r="A44" s="66"/>
      <c r="B44" s="599"/>
      <c r="C44" s="599"/>
      <c r="D44" s="599"/>
      <c r="E44" s="599"/>
      <c r="F44" s="66"/>
      <c r="G44" s="66"/>
      <c r="H44" s="66"/>
      <c r="I44" s="599"/>
      <c r="J44" s="599"/>
      <c r="K44" s="599"/>
      <c r="L44" s="599"/>
      <c r="M44" s="599"/>
      <c r="N44" s="599"/>
      <c r="O44" s="71"/>
    </row>
    <row r="45" spans="1:15">
      <c r="A45" s="66"/>
      <c r="B45" s="56"/>
      <c r="C45" s="66"/>
      <c r="D45" s="66"/>
      <c r="E45" s="66"/>
      <c r="F45" s="66"/>
      <c r="G45" s="66"/>
      <c r="H45" s="66"/>
      <c r="I45" s="66"/>
      <c r="J45" s="56"/>
      <c r="K45" s="56"/>
      <c r="L45" s="56"/>
      <c r="M45" s="56"/>
      <c r="N45" s="66"/>
      <c r="O45" s="71"/>
    </row>
  </sheetData>
  <protectedRanges>
    <protectedRange sqref="E32" name="Range1"/>
    <protectedRange sqref="E29:E30" name="Range1_1"/>
    <protectedRange sqref="E33" name="Range1_2"/>
  </protectedRanges>
  <mergeCells count="4">
    <mergeCell ref="A1:N1"/>
    <mergeCell ref="B44:E44"/>
    <mergeCell ref="I44:N44"/>
    <mergeCell ref="A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3"/>
  <sheetViews>
    <sheetView workbookViewId="0">
      <pane ySplit="3" topLeftCell="A26" activePane="bottomLeft" state="frozen"/>
      <selection pane="bottomLeft" activeCell="M41" sqref="M41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19" bestFit="1" customWidth="1"/>
  </cols>
  <sheetData>
    <row r="1" spans="1:16" ht="15.75">
      <c r="A1" s="602" t="s">
        <v>143</v>
      </c>
      <c r="B1" s="602"/>
      <c r="C1" s="602"/>
      <c r="D1" s="602"/>
      <c r="E1" s="602"/>
      <c r="F1" s="602"/>
      <c r="G1" s="602"/>
      <c r="H1" s="602"/>
      <c r="I1" s="602"/>
      <c r="J1" s="620"/>
      <c r="K1" s="620"/>
      <c r="L1" s="620"/>
      <c r="M1" s="602"/>
      <c r="N1" s="602"/>
    </row>
    <row r="2" spans="1:16" ht="30">
      <c r="A2" s="95" t="s">
        <v>0</v>
      </c>
      <c r="B2" s="96" t="s">
        <v>168</v>
      </c>
      <c r="C2" s="96" t="s">
        <v>169</v>
      </c>
      <c r="D2" s="96" t="s">
        <v>170</v>
      </c>
      <c r="E2" s="96" t="s">
        <v>171</v>
      </c>
      <c r="F2" s="96" t="s">
        <v>172</v>
      </c>
      <c r="G2" s="176" t="s">
        <v>173</v>
      </c>
      <c r="H2" s="96" t="s">
        <v>174</v>
      </c>
      <c r="I2" s="518" t="s">
        <v>172</v>
      </c>
      <c r="J2" s="517" t="s">
        <v>173</v>
      </c>
      <c r="K2" s="61" t="s">
        <v>175</v>
      </c>
      <c r="L2" s="82" t="s">
        <v>176</v>
      </c>
      <c r="M2" s="520" t="s">
        <v>185</v>
      </c>
      <c r="N2" s="98" t="s">
        <v>178</v>
      </c>
    </row>
    <row r="3" spans="1:16">
      <c r="A3" s="148"/>
      <c r="B3" s="14"/>
      <c r="C3" s="14"/>
      <c r="D3" s="212" t="s">
        <v>179</v>
      </c>
      <c r="E3" s="14"/>
      <c r="F3" s="14"/>
      <c r="G3" s="177"/>
      <c r="H3" s="14"/>
      <c r="I3" s="94"/>
      <c r="J3" s="177"/>
      <c r="K3" s="14">
        <v>182122.17000000156</v>
      </c>
      <c r="L3" s="14"/>
      <c r="M3">
        <v>182122.17000000156</v>
      </c>
      <c r="N3" s="14">
        <v>0</v>
      </c>
      <c r="P3" s="19"/>
    </row>
    <row r="4" spans="1:16">
      <c r="A4" s="188">
        <v>1</v>
      </c>
      <c r="B4" s="211">
        <v>46266</v>
      </c>
      <c r="C4" s="133"/>
      <c r="D4" s="133"/>
      <c r="E4" s="424">
        <v>650</v>
      </c>
      <c r="F4" s="425">
        <v>99.29</v>
      </c>
      <c r="G4" s="245">
        <f t="shared" ref="G4:G38" si="0">E4*F4</f>
        <v>64538.500000000007</v>
      </c>
      <c r="H4" s="237"/>
      <c r="I4" s="519"/>
      <c r="J4" s="186">
        <f>H4*I4</f>
        <v>0</v>
      </c>
      <c r="K4" s="201">
        <f>G4+J4</f>
        <v>64538.500000000007</v>
      </c>
      <c r="L4" s="14"/>
      <c r="M4" s="288">
        <f>M3+K4-L4</f>
        <v>246660.67000000156</v>
      </c>
      <c r="N4" s="133"/>
      <c r="O4" s="19"/>
    </row>
    <row r="5" spans="1:16">
      <c r="A5" s="43">
        <v>2</v>
      </c>
      <c r="B5" s="211">
        <v>46267</v>
      </c>
      <c r="C5" s="14"/>
      <c r="D5" s="14"/>
      <c r="E5" s="424">
        <v>879.85</v>
      </c>
      <c r="F5" s="425">
        <v>99.29</v>
      </c>
      <c r="G5" s="245">
        <f t="shared" ref="G5:G39" si="1">E5*F5</f>
        <v>87360.306500000006</v>
      </c>
      <c r="H5" s="237"/>
      <c r="I5" s="519"/>
      <c r="J5" s="186">
        <f t="shared" ref="J5:J39" si="2">H5*I5</f>
        <v>0</v>
      </c>
      <c r="K5" s="201">
        <f t="shared" ref="K5:K41" si="3">G5+J5</f>
        <v>87360.306500000006</v>
      </c>
      <c r="L5" s="14"/>
      <c r="M5" s="288">
        <f t="shared" ref="M5:M41" si="4">M4+K5-L5</f>
        <v>334020.97650000156</v>
      </c>
      <c r="N5" s="14"/>
    </row>
    <row r="6" spans="1:16">
      <c r="A6" s="43">
        <v>3</v>
      </c>
      <c r="B6" s="211">
        <v>46268</v>
      </c>
      <c r="C6" s="14"/>
      <c r="D6" s="14"/>
      <c r="E6" s="237"/>
      <c r="F6" s="425"/>
      <c r="G6" s="245">
        <f t="shared" si="1"/>
        <v>0</v>
      </c>
      <c r="H6" s="237"/>
      <c r="I6" s="519"/>
      <c r="J6" s="186">
        <f t="shared" si="2"/>
        <v>0</v>
      </c>
      <c r="K6" s="201">
        <f t="shared" si="3"/>
        <v>0</v>
      </c>
      <c r="L6" s="14"/>
      <c r="M6" s="288">
        <f t="shared" si="4"/>
        <v>334020.97650000156</v>
      </c>
      <c r="N6" s="14"/>
    </row>
    <row r="7" spans="1:16">
      <c r="A7" s="188">
        <v>4</v>
      </c>
      <c r="B7" s="211">
        <v>46269</v>
      </c>
      <c r="C7" s="14"/>
      <c r="D7" s="14"/>
      <c r="E7" s="237">
        <v>388.63</v>
      </c>
      <c r="F7" s="425">
        <v>99.29</v>
      </c>
      <c r="G7" s="245">
        <f t="shared" si="1"/>
        <v>38587.072700000004</v>
      </c>
      <c r="H7" s="237">
        <v>5</v>
      </c>
      <c r="I7" s="519">
        <v>111.38</v>
      </c>
      <c r="J7" s="186">
        <f t="shared" si="2"/>
        <v>556.9</v>
      </c>
      <c r="K7" s="201">
        <f t="shared" si="3"/>
        <v>39143.972700000006</v>
      </c>
      <c r="L7" s="14"/>
      <c r="M7" s="288">
        <f t="shared" si="4"/>
        <v>373164.94920000155</v>
      </c>
      <c r="N7" s="14"/>
    </row>
    <row r="8" spans="1:16">
      <c r="A8" s="188">
        <v>5</v>
      </c>
      <c r="B8" s="211">
        <v>46270</v>
      </c>
      <c r="C8" s="14"/>
      <c r="D8" s="14"/>
      <c r="E8" s="237"/>
      <c r="F8" s="283"/>
      <c r="G8" s="245">
        <f t="shared" si="1"/>
        <v>0</v>
      </c>
      <c r="H8" s="237"/>
      <c r="I8" s="519"/>
      <c r="J8" s="186">
        <f t="shared" si="2"/>
        <v>0</v>
      </c>
      <c r="K8" s="201">
        <f t="shared" si="3"/>
        <v>0</v>
      </c>
      <c r="L8" s="14"/>
      <c r="M8" s="288">
        <f t="shared" si="4"/>
        <v>373164.94920000155</v>
      </c>
      <c r="N8" s="14"/>
    </row>
    <row r="9" spans="1:16">
      <c r="A9" s="43">
        <v>6</v>
      </c>
      <c r="B9" s="211">
        <v>46271</v>
      </c>
      <c r="C9" s="14"/>
      <c r="D9" s="14"/>
      <c r="E9" s="237">
        <v>287.05</v>
      </c>
      <c r="F9" s="425">
        <v>99.29</v>
      </c>
      <c r="G9" s="245">
        <f t="shared" si="1"/>
        <v>28501.194500000001</v>
      </c>
      <c r="H9" s="237"/>
      <c r="I9" s="519"/>
      <c r="J9" s="186">
        <f t="shared" si="2"/>
        <v>0</v>
      </c>
      <c r="K9" s="201">
        <f t="shared" si="3"/>
        <v>28501.194500000001</v>
      </c>
      <c r="L9" s="14"/>
      <c r="M9" s="288">
        <f t="shared" si="4"/>
        <v>401666.14370000153</v>
      </c>
      <c r="N9" s="14"/>
    </row>
    <row r="10" spans="1:16">
      <c r="A10" s="43">
        <v>7</v>
      </c>
      <c r="B10" s="211">
        <v>46272</v>
      </c>
      <c r="C10" s="14"/>
      <c r="D10" s="14"/>
      <c r="E10" s="237">
        <v>480.3</v>
      </c>
      <c r="F10" s="425">
        <v>99.29</v>
      </c>
      <c r="G10" s="245">
        <f t="shared" si="1"/>
        <v>47688.987000000001</v>
      </c>
      <c r="H10" s="237"/>
      <c r="I10" s="245"/>
      <c r="J10" s="237">
        <f t="shared" si="2"/>
        <v>0</v>
      </c>
      <c r="K10" s="245">
        <f t="shared" si="3"/>
        <v>47688.987000000001</v>
      </c>
      <c r="L10" s="133"/>
      <c r="M10" s="288">
        <f t="shared" si="4"/>
        <v>449355.13070000155</v>
      </c>
      <c r="N10" s="14"/>
    </row>
    <row r="11" spans="1:16">
      <c r="A11" s="188">
        <v>8</v>
      </c>
      <c r="B11" s="211">
        <v>46273</v>
      </c>
      <c r="C11" s="14"/>
      <c r="D11" s="14"/>
      <c r="E11" s="237">
        <v>139.16</v>
      </c>
      <c r="F11" s="425">
        <v>99.29</v>
      </c>
      <c r="G11" s="245">
        <f t="shared" si="1"/>
        <v>13817.196400000001</v>
      </c>
      <c r="H11" s="237"/>
      <c r="I11" s="245"/>
      <c r="J11" s="237">
        <f t="shared" si="2"/>
        <v>0</v>
      </c>
      <c r="K11" s="245">
        <f t="shared" si="3"/>
        <v>13817.196400000001</v>
      </c>
      <c r="L11" s="133"/>
      <c r="M11" s="288">
        <f t="shared" si="4"/>
        <v>463172.32710000157</v>
      </c>
      <c r="N11" s="14"/>
    </row>
    <row r="12" spans="1:16">
      <c r="A12" s="188">
        <v>9</v>
      </c>
      <c r="B12" s="211">
        <v>46274</v>
      </c>
      <c r="C12" s="14"/>
      <c r="D12" s="14"/>
      <c r="E12" s="237">
        <v>250</v>
      </c>
      <c r="F12" s="425">
        <v>99.29</v>
      </c>
      <c r="G12" s="245">
        <f t="shared" si="1"/>
        <v>24822.5</v>
      </c>
      <c r="H12" s="237"/>
      <c r="I12" s="245"/>
      <c r="J12" s="237">
        <f t="shared" si="2"/>
        <v>0</v>
      </c>
      <c r="K12" s="245">
        <f t="shared" si="3"/>
        <v>24822.5</v>
      </c>
      <c r="L12" s="133"/>
      <c r="M12" s="288">
        <f t="shared" si="4"/>
        <v>487994.82710000157</v>
      </c>
      <c r="N12" s="14"/>
      <c r="P12" s="19"/>
    </row>
    <row r="13" spans="1:16">
      <c r="A13" s="43">
        <v>10</v>
      </c>
      <c r="B13" s="211">
        <v>46275</v>
      </c>
      <c r="C13" s="14"/>
      <c r="D13" s="14"/>
      <c r="E13" s="237">
        <v>200.02</v>
      </c>
      <c r="F13" s="425">
        <v>99.29</v>
      </c>
      <c r="G13" s="245">
        <f t="shared" si="1"/>
        <v>19859.985800000002</v>
      </c>
      <c r="H13" s="237"/>
      <c r="I13" s="245"/>
      <c r="J13" s="237">
        <f t="shared" si="2"/>
        <v>0</v>
      </c>
      <c r="K13" s="245">
        <f t="shared" si="3"/>
        <v>19859.985800000002</v>
      </c>
      <c r="L13" s="133"/>
      <c r="M13" s="288">
        <f t="shared" si="4"/>
        <v>507854.81290000159</v>
      </c>
      <c r="N13" s="14"/>
    </row>
    <row r="14" spans="1:16">
      <c r="A14" s="43">
        <v>11</v>
      </c>
      <c r="B14" s="211">
        <v>46276</v>
      </c>
      <c r="C14" s="14"/>
      <c r="D14" s="14"/>
      <c r="E14" s="237">
        <v>393.91</v>
      </c>
      <c r="F14" s="425">
        <v>99.29</v>
      </c>
      <c r="G14" s="245">
        <f t="shared" si="1"/>
        <v>39111.323900000003</v>
      </c>
      <c r="H14" s="237"/>
      <c r="I14" s="245"/>
      <c r="J14" s="237">
        <f t="shared" si="2"/>
        <v>0</v>
      </c>
      <c r="K14" s="245">
        <f t="shared" si="3"/>
        <v>39111.323900000003</v>
      </c>
      <c r="L14" s="133"/>
      <c r="M14" s="288">
        <f t="shared" si="4"/>
        <v>546966.13680000161</v>
      </c>
      <c r="N14" s="14"/>
    </row>
    <row r="15" spans="1:16">
      <c r="A15" s="188">
        <v>12</v>
      </c>
      <c r="B15" s="211">
        <v>46277</v>
      </c>
      <c r="C15" s="14"/>
      <c r="D15" s="14"/>
      <c r="E15" s="237"/>
      <c r="F15" s="283"/>
      <c r="G15" s="245">
        <f t="shared" si="1"/>
        <v>0</v>
      </c>
      <c r="H15" s="237"/>
      <c r="I15" s="245"/>
      <c r="J15" s="237">
        <f t="shared" si="2"/>
        <v>0</v>
      </c>
      <c r="K15" s="245">
        <f t="shared" si="3"/>
        <v>0</v>
      </c>
      <c r="L15" s="133"/>
      <c r="M15" s="288">
        <f t="shared" si="4"/>
        <v>546966.13680000161</v>
      </c>
      <c r="N15" s="14"/>
    </row>
    <row r="16" spans="1:16">
      <c r="A16" s="188">
        <v>13</v>
      </c>
      <c r="B16" s="211">
        <v>46278</v>
      </c>
      <c r="C16" s="14"/>
      <c r="D16" s="14"/>
      <c r="E16" s="237">
        <v>440.81</v>
      </c>
      <c r="F16" s="425">
        <v>99.29</v>
      </c>
      <c r="G16" s="245">
        <f t="shared" si="1"/>
        <v>43768.024900000004</v>
      </c>
      <c r="H16" s="237"/>
      <c r="I16" s="245"/>
      <c r="J16" s="237">
        <f t="shared" si="2"/>
        <v>0</v>
      </c>
      <c r="K16" s="245">
        <f t="shared" si="3"/>
        <v>43768.024900000004</v>
      </c>
      <c r="L16" s="133"/>
      <c r="M16" s="288">
        <f t="shared" si="4"/>
        <v>590734.16170000157</v>
      </c>
      <c r="N16" s="14"/>
    </row>
    <row r="17" spans="1:16">
      <c r="A17" s="43">
        <v>14</v>
      </c>
      <c r="B17" s="211">
        <v>46279</v>
      </c>
      <c r="C17" s="14"/>
      <c r="D17" s="14"/>
      <c r="E17" s="237"/>
      <c r="F17" s="283"/>
      <c r="G17" s="245">
        <f t="shared" si="1"/>
        <v>0</v>
      </c>
      <c r="H17" s="237"/>
      <c r="I17" s="245"/>
      <c r="J17" s="237">
        <f t="shared" si="2"/>
        <v>0</v>
      </c>
      <c r="K17" s="245">
        <f t="shared" si="3"/>
        <v>0</v>
      </c>
      <c r="L17" s="133"/>
      <c r="M17" s="288">
        <f t="shared" si="4"/>
        <v>590734.16170000157</v>
      </c>
      <c r="N17" s="14"/>
    </row>
    <row r="18" spans="1:16">
      <c r="A18" s="43">
        <v>15</v>
      </c>
      <c r="B18" s="211">
        <v>46280</v>
      </c>
      <c r="C18" s="14"/>
      <c r="D18" s="14"/>
      <c r="E18" s="237">
        <v>290.27999999999997</v>
      </c>
      <c r="F18" s="283">
        <v>99.29</v>
      </c>
      <c r="G18" s="245">
        <f t="shared" si="1"/>
        <v>28821.9012</v>
      </c>
      <c r="H18" s="237"/>
      <c r="I18" s="245"/>
      <c r="J18" s="237">
        <f t="shared" si="2"/>
        <v>0</v>
      </c>
      <c r="K18" s="245">
        <f t="shared" si="3"/>
        <v>28821.9012</v>
      </c>
      <c r="L18" s="133"/>
      <c r="M18" s="288">
        <f t="shared" si="4"/>
        <v>619556.06290000153</v>
      </c>
      <c r="N18" s="14"/>
    </row>
    <row r="19" spans="1:16">
      <c r="A19" s="188">
        <v>16</v>
      </c>
      <c r="B19" s="211">
        <v>46281</v>
      </c>
      <c r="C19" s="14"/>
      <c r="D19" s="14"/>
      <c r="E19" s="237">
        <v>150</v>
      </c>
      <c r="F19" s="283">
        <v>99.29</v>
      </c>
      <c r="G19" s="245">
        <f t="shared" si="1"/>
        <v>14893.500000000002</v>
      </c>
      <c r="H19" s="237">
        <v>5</v>
      </c>
      <c r="I19" s="245">
        <v>111.38</v>
      </c>
      <c r="J19" s="237">
        <f t="shared" si="2"/>
        <v>556.9</v>
      </c>
      <c r="K19" s="245">
        <f t="shared" si="3"/>
        <v>15450.400000000001</v>
      </c>
      <c r="L19" s="133">
        <v>500000</v>
      </c>
      <c r="M19" s="288">
        <f t="shared" si="4"/>
        <v>135006.46290000156</v>
      </c>
      <c r="N19" s="14"/>
      <c r="P19" s="254"/>
    </row>
    <row r="20" spans="1:16">
      <c r="A20" s="188">
        <v>17</v>
      </c>
      <c r="B20" s="211">
        <v>46282</v>
      </c>
      <c r="C20" s="14"/>
      <c r="D20" s="14"/>
      <c r="E20" s="237"/>
      <c r="F20" s="283"/>
      <c r="G20" s="245">
        <f t="shared" si="1"/>
        <v>0</v>
      </c>
      <c r="H20" s="237"/>
      <c r="I20" s="245"/>
      <c r="J20" s="237">
        <f t="shared" si="2"/>
        <v>0</v>
      </c>
      <c r="K20" s="245">
        <f t="shared" si="3"/>
        <v>0</v>
      </c>
      <c r="L20" s="133"/>
      <c r="M20" s="288">
        <f t="shared" si="4"/>
        <v>135006.46290000156</v>
      </c>
      <c r="N20" s="14"/>
    </row>
    <row r="21" spans="1:16">
      <c r="A21" s="43">
        <v>18</v>
      </c>
      <c r="B21" s="211">
        <v>46283</v>
      </c>
      <c r="C21" s="14"/>
      <c r="D21" s="14"/>
      <c r="E21" s="237">
        <v>389.7</v>
      </c>
      <c r="F21" s="283">
        <v>99.29</v>
      </c>
      <c r="G21" s="245">
        <f t="shared" si="1"/>
        <v>38693.313000000002</v>
      </c>
      <c r="H21" s="245"/>
      <c r="I21" s="237"/>
      <c r="J21" s="237">
        <f t="shared" si="2"/>
        <v>0</v>
      </c>
      <c r="K21" s="245">
        <f t="shared" si="3"/>
        <v>38693.313000000002</v>
      </c>
      <c r="L21" s="133"/>
      <c r="M21" s="288">
        <f>M20+K21-L21</f>
        <v>173699.77590000155</v>
      </c>
      <c r="N21" s="14"/>
      <c r="P21" s="19"/>
    </row>
    <row r="22" spans="1:16">
      <c r="A22" s="43">
        <v>19</v>
      </c>
      <c r="B22" s="211">
        <v>46284</v>
      </c>
      <c r="C22" s="14"/>
      <c r="D22" s="14"/>
      <c r="E22" s="237">
        <v>137.84</v>
      </c>
      <c r="F22" s="283">
        <v>99.29</v>
      </c>
      <c r="G22" s="245">
        <f>E22*F22</f>
        <v>13686.133600000001</v>
      </c>
      <c r="H22" s="237"/>
      <c r="I22" s="237"/>
      <c r="J22" s="237">
        <f t="shared" si="2"/>
        <v>0</v>
      </c>
      <c r="K22" s="245">
        <f t="shared" si="3"/>
        <v>13686.133600000001</v>
      </c>
      <c r="L22" s="133"/>
      <c r="M22" s="288">
        <f t="shared" si="4"/>
        <v>187385.90950000155</v>
      </c>
      <c r="N22" s="14"/>
    </row>
    <row r="23" spans="1:16">
      <c r="A23" s="188">
        <v>20</v>
      </c>
      <c r="B23" s="211">
        <v>46285</v>
      </c>
      <c r="C23" s="14"/>
      <c r="D23" s="14"/>
      <c r="E23" s="237"/>
      <c r="F23" s="283"/>
      <c r="G23" s="245">
        <f t="shared" si="1"/>
        <v>0</v>
      </c>
      <c r="H23" s="237">
        <v>5</v>
      </c>
      <c r="I23" s="237">
        <v>111.38</v>
      </c>
      <c r="J23" s="237">
        <f t="shared" si="2"/>
        <v>556.9</v>
      </c>
      <c r="K23" s="245">
        <f t="shared" si="3"/>
        <v>556.9</v>
      </c>
      <c r="L23" s="133"/>
      <c r="M23" s="288">
        <f t="shared" si="4"/>
        <v>187942.80950000155</v>
      </c>
      <c r="N23" s="14"/>
    </row>
    <row r="24" spans="1:16">
      <c r="A24" s="188">
        <v>21</v>
      </c>
      <c r="B24" s="211">
        <v>46286</v>
      </c>
      <c r="C24" s="14"/>
      <c r="D24" s="14"/>
      <c r="E24" s="237">
        <v>650</v>
      </c>
      <c r="F24" s="283">
        <v>99.29</v>
      </c>
      <c r="G24" s="245">
        <f t="shared" si="1"/>
        <v>64538.500000000007</v>
      </c>
      <c r="H24" s="237"/>
      <c r="I24" s="237"/>
      <c r="J24" s="237">
        <f t="shared" si="2"/>
        <v>0</v>
      </c>
      <c r="K24" s="245">
        <f t="shared" si="3"/>
        <v>64538.500000000007</v>
      </c>
      <c r="L24" s="133"/>
      <c r="M24" s="288">
        <f t="shared" si="4"/>
        <v>252481.30950000155</v>
      </c>
      <c r="N24" s="14"/>
    </row>
    <row r="25" spans="1:16">
      <c r="A25" s="43">
        <v>22</v>
      </c>
      <c r="B25" s="211">
        <v>46287</v>
      </c>
      <c r="C25" s="14"/>
      <c r="D25" s="14"/>
      <c r="E25" s="237">
        <v>244</v>
      </c>
      <c r="F25" s="283">
        <v>99.29</v>
      </c>
      <c r="G25" s="245">
        <f t="shared" si="1"/>
        <v>24226.760000000002</v>
      </c>
      <c r="H25" s="237"/>
      <c r="I25" s="245"/>
      <c r="J25" s="237">
        <f>H25*I25</f>
        <v>0</v>
      </c>
      <c r="K25" s="245">
        <f t="shared" si="3"/>
        <v>24226.760000000002</v>
      </c>
      <c r="L25" s="133"/>
      <c r="M25" s="288">
        <f t="shared" si="4"/>
        <v>276708.06950000155</v>
      </c>
      <c r="N25" s="14"/>
      <c r="P25" s="19"/>
    </row>
    <row r="26" spans="1:16">
      <c r="A26" s="43">
        <v>23</v>
      </c>
      <c r="B26" s="211">
        <v>46288</v>
      </c>
      <c r="C26" s="14"/>
      <c r="D26" s="14"/>
      <c r="E26" s="237"/>
      <c r="F26" s="283"/>
      <c r="G26" s="245">
        <f t="shared" si="1"/>
        <v>0</v>
      </c>
      <c r="H26" s="237"/>
      <c r="I26" s="245"/>
      <c r="J26" s="237">
        <f t="shared" si="2"/>
        <v>0</v>
      </c>
      <c r="K26" s="245">
        <f t="shared" si="3"/>
        <v>0</v>
      </c>
      <c r="L26" s="133"/>
      <c r="M26" s="288">
        <f t="shared" si="4"/>
        <v>276708.06950000155</v>
      </c>
      <c r="N26" s="14"/>
    </row>
    <row r="27" spans="1:16">
      <c r="A27" s="188">
        <v>24</v>
      </c>
      <c r="B27" s="211">
        <v>46289</v>
      </c>
      <c r="C27" s="14"/>
      <c r="D27" s="14"/>
      <c r="E27" s="237">
        <v>100</v>
      </c>
      <c r="F27" s="283">
        <v>99.29</v>
      </c>
      <c r="G27" s="245">
        <f t="shared" si="1"/>
        <v>9929</v>
      </c>
      <c r="H27" s="237"/>
      <c r="I27" s="237"/>
      <c r="J27" s="237">
        <f t="shared" si="2"/>
        <v>0</v>
      </c>
      <c r="K27" s="245">
        <f t="shared" si="3"/>
        <v>9929</v>
      </c>
      <c r="L27" s="133"/>
      <c r="M27" s="288">
        <f t="shared" si="4"/>
        <v>286637.06950000155</v>
      </c>
      <c r="N27" s="14"/>
    </row>
    <row r="28" spans="1:16">
      <c r="A28" s="188">
        <v>25</v>
      </c>
      <c r="B28" s="211">
        <v>46290</v>
      </c>
      <c r="C28" s="14"/>
      <c r="D28" s="14"/>
      <c r="E28" s="237">
        <v>100</v>
      </c>
      <c r="F28" s="283">
        <v>99.29</v>
      </c>
      <c r="G28" s="245">
        <f t="shared" si="1"/>
        <v>9929</v>
      </c>
      <c r="H28" s="237"/>
      <c r="I28" s="237"/>
      <c r="J28" s="237">
        <f t="shared" si="2"/>
        <v>0</v>
      </c>
      <c r="K28" s="245">
        <f t="shared" si="3"/>
        <v>9929</v>
      </c>
      <c r="L28" s="133"/>
      <c r="M28" s="288">
        <f t="shared" si="4"/>
        <v>296566.06950000155</v>
      </c>
      <c r="N28" s="14"/>
    </row>
    <row r="29" spans="1:16">
      <c r="A29" s="43">
        <v>26</v>
      </c>
      <c r="B29" s="211">
        <v>46291</v>
      </c>
      <c r="C29" s="14"/>
      <c r="D29" s="14"/>
      <c r="E29" s="571">
        <v>100</v>
      </c>
      <c r="F29" s="425">
        <v>99.29</v>
      </c>
      <c r="G29" s="245">
        <f t="shared" si="1"/>
        <v>9929</v>
      </c>
      <c r="H29" s="237"/>
      <c r="I29" s="237"/>
      <c r="J29" s="237">
        <f t="shared" si="2"/>
        <v>0</v>
      </c>
      <c r="K29" s="245">
        <f t="shared" si="3"/>
        <v>9929</v>
      </c>
      <c r="L29" s="133"/>
      <c r="M29" s="288">
        <f t="shared" si="4"/>
        <v>306495.06950000155</v>
      </c>
      <c r="N29" s="14"/>
    </row>
    <row r="30" spans="1:16">
      <c r="A30" s="43">
        <v>27</v>
      </c>
      <c r="B30" s="211">
        <v>46292</v>
      </c>
      <c r="C30" s="14"/>
      <c r="D30" s="14"/>
      <c r="E30" s="571">
        <v>150</v>
      </c>
      <c r="F30" s="425">
        <v>99.29</v>
      </c>
      <c r="G30" s="245">
        <f t="shared" si="1"/>
        <v>14893.500000000002</v>
      </c>
      <c r="H30" s="237">
        <v>5</v>
      </c>
      <c r="I30" s="237">
        <v>111.38</v>
      </c>
      <c r="J30" s="237">
        <f t="shared" si="2"/>
        <v>556.9</v>
      </c>
      <c r="K30" s="245">
        <f t="shared" si="3"/>
        <v>15450.400000000001</v>
      </c>
      <c r="L30" s="133"/>
      <c r="M30" s="288">
        <f t="shared" si="4"/>
        <v>321945.46950000158</v>
      </c>
      <c r="N30" s="14"/>
      <c r="P30" s="19"/>
    </row>
    <row r="31" spans="1:16">
      <c r="A31" s="188">
        <v>28</v>
      </c>
      <c r="B31" s="211">
        <v>46293</v>
      </c>
      <c r="C31" s="14"/>
      <c r="D31" s="14"/>
      <c r="E31" s="237">
        <v>500</v>
      </c>
      <c r="F31" s="425">
        <v>99.29</v>
      </c>
      <c r="G31" s="245">
        <f t="shared" si="1"/>
        <v>49645</v>
      </c>
      <c r="H31" s="237"/>
      <c r="I31" s="245"/>
      <c r="J31" s="237">
        <f t="shared" si="2"/>
        <v>0</v>
      </c>
      <c r="K31" s="245">
        <f t="shared" si="3"/>
        <v>49645</v>
      </c>
      <c r="L31" s="133"/>
      <c r="M31" s="288">
        <f t="shared" si="4"/>
        <v>371590.46950000158</v>
      </c>
      <c r="N31" s="14"/>
    </row>
    <row r="32" spans="1:16">
      <c r="A32" s="188">
        <v>29</v>
      </c>
      <c r="B32" s="211">
        <v>46294</v>
      </c>
      <c r="C32" s="14"/>
      <c r="D32" s="14"/>
      <c r="E32" s="237">
        <v>400</v>
      </c>
      <c r="F32" s="425">
        <v>99.29</v>
      </c>
      <c r="G32" s="245">
        <f t="shared" si="1"/>
        <v>39716</v>
      </c>
      <c r="H32" s="237"/>
      <c r="I32" s="245"/>
      <c r="J32" s="237">
        <f t="shared" si="2"/>
        <v>0</v>
      </c>
      <c r="K32" s="245">
        <f t="shared" si="3"/>
        <v>39716</v>
      </c>
      <c r="L32" s="133"/>
      <c r="M32" s="288">
        <f t="shared" si="4"/>
        <v>411306.46950000158</v>
      </c>
      <c r="N32" s="14"/>
    </row>
    <row r="33" spans="1:16">
      <c r="A33" s="43">
        <v>30</v>
      </c>
      <c r="B33" s="211">
        <v>46295</v>
      </c>
      <c r="C33" s="91"/>
      <c r="D33" s="91"/>
      <c r="E33" s="237">
        <v>462.44</v>
      </c>
      <c r="F33" s="425">
        <v>99.29</v>
      </c>
      <c r="G33" s="245">
        <f t="shared" si="1"/>
        <v>45915.667600000001</v>
      </c>
      <c r="H33" s="237">
        <v>10</v>
      </c>
      <c r="I33" s="245">
        <v>111.38</v>
      </c>
      <c r="J33" s="237">
        <f t="shared" si="2"/>
        <v>1113.8</v>
      </c>
      <c r="K33" s="245">
        <f t="shared" si="3"/>
        <v>47029.467600000004</v>
      </c>
      <c r="L33" s="133"/>
      <c r="M33" s="288">
        <f t="shared" si="4"/>
        <v>458335.93710000161</v>
      </c>
      <c r="N33" s="91"/>
    </row>
    <row r="34" spans="1:16">
      <c r="A34" s="43">
        <v>31</v>
      </c>
      <c r="B34" s="211"/>
      <c r="C34" s="14"/>
      <c r="D34" s="14"/>
      <c r="E34" s="237"/>
      <c r="F34" s="283"/>
      <c r="G34" s="245">
        <f t="shared" si="1"/>
        <v>0</v>
      </c>
      <c r="H34" s="237"/>
      <c r="I34" s="245"/>
      <c r="J34" s="237">
        <f t="shared" si="2"/>
        <v>0</v>
      </c>
      <c r="K34" s="245">
        <f t="shared" si="3"/>
        <v>0</v>
      </c>
      <c r="L34" s="133"/>
      <c r="M34" s="288">
        <f t="shared" si="4"/>
        <v>458335.93710000161</v>
      </c>
      <c r="N34" s="14"/>
    </row>
    <row r="35" spans="1:16">
      <c r="A35" s="188">
        <v>32</v>
      </c>
      <c r="B35" s="211"/>
      <c r="C35" s="14"/>
      <c r="D35" s="14"/>
      <c r="E35" s="237"/>
      <c r="F35" s="283"/>
      <c r="G35" s="245">
        <f t="shared" si="1"/>
        <v>0</v>
      </c>
      <c r="H35" s="237"/>
      <c r="I35" s="245"/>
      <c r="J35" s="237">
        <f t="shared" si="2"/>
        <v>0</v>
      </c>
      <c r="K35" s="245">
        <f t="shared" si="3"/>
        <v>0</v>
      </c>
      <c r="L35" s="133"/>
      <c r="M35" s="288">
        <f t="shared" si="4"/>
        <v>458335.93710000161</v>
      </c>
      <c r="N35" s="14"/>
    </row>
    <row r="36" spans="1:16">
      <c r="A36" s="188">
        <v>33</v>
      </c>
      <c r="B36" s="211"/>
      <c r="C36" s="14"/>
      <c r="D36" s="14"/>
      <c r="E36" s="237"/>
      <c r="F36" s="283"/>
      <c r="G36" s="245">
        <f t="shared" si="1"/>
        <v>0</v>
      </c>
      <c r="H36" s="237"/>
      <c r="I36" s="245"/>
      <c r="J36" s="237">
        <f t="shared" si="2"/>
        <v>0</v>
      </c>
      <c r="K36" s="245">
        <f t="shared" si="3"/>
        <v>0</v>
      </c>
      <c r="L36" s="133"/>
      <c r="M36" s="288">
        <f t="shared" si="4"/>
        <v>458335.93710000161</v>
      </c>
      <c r="N36" s="14"/>
    </row>
    <row r="37" spans="1:16">
      <c r="A37" s="43">
        <v>34</v>
      </c>
      <c r="B37" s="211"/>
      <c r="C37" s="14"/>
      <c r="D37" s="14"/>
      <c r="E37" s="237"/>
      <c r="F37" s="283"/>
      <c r="G37" s="245">
        <f t="shared" si="1"/>
        <v>0</v>
      </c>
      <c r="H37" s="237"/>
      <c r="I37" s="245"/>
      <c r="J37" s="237">
        <f t="shared" si="2"/>
        <v>0</v>
      </c>
      <c r="K37" s="245">
        <f t="shared" si="3"/>
        <v>0</v>
      </c>
      <c r="L37" s="133"/>
      <c r="M37" s="288">
        <f t="shared" si="4"/>
        <v>458335.93710000161</v>
      </c>
      <c r="N37" s="14"/>
    </row>
    <row r="38" spans="1:16">
      <c r="A38" s="43">
        <v>35</v>
      </c>
      <c r="B38" s="211"/>
      <c r="C38" s="14"/>
      <c r="D38" s="14"/>
      <c r="E38" s="237"/>
      <c r="F38" s="283"/>
      <c r="G38" s="245">
        <f t="shared" si="1"/>
        <v>0</v>
      </c>
      <c r="H38" s="237"/>
      <c r="I38" s="245"/>
      <c r="J38" s="237">
        <f t="shared" si="2"/>
        <v>0</v>
      </c>
      <c r="K38" s="245">
        <f t="shared" si="3"/>
        <v>0</v>
      </c>
      <c r="L38" s="133"/>
      <c r="M38" s="288">
        <f t="shared" si="4"/>
        <v>458335.93710000161</v>
      </c>
      <c r="N38" s="14"/>
    </row>
    <row r="39" spans="1:16">
      <c r="A39" s="188">
        <v>36</v>
      </c>
      <c r="B39" s="211"/>
      <c r="C39" s="14"/>
      <c r="D39" s="14"/>
      <c r="E39" s="237"/>
      <c r="F39" s="283"/>
      <c r="G39" s="245">
        <f t="shared" si="1"/>
        <v>0</v>
      </c>
      <c r="H39" s="237"/>
      <c r="I39" s="245"/>
      <c r="J39" s="237">
        <f t="shared" si="2"/>
        <v>0</v>
      </c>
      <c r="K39" s="245">
        <f t="shared" si="3"/>
        <v>0</v>
      </c>
      <c r="L39" s="133"/>
      <c r="M39" s="288">
        <f t="shared" si="4"/>
        <v>458335.93710000161</v>
      </c>
      <c r="N39" s="91"/>
    </row>
    <row r="40" spans="1:16">
      <c r="A40" s="188">
        <v>37</v>
      </c>
      <c r="B40" s="211"/>
      <c r="C40" s="14"/>
      <c r="D40" s="14"/>
      <c r="E40" s="237"/>
      <c r="F40" s="237"/>
      <c r="G40" s="245">
        <f t="shared" ref="G5:G41" si="5">E40*F40</f>
        <v>0</v>
      </c>
      <c r="H40" s="237"/>
      <c r="I40" s="237"/>
      <c r="J40" s="237">
        <f t="shared" ref="J5:J41" si="6">H40*I40</f>
        <v>0</v>
      </c>
      <c r="K40" s="245">
        <f t="shared" si="3"/>
        <v>0</v>
      </c>
      <c r="L40" s="133"/>
      <c r="M40" s="288">
        <f t="shared" si="4"/>
        <v>458335.93710000161</v>
      </c>
      <c r="N40" s="14"/>
      <c r="P40" s="19"/>
    </row>
    <row r="41" spans="1:16">
      <c r="A41" s="42"/>
      <c r="B41" s="211"/>
      <c r="C41" s="14"/>
      <c r="D41" s="14"/>
      <c r="E41" s="237"/>
      <c r="F41" s="237"/>
      <c r="G41" s="245">
        <f t="shared" si="5"/>
        <v>0</v>
      </c>
      <c r="H41" s="237"/>
      <c r="I41" s="237"/>
      <c r="J41" s="237">
        <f t="shared" si="6"/>
        <v>0</v>
      </c>
      <c r="K41" s="245">
        <f t="shared" si="3"/>
        <v>0</v>
      </c>
      <c r="L41" s="133"/>
      <c r="M41" s="288">
        <f t="shared" si="4"/>
        <v>458335.93710000161</v>
      </c>
      <c r="N41" s="14"/>
      <c r="O41" s="19"/>
      <c r="P41" s="19"/>
    </row>
    <row r="42" spans="1:16">
      <c r="A42" s="174"/>
      <c r="B42" s="174"/>
      <c r="C42" s="174"/>
      <c r="D42" s="174"/>
      <c r="E42" s="174">
        <f>SUM(E4:E39)</f>
        <v>7783.99</v>
      </c>
      <c r="F42" s="174"/>
      <c r="G42" s="174">
        <f>SUM(G4:G39)</f>
        <v>772872.36710000027</v>
      </c>
      <c r="H42" s="174">
        <f>SUM(H4:H39)</f>
        <v>30</v>
      </c>
      <c r="I42" s="174"/>
      <c r="J42" s="174">
        <f>SUM(J4:J39)</f>
        <v>3341.3999999999996</v>
      </c>
      <c r="K42" s="174">
        <f>SUM(K4:K39)</f>
        <v>776213.76710000029</v>
      </c>
      <c r="L42" s="174">
        <f>SUM(L4:L39)</f>
        <v>500000</v>
      </c>
      <c r="M42" s="174"/>
      <c r="N42" s="174"/>
    </row>
    <row r="43" spans="1:16">
      <c r="P43" s="19"/>
    </row>
  </sheetData>
  <mergeCells count="1">
    <mergeCell ref="A1:N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workbookViewId="0">
      <pane ySplit="3" topLeftCell="A20" activePane="bottomLeft" state="frozen"/>
      <selection pane="bottomLeft" activeCell="M34" sqref="M34"/>
    </sheetView>
  </sheetViews>
  <sheetFormatPr defaultRowHeight="15"/>
  <cols>
    <col min="2" max="2" width="10.5703125" bestFit="1" customWidth="1"/>
    <col min="4" max="4" width="12.42578125" customWidth="1"/>
    <col min="5" max="5" width="12.140625" customWidth="1"/>
    <col min="11" max="11" width="13.5703125" bestFit="1" customWidth="1"/>
    <col min="12" max="12" width="12.42578125" bestFit="1" customWidth="1"/>
    <col min="13" max="13" width="10.5703125" bestFit="1" customWidth="1"/>
    <col min="19" max="19" width="10.140625" customWidth="1"/>
  </cols>
  <sheetData>
    <row r="1" spans="1:16" ht="15.75">
      <c r="A1" s="577" t="s">
        <v>232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9"/>
    </row>
    <row r="2" spans="1:16" ht="25.5" customHeight="1">
      <c r="A2" s="120" t="s">
        <v>0</v>
      </c>
      <c r="B2" s="205" t="s">
        <v>168</v>
      </c>
      <c r="C2" s="205" t="s">
        <v>169</v>
      </c>
      <c r="D2" s="205" t="s">
        <v>184</v>
      </c>
      <c r="E2" s="205" t="s">
        <v>171</v>
      </c>
      <c r="F2" s="205" t="s">
        <v>172</v>
      </c>
      <c r="G2" s="205" t="s">
        <v>173</v>
      </c>
      <c r="H2" s="205" t="s">
        <v>174</v>
      </c>
      <c r="I2" s="205" t="s">
        <v>172</v>
      </c>
      <c r="J2" s="205" t="s">
        <v>173</v>
      </c>
      <c r="K2" s="168" t="s">
        <v>175</v>
      </c>
      <c r="L2" s="168" t="s">
        <v>176</v>
      </c>
      <c r="M2" s="168" t="s">
        <v>185</v>
      </c>
      <c r="N2" s="205" t="s">
        <v>178</v>
      </c>
    </row>
    <row r="3" spans="1:16">
      <c r="A3" s="580" t="s">
        <v>179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2"/>
      <c r="M3" s="580">
        <v>31843.318099999906</v>
      </c>
      <c r="N3" s="582"/>
    </row>
    <row r="4" spans="1:16">
      <c r="A4" s="188">
        <v>1</v>
      </c>
      <c r="B4" s="211">
        <v>46266</v>
      </c>
      <c r="C4" s="37"/>
      <c r="D4" s="37"/>
      <c r="E4" s="256">
        <v>80</v>
      </c>
      <c r="F4" s="283">
        <v>99.13</v>
      </c>
      <c r="G4" s="37">
        <f>E4*F4</f>
        <v>7930.4</v>
      </c>
      <c r="H4" s="37">
        <v>20</v>
      </c>
      <c r="I4" s="37">
        <v>111.21</v>
      </c>
      <c r="J4" s="37">
        <f>H4*I4</f>
        <v>2224.1999999999998</v>
      </c>
      <c r="K4" s="37">
        <f>G4+J4</f>
        <v>10154.599999999999</v>
      </c>
      <c r="L4" s="37"/>
      <c r="M4" s="37">
        <f>M3+K4-L4</f>
        <v>41997.918099999908</v>
      </c>
      <c r="N4" s="37"/>
    </row>
    <row r="5" spans="1:16">
      <c r="A5" s="43">
        <v>2</v>
      </c>
      <c r="B5" s="211">
        <v>46267</v>
      </c>
      <c r="C5" s="37"/>
      <c r="D5" s="37"/>
      <c r="E5" s="256"/>
      <c r="F5" s="283"/>
      <c r="G5" s="37">
        <f t="shared" ref="G5:G34" si="0">E5*F5</f>
        <v>0</v>
      </c>
      <c r="H5" s="37"/>
      <c r="I5" s="37"/>
      <c r="J5" s="37">
        <f t="shared" ref="J5:J34" si="1">H5*I5</f>
        <v>0</v>
      </c>
      <c r="K5" s="37">
        <f t="shared" ref="K5:K34" si="2">G5+J5</f>
        <v>0</v>
      </c>
      <c r="L5" s="37"/>
      <c r="M5" s="37">
        <f t="shared" ref="M5:M34" si="3">M4+K5-L5</f>
        <v>41997.918099999908</v>
      </c>
      <c r="N5" s="37"/>
    </row>
    <row r="6" spans="1:16">
      <c r="A6" s="43">
        <v>3</v>
      </c>
      <c r="B6" s="211">
        <v>46268</v>
      </c>
      <c r="C6" s="37"/>
      <c r="D6" s="37"/>
      <c r="E6" s="256"/>
      <c r="F6" s="283"/>
      <c r="G6" s="37">
        <f t="shared" si="0"/>
        <v>0</v>
      </c>
      <c r="H6" s="37"/>
      <c r="I6" s="37"/>
      <c r="J6" s="37">
        <f t="shared" si="1"/>
        <v>0</v>
      </c>
      <c r="K6" s="37">
        <f t="shared" si="2"/>
        <v>0</v>
      </c>
      <c r="L6" s="37"/>
      <c r="M6" s="37">
        <f t="shared" si="3"/>
        <v>41997.918099999908</v>
      </c>
      <c r="N6" s="37"/>
    </row>
    <row r="7" spans="1:16">
      <c r="A7" s="43">
        <v>4</v>
      </c>
      <c r="B7" s="211">
        <v>46269</v>
      </c>
      <c r="C7" s="37"/>
      <c r="D7" s="37"/>
      <c r="E7" s="256">
        <v>200</v>
      </c>
      <c r="F7" s="283">
        <v>99.13</v>
      </c>
      <c r="G7" s="37">
        <f t="shared" si="0"/>
        <v>19826</v>
      </c>
      <c r="H7" s="37">
        <v>10</v>
      </c>
      <c r="I7" s="37">
        <v>111.21</v>
      </c>
      <c r="J7" s="37">
        <f t="shared" si="1"/>
        <v>1112.0999999999999</v>
      </c>
      <c r="K7" s="37">
        <f t="shared" si="2"/>
        <v>20938.099999999999</v>
      </c>
      <c r="L7" s="37"/>
      <c r="M7" s="37">
        <f t="shared" si="3"/>
        <v>62936.018099999907</v>
      </c>
      <c r="N7" s="37"/>
    </row>
    <row r="8" spans="1:16">
      <c r="A8" s="43">
        <v>5</v>
      </c>
      <c r="B8" s="211">
        <v>46270</v>
      </c>
      <c r="C8" s="37"/>
      <c r="D8" s="37"/>
      <c r="E8" s="256"/>
      <c r="F8" s="283"/>
      <c r="G8" s="37">
        <f t="shared" si="0"/>
        <v>0</v>
      </c>
      <c r="H8" s="37"/>
      <c r="I8" s="37"/>
      <c r="J8" s="37">
        <f t="shared" si="1"/>
        <v>0</v>
      </c>
      <c r="K8" s="37">
        <f t="shared" si="2"/>
        <v>0</v>
      </c>
      <c r="L8" s="37"/>
      <c r="M8" s="37">
        <f t="shared" si="3"/>
        <v>62936.018099999907</v>
      </c>
      <c r="N8" s="37"/>
    </row>
    <row r="9" spans="1:16">
      <c r="A9" s="43">
        <v>6</v>
      </c>
      <c r="B9" s="211">
        <v>46271</v>
      </c>
      <c r="C9" s="37"/>
      <c r="D9" s="37"/>
      <c r="E9" s="256">
        <v>69.25</v>
      </c>
      <c r="F9" s="283">
        <v>99.13</v>
      </c>
      <c r="G9" s="37">
        <f t="shared" si="0"/>
        <v>6864.7524999999996</v>
      </c>
      <c r="H9" s="37"/>
      <c r="I9" s="37"/>
      <c r="J9" s="37">
        <f t="shared" si="1"/>
        <v>0</v>
      </c>
      <c r="K9" s="37">
        <f t="shared" si="2"/>
        <v>6864.7524999999996</v>
      </c>
      <c r="L9" s="37"/>
      <c r="M9" s="37">
        <f t="shared" si="3"/>
        <v>69800.770599999902</v>
      </c>
      <c r="N9" s="37"/>
    </row>
    <row r="10" spans="1:16">
      <c r="A10" s="43">
        <v>7</v>
      </c>
      <c r="B10" s="211">
        <v>46272</v>
      </c>
      <c r="C10" s="37"/>
      <c r="D10" s="37"/>
      <c r="E10" s="256"/>
      <c r="F10" s="283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37">
        <f t="shared" si="3"/>
        <v>69800.770599999902</v>
      </c>
      <c r="N10" s="37"/>
    </row>
    <row r="11" spans="1:16">
      <c r="A11" s="43">
        <v>8</v>
      </c>
      <c r="B11" s="211">
        <v>46273</v>
      </c>
      <c r="C11" s="37"/>
      <c r="D11" s="37"/>
      <c r="E11" s="256">
        <v>110</v>
      </c>
      <c r="F11" s="283">
        <v>99.13</v>
      </c>
      <c r="G11" s="37">
        <f t="shared" si="0"/>
        <v>10904.3</v>
      </c>
      <c r="H11" s="37"/>
      <c r="I11" s="37"/>
      <c r="J11" s="37">
        <f t="shared" si="1"/>
        <v>0</v>
      </c>
      <c r="K11" s="37">
        <f t="shared" si="2"/>
        <v>10904.3</v>
      </c>
      <c r="L11" s="37"/>
      <c r="M11" s="37">
        <f t="shared" si="3"/>
        <v>80705.070599999905</v>
      </c>
      <c r="N11" s="37"/>
      <c r="P11" s="19"/>
    </row>
    <row r="12" spans="1:16">
      <c r="A12" s="43">
        <v>9</v>
      </c>
      <c r="B12" s="211">
        <v>46274</v>
      </c>
      <c r="C12" s="37"/>
      <c r="D12" s="37"/>
      <c r="E12" s="256">
        <v>120</v>
      </c>
      <c r="F12" s="283">
        <v>99.13</v>
      </c>
      <c r="G12" s="37">
        <f t="shared" si="0"/>
        <v>11895.599999999999</v>
      </c>
      <c r="H12" s="37"/>
      <c r="I12" s="37"/>
      <c r="J12" s="37">
        <f t="shared" si="1"/>
        <v>0</v>
      </c>
      <c r="K12" s="37">
        <f t="shared" si="2"/>
        <v>11895.599999999999</v>
      </c>
      <c r="L12" s="37"/>
      <c r="M12" s="37">
        <f t="shared" si="3"/>
        <v>92600.670599999896</v>
      </c>
      <c r="N12" s="37"/>
    </row>
    <row r="13" spans="1:16">
      <c r="A13" s="43">
        <v>10</v>
      </c>
      <c r="B13" s="211">
        <v>46275</v>
      </c>
      <c r="C13" s="37"/>
      <c r="D13" s="37"/>
      <c r="E13" s="256"/>
      <c r="F13" s="283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/>
      <c r="M13" s="37">
        <f t="shared" si="3"/>
        <v>92600.670599999896</v>
      </c>
      <c r="N13" s="37"/>
    </row>
    <row r="14" spans="1:16">
      <c r="A14" s="43">
        <v>11</v>
      </c>
      <c r="B14" s="211">
        <v>46276</v>
      </c>
      <c r="C14" s="37"/>
      <c r="D14" s="37"/>
      <c r="E14" s="256"/>
      <c r="F14" s="283"/>
      <c r="G14" s="37">
        <f t="shared" si="0"/>
        <v>0</v>
      </c>
      <c r="H14" s="37"/>
      <c r="I14" s="37"/>
      <c r="J14" s="37">
        <f t="shared" si="1"/>
        <v>0</v>
      </c>
      <c r="K14" s="37">
        <f t="shared" si="2"/>
        <v>0</v>
      </c>
      <c r="L14" s="37"/>
      <c r="M14" s="37">
        <f t="shared" si="3"/>
        <v>92600.670599999896</v>
      </c>
      <c r="N14" s="37"/>
    </row>
    <row r="15" spans="1:16">
      <c r="A15" s="43">
        <v>12</v>
      </c>
      <c r="B15" s="211">
        <v>46277</v>
      </c>
      <c r="C15" s="37"/>
      <c r="D15" s="37"/>
      <c r="E15" s="256">
        <v>550</v>
      </c>
      <c r="F15" s="283">
        <v>99.13</v>
      </c>
      <c r="G15" s="37">
        <f t="shared" si="0"/>
        <v>54521.5</v>
      </c>
      <c r="H15" s="37"/>
      <c r="I15" s="37"/>
      <c r="J15" s="37">
        <f t="shared" si="1"/>
        <v>0</v>
      </c>
      <c r="K15" s="37">
        <f t="shared" ref="K15:K25" si="4">G15+J15</f>
        <v>54521.5</v>
      </c>
      <c r="L15" s="37"/>
      <c r="M15" s="37">
        <f t="shared" si="3"/>
        <v>147122.1705999999</v>
      </c>
      <c r="N15" s="37"/>
    </row>
    <row r="16" spans="1:16">
      <c r="A16" s="43">
        <v>13</v>
      </c>
      <c r="B16" s="211">
        <v>46278</v>
      </c>
      <c r="C16" s="37"/>
      <c r="D16" s="37"/>
      <c r="E16" s="256">
        <v>100</v>
      </c>
      <c r="F16" s="283">
        <v>99.13</v>
      </c>
      <c r="G16" s="37">
        <f t="shared" si="0"/>
        <v>9913</v>
      </c>
      <c r="H16" s="367">
        <v>5</v>
      </c>
      <c r="I16" s="37">
        <v>111.21</v>
      </c>
      <c r="J16" s="37">
        <f t="shared" si="1"/>
        <v>556.04999999999995</v>
      </c>
      <c r="K16" s="37">
        <f t="shared" si="4"/>
        <v>10469.049999999999</v>
      </c>
      <c r="L16" s="37"/>
      <c r="M16" s="37">
        <f>M15+K16-L16</f>
        <v>157591.22059999988</v>
      </c>
      <c r="N16" s="37"/>
    </row>
    <row r="17" spans="1:14">
      <c r="A17" s="43">
        <v>14</v>
      </c>
      <c r="B17" s="211">
        <v>46279</v>
      </c>
      <c r="C17" s="37"/>
      <c r="D17" s="37"/>
      <c r="E17" s="256"/>
      <c r="F17" s="283"/>
      <c r="G17" s="37">
        <f t="shared" si="0"/>
        <v>0</v>
      </c>
      <c r="H17" s="37"/>
      <c r="I17" s="37"/>
      <c r="J17" s="37">
        <f t="shared" si="1"/>
        <v>0</v>
      </c>
      <c r="K17" s="37">
        <f t="shared" si="4"/>
        <v>0</v>
      </c>
      <c r="L17" s="37"/>
      <c r="M17" s="37">
        <f t="shared" si="3"/>
        <v>157591.22059999988</v>
      </c>
      <c r="N17" s="37"/>
    </row>
    <row r="18" spans="1:14">
      <c r="A18" s="43">
        <v>15</v>
      </c>
      <c r="B18" s="211">
        <v>46280</v>
      </c>
      <c r="C18" s="37"/>
      <c r="D18" s="37"/>
      <c r="E18" s="256"/>
      <c r="F18" s="283"/>
      <c r="G18" s="37">
        <f t="shared" si="0"/>
        <v>0</v>
      </c>
      <c r="H18" s="37"/>
      <c r="I18" s="37"/>
      <c r="J18" s="37">
        <f t="shared" si="1"/>
        <v>0</v>
      </c>
      <c r="K18" s="37">
        <f t="shared" si="4"/>
        <v>0</v>
      </c>
      <c r="L18" s="37"/>
      <c r="M18" s="37">
        <f t="shared" si="3"/>
        <v>157591.22059999988</v>
      </c>
      <c r="N18" s="37"/>
    </row>
    <row r="19" spans="1:14">
      <c r="A19" s="43">
        <v>16</v>
      </c>
      <c r="B19" s="211">
        <v>46281</v>
      </c>
      <c r="C19" s="37"/>
      <c r="D19" s="37"/>
      <c r="E19" s="256">
        <v>400</v>
      </c>
      <c r="F19" s="283">
        <v>99.13</v>
      </c>
      <c r="G19" s="37">
        <f t="shared" si="0"/>
        <v>39652</v>
      </c>
      <c r="H19" s="37">
        <v>10</v>
      </c>
      <c r="I19" s="37">
        <v>111.21</v>
      </c>
      <c r="J19" s="37">
        <f t="shared" si="1"/>
        <v>1112.0999999999999</v>
      </c>
      <c r="K19" s="37">
        <f t="shared" si="4"/>
        <v>40764.1</v>
      </c>
      <c r="L19" s="37"/>
      <c r="M19" s="37">
        <f t="shared" si="3"/>
        <v>198355.32059999989</v>
      </c>
      <c r="N19" s="37"/>
    </row>
    <row r="20" spans="1:14">
      <c r="A20" s="43">
        <v>17</v>
      </c>
      <c r="B20" s="211">
        <v>46282</v>
      </c>
      <c r="C20" s="37"/>
      <c r="D20" s="37"/>
      <c r="E20" s="256"/>
      <c r="F20" s="283"/>
      <c r="G20" s="37">
        <f t="shared" si="0"/>
        <v>0</v>
      </c>
      <c r="H20" s="37"/>
      <c r="I20" s="37"/>
      <c r="J20" s="37">
        <f t="shared" si="1"/>
        <v>0</v>
      </c>
      <c r="K20" s="37">
        <f t="shared" si="4"/>
        <v>0</v>
      </c>
      <c r="L20" s="37"/>
      <c r="M20" s="37">
        <f t="shared" si="3"/>
        <v>198355.32059999989</v>
      </c>
      <c r="N20" s="37"/>
    </row>
    <row r="21" spans="1:14">
      <c r="A21" s="43">
        <v>18</v>
      </c>
      <c r="B21" s="211">
        <v>46283</v>
      </c>
      <c r="C21" s="37"/>
      <c r="D21" s="37"/>
      <c r="E21" s="256">
        <v>236.38</v>
      </c>
      <c r="F21" s="283">
        <v>99.13</v>
      </c>
      <c r="G21" s="37">
        <f t="shared" si="0"/>
        <v>23432.349399999999</v>
      </c>
      <c r="H21" s="37">
        <v>5</v>
      </c>
      <c r="I21" s="37">
        <v>111.21</v>
      </c>
      <c r="J21" s="37">
        <f t="shared" si="1"/>
        <v>556.04999999999995</v>
      </c>
      <c r="K21" s="37">
        <f t="shared" si="4"/>
        <v>23988.399399999998</v>
      </c>
      <c r="L21" s="37"/>
      <c r="M21" s="37">
        <f>M20+K21-L21</f>
        <v>222343.71999999988</v>
      </c>
      <c r="N21" s="37"/>
    </row>
    <row r="22" spans="1:14">
      <c r="A22" s="43">
        <v>19</v>
      </c>
      <c r="B22" s="211">
        <v>46284</v>
      </c>
      <c r="C22" s="37"/>
      <c r="D22" s="37"/>
      <c r="E22" s="256">
        <v>350</v>
      </c>
      <c r="F22" s="283">
        <v>99.13</v>
      </c>
      <c r="G22" s="37">
        <f t="shared" si="0"/>
        <v>34695.5</v>
      </c>
      <c r="H22" s="37"/>
      <c r="I22" s="37"/>
      <c r="J22" s="37">
        <f t="shared" si="1"/>
        <v>0</v>
      </c>
      <c r="K22" s="37">
        <f t="shared" si="4"/>
        <v>34695.5</v>
      </c>
      <c r="L22" s="37"/>
      <c r="M22" s="37">
        <f t="shared" si="3"/>
        <v>257039.21999999988</v>
      </c>
      <c r="N22" s="37"/>
    </row>
    <row r="23" spans="1:14">
      <c r="A23" s="43">
        <v>20</v>
      </c>
      <c r="B23" s="211">
        <v>46285</v>
      </c>
      <c r="C23" s="37"/>
      <c r="D23" s="37"/>
      <c r="E23" s="256"/>
      <c r="F23" s="283"/>
      <c r="G23" s="37">
        <f t="shared" si="0"/>
        <v>0</v>
      </c>
      <c r="H23" s="37"/>
      <c r="I23" s="37"/>
      <c r="J23" s="37">
        <f t="shared" si="1"/>
        <v>0</v>
      </c>
      <c r="K23" s="37">
        <f t="shared" si="4"/>
        <v>0</v>
      </c>
      <c r="L23" s="37"/>
      <c r="M23" s="37">
        <f t="shared" si="3"/>
        <v>257039.21999999988</v>
      </c>
      <c r="N23" s="37"/>
    </row>
    <row r="24" spans="1:14">
      <c r="A24" s="43">
        <v>21</v>
      </c>
      <c r="B24" s="211">
        <v>46286</v>
      </c>
      <c r="C24" s="37"/>
      <c r="D24" s="37"/>
      <c r="E24" s="256">
        <v>20</v>
      </c>
      <c r="F24" s="283">
        <v>99.13</v>
      </c>
      <c r="G24" s="37">
        <f t="shared" si="0"/>
        <v>1982.6</v>
      </c>
      <c r="H24" s="37">
        <v>10</v>
      </c>
      <c r="I24" s="37">
        <v>111.21</v>
      </c>
      <c r="J24" s="37">
        <f t="shared" si="1"/>
        <v>1112.0999999999999</v>
      </c>
      <c r="K24" s="37">
        <f t="shared" si="4"/>
        <v>3094.7</v>
      </c>
      <c r="L24" s="37"/>
      <c r="M24" s="37">
        <f t="shared" si="3"/>
        <v>260133.9199999999</v>
      </c>
      <c r="N24" s="37"/>
    </row>
    <row r="25" spans="1:14">
      <c r="A25" s="43">
        <v>22</v>
      </c>
      <c r="B25" s="211">
        <v>46287</v>
      </c>
      <c r="C25" s="37"/>
      <c r="D25" s="37"/>
      <c r="E25" s="256"/>
      <c r="F25" s="283"/>
      <c r="G25" s="37">
        <f t="shared" si="0"/>
        <v>0</v>
      </c>
      <c r="H25" s="37"/>
      <c r="I25" s="37"/>
      <c r="J25" s="37">
        <f t="shared" si="1"/>
        <v>0</v>
      </c>
      <c r="K25" s="37">
        <f t="shared" si="4"/>
        <v>0</v>
      </c>
      <c r="L25" s="37"/>
      <c r="M25" s="37">
        <f t="shared" si="3"/>
        <v>260133.9199999999</v>
      </c>
      <c r="N25" s="37"/>
    </row>
    <row r="26" spans="1:14">
      <c r="A26" s="43">
        <v>23</v>
      </c>
      <c r="B26" s="211">
        <v>46288</v>
      </c>
      <c r="C26" s="37"/>
      <c r="D26" s="37"/>
      <c r="E26" s="256"/>
      <c r="F26" s="283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/>
      <c r="M26" s="37">
        <f t="shared" si="3"/>
        <v>260133.9199999999</v>
      </c>
      <c r="N26" s="37"/>
    </row>
    <row r="27" spans="1:14">
      <c r="A27" s="43">
        <v>24</v>
      </c>
      <c r="B27" s="211">
        <v>46289</v>
      </c>
      <c r="C27" s="37"/>
      <c r="D27" s="37"/>
      <c r="E27" s="256"/>
      <c r="F27" s="283"/>
      <c r="G27" s="37">
        <f t="shared" si="0"/>
        <v>0</v>
      </c>
      <c r="H27" s="37">
        <v>5</v>
      </c>
      <c r="I27" s="37">
        <v>111.21</v>
      </c>
      <c r="J27" s="37">
        <f t="shared" si="1"/>
        <v>556.04999999999995</v>
      </c>
      <c r="K27" s="37">
        <f t="shared" si="2"/>
        <v>556.04999999999995</v>
      </c>
      <c r="L27" s="37"/>
      <c r="M27" s="37">
        <f t="shared" si="3"/>
        <v>260689.96999999988</v>
      </c>
      <c r="N27" s="37"/>
    </row>
    <row r="28" spans="1:14">
      <c r="A28" s="213">
        <v>25</v>
      </c>
      <c r="B28" s="211">
        <v>46290</v>
      </c>
      <c r="C28" s="37"/>
      <c r="D28" s="37"/>
      <c r="E28" s="256">
        <v>200</v>
      </c>
      <c r="F28" s="283">
        <v>99.13</v>
      </c>
      <c r="G28" s="37">
        <f t="shared" si="0"/>
        <v>19826</v>
      </c>
      <c r="H28" s="37">
        <v>5</v>
      </c>
      <c r="I28" s="37">
        <v>111.21</v>
      </c>
      <c r="J28" s="37">
        <f t="shared" si="1"/>
        <v>556.04999999999995</v>
      </c>
      <c r="K28" s="37">
        <f t="shared" si="2"/>
        <v>20382.05</v>
      </c>
      <c r="L28" s="37">
        <v>200000</v>
      </c>
      <c r="M28" s="37">
        <f t="shared" si="3"/>
        <v>81072.019999999902</v>
      </c>
      <c r="N28" s="37"/>
    </row>
    <row r="29" spans="1:14">
      <c r="A29" s="213">
        <v>26</v>
      </c>
      <c r="B29" s="211">
        <v>46291</v>
      </c>
      <c r="C29" s="37"/>
      <c r="D29" s="37"/>
      <c r="E29" s="256"/>
      <c r="F29" s="283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/>
      <c r="M29" s="37">
        <f t="shared" si="3"/>
        <v>81072.019999999902</v>
      </c>
      <c r="N29" s="37"/>
    </row>
    <row r="30" spans="1:14">
      <c r="A30" s="213">
        <v>27</v>
      </c>
      <c r="B30" s="211">
        <v>46292</v>
      </c>
      <c r="C30" s="37"/>
      <c r="D30" s="37"/>
      <c r="E30" s="572">
        <v>200</v>
      </c>
      <c r="F30" s="283">
        <v>99.13</v>
      </c>
      <c r="G30" s="37">
        <f t="shared" si="0"/>
        <v>19826</v>
      </c>
      <c r="H30" s="37"/>
      <c r="I30" s="37"/>
      <c r="J30" s="37">
        <f t="shared" si="1"/>
        <v>0</v>
      </c>
      <c r="K30" s="37">
        <f t="shared" si="2"/>
        <v>19826</v>
      </c>
      <c r="L30" s="37"/>
      <c r="M30" s="37">
        <f t="shared" si="3"/>
        <v>100898.0199999999</v>
      </c>
      <c r="N30" s="37"/>
    </row>
    <row r="31" spans="1:14">
      <c r="A31" s="213">
        <v>28</v>
      </c>
      <c r="B31" s="211">
        <v>46293</v>
      </c>
      <c r="C31" s="37"/>
      <c r="D31" s="37"/>
      <c r="E31" s="256"/>
      <c r="F31" s="283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/>
      <c r="M31" s="37">
        <f t="shared" si="3"/>
        <v>100898.0199999999</v>
      </c>
      <c r="N31" s="37"/>
    </row>
    <row r="32" spans="1:14">
      <c r="A32" s="214">
        <v>29</v>
      </c>
      <c r="B32" s="211">
        <v>46294</v>
      </c>
      <c r="C32" s="37"/>
      <c r="D32" s="37"/>
      <c r="E32" s="256">
        <v>200</v>
      </c>
      <c r="F32" s="283">
        <v>99.13</v>
      </c>
      <c r="G32" s="37">
        <f t="shared" si="0"/>
        <v>19826</v>
      </c>
      <c r="H32" s="37"/>
      <c r="I32" s="37"/>
      <c r="J32" s="37">
        <f t="shared" si="1"/>
        <v>0</v>
      </c>
      <c r="K32" s="37">
        <f t="shared" si="2"/>
        <v>19826</v>
      </c>
      <c r="L32" s="37"/>
      <c r="M32" s="37">
        <f t="shared" si="3"/>
        <v>120724.0199999999</v>
      </c>
      <c r="N32" s="37"/>
    </row>
    <row r="33" spans="1:14">
      <c r="A33" s="214">
        <v>30</v>
      </c>
      <c r="B33" s="211">
        <v>46295</v>
      </c>
      <c r="C33" s="37"/>
      <c r="D33" s="37"/>
      <c r="E33" s="256"/>
      <c r="F33" s="283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/>
      <c r="M33" s="37">
        <f t="shared" si="3"/>
        <v>120724.0199999999</v>
      </c>
      <c r="N33" s="37"/>
    </row>
    <row r="34" spans="1:14">
      <c r="A34" s="214">
        <v>31</v>
      </c>
      <c r="B34" s="211"/>
      <c r="C34" s="37"/>
      <c r="D34" s="37"/>
      <c r="E34" s="256"/>
      <c r="F34" s="283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/>
      <c r="M34" s="37">
        <f t="shared" si="3"/>
        <v>120724.0199999999</v>
      </c>
      <c r="N34" s="37"/>
    </row>
    <row r="35" spans="1:14">
      <c r="A35" s="174"/>
      <c r="B35" s="174"/>
      <c r="C35" s="174"/>
      <c r="D35" s="174"/>
      <c r="E35" s="174">
        <f>SUM(E4:E34)</f>
        <v>2835.63</v>
      </c>
      <c r="F35" s="174"/>
      <c r="G35" s="174">
        <f>SUM(G4:G34)</f>
        <v>281096.00190000003</v>
      </c>
      <c r="H35" s="174">
        <f>SUM(H4:H34)</f>
        <v>70</v>
      </c>
      <c r="I35" s="174"/>
      <c r="J35" s="174">
        <f>SUM(J4:J34)</f>
        <v>7784.6999999999989</v>
      </c>
      <c r="K35" s="174">
        <f>SUM(K4:K34)</f>
        <v>288880.70189999999</v>
      </c>
      <c r="L35" s="174">
        <f>SUM(L4:L34)</f>
        <v>200000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tabSelected="1" workbookViewId="0">
      <pane ySplit="3" topLeftCell="A4" activePane="bottomLeft" state="frozen"/>
      <selection pane="bottomLeft" activeCell="H15" sqref="H15"/>
    </sheetView>
  </sheetViews>
  <sheetFormatPr defaultRowHeight="15"/>
  <cols>
    <col min="2" max="2" width="12.5703125" customWidth="1"/>
    <col min="5" max="5" width="12.7109375" customWidth="1"/>
    <col min="7" max="7" width="10.42578125" bestFit="1" customWidth="1"/>
    <col min="8" max="8" width="11.5703125" customWidth="1"/>
    <col min="11" max="11" width="13.5703125" bestFit="1" customWidth="1"/>
    <col min="12" max="12" width="12.42578125" bestFit="1" customWidth="1"/>
    <col min="13" max="13" width="10.5703125" bestFit="1" customWidth="1"/>
    <col min="18" max="18" width="9.28515625" bestFit="1" customWidth="1"/>
  </cols>
  <sheetData>
    <row r="1" spans="1:16" ht="15.75">
      <c r="A1" s="577" t="s">
        <v>233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9"/>
    </row>
    <row r="2" spans="1:16" ht="21" customHeight="1">
      <c r="A2" s="120" t="s">
        <v>0</v>
      </c>
      <c r="B2" s="205" t="s">
        <v>168</v>
      </c>
      <c r="C2" s="205" t="s">
        <v>169</v>
      </c>
      <c r="D2" s="205" t="s">
        <v>184</v>
      </c>
      <c r="E2" s="205" t="s">
        <v>171</v>
      </c>
      <c r="F2" s="205" t="s">
        <v>172</v>
      </c>
      <c r="G2" s="205" t="s">
        <v>173</v>
      </c>
      <c r="H2" s="205" t="s">
        <v>174</v>
      </c>
      <c r="I2" s="205" t="s">
        <v>172</v>
      </c>
      <c r="J2" s="205" t="s">
        <v>173</v>
      </c>
      <c r="K2" s="168" t="s">
        <v>175</v>
      </c>
      <c r="L2" s="168" t="s">
        <v>176</v>
      </c>
      <c r="M2" s="168" t="s">
        <v>185</v>
      </c>
      <c r="N2" s="205" t="s">
        <v>178</v>
      </c>
    </row>
    <row r="3" spans="1:16">
      <c r="A3" s="580" t="s">
        <v>179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2"/>
      <c r="M3" s="580">
        <v>136101.44520000005</v>
      </c>
      <c r="N3" s="582"/>
    </row>
    <row r="4" spans="1:16">
      <c r="A4" s="188">
        <v>1</v>
      </c>
      <c r="B4" s="211">
        <v>46266</v>
      </c>
      <c r="C4" s="37"/>
      <c r="D4" s="37"/>
      <c r="E4" s="256">
        <v>0</v>
      </c>
      <c r="F4" s="283">
        <v>0</v>
      </c>
      <c r="G4" s="37">
        <f>E4*F4</f>
        <v>0</v>
      </c>
      <c r="H4" s="37"/>
      <c r="I4" s="37"/>
      <c r="J4" s="37">
        <f>H4*I4</f>
        <v>0</v>
      </c>
      <c r="K4" s="37">
        <f>G4+J4</f>
        <v>0</v>
      </c>
      <c r="L4" s="37"/>
      <c r="M4" s="37">
        <f>M3+K4-L4</f>
        <v>136101.44520000005</v>
      </c>
      <c r="N4" s="37"/>
    </row>
    <row r="5" spans="1:16">
      <c r="A5" s="43">
        <v>2</v>
      </c>
      <c r="B5" s="211">
        <v>46267</v>
      </c>
      <c r="C5" s="37"/>
      <c r="D5" s="37"/>
      <c r="E5" s="256">
        <v>1000</v>
      </c>
      <c r="F5" s="283">
        <v>99.13</v>
      </c>
      <c r="G5" s="37">
        <f t="shared" ref="G5:G34" si="0">E5*F5</f>
        <v>99130</v>
      </c>
      <c r="H5" s="37"/>
      <c r="I5" s="37"/>
      <c r="J5" s="37">
        <f t="shared" ref="J5:J34" si="1">H5*I5</f>
        <v>0</v>
      </c>
      <c r="K5" s="37">
        <f t="shared" ref="K5:K34" si="2">G5+J5</f>
        <v>99130</v>
      </c>
      <c r="L5" s="37"/>
      <c r="M5" s="37">
        <f t="shared" ref="M5:M32" si="3">M4+K5-L5</f>
        <v>235231.44520000005</v>
      </c>
      <c r="N5" s="37"/>
    </row>
    <row r="6" spans="1:16">
      <c r="A6" s="188">
        <v>3</v>
      </c>
      <c r="B6" s="211">
        <v>46268</v>
      </c>
      <c r="C6" s="37"/>
      <c r="D6" s="37"/>
      <c r="E6" s="256"/>
      <c r="F6" s="283"/>
      <c r="G6" s="37">
        <f t="shared" si="0"/>
        <v>0</v>
      </c>
      <c r="H6" s="37"/>
      <c r="I6" s="37"/>
      <c r="J6" s="37">
        <f t="shared" si="1"/>
        <v>0</v>
      </c>
      <c r="K6" s="37">
        <f>G6+J6</f>
        <v>0</v>
      </c>
      <c r="L6" s="37"/>
      <c r="M6" s="37">
        <f t="shared" si="3"/>
        <v>235231.44520000005</v>
      </c>
      <c r="N6" s="37"/>
    </row>
    <row r="7" spans="1:16">
      <c r="A7" s="43">
        <v>4</v>
      </c>
      <c r="B7" s="211">
        <v>46269</v>
      </c>
      <c r="C7" s="37"/>
      <c r="D7" s="37"/>
      <c r="E7" s="283"/>
      <c r="F7" s="37"/>
      <c r="G7" s="37">
        <f t="shared" si="0"/>
        <v>0</v>
      </c>
      <c r="H7" s="37"/>
      <c r="I7" s="37"/>
      <c r="J7" s="37">
        <f t="shared" si="1"/>
        <v>0</v>
      </c>
      <c r="K7" s="37">
        <f t="shared" si="2"/>
        <v>0</v>
      </c>
      <c r="L7" s="37"/>
      <c r="M7" s="37">
        <f t="shared" si="3"/>
        <v>235231.44520000005</v>
      </c>
      <c r="N7" s="37"/>
    </row>
    <row r="8" spans="1:16">
      <c r="A8" s="188">
        <v>5</v>
      </c>
      <c r="B8" s="211">
        <v>46270</v>
      </c>
      <c r="C8" s="37"/>
      <c r="D8" s="37"/>
      <c r="E8" s="256">
        <v>1031.74</v>
      </c>
      <c r="F8" s="283">
        <v>99.13</v>
      </c>
      <c r="G8" s="37">
        <f t="shared" si="0"/>
        <v>102276.38619999999</v>
      </c>
      <c r="H8" s="37"/>
      <c r="I8" s="37"/>
      <c r="J8" s="37">
        <f t="shared" si="1"/>
        <v>0</v>
      </c>
      <c r="K8" s="37">
        <f t="shared" si="2"/>
        <v>102276.38619999999</v>
      </c>
      <c r="L8" s="37"/>
      <c r="M8" s="37">
        <f t="shared" si="3"/>
        <v>337507.83140000002</v>
      </c>
      <c r="N8" s="37"/>
    </row>
    <row r="9" spans="1:16">
      <c r="A9" s="43">
        <v>6</v>
      </c>
      <c r="B9" s="211">
        <v>46271</v>
      </c>
      <c r="C9" s="37"/>
      <c r="D9" s="37"/>
      <c r="E9" s="256"/>
      <c r="F9" s="283"/>
      <c r="G9" s="37">
        <f t="shared" si="0"/>
        <v>0</v>
      </c>
      <c r="H9" s="37"/>
      <c r="I9" s="37"/>
      <c r="J9" s="37">
        <f t="shared" si="1"/>
        <v>0</v>
      </c>
      <c r="K9" s="37">
        <f t="shared" si="2"/>
        <v>0</v>
      </c>
      <c r="L9" s="37"/>
      <c r="M9" s="37">
        <f t="shared" si="3"/>
        <v>337507.83140000002</v>
      </c>
      <c r="N9" s="37"/>
    </row>
    <row r="10" spans="1:16">
      <c r="A10" s="188">
        <v>7</v>
      </c>
      <c r="B10" s="211">
        <v>46272</v>
      </c>
      <c r="C10" s="37"/>
      <c r="D10" s="37"/>
      <c r="E10" s="256"/>
      <c r="F10" s="283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37">
        <f t="shared" si="3"/>
        <v>337507.83140000002</v>
      </c>
      <c r="N10" s="37"/>
    </row>
    <row r="11" spans="1:16">
      <c r="A11" s="43">
        <v>8</v>
      </c>
      <c r="B11" s="211">
        <v>46273</v>
      </c>
      <c r="C11" s="37"/>
      <c r="D11" s="37"/>
      <c r="E11" s="256">
        <v>1250</v>
      </c>
      <c r="F11" s="283">
        <v>99.13</v>
      </c>
      <c r="G11" s="37">
        <f t="shared" si="0"/>
        <v>123912.5</v>
      </c>
      <c r="H11" s="37"/>
      <c r="I11" s="37"/>
      <c r="J11" s="37">
        <f t="shared" si="1"/>
        <v>0</v>
      </c>
      <c r="K11" s="37">
        <f t="shared" si="2"/>
        <v>123912.5</v>
      </c>
      <c r="L11" s="37"/>
      <c r="M11" s="37">
        <f t="shared" si="3"/>
        <v>461420.33140000002</v>
      </c>
      <c r="N11" s="37"/>
      <c r="P11" s="19"/>
    </row>
    <row r="12" spans="1:16">
      <c r="A12" s="188">
        <v>9</v>
      </c>
      <c r="B12" s="211">
        <v>46274</v>
      </c>
      <c r="C12" s="37"/>
      <c r="D12" s="37"/>
      <c r="E12" s="256">
        <v>156.55000000000001</v>
      </c>
      <c r="F12" s="283">
        <v>99.13</v>
      </c>
      <c r="G12" s="37">
        <f t="shared" si="0"/>
        <v>15518.8015</v>
      </c>
      <c r="H12" s="37"/>
      <c r="I12" s="37"/>
      <c r="J12" s="37">
        <f t="shared" si="1"/>
        <v>0</v>
      </c>
      <c r="K12" s="37">
        <f t="shared" si="2"/>
        <v>15518.8015</v>
      </c>
      <c r="L12" s="37"/>
      <c r="M12" s="37">
        <f t="shared" si="3"/>
        <v>476939.13290000003</v>
      </c>
      <c r="N12" s="37"/>
    </row>
    <row r="13" spans="1:16">
      <c r="A13" s="43">
        <v>10</v>
      </c>
      <c r="B13" s="211">
        <v>46275</v>
      </c>
      <c r="C13" s="37"/>
      <c r="D13" s="37"/>
      <c r="E13" s="256">
        <v>1287.47</v>
      </c>
      <c r="F13" s="283">
        <v>99.13</v>
      </c>
      <c r="G13" s="37">
        <f t="shared" si="0"/>
        <v>127626.9011</v>
      </c>
      <c r="H13" s="37"/>
      <c r="I13" s="37"/>
      <c r="J13" s="37">
        <f t="shared" si="1"/>
        <v>0</v>
      </c>
      <c r="K13" s="37">
        <f t="shared" si="2"/>
        <v>127626.9011</v>
      </c>
      <c r="L13" s="37"/>
      <c r="M13" s="37">
        <f t="shared" si="3"/>
        <v>604566.03399999999</v>
      </c>
      <c r="N13" s="37"/>
    </row>
    <row r="14" spans="1:16">
      <c r="A14" s="188">
        <v>11</v>
      </c>
      <c r="B14" s="211">
        <v>46276</v>
      </c>
      <c r="C14" s="37"/>
      <c r="D14" s="37"/>
      <c r="E14" s="256">
        <v>1071.4000000000001</v>
      </c>
      <c r="F14" s="283">
        <v>99.13</v>
      </c>
      <c r="G14" s="37">
        <f t="shared" si="0"/>
        <v>106207.882</v>
      </c>
      <c r="H14" s="37"/>
      <c r="I14" s="37"/>
      <c r="J14" s="37">
        <f t="shared" si="1"/>
        <v>0</v>
      </c>
      <c r="K14" s="37">
        <f t="shared" si="2"/>
        <v>106207.882</v>
      </c>
      <c r="L14" s="37"/>
      <c r="M14" s="37">
        <f t="shared" si="3"/>
        <v>710773.91599999997</v>
      </c>
      <c r="N14" s="37"/>
    </row>
    <row r="15" spans="1:16">
      <c r="A15" s="43">
        <v>12</v>
      </c>
      <c r="B15" s="211">
        <v>46277</v>
      </c>
      <c r="C15" s="37"/>
      <c r="D15" s="37"/>
      <c r="E15" s="256">
        <v>800</v>
      </c>
      <c r="F15" s="283">
        <v>99.13</v>
      </c>
      <c r="G15" s="37">
        <f t="shared" si="0"/>
        <v>79304</v>
      </c>
      <c r="H15" s="37"/>
      <c r="I15" s="37"/>
      <c r="J15" s="37">
        <f t="shared" si="1"/>
        <v>0</v>
      </c>
      <c r="K15" s="37">
        <f t="shared" si="2"/>
        <v>79304</v>
      </c>
      <c r="L15" s="37"/>
      <c r="M15" s="37">
        <f t="shared" si="3"/>
        <v>790077.91599999997</v>
      </c>
      <c r="N15" s="37"/>
    </row>
    <row r="16" spans="1:16">
      <c r="A16" s="188">
        <v>13</v>
      </c>
      <c r="B16" s="211">
        <v>46278</v>
      </c>
      <c r="C16" s="37"/>
      <c r="D16" s="37"/>
      <c r="E16" s="256">
        <v>302.94</v>
      </c>
      <c r="F16" s="283">
        <v>99.13</v>
      </c>
      <c r="G16" s="37">
        <f t="shared" si="0"/>
        <v>30030.442199999998</v>
      </c>
      <c r="H16" s="37"/>
      <c r="I16" s="37"/>
      <c r="J16" s="37">
        <f t="shared" si="1"/>
        <v>0</v>
      </c>
      <c r="K16" s="37">
        <f t="shared" si="2"/>
        <v>30030.442199999998</v>
      </c>
      <c r="L16" s="37"/>
      <c r="M16" s="37">
        <f t="shared" si="3"/>
        <v>820108.35820000002</v>
      </c>
      <c r="N16" s="37"/>
    </row>
    <row r="17" spans="1:14">
      <c r="A17" s="43">
        <v>14</v>
      </c>
      <c r="B17" s="211">
        <v>46279</v>
      </c>
      <c r="C17" s="37"/>
      <c r="D17" s="37"/>
      <c r="E17" s="256"/>
      <c r="F17" s="283"/>
      <c r="G17" s="37">
        <f t="shared" si="0"/>
        <v>0</v>
      </c>
      <c r="H17" s="37"/>
      <c r="I17" s="37"/>
      <c r="J17" s="37">
        <f t="shared" si="1"/>
        <v>0</v>
      </c>
      <c r="K17" s="37">
        <f t="shared" si="2"/>
        <v>0</v>
      </c>
      <c r="L17" s="37"/>
      <c r="M17" s="37">
        <f t="shared" si="3"/>
        <v>820108.35820000002</v>
      </c>
      <c r="N17" s="37"/>
    </row>
    <row r="18" spans="1:14">
      <c r="A18" s="188">
        <v>15</v>
      </c>
      <c r="B18" s="211">
        <v>46280</v>
      </c>
      <c r="C18" s="37"/>
      <c r="D18" s="37"/>
      <c r="E18" s="256"/>
      <c r="F18" s="283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/>
      <c r="M18" s="37">
        <f t="shared" si="3"/>
        <v>820108.35820000002</v>
      </c>
      <c r="N18" s="37"/>
    </row>
    <row r="19" spans="1:14">
      <c r="A19" s="43">
        <v>16</v>
      </c>
      <c r="B19" s="211">
        <v>46281</v>
      </c>
      <c r="C19" s="37"/>
      <c r="D19" s="37"/>
      <c r="E19" s="256">
        <v>600</v>
      </c>
      <c r="F19" s="283">
        <v>99.13</v>
      </c>
      <c r="G19" s="37">
        <f t="shared" si="0"/>
        <v>59478</v>
      </c>
      <c r="H19" s="37"/>
      <c r="I19" s="37"/>
      <c r="J19" s="37">
        <f t="shared" si="1"/>
        <v>0</v>
      </c>
      <c r="K19" s="37">
        <f t="shared" si="2"/>
        <v>59478</v>
      </c>
      <c r="L19" s="37"/>
      <c r="M19" s="37">
        <f>M18+K19-L19</f>
        <v>879586.35820000002</v>
      </c>
      <c r="N19" s="37"/>
    </row>
    <row r="20" spans="1:14">
      <c r="A20" s="188">
        <v>17</v>
      </c>
      <c r="B20" s="211">
        <v>46282</v>
      </c>
      <c r="C20" s="37"/>
      <c r="D20" s="37"/>
      <c r="E20" s="256"/>
      <c r="F20" s="283"/>
      <c r="G20" s="37">
        <f t="shared" si="0"/>
        <v>0</v>
      </c>
      <c r="H20" s="37"/>
      <c r="I20" s="37"/>
      <c r="J20" s="37">
        <f t="shared" si="1"/>
        <v>0</v>
      </c>
      <c r="K20" s="37">
        <f t="shared" si="2"/>
        <v>0</v>
      </c>
      <c r="L20" s="37"/>
      <c r="M20" s="37">
        <f t="shared" si="3"/>
        <v>879586.35820000002</v>
      </c>
      <c r="N20" s="37"/>
    </row>
    <row r="21" spans="1:14">
      <c r="A21" s="43">
        <v>18</v>
      </c>
      <c r="B21" s="211">
        <v>46283</v>
      </c>
      <c r="C21" s="37"/>
      <c r="D21" s="37"/>
      <c r="E21" s="256">
        <v>600</v>
      </c>
      <c r="F21" s="283">
        <v>99.13</v>
      </c>
      <c r="G21" s="37">
        <f t="shared" si="0"/>
        <v>59478</v>
      </c>
      <c r="H21" s="37"/>
      <c r="I21" s="37"/>
      <c r="J21" s="37">
        <f t="shared" si="1"/>
        <v>0</v>
      </c>
      <c r="K21" s="37">
        <f t="shared" si="2"/>
        <v>59478</v>
      </c>
      <c r="L21" s="37"/>
      <c r="M21" s="37">
        <f t="shared" si="3"/>
        <v>939064.35820000002</v>
      </c>
      <c r="N21" s="37"/>
    </row>
    <row r="22" spans="1:14">
      <c r="A22" s="188">
        <v>19</v>
      </c>
      <c r="B22" s="211">
        <v>46284</v>
      </c>
      <c r="C22" s="37"/>
      <c r="D22" s="37"/>
      <c r="E22" s="256">
        <v>325.64</v>
      </c>
      <c r="F22" s="283">
        <v>99.13</v>
      </c>
      <c r="G22" s="37">
        <f t="shared" si="0"/>
        <v>32280.693199999998</v>
      </c>
      <c r="H22" s="37"/>
      <c r="I22" s="37"/>
      <c r="J22" s="37">
        <f t="shared" si="1"/>
        <v>0</v>
      </c>
      <c r="K22" s="37">
        <f t="shared" si="2"/>
        <v>32280.693199999998</v>
      </c>
      <c r="L22" s="37"/>
      <c r="M22" s="37">
        <f t="shared" si="3"/>
        <v>971345.0514</v>
      </c>
      <c r="N22" s="37"/>
    </row>
    <row r="23" spans="1:14">
      <c r="A23" s="43">
        <v>20</v>
      </c>
      <c r="B23" s="211">
        <v>46285</v>
      </c>
      <c r="C23" s="37"/>
      <c r="D23" s="37"/>
      <c r="E23" s="256">
        <v>1000</v>
      </c>
      <c r="F23" s="283">
        <v>99.13</v>
      </c>
      <c r="G23" s="37">
        <f t="shared" si="0"/>
        <v>99130</v>
      </c>
      <c r="H23" s="37"/>
      <c r="I23" s="37"/>
      <c r="J23" s="37">
        <f t="shared" si="1"/>
        <v>0</v>
      </c>
      <c r="K23" s="37">
        <f t="shared" si="2"/>
        <v>99130</v>
      </c>
      <c r="L23" s="37"/>
      <c r="M23" s="37">
        <f t="shared" si="3"/>
        <v>1070475.0514</v>
      </c>
      <c r="N23" s="37"/>
    </row>
    <row r="24" spans="1:14">
      <c r="A24" s="188">
        <v>21</v>
      </c>
      <c r="B24" s="211">
        <v>46286</v>
      </c>
      <c r="C24" s="37"/>
      <c r="D24" s="37"/>
      <c r="E24" s="256">
        <v>255.36</v>
      </c>
      <c r="F24" s="283">
        <v>99.13</v>
      </c>
      <c r="G24" s="37">
        <f t="shared" si="0"/>
        <v>25313.836800000001</v>
      </c>
      <c r="H24" s="37"/>
      <c r="I24" s="37"/>
      <c r="J24" s="37">
        <f t="shared" si="1"/>
        <v>0</v>
      </c>
      <c r="K24" s="37">
        <f t="shared" si="2"/>
        <v>25313.836800000001</v>
      </c>
      <c r="L24" s="37"/>
      <c r="M24" s="37">
        <f t="shared" si="3"/>
        <v>1095788.8881999999</v>
      </c>
      <c r="N24" s="37"/>
    </row>
    <row r="25" spans="1:14">
      <c r="A25" s="43">
        <v>22</v>
      </c>
      <c r="B25" s="211">
        <v>46287</v>
      </c>
      <c r="C25" s="37"/>
      <c r="D25" s="37"/>
      <c r="E25" s="256"/>
      <c r="F25" s="283"/>
      <c r="G25" s="37">
        <f t="shared" si="0"/>
        <v>0</v>
      </c>
      <c r="H25" s="37"/>
      <c r="I25" s="37"/>
      <c r="J25" s="37">
        <f t="shared" si="1"/>
        <v>0</v>
      </c>
      <c r="K25" s="37">
        <f t="shared" si="2"/>
        <v>0</v>
      </c>
      <c r="L25" s="37"/>
      <c r="M25" s="37">
        <f t="shared" si="3"/>
        <v>1095788.8881999999</v>
      </c>
      <c r="N25" s="37"/>
    </row>
    <row r="26" spans="1:14">
      <c r="A26" s="188">
        <v>23</v>
      </c>
      <c r="B26" s="211">
        <v>46288</v>
      </c>
      <c r="C26" s="37"/>
      <c r="D26" s="37"/>
      <c r="E26" s="256"/>
      <c r="F26" s="283"/>
      <c r="G26" s="37">
        <f t="shared" si="0"/>
        <v>0</v>
      </c>
      <c r="H26" s="37"/>
      <c r="I26" s="37"/>
      <c r="J26" s="37">
        <f t="shared" si="1"/>
        <v>0</v>
      </c>
      <c r="K26" s="37">
        <f t="shared" si="2"/>
        <v>0</v>
      </c>
      <c r="L26" s="37">
        <v>700000</v>
      </c>
      <c r="M26" s="37">
        <f t="shared" si="3"/>
        <v>395788.88819999993</v>
      </c>
      <c r="N26" s="37"/>
    </row>
    <row r="27" spans="1:14">
      <c r="A27" s="43">
        <v>24</v>
      </c>
      <c r="B27" s="211">
        <v>46289</v>
      </c>
      <c r="C27" s="37"/>
      <c r="D27" s="37"/>
      <c r="E27" s="256">
        <v>1000</v>
      </c>
      <c r="F27" s="283">
        <v>99.13</v>
      </c>
      <c r="G27" s="37">
        <f t="shared" si="0"/>
        <v>99130</v>
      </c>
      <c r="H27" s="37"/>
      <c r="I27" s="37"/>
      <c r="J27" s="37">
        <f t="shared" si="1"/>
        <v>0</v>
      </c>
      <c r="K27" s="37">
        <f t="shared" si="2"/>
        <v>99130</v>
      </c>
      <c r="L27" s="37"/>
      <c r="M27" s="37">
        <f t="shared" si="3"/>
        <v>494918.88819999993</v>
      </c>
      <c r="N27" s="37"/>
    </row>
    <row r="28" spans="1:14">
      <c r="A28" s="188">
        <v>25</v>
      </c>
      <c r="B28" s="211">
        <v>46290</v>
      </c>
      <c r="C28" s="37"/>
      <c r="D28" s="37"/>
      <c r="E28" s="256">
        <v>205.61</v>
      </c>
      <c r="F28" s="283">
        <v>99.13</v>
      </c>
      <c r="G28" s="37">
        <f t="shared" si="0"/>
        <v>20382.119300000002</v>
      </c>
      <c r="H28" s="37"/>
      <c r="I28" s="37"/>
      <c r="J28" s="37">
        <f t="shared" si="1"/>
        <v>0</v>
      </c>
      <c r="K28" s="37">
        <f t="shared" si="2"/>
        <v>20382.119300000002</v>
      </c>
      <c r="L28" s="37"/>
      <c r="M28" s="37">
        <f t="shared" si="3"/>
        <v>515301.00749999995</v>
      </c>
      <c r="N28" s="37"/>
    </row>
    <row r="29" spans="1:14">
      <c r="A29" s="43">
        <v>26</v>
      </c>
      <c r="B29" s="211">
        <v>46291</v>
      </c>
      <c r="C29" s="37"/>
      <c r="D29" s="37"/>
      <c r="E29" s="256"/>
      <c r="F29" s="283"/>
      <c r="G29" s="37">
        <f t="shared" si="0"/>
        <v>0</v>
      </c>
      <c r="H29" s="37"/>
      <c r="I29" s="37"/>
      <c r="J29" s="37">
        <f t="shared" si="1"/>
        <v>0</v>
      </c>
      <c r="K29" s="37">
        <f t="shared" si="2"/>
        <v>0</v>
      </c>
      <c r="L29" s="37"/>
      <c r="M29" s="37">
        <f t="shared" si="3"/>
        <v>515301.00749999995</v>
      </c>
      <c r="N29" s="37"/>
    </row>
    <row r="30" spans="1:14">
      <c r="A30" s="188">
        <v>27</v>
      </c>
      <c r="B30" s="211">
        <v>46292</v>
      </c>
      <c r="C30" s="37"/>
      <c r="D30" s="37"/>
      <c r="E30" s="256">
        <v>800</v>
      </c>
      <c r="F30" s="283">
        <v>99.13</v>
      </c>
      <c r="G30" s="37">
        <f t="shared" si="0"/>
        <v>79304</v>
      </c>
      <c r="H30" s="37"/>
      <c r="I30" s="37"/>
      <c r="J30" s="37">
        <f t="shared" si="1"/>
        <v>0</v>
      </c>
      <c r="K30" s="37">
        <f t="shared" si="2"/>
        <v>79304</v>
      </c>
      <c r="L30" s="37"/>
      <c r="M30" s="37">
        <f t="shared" si="3"/>
        <v>594605.00749999995</v>
      </c>
      <c r="N30" s="37"/>
    </row>
    <row r="31" spans="1:14">
      <c r="A31" s="43">
        <v>28</v>
      </c>
      <c r="B31" s="211">
        <v>46293</v>
      </c>
      <c r="C31" s="37"/>
      <c r="D31" s="37"/>
      <c r="E31" s="256">
        <v>100</v>
      </c>
      <c r="F31" s="283">
        <v>99.13</v>
      </c>
      <c r="G31" s="37">
        <f t="shared" si="0"/>
        <v>9913</v>
      </c>
      <c r="H31" s="37"/>
      <c r="I31" s="37"/>
      <c r="J31" s="37">
        <f t="shared" si="1"/>
        <v>0</v>
      </c>
      <c r="K31" s="37">
        <f t="shared" si="2"/>
        <v>9913</v>
      </c>
      <c r="L31" s="37"/>
      <c r="M31" s="37">
        <f t="shared" si="3"/>
        <v>604518.00749999995</v>
      </c>
      <c r="N31" s="37"/>
    </row>
    <row r="32" spans="1:14">
      <c r="A32" s="188">
        <v>29</v>
      </c>
      <c r="B32" s="211">
        <v>46294</v>
      </c>
      <c r="C32" s="37"/>
      <c r="D32" s="37"/>
      <c r="E32" s="256">
        <v>1000</v>
      </c>
      <c r="F32" s="283">
        <v>99.13</v>
      </c>
      <c r="G32" s="37">
        <f t="shared" si="0"/>
        <v>99130</v>
      </c>
      <c r="H32" s="37"/>
      <c r="I32" s="37"/>
      <c r="J32" s="37">
        <f t="shared" si="1"/>
        <v>0</v>
      </c>
      <c r="K32" s="37">
        <f t="shared" si="2"/>
        <v>99130</v>
      </c>
      <c r="L32" s="37"/>
      <c r="M32" s="37">
        <f t="shared" si="3"/>
        <v>703648.00749999995</v>
      </c>
      <c r="N32" s="37"/>
    </row>
    <row r="33" spans="1:14">
      <c r="A33" s="43">
        <v>30</v>
      </c>
      <c r="B33" s="211">
        <v>46295</v>
      </c>
      <c r="C33" s="37"/>
      <c r="D33" s="37"/>
      <c r="E33" s="256"/>
      <c r="F33" s="283"/>
      <c r="G33" s="37">
        <f>E33*F33</f>
        <v>0</v>
      </c>
      <c r="H33" s="37"/>
      <c r="I33" s="37"/>
      <c r="J33" s="37">
        <f>H33*I33</f>
        <v>0</v>
      </c>
      <c r="K33" s="37">
        <f>G33+J33</f>
        <v>0</v>
      </c>
      <c r="L33" s="37"/>
      <c r="M33" s="37">
        <f>M32+K33-L33</f>
        <v>703648.00749999995</v>
      </c>
      <c r="N33" s="37"/>
    </row>
    <row r="34" spans="1:14">
      <c r="A34" s="188">
        <v>31</v>
      </c>
      <c r="B34" s="211"/>
      <c r="C34" s="37"/>
      <c r="D34" s="37"/>
      <c r="E34" s="256"/>
      <c r="F34" s="283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/>
      <c r="M34" s="37">
        <f>M32+K34-L34</f>
        <v>703648.00749999995</v>
      </c>
      <c r="N34" s="37"/>
    </row>
    <row r="35" spans="1:14">
      <c r="A35" s="174"/>
      <c r="B35" s="174"/>
      <c r="C35" s="174"/>
      <c r="D35" s="174"/>
      <c r="E35" s="174">
        <f>SUM(E4:E34)</f>
        <v>12786.710000000001</v>
      </c>
      <c r="F35" s="174"/>
      <c r="G35" s="174">
        <f>SUM(G4:G34)</f>
        <v>1267546.5622999999</v>
      </c>
      <c r="H35" s="174">
        <f>SUM(H4:H34)</f>
        <v>0</v>
      </c>
      <c r="I35" s="174"/>
      <c r="J35" s="174">
        <f>SUM(J4:J34)</f>
        <v>0</v>
      </c>
      <c r="K35" s="174">
        <f>SUM(K4:K34)</f>
        <v>1267546.5622999999</v>
      </c>
      <c r="L35" s="174">
        <f>SUM(L4:L34)</f>
        <v>700000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4F00-955C-484E-8374-CC217A19A54B}">
  <sheetPr>
    <tabColor rgb="FF002060"/>
  </sheetPr>
  <dimension ref="A1:P35"/>
  <sheetViews>
    <sheetView workbookViewId="0">
      <pane ySplit="3" topLeftCell="A26" activePane="bottomLeft" state="frozen"/>
      <selection pane="bottomLeft" activeCell="M34" sqref="M34"/>
    </sheetView>
  </sheetViews>
  <sheetFormatPr defaultRowHeight="15"/>
  <cols>
    <col min="2" max="2" width="9.85546875" customWidth="1"/>
    <col min="4" max="4" width="12.85546875" customWidth="1"/>
    <col min="5" max="5" width="12" customWidth="1"/>
    <col min="7" max="7" width="10" customWidth="1"/>
    <col min="8" max="8" width="12.5703125" customWidth="1"/>
    <col min="11" max="11" width="13.5703125" bestFit="1" customWidth="1"/>
    <col min="12" max="12" width="23.42578125" customWidth="1"/>
    <col min="13" max="13" width="10.5703125" bestFit="1" customWidth="1"/>
    <col min="18" max="18" width="13.7109375" customWidth="1"/>
  </cols>
  <sheetData>
    <row r="1" spans="1:16" ht="15.75">
      <c r="A1" s="577" t="s">
        <v>149</v>
      </c>
      <c r="B1" s="578"/>
      <c r="C1" s="578"/>
      <c r="D1" s="578"/>
      <c r="E1" s="578"/>
      <c r="F1" s="578"/>
      <c r="G1" s="578"/>
      <c r="H1" s="578"/>
      <c r="I1" s="578"/>
      <c r="J1" s="578"/>
      <c r="K1" s="578"/>
      <c r="L1" s="578"/>
      <c r="M1" s="578"/>
      <c r="N1" s="579"/>
    </row>
    <row r="2" spans="1:16" ht="19.5" customHeight="1">
      <c r="A2" s="120" t="s">
        <v>0</v>
      </c>
      <c r="B2" s="205" t="s">
        <v>168</v>
      </c>
      <c r="C2" s="205" t="s">
        <v>169</v>
      </c>
      <c r="D2" s="205" t="s">
        <v>184</v>
      </c>
      <c r="E2" s="205" t="s">
        <v>171</v>
      </c>
      <c r="F2" s="205" t="s">
        <v>172</v>
      </c>
      <c r="G2" s="205" t="s">
        <v>173</v>
      </c>
      <c r="H2" s="205" t="s">
        <v>174</v>
      </c>
      <c r="I2" s="205" t="s">
        <v>172</v>
      </c>
      <c r="J2" s="205" t="s">
        <v>173</v>
      </c>
      <c r="K2" s="168" t="s">
        <v>175</v>
      </c>
      <c r="L2" s="168" t="s">
        <v>176</v>
      </c>
      <c r="M2" s="168" t="s">
        <v>185</v>
      </c>
      <c r="N2" s="205" t="s">
        <v>178</v>
      </c>
    </row>
    <row r="3" spans="1:16">
      <c r="A3" s="580" t="s">
        <v>179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2"/>
      <c r="M3" s="580">
        <v>144612.80695000014</v>
      </c>
      <c r="N3" s="582"/>
    </row>
    <row r="4" spans="1:16">
      <c r="A4" s="188">
        <v>1</v>
      </c>
      <c r="B4" s="211">
        <v>46266</v>
      </c>
      <c r="C4" s="37"/>
      <c r="D4" s="37"/>
      <c r="E4" s="256">
        <v>517.44000000000005</v>
      </c>
      <c r="F4" s="283">
        <v>99.37</v>
      </c>
      <c r="G4" s="37">
        <f>E4*F4</f>
        <v>51418.012800000011</v>
      </c>
      <c r="H4" s="37">
        <v>15</v>
      </c>
      <c r="I4" s="37">
        <v>111.46</v>
      </c>
      <c r="J4" s="37">
        <f>H4*I4</f>
        <v>1671.8999999999999</v>
      </c>
      <c r="K4" s="37">
        <f>G4+J4</f>
        <v>53089.912800000013</v>
      </c>
      <c r="L4" s="37"/>
      <c r="M4" s="37">
        <f>M3+K4-L4</f>
        <v>197702.71975000016</v>
      </c>
      <c r="N4" s="37"/>
    </row>
    <row r="5" spans="1:16">
      <c r="A5" s="43">
        <v>2</v>
      </c>
      <c r="B5" s="211">
        <v>46267</v>
      </c>
      <c r="C5" s="37"/>
      <c r="D5" s="37"/>
      <c r="E5" s="256">
        <v>648.53</v>
      </c>
      <c r="F5" s="283">
        <v>99.37</v>
      </c>
      <c r="G5" s="37">
        <f t="shared" ref="G5:G34" si="0">E5*F5</f>
        <v>64444.426099999997</v>
      </c>
      <c r="H5" s="37">
        <v>25</v>
      </c>
      <c r="I5" s="37">
        <v>111.46</v>
      </c>
      <c r="J5" s="37">
        <f t="shared" ref="J5:J33" si="1">H5*I5</f>
        <v>2786.5</v>
      </c>
      <c r="K5" s="37">
        <f t="shared" ref="K5:K11" si="2">G5+J5</f>
        <v>67230.926099999997</v>
      </c>
      <c r="L5" s="37"/>
      <c r="M5" s="37">
        <f t="shared" ref="M5:M14" si="3">M4+K5-L5</f>
        <v>264933.64585000015</v>
      </c>
      <c r="N5" s="37"/>
    </row>
    <row r="6" spans="1:16">
      <c r="A6" s="43">
        <v>3</v>
      </c>
      <c r="B6" s="211">
        <v>46268</v>
      </c>
      <c r="C6" s="37"/>
      <c r="D6" s="37"/>
      <c r="E6" s="256">
        <v>762.72</v>
      </c>
      <c r="F6" s="283">
        <v>99.37</v>
      </c>
      <c r="G6" s="37">
        <f t="shared" si="0"/>
        <v>75791.486400000009</v>
      </c>
      <c r="H6" s="37">
        <v>30</v>
      </c>
      <c r="I6" s="37">
        <v>111.46</v>
      </c>
      <c r="J6" s="37">
        <f t="shared" si="1"/>
        <v>3343.7999999999997</v>
      </c>
      <c r="K6" s="37">
        <f t="shared" si="2"/>
        <v>79135.286400000012</v>
      </c>
      <c r="L6" s="37"/>
      <c r="M6" s="37">
        <f t="shared" si="3"/>
        <v>344068.93225000019</v>
      </c>
      <c r="N6" s="37"/>
    </row>
    <row r="7" spans="1:16">
      <c r="A7" s="43">
        <v>4</v>
      </c>
      <c r="B7" s="211">
        <v>46269</v>
      </c>
      <c r="C7" s="37"/>
      <c r="D7" s="37"/>
      <c r="E7" s="256">
        <v>385.33</v>
      </c>
      <c r="F7" s="283">
        <v>99.37</v>
      </c>
      <c r="G7" s="37">
        <f t="shared" si="0"/>
        <v>38290.242100000003</v>
      </c>
      <c r="H7" s="37"/>
      <c r="I7" s="37"/>
      <c r="J7" s="37">
        <f t="shared" si="1"/>
        <v>0</v>
      </c>
      <c r="K7" s="37">
        <f t="shared" si="2"/>
        <v>38290.242100000003</v>
      </c>
      <c r="L7" s="37"/>
      <c r="M7" s="37">
        <f t="shared" si="3"/>
        <v>382359.17435000022</v>
      </c>
      <c r="N7" s="37"/>
    </row>
    <row r="8" spans="1:16">
      <c r="A8" s="43">
        <v>5</v>
      </c>
      <c r="B8" s="211">
        <v>46270</v>
      </c>
      <c r="C8" s="37"/>
      <c r="D8" s="37"/>
      <c r="E8" s="256">
        <v>775.12</v>
      </c>
      <c r="F8" s="283">
        <v>99.37</v>
      </c>
      <c r="G8" s="37">
        <f t="shared" si="0"/>
        <v>77023.674400000004</v>
      </c>
      <c r="H8" s="37">
        <v>5</v>
      </c>
      <c r="I8" s="37">
        <v>111.46</v>
      </c>
      <c r="J8" s="37">
        <f t="shared" si="1"/>
        <v>557.29999999999995</v>
      </c>
      <c r="K8" s="37">
        <f t="shared" si="2"/>
        <v>77580.974400000006</v>
      </c>
      <c r="L8" s="37"/>
      <c r="M8" s="37">
        <f t="shared" si="3"/>
        <v>459940.14875000023</v>
      </c>
      <c r="N8" s="37"/>
    </row>
    <row r="9" spans="1:16">
      <c r="A9" s="43">
        <v>6</v>
      </c>
      <c r="B9" s="211">
        <v>46271</v>
      </c>
      <c r="C9" s="37"/>
      <c r="D9" s="37"/>
      <c r="E9" s="256">
        <v>248.53</v>
      </c>
      <c r="F9" s="283">
        <v>99.37</v>
      </c>
      <c r="G9" s="37">
        <f t="shared" si="0"/>
        <v>24696.426100000001</v>
      </c>
      <c r="H9" s="37"/>
      <c r="I9" s="37"/>
      <c r="J9" s="37">
        <f t="shared" si="1"/>
        <v>0</v>
      </c>
      <c r="K9" s="37">
        <f t="shared" si="2"/>
        <v>24696.426100000001</v>
      </c>
      <c r="L9" s="37"/>
      <c r="M9" s="37">
        <f t="shared" si="3"/>
        <v>484636.57485000021</v>
      </c>
      <c r="N9" s="37"/>
    </row>
    <row r="10" spans="1:16">
      <c r="A10" s="43">
        <v>7</v>
      </c>
      <c r="B10" s="211">
        <v>46272</v>
      </c>
      <c r="C10" s="37"/>
      <c r="D10" s="37"/>
      <c r="E10" s="256">
        <v>787.6</v>
      </c>
      <c r="F10" s="283">
        <v>99.37</v>
      </c>
      <c r="G10" s="37">
        <f>E10*F10</f>
        <v>78263.812000000005</v>
      </c>
      <c r="H10" s="37">
        <v>15</v>
      </c>
      <c r="I10" s="37">
        <v>111.46</v>
      </c>
      <c r="J10" s="37">
        <f t="shared" si="1"/>
        <v>1671.8999999999999</v>
      </c>
      <c r="K10" s="37">
        <f>G10+J10</f>
        <v>79935.712</v>
      </c>
      <c r="L10" s="37"/>
      <c r="M10" s="37">
        <f t="shared" si="3"/>
        <v>564572.28685000027</v>
      </c>
      <c r="N10" s="37"/>
    </row>
    <row r="11" spans="1:16">
      <c r="A11" s="43">
        <v>8</v>
      </c>
      <c r="B11" s="211">
        <v>46273</v>
      </c>
      <c r="C11" s="37"/>
      <c r="D11" s="37"/>
      <c r="E11" s="256"/>
      <c r="F11" s="283"/>
      <c r="G11" s="37">
        <f t="shared" si="0"/>
        <v>0</v>
      </c>
      <c r="H11" s="37">
        <v>25</v>
      </c>
      <c r="I11" s="37">
        <v>111.46</v>
      </c>
      <c r="J11" s="37">
        <f t="shared" si="1"/>
        <v>2786.5</v>
      </c>
      <c r="K11" s="37">
        <f t="shared" si="2"/>
        <v>2786.5</v>
      </c>
      <c r="L11" s="37"/>
      <c r="M11" s="37">
        <f t="shared" si="3"/>
        <v>567358.78685000027</v>
      </c>
      <c r="N11" s="37"/>
      <c r="P11" s="19"/>
    </row>
    <row r="12" spans="1:16">
      <c r="A12" s="43">
        <v>9</v>
      </c>
      <c r="B12" s="211">
        <v>46274</v>
      </c>
      <c r="C12" s="37"/>
      <c r="D12" s="37"/>
      <c r="E12" s="256">
        <v>150</v>
      </c>
      <c r="F12" s="283">
        <v>99.37</v>
      </c>
      <c r="G12" s="37">
        <f t="shared" si="0"/>
        <v>14905.5</v>
      </c>
      <c r="H12" s="37">
        <v>25</v>
      </c>
      <c r="I12" s="37">
        <v>111.46</v>
      </c>
      <c r="J12" s="37">
        <f t="shared" si="1"/>
        <v>2786.5</v>
      </c>
      <c r="K12" s="37">
        <f t="shared" ref="K5:K33" si="4">G12+J12</f>
        <v>17692</v>
      </c>
      <c r="L12" s="37"/>
      <c r="M12" s="37">
        <f t="shared" si="3"/>
        <v>585050.78685000027</v>
      </c>
      <c r="N12" s="37"/>
    </row>
    <row r="13" spans="1:16">
      <c r="A13" s="43">
        <v>11</v>
      </c>
      <c r="B13" s="211">
        <v>46275</v>
      </c>
      <c r="C13" s="37"/>
      <c r="D13" s="37"/>
      <c r="E13" s="256">
        <v>455.35</v>
      </c>
      <c r="F13" s="283">
        <v>99.37</v>
      </c>
      <c r="G13" s="37">
        <f t="shared" si="0"/>
        <v>45248.129500000003</v>
      </c>
      <c r="H13" s="37">
        <v>25</v>
      </c>
      <c r="I13" s="37">
        <v>111.46</v>
      </c>
      <c r="J13" s="37">
        <f t="shared" si="1"/>
        <v>2786.5</v>
      </c>
      <c r="K13" s="37">
        <f t="shared" si="4"/>
        <v>48034.629500000003</v>
      </c>
      <c r="L13" s="37"/>
      <c r="M13" s="37">
        <f t="shared" si="3"/>
        <v>633085.41635000031</v>
      </c>
      <c r="N13" s="37"/>
    </row>
    <row r="14" spans="1:16">
      <c r="A14" s="43">
        <v>12</v>
      </c>
      <c r="B14" s="211">
        <v>46276</v>
      </c>
      <c r="C14" s="37"/>
      <c r="D14" s="37"/>
      <c r="E14" s="256">
        <v>45.12</v>
      </c>
      <c r="F14" s="283">
        <v>99.37</v>
      </c>
      <c r="G14" s="37">
        <f t="shared" si="0"/>
        <v>4483.5743999999995</v>
      </c>
      <c r="H14" s="37">
        <v>10</v>
      </c>
      <c r="I14" s="37">
        <v>111.46</v>
      </c>
      <c r="J14" s="37">
        <f t="shared" si="1"/>
        <v>1114.5999999999999</v>
      </c>
      <c r="K14" s="37">
        <f t="shared" si="4"/>
        <v>5598.1743999999999</v>
      </c>
      <c r="L14" s="37"/>
      <c r="M14" s="37">
        <f t="shared" si="3"/>
        <v>638683.59075000032</v>
      </c>
      <c r="N14" s="37"/>
    </row>
    <row r="15" spans="1:16">
      <c r="A15" s="43">
        <v>13</v>
      </c>
      <c r="B15" s="211">
        <v>46277</v>
      </c>
      <c r="C15" s="37"/>
      <c r="D15" s="37"/>
      <c r="E15" s="256">
        <v>175.01</v>
      </c>
      <c r="F15" s="283">
        <v>99.37</v>
      </c>
      <c r="G15" s="37">
        <f t="shared" si="0"/>
        <v>17390.743699999999</v>
      </c>
      <c r="H15" s="37">
        <v>10</v>
      </c>
      <c r="I15" s="37">
        <v>111.46</v>
      </c>
      <c r="J15" s="37">
        <f t="shared" si="1"/>
        <v>1114.5999999999999</v>
      </c>
      <c r="K15" s="37">
        <f t="shared" si="4"/>
        <v>18505.343699999998</v>
      </c>
      <c r="L15" s="37"/>
      <c r="M15" s="37">
        <f t="shared" ref="M5:M34" si="5">M14+K15-L15</f>
        <v>657188.93445000029</v>
      </c>
      <c r="N15" s="37"/>
    </row>
    <row r="16" spans="1:16">
      <c r="A16" s="43">
        <v>14</v>
      </c>
      <c r="B16" s="211">
        <v>46278</v>
      </c>
      <c r="C16" s="37"/>
      <c r="D16" s="37"/>
      <c r="E16" s="256">
        <v>121.49</v>
      </c>
      <c r="F16" s="283">
        <v>99.37</v>
      </c>
      <c r="G16" s="37">
        <f t="shared" si="0"/>
        <v>12072.461300000001</v>
      </c>
      <c r="H16" s="37">
        <v>5</v>
      </c>
      <c r="I16" s="37">
        <v>111.46</v>
      </c>
      <c r="J16" s="37">
        <f t="shared" si="1"/>
        <v>557.29999999999995</v>
      </c>
      <c r="K16" s="37">
        <f t="shared" si="4"/>
        <v>12629.7613</v>
      </c>
      <c r="L16" s="37"/>
      <c r="M16" s="37">
        <f t="shared" si="5"/>
        <v>669818.6957500003</v>
      </c>
      <c r="N16" s="37"/>
    </row>
    <row r="17" spans="1:14">
      <c r="A17" s="43">
        <v>15</v>
      </c>
      <c r="B17" s="211">
        <v>46279</v>
      </c>
      <c r="C17" s="37"/>
      <c r="D17" s="37"/>
      <c r="E17" s="256"/>
      <c r="F17" s="283"/>
      <c r="G17" s="37">
        <f t="shared" si="0"/>
        <v>0</v>
      </c>
      <c r="H17" s="37">
        <v>10</v>
      </c>
      <c r="I17" s="37">
        <v>111.46</v>
      </c>
      <c r="J17" s="37">
        <f t="shared" si="1"/>
        <v>1114.5999999999999</v>
      </c>
      <c r="K17" s="37">
        <f t="shared" si="4"/>
        <v>1114.5999999999999</v>
      </c>
      <c r="L17" s="37"/>
      <c r="M17" s="37">
        <f t="shared" si="5"/>
        <v>670933.29575000028</v>
      </c>
      <c r="N17" s="37"/>
    </row>
    <row r="18" spans="1:14">
      <c r="A18" s="43">
        <v>16</v>
      </c>
      <c r="B18" s="211">
        <v>46280</v>
      </c>
      <c r="C18" s="37"/>
      <c r="D18" s="37"/>
      <c r="E18" s="256">
        <v>478.6</v>
      </c>
      <c r="F18" s="283">
        <v>99.37</v>
      </c>
      <c r="G18" s="37">
        <f t="shared" si="0"/>
        <v>47558.482000000004</v>
      </c>
      <c r="H18" s="37">
        <v>30</v>
      </c>
      <c r="I18" s="37">
        <v>111.46</v>
      </c>
      <c r="J18" s="37">
        <f t="shared" si="1"/>
        <v>3343.7999999999997</v>
      </c>
      <c r="K18" s="37">
        <f t="shared" si="4"/>
        <v>50902.282000000007</v>
      </c>
      <c r="L18" s="37"/>
      <c r="M18" s="37">
        <f t="shared" si="5"/>
        <v>721835.57775000029</v>
      </c>
      <c r="N18" s="37"/>
    </row>
    <row r="19" spans="1:14">
      <c r="A19" s="43">
        <v>17</v>
      </c>
      <c r="B19" s="211">
        <v>46281</v>
      </c>
      <c r="C19" s="37"/>
      <c r="D19" s="37"/>
      <c r="E19" s="256">
        <v>78.59</v>
      </c>
      <c r="F19" s="283">
        <v>99.37</v>
      </c>
      <c r="G19" s="37">
        <f t="shared" si="0"/>
        <v>7809.4883000000009</v>
      </c>
      <c r="H19" s="37">
        <v>25</v>
      </c>
      <c r="I19" s="37">
        <v>111.46</v>
      </c>
      <c r="J19" s="37">
        <f t="shared" si="1"/>
        <v>2786.5</v>
      </c>
      <c r="K19" s="37">
        <f t="shared" si="4"/>
        <v>10595.988300000001</v>
      </c>
      <c r="L19" s="37"/>
      <c r="M19" s="37">
        <f t="shared" si="5"/>
        <v>732431.56605000026</v>
      </c>
      <c r="N19" s="37"/>
    </row>
    <row r="20" spans="1:14">
      <c r="A20" s="43">
        <v>18</v>
      </c>
      <c r="B20" s="211">
        <v>46282</v>
      </c>
      <c r="C20" s="37"/>
      <c r="D20" s="37"/>
      <c r="E20" s="256">
        <v>99.63</v>
      </c>
      <c r="F20" s="283">
        <v>99.37</v>
      </c>
      <c r="G20" s="37">
        <f t="shared" si="0"/>
        <v>9900.2330999999995</v>
      </c>
      <c r="H20" s="37">
        <v>10</v>
      </c>
      <c r="I20" s="37">
        <v>111.46</v>
      </c>
      <c r="J20" s="37">
        <f t="shared" si="1"/>
        <v>1114.5999999999999</v>
      </c>
      <c r="K20" s="37">
        <f t="shared" si="4"/>
        <v>11014.8331</v>
      </c>
      <c r="L20" s="37"/>
      <c r="M20" s="37">
        <f t="shared" si="5"/>
        <v>743446.3991500003</v>
      </c>
      <c r="N20" s="37"/>
    </row>
    <row r="21" spans="1:14">
      <c r="A21" s="43">
        <v>19</v>
      </c>
      <c r="B21" s="211">
        <v>46283</v>
      </c>
      <c r="C21" s="37"/>
      <c r="D21" s="37"/>
      <c r="E21" s="256">
        <v>313.13</v>
      </c>
      <c r="F21" s="283">
        <v>99.37</v>
      </c>
      <c r="G21" s="37">
        <f t="shared" si="0"/>
        <v>31115.7281</v>
      </c>
      <c r="H21" s="37">
        <v>20</v>
      </c>
      <c r="I21" s="37">
        <v>111.46</v>
      </c>
      <c r="J21" s="37">
        <f t="shared" si="1"/>
        <v>2229.1999999999998</v>
      </c>
      <c r="K21" s="37">
        <f t="shared" si="4"/>
        <v>33344.928099999997</v>
      </c>
      <c r="L21" s="37"/>
      <c r="M21" s="37">
        <f>M20+K21-L21</f>
        <v>776791.32725000032</v>
      </c>
      <c r="N21" s="37"/>
    </row>
    <row r="22" spans="1:14">
      <c r="A22" s="43">
        <v>20</v>
      </c>
      <c r="B22" s="211">
        <v>46284</v>
      </c>
      <c r="C22" s="37"/>
      <c r="D22" s="37"/>
      <c r="E22" s="256">
        <v>336.66</v>
      </c>
      <c r="F22" s="283">
        <v>99.37</v>
      </c>
      <c r="G22" s="37">
        <f t="shared" si="0"/>
        <v>33453.904200000004</v>
      </c>
      <c r="H22" s="37">
        <v>10</v>
      </c>
      <c r="I22" s="37">
        <v>111.46</v>
      </c>
      <c r="J22" s="37">
        <f t="shared" si="1"/>
        <v>1114.5999999999999</v>
      </c>
      <c r="K22" s="37">
        <f t="shared" si="4"/>
        <v>34568.504200000003</v>
      </c>
      <c r="L22" s="37"/>
      <c r="M22" s="37">
        <f t="shared" si="5"/>
        <v>811359.83145000029</v>
      </c>
      <c r="N22" s="37"/>
    </row>
    <row r="23" spans="1:14">
      <c r="A23" s="43">
        <v>21</v>
      </c>
      <c r="B23" s="211">
        <v>46285</v>
      </c>
      <c r="C23" s="37"/>
      <c r="D23" s="37"/>
      <c r="E23" s="256">
        <v>511.97</v>
      </c>
      <c r="F23" s="283">
        <v>99.37</v>
      </c>
      <c r="G23" s="37">
        <f t="shared" si="0"/>
        <v>50874.458900000005</v>
      </c>
      <c r="H23" s="37"/>
      <c r="I23" s="37"/>
      <c r="J23" s="37">
        <f t="shared" si="1"/>
        <v>0</v>
      </c>
      <c r="K23" s="37">
        <f t="shared" si="4"/>
        <v>50874.458900000005</v>
      </c>
      <c r="L23" s="37"/>
      <c r="M23" s="37">
        <f t="shared" si="5"/>
        <v>862234.29035000026</v>
      </c>
      <c r="N23" s="37"/>
    </row>
    <row r="24" spans="1:14">
      <c r="A24" s="43">
        <v>22</v>
      </c>
      <c r="B24" s="211">
        <v>46286</v>
      </c>
      <c r="C24" s="37"/>
      <c r="D24" s="37"/>
      <c r="E24" s="256">
        <v>137</v>
      </c>
      <c r="F24" s="283">
        <v>99.37</v>
      </c>
      <c r="G24" s="37">
        <f t="shared" si="0"/>
        <v>13613.69</v>
      </c>
      <c r="H24" s="37">
        <v>20</v>
      </c>
      <c r="I24" s="37">
        <v>111.46</v>
      </c>
      <c r="J24" s="37">
        <f t="shared" si="1"/>
        <v>2229.1999999999998</v>
      </c>
      <c r="K24" s="37">
        <f>G24+J24</f>
        <v>15842.89</v>
      </c>
      <c r="L24" s="37"/>
      <c r="M24" s="37">
        <f t="shared" si="5"/>
        <v>878077.18035000027</v>
      </c>
      <c r="N24" s="37"/>
    </row>
    <row r="25" spans="1:14">
      <c r="A25" s="43">
        <v>23</v>
      </c>
      <c r="B25" s="211">
        <v>46287</v>
      </c>
      <c r="C25" s="37"/>
      <c r="D25" s="37"/>
      <c r="E25" s="256">
        <v>403.81</v>
      </c>
      <c r="F25" s="283">
        <v>99.37</v>
      </c>
      <c r="G25" s="37">
        <f t="shared" si="0"/>
        <v>40126.599699999999</v>
      </c>
      <c r="H25" s="37">
        <v>15</v>
      </c>
      <c r="I25" s="37">
        <v>111.46</v>
      </c>
      <c r="J25" s="37">
        <f t="shared" si="1"/>
        <v>1671.8999999999999</v>
      </c>
      <c r="K25" s="37">
        <f t="shared" si="4"/>
        <v>41798.4997</v>
      </c>
      <c r="L25" s="37"/>
      <c r="M25" s="37">
        <f t="shared" si="5"/>
        <v>919875.68005000032</v>
      </c>
      <c r="N25" s="37"/>
    </row>
    <row r="26" spans="1:14">
      <c r="A26" s="43">
        <v>24</v>
      </c>
      <c r="B26" s="211">
        <v>46288</v>
      </c>
      <c r="C26" s="37"/>
      <c r="D26" s="37"/>
      <c r="E26" s="256">
        <v>555.13</v>
      </c>
      <c r="F26" s="283">
        <v>99.37</v>
      </c>
      <c r="G26" s="37">
        <f t="shared" si="0"/>
        <v>55163.268100000001</v>
      </c>
      <c r="H26" s="37">
        <v>5</v>
      </c>
      <c r="I26" s="37">
        <v>111.46</v>
      </c>
      <c r="J26" s="37">
        <f t="shared" si="1"/>
        <v>557.29999999999995</v>
      </c>
      <c r="K26" s="37">
        <f t="shared" si="4"/>
        <v>55720.568100000004</v>
      </c>
      <c r="L26" s="37">
        <v>650000</v>
      </c>
      <c r="M26" s="37">
        <f t="shared" si="5"/>
        <v>325596.24815000035</v>
      </c>
      <c r="N26" s="37"/>
    </row>
    <row r="27" spans="1:14">
      <c r="A27" s="213">
        <v>25</v>
      </c>
      <c r="B27" s="211">
        <v>46289</v>
      </c>
      <c r="C27" s="37"/>
      <c r="D27" s="37"/>
      <c r="E27" s="256">
        <v>653.22</v>
      </c>
      <c r="F27" s="283">
        <v>99.37</v>
      </c>
      <c r="G27" s="37">
        <f t="shared" si="0"/>
        <v>64910.471400000002</v>
      </c>
      <c r="H27" s="37">
        <v>5</v>
      </c>
      <c r="I27" s="37">
        <v>111.46</v>
      </c>
      <c r="J27" s="37">
        <f t="shared" si="1"/>
        <v>557.29999999999995</v>
      </c>
      <c r="K27" s="37">
        <f t="shared" si="4"/>
        <v>65467.771400000005</v>
      </c>
      <c r="L27" s="37"/>
      <c r="M27" s="37">
        <f t="shared" si="5"/>
        <v>391064.01955000038</v>
      </c>
      <c r="N27" s="37"/>
    </row>
    <row r="28" spans="1:14">
      <c r="A28" s="213">
        <v>26</v>
      </c>
      <c r="B28" s="211">
        <v>46290</v>
      </c>
      <c r="C28" s="37"/>
      <c r="D28" s="37"/>
      <c r="E28" s="256">
        <v>556.51</v>
      </c>
      <c r="F28" s="283">
        <v>99.37</v>
      </c>
      <c r="G28" s="37">
        <f t="shared" si="0"/>
        <v>55300.398700000005</v>
      </c>
      <c r="H28" s="37">
        <v>20</v>
      </c>
      <c r="I28" s="37">
        <v>111.46</v>
      </c>
      <c r="J28" s="37">
        <f t="shared" si="1"/>
        <v>2229.1999999999998</v>
      </c>
      <c r="K28" s="37">
        <f t="shared" si="4"/>
        <v>57529.598700000002</v>
      </c>
      <c r="L28" s="37"/>
      <c r="M28" s="37">
        <f t="shared" si="5"/>
        <v>448593.61825000041</v>
      </c>
      <c r="N28" s="37"/>
    </row>
    <row r="29" spans="1:14">
      <c r="A29" s="213">
        <v>27</v>
      </c>
      <c r="B29" s="211">
        <v>46291</v>
      </c>
      <c r="C29" s="37"/>
      <c r="D29" s="37"/>
      <c r="E29" s="256">
        <v>540.78</v>
      </c>
      <c r="F29" s="283">
        <v>99.37</v>
      </c>
      <c r="G29" s="37">
        <f t="shared" si="0"/>
        <v>53737.308599999997</v>
      </c>
      <c r="H29" s="37">
        <v>20</v>
      </c>
      <c r="I29" s="37">
        <v>111.46</v>
      </c>
      <c r="J29" s="37">
        <f t="shared" si="1"/>
        <v>2229.1999999999998</v>
      </c>
      <c r="K29" s="37">
        <f t="shared" si="4"/>
        <v>55966.508599999994</v>
      </c>
      <c r="L29" s="37"/>
      <c r="M29" s="37">
        <f t="shared" si="5"/>
        <v>504560.12685000041</v>
      </c>
      <c r="N29" s="37"/>
    </row>
    <row r="30" spans="1:14">
      <c r="A30" s="213">
        <v>28</v>
      </c>
      <c r="B30" s="211">
        <v>46292</v>
      </c>
      <c r="C30" s="37"/>
      <c r="D30" s="37"/>
      <c r="E30" s="256">
        <v>168.26</v>
      </c>
      <c r="F30" s="283">
        <v>99.37</v>
      </c>
      <c r="G30" s="37">
        <f t="shared" si="0"/>
        <v>16719.996200000001</v>
      </c>
      <c r="H30" s="37"/>
      <c r="I30" s="37"/>
      <c r="J30" s="37">
        <f t="shared" si="1"/>
        <v>0</v>
      </c>
      <c r="K30" s="37">
        <f t="shared" si="4"/>
        <v>16719.996200000001</v>
      </c>
      <c r="L30" s="37"/>
      <c r="M30" s="37">
        <f t="shared" si="5"/>
        <v>521280.1230500004</v>
      </c>
      <c r="N30" s="37"/>
    </row>
    <row r="31" spans="1:14">
      <c r="A31" s="437">
        <v>29</v>
      </c>
      <c r="B31" s="211">
        <v>46293</v>
      </c>
      <c r="C31" s="204"/>
      <c r="D31" s="204"/>
      <c r="E31" s="418">
        <v>563.14</v>
      </c>
      <c r="F31" s="283">
        <v>99.37</v>
      </c>
      <c r="G31" s="204">
        <f t="shared" si="0"/>
        <v>55959.221799999999</v>
      </c>
      <c r="H31" s="204">
        <v>30</v>
      </c>
      <c r="I31" s="37">
        <v>111.46</v>
      </c>
      <c r="J31" s="204">
        <f t="shared" si="1"/>
        <v>3343.7999999999997</v>
      </c>
      <c r="K31" s="204">
        <f t="shared" si="4"/>
        <v>59303.021800000002</v>
      </c>
      <c r="L31" s="204"/>
      <c r="M31" s="37">
        <f t="shared" si="5"/>
        <v>580583.14485000039</v>
      </c>
      <c r="N31" s="204"/>
    </row>
    <row r="32" spans="1:14">
      <c r="A32" s="43">
        <v>30</v>
      </c>
      <c r="B32" s="211">
        <v>46294</v>
      </c>
      <c r="C32" s="37"/>
      <c r="D32" s="37"/>
      <c r="E32" s="256">
        <v>645.98</v>
      </c>
      <c r="F32" s="283">
        <v>99.37</v>
      </c>
      <c r="G32" s="37">
        <f t="shared" si="0"/>
        <v>64191.032600000006</v>
      </c>
      <c r="H32" s="37">
        <v>15</v>
      </c>
      <c r="I32" s="37">
        <v>111.46</v>
      </c>
      <c r="J32" s="37">
        <f t="shared" si="1"/>
        <v>1671.8999999999999</v>
      </c>
      <c r="K32" s="37">
        <f t="shared" si="4"/>
        <v>65862.9326</v>
      </c>
      <c r="L32" s="37"/>
      <c r="M32" s="37">
        <f t="shared" si="5"/>
        <v>646446.07745000045</v>
      </c>
      <c r="N32" s="37"/>
    </row>
    <row r="33" spans="1:14">
      <c r="A33" s="43">
        <v>31</v>
      </c>
      <c r="B33" s="211">
        <v>46295</v>
      </c>
      <c r="C33" s="37"/>
      <c r="D33" s="37"/>
      <c r="E33" s="256">
        <v>443.64</v>
      </c>
      <c r="F33" s="283">
        <v>99.37</v>
      </c>
      <c r="G33" s="37">
        <f t="shared" si="0"/>
        <v>44084.506800000003</v>
      </c>
      <c r="H33" s="37">
        <v>25</v>
      </c>
      <c r="I33" s="37">
        <v>111.46</v>
      </c>
      <c r="J33" s="37">
        <f t="shared" si="1"/>
        <v>2786.5</v>
      </c>
      <c r="K33" s="37">
        <f t="shared" si="4"/>
        <v>46871.006800000003</v>
      </c>
      <c r="L33" s="37"/>
      <c r="M33" s="37">
        <f t="shared" si="5"/>
        <v>693317.08425000042</v>
      </c>
      <c r="N33" s="37"/>
    </row>
    <row r="34" spans="1:14">
      <c r="A34" s="210"/>
      <c r="B34" s="211"/>
      <c r="C34" s="204"/>
      <c r="D34" s="204"/>
      <c r="E34" s="418"/>
      <c r="F34" s="283"/>
      <c r="G34" s="37">
        <f t="shared" si="0"/>
        <v>0</v>
      </c>
      <c r="H34" s="204"/>
      <c r="I34" s="37"/>
      <c r="J34" s="204">
        <f t="shared" ref="J34" si="6">H34*I34</f>
        <v>0</v>
      </c>
      <c r="K34" s="204">
        <f t="shared" ref="K34" si="7">G34+J34</f>
        <v>0</v>
      </c>
      <c r="L34" s="204"/>
      <c r="M34" s="37">
        <f t="shared" si="5"/>
        <v>693317.08425000042</v>
      </c>
      <c r="N34" s="204"/>
    </row>
    <row r="35" spans="1:14">
      <c r="A35" s="438"/>
      <c r="B35" s="439"/>
      <c r="C35" s="439"/>
      <c r="D35" s="439"/>
      <c r="E35" s="439">
        <f>SUM(E4:E34)</f>
        <v>11558.29</v>
      </c>
      <c r="F35" s="439"/>
      <c r="G35" s="439">
        <f>SUM(G4:G34)</f>
        <v>1148547.2773</v>
      </c>
      <c r="H35" s="439">
        <f>SUM(H4:H34)</f>
        <v>450</v>
      </c>
      <c r="I35" s="439"/>
      <c r="J35" s="439">
        <f>SUM(J4:J34)</f>
        <v>50156.999999999993</v>
      </c>
      <c r="K35" s="439">
        <f>SUM(K4:K34)</f>
        <v>1198704.2773000002</v>
      </c>
      <c r="L35" s="439">
        <f>SUM(L4:L33)</f>
        <v>650000</v>
      </c>
      <c r="M35" s="439"/>
      <c r="N35" s="440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5"/>
  <sheetViews>
    <sheetView workbookViewId="0">
      <pane ySplit="3" topLeftCell="A19" activePane="bottomLeft" state="frozen"/>
      <selection pane="bottomLeft" activeCell="L32" sqref="L32"/>
    </sheetView>
  </sheetViews>
  <sheetFormatPr defaultRowHeight="15"/>
  <cols>
    <col min="2" max="2" width="10.5703125" bestFit="1" customWidth="1"/>
    <col min="4" max="4" width="12.5703125" customWidth="1"/>
    <col min="5" max="5" width="12.140625" customWidth="1"/>
    <col min="8" max="8" width="12.28515625" customWidth="1"/>
    <col min="11" max="11" width="13.5703125" bestFit="1" customWidth="1"/>
    <col min="12" max="12" width="12.42578125" bestFit="1" customWidth="1"/>
  </cols>
  <sheetData>
    <row r="1" spans="1:14" ht="15.75">
      <c r="A1" s="623" t="s">
        <v>234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</row>
    <row r="2" spans="1:14" ht="24" customHeight="1">
      <c r="A2" s="120" t="s">
        <v>0</v>
      </c>
      <c r="B2" s="205" t="s">
        <v>168</v>
      </c>
      <c r="C2" s="205" t="s">
        <v>169</v>
      </c>
      <c r="D2" s="205" t="s">
        <v>184</v>
      </c>
      <c r="E2" s="205" t="s">
        <v>171</v>
      </c>
      <c r="F2" s="205" t="s">
        <v>172</v>
      </c>
      <c r="G2" s="205" t="s">
        <v>173</v>
      </c>
      <c r="H2" s="205" t="s">
        <v>174</v>
      </c>
      <c r="I2" s="205" t="s">
        <v>172</v>
      </c>
      <c r="J2" s="205" t="s">
        <v>173</v>
      </c>
      <c r="K2" s="168" t="s">
        <v>175</v>
      </c>
      <c r="L2" s="168" t="s">
        <v>176</v>
      </c>
      <c r="M2" s="168" t="s">
        <v>185</v>
      </c>
      <c r="N2" s="205" t="s">
        <v>178</v>
      </c>
    </row>
    <row r="3" spans="1:14">
      <c r="A3" s="624" t="s">
        <v>179</v>
      </c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>
        <v>0</v>
      </c>
      <c r="N3" s="624"/>
    </row>
    <row r="4" spans="1:14">
      <c r="A4" s="188">
        <v>1</v>
      </c>
      <c r="B4" s="211">
        <v>46266</v>
      </c>
      <c r="C4" s="37"/>
      <c r="D4" s="37"/>
      <c r="E4" s="37"/>
      <c r="F4" s="37"/>
      <c r="G4" s="37">
        <f>E4*F4</f>
        <v>0</v>
      </c>
      <c r="H4" s="37">
        <v>5</v>
      </c>
      <c r="I4" s="37">
        <v>111.2</v>
      </c>
      <c r="J4" s="37">
        <f>H4*I4</f>
        <v>556</v>
      </c>
      <c r="K4" s="37">
        <f>G4+J4</f>
        <v>556</v>
      </c>
      <c r="L4" s="37">
        <v>556</v>
      </c>
      <c r="M4" s="37">
        <f>M3+K4-L4</f>
        <v>0</v>
      </c>
      <c r="N4" s="37"/>
    </row>
    <row r="5" spans="1:14">
      <c r="A5" s="43">
        <v>2</v>
      </c>
      <c r="B5" s="211">
        <v>46267</v>
      </c>
      <c r="C5" s="37"/>
      <c r="D5" s="37"/>
      <c r="E5" s="37"/>
      <c r="F5" s="37"/>
      <c r="G5" s="37">
        <f t="shared" ref="G5:G34" si="0">E5*F5</f>
        <v>0</v>
      </c>
      <c r="H5" s="37"/>
      <c r="I5" s="37"/>
      <c r="J5" s="37">
        <f t="shared" ref="J5:J34" si="1">H5*I5</f>
        <v>0</v>
      </c>
      <c r="K5" s="37">
        <f t="shared" ref="K5:L34" si="2">G5+J5</f>
        <v>0</v>
      </c>
      <c r="L5" s="37"/>
      <c r="M5" s="37">
        <f t="shared" ref="M5:M34" si="3">M4+K5-L5</f>
        <v>0</v>
      </c>
      <c r="N5" s="37"/>
    </row>
    <row r="6" spans="1:14">
      <c r="A6" s="43">
        <v>3</v>
      </c>
      <c r="B6" s="211">
        <v>46268</v>
      </c>
      <c r="C6" s="37"/>
      <c r="D6" s="37"/>
      <c r="E6" s="37"/>
      <c r="F6" s="37"/>
      <c r="G6" s="37">
        <f t="shared" si="0"/>
        <v>0</v>
      </c>
      <c r="H6" s="37"/>
      <c r="I6" s="37"/>
      <c r="J6" s="37">
        <f t="shared" si="1"/>
        <v>0</v>
      </c>
      <c r="K6" s="37">
        <f t="shared" si="2"/>
        <v>0</v>
      </c>
      <c r="L6" s="37"/>
      <c r="M6" s="37">
        <f t="shared" si="3"/>
        <v>0</v>
      </c>
      <c r="N6" s="37"/>
    </row>
    <row r="7" spans="1:14">
      <c r="A7" s="43">
        <v>4</v>
      </c>
      <c r="B7" s="211">
        <v>46269</v>
      </c>
      <c r="C7" s="37"/>
      <c r="D7" s="37"/>
      <c r="E7" s="37"/>
      <c r="F7" s="37"/>
      <c r="G7" s="37">
        <f t="shared" si="0"/>
        <v>0</v>
      </c>
      <c r="H7" s="37"/>
      <c r="I7" s="37"/>
      <c r="J7" s="37">
        <f t="shared" si="1"/>
        <v>0</v>
      </c>
      <c r="K7" s="37">
        <f t="shared" si="2"/>
        <v>0</v>
      </c>
      <c r="L7" s="37"/>
      <c r="M7" s="37">
        <f t="shared" si="3"/>
        <v>0</v>
      </c>
      <c r="N7" s="37"/>
    </row>
    <row r="8" spans="1:14">
      <c r="A8" s="43">
        <v>5</v>
      </c>
      <c r="B8" s="211">
        <v>46270</v>
      </c>
      <c r="C8" s="37"/>
      <c r="D8" s="37"/>
      <c r="E8" s="37">
        <v>20</v>
      </c>
      <c r="F8" s="37">
        <v>99.12</v>
      </c>
      <c r="G8" s="37">
        <f t="shared" si="0"/>
        <v>1982.4</v>
      </c>
      <c r="H8" s="37"/>
      <c r="I8" s="37"/>
      <c r="J8" s="37">
        <f t="shared" si="1"/>
        <v>0</v>
      </c>
      <c r="K8" s="37">
        <f t="shared" si="2"/>
        <v>1982.4</v>
      </c>
      <c r="L8" s="37">
        <f t="shared" si="2"/>
        <v>1982.4</v>
      </c>
      <c r="M8" s="37">
        <f t="shared" si="3"/>
        <v>0</v>
      </c>
      <c r="N8" s="37"/>
    </row>
    <row r="9" spans="1:14">
      <c r="A9" s="43">
        <v>6</v>
      </c>
      <c r="B9" s="211">
        <v>46271</v>
      </c>
      <c r="C9" s="37"/>
      <c r="D9" s="37"/>
      <c r="E9" s="37"/>
      <c r="F9" s="37"/>
      <c r="G9" s="37">
        <f t="shared" si="0"/>
        <v>0</v>
      </c>
      <c r="H9" s="37"/>
      <c r="I9" s="37"/>
      <c r="J9" s="37">
        <f t="shared" si="1"/>
        <v>0</v>
      </c>
      <c r="K9" s="37">
        <f t="shared" si="2"/>
        <v>0</v>
      </c>
      <c r="L9" s="37"/>
      <c r="M9" s="37">
        <f t="shared" si="3"/>
        <v>0</v>
      </c>
      <c r="N9" s="37"/>
    </row>
    <row r="10" spans="1:14">
      <c r="A10" s="43">
        <v>7</v>
      </c>
      <c r="B10" s="211">
        <v>46272</v>
      </c>
      <c r="C10" s="37"/>
      <c r="D10" s="37"/>
      <c r="E10" s="37"/>
      <c r="F10" s="37"/>
      <c r="G10" s="37">
        <f t="shared" si="0"/>
        <v>0</v>
      </c>
      <c r="H10" s="37"/>
      <c r="I10" s="37"/>
      <c r="J10" s="37">
        <f t="shared" si="1"/>
        <v>0</v>
      </c>
      <c r="K10" s="37">
        <f t="shared" si="2"/>
        <v>0</v>
      </c>
      <c r="L10" s="37"/>
      <c r="M10" s="37">
        <f t="shared" si="3"/>
        <v>0</v>
      </c>
      <c r="N10" s="37"/>
    </row>
    <row r="11" spans="1:14">
      <c r="A11" s="43">
        <v>8</v>
      </c>
      <c r="B11" s="211">
        <v>46273</v>
      </c>
      <c r="C11" s="37"/>
      <c r="D11" s="37"/>
      <c r="E11" s="37"/>
      <c r="F11" s="37"/>
      <c r="G11" s="37">
        <f t="shared" si="0"/>
        <v>0</v>
      </c>
      <c r="H11" s="37"/>
      <c r="I11" s="37"/>
      <c r="J11" s="37">
        <f t="shared" si="1"/>
        <v>0</v>
      </c>
      <c r="K11" s="37">
        <f t="shared" si="2"/>
        <v>0</v>
      </c>
      <c r="L11" s="37"/>
      <c r="M11" s="37">
        <f t="shared" si="3"/>
        <v>0</v>
      </c>
      <c r="N11" s="37"/>
    </row>
    <row r="12" spans="1:14">
      <c r="A12" s="43">
        <v>9</v>
      </c>
      <c r="B12" s="211">
        <v>46274</v>
      </c>
      <c r="C12" s="37"/>
      <c r="D12" s="37"/>
      <c r="E12" s="37"/>
      <c r="F12" s="37"/>
      <c r="G12" s="37">
        <f t="shared" si="0"/>
        <v>0</v>
      </c>
      <c r="H12" s="37">
        <v>5</v>
      </c>
      <c r="I12" s="37">
        <v>111.2</v>
      </c>
      <c r="J12" s="37">
        <f t="shared" si="1"/>
        <v>556</v>
      </c>
      <c r="K12" s="37">
        <f t="shared" si="2"/>
        <v>556</v>
      </c>
      <c r="L12" s="37">
        <v>556</v>
      </c>
      <c r="M12" s="37">
        <f t="shared" si="3"/>
        <v>0</v>
      </c>
      <c r="N12" s="37"/>
    </row>
    <row r="13" spans="1:14">
      <c r="A13" s="43">
        <v>10</v>
      </c>
      <c r="B13" s="211">
        <v>46275</v>
      </c>
      <c r="C13" s="37"/>
      <c r="D13" s="37"/>
      <c r="E13" s="37"/>
      <c r="F13" s="37"/>
      <c r="G13" s="37">
        <f t="shared" si="0"/>
        <v>0</v>
      </c>
      <c r="H13" s="37"/>
      <c r="I13" s="37"/>
      <c r="J13" s="37">
        <f t="shared" si="1"/>
        <v>0</v>
      </c>
      <c r="K13" s="37">
        <f t="shared" si="2"/>
        <v>0</v>
      </c>
      <c r="L13" s="37"/>
      <c r="M13" s="37">
        <f t="shared" si="3"/>
        <v>0</v>
      </c>
      <c r="N13" s="37"/>
    </row>
    <row r="14" spans="1:14">
      <c r="A14" s="43">
        <v>11</v>
      </c>
      <c r="B14" s="211">
        <v>46276</v>
      </c>
      <c r="C14" s="37"/>
      <c r="D14" s="37"/>
      <c r="E14" s="37">
        <v>20</v>
      </c>
      <c r="F14" s="37">
        <v>99.12</v>
      </c>
      <c r="G14" s="37">
        <f t="shared" si="0"/>
        <v>1982.4</v>
      </c>
      <c r="H14" s="37"/>
      <c r="I14" s="37"/>
      <c r="J14" s="37">
        <f t="shared" si="1"/>
        <v>0</v>
      </c>
      <c r="K14" s="37">
        <f t="shared" si="2"/>
        <v>1982.4</v>
      </c>
      <c r="L14" s="37">
        <f t="shared" si="2"/>
        <v>1982.4</v>
      </c>
      <c r="M14" s="37">
        <f t="shared" si="3"/>
        <v>0</v>
      </c>
      <c r="N14" s="37"/>
    </row>
    <row r="15" spans="1:14">
      <c r="A15" s="43">
        <v>12</v>
      </c>
      <c r="B15" s="211">
        <v>46277</v>
      </c>
      <c r="C15" s="37"/>
      <c r="D15" s="37"/>
      <c r="E15" s="37"/>
      <c r="F15" s="37"/>
      <c r="G15" s="37">
        <f t="shared" si="0"/>
        <v>0</v>
      </c>
      <c r="H15" s="37"/>
      <c r="I15" s="37"/>
      <c r="J15" s="37">
        <f t="shared" si="1"/>
        <v>0</v>
      </c>
      <c r="K15" s="37">
        <f t="shared" si="2"/>
        <v>0</v>
      </c>
      <c r="L15" s="37"/>
      <c r="M15" s="37">
        <f t="shared" si="3"/>
        <v>0</v>
      </c>
      <c r="N15" s="37"/>
    </row>
    <row r="16" spans="1:14">
      <c r="A16" s="43">
        <v>13</v>
      </c>
      <c r="B16" s="211">
        <v>46278</v>
      </c>
      <c r="C16" s="37"/>
      <c r="D16" s="37"/>
      <c r="E16" s="37"/>
      <c r="F16" s="37"/>
      <c r="G16" s="37">
        <f t="shared" si="0"/>
        <v>0</v>
      </c>
      <c r="H16" s="37">
        <v>5</v>
      </c>
      <c r="I16" s="37">
        <v>111.2</v>
      </c>
      <c r="J16" s="37">
        <f t="shared" si="1"/>
        <v>556</v>
      </c>
      <c r="K16" s="37">
        <f t="shared" si="2"/>
        <v>556</v>
      </c>
      <c r="L16" s="37">
        <v>556</v>
      </c>
      <c r="M16" s="37">
        <f t="shared" si="3"/>
        <v>0</v>
      </c>
      <c r="N16" s="37"/>
    </row>
    <row r="17" spans="1:14">
      <c r="A17" s="43">
        <v>14</v>
      </c>
      <c r="B17" s="211">
        <v>46279</v>
      </c>
      <c r="C17" s="37"/>
      <c r="D17" s="37"/>
      <c r="E17" s="37"/>
      <c r="F17" s="37"/>
      <c r="G17" s="37">
        <f t="shared" si="0"/>
        <v>0</v>
      </c>
      <c r="H17" s="37"/>
      <c r="I17" s="37"/>
      <c r="J17" s="37">
        <f t="shared" si="1"/>
        <v>0</v>
      </c>
      <c r="K17" s="37">
        <f t="shared" si="2"/>
        <v>0</v>
      </c>
      <c r="L17" s="37"/>
      <c r="M17" s="37">
        <f t="shared" si="3"/>
        <v>0</v>
      </c>
      <c r="N17" s="37"/>
    </row>
    <row r="18" spans="1:14">
      <c r="A18" s="43">
        <v>15</v>
      </c>
      <c r="B18" s="211">
        <v>46280</v>
      </c>
      <c r="C18" s="37"/>
      <c r="D18" s="37"/>
      <c r="E18" s="37"/>
      <c r="F18" s="37"/>
      <c r="G18" s="37">
        <f t="shared" si="0"/>
        <v>0</v>
      </c>
      <c r="H18" s="37"/>
      <c r="I18" s="37"/>
      <c r="J18" s="37">
        <f t="shared" si="1"/>
        <v>0</v>
      </c>
      <c r="K18" s="37">
        <f t="shared" si="2"/>
        <v>0</v>
      </c>
      <c r="L18" s="37"/>
      <c r="M18" s="37">
        <f t="shared" si="3"/>
        <v>0</v>
      </c>
      <c r="N18" s="37"/>
    </row>
    <row r="19" spans="1:14">
      <c r="A19" s="43">
        <v>16</v>
      </c>
      <c r="B19" s="211">
        <v>46281</v>
      </c>
      <c r="C19" s="37"/>
      <c r="D19" s="37"/>
      <c r="E19" s="37"/>
      <c r="F19" s="37"/>
      <c r="G19" s="37">
        <f t="shared" si="0"/>
        <v>0</v>
      </c>
      <c r="H19" s="37"/>
      <c r="I19" s="37"/>
      <c r="J19" s="37">
        <f t="shared" si="1"/>
        <v>0</v>
      </c>
      <c r="K19" s="37">
        <f t="shared" si="2"/>
        <v>0</v>
      </c>
      <c r="L19" s="37"/>
      <c r="M19" s="37">
        <f t="shared" si="3"/>
        <v>0</v>
      </c>
      <c r="N19" s="37"/>
    </row>
    <row r="20" spans="1:14">
      <c r="A20" s="43">
        <v>17</v>
      </c>
      <c r="B20" s="211">
        <v>46282</v>
      </c>
      <c r="C20" s="37"/>
      <c r="D20" s="37"/>
      <c r="E20" s="37"/>
      <c r="F20" s="37"/>
      <c r="G20" s="37">
        <f t="shared" si="0"/>
        <v>0</v>
      </c>
      <c r="H20" s="37"/>
      <c r="I20" s="37"/>
      <c r="J20" s="37">
        <f t="shared" si="1"/>
        <v>0</v>
      </c>
      <c r="K20" s="37">
        <f t="shared" si="2"/>
        <v>0</v>
      </c>
      <c r="L20" s="37"/>
      <c r="M20" s="37">
        <f t="shared" si="3"/>
        <v>0</v>
      </c>
      <c r="N20" s="37"/>
    </row>
    <row r="21" spans="1:14">
      <c r="A21" s="43">
        <v>18</v>
      </c>
      <c r="B21" s="211">
        <v>46283</v>
      </c>
      <c r="C21" s="37"/>
      <c r="D21" s="37"/>
      <c r="E21" s="37"/>
      <c r="F21" s="37"/>
      <c r="G21" s="37">
        <f t="shared" si="0"/>
        <v>0</v>
      </c>
      <c r="H21" s="37">
        <v>4</v>
      </c>
      <c r="I21" s="37">
        <v>111.2</v>
      </c>
      <c r="J21" s="37">
        <f t="shared" si="1"/>
        <v>444.8</v>
      </c>
      <c r="K21" s="37">
        <f t="shared" si="2"/>
        <v>444.8</v>
      </c>
      <c r="L21" s="37">
        <v>444.8</v>
      </c>
      <c r="M21" s="37">
        <f t="shared" si="3"/>
        <v>0</v>
      </c>
      <c r="N21" s="37"/>
    </row>
    <row r="22" spans="1:14">
      <c r="A22" s="43">
        <v>19</v>
      </c>
      <c r="B22" s="211">
        <v>46284</v>
      </c>
      <c r="C22" s="37"/>
      <c r="D22" s="37"/>
      <c r="E22" s="37"/>
      <c r="F22" s="37"/>
      <c r="G22" s="37">
        <f t="shared" si="0"/>
        <v>0</v>
      </c>
      <c r="H22" s="37">
        <v>5</v>
      </c>
      <c r="I22" s="37">
        <v>111.2</v>
      </c>
      <c r="J22" s="37">
        <f t="shared" si="1"/>
        <v>556</v>
      </c>
      <c r="K22" s="37">
        <f t="shared" si="2"/>
        <v>556</v>
      </c>
      <c r="L22" s="37">
        <v>556</v>
      </c>
      <c r="M22" s="37">
        <f t="shared" si="3"/>
        <v>0</v>
      </c>
      <c r="N22" s="37"/>
    </row>
    <row r="23" spans="1:14">
      <c r="A23" s="43">
        <v>20</v>
      </c>
      <c r="B23" s="211">
        <v>46285</v>
      </c>
      <c r="C23" s="37"/>
      <c r="D23" s="37"/>
      <c r="E23" s="37"/>
      <c r="F23" s="37"/>
      <c r="G23" s="37">
        <f t="shared" si="0"/>
        <v>0</v>
      </c>
      <c r="H23" s="37"/>
      <c r="I23" s="37"/>
      <c r="J23" s="37">
        <f t="shared" si="1"/>
        <v>0</v>
      </c>
      <c r="K23" s="37">
        <f t="shared" si="2"/>
        <v>0</v>
      </c>
      <c r="L23" s="37"/>
      <c r="M23" s="37">
        <f t="shared" si="3"/>
        <v>0</v>
      </c>
      <c r="N23" s="37"/>
    </row>
    <row r="24" spans="1:14">
      <c r="A24" s="43">
        <v>21</v>
      </c>
      <c r="B24" s="211">
        <v>46286</v>
      </c>
      <c r="C24" s="37"/>
      <c r="D24" s="37"/>
      <c r="E24" s="37"/>
      <c r="F24" s="37"/>
      <c r="G24" s="37">
        <f t="shared" si="0"/>
        <v>0</v>
      </c>
      <c r="H24" s="37">
        <v>5</v>
      </c>
      <c r="I24" s="37">
        <v>111.2</v>
      </c>
      <c r="J24" s="37">
        <f t="shared" si="1"/>
        <v>556</v>
      </c>
      <c r="K24" s="37">
        <f t="shared" si="2"/>
        <v>556</v>
      </c>
      <c r="L24" s="37">
        <v>556</v>
      </c>
      <c r="M24" s="37">
        <f t="shared" si="3"/>
        <v>0</v>
      </c>
      <c r="N24" s="37"/>
    </row>
    <row r="25" spans="1:14">
      <c r="A25" s="43">
        <v>22</v>
      </c>
      <c r="B25" s="211">
        <v>46287</v>
      </c>
      <c r="C25" s="37"/>
      <c r="D25" s="37"/>
      <c r="E25" s="37">
        <v>20</v>
      </c>
      <c r="F25" s="37">
        <v>99.12</v>
      </c>
      <c r="G25" s="37">
        <f t="shared" si="0"/>
        <v>1982.4</v>
      </c>
      <c r="H25" s="37">
        <v>5</v>
      </c>
      <c r="I25" s="37">
        <v>111.2</v>
      </c>
      <c r="J25" s="37">
        <f t="shared" si="1"/>
        <v>556</v>
      </c>
      <c r="K25" s="37">
        <f t="shared" si="2"/>
        <v>2538.4</v>
      </c>
      <c r="L25" s="37">
        <v>2538.4</v>
      </c>
      <c r="M25" s="37">
        <f t="shared" si="3"/>
        <v>0</v>
      </c>
      <c r="N25" s="37"/>
    </row>
    <row r="26" spans="1:14">
      <c r="A26" s="43">
        <v>23</v>
      </c>
      <c r="B26" s="211">
        <v>46288</v>
      </c>
      <c r="C26" s="37"/>
      <c r="D26" s="37"/>
      <c r="E26" s="37"/>
      <c r="F26" s="37"/>
      <c r="G26" s="37">
        <f t="shared" si="0"/>
        <v>0</v>
      </c>
      <c r="H26" s="566">
        <v>10</v>
      </c>
      <c r="I26" s="37">
        <v>111.2</v>
      </c>
      <c r="J26" s="37">
        <f t="shared" si="1"/>
        <v>1112</v>
      </c>
      <c r="K26" s="37">
        <f t="shared" si="2"/>
        <v>1112</v>
      </c>
      <c r="L26" s="37">
        <v>1112</v>
      </c>
      <c r="M26" s="37">
        <f t="shared" si="3"/>
        <v>0</v>
      </c>
      <c r="N26" s="37"/>
    </row>
    <row r="27" spans="1:14">
      <c r="A27" s="43">
        <v>24</v>
      </c>
      <c r="B27" s="211">
        <v>46289</v>
      </c>
      <c r="C27" s="37"/>
      <c r="D27" s="37"/>
      <c r="E27" s="37"/>
      <c r="F27" s="37"/>
      <c r="G27" s="37">
        <f t="shared" si="0"/>
        <v>0</v>
      </c>
      <c r="H27" s="37"/>
      <c r="I27" s="37"/>
      <c r="J27" s="37">
        <f t="shared" si="1"/>
        <v>0</v>
      </c>
      <c r="K27" s="37">
        <f t="shared" si="2"/>
        <v>0</v>
      </c>
      <c r="L27" s="37"/>
      <c r="M27" s="37">
        <f t="shared" si="3"/>
        <v>0</v>
      </c>
      <c r="N27" s="37"/>
    </row>
    <row r="28" spans="1:14">
      <c r="A28" s="213">
        <v>25</v>
      </c>
      <c r="B28" s="211">
        <v>46290</v>
      </c>
      <c r="C28" s="37"/>
      <c r="D28" s="37"/>
      <c r="E28" s="37"/>
      <c r="F28" s="37"/>
      <c r="G28" s="37">
        <f t="shared" si="0"/>
        <v>0</v>
      </c>
      <c r="H28" s="37"/>
      <c r="I28" s="37"/>
      <c r="J28" s="37">
        <f t="shared" si="1"/>
        <v>0</v>
      </c>
      <c r="K28" s="37">
        <f t="shared" si="2"/>
        <v>0</v>
      </c>
      <c r="L28" s="37"/>
      <c r="M28" s="37">
        <f t="shared" si="3"/>
        <v>0</v>
      </c>
      <c r="N28" s="37"/>
    </row>
    <row r="29" spans="1:14">
      <c r="A29" s="213">
        <v>26</v>
      </c>
      <c r="B29" s="211">
        <v>46291</v>
      </c>
      <c r="C29" s="37"/>
      <c r="D29" s="37"/>
      <c r="E29" s="37">
        <v>20</v>
      </c>
      <c r="F29" s="37">
        <v>99.12</v>
      </c>
      <c r="G29" s="37">
        <f t="shared" si="0"/>
        <v>1982.4</v>
      </c>
      <c r="H29" s="37"/>
      <c r="I29" s="37"/>
      <c r="J29" s="37">
        <f t="shared" si="1"/>
        <v>0</v>
      </c>
      <c r="K29" s="37">
        <f t="shared" si="2"/>
        <v>1982.4</v>
      </c>
      <c r="L29" s="37">
        <v>1982.4</v>
      </c>
      <c r="M29" s="37">
        <f t="shared" si="3"/>
        <v>0</v>
      </c>
      <c r="N29" s="37"/>
    </row>
    <row r="30" spans="1:14">
      <c r="A30" s="213">
        <v>27</v>
      </c>
      <c r="B30" s="211">
        <v>46292</v>
      </c>
      <c r="C30" s="37"/>
      <c r="D30" s="37"/>
      <c r="E30" s="37"/>
      <c r="F30" s="37"/>
      <c r="G30" s="37">
        <f t="shared" si="0"/>
        <v>0</v>
      </c>
      <c r="H30" s="37"/>
      <c r="I30" s="37"/>
      <c r="J30" s="37">
        <f t="shared" si="1"/>
        <v>0</v>
      </c>
      <c r="K30" s="37">
        <f t="shared" si="2"/>
        <v>0</v>
      </c>
      <c r="L30" s="37"/>
      <c r="M30" s="37">
        <f t="shared" si="3"/>
        <v>0</v>
      </c>
      <c r="N30" s="37"/>
    </row>
    <row r="31" spans="1:14">
      <c r="A31" s="213">
        <v>28</v>
      </c>
      <c r="B31" s="211">
        <v>46293</v>
      </c>
      <c r="C31" s="37"/>
      <c r="D31" s="37"/>
      <c r="E31" s="37"/>
      <c r="F31" s="37"/>
      <c r="G31" s="37">
        <f t="shared" si="0"/>
        <v>0</v>
      </c>
      <c r="H31" s="37"/>
      <c r="I31" s="37"/>
      <c r="J31" s="37">
        <f t="shared" si="1"/>
        <v>0</v>
      </c>
      <c r="K31" s="37">
        <f t="shared" si="2"/>
        <v>0</v>
      </c>
      <c r="L31" s="37"/>
      <c r="M31" s="37">
        <f t="shared" si="3"/>
        <v>0</v>
      </c>
      <c r="N31" s="37"/>
    </row>
    <row r="32" spans="1:14">
      <c r="A32" s="214">
        <v>29</v>
      </c>
      <c r="B32" s="211">
        <v>46294</v>
      </c>
      <c r="C32" s="37"/>
      <c r="D32" s="37"/>
      <c r="E32" s="37"/>
      <c r="F32" s="37"/>
      <c r="G32" s="37">
        <f t="shared" si="0"/>
        <v>0</v>
      </c>
      <c r="H32" s="37"/>
      <c r="I32" s="37"/>
      <c r="J32" s="37">
        <f t="shared" si="1"/>
        <v>0</v>
      </c>
      <c r="K32" s="37">
        <f t="shared" si="2"/>
        <v>0</v>
      </c>
      <c r="L32" s="37"/>
      <c r="M32" s="37">
        <f t="shared" si="3"/>
        <v>0</v>
      </c>
      <c r="N32" s="37"/>
    </row>
    <row r="33" spans="1:14">
      <c r="A33" s="214">
        <v>30</v>
      </c>
      <c r="B33" s="211">
        <v>46295</v>
      </c>
      <c r="C33" s="37"/>
      <c r="D33" s="37"/>
      <c r="E33" s="37"/>
      <c r="F33" s="37"/>
      <c r="G33" s="37">
        <f t="shared" si="0"/>
        <v>0</v>
      </c>
      <c r="H33" s="37"/>
      <c r="I33" s="37"/>
      <c r="J33" s="37">
        <f t="shared" si="1"/>
        <v>0</v>
      </c>
      <c r="K33" s="37">
        <f t="shared" si="2"/>
        <v>0</v>
      </c>
      <c r="L33" s="37"/>
      <c r="M33" s="37">
        <f t="shared" si="3"/>
        <v>0</v>
      </c>
      <c r="N33" s="37"/>
    </row>
    <row r="34" spans="1:14">
      <c r="A34" s="214">
        <v>31</v>
      </c>
      <c r="B34" s="211"/>
      <c r="C34" s="37"/>
      <c r="D34" s="37"/>
      <c r="E34" s="37"/>
      <c r="F34" s="37"/>
      <c r="G34" s="37">
        <f t="shared" si="0"/>
        <v>0</v>
      </c>
      <c r="H34" s="37"/>
      <c r="I34" s="37"/>
      <c r="J34" s="37">
        <f t="shared" si="1"/>
        <v>0</v>
      </c>
      <c r="K34" s="37">
        <f t="shared" si="2"/>
        <v>0</v>
      </c>
      <c r="L34" s="37"/>
      <c r="M34" s="37">
        <f t="shared" si="3"/>
        <v>0</v>
      </c>
      <c r="N34" s="37"/>
    </row>
    <row r="35" spans="1:14">
      <c r="A35" s="174"/>
      <c r="B35" s="174"/>
      <c r="C35" s="174"/>
      <c r="D35" s="174"/>
      <c r="E35" s="174">
        <f>SUM(E4:E34)</f>
        <v>80</v>
      </c>
      <c r="F35" s="174"/>
      <c r="G35" s="174">
        <f>SUM(G4:G34)</f>
        <v>7929.6</v>
      </c>
      <c r="H35" s="174">
        <f>SUM(H4:H34)</f>
        <v>44</v>
      </c>
      <c r="I35" s="174"/>
      <c r="J35" s="174">
        <f>SUM(J4:J34)</f>
        <v>4892.8</v>
      </c>
      <c r="K35" s="174">
        <f>SUM(K4:K34)</f>
        <v>12822.4</v>
      </c>
      <c r="L35" s="174">
        <f>SUM(L4:L34)</f>
        <v>12822.4</v>
      </c>
      <c r="M35" s="174"/>
      <c r="N35" s="174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P48"/>
  <sheetViews>
    <sheetView workbookViewId="0">
      <pane ySplit="3" topLeftCell="A41" activePane="bottomLeft" state="frozen"/>
      <selection pane="bottomLeft" activeCell="M47" sqref="M47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99" bestFit="1" customWidth="1"/>
    <col min="8" max="8" width="11.140625" style="5" customWidth="1"/>
    <col min="9" max="9" width="9.140625" style="5"/>
    <col min="10" max="10" width="10.85546875" style="99" bestFit="1" customWidth="1"/>
    <col min="11" max="11" width="12.85546875" style="5" customWidth="1"/>
    <col min="12" max="12" width="13.5703125" style="99" bestFit="1" customWidth="1"/>
    <col min="13" max="13" width="13.5703125" style="99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6" ht="15.75">
      <c r="A1" s="606" t="s">
        <v>235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6" ht="18" customHeight="1">
      <c r="A2" s="61" t="s">
        <v>0</v>
      </c>
      <c r="B2" s="80" t="s">
        <v>168</v>
      </c>
      <c r="C2" s="80" t="s">
        <v>169</v>
      </c>
      <c r="D2" s="80" t="s">
        <v>184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88" t="s">
        <v>176</v>
      </c>
      <c r="M2" s="123" t="s">
        <v>185</v>
      </c>
      <c r="N2" s="80" t="s">
        <v>178</v>
      </c>
    </row>
    <row r="3" spans="1:16" ht="18" customHeight="1">
      <c r="A3" s="625" t="s">
        <v>179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6"/>
      <c r="M3" s="280">
        <v>9813.807719999968</v>
      </c>
      <c r="N3" s="280"/>
      <c r="P3" s="99"/>
    </row>
    <row r="4" spans="1:16">
      <c r="A4" s="6">
        <v>1</v>
      </c>
      <c r="B4" s="211">
        <v>46266</v>
      </c>
      <c r="C4" s="6"/>
      <c r="D4" s="6"/>
      <c r="E4" s="62">
        <v>35.840000000000003</v>
      </c>
      <c r="F4" s="6">
        <v>99.32</v>
      </c>
      <c r="G4" s="63">
        <f>E4*F4</f>
        <v>3559.6288</v>
      </c>
      <c r="H4" s="296"/>
      <c r="I4" s="304"/>
      <c r="J4" s="63">
        <f>H4*I4</f>
        <v>0</v>
      </c>
      <c r="K4" s="63">
        <f>G4+J4</f>
        <v>3559.6288</v>
      </c>
      <c r="L4" s="63"/>
      <c r="M4" s="281">
        <f>M3+K4-L4</f>
        <v>13373.436519999968</v>
      </c>
      <c r="N4" s="43"/>
    </row>
    <row r="5" spans="1:16">
      <c r="A5" s="6">
        <v>2</v>
      </c>
      <c r="B5" s="211">
        <v>46267</v>
      </c>
      <c r="C5" s="6"/>
      <c r="D5" s="6"/>
      <c r="E5" s="62"/>
      <c r="F5" s="6"/>
      <c r="G5" s="63">
        <f t="shared" ref="G5:G32" si="0">E5*F5</f>
        <v>0</v>
      </c>
      <c r="H5" s="296"/>
      <c r="I5" s="304"/>
      <c r="J5" s="63">
        <f t="shared" ref="J5:J46" si="1">H5*I5</f>
        <v>0</v>
      </c>
      <c r="K5" s="63">
        <f t="shared" ref="K5:L46" si="2">G5+J5</f>
        <v>0</v>
      </c>
      <c r="L5" s="63"/>
      <c r="M5" s="144">
        <f>M4+K5-L5</f>
        <v>13373.436519999968</v>
      </c>
      <c r="N5" s="43"/>
    </row>
    <row r="6" spans="1:16">
      <c r="A6" s="6">
        <v>3</v>
      </c>
      <c r="B6" s="211">
        <v>46268</v>
      </c>
      <c r="C6" s="6"/>
      <c r="D6" s="6"/>
      <c r="E6" s="62">
        <v>50</v>
      </c>
      <c r="F6" s="6">
        <v>99.32</v>
      </c>
      <c r="G6" s="63">
        <f t="shared" si="0"/>
        <v>4966</v>
      </c>
      <c r="H6" s="296">
        <v>5</v>
      </c>
      <c r="I6" s="304">
        <v>111.42</v>
      </c>
      <c r="J6" s="63">
        <f t="shared" si="1"/>
        <v>557.1</v>
      </c>
      <c r="K6" s="63">
        <f t="shared" si="2"/>
        <v>5523.1</v>
      </c>
      <c r="L6" s="63"/>
      <c r="M6" s="144">
        <f t="shared" ref="M6:M7" si="3">M5+K6-L6</f>
        <v>18896.536519999969</v>
      </c>
      <c r="N6" s="43"/>
    </row>
    <row r="7" spans="1:16">
      <c r="A7" s="6">
        <v>4</v>
      </c>
      <c r="B7" s="211">
        <v>46269</v>
      </c>
      <c r="C7" s="6"/>
      <c r="D7" s="6"/>
      <c r="E7" s="62"/>
      <c r="F7" s="6"/>
      <c r="G7" s="63">
        <f t="shared" si="0"/>
        <v>0</v>
      </c>
      <c r="H7" s="62"/>
      <c r="I7" s="304"/>
      <c r="J7" s="63">
        <f t="shared" si="1"/>
        <v>0</v>
      </c>
      <c r="K7" s="63">
        <f t="shared" si="2"/>
        <v>0</v>
      </c>
      <c r="L7" s="63"/>
      <c r="M7" s="144">
        <f t="shared" si="3"/>
        <v>18896.536519999969</v>
      </c>
      <c r="N7" s="43"/>
    </row>
    <row r="8" spans="1:16">
      <c r="A8" s="6">
        <v>5</v>
      </c>
      <c r="B8" s="211">
        <v>46270</v>
      </c>
      <c r="C8" s="6"/>
      <c r="D8" s="6"/>
      <c r="E8" s="62"/>
      <c r="F8" s="6"/>
      <c r="G8" s="63">
        <f t="shared" si="0"/>
        <v>0</v>
      </c>
      <c r="H8" s="62">
        <v>8</v>
      </c>
      <c r="I8" s="304">
        <v>111.42</v>
      </c>
      <c r="J8" s="63">
        <f t="shared" si="1"/>
        <v>891.36</v>
      </c>
      <c r="K8" s="63">
        <f t="shared" si="2"/>
        <v>891.36</v>
      </c>
      <c r="L8" s="63"/>
      <c r="M8" s="144">
        <f>M7+K8-L8</f>
        <v>19787.896519999969</v>
      </c>
      <c r="N8" s="43"/>
    </row>
    <row r="9" spans="1:16">
      <c r="A9" s="6">
        <v>6</v>
      </c>
      <c r="B9" s="211">
        <v>46271</v>
      </c>
      <c r="C9" s="6"/>
      <c r="D9" s="6"/>
      <c r="E9" s="62"/>
      <c r="F9" s="6"/>
      <c r="G9" s="63">
        <f t="shared" si="0"/>
        <v>0</v>
      </c>
      <c r="H9" s="62"/>
      <c r="I9" s="304"/>
      <c r="J9" s="63">
        <f t="shared" si="1"/>
        <v>0</v>
      </c>
      <c r="K9" s="63">
        <f t="shared" si="2"/>
        <v>0</v>
      </c>
      <c r="L9" s="63"/>
      <c r="M9" s="144">
        <f t="shared" ref="M9:M47" si="4">M8+K9-L9</f>
        <v>19787.896519999969</v>
      </c>
      <c r="N9" s="43"/>
    </row>
    <row r="10" spans="1:16">
      <c r="A10" s="6">
        <v>7</v>
      </c>
      <c r="B10" s="211">
        <v>46272</v>
      </c>
      <c r="C10" s="6"/>
      <c r="D10" s="6"/>
      <c r="E10" s="62">
        <v>77.47</v>
      </c>
      <c r="F10" s="6">
        <v>99.32</v>
      </c>
      <c r="G10" s="63">
        <f t="shared" si="0"/>
        <v>7694.3203999999996</v>
      </c>
      <c r="H10" s="62"/>
      <c r="I10" s="304"/>
      <c r="J10" s="63">
        <f t="shared" si="1"/>
        <v>0</v>
      </c>
      <c r="K10" s="63">
        <f t="shared" si="2"/>
        <v>7694.3203999999996</v>
      </c>
      <c r="L10" s="63"/>
      <c r="M10" s="144">
        <f t="shared" si="4"/>
        <v>27482.21691999997</v>
      </c>
      <c r="N10" s="43"/>
    </row>
    <row r="11" spans="1:16">
      <c r="A11" s="6">
        <v>8</v>
      </c>
      <c r="B11" s="211">
        <v>46273</v>
      </c>
      <c r="C11" s="6"/>
      <c r="D11" s="6"/>
      <c r="E11" s="62"/>
      <c r="F11" s="6"/>
      <c r="G11" s="63">
        <f t="shared" si="0"/>
        <v>0</v>
      </c>
      <c r="H11" s="62"/>
      <c r="I11" s="304"/>
      <c r="J11" s="63">
        <f t="shared" si="1"/>
        <v>0</v>
      </c>
      <c r="K11" s="63">
        <f t="shared" si="2"/>
        <v>0</v>
      </c>
      <c r="L11" s="63"/>
      <c r="M11" s="144">
        <f t="shared" si="4"/>
        <v>27482.21691999997</v>
      </c>
      <c r="N11" s="43"/>
    </row>
    <row r="12" spans="1:16">
      <c r="A12" s="6">
        <v>9</v>
      </c>
      <c r="B12" s="211">
        <v>46274</v>
      </c>
      <c r="C12" s="6"/>
      <c r="D12" s="6"/>
      <c r="E12" s="62">
        <v>20.72</v>
      </c>
      <c r="F12" s="6">
        <v>99.32</v>
      </c>
      <c r="G12" s="63">
        <f t="shared" si="0"/>
        <v>2057.9103999999998</v>
      </c>
      <c r="H12" s="62">
        <v>5</v>
      </c>
      <c r="I12" s="304">
        <v>111.42</v>
      </c>
      <c r="J12" s="63">
        <f t="shared" si="1"/>
        <v>557.1</v>
      </c>
      <c r="K12" s="63">
        <f t="shared" si="2"/>
        <v>2615.0103999999997</v>
      </c>
      <c r="L12" s="63"/>
      <c r="M12" s="144">
        <f t="shared" si="4"/>
        <v>30097.227319999969</v>
      </c>
      <c r="N12" s="43"/>
    </row>
    <row r="13" spans="1:16">
      <c r="A13" s="6">
        <v>10</v>
      </c>
      <c r="B13" s="211">
        <v>46275</v>
      </c>
      <c r="C13" s="6"/>
      <c r="D13" s="6"/>
      <c r="E13" s="62">
        <v>36.79</v>
      </c>
      <c r="F13" s="6">
        <v>99.32</v>
      </c>
      <c r="G13" s="63">
        <f t="shared" si="0"/>
        <v>3653.9827999999998</v>
      </c>
      <c r="H13" s="62">
        <v>7</v>
      </c>
      <c r="I13" s="304">
        <v>111.42</v>
      </c>
      <c r="J13" s="63">
        <f t="shared" si="1"/>
        <v>779.94</v>
      </c>
      <c r="K13" s="63">
        <f t="shared" si="2"/>
        <v>4433.9228000000003</v>
      </c>
      <c r="L13" s="63"/>
      <c r="M13" s="144">
        <f t="shared" si="4"/>
        <v>34531.150119999969</v>
      </c>
      <c r="N13" s="43"/>
    </row>
    <row r="14" spans="1:16">
      <c r="A14" s="6">
        <v>11</v>
      </c>
      <c r="B14" s="211">
        <v>46276</v>
      </c>
      <c r="C14" s="6"/>
      <c r="D14" s="6"/>
      <c r="E14" s="62"/>
      <c r="F14" s="6"/>
      <c r="G14" s="63">
        <f t="shared" si="0"/>
        <v>0</v>
      </c>
      <c r="H14" s="62">
        <v>7</v>
      </c>
      <c r="I14" s="304">
        <v>111.42</v>
      </c>
      <c r="J14" s="63">
        <f t="shared" si="1"/>
        <v>779.94</v>
      </c>
      <c r="K14" s="63">
        <f t="shared" si="2"/>
        <v>779.94</v>
      </c>
      <c r="L14" s="63"/>
      <c r="M14" s="144">
        <f t="shared" si="4"/>
        <v>35311.090119999972</v>
      </c>
      <c r="N14" s="43"/>
    </row>
    <row r="15" spans="1:16">
      <c r="A15" s="6">
        <v>12</v>
      </c>
      <c r="B15" s="211">
        <v>46277</v>
      </c>
      <c r="C15" s="6"/>
      <c r="D15" s="6"/>
      <c r="E15" s="62"/>
      <c r="F15" s="6"/>
      <c r="G15" s="63">
        <f t="shared" si="0"/>
        <v>0</v>
      </c>
      <c r="H15" s="62"/>
      <c r="I15" s="304"/>
      <c r="J15" s="63">
        <f t="shared" si="1"/>
        <v>0</v>
      </c>
      <c r="K15" s="63">
        <f t="shared" si="2"/>
        <v>0</v>
      </c>
      <c r="L15" s="63"/>
      <c r="M15" s="144">
        <f t="shared" si="4"/>
        <v>35311.090119999972</v>
      </c>
      <c r="N15" s="43"/>
    </row>
    <row r="16" spans="1:16">
      <c r="A16" s="6">
        <v>13</v>
      </c>
      <c r="B16" s="211">
        <v>46278</v>
      </c>
      <c r="C16" s="6"/>
      <c r="D16" s="6"/>
      <c r="E16" s="62"/>
      <c r="F16" s="6"/>
      <c r="G16" s="63">
        <f t="shared" si="0"/>
        <v>0</v>
      </c>
      <c r="H16" s="296"/>
      <c r="I16" s="304"/>
      <c r="J16" s="63">
        <f t="shared" si="1"/>
        <v>0</v>
      </c>
      <c r="K16" s="63">
        <f t="shared" si="2"/>
        <v>0</v>
      </c>
      <c r="L16" s="63"/>
      <c r="M16" s="144">
        <f t="shared" si="4"/>
        <v>35311.090119999972</v>
      </c>
      <c r="N16" s="43"/>
    </row>
    <row r="17" spans="1:14">
      <c r="A17" s="6">
        <v>14</v>
      </c>
      <c r="B17" s="211">
        <v>46279</v>
      </c>
      <c r="C17" s="6"/>
      <c r="D17" s="6"/>
      <c r="E17" s="62">
        <v>26.68</v>
      </c>
      <c r="F17" s="6">
        <v>99.32</v>
      </c>
      <c r="G17" s="63">
        <f t="shared" si="0"/>
        <v>2649.8575999999998</v>
      </c>
      <c r="H17" s="62"/>
      <c r="I17" s="304"/>
      <c r="J17" s="63">
        <f t="shared" si="1"/>
        <v>0</v>
      </c>
      <c r="K17" s="63">
        <f t="shared" si="2"/>
        <v>2649.8575999999998</v>
      </c>
      <c r="L17" s="63"/>
      <c r="M17" s="144">
        <f t="shared" si="4"/>
        <v>37960.947719999975</v>
      </c>
      <c r="N17" s="43"/>
    </row>
    <row r="18" spans="1:14">
      <c r="A18" s="6">
        <v>15</v>
      </c>
      <c r="B18" s="211">
        <v>46280</v>
      </c>
      <c r="C18" s="6"/>
      <c r="D18" s="6"/>
      <c r="E18" s="62">
        <v>30</v>
      </c>
      <c r="F18" s="6">
        <v>99.32</v>
      </c>
      <c r="G18" s="63">
        <f t="shared" si="0"/>
        <v>2979.6</v>
      </c>
      <c r="H18" s="62">
        <v>2</v>
      </c>
      <c r="I18" s="304">
        <v>111.42</v>
      </c>
      <c r="J18" s="63">
        <f t="shared" si="1"/>
        <v>222.84</v>
      </c>
      <c r="K18" s="63">
        <f t="shared" si="2"/>
        <v>3202.44</v>
      </c>
      <c r="L18" s="63">
        <v>30000</v>
      </c>
      <c r="M18" s="144">
        <f t="shared" si="4"/>
        <v>11163.387719999977</v>
      </c>
      <c r="N18" s="43"/>
    </row>
    <row r="19" spans="1:14">
      <c r="A19" s="6">
        <v>16</v>
      </c>
      <c r="B19" s="211">
        <v>46281</v>
      </c>
      <c r="C19" s="6"/>
      <c r="D19" s="6"/>
      <c r="E19" s="62"/>
      <c r="F19" s="6"/>
      <c r="G19" s="63">
        <f t="shared" si="0"/>
        <v>0</v>
      </c>
      <c r="H19" s="62"/>
      <c r="I19" s="304"/>
      <c r="J19" s="63">
        <f t="shared" si="1"/>
        <v>0</v>
      </c>
      <c r="K19" s="63">
        <f t="shared" si="2"/>
        <v>0</v>
      </c>
      <c r="L19" s="63"/>
      <c r="M19" s="144">
        <f t="shared" si="4"/>
        <v>11163.387719999977</v>
      </c>
      <c r="N19" s="43"/>
    </row>
    <row r="20" spans="1:14">
      <c r="A20" s="6">
        <v>17</v>
      </c>
      <c r="B20" s="211">
        <v>46282</v>
      </c>
      <c r="C20" s="6"/>
      <c r="D20" s="6"/>
      <c r="E20" s="62"/>
      <c r="F20" s="6"/>
      <c r="G20" s="63">
        <f t="shared" si="0"/>
        <v>0</v>
      </c>
      <c r="H20" s="62"/>
      <c r="I20" s="304"/>
      <c r="J20" s="63">
        <f t="shared" ref="J20:J21" si="5">H20*I20</f>
        <v>0</v>
      </c>
      <c r="K20" s="63">
        <f t="shared" ref="K20:K21" si="6">G20+J20</f>
        <v>0</v>
      </c>
      <c r="L20" s="63"/>
      <c r="M20" s="144">
        <f t="shared" si="4"/>
        <v>11163.387719999977</v>
      </c>
      <c r="N20" s="43"/>
    </row>
    <row r="21" spans="1:14">
      <c r="A21" s="6">
        <v>18</v>
      </c>
      <c r="B21" s="211">
        <v>46283</v>
      </c>
      <c r="C21" s="6"/>
      <c r="D21" s="6"/>
      <c r="E21" s="62"/>
      <c r="F21" s="6"/>
      <c r="G21" s="63">
        <f t="shared" si="0"/>
        <v>0</v>
      </c>
      <c r="H21" s="62">
        <v>4.5999999999999996</v>
      </c>
      <c r="I21" s="304">
        <v>120.6</v>
      </c>
      <c r="J21" s="63">
        <f t="shared" si="5"/>
        <v>554.75999999999988</v>
      </c>
      <c r="K21" s="63">
        <f t="shared" si="6"/>
        <v>554.75999999999988</v>
      </c>
      <c r="L21" s="63"/>
      <c r="M21" s="144">
        <f t="shared" ref="M21:M23" si="7">M20+K21-L21</f>
        <v>11718.147719999977</v>
      </c>
      <c r="N21" s="43"/>
    </row>
    <row r="22" spans="1:14">
      <c r="A22" s="6">
        <v>19</v>
      </c>
      <c r="B22" s="211">
        <v>46284</v>
      </c>
      <c r="C22" s="6"/>
      <c r="D22" s="6"/>
      <c r="E22" s="62">
        <v>31.43</v>
      </c>
      <c r="F22" s="6">
        <v>99.32</v>
      </c>
      <c r="G22" s="63">
        <f t="shared" si="0"/>
        <v>3121.6275999999998</v>
      </c>
      <c r="H22" s="62"/>
      <c r="I22" s="304"/>
      <c r="J22" s="63">
        <f t="shared" si="1"/>
        <v>0</v>
      </c>
      <c r="K22" s="63">
        <f t="shared" si="2"/>
        <v>3121.6275999999998</v>
      </c>
      <c r="L22" s="63"/>
      <c r="M22" s="144">
        <f t="shared" si="7"/>
        <v>14839.775319999977</v>
      </c>
      <c r="N22" s="43"/>
    </row>
    <row r="23" spans="1:14">
      <c r="A23" s="6">
        <v>20</v>
      </c>
      <c r="B23" s="211">
        <v>46285</v>
      </c>
      <c r="C23" s="6"/>
      <c r="D23" s="6"/>
      <c r="E23" s="62">
        <v>153.67000000000002</v>
      </c>
      <c r="F23" s="6">
        <v>99.32</v>
      </c>
      <c r="G23" s="63">
        <f t="shared" si="0"/>
        <v>15262.5044</v>
      </c>
      <c r="H23" s="62"/>
      <c r="I23" s="304"/>
      <c r="J23" s="63">
        <f t="shared" si="1"/>
        <v>0</v>
      </c>
      <c r="K23" s="63">
        <f t="shared" si="2"/>
        <v>15262.5044</v>
      </c>
      <c r="L23" s="63"/>
      <c r="M23" s="144">
        <f t="shared" si="7"/>
        <v>30102.279719999977</v>
      </c>
      <c r="N23" s="43"/>
    </row>
    <row r="24" spans="1:14">
      <c r="A24" s="6">
        <v>21</v>
      </c>
      <c r="B24" s="211">
        <v>46286</v>
      </c>
      <c r="C24" s="6"/>
      <c r="D24" s="6"/>
      <c r="E24" s="62">
        <v>49.98</v>
      </c>
      <c r="F24" s="6">
        <v>99.32</v>
      </c>
      <c r="G24" s="63">
        <f t="shared" si="0"/>
        <v>4964.0135999999993</v>
      </c>
      <c r="H24" s="62">
        <v>8</v>
      </c>
      <c r="I24" s="304">
        <v>111.42</v>
      </c>
      <c r="J24" s="63">
        <f t="shared" si="1"/>
        <v>891.36</v>
      </c>
      <c r="K24" s="63">
        <f t="shared" si="2"/>
        <v>5855.373599999999</v>
      </c>
      <c r="L24" s="63"/>
      <c r="M24" s="144">
        <f t="shared" si="4"/>
        <v>35957.653319999976</v>
      </c>
      <c r="N24" s="43"/>
    </row>
    <row r="25" spans="1:14">
      <c r="A25" s="6">
        <v>22</v>
      </c>
      <c r="B25" s="211">
        <v>46287</v>
      </c>
      <c r="C25" s="6"/>
      <c r="D25" s="6"/>
      <c r="E25" s="296">
        <v>30</v>
      </c>
      <c r="F25" s="304">
        <v>99.32</v>
      </c>
      <c r="G25" s="63">
        <f t="shared" si="0"/>
        <v>2979.6</v>
      </c>
      <c r="H25" s="62">
        <v>10</v>
      </c>
      <c r="I25" s="304">
        <v>111.42</v>
      </c>
      <c r="J25" s="63">
        <f t="shared" si="1"/>
        <v>1114.2</v>
      </c>
      <c r="K25" s="63">
        <f t="shared" si="2"/>
        <v>4093.8</v>
      </c>
      <c r="L25" s="63"/>
      <c r="M25" s="144">
        <f t="shared" si="4"/>
        <v>40051.453319999979</v>
      </c>
      <c r="N25" s="43"/>
    </row>
    <row r="26" spans="1:14">
      <c r="A26" s="6">
        <v>23</v>
      </c>
      <c r="B26" s="211">
        <v>46288</v>
      </c>
      <c r="C26" s="6"/>
      <c r="D26" s="6"/>
      <c r="E26" s="62">
        <v>80</v>
      </c>
      <c r="F26" s="6">
        <v>99.32</v>
      </c>
      <c r="G26" s="63">
        <f t="shared" si="0"/>
        <v>7945.5999999999995</v>
      </c>
      <c r="H26" s="62"/>
      <c r="I26" s="304"/>
      <c r="J26" s="63">
        <f t="shared" si="1"/>
        <v>0</v>
      </c>
      <c r="K26" s="63">
        <f t="shared" si="2"/>
        <v>7945.5999999999995</v>
      </c>
      <c r="L26" s="63"/>
      <c r="M26" s="144">
        <f t="shared" si="4"/>
        <v>47997.053319999977</v>
      </c>
      <c r="N26" s="43"/>
    </row>
    <row r="27" spans="1:14">
      <c r="A27" s="6">
        <v>24</v>
      </c>
      <c r="B27" s="211">
        <v>46289</v>
      </c>
      <c r="C27" s="6"/>
      <c r="D27" s="6"/>
      <c r="E27" s="62">
        <v>51.4</v>
      </c>
      <c r="F27" s="6">
        <v>99.32</v>
      </c>
      <c r="G27" s="63">
        <f t="shared" si="0"/>
        <v>5105.0479999999998</v>
      </c>
      <c r="H27" s="62"/>
      <c r="I27" s="304"/>
      <c r="J27" s="63">
        <f t="shared" si="1"/>
        <v>0</v>
      </c>
      <c r="K27" s="63">
        <f t="shared" si="2"/>
        <v>5105.0479999999998</v>
      </c>
      <c r="L27" s="63"/>
      <c r="M27" s="144">
        <f t="shared" si="4"/>
        <v>53102.10131999998</v>
      </c>
      <c r="N27" s="43"/>
    </row>
    <row r="28" spans="1:14">
      <c r="A28" s="6">
        <v>25</v>
      </c>
      <c r="B28" s="211">
        <v>46290</v>
      </c>
      <c r="C28" s="6"/>
      <c r="D28" s="6"/>
      <c r="E28" s="62">
        <v>10</v>
      </c>
      <c r="F28" s="6">
        <v>99.32</v>
      </c>
      <c r="G28" s="63">
        <f t="shared" si="0"/>
        <v>993.19999999999993</v>
      </c>
      <c r="H28" s="62">
        <v>10</v>
      </c>
      <c r="I28" s="304">
        <v>111.42</v>
      </c>
      <c r="J28" s="63">
        <f t="shared" si="1"/>
        <v>1114.2</v>
      </c>
      <c r="K28" s="63">
        <f t="shared" si="2"/>
        <v>2107.4</v>
      </c>
      <c r="L28" s="63"/>
      <c r="M28" s="144">
        <f t="shared" si="4"/>
        <v>55209.501319999981</v>
      </c>
      <c r="N28" s="43"/>
    </row>
    <row r="29" spans="1:14">
      <c r="A29" s="6">
        <v>26</v>
      </c>
      <c r="B29" s="211">
        <v>46291</v>
      </c>
      <c r="C29" s="6"/>
      <c r="D29" s="6"/>
      <c r="E29" s="296">
        <f>27.44+30</f>
        <v>57.44</v>
      </c>
      <c r="F29" s="304">
        <v>99.32</v>
      </c>
      <c r="G29" s="63">
        <f t="shared" si="0"/>
        <v>5704.9407999999994</v>
      </c>
      <c r="H29" s="62"/>
      <c r="I29" s="304"/>
      <c r="J29" s="63">
        <f t="shared" si="1"/>
        <v>0</v>
      </c>
      <c r="K29" s="63">
        <f t="shared" si="2"/>
        <v>5704.9407999999994</v>
      </c>
      <c r="L29" s="63"/>
      <c r="M29" s="144">
        <f t="shared" si="4"/>
        <v>60914.442119999978</v>
      </c>
      <c r="N29" s="43"/>
    </row>
    <row r="30" spans="1:14">
      <c r="A30" s="6">
        <v>27</v>
      </c>
      <c r="B30" s="211">
        <v>46292</v>
      </c>
      <c r="C30" s="6"/>
      <c r="D30" s="6"/>
      <c r="E30" s="62"/>
      <c r="F30" s="6"/>
      <c r="G30" s="63">
        <f t="shared" si="0"/>
        <v>0</v>
      </c>
      <c r="H30" s="62"/>
      <c r="I30" s="304"/>
      <c r="J30" s="63">
        <f t="shared" si="1"/>
        <v>0</v>
      </c>
      <c r="K30" s="63">
        <f t="shared" si="2"/>
        <v>0</v>
      </c>
      <c r="L30" s="63"/>
      <c r="M30" s="144">
        <f t="shared" si="4"/>
        <v>60914.442119999978</v>
      </c>
      <c r="N30" s="43"/>
    </row>
    <row r="31" spans="1:14">
      <c r="A31" s="6">
        <v>28</v>
      </c>
      <c r="B31" s="211">
        <v>46293</v>
      </c>
      <c r="C31" s="6"/>
      <c r="D31" s="6"/>
      <c r="E31" s="62">
        <v>134.75</v>
      </c>
      <c r="F31" s="6">
        <v>99.32</v>
      </c>
      <c r="G31" s="63">
        <f t="shared" si="0"/>
        <v>13383.369999999999</v>
      </c>
      <c r="H31" s="62"/>
      <c r="I31" s="304"/>
      <c r="J31" s="63">
        <f t="shared" si="1"/>
        <v>0</v>
      </c>
      <c r="K31" s="63">
        <f t="shared" si="2"/>
        <v>13383.369999999999</v>
      </c>
      <c r="L31" s="63"/>
      <c r="M31" s="144">
        <f t="shared" si="4"/>
        <v>74297.812119999973</v>
      </c>
      <c r="N31" s="43"/>
    </row>
    <row r="32" spans="1:14">
      <c r="A32" s="6">
        <v>29</v>
      </c>
      <c r="B32" s="211">
        <v>46294</v>
      </c>
      <c r="C32" s="6"/>
      <c r="D32" s="6"/>
      <c r="E32" s="6"/>
      <c r="F32" s="63"/>
      <c r="G32" s="63">
        <f t="shared" si="0"/>
        <v>0</v>
      </c>
      <c r="H32" s="62"/>
      <c r="I32" s="304"/>
      <c r="J32" s="63">
        <f t="shared" si="1"/>
        <v>0</v>
      </c>
      <c r="K32" s="63">
        <f t="shared" si="2"/>
        <v>0</v>
      </c>
      <c r="L32" s="63"/>
      <c r="M32" s="144">
        <f t="shared" si="4"/>
        <v>74297.812119999973</v>
      </c>
      <c r="N32" s="43"/>
    </row>
    <row r="33" spans="1:16">
      <c r="A33" s="6">
        <v>30</v>
      </c>
      <c r="B33" s="211">
        <v>46295</v>
      </c>
      <c r="C33" s="6"/>
      <c r="D33" s="6"/>
      <c r="E33" s="62"/>
      <c r="F33" s="6"/>
      <c r="G33" s="63">
        <f t="shared" ref="G5:G46" si="8">E33*F33</f>
        <v>0</v>
      </c>
      <c r="H33" s="62"/>
      <c r="I33" s="304"/>
      <c r="J33" s="63">
        <f t="shared" si="1"/>
        <v>0</v>
      </c>
      <c r="K33" s="63">
        <f t="shared" si="2"/>
        <v>0</v>
      </c>
      <c r="L33" s="63"/>
      <c r="M33" s="144">
        <f t="shared" si="4"/>
        <v>74297.812119999973</v>
      </c>
      <c r="N33" s="43"/>
    </row>
    <row r="34" spans="1:16">
      <c r="A34" s="6">
        <v>31</v>
      </c>
      <c r="B34" s="211"/>
      <c r="C34" s="6"/>
      <c r="D34" s="6"/>
      <c r="E34" s="62"/>
      <c r="F34" s="6"/>
      <c r="G34" s="63">
        <f t="shared" si="8"/>
        <v>0</v>
      </c>
      <c r="H34" s="62"/>
      <c r="I34" s="304"/>
      <c r="J34" s="63">
        <f t="shared" si="1"/>
        <v>0</v>
      </c>
      <c r="K34" s="63">
        <f t="shared" si="2"/>
        <v>0</v>
      </c>
      <c r="L34" s="63"/>
      <c r="M34" s="144">
        <f t="shared" si="4"/>
        <v>74297.812119999973</v>
      </c>
      <c r="N34" s="43"/>
    </row>
    <row r="35" spans="1:16">
      <c r="A35" s="6">
        <v>32</v>
      </c>
      <c r="B35" s="211"/>
      <c r="C35" s="6"/>
      <c r="D35" s="6"/>
      <c r="E35" s="62"/>
      <c r="F35" s="6"/>
      <c r="G35" s="63">
        <f t="shared" si="8"/>
        <v>0</v>
      </c>
      <c r="H35" s="62"/>
      <c r="I35" s="304"/>
      <c r="J35" s="63">
        <f t="shared" si="1"/>
        <v>0</v>
      </c>
      <c r="K35" s="63">
        <f t="shared" si="2"/>
        <v>0</v>
      </c>
      <c r="L35" s="63"/>
      <c r="M35" s="144">
        <f t="shared" si="4"/>
        <v>74297.812119999973</v>
      </c>
      <c r="N35" s="43"/>
    </row>
    <row r="36" spans="1:16">
      <c r="A36" s="6">
        <v>33</v>
      </c>
      <c r="B36" s="211"/>
      <c r="C36" s="6"/>
      <c r="D36" s="6"/>
      <c r="E36" s="62"/>
      <c r="F36" s="6"/>
      <c r="G36" s="63">
        <f t="shared" si="8"/>
        <v>0</v>
      </c>
      <c r="H36" s="62"/>
      <c r="I36" s="6"/>
      <c r="J36" s="63">
        <f t="shared" si="1"/>
        <v>0</v>
      </c>
      <c r="K36" s="63">
        <f t="shared" si="2"/>
        <v>0</v>
      </c>
      <c r="L36" s="63"/>
      <c r="M36" s="144">
        <f t="shared" si="4"/>
        <v>74297.812119999973</v>
      </c>
      <c r="N36" s="43"/>
    </row>
    <row r="37" spans="1:16">
      <c r="A37" s="6">
        <v>34</v>
      </c>
      <c r="B37" s="211"/>
      <c r="C37" s="6"/>
      <c r="D37" s="6"/>
      <c r="E37" s="62"/>
      <c r="F37" s="6"/>
      <c r="G37" s="63">
        <f t="shared" si="8"/>
        <v>0</v>
      </c>
      <c r="H37" s="62"/>
      <c r="I37" s="6"/>
      <c r="J37" s="63">
        <f t="shared" si="1"/>
        <v>0</v>
      </c>
      <c r="K37" s="63">
        <f t="shared" si="2"/>
        <v>0</v>
      </c>
      <c r="L37" s="63"/>
      <c r="M37" s="144">
        <f t="shared" si="4"/>
        <v>74297.812119999973</v>
      </c>
      <c r="N37" s="43"/>
    </row>
    <row r="38" spans="1:16">
      <c r="A38" s="6">
        <v>35</v>
      </c>
      <c r="B38" s="75"/>
      <c r="C38" s="6"/>
      <c r="D38" s="6"/>
      <c r="E38" s="62"/>
      <c r="F38" s="6"/>
      <c r="G38" s="63">
        <f t="shared" si="8"/>
        <v>0</v>
      </c>
      <c r="H38" s="62"/>
      <c r="I38" s="6"/>
      <c r="J38" s="63">
        <f t="shared" si="1"/>
        <v>0</v>
      </c>
      <c r="K38" s="63">
        <f t="shared" si="2"/>
        <v>0</v>
      </c>
      <c r="L38" s="63"/>
      <c r="M38" s="144">
        <f t="shared" si="4"/>
        <v>74297.812119999973</v>
      </c>
      <c r="N38" s="43"/>
    </row>
    <row r="39" spans="1:16">
      <c r="A39" s="6">
        <v>36</v>
      </c>
      <c r="B39" s="75"/>
      <c r="C39" s="6"/>
      <c r="D39" s="6"/>
      <c r="E39" s="62"/>
      <c r="F39" s="6"/>
      <c r="G39" s="63">
        <f t="shared" si="8"/>
        <v>0</v>
      </c>
      <c r="H39" s="62"/>
      <c r="I39" s="6"/>
      <c r="J39" s="63">
        <f t="shared" si="1"/>
        <v>0</v>
      </c>
      <c r="K39" s="63">
        <f t="shared" si="2"/>
        <v>0</v>
      </c>
      <c r="L39" s="63"/>
      <c r="M39" s="144">
        <f t="shared" si="4"/>
        <v>74297.812119999973</v>
      </c>
      <c r="N39" s="43"/>
    </row>
    <row r="40" spans="1:16">
      <c r="A40" s="6">
        <v>37</v>
      </c>
      <c r="B40" s="75"/>
      <c r="C40" s="6"/>
      <c r="D40" s="6"/>
      <c r="E40" s="62"/>
      <c r="F40" s="6"/>
      <c r="G40" s="63">
        <f t="shared" si="8"/>
        <v>0</v>
      </c>
      <c r="H40" s="62"/>
      <c r="I40" s="6"/>
      <c r="J40" s="63">
        <f t="shared" si="1"/>
        <v>0</v>
      </c>
      <c r="K40" s="63">
        <f t="shared" si="2"/>
        <v>0</v>
      </c>
      <c r="L40" s="63"/>
      <c r="M40" s="144">
        <f t="shared" si="4"/>
        <v>74297.812119999973</v>
      </c>
      <c r="N40" s="43"/>
    </row>
    <row r="41" spans="1:16">
      <c r="A41" s="6">
        <v>38</v>
      </c>
      <c r="B41" s="75"/>
      <c r="C41" s="6"/>
      <c r="D41" s="6"/>
      <c r="E41" s="62"/>
      <c r="F41" s="6"/>
      <c r="G41" s="63">
        <f t="shared" si="8"/>
        <v>0</v>
      </c>
      <c r="H41" s="62"/>
      <c r="I41" s="6"/>
      <c r="J41" s="63">
        <f>H41*I41</f>
        <v>0</v>
      </c>
      <c r="K41" s="63">
        <f>G41+J41</f>
        <v>0</v>
      </c>
      <c r="L41" s="63"/>
      <c r="M41" s="144">
        <f t="shared" si="4"/>
        <v>74297.812119999973</v>
      </c>
      <c r="N41" s="43"/>
    </row>
    <row r="42" spans="1:16">
      <c r="A42" s="6">
        <v>39</v>
      </c>
      <c r="B42" s="75"/>
      <c r="C42" s="6"/>
      <c r="D42" s="6"/>
      <c r="E42" s="62"/>
      <c r="F42" s="6"/>
      <c r="G42" s="63">
        <f t="shared" si="8"/>
        <v>0</v>
      </c>
      <c r="H42" s="62"/>
      <c r="I42" s="6"/>
      <c r="J42" s="63">
        <f t="shared" si="1"/>
        <v>0</v>
      </c>
      <c r="K42" s="63">
        <f t="shared" si="2"/>
        <v>0</v>
      </c>
      <c r="L42" s="63"/>
      <c r="M42" s="144">
        <f t="shared" si="4"/>
        <v>74297.812119999973</v>
      </c>
      <c r="N42" s="43"/>
    </row>
    <row r="43" spans="1:16">
      <c r="A43" s="6">
        <v>40</v>
      </c>
      <c r="B43" s="75"/>
      <c r="C43" s="6"/>
      <c r="D43" s="6"/>
      <c r="E43" s="62"/>
      <c r="F43" s="6"/>
      <c r="G43" s="63">
        <f t="shared" si="8"/>
        <v>0</v>
      </c>
      <c r="H43" s="62"/>
      <c r="I43" s="6"/>
      <c r="J43" s="63">
        <f t="shared" si="1"/>
        <v>0</v>
      </c>
      <c r="K43" s="63">
        <f t="shared" si="2"/>
        <v>0</v>
      </c>
      <c r="L43" s="63"/>
      <c r="M43" s="144">
        <f t="shared" si="4"/>
        <v>74297.812119999973</v>
      </c>
      <c r="N43" s="43"/>
    </row>
    <row r="44" spans="1:16">
      <c r="A44" s="6">
        <v>41</v>
      </c>
      <c r="B44" s="163"/>
      <c r="C44" s="162"/>
      <c r="D44" s="6"/>
      <c r="E44" s="62"/>
      <c r="F44" s="6"/>
      <c r="G44" s="63">
        <f t="shared" si="8"/>
        <v>0</v>
      </c>
      <c r="H44" s="62"/>
      <c r="I44" s="6"/>
      <c r="J44" s="63">
        <f t="shared" si="1"/>
        <v>0</v>
      </c>
      <c r="K44" s="63">
        <f t="shared" si="2"/>
        <v>0</v>
      </c>
      <c r="L44" s="63"/>
      <c r="M44" s="144">
        <f t="shared" si="4"/>
        <v>74297.812119999973</v>
      </c>
      <c r="N44" s="43"/>
    </row>
    <row r="45" spans="1:16">
      <c r="A45" s="6">
        <v>42</v>
      </c>
      <c r="B45" s="6"/>
      <c r="C45" s="6"/>
      <c r="D45" s="6"/>
      <c r="E45" s="62"/>
      <c r="F45" s="6"/>
      <c r="G45" s="63">
        <f t="shared" si="8"/>
        <v>0</v>
      </c>
      <c r="H45" s="62"/>
      <c r="I45" s="6"/>
      <c r="J45" s="63">
        <f t="shared" si="1"/>
        <v>0</v>
      </c>
      <c r="K45" s="63">
        <f t="shared" si="2"/>
        <v>0</v>
      </c>
      <c r="L45" s="63"/>
      <c r="M45" s="144">
        <f t="shared" si="4"/>
        <v>74297.812119999973</v>
      </c>
      <c r="N45" s="43"/>
      <c r="P45" s="431"/>
    </row>
    <row r="46" spans="1:16">
      <c r="A46" s="6">
        <v>43</v>
      </c>
      <c r="B46" s="162"/>
      <c r="C46" s="162"/>
      <c r="D46" s="6"/>
      <c r="E46" s="62"/>
      <c r="F46" s="6"/>
      <c r="G46" s="63">
        <f t="shared" si="8"/>
        <v>0</v>
      </c>
      <c r="H46" s="62"/>
      <c r="I46" s="6"/>
      <c r="J46" s="63">
        <f t="shared" si="1"/>
        <v>0</v>
      </c>
      <c r="K46" s="63">
        <f t="shared" si="2"/>
        <v>0</v>
      </c>
      <c r="L46" s="63"/>
      <c r="M46" s="144">
        <f t="shared" si="4"/>
        <v>74297.812119999973</v>
      </c>
      <c r="N46" s="43"/>
    </row>
    <row r="47" spans="1:16">
      <c r="A47" s="6">
        <v>44</v>
      </c>
      <c r="B47" s="162"/>
      <c r="C47" s="162"/>
      <c r="D47" s="6"/>
      <c r="E47" s="62"/>
      <c r="F47" s="6"/>
      <c r="G47" s="63">
        <f t="shared" ref="G47" si="9">E47*F47</f>
        <v>0</v>
      </c>
      <c r="H47" s="62"/>
      <c r="I47" s="6"/>
      <c r="J47" s="63">
        <f>H47*I47</f>
        <v>0</v>
      </c>
      <c r="K47" s="63">
        <f t="shared" ref="K47" si="10">G47+J47</f>
        <v>0</v>
      </c>
      <c r="L47" s="155"/>
      <c r="M47" s="144">
        <f t="shared" si="4"/>
        <v>74297.812119999973</v>
      </c>
      <c r="N47" s="43"/>
    </row>
    <row r="48" spans="1:16">
      <c r="A48" s="59"/>
      <c r="B48" s="59"/>
      <c r="C48" s="59"/>
      <c r="D48" s="59"/>
      <c r="E48" s="60">
        <f>SUM(E4:E47)</f>
        <v>876.17000000000007</v>
      </c>
      <c r="F48" s="60"/>
      <c r="G48" s="60">
        <f>SUM(G4:G47)</f>
        <v>87021.204399999988</v>
      </c>
      <c r="H48" s="60">
        <f>SUM(H4:H47)</f>
        <v>66.599999999999994</v>
      </c>
      <c r="I48" s="60"/>
      <c r="J48" s="60">
        <f>SUM(J4:J47)</f>
        <v>7462.7999999999993</v>
      </c>
      <c r="K48" s="60">
        <f>SUM(K4:K47)</f>
        <v>94484.004399999976</v>
      </c>
      <c r="L48" s="60">
        <f>SUM(L4:L47)</f>
        <v>30000</v>
      </c>
      <c r="M48" s="60"/>
      <c r="N48" s="60"/>
      <c r="O48" s="56"/>
    </row>
  </sheetData>
  <mergeCells count="2">
    <mergeCell ref="A1:N1"/>
    <mergeCell ref="A3:L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P36"/>
  <sheetViews>
    <sheetView workbookViewId="0">
      <pane ySplit="3" topLeftCell="A19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14.7109375" style="5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" width="9.140625" style="5"/>
    <col min="17" max="17" width="13.5703125" style="5" customWidth="1"/>
    <col min="18" max="16384" width="9.140625" style="5"/>
  </cols>
  <sheetData>
    <row r="1" spans="1:14" ht="15.75">
      <c r="A1" s="602" t="s">
        <v>155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4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</row>
    <row r="3" spans="1:14">
      <c r="A3" s="148"/>
      <c r="B3" s="14" t="s">
        <v>179</v>
      </c>
      <c r="C3" s="149"/>
      <c r="D3" s="149"/>
      <c r="E3" s="149"/>
      <c r="F3" s="149"/>
      <c r="G3" s="149"/>
      <c r="H3" s="149"/>
      <c r="I3" s="149"/>
      <c r="J3" s="150"/>
      <c r="K3" s="77"/>
      <c r="L3" s="151"/>
      <c r="M3" s="77">
        <v>3961.7789000000512</v>
      </c>
      <c r="N3" s="149"/>
    </row>
    <row r="4" spans="1:14">
      <c r="A4" s="188">
        <v>1</v>
      </c>
      <c r="B4" s="211">
        <v>46266</v>
      </c>
      <c r="C4" s="64"/>
      <c r="D4" s="152"/>
      <c r="E4" s="62"/>
      <c r="F4" s="6"/>
      <c r="G4" s="8">
        <f>E4*F4</f>
        <v>0</v>
      </c>
      <c r="H4" s="62"/>
      <c r="I4" s="6"/>
      <c r="J4" s="8">
        <f>H4*I4</f>
        <v>0</v>
      </c>
      <c r="K4" s="8">
        <f>G4+J4</f>
        <v>0</v>
      </c>
      <c r="L4" s="65"/>
      <c r="M4" s="65">
        <f>M3+K4-L4</f>
        <v>3961.7789000000512</v>
      </c>
      <c r="N4" s="38"/>
    </row>
    <row r="5" spans="1:14">
      <c r="A5" s="43">
        <v>2</v>
      </c>
      <c r="B5" s="211">
        <v>46267</v>
      </c>
      <c r="C5" s="64"/>
      <c r="D5" s="68"/>
      <c r="E5" s="62"/>
      <c r="F5" s="6"/>
      <c r="G5" s="8">
        <f t="shared" ref="G5:G34" si="0">E5*F5</f>
        <v>0</v>
      </c>
      <c r="H5" s="62">
        <v>4</v>
      </c>
      <c r="I5" s="6">
        <v>111.19</v>
      </c>
      <c r="J5" s="8">
        <f t="shared" ref="J5:J34" si="1">H5*I5</f>
        <v>444.76</v>
      </c>
      <c r="K5" s="8">
        <f t="shared" ref="K5:K34" si="2">G5+J5</f>
        <v>444.76</v>
      </c>
      <c r="L5" s="65"/>
      <c r="M5" s="65">
        <f t="shared" ref="M5:M19" si="3">M4+K5-L5</f>
        <v>4406.5389000000514</v>
      </c>
      <c r="N5" s="38"/>
    </row>
    <row r="6" spans="1:14">
      <c r="A6" s="43">
        <v>3</v>
      </c>
      <c r="B6" s="211">
        <v>46268</v>
      </c>
      <c r="C6" s="64"/>
      <c r="D6" s="68"/>
      <c r="E6" s="62">
        <v>20</v>
      </c>
      <c r="F6" s="6">
        <v>99.12</v>
      </c>
      <c r="G6" s="8">
        <f t="shared" si="0"/>
        <v>1982.4</v>
      </c>
      <c r="H6" s="62"/>
      <c r="I6" s="6"/>
      <c r="J6" s="8">
        <f t="shared" si="1"/>
        <v>0</v>
      </c>
      <c r="K6" s="8">
        <f t="shared" si="2"/>
        <v>1982.4</v>
      </c>
      <c r="L6" s="65"/>
      <c r="M6" s="65">
        <f t="shared" si="3"/>
        <v>6388.9389000000519</v>
      </c>
      <c r="N6" s="38"/>
    </row>
    <row r="7" spans="1:14">
      <c r="A7" s="43">
        <v>4</v>
      </c>
      <c r="B7" s="211">
        <v>46269</v>
      </c>
      <c r="C7" s="64"/>
      <c r="D7" s="68"/>
      <c r="E7" s="62">
        <v>373</v>
      </c>
      <c r="F7" s="6">
        <v>99.12</v>
      </c>
      <c r="G7" s="8">
        <f t="shared" si="0"/>
        <v>36971.760000000002</v>
      </c>
      <c r="H7" s="62">
        <v>5</v>
      </c>
      <c r="I7" s="6">
        <v>111.19</v>
      </c>
      <c r="J7" s="8">
        <f t="shared" si="1"/>
        <v>555.95000000000005</v>
      </c>
      <c r="K7" s="8">
        <f t="shared" si="2"/>
        <v>37527.71</v>
      </c>
      <c r="L7" s="65"/>
      <c r="M7" s="65">
        <f t="shared" si="3"/>
        <v>43916.648900000051</v>
      </c>
      <c r="N7" s="38"/>
    </row>
    <row r="8" spans="1:14">
      <c r="A8" s="43">
        <v>5</v>
      </c>
      <c r="B8" s="211">
        <v>46270</v>
      </c>
      <c r="C8" s="64"/>
      <c r="D8" s="68"/>
      <c r="E8" s="62"/>
      <c r="F8" s="6"/>
      <c r="G8" s="8">
        <f t="shared" si="0"/>
        <v>0</v>
      </c>
      <c r="H8" s="62">
        <v>6.3</v>
      </c>
      <c r="I8" s="304">
        <v>111.19</v>
      </c>
      <c r="J8" s="8">
        <f t="shared" si="1"/>
        <v>700.49699999999996</v>
      </c>
      <c r="K8" s="8">
        <f t="shared" si="2"/>
        <v>700.49699999999996</v>
      </c>
      <c r="L8" s="65"/>
      <c r="M8" s="65">
        <f t="shared" si="3"/>
        <v>44617.145900000054</v>
      </c>
      <c r="N8" s="38"/>
    </row>
    <row r="9" spans="1:14">
      <c r="A9" s="43">
        <v>6</v>
      </c>
      <c r="B9" s="211">
        <v>46271</v>
      </c>
      <c r="C9" s="64"/>
      <c r="D9" s="68"/>
      <c r="E9" s="62">
        <v>58.59</v>
      </c>
      <c r="F9" s="6">
        <v>99.12</v>
      </c>
      <c r="G9" s="8">
        <f t="shared" si="0"/>
        <v>5807.4408000000003</v>
      </c>
      <c r="H9" s="62"/>
      <c r="I9" s="304"/>
      <c r="J9" s="8">
        <f t="shared" si="1"/>
        <v>0</v>
      </c>
      <c r="K9" s="8">
        <f t="shared" si="2"/>
        <v>5807.4408000000003</v>
      </c>
      <c r="L9" s="65"/>
      <c r="M9" s="65">
        <f t="shared" si="3"/>
        <v>50424.586700000058</v>
      </c>
      <c r="N9" s="38"/>
    </row>
    <row r="10" spans="1:14">
      <c r="A10" s="43">
        <v>7</v>
      </c>
      <c r="B10" s="211">
        <v>46272</v>
      </c>
      <c r="C10" s="64"/>
      <c r="D10" s="68"/>
      <c r="E10" s="62">
        <v>150</v>
      </c>
      <c r="F10" s="6">
        <v>99.12</v>
      </c>
      <c r="G10" s="8">
        <f t="shared" si="0"/>
        <v>14868</v>
      </c>
      <c r="H10" s="62">
        <v>8</v>
      </c>
      <c r="I10" s="6">
        <v>111.19</v>
      </c>
      <c r="J10" s="8">
        <f t="shared" si="1"/>
        <v>889.52</v>
      </c>
      <c r="K10" s="8">
        <f t="shared" ref="K10:K11" si="4">G10+J10</f>
        <v>15757.52</v>
      </c>
      <c r="L10" s="65"/>
      <c r="M10" s="65">
        <f t="shared" si="3"/>
        <v>66182.106700000062</v>
      </c>
      <c r="N10" s="38"/>
    </row>
    <row r="11" spans="1:14">
      <c r="A11" s="43">
        <v>8</v>
      </c>
      <c r="B11" s="211">
        <v>46273</v>
      </c>
      <c r="C11" s="64"/>
      <c r="D11" s="68"/>
      <c r="E11" s="62"/>
      <c r="F11" s="6"/>
      <c r="G11" s="8">
        <f t="shared" ref="G11" si="5">E11*F11</f>
        <v>0</v>
      </c>
      <c r="H11" s="62">
        <v>5</v>
      </c>
      <c r="I11" s="6">
        <v>111.19</v>
      </c>
      <c r="J11" s="8">
        <f t="shared" si="1"/>
        <v>555.95000000000005</v>
      </c>
      <c r="K11" s="8">
        <f t="shared" si="4"/>
        <v>555.95000000000005</v>
      </c>
      <c r="L11" s="65"/>
      <c r="M11" s="65">
        <f t="shared" si="3"/>
        <v>66738.056700000059</v>
      </c>
      <c r="N11" s="38"/>
    </row>
    <row r="12" spans="1:14">
      <c r="A12" s="43">
        <v>9</v>
      </c>
      <c r="B12" s="211">
        <v>46274</v>
      </c>
      <c r="C12" s="64"/>
      <c r="D12" s="68"/>
      <c r="E12" s="62"/>
      <c r="F12" s="6"/>
      <c r="G12" s="8">
        <f t="shared" si="0"/>
        <v>0</v>
      </c>
      <c r="H12" s="62"/>
      <c r="I12" s="6"/>
      <c r="J12" s="8">
        <f t="shared" si="1"/>
        <v>0</v>
      </c>
      <c r="K12" s="8">
        <f t="shared" si="2"/>
        <v>0</v>
      </c>
      <c r="L12" s="65"/>
      <c r="M12" s="65">
        <f t="shared" si="3"/>
        <v>66738.056700000059</v>
      </c>
      <c r="N12" s="38"/>
    </row>
    <row r="13" spans="1:14">
      <c r="A13" s="43">
        <v>10</v>
      </c>
      <c r="B13" s="211">
        <v>46275</v>
      </c>
      <c r="C13" s="179"/>
      <c r="D13" s="180"/>
      <c r="E13" s="62">
        <v>20</v>
      </c>
      <c r="F13" s="6">
        <v>99.12</v>
      </c>
      <c r="G13" s="8">
        <f t="shared" si="0"/>
        <v>1982.4</v>
      </c>
      <c r="H13" s="62">
        <v>5</v>
      </c>
      <c r="I13" s="6">
        <v>111.19</v>
      </c>
      <c r="J13" s="8">
        <f t="shared" si="1"/>
        <v>555.95000000000005</v>
      </c>
      <c r="K13" s="8">
        <f t="shared" si="2"/>
        <v>2538.3500000000004</v>
      </c>
      <c r="L13" s="65"/>
      <c r="M13" s="65">
        <f>M12+K13-L13</f>
        <v>69276.406700000065</v>
      </c>
      <c r="N13" s="38"/>
    </row>
    <row r="14" spans="1:14">
      <c r="A14" s="43">
        <v>11</v>
      </c>
      <c r="B14" s="211">
        <v>46276</v>
      </c>
      <c r="C14" s="169"/>
      <c r="D14" s="169"/>
      <c r="E14" s="296">
        <v>88.91</v>
      </c>
      <c r="F14" s="304">
        <v>99.12</v>
      </c>
      <c r="G14" s="8">
        <f t="shared" si="0"/>
        <v>8812.7592000000004</v>
      </c>
      <c r="H14" s="62"/>
      <c r="I14" s="6"/>
      <c r="J14" s="8">
        <f t="shared" si="1"/>
        <v>0</v>
      </c>
      <c r="K14" s="8">
        <f t="shared" si="2"/>
        <v>8812.7592000000004</v>
      </c>
      <c r="L14" s="65"/>
      <c r="M14" s="65">
        <f t="shared" si="3"/>
        <v>78089.165900000065</v>
      </c>
      <c r="N14" s="38"/>
    </row>
    <row r="15" spans="1:14">
      <c r="A15" s="43">
        <v>12</v>
      </c>
      <c r="B15" s="211">
        <v>46277</v>
      </c>
      <c r="C15" s="169"/>
      <c r="D15" s="169"/>
      <c r="E15" s="296">
        <v>0</v>
      </c>
      <c r="F15" s="304">
        <v>0</v>
      </c>
      <c r="G15" s="8">
        <f t="shared" si="0"/>
        <v>0</v>
      </c>
      <c r="H15" s="62">
        <v>5</v>
      </c>
      <c r="I15" s="6">
        <v>111.19</v>
      </c>
      <c r="J15" s="8">
        <f t="shared" si="1"/>
        <v>555.95000000000005</v>
      </c>
      <c r="K15" s="8">
        <f t="shared" si="2"/>
        <v>555.95000000000005</v>
      </c>
      <c r="L15" s="65"/>
      <c r="M15" s="65">
        <f>M14+K15-L15</f>
        <v>78645.115900000063</v>
      </c>
      <c r="N15" s="38"/>
    </row>
    <row r="16" spans="1:14">
      <c r="A16" s="43">
        <v>13</v>
      </c>
      <c r="B16" s="211">
        <v>46278</v>
      </c>
      <c r="C16" s="169"/>
      <c r="D16" s="169"/>
      <c r="E16" s="62">
        <v>20</v>
      </c>
      <c r="F16" s="6">
        <v>99.12</v>
      </c>
      <c r="G16" s="8">
        <f t="shared" si="0"/>
        <v>1982.4</v>
      </c>
      <c r="H16" s="62"/>
      <c r="I16" s="6"/>
      <c r="J16" s="8">
        <f t="shared" si="1"/>
        <v>0</v>
      </c>
      <c r="K16" s="8">
        <f t="shared" si="2"/>
        <v>1982.4</v>
      </c>
      <c r="L16" s="65"/>
      <c r="M16" s="65">
        <f t="shared" si="3"/>
        <v>80627.515900000057</v>
      </c>
      <c r="N16" s="38"/>
    </row>
    <row r="17" spans="1:14">
      <c r="A17" s="43">
        <v>14</v>
      </c>
      <c r="B17" s="211">
        <v>46279</v>
      </c>
      <c r="C17" s="169"/>
      <c r="D17" s="169"/>
      <c r="E17" s="62">
        <v>20</v>
      </c>
      <c r="F17" s="6">
        <v>99.12</v>
      </c>
      <c r="G17" s="8">
        <f t="shared" si="0"/>
        <v>1982.4</v>
      </c>
      <c r="H17" s="296"/>
      <c r="I17" s="6"/>
      <c r="J17" s="8">
        <f t="shared" si="1"/>
        <v>0</v>
      </c>
      <c r="K17" s="8">
        <f t="shared" si="2"/>
        <v>1982.4</v>
      </c>
      <c r="L17" s="65"/>
      <c r="M17" s="65">
        <f t="shared" si="3"/>
        <v>82609.915900000051</v>
      </c>
      <c r="N17" s="38"/>
    </row>
    <row r="18" spans="1:14">
      <c r="A18" s="43">
        <v>15</v>
      </c>
      <c r="B18" s="211">
        <v>46280</v>
      </c>
      <c r="C18" s="169"/>
      <c r="D18" s="169"/>
      <c r="E18" s="62"/>
      <c r="F18" s="6"/>
      <c r="G18" s="8">
        <f t="shared" si="0"/>
        <v>0</v>
      </c>
      <c r="H18" s="62">
        <v>10</v>
      </c>
      <c r="I18" s="6">
        <v>111.19</v>
      </c>
      <c r="J18" s="8">
        <f t="shared" si="1"/>
        <v>1111.9000000000001</v>
      </c>
      <c r="K18" s="8">
        <f t="shared" si="2"/>
        <v>1111.9000000000001</v>
      </c>
      <c r="L18" s="65"/>
      <c r="M18" s="65">
        <f t="shared" si="3"/>
        <v>83721.815900000045</v>
      </c>
      <c r="N18" s="38"/>
    </row>
    <row r="19" spans="1:14">
      <c r="A19" s="43">
        <v>16</v>
      </c>
      <c r="B19" s="211">
        <v>46281</v>
      </c>
      <c r="C19" s="169"/>
      <c r="D19" s="169"/>
      <c r="E19" s="62"/>
      <c r="F19" s="6"/>
      <c r="G19" s="8">
        <f t="shared" si="0"/>
        <v>0</v>
      </c>
      <c r="H19" s="62">
        <v>5.58</v>
      </c>
      <c r="I19" s="6">
        <v>111.19</v>
      </c>
      <c r="J19" s="8">
        <f t="shared" si="1"/>
        <v>620.4402</v>
      </c>
      <c r="K19" s="8">
        <f t="shared" si="2"/>
        <v>620.4402</v>
      </c>
      <c r="L19" s="65"/>
      <c r="M19" s="65">
        <f t="shared" si="3"/>
        <v>84342.256100000042</v>
      </c>
      <c r="N19" s="38"/>
    </row>
    <row r="20" spans="1:14">
      <c r="A20" s="43">
        <v>17</v>
      </c>
      <c r="B20" s="211">
        <v>46282</v>
      </c>
      <c r="C20" s="169"/>
      <c r="D20" s="169"/>
      <c r="E20" s="62"/>
      <c r="F20" s="6"/>
      <c r="G20" s="8">
        <f t="shared" si="0"/>
        <v>0</v>
      </c>
      <c r="H20" s="62"/>
      <c r="I20" s="6"/>
      <c r="J20" s="8">
        <f t="shared" si="1"/>
        <v>0</v>
      </c>
      <c r="K20" s="8">
        <f t="shared" si="2"/>
        <v>0</v>
      </c>
      <c r="L20" s="65"/>
      <c r="M20" s="65">
        <f t="shared" ref="M20:M34" si="6">M19+K20-L20</f>
        <v>84342.256100000042</v>
      </c>
      <c r="N20" s="38"/>
    </row>
    <row r="21" spans="1:14">
      <c r="A21" s="43">
        <v>18</v>
      </c>
      <c r="B21" s="211">
        <v>46283</v>
      </c>
      <c r="C21" s="169"/>
      <c r="D21" s="169"/>
      <c r="E21" s="62">
        <v>20</v>
      </c>
      <c r="F21" s="6">
        <v>99.12</v>
      </c>
      <c r="G21" s="8">
        <f t="shared" si="0"/>
        <v>1982.4</v>
      </c>
      <c r="H21" s="62">
        <v>13.03</v>
      </c>
      <c r="I21" s="6">
        <v>111.19</v>
      </c>
      <c r="J21" s="8">
        <f t="shared" si="1"/>
        <v>1448.8056999999999</v>
      </c>
      <c r="K21" s="8">
        <f t="shared" si="2"/>
        <v>3431.2057</v>
      </c>
      <c r="L21" s="65"/>
      <c r="M21" s="65">
        <f t="shared" si="6"/>
        <v>87773.461800000048</v>
      </c>
      <c r="N21" s="38"/>
    </row>
    <row r="22" spans="1:14">
      <c r="A22" s="43">
        <v>19</v>
      </c>
      <c r="B22" s="211">
        <v>46284</v>
      </c>
      <c r="C22" s="169"/>
      <c r="D22" s="169"/>
      <c r="E22" s="62"/>
      <c r="F22" s="6"/>
      <c r="G22" s="8">
        <f t="shared" si="0"/>
        <v>0</v>
      </c>
      <c r="H22" s="62">
        <v>2</v>
      </c>
      <c r="I22" s="6">
        <v>111.19</v>
      </c>
      <c r="J22" s="8">
        <f t="shared" si="1"/>
        <v>222.38</v>
      </c>
      <c r="K22" s="8">
        <f t="shared" ref="K22" si="7">G22+J22</f>
        <v>222.38</v>
      </c>
      <c r="L22" s="65"/>
      <c r="M22" s="65">
        <f t="shared" si="6"/>
        <v>87995.841800000053</v>
      </c>
      <c r="N22" s="38"/>
    </row>
    <row r="23" spans="1:14">
      <c r="A23" s="43">
        <v>20</v>
      </c>
      <c r="B23" s="211">
        <v>46285</v>
      </c>
      <c r="C23" s="169"/>
      <c r="D23" s="169"/>
      <c r="E23" s="62"/>
      <c r="F23" s="6"/>
      <c r="G23" s="8">
        <f t="shared" si="0"/>
        <v>0</v>
      </c>
      <c r="H23" s="62"/>
      <c r="I23" s="6"/>
      <c r="J23" s="8">
        <f t="shared" si="1"/>
        <v>0</v>
      </c>
      <c r="K23" s="8">
        <f t="shared" si="2"/>
        <v>0</v>
      </c>
      <c r="L23" s="65"/>
      <c r="M23" s="65">
        <f t="shared" si="6"/>
        <v>87995.841800000053</v>
      </c>
      <c r="N23" s="38"/>
    </row>
    <row r="24" spans="1:14">
      <c r="A24" s="43">
        <v>21</v>
      </c>
      <c r="B24" s="211">
        <v>46286</v>
      </c>
      <c r="C24" s="169"/>
      <c r="D24" s="169"/>
      <c r="E24" s="62"/>
      <c r="F24" s="6"/>
      <c r="G24" s="8">
        <f t="shared" si="0"/>
        <v>0</v>
      </c>
      <c r="H24" s="62"/>
      <c r="I24" s="6"/>
      <c r="J24" s="8">
        <f t="shared" si="1"/>
        <v>0</v>
      </c>
      <c r="K24" s="8">
        <f t="shared" si="2"/>
        <v>0</v>
      </c>
      <c r="L24" s="65"/>
      <c r="M24" s="65">
        <f t="shared" si="6"/>
        <v>87995.841800000053</v>
      </c>
      <c r="N24" s="38"/>
    </row>
    <row r="25" spans="1:14">
      <c r="A25" s="43">
        <v>22</v>
      </c>
      <c r="B25" s="211">
        <v>46287</v>
      </c>
      <c r="C25" s="169"/>
      <c r="D25" s="169"/>
      <c r="E25" s="62">
        <v>30.12</v>
      </c>
      <c r="F25" s="6">
        <v>99.12</v>
      </c>
      <c r="G25" s="8">
        <f t="shared" si="0"/>
        <v>2985.4944</v>
      </c>
      <c r="H25" s="62"/>
      <c r="I25" s="6"/>
      <c r="J25" s="8">
        <f t="shared" si="1"/>
        <v>0</v>
      </c>
      <c r="K25" s="8">
        <f t="shared" si="2"/>
        <v>2985.4944</v>
      </c>
      <c r="L25" s="65"/>
      <c r="M25" s="65">
        <f t="shared" si="6"/>
        <v>90981.336200000049</v>
      </c>
      <c r="N25" s="38"/>
    </row>
    <row r="26" spans="1:14">
      <c r="A26" s="43">
        <v>23</v>
      </c>
      <c r="B26" s="211">
        <v>46288</v>
      </c>
      <c r="C26" s="202"/>
      <c r="D26" s="202"/>
      <c r="E26" s="62">
        <v>50</v>
      </c>
      <c r="F26" s="6">
        <v>99.12</v>
      </c>
      <c r="G26" s="8">
        <f t="shared" si="0"/>
        <v>4956</v>
      </c>
      <c r="H26" s="62">
        <v>14.55</v>
      </c>
      <c r="I26" s="6">
        <v>111.19</v>
      </c>
      <c r="J26" s="8">
        <f t="shared" si="1"/>
        <v>1617.8145</v>
      </c>
      <c r="K26" s="8">
        <f t="shared" si="2"/>
        <v>6573.8145000000004</v>
      </c>
      <c r="L26" s="65"/>
      <c r="M26" s="65">
        <f t="shared" si="6"/>
        <v>97555.150700000057</v>
      </c>
      <c r="N26" s="203"/>
    </row>
    <row r="27" spans="1:14">
      <c r="A27" s="43">
        <v>24</v>
      </c>
      <c r="B27" s="211">
        <v>46289</v>
      </c>
      <c r="C27" s="202"/>
      <c r="D27" s="202"/>
      <c r="E27" s="62">
        <v>20</v>
      </c>
      <c r="F27" s="6">
        <v>99.12</v>
      </c>
      <c r="G27" s="8">
        <f t="shared" si="0"/>
        <v>1982.4</v>
      </c>
      <c r="H27" s="62"/>
      <c r="I27" s="6"/>
      <c r="J27" s="8">
        <f t="shared" si="1"/>
        <v>0</v>
      </c>
      <c r="K27" s="8">
        <f t="shared" si="2"/>
        <v>1982.4</v>
      </c>
      <c r="L27" s="65"/>
      <c r="M27" s="65">
        <f t="shared" si="6"/>
        <v>99537.550700000051</v>
      </c>
      <c r="N27" s="203"/>
    </row>
    <row r="28" spans="1:14">
      <c r="A28" s="213">
        <v>25</v>
      </c>
      <c r="B28" s="211">
        <v>46290</v>
      </c>
      <c r="C28" s="202"/>
      <c r="D28" s="202"/>
      <c r="E28" s="296">
        <v>109.3</v>
      </c>
      <c r="F28" s="304">
        <v>99.12</v>
      </c>
      <c r="G28" s="8">
        <f t="shared" si="0"/>
        <v>10833.816000000001</v>
      </c>
      <c r="H28" s="62"/>
      <c r="I28" s="6"/>
      <c r="J28" s="8">
        <f t="shared" si="1"/>
        <v>0</v>
      </c>
      <c r="K28" s="8">
        <f t="shared" si="2"/>
        <v>10833.816000000001</v>
      </c>
      <c r="L28" s="65"/>
      <c r="M28" s="65">
        <f>M27+K28-L28</f>
        <v>110371.36670000006</v>
      </c>
      <c r="N28" s="203"/>
    </row>
    <row r="29" spans="1:14">
      <c r="A29" s="213">
        <v>26</v>
      </c>
      <c r="B29" s="211">
        <v>46291</v>
      </c>
      <c r="C29" s="202"/>
      <c r="D29" s="202"/>
      <c r="E29" s="296">
        <v>20</v>
      </c>
      <c r="F29" s="304">
        <v>99.12</v>
      </c>
      <c r="G29" s="8">
        <f t="shared" si="0"/>
        <v>1982.4</v>
      </c>
      <c r="H29" s="62">
        <v>5</v>
      </c>
      <c r="I29" s="6">
        <v>111.19</v>
      </c>
      <c r="J29" s="8">
        <f t="shared" si="1"/>
        <v>555.95000000000005</v>
      </c>
      <c r="K29" s="8">
        <f t="shared" si="2"/>
        <v>2538.3500000000004</v>
      </c>
      <c r="L29" s="65"/>
      <c r="M29" s="65">
        <f t="shared" si="6"/>
        <v>112909.71670000006</v>
      </c>
      <c r="N29" s="203"/>
    </row>
    <row r="30" spans="1:14">
      <c r="A30" s="213">
        <v>27</v>
      </c>
      <c r="B30" s="211">
        <v>46292</v>
      </c>
      <c r="C30" s="202"/>
      <c r="D30" s="202"/>
      <c r="E30" s="296">
        <v>20</v>
      </c>
      <c r="F30" s="304">
        <v>99.12</v>
      </c>
      <c r="G30" s="8">
        <f t="shared" si="0"/>
        <v>1982.4</v>
      </c>
      <c r="H30" s="62"/>
      <c r="I30" s="6"/>
      <c r="J30" s="8">
        <f t="shared" si="1"/>
        <v>0</v>
      </c>
      <c r="K30" s="8">
        <f t="shared" si="2"/>
        <v>1982.4</v>
      </c>
      <c r="L30" s="65"/>
      <c r="M30" s="65">
        <f t="shared" si="6"/>
        <v>114892.11670000006</v>
      </c>
      <c r="N30" s="203"/>
    </row>
    <row r="31" spans="1:14">
      <c r="A31" s="213">
        <v>28</v>
      </c>
      <c r="B31" s="211">
        <v>46293</v>
      </c>
      <c r="C31" s="202"/>
      <c r="D31" s="202"/>
      <c r="E31" s="37">
        <v>35.99</v>
      </c>
      <c r="F31" s="304">
        <v>99.12</v>
      </c>
      <c r="G31" s="8">
        <f t="shared" si="0"/>
        <v>3567.3288000000002</v>
      </c>
      <c r="H31" s="62"/>
      <c r="I31" s="6"/>
      <c r="J31" s="8">
        <f t="shared" si="1"/>
        <v>0</v>
      </c>
      <c r="K31" s="8">
        <f t="shared" si="2"/>
        <v>3567.3288000000002</v>
      </c>
      <c r="L31" s="65"/>
      <c r="M31" s="65">
        <f t="shared" si="6"/>
        <v>118459.44550000006</v>
      </c>
      <c r="N31" s="203"/>
    </row>
    <row r="32" spans="1:14">
      <c r="A32" s="214">
        <v>29</v>
      </c>
      <c r="B32" s="211">
        <v>46294</v>
      </c>
      <c r="C32" s="202"/>
      <c r="D32" s="202"/>
      <c r="E32" s="62">
        <v>50</v>
      </c>
      <c r="F32" s="6">
        <v>99.12</v>
      </c>
      <c r="G32" s="8">
        <f t="shared" si="0"/>
        <v>4956</v>
      </c>
      <c r="H32" s="62">
        <v>10.39</v>
      </c>
      <c r="I32" s="6">
        <v>111.19</v>
      </c>
      <c r="J32" s="8">
        <f t="shared" si="1"/>
        <v>1155.2641000000001</v>
      </c>
      <c r="K32" s="8">
        <f t="shared" si="2"/>
        <v>6111.2641000000003</v>
      </c>
      <c r="L32" s="65"/>
      <c r="M32" s="65">
        <f t="shared" si="6"/>
        <v>124570.70960000006</v>
      </c>
      <c r="N32" s="203"/>
    </row>
    <row r="33" spans="1:16">
      <c r="A33" s="214">
        <v>30</v>
      </c>
      <c r="B33" s="211">
        <v>46295</v>
      </c>
      <c r="C33" s="202"/>
      <c r="D33" s="202"/>
      <c r="E33" s="62"/>
      <c r="F33" s="6"/>
      <c r="G33" s="8">
        <f t="shared" si="0"/>
        <v>0</v>
      </c>
      <c r="H33" s="62"/>
      <c r="I33" s="6"/>
      <c r="J33" s="8">
        <f t="shared" si="1"/>
        <v>0</v>
      </c>
      <c r="K33" s="8">
        <f t="shared" si="2"/>
        <v>0</v>
      </c>
      <c r="L33" s="65"/>
      <c r="M33" s="65">
        <f t="shared" si="6"/>
        <v>124570.70960000006</v>
      </c>
      <c r="N33" s="203"/>
    </row>
    <row r="34" spans="1:16">
      <c r="A34" s="214">
        <v>31</v>
      </c>
      <c r="B34" s="211"/>
      <c r="C34" s="202"/>
      <c r="D34" s="202"/>
      <c r="E34" s="62"/>
      <c r="F34" s="6"/>
      <c r="G34" s="8">
        <f t="shared" si="0"/>
        <v>0</v>
      </c>
      <c r="H34" s="62"/>
      <c r="I34" s="6"/>
      <c r="J34" s="8">
        <f t="shared" si="1"/>
        <v>0</v>
      </c>
      <c r="K34" s="8">
        <f t="shared" si="2"/>
        <v>0</v>
      </c>
      <c r="L34" s="65"/>
      <c r="M34" s="65">
        <f t="shared" si="6"/>
        <v>124570.70960000006</v>
      </c>
      <c r="N34" s="203"/>
    </row>
    <row r="35" spans="1:16">
      <c r="A35" s="153"/>
      <c r="B35" s="153"/>
      <c r="C35" s="153"/>
      <c r="D35" s="153"/>
      <c r="E35" s="154">
        <f>SUM(E4:E34)</f>
        <v>1105.9099999999999</v>
      </c>
      <c r="F35" s="154"/>
      <c r="G35" s="154">
        <f>SUM(G4:G34)</f>
        <v>109617.79919999998</v>
      </c>
      <c r="H35" s="154">
        <f>SUM(H4:H34)</f>
        <v>98.85</v>
      </c>
      <c r="I35" s="154"/>
      <c r="J35" s="154">
        <f>SUM(J4:J34)</f>
        <v>10991.1315</v>
      </c>
      <c r="K35" s="154">
        <f>SUM(K4:K34)</f>
        <v>120608.93069999997</v>
      </c>
      <c r="L35" s="154">
        <f>SUM(L4:L34)</f>
        <v>0</v>
      </c>
      <c r="M35" s="154"/>
      <c r="N35" s="154"/>
    </row>
    <row r="36" spans="1:16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P36" s="65">
        <f t="shared" ref="P36" si="8">P35+N36-O36</f>
        <v>0</v>
      </c>
    </row>
  </sheetData>
  <mergeCells count="1">
    <mergeCell ref="A1:N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O37"/>
  <sheetViews>
    <sheetView workbookViewId="0">
      <pane ySplit="3" topLeftCell="A15" activePane="bottomLeft" state="frozen"/>
      <selection pane="bottomLeft" activeCell="M29" sqref="M29"/>
    </sheetView>
  </sheetViews>
  <sheetFormatPr defaultRowHeight="15"/>
  <cols>
    <col min="2" max="2" width="10.85546875" bestFit="1" customWidth="1"/>
    <col min="4" max="4" width="14.7109375" customWidth="1"/>
    <col min="5" max="5" width="12.140625" customWidth="1"/>
    <col min="7" max="7" width="13.5703125" customWidth="1"/>
    <col min="8" max="8" width="13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7.85546875" customWidth="1"/>
    <col min="17" max="17" width="9.140625" bestFit="1" customWidth="1"/>
  </cols>
  <sheetData>
    <row r="1" spans="1:15" ht="15.75">
      <c r="A1" s="606" t="s">
        <v>157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27"/>
      <c r="N1" s="627"/>
      <c r="O1" s="5"/>
    </row>
    <row r="2" spans="1:15" ht="17.25" customHeight="1">
      <c r="A2" s="61" t="s">
        <v>0</v>
      </c>
      <c r="B2" s="80" t="s">
        <v>168</v>
      </c>
      <c r="C2" s="80" t="s">
        <v>169</v>
      </c>
      <c r="D2" s="80" t="s">
        <v>184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515" t="s">
        <v>176</v>
      </c>
      <c r="M2" s="82" t="s">
        <v>185</v>
      </c>
      <c r="N2" s="80" t="s">
        <v>178</v>
      </c>
      <c r="O2" s="5"/>
    </row>
    <row r="3" spans="1:15">
      <c r="A3" s="625" t="s">
        <v>179</v>
      </c>
      <c r="B3" s="625"/>
      <c r="C3" s="625"/>
      <c r="D3" s="625"/>
      <c r="E3" s="625"/>
      <c r="F3" s="625"/>
      <c r="G3" s="625"/>
      <c r="H3" s="625"/>
      <c r="I3" s="625"/>
      <c r="J3" s="625"/>
      <c r="K3" s="625"/>
      <c r="L3" s="625"/>
      <c r="M3" s="628">
        <v>9906.5399999999863</v>
      </c>
      <c r="N3" s="628"/>
      <c r="O3" s="5"/>
    </row>
    <row r="4" spans="1:15">
      <c r="A4" s="188">
        <v>1</v>
      </c>
      <c r="B4" s="211"/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516"/>
      <c r="M4" s="144">
        <f>M3+K4-L4</f>
        <v>9906.5399999999863</v>
      </c>
      <c r="N4" s="43"/>
      <c r="O4" s="5"/>
    </row>
    <row r="5" spans="1:15">
      <c r="A5" s="43">
        <v>2</v>
      </c>
      <c r="B5" s="211"/>
      <c r="C5" s="6"/>
      <c r="D5" s="6"/>
      <c r="E5" s="62"/>
      <c r="F5" s="6"/>
      <c r="G5" s="63">
        <f t="shared" ref="G5:G17" si="0">E5*F5</f>
        <v>0</v>
      </c>
      <c r="H5" s="62"/>
      <c r="I5" s="6"/>
      <c r="J5" s="63">
        <f t="shared" ref="J5:J20" si="1">H5*I5</f>
        <v>0</v>
      </c>
      <c r="K5" s="63">
        <f t="shared" ref="K5:K20" si="2">G5+J5</f>
        <v>0</v>
      </c>
      <c r="L5" s="155"/>
      <c r="M5" s="281">
        <f t="shared" ref="M5:M20" si="3">M4+K5-L5</f>
        <v>9906.5399999999863</v>
      </c>
      <c r="N5" s="188"/>
      <c r="O5" s="5"/>
    </row>
    <row r="6" spans="1:15">
      <c r="A6" s="43">
        <v>3</v>
      </c>
      <c r="B6" s="211"/>
      <c r="C6" s="6"/>
      <c r="D6" s="6"/>
      <c r="E6" s="62"/>
      <c r="F6" s="6"/>
      <c r="G6" s="63">
        <f t="shared" si="0"/>
        <v>0</v>
      </c>
      <c r="H6" s="62"/>
      <c r="I6" s="6"/>
      <c r="J6" s="63">
        <f t="shared" si="1"/>
        <v>0</v>
      </c>
      <c r="K6" s="63">
        <f t="shared" si="2"/>
        <v>0</v>
      </c>
      <c r="L6" s="155"/>
      <c r="M6" s="144">
        <f t="shared" si="3"/>
        <v>9906.5399999999863</v>
      </c>
      <c r="N6" s="43"/>
      <c r="O6" s="5"/>
    </row>
    <row r="7" spans="1:15">
      <c r="A7" s="43">
        <v>4</v>
      </c>
      <c r="B7" s="211"/>
      <c r="C7" s="6"/>
      <c r="D7" s="6"/>
      <c r="E7" s="62"/>
      <c r="F7" s="6"/>
      <c r="G7" s="63">
        <f t="shared" si="0"/>
        <v>0</v>
      </c>
      <c r="H7" s="62"/>
      <c r="I7" s="6"/>
      <c r="J7" s="63">
        <f t="shared" si="1"/>
        <v>0</v>
      </c>
      <c r="K7" s="63">
        <f t="shared" si="2"/>
        <v>0</v>
      </c>
      <c r="L7" s="155"/>
      <c r="M7" s="144">
        <f t="shared" si="3"/>
        <v>9906.5399999999863</v>
      </c>
      <c r="N7" s="43"/>
      <c r="O7" s="5"/>
    </row>
    <row r="8" spans="1:15">
      <c r="A8" s="43">
        <v>5</v>
      </c>
      <c r="B8" s="211"/>
      <c r="C8" s="6"/>
      <c r="D8" s="6"/>
      <c r="E8" s="62"/>
      <c r="F8" s="6"/>
      <c r="G8" s="63">
        <f t="shared" si="0"/>
        <v>0</v>
      </c>
      <c r="H8" s="62"/>
      <c r="I8" s="6"/>
      <c r="J8" s="63">
        <f t="shared" si="1"/>
        <v>0</v>
      </c>
      <c r="K8" s="63">
        <f t="shared" si="2"/>
        <v>0</v>
      </c>
      <c r="L8" s="155"/>
      <c r="M8" s="144">
        <f t="shared" si="3"/>
        <v>9906.5399999999863</v>
      </c>
      <c r="N8" s="43"/>
      <c r="O8" s="5"/>
    </row>
    <row r="9" spans="1:15">
      <c r="A9" s="43">
        <v>6</v>
      </c>
      <c r="B9" s="211"/>
      <c r="C9" s="6"/>
      <c r="D9" s="6"/>
      <c r="E9" s="62"/>
      <c r="F9" s="6"/>
      <c r="G9" s="63">
        <f t="shared" si="0"/>
        <v>0</v>
      </c>
      <c r="H9" s="62"/>
      <c r="I9" s="6"/>
      <c r="J9" s="63">
        <f t="shared" si="1"/>
        <v>0</v>
      </c>
      <c r="K9" s="63">
        <f t="shared" si="2"/>
        <v>0</v>
      </c>
      <c r="L9" s="155"/>
      <c r="M9" s="144">
        <f t="shared" si="3"/>
        <v>9906.5399999999863</v>
      </c>
      <c r="N9" s="43"/>
      <c r="O9" s="5"/>
    </row>
    <row r="10" spans="1:15">
      <c r="A10" s="43">
        <v>7</v>
      </c>
      <c r="B10" s="211"/>
      <c r="C10" s="6"/>
      <c r="D10" s="6"/>
      <c r="E10" s="62"/>
      <c r="F10" s="6"/>
      <c r="G10" s="63">
        <f t="shared" si="0"/>
        <v>0</v>
      </c>
      <c r="H10" s="62"/>
      <c r="I10" s="6"/>
      <c r="J10" s="63">
        <f t="shared" si="1"/>
        <v>0</v>
      </c>
      <c r="K10" s="63">
        <f t="shared" si="2"/>
        <v>0</v>
      </c>
      <c r="L10" s="155"/>
      <c r="M10" s="144">
        <f t="shared" si="3"/>
        <v>9906.5399999999863</v>
      </c>
      <c r="N10" s="43"/>
      <c r="O10" s="5"/>
    </row>
    <row r="11" spans="1:15">
      <c r="A11" s="43">
        <v>8</v>
      </c>
      <c r="B11" s="211"/>
      <c r="C11" s="6"/>
      <c r="D11" s="6"/>
      <c r="E11" s="62"/>
      <c r="F11" s="6"/>
      <c r="G11" s="63">
        <f t="shared" si="0"/>
        <v>0</v>
      </c>
      <c r="H11" s="62"/>
      <c r="I11" s="6"/>
      <c r="J11" s="63">
        <f t="shared" si="1"/>
        <v>0</v>
      </c>
      <c r="K11" s="63">
        <f t="shared" si="2"/>
        <v>0</v>
      </c>
      <c r="L11" s="155"/>
      <c r="M11" s="144">
        <f t="shared" si="3"/>
        <v>9906.5399999999863</v>
      </c>
      <c r="N11" s="43"/>
      <c r="O11" s="5"/>
    </row>
    <row r="12" spans="1:15">
      <c r="A12" s="43">
        <v>9</v>
      </c>
      <c r="B12" s="211" t="s">
        <v>236</v>
      </c>
      <c r="C12" s="6"/>
      <c r="D12" s="6"/>
      <c r="E12" s="62">
        <v>39.950000000000003</v>
      </c>
      <c r="F12" s="6">
        <v>99.07</v>
      </c>
      <c r="G12" s="63">
        <f t="shared" si="0"/>
        <v>3957.8465000000001</v>
      </c>
      <c r="H12" s="62"/>
      <c r="I12" s="6"/>
      <c r="J12" s="63">
        <f t="shared" si="1"/>
        <v>0</v>
      </c>
      <c r="K12" s="63">
        <f t="shared" si="2"/>
        <v>3957.8465000000001</v>
      </c>
      <c r="L12" s="155"/>
      <c r="M12" s="144">
        <f t="shared" si="3"/>
        <v>13864.386499999986</v>
      </c>
      <c r="N12" s="43"/>
      <c r="O12" s="5"/>
    </row>
    <row r="13" spans="1:15">
      <c r="A13" s="43">
        <v>10</v>
      </c>
      <c r="B13" s="211" t="s">
        <v>237</v>
      </c>
      <c r="C13" s="6"/>
      <c r="D13" s="6"/>
      <c r="E13" s="62">
        <v>40</v>
      </c>
      <c r="F13" s="6">
        <v>99.07</v>
      </c>
      <c r="G13" s="63">
        <f t="shared" si="0"/>
        <v>3962.7999999999997</v>
      </c>
      <c r="H13" s="62"/>
      <c r="I13" s="6"/>
      <c r="J13" s="63">
        <f t="shared" si="1"/>
        <v>0</v>
      </c>
      <c r="K13" s="63">
        <f t="shared" si="2"/>
        <v>3962.7999999999997</v>
      </c>
      <c r="L13" s="155"/>
      <c r="M13" s="144">
        <f t="shared" si="3"/>
        <v>17827.186499999985</v>
      </c>
      <c r="N13" s="43"/>
      <c r="O13" s="5"/>
    </row>
    <row r="14" spans="1:15">
      <c r="A14" s="43">
        <v>11</v>
      </c>
      <c r="B14" s="211" t="s">
        <v>238</v>
      </c>
      <c r="C14" s="6"/>
      <c r="D14" s="6"/>
      <c r="E14" s="62">
        <v>60</v>
      </c>
      <c r="F14" s="6">
        <v>99.07</v>
      </c>
      <c r="G14" s="63">
        <f t="shared" si="0"/>
        <v>5944.2</v>
      </c>
      <c r="H14" s="62"/>
      <c r="I14" s="6"/>
      <c r="J14" s="63">
        <f t="shared" si="1"/>
        <v>0</v>
      </c>
      <c r="K14" s="63">
        <f t="shared" si="2"/>
        <v>5944.2</v>
      </c>
      <c r="L14" s="155"/>
      <c r="M14" s="144">
        <f t="shared" si="3"/>
        <v>23771.386499999986</v>
      </c>
      <c r="N14" s="43"/>
      <c r="O14" s="5"/>
    </row>
    <row r="15" spans="1:15">
      <c r="A15" s="43">
        <v>12</v>
      </c>
      <c r="B15" s="211" t="s">
        <v>239</v>
      </c>
      <c r="C15" s="6"/>
      <c r="D15" s="6"/>
      <c r="E15" s="62">
        <v>40</v>
      </c>
      <c r="F15" s="6">
        <v>99.07</v>
      </c>
      <c r="G15" s="63">
        <f t="shared" si="0"/>
        <v>3962.7999999999997</v>
      </c>
      <c r="H15" s="62"/>
      <c r="I15" s="6"/>
      <c r="J15" s="63">
        <f t="shared" si="1"/>
        <v>0</v>
      </c>
      <c r="K15" s="63">
        <f t="shared" si="2"/>
        <v>3962.7999999999997</v>
      </c>
      <c r="L15" s="155"/>
      <c r="M15" s="144">
        <f t="shared" si="3"/>
        <v>27734.186499999985</v>
      </c>
      <c r="N15" s="43"/>
      <c r="O15" s="5"/>
    </row>
    <row r="16" spans="1:15">
      <c r="A16" s="43">
        <v>13</v>
      </c>
      <c r="B16" s="211"/>
      <c r="C16" s="6"/>
      <c r="D16" s="6"/>
      <c r="E16" s="62"/>
      <c r="F16" s="6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155"/>
      <c r="M16" s="144">
        <f t="shared" si="3"/>
        <v>27734.186499999985</v>
      </c>
      <c r="N16" s="43"/>
      <c r="O16" s="5"/>
    </row>
    <row r="17" spans="1:15">
      <c r="A17" s="43">
        <v>14</v>
      </c>
      <c r="B17" s="211"/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/>
      <c r="M17" s="144">
        <f t="shared" si="3"/>
        <v>27734.186499999985</v>
      </c>
      <c r="N17" s="43"/>
      <c r="O17" s="5"/>
    </row>
    <row r="18" spans="1:15">
      <c r="A18" s="43">
        <v>15</v>
      </c>
      <c r="B18" s="211"/>
      <c r="C18" s="6"/>
      <c r="D18" s="6"/>
      <c r="E18" s="62"/>
      <c r="F18" s="6"/>
      <c r="G18" s="63">
        <f t="shared" ref="G18:G19" si="4">E18*F18</f>
        <v>0</v>
      </c>
      <c r="H18" s="62"/>
      <c r="I18" s="6"/>
      <c r="J18" s="63">
        <f t="shared" si="1"/>
        <v>0</v>
      </c>
      <c r="K18" s="63">
        <f t="shared" si="2"/>
        <v>0</v>
      </c>
      <c r="L18" s="155"/>
      <c r="M18" s="144">
        <f>M17+K18-L18</f>
        <v>27734.186499999985</v>
      </c>
      <c r="N18" s="43"/>
      <c r="O18" s="5"/>
    </row>
    <row r="19" spans="1:15">
      <c r="A19" s="43">
        <v>16</v>
      </c>
      <c r="B19" s="211"/>
      <c r="C19" s="6"/>
      <c r="D19" s="6"/>
      <c r="E19" s="62"/>
      <c r="F19" s="6"/>
      <c r="G19" s="63">
        <f t="shared" si="4"/>
        <v>0</v>
      </c>
      <c r="H19" s="62"/>
      <c r="I19" s="6"/>
      <c r="J19" s="63">
        <f t="shared" si="1"/>
        <v>0</v>
      </c>
      <c r="K19" s="63">
        <f t="shared" si="2"/>
        <v>0</v>
      </c>
      <c r="L19" s="155"/>
      <c r="M19" s="144">
        <f t="shared" si="3"/>
        <v>27734.186499999985</v>
      </c>
      <c r="N19" s="43"/>
      <c r="O19" s="5"/>
    </row>
    <row r="20" spans="1:15">
      <c r="A20" s="43">
        <v>17</v>
      </c>
      <c r="B20" s="211"/>
      <c r="C20" s="6"/>
      <c r="D20" s="6"/>
      <c r="E20" s="62"/>
      <c r="F20" s="6"/>
      <c r="G20" s="63">
        <f>E20*F20</f>
        <v>0</v>
      </c>
      <c r="H20" s="62"/>
      <c r="I20" s="6"/>
      <c r="J20" s="63">
        <f t="shared" si="1"/>
        <v>0</v>
      </c>
      <c r="K20" s="63">
        <f t="shared" si="2"/>
        <v>0</v>
      </c>
      <c r="L20" s="155"/>
      <c r="M20" s="144">
        <f t="shared" si="3"/>
        <v>27734.186499999985</v>
      </c>
      <c r="N20" s="43"/>
      <c r="O20" s="5"/>
    </row>
    <row r="21" spans="1:15">
      <c r="A21" s="43">
        <v>18</v>
      </c>
      <c r="B21" s="211"/>
      <c r="C21" s="6"/>
      <c r="D21" s="6"/>
      <c r="E21" s="62"/>
      <c r="F21" s="6"/>
      <c r="G21" s="63">
        <f>E21*F21</f>
        <v>0</v>
      </c>
      <c r="H21" s="62"/>
      <c r="I21" s="6"/>
      <c r="J21" s="63">
        <f>H21*I21</f>
        <v>0</v>
      </c>
      <c r="K21" s="63">
        <f>G21+J21</f>
        <v>0</v>
      </c>
      <c r="L21" s="155"/>
      <c r="M21" s="144">
        <f>M20+K21-L21</f>
        <v>27734.186499999985</v>
      </c>
      <c r="N21" s="43"/>
      <c r="O21" s="5"/>
    </row>
    <row r="22" spans="1:15">
      <c r="A22" s="43">
        <v>19</v>
      </c>
      <c r="B22" s="211"/>
      <c r="C22" s="6"/>
      <c r="D22" s="6"/>
      <c r="E22" s="62"/>
      <c r="F22" s="6"/>
      <c r="G22" s="63">
        <f>E22*F22</f>
        <v>0</v>
      </c>
      <c r="H22" s="62"/>
      <c r="I22" s="6"/>
      <c r="J22" s="63">
        <f>H22*I22</f>
        <v>0</v>
      </c>
      <c r="K22" s="63">
        <f>G22+J22</f>
        <v>0</v>
      </c>
      <c r="L22" s="155"/>
      <c r="M22" s="144">
        <f>M21+K22-L22</f>
        <v>27734.186499999985</v>
      </c>
      <c r="N22" s="43"/>
      <c r="O22" s="5"/>
    </row>
    <row r="23" spans="1:15">
      <c r="A23" s="43">
        <v>20</v>
      </c>
      <c r="B23" s="211"/>
      <c r="C23" s="6"/>
      <c r="D23" s="6"/>
      <c r="E23" s="62"/>
      <c r="F23" s="6"/>
      <c r="G23" s="63">
        <f>E23*F23</f>
        <v>0</v>
      </c>
      <c r="H23" s="62"/>
      <c r="I23" s="6"/>
      <c r="J23" s="63">
        <f>H23*I23</f>
        <v>0</v>
      </c>
      <c r="K23" s="63">
        <f>G23+J23</f>
        <v>0</v>
      </c>
      <c r="L23" s="155"/>
      <c r="M23" s="144">
        <f>M22+K23-L23</f>
        <v>27734.186499999985</v>
      </c>
      <c r="N23" s="43"/>
      <c r="O23" s="5"/>
    </row>
    <row r="24" spans="1:15">
      <c r="A24" s="43">
        <v>21</v>
      </c>
      <c r="B24" s="211"/>
      <c r="C24" s="6"/>
      <c r="D24" s="6"/>
      <c r="E24" s="62"/>
      <c r="F24" s="6"/>
      <c r="G24" s="63">
        <f>E24*F24</f>
        <v>0</v>
      </c>
      <c r="H24" s="62"/>
      <c r="I24" s="6"/>
      <c r="J24" s="63">
        <f>H24*I24</f>
        <v>0</v>
      </c>
      <c r="K24" s="63">
        <f>G24+J24</f>
        <v>0</v>
      </c>
      <c r="L24" s="155"/>
      <c r="M24" s="144">
        <f>M23+K24-L24</f>
        <v>27734.186499999985</v>
      </c>
      <c r="N24" s="43"/>
      <c r="O24" s="5"/>
    </row>
    <row r="25" spans="1:15">
      <c r="A25" s="43">
        <v>22</v>
      </c>
      <c r="B25" s="211"/>
      <c r="C25" s="6"/>
      <c r="D25" s="6"/>
      <c r="E25" s="62"/>
      <c r="F25" s="6"/>
      <c r="G25" s="63">
        <f>E25*F25</f>
        <v>0</v>
      </c>
      <c r="H25" s="62"/>
      <c r="I25" s="6"/>
      <c r="J25" s="63">
        <f>H25*I25</f>
        <v>0</v>
      </c>
      <c r="K25" s="63">
        <f>G25+J25</f>
        <v>0</v>
      </c>
      <c r="L25" s="155"/>
      <c r="M25" s="144">
        <f>M24+K25-L25</f>
        <v>27734.186499999985</v>
      </c>
      <c r="N25" s="43"/>
      <c r="O25" s="5"/>
    </row>
    <row r="26" spans="1:15">
      <c r="A26" s="43">
        <v>23</v>
      </c>
      <c r="B26" s="211"/>
      <c r="C26" s="6"/>
      <c r="D26" s="6"/>
      <c r="E26" s="62"/>
      <c r="F26" s="6"/>
      <c r="G26" s="63">
        <f>E26*F26</f>
        <v>0</v>
      </c>
      <c r="H26" s="62"/>
      <c r="I26" s="6"/>
      <c r="J26" s="63">
        <f>H26*I26</f>
        <v>0</v>
      </c>
      <c r="K26" s="63">
        <f>G26+J26</f>
        <v>0</v>
      </c>
      <c r="L26" s="155"/>
      <c r="M26" s="144">
        <f>M25+K26-L26</f>
        <v>27734.186499999985</v>
      </c>
      <c r="N26" s="43"/>
      <c r="O26" s="5"/>
    </row>
    <row r="27" spans="1:15">
      <c r="A27" s="43">
        <v>24</v>
      </c>
      <c r="B27" s="211"/>
      <c r="C27" s="6"/>
      <c r="D27" s="6"/>
      <c r="E27" s="62"/>
      <c r="F27" s="6"/>
      <c r="G27" s="63">
        <f>E27*F27</f>
        <v>0</v>
      </c>
      <c r="H27" s="62"/>
      <c r="I27" s="6"/>
      <c r="J27" s="63">
        <f>H27*I27</f>
        <v>0</v>
      </c>
      <c r="K27" s="63">
        <f>G27+J27</f>
        <v>0</v>
      </c>
      <c r="L27" s="155"/>
      <c r="M27" s="144">
        <f>M26+K27-L27</f>
        <v>27734.186499999985</v>
      </c>
      <c r="N27" s="6"/>
      <c r="O27" s="5"/>
    </row>
    <row r="28" spans="1:15">
      <c r="A28" s="213">
        <v>25</v>
      </c>
      <c r="B28" s="211"/>
      <c r="C28" s="6"/>
      <c r="D28" s="6"/>
      <c r="E28" s="62"/>
      <c r="F28" s="6"/>
      <c r="G28" s="63">
        <f>E28*F28</f>
        <v>0</v>
      </c>
      <c r="H28" s="62"/>
      <c r="I28" s="6"/>
      <c r="J28" s="63">
        <f>H28*I28</f>
        <v>0</v>
      </c>
      <c r="K28" s="63">
        <f>G28+J28</f>
        <v>0</v>
      </c>
      <c r="L28" s="155"/>
      <c r="M28" s="144">
        <f>M27+K28-L28</f>
        <v>27734.186499999985</v>
      </c>
      <c r="N28" s="6"/>
      <c r="O28" s="5"/>
    </row>
    <row r="29" spans="1:15">
      <c r="A29" s="213">
        <v>26</v>
      </c>
      <c r="B29" s="211"/>
      <c r="C29" s="6"/>
      <c r="D29" s="6"/>
      <c r="E29" s="62"/>
      <c r="F29" s="6"/>
      <c r="G29" s="63">
        <f>E29*F29</f>
        <v>0</v>
      </c>
      <c r="H29" s="62"/>
      <c r="I29" s="6"/>
      <c r="J29" s="63">
        <f>H29*I29</f>
        <v>0</v>
      </c>
      <c r="K29" s="63">
        <f>G29+J29</f>
        <v>0</v>
      </c>
      <c r="L29" s="155"/>
      <c r="M29" s="144">
        <f>M28+K29-L29</f>
        <v>27734.186499999985</v>
      </c>
      <c r="N29" s="6"/>
      <c r="O29" s="5"/>
    </row>
    <row r="30" spans="1:15">
      <c r="A30" s="213">
        <v>27</v>
      </c>
      <c r="B30" s="211"/>
      <c r="C30" s="6"/>
      <c r="D30" s="6"/>
      <c r="E30" s="62"/>
      <c r="F30" s="6"/>
      <c r="G30" s="63">
        <f>E30*F30</f>
        <v>0</v>
      </c>
      <c r="H30" s="62"/>
      <c r="I30" s="6"/>
      <c r="J30" s="63">
        <f>H30*I30</f>
        <v>0</v>
      </c>
      <c r="K30" s="63">
        <f>G30+J30</f>
        <v>0</v>
      </c>
      <c r="L30" s="155"/>
      <c r="M30" s="144">
        <f>M29+K30-L30</f>
        <v>27734.186499999985</v>
      </c>
      <c r="N30" s="6"/>
      <c r="O30" s="5"/>
    </row>
    <row r="31" spans="1:15">
      <c r="A31" s="213">
        <v>28</v>
      </c>
      <c r="B31" s="211"/>
      <c r="C31" s="6"/>
      <c r="D31" s="6"/>
      <c r="E31" s="62"/>
      <c r="F31" s="6"/>
      <c r="G31" s="63">
        <f>E31*F31</f>
        <v>0</v>
      </c>
      <c r="H31" s="62"/>
      <c r="I31" s="6"/>
      <c r="J31" s="63">
        <f>H31*I31</f>
        <v>0</v>
      </c>
      <c r="K31" s="63">
        <f>G31+J31</f>
        <v>0</v>
      </c>
      <c r="L31" s="155"/>
      <c r="M31" s="144">
        <f>M30+K31-L31</f>
        <v>27734.186499999985</v>
      </c>
      <c r="N31" s="6"/>
      <c r="O31" s="5"/>
    </row>
    <row r="32" spans="1:15">
      <c r="A32" s="214">
        <v>29</v>
      </c>
      <c r="B32" s="211"/>
      <c r="C32" s="6"/>
      <c r="D32" s="6"/>
      <c r="E32" s="62"/>
      <c r="F32" s="6"/>
      <c r="G32" s="63">
        <f>E32*F32</f>
        <v>0</v>
      </c>
      <c r="H32" s="62"/>
      <c r="I32" s="6"/>
      <c r="J32" s="63">
        <f>H32*I32</f>
        <v>0</v>
      </c>
      <c r="K32" s="63">
        <f>G32+J32</f>
        <v>0</v>
      </c>
      <c r="L32" s="155"/>
      <c r="M32" s="144">
        <f>M31+K32-L32</f>
        <v>27734.186499999985</v>
      </c>
      <c r="N32" s="6"/>
      <c r="O32" s="5"/>
    </row>
    <row r="33" spans="1:15">
      <c r="A33" s="214">
        <v>30</v>
      </c>
      <c r="B33" s="211"/>
      <c r="C33" s="6"/>
      <c r="D33" s="6"/>
      <c r="E33" s="62"/>
      <c r="F33" s="6"/>
      <c r="G33" s="63">
        <f>E33*F33</f>
        <v>0</v>
      </c>
      <c r="H33" s="62"/>
      <c r="I33" s="6"/>
      <c r="J33" s="63">
        <f>H33*I33</f>
        <v>0</v>
      </c>
      <c r="K33" s="63">
        <f>G33+J33</f>
        <v>0</v>
      </c>
      <c r="L33" s="155"/>
      <c r="M33" s="144">
        <f>M32+K33-L33</f>
        <v>27734.186499999985</v>
      </c>
      <c r="N33" s="6"/>
      <c r="O33" s="5"/>
    </row>
    <row r="34" spans="1:15">
      <c r="A34" s="214">
        <v>31</v>
      </c>
      <c r="B34" s="211"/>
      <c r="C34" s="6"/>
      <c r="D34" s="6"/>
      <c r="E34" s="62"/>
      <c r="F34" s="6"/>
      <c r="G34" s="63">
        <f>E34*F34</f>
        <v>0</v>
      </c>
      <c r="H34" s="62"/>
      <c r="I34" s="6"/>
      <c r="J34" s="63">
        <f>H34*I34</f>
        <v>0</v>
      </c>
      <c r="K34" s="63">
        <f>G34+J34</f>
        <v>0</v>
      </c>
      <c r="L34" s="155"/>
      <c r="M34" s="144">
        <f>M33+K34-L34</f>
        <v>27734.186499999985</v>
      </c>
      <c r="N34" s="6"/>
      <c r="O34" s="5"/>
    </row>
    <row r="35" spans="1:15">
      <c r="A35" s="59"/>
      <c r="B35" s="59"/>
      <c r="C35" s="59"/>
      <c r="D35" s="59"/>
      <c r="E35" s="60">
        <f>SUM(E4:E34)</f>
        <v>179.95</v>
      </c>
      <c r="F35" s="60"/>
      <c r="G35" s="60">
        <f>SUM(G4:G34)</f>
        <v>17827.646499999999</v>
      </c>
      <c r="H35" s="60">
        <f>SUM(H4:H34)</f>
        <v>0</v>
      </c>
      <c r="I35" s="60"/>
      <c r="J35" s="60">
        <f>SUM(J4:J34)</f>
        <v>0</v>
      </c>
      <c r="K35" s="60">
        <f>SUM(K4:K34)</f>
        <v>17827.646499999999</v>
      </c>
      <c r="L35" s="60">
        <f>SUM(L4:L34)</f>
        <v>0</v>
      </c>
      <c r="M35" s="60"/>
      <c r="N35" s="60"/>
      <c r="O35" s="56"/>
    </row>
    <row r="36" spans="1:15">
      <c r="A36" s="5"/>
      <c r="B36" s="5"/>
      <c r="C36" s="5"/>
      <c r="D36" s="5"/>
      <c r="E36" s="5"/>
      <c r="F36" s="5"/>
      <c r="G36" s="99"/>
      <c r="H36" s="5"/>
      <c r="I36" s="5"/>
      <c r="J36" s="99"/>
      <c r="K36" s="5"/>
      <c r="L36" s="99"/>
      <c r="M36" s="99"/>
      <c r="N36" s="5"/>
      <c r="O36" s="5"/>
    </row>
    <row r="37" spans="1:15">
      <c r="A37" s="5"/>
      <c r="B37" s="5"/>
      <c r="C37" s="5"/>
      <c r="D37" s="5"/>
      <c r="E37" s="5"/>
      <c r="F37" s="5"/>
      <c r="G37" s="99"/>
      <c r="H37" s="5"/>
      <c r="I37" s="5"/>
      <c r="J37" s="99"/>
      <c r="K37" s="5"/>
      <c r="L37" s="99"/>
      <c r="M37" s="99"/>
      <c r="N37" s="5"/>
      <c r="O37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2"/>
  <sheetViews>
    <sheetView workbookViewId="0">
      <pane ySplit="3" topLeftCell="A26" activePane="bottomLeft" state="frozen"/>
      <selection pane="bottomLeft" activeCell="E36" sqref="E36"/>
    </sheetView>
  </sheetViews>
  <sheetFormatPr defaultRowHeight="15"/>
  <cols>
    <col min="2" max="2" width="10.85546875" bestFit="1" customWidth="1"/>
    <col min="4" max="4" width="13.28515625" customWidth="1"/>
    <col min="5" max="5" width="12.7109375" customWidth="1"/>
    <col min="7" max="7" width="11.85546875" bestFit="1" customWidth="1"/>
    <col min="8" max="8" width="13.42578125" customWidth="1"/>
    <col min="11" max="11" width="13.5703125" bestFit="1" customWidth="1"/>
    <col min="12" max="12" width="12.42578125" bestFit="1" customWidth="1"/>
    <col min="13" max="13" width="11.5703125" bestFit="1" customWidth="1"/>
    <col min="19" max="19" width="14.7109375" customWidth="1"/>
  </cols>
  <sheetData>
    <row r="1" spans="1:15" ht="15.75">
      <c r="A1" s="606" t="s">
        <v>159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5"/>
    </row>
    <row r="2" spans="1:15" ht="20.25" customHeight="1">
      <c r="A2" s="61" t="s">
        <v>0</v>
      </c>
      <c r="B2" s="80" t="s">
        <v>168</v>
      </c>
      <c r="C2" s="80" t="s">
        <v>169</v>
      </c>
      <c r="D2" s="80" t="s">
        <v>184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88" t="s">
        <v>176</v>
      </c>
      <c r="M2" s="82" t="s">
        <v>185</v>
      </c>
      <c r="N2" s="80" t="s">
        <v>178</v>
      </c>
      <c r="O2" s="5"/>
    </row>
    <row r="3" spans="1:15">
      <c r="A3" s="625" t="s">
        <v>179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9"/>
      <c r="M3" s="630">
        <v>18073.669700000079</v>
      </c>
      <c r="N3" s="631"/>
      <c r="O3" s="5"/>
    </row>
    <row r="4" spans="1:15">
      <c r="A4" s="188">
        <v>1</v>
      </c>
      <c r="B4" s="211">
        <v>46266</v>
      </c>
      <c r="C4" s="6"/>
      <c r="D4" s="6"/>
      <c r="E4" s="62"/>
      <c r="F4" s="6"/>
      <c r="G4" s="63">
        <f>E4*F4</f>
        <v>0</v>
      </c>
      <c r="H4" s="62"/>
      <c r="I4" s="6"/>
      <c r="J4" s="63">
        <f>H4*I4</f>
        <v>0</v>
      </c>
      <c r="K4" s="63">
        <f>G4+J4</f>
        <v>0</v>
      </c>
      <c r="L4" s="282">
        <v>0</v>
      </c>
      <c r="M4" s="144">
        <f>M3+K4-L4</f>
        <v>18073.669700000079</v>
      </c>
      <c r="N4" s="43"/>
      <c r="O4" s="5"/>
    </row>
    <row r="5" spans="1:15">
      <c r="A5" s="43">
        <v>2</v>
      </c>
      <c r="B5" s="211">
        <v>46267</v>
      </c>
      <c r="C5" s="6"/>
      <c r="D5" s="6"/>
      <c r="E5" s="62">
        <v>35.68</v>
      </c>
      <c r="F5" s="6">
        <v>99.23</v>
      </c>
      <c r="G5" s="63">
        <f>E5*F5</f>
        <v>3540.5264000000002</v>
      </c>
      <c r="H5" s="62"/>
      <c r="I5" s="6"/>
      <c r="J5" s="63">
        <f t="shared" ref="J5:J34" si="0">H5*I5</f>
        <v>0</v>
      </c>
      <c r="K5" s="63">
        <f t="shared" ref="K5:K41" si="1">G5+J5</f>
        <v>3540.5264000000002</v>
      </c>
      <c r="L5" s="282">
        <v>0</v>
      </c>
      <c r="M5" s="144">
        <f t="shared" ref="M5:M49" si="2">M4+K5-L5</f>
        <v>21614.196100000077</v>
      </c>
      <c r="N5" s="43"/>
      <c r="O5" s="5"/>
    </row>
    <row r="6" spans="1:15">
      <c r="A6" s="43">
        <v>3</v>
      </c>
      <c r="B6" s="211">
        <v>46268</v>
      </c>
      <c r="C6" s="6"/>
      <c r="D6" s="6" t="s">
        <v>240</v>
      </c>
      <c r="E6" s="62">
        <v>9.67</v>
      </c>
      <c r="F6" s="6">
        <v>99.23</v>
      </c>
      <c r="G6" s="63">
        <f t="shared" ref="G5:G34" si="3">E6*F6</f>
        <v>959.55410000000006</v>
      </c>
      <c r="I6" s="6"/>
      <c r="J6" s="63">
        <f>H6*I6</f>
        <v>0</v>
      </c>
      <c r="K6" s="63">
        <f t="shared" si="1"/>
        <v>959.55410000000006</v>
      </c>
      <c r="L6" s="282">
        <v>0</v>
      </c>
      <c r="M6" s="144">
        <f t="shared" si="2"/>
        <v>22573.750200000079</v>
      </c>
      <c r="N6" s="43"/>
      <c r="O6" s="5"/>
    </row>
    <row r="7" spans="1:15">
      <c r="A7" s="188">
        <v>4</v>
      </c>
      <c r="B7" s="211">
        <v>46269</v>
      </c>
      <c r="C7" s="6"/>
      <c r="D7" s="6"/>
      <c r="E7" s="62">
        <v>45</v>
      </c>
      <c r="F7" s="6">
        <v>99.23</v>
      </c>
      <c r="G7" s="63">
        <f t="shared" si="3"/>
        <v>4465.3500000000004</v>
      </c>
      <c r="H7" s="62"/>
      <c r="I7" s="6"/>
      <c r="J7" s="63">
        <f t="shared" si="0"/>
        <v>0</v>
      </c>
      <c r="K7" s="63">
        <f t="shared" si="1"/>
        <v>4465.3500000000004</v>
      </c>
      <c r="L7" s="282">
        <v>0</v>
      </c>
      <c r="M7" s="144">
        <f t="shared" si="2"/>
        <v>27039.100200000081</v>
      </c>
      <c r="N7" s="43"/>
      <c r="O7" s="5"/>
    </row>
    <row r="8" spans="1:15">
      <c r="A8" s="43">
        <v>5</v>
      </c>
      <c r="B8" s="211">
        <v>46270</v>
      </c>
      <c r="C8" s="6"/>
      <c r="D8" s="6"/>
      <c r="E8" s="62">
        <v>0</v>
      </c>
      <c r="F8" s="6">
        <v>0</v>
      </c>
      <c r="G8" s="63">
        <f t="shared" si="3"/>
        <v>0</v>
      </c>
      <c r="H8" s="62">
        <v>5</v>
      </c>
      <c r="I8" s="6">
        <v>111.32</v>
      </c>
      <c r="J8" s="63">
        <f t="shared" si="0"/>
        <v>556.59999999999991</v>
      </c>
      <c r="K8" s="63">
        <f t="shared" si="1"/>
        <v>556.59999999999991</v>
      </c>
      <c r="L8" s="282"/>
      <c r="M8" s="144">
        <f t="shared" si="2"/>
        <v>27595.700200000079</v>
      </c>
      <c r="N8" s="43"/>
      <c r="O8" s="5"/>
    </row>
    <row r="9" spans="1:15">
      <c r="A9" s="43">
        <v>6</v>
      </c>
      <c r="B9" s="211">
        <v>46271</v>
      </c>
      <c r="C9" s="6"/>
      <c r="D9" s="6"/>
      <c r="E9" s="62">
        <v>129</v>
      </c>
      <c r="F9" s="6">
        <v>99.23</v>
      </c>
      <c r="G9" s="63">
        <f t="shared" si="3"/>
        <v>12800.67</v>
      </c>
      <c r="H9" s="62">
        <v>5</v>
      </c>
      <c r="I9" s="6">
        <v>120.75</v>
      </c>
      <c r="J9" s="63">
        <f t="shared" si="0"/>
        <v>603.75</v>
      </c>
      <c r="K9" s="63">
        <f t="shared" si="1"/>
        <v>13404.42</v>
      </c>
      <c r="L9" s="282"/>
      <c r="M9" s="144">
        <f t="shared" si="2"/>
        <v>41000.120200000078</v>
      </c>
      <c r="N9" s="43"/>
      <c r="O9" s="5"/>
    </row>
    <row r="10" spans="1:15">
      <c r="A10" s="188">
        <v>7</v>
      </c>
      <c r="B10" s="211">
        <v>46272</v>
      </c>
      <c r="C10" s="6"/>
      <c r="D10" s="6"/>
      <c r="E10" s="62">
        <v>70</v>
      </c>
      <c r="F10" s="6">
        <v>99.23</v>
      </c>
      <c r="G10" s="63">
        <f t="shared" si="3"/>
        <v>6946.1</v>
      </c>
      <c r="H10" s="62"/>
      <c r="I10" s="6"/>
      <c r="J10" s="63">
        <f t="shared" si="0"/>
        <v>0</v>
      </c>
      <c r="K10" s="63">
        <f t="shared" si="1"/>
        <v>6946.1</v>
      </c>
      <c r="L10" s="282"/>
      <c r="M10" s="144">
        <f t="shared" si="2"/>
        <v>47946.220200000076</v>
      </c>
      <c r="N10" s="43"/>
      <c r="O10" s="5"/>
    </row>
    <row r="11" spans="1:15">
      <c r="A11" s="43">
        <v>8</v>
      </c>
      <c r="B11" s="211">
        <v>46273</v>
      </c>
      <c r="C11" s="6"/>
      <c r="D11" s="6"/>
      <c r="E11" s="62"/>
      <c r="F11" s="6"/>
      <c r="G11" s="63">
        <f t="shared" si="3"/>
        <v>0</v>
      </c>
      <c r="H11" s="62">
        <v>5</v>
      </c>
      <c r="I11" s="6">
        <v>120.75</v>
      </c>
      <c r="J11" s="63">
        <f>H11*I11</f>
        <v>603.75</v>
      </c>
      <c r="K11" s="63">
        <f t="shared" si="1"/>
        <v>603.75</v>
      </c>
      <c r="L11" s="282"/>
      <c r="M11" s="144">
        <f t="shared" si="2"/>
        <v>48549.970200000076</v>
      </c>
      <c r="N11" s="43"/>
      <c r="O11" s="5"/>
    </row>
    <row r="12" spans="1:15">
      <c r="A12" s="43">
        <v>9</v>
      </c>
      <c r="B12" s="211">
        <v>46274</v>
      </c>
      <c r="C12" s="6"/>
      <c r="D12" s="6"/>
      <c r="E12" s="62">
        <v>132.97999999999999</v>
      </c>
      <c r="F12" s="6">
        <v>99.23</v>
      </c>
      <c r="G12" s="63">
        <f t="shared" si="3"/>
        <v>13195.6054</v>
      </c>
      <c r="H12" s="62"/>
      <c r="I12" s="6"/>
      <c r="J12" s="63">
        <f t="shared" ref="J12:J30" si="4">H12*I12</f>
        <v>0</v>
      </c>
      <c r="K12" s="63">
        <f t="shared" si="1"/>
        <v>13195.6054</v>
      </c>
      <c r="L12" s="282"/>
      <c r="M12" s="144">
        <f t="shared" si="2"/>
        <v>61745.575600000077</v>
      </c>
      <c r="N12" s="43"/>
      <c r="O12" s="5"/>
    </row>
    <row r="13" spans="1:15">
      <c r="A13" s="188">
        <v>10</v>
      </c>
      <c r="B13" s="211">
        <v>46275</v>
      </c>
      <c r="C13" s="6"/>
      <c r="D13" s="6"/>
      <c r="E13" s="62">
        <v>45</v>
      </c>
      <c r="F13" s="6">
        <v>99.23</v>
      </c>
      <c r="G13" s="63">
        <f t="shared" si="3"/>
        <v>4465.3500000000004</v>
      </c>
      <c r="H13" s="62"/>
      <c r="I13" s="6"/>
      <c r="J13" s="63">
        <f t="shared" si="4"/>
        <v>0</v>
      </c>
      <c r="K13" s="63">
        <f t="shared" si="1"/>
        <v>4465.3500000000004</v>
      </c>
      <c r="L13" s="282"/>
      <c r="M13" s="144">
        <f t="shared" si="2"/>
        <v>66210.925600000075</v>
      </c>
      <c r="N13" s="43"/>
      <c r="O13" s="5"/>
    </row>
    <row r="14" spans="1:15">
      <c r="A14" s="43">
        <v>11</v>
      </c>
      <c r="B14" s="211">
        <v>46276</v>
      </c>
      <c r="C14" s="6"/>
      <c r="D14" s="6"/>
      <c r="E14" s="62">
        <v>81</v>
      </c>
      <c r="F14" s="6">
        <v>99.23</v>
      </c>
      <c r="G14" s="63">
        <f t="shared" si="3"/>
        <v>8037.63</v>
      </c>
      <c r="H14" s="62"/>
      <c r="I14" s="6"/>
      <c r="J14" s="63">
        <f t="shared" si="4"/>
        <v>0</v>
      </c>
      <c r="K14" s="63">
        <f t="shared" si="1"/>
        <v>8037.63</v>
      </c>
      <c r="L14" s="282"/>
      <c r="M14" s="144">
        <f t="shared" si="2"/>
        <v>74248.55560000008</v>
      </c>
      <c r="N14" s="43"/>
      <c r="O14" s="5"/>
    </row>
    <row r="15" spans="1:15">
      <c r="A15" s="43">
        <v>12</v>
      </c>
      <c r="B15" s="211">
        <v>46277</v>
      </c>
      <c r="C15" s="6"/>
      <c r="D15" s="6"/>
      <c r="E15" s="62">
        <v>43.46</v>
      </c>
      <c r="F15" s="6">
        <v>99.23</v>
      </c>
      <c r="G15" s="63">
        <f t="shared" si="3"/>
        <v>4312.5358000000006</v>
      </c>
      <c r="H15" s="62"/>
      <c r="I15" s="6"/>
      <c r="J15" s="63">
        <f t="shared" si="4"/>
        <v>0</v>
      </c>
      <c r="K15" s="63">
        <f t="shared" si="1"/>
        <v>4312.5358000000006</v>
      </c>
      <c r="L15" s="282"/>
      <c r="M15" s="144">
        <f t="shared" si="2"/>
        <v>78561.091400000078</v>
      </c>
      <c r="N15" s="43"/>
      <c r="O15" s="5"/>
    </row>
    <row r="16" spans="1:15">
      <c r="A16" s="188">
        <v>13</v>
      </c>
      <c r="B16" s="211">
        <v>46278</v>
      </c>
      <c r="C16" s="6"/>
      <c r="D16" s="6"/>
      <c r="E16" s="62"/>
      <c r="F16" s="6"/>
      <c r="G16" s="63">
        <f t="shared" si="3"/>
        <v>0</v>
      </c>
      <c r="H16" s="62"/>
      <c r="I16" s="6"/>
      <c r="J16" s="63">
        <f t="shared" si="4"/>
        <v>0</v>
      </c>
      <c r="K16" s="63">
        <f t="shared" si="1"/>
        <v>0</v>
      </c>
      <c r="L16" s="282"/>
      <c r="M16" s="144">
        <f t="shared" si="2"/>
        <v>78561.091400000078</v>
      </c>
      <c r="N16" s="43"/>
      <c r="O16" s="5"/>
    </row>
    <row r="17" spans="1:15">
      <c r="A17" s="43">
        <v>14</v>
      </c>
      <c r="B17" s="211">
        <v>46279</v>
      </c>
      <c r="C17" s="6"/>
      <c r="D17" s="6"/>
      <c r="E17" s="62"/>
      <c r="F17" s="6"/>
      <c r="G17" s="63">
        <f t="shared" si="3"/>
        <v>0</v>
      </c>
      <c r="H17" s="62"/>
      <c r="I17" s="6"/>
      <c r="J17" s="63">
        <f t="shared" si="4"/>
        <v>0</v>
      </c>
      <c r="K17" s="63">
        <f t="shared" si="1"/>
        <v>0</v>
      </c>
      <c r="L17" s="282"/>
      <c r="M17" s="144">
        <f t="shared" si="2"/>
        <v>78561.091400000078</v>
      </c>
      <c r="N17" s="43"/>
      <c r="O17" s="5"/>
    </row>
    <row r="18" spans="1:15">
      <c r="A18" s="43">
        <v>15</v>
      </c>
      <c r="B18" s="211">
        <v>46280</v>
      </c>
      <c r="C18" s="6"/>
      <c r="D18" s="6"/>
      <c r="E18" s="296">
        <v>93.17</v>
      </c>
      <c r="F18" s="6">
        <v>99.23</v>
      </c>
      <c r="G18" s="63">
        <f t="shared" si="3"/>
        <v>9245.2591000000011</v>
      </c>
      <c r="H18" s="62">
        <v>5</v>
      </c>
      <c r="I18" s="6">
        <v>111.32</v>
      </c>
      <c r="J18" s="63">
        <f>H18*I18</f>
        <v>556.59999999999991</v>
      </c>
      <c r="K18" s="63">
        <f>G18+J18</f>
        <v>9801.8591000000015</v>
      </c>
      <c r="L18" s="282"/>
      <c r="M18" s="144">
        <f t="shared" si="2"/>
        <v>88362.950500000079</v>
      </c>
      <c r="N18" s="43"/>
      <c r="O18" s="5"/>
    </row>
    <row r="19" spans="1:15">
      <c r="A19" s="188">
        <v>16</v>
      </c>
      <c r="B19" s="211">
        <v>46281</v>
      </c>
      <c r="C19" s="6"/>
      <c r="D19" s="6"/>
      <c r="E19" s="296">
        <v>0</v>
      </c>
      <c r="F19" s="6">
        <v>99.23</v>
      </c>
      <c r="G19" s="63">
        <f t="shared" si="3"/>
        <v>0</v>
      </c>
      <c r="H19" s="62"/>
      <c r="I19" s="6">
        <v>111.32</v>
      </c>
      <c r="J19" s="63">
        <f>H19*I19</f>
        <v>0</v>
      </c>
      <c r="K19" s="63">
        <f t="shared" ref="K19:K23" si="5">G19+J19</f>
        <v>0</v>
      </c>
      <c r="L19" s="282"/>
      <c r="M19" s="144">
        <f t="shared" si="2"/>
        <v>88362.950500000079</v>
      </c>
      <c r="N19" s="43"/>
      <c r="O19" s="5"/>
    </row>
    <row r="20" spans="1:15">
      <c r="A20" s="43">
        <v>17</v>
      </c>
      <c r="B20" s="211">
        <v>46282</v>
      </c>
      <c r="C20" s="6"/>
      <c r="D20" s="6"/>
      <c r="E20" s="62">
        <v>93</v>
      </c>
      <c r="F20" s="6">
        <v>99.23</v>
      </c>
      <c r="G20" s="63">
        <f t="shared" si="3"/>
        <v>9228.3900000000012</v>
      </c>
      <c r="H20" s="62">
        <v>9</v>
      </c>
      <c r="I20" s="6">
        <v>111.32</v>
      </c>
      <c r="J20" s="63">
        <f>H20*I20</f>
        <v>1001.8799999999999</v>
      </c>
      <c r="K20" s="63">
        <f t="shared" si="5"/>
        <v>10230.27</v>
      </c>
      <c r="L20" s="282"/>
      <c r="M20" s="144">
        <f t="shared" si="2"/>
        <v>98593.220500000083</v>
      </c>
      <c r="N20" s="43"/>
      <c r="O20" s="5"/>
    </row>
    <row r="21" spans="1:15">
      <c r="A21" s="43">
        <v>18</v>
      </c>
      <c r="B21" s="211">
        <v>46283</v>
      </c>
      <c r="C21" s="6"/>
      <c r="D21" s="6"/>
      <c r="E21" s="62">
        <v>44.45</v>
      </c>
      <c r="F21" s="6">
        <v>99.23</v>
      </c>
      <c r="G21" s="63">
        <f t="shared" si="3"/>
        <v>4410.7735000000002</v>
      </c>
      <c r="H21" s="62"/>
      <c r="I21" s="6"/>
      <c r="J21" s="63">
        <f t="shared" si="4"/>
        <v>0</v>
      </c>
      <c r="K21" s="63">
        <f t="shared" si="5"/>
        <v>4410.7735000000002</v>
      </c>
      <c r="L21" s="282"/>
      <c r="M21" s="144">
        <f t="shared" si="2"/>
        <v>103003.99400000008</v>
      </c>
      <c r="N21" s="43"/>
      <c r="O21" s="5"/>
    </row>
    <row r="22" spans="1:15">
      <c r="A22" s="188">
        <v>19</v>
      </c>
      <c r="B22" s="211">
        <v>46284</v>
      </c>
      <c r="C22" s="6"/>
      <c r="D22" s="6"/>
      <c r="E22" s="62"/>
      <c r="F22" s="6"/>
      <c r="G22" s="63">
        <f t="shared" si="3"/>
        <v>0</v>
      </c>
      <c r="H22" s="62">
        <v>5</v>
      </c>
      <c r="I22" s="6">
        <v>111.32</v>
      </c>
      <c r="J22" s="63">
        <f t="shared" si="4"/>
        <v>556.59999999999991</v>
      </c>
      <c r="K22" s="63">
        <f t="shared" si="5"/>
        <v>556.59999999999991</v>
      </c>
      <c r="L22" s="282"/>
      <c r="M22" s="144">
        <f t="shared" si="2"/>
        <v>103560.59400000008</v>
      </c>
      <c r="N22" s="43"/>
      <c r="O22" s="5"/>
    </row>
    <row r="23" spans="1:15">
      <c r="A23" s="43">
        <v>20</v>
      </c>
      <c r="B23" s="211">
        <v>46285</v>
      </c>
      <c r="C23" s="6"/>
      <c r="D23" s="6"/>
      <c r="E23" s="62">
        <v>30</v>
      </c>
      <c r="F23" s="6">
        <v>99.23</v>
      </c>
      <c r="G23" s="63">
        <f t="shared" si="3"/>
        <v>2976.9</v>
      </c>
      <c r="H23" s="62"/>
      <c r="I23" s="6"/>
      <c r="J23" s="63">
        <f t="shared" si="4"/>
        <v>0</v>
      </c>
      <c r="K23" s="63">
        <f t="shared" si="5"/>
        <v>2976.9</v>
      </c>
      <c r="L23" s="282"/>
      <c r="M23" s="144">
        <f t="shared" si="2"/>
        <v>106537.49400000008</v>
      </c>
      <c r="N23" s="43"/>
      <c r="O23" s="5"/>
    </row>
    <row r="24" spans="1:15">
      <c r="A24" s="43">
        <v>21</v>
      </c>
      <c r="B24" s="211">
        <v>46286</v>
      </c>
      <c r="C24" s="6"/>
      <c r="D24" s="6"/>
      <c r="E24" s="62"/>
      <c r="F24" s="6"/>
      <c r="G24" s="63">
        <f t="shared" si="3"/>
        <v>0</v>
      </c>
      <c r="H24" s="62"/>
      <c r="I24" s="6"/>
      <c r="J24" s="63">
        <f t="shared" si="4"/>
        <v>0</v>
      </c>
      <c r="K24" s="63">
        <f t="shared" si="1"/>
        <v>0</v>
      </c>
      <c r="L24" s="282"/>
      <c r="M24" s="144">
        <f t="shared" si="2"/>
        <v>106537.49400000008</v>
      </c>
      <c r="N24" s="43"/>
      <c r="O24" s="5"/>
    </row>
    <row r="25" spans="1:15">
      <c r="A25" s="188">
        <v>22</v>
      </c>
      <c r="B25" s="211">
        <v>46287</v>
      </c>
      <c r="C25" s="6"/>
      <c r="D25" s="6"/>
      <c r="E25" s="62">
        <v>54.64</v>
      </c>
      <c r="F25" s="6">
        <v>99.23</v>
      </c>
      <c r="G25" s="63">
        <f t="shared" si="3"/>
        <v>5421.9272000000001</v>
      </c>
      <c r="H25" s="62"/>
      <c r="I25" s="6"/>
      <c r="J25" s="63">
        <f t="shared" si="4"/>
        <v>0</v>
      </c>
      <c r="K25" s="63">
        <f t="shared" si="1"/>
        <v>5421.9272000000001</v>
      </c>
      <c r="L25" s="282"/>
      <c r="M25" s="144">
        <f t="shared" si="2"/>
        <v>111959.42120000008</v>
      </c>
      <c r="N25" s="43"/>
      <c r="O25" s="5"/>
    </row>
    <row r="26" spans="1:15">
      <c r="A26" s="43">
        <v>23</v>
      </c>
      <c r="B26" s="211">
        <v>46288</v>
      </c>
      <c r="C26" s="6"/>
      <c r="D26" s="6"/>
      <c r="E26" s="62">
        <v>102.81</v>
      </c>
      <c r="F26" s="6">
        <v>99.23</v>
      </c>
      <c r="G26" s="63">
        <f t="shared" si="3"/>
        <v>10201.836300000001</v>
      </c>
      <c r="H26" s="62">
        <v>5</v>
      </c>
      <c r="I26" s="6">
        <v>111.32</v>
      </c>
      <c r="J26" s="63">
        <f t="shared" si="4"/>
        <v>556.59999999999991</v>
      </c>
      <c r="K26" s="63">
        <f t="shared" si="1"/>
        <v>10758.436300000001</v>
      </c>
      <c r="L26" s="282"/>
      <c r="M26" s="144">
        <f t="shared" si="2"/>
        <v>122717.85750000009</v>
      </c>
      <c r="N26" s="43"/>
      <c r="O26" s="5"/>
    </row>
    <row r="27" spans="1:15">
      <c r="A27" s="43">
        <v>24</v>
      </c>
      <c r="B27" s="211">
        <v>46289</v>
      </c>
      <c r="C27" s="6"/>
      <c r="D27" s="6"/>
      <c r="E27" s="62">
        <v>82</v>
      </c>
      <c r="F27" s="6">
        <v>99.23</v>
      </c>
      <c r="G27" s="63">
        <f t="shared" si="3"/>
        <v>8136.8600000000006</v>
      </c>
      <c r="H27" s="62"/>
      <c r="I27" s="6"/>
      <c r="J27" s="63">
        <f t="shared" si="4"/>
        <v>0</v>
      </c>
      <c r="K27" s="63">
        <f t="shared" si="1"/>
        <v>8136.8600000000006</v>
      </c>
      <c r="L27" s="282"/>
      <c r="M27" s="144">
        <f t="shared" si="2"/>
        <v>130854.71750000009</v>
      </c>
      <c r="N27" s="43"/>
      <c r="O27" s="5"/>
    </row>
    <row r="28" spans="1:15">
      <c r="A28" s="188">
        <v>25</v>
      </c>
      <c r="B28" s="211">
        <v>46290</v>
      </c>
      <c r="C28" s="6"/>
      <c r="D28" s="6"/>
      <c r="E28" s="62">
        <v>50</v>
      </c>
      <c r="F28" s="6">
        <v>99.23</v>
      </c>
      <c r="G28" s="63">
        <f t="shared" si="3"/>
        <v>4961.5</v>
      </c>
      <c r="H28" s="62"/>
      <c r="I28" s="6"/>
      <c r="J28" s="63">
        <f t="shared" si="4"/>
        <v>0</v>
      </c>
      <c r="K28" s="63">
        <f t="shared" si="1"/>
        <v>4961.5</v>
      </c>
      <c r="L28" s="282"/>
      <c r="M28" s="144">
        <f t="shared" si="2"/>
        <v>135816.21750000009</v>
      </c>
      <c r="N28" s="43"/>
      <c r="O28" s="5"/>
    </row>
    <row r="29" spans="1:15">
      <c r="A29" s="43">
        <v>26</v>
      </c>
      <c r="B29" s="211">
        <v>46291</v>
      </c>
      <c r="C29" s="6"/>
      <c r="D29" s="6"/>
      <c r="E29" s="296">
        <v>30</v>
      </c>
      <c r="F29" s="296">
        <v>99.23</v>
      </c>
      <c r="G29" s="63">
        <f t="shared" si="3"/>
        <v>2976.9</v>
      </c>
      <c r="H29" s="62"/>
      <c r="I29" s="6"/>
      <c r="J29" s="63">
        <f t="shared" si="4"/>
        <v>0</v>
      </c>
      <c r="K29" s="63">
        <f t="shared" si="1"/>
        <v>2976.9</v>
      </c>
      <c r="L29" s="282"/>
      <c r="M29" s="144">
        <f t="shared" si="2"/>
        <v>138793.11750000008</v>
      </c>
      <c r="N29" s="43"/>
      <c r="O29" s="5"/>
    </row>
    <row r="30" spans="1:15">
      <c r="A30" s="43">
        <v>27</v>
      </c>
      <c r="B30" s="211">
        <v>46292</v>
      </c>
      <c r="C30" s="6"/>
      <c r="D30" s="6"/>
      <c r="E30" s="296">
        <v>27</v>
      </c>
      <c r="F30" s="296">
        <v>99.23</v>
      </c>
      <c r="G30" s="63">
        <f t="shared" si="3"/>
        <v>2679.21</v>
      </c>
      <c r="H30" s="62"/>
      <c r="I30" s="6"/>
      <c r="J30" s="63">
        <f t="shared" si="4"/>
        <v>0</v>
      </c>
      <c r="K30" s="63">
        <f t="shared" si="1"/>
        <v>2679.21</v>
      </c>
      <c r="L30" s="282"/>
      <c r="M30" s="144">
        <f t="shared" si="2"/>
        <v>141472.32750000007</v>
      </c>
      <c r="N30" s="43"/>
      <c r="O30" s="5"/>
    </row>
    <row r="31" spans="1:15">
      <c r="A31" s="188">
        <v>28</v>
      </c>
      <c r="B31" s="211">
        <v>46293</v>
      </c>
      <c r="C31" s="6"/>
      <c r="D31" s="6"/>
      <c r="E31" s="62">
        <v>89</v>
      </c>
      <c r="F31" s="6">
        <v>99.23</v>
      </c>
      <c r="G31" s="63">
        <f t="shared" si="3"/>
        <v>8831.4700000000012</v>
      </c>
      <c r="H31" s="62"/>
      <c r="I31" s="6"/>
      <c r="J31" s="63">
        <f t="shared" si="0"/>
        <v>0</v>
      </c>
      <c r="K31" s="63">
        <f t="shared" si="1"/>
        <v>8831.4700000000012</v>
      </c>
      <c r="L31" s="282"/>
      <c r="M31" s="144">
        <f t="shared" si="2"/>
        <v>150303.79750000007</v>
      </c>
      <c r="N31" s="43"/>
      <c r="O31" s="5"/>
    </row>
    <row r="32" spans="1:15">
      <c r="A32" s="43">
        <v>29</v>
      </c>
      <c r="B32" s="211">
        <v>46294</v>
      </c>
      <c r="C32" s="6"/>
      <c r="D32" s="6"/>
      <c r="E32" s="62">
        <v>239.01</v>
      </c>
      <c r="F32" s="6">
        <v>99.23</v>
      </c>
      <c r="G32" s="63">
        <f t="shared" si="3"/>
        <v>23716.962299999999</v>
      </c>
      <c r="H32" s="62"/>
      <c r="I32" s="6"/>
      <c r="J32" s="63">
        <f t="shared" si="0"/>
        <v>0</v>
      </c>
      <c r="K32" s="63">
        <f t="shared" si="1"/>
        <v>23716.962299999999</v>
      </c>
      <c r="L32" s="282"/>
      <c r="M32" s="144">
        <f t="shared" si="2"/>
        <v>174020.75980000006</v>
      </c>
      <c r="N32" s="43"/>
      <c r="O32" s="5"/>
    </row>
    <row r="33" spans="1:15">
      <c r="A33" s="43">
        <v>30</v>
      </c>
      <c r="B33" s="211">
        <v>46295</v>
      </c>
      <c r="C33" s="6"/>
      <c r="D33" s="6"/>
      <c r="E33" s="62">
        <v>39.270000000000003</v>
      </c>
      <c r="F33" s="6">
        <v>99.23</v>
      </c>
      <c r="G33" s="63">
        <f t="shared" si="3"/>
        <v>3896.7621000000004</v>
      </c>
      <c r="H33" s="62">
        <v>5</v>
      </c>
      <c r="I33" s="6">
        <v>111.32</v>
      </c>
      <c r="J33" s="63">
        <f t="shared" si="0"/>
        <v>556.59999999999991</v>
      </c>
      <c r="K33" s="63">
        <f t="shared" si="1"/>
        <v>4453.3621000000003</v>
      </c>
      <c r="L33" s="282"/>
      <c r="M33" s="144">
        <f t="shared" si="2"/>
        <v>178474.12190000006</v>
      </c>
      <c r="N33" s="43"/>
      <c r="O33" s="5"/>
    </row>
    <row r="34" spans="1:15">
      <c r="A34" s="188">
        <v>31</v>
      </c>
      <c r="B34" s="211"/>
      <c r="C34" s="6"/>
      <c r="D34" s="6"/>
      <c r="E34" s="62"/>
      <c r="F34" s="6"/>
      <c r="G34" s="63">
        <f t="shared" si="3"/>
        <v>0</v>
      </c>
      <c r="H34" s="62"/>
      <c r="I34" s="6"/>
      <c r="J34" s="63">
        <f t="shared" si="0"/>
        <v>0</v>
      </c>
      <c r="K34" s="63">
        <f t="shared" si="1"/>
        <v>0</v>
      </c>
      <c r="L34" s="282"/>
      <c r="M34" s="144">
        <f t="shared" si="2"/>
        <v>178474.12190000006</v>
      </c>
      <c r="N34" s="43"/>
      <c r="O34" s="5"/>
    </row>
    <row r="35" spans="1:15">
      <c r="A35" s="43">
        <v>32</v>
      </c>
      <c r="B35" s="211"/>
      <c r="C35" s="6"/>
      <c r="D35" s="6"/>
      <c r="E35" s="62"/>
      <c r="F35" s="6"/>
      <c r="G35" s="63">
        <f t="shared" ref="G5:G41" si="6">E35*F35</f>
        <v>0</v>
      </c>
      <c r="H35" s="62"/>
      <c r="I35" s="6"/>
      <c r="J35" s="63">
        <f t="shared" ref="J35:J41" si="7">H35*I35</f>
        <v>0</v>
      </c>
      <c r="K35" s="63">
        <f t="shared" si="1"/>
        <v>0</v>
      </c>
      <c r="L35" s="282"/>
      <c r="M35" s="144">
        <f t="shared" si="2"/>
        <v>178474.12190000006</v>
      </c>
      <c r="N35" s="43"/>
      <c r="O35" s="5"/>
    </row>
    <row r="36" spans="1:15">
      <c r="A36" s="43">
        <v>33</v>
      </c>
      <c r="B36" s="211"/>
      <c r="C36" s="6"/>
      <c r="D36" s="6"/>
      <c r="E36" s="62"/>
      <c r="F36" s="6"/>
      <c r="G36" s="63">
        <f t="shared" si="6"/>
        <v>0</v>
      </c>
      <c r="H36" s="62"/>
      <c r="I36" s="6"/>
      <c r="J36" s="63">
        <f t="shared" si="7"/>
        <v>0</v>
      </c>
      <c r="K36" s="63">
        <f t="shared" si="1"/>
        <v>0</v>
      </c>
      <c r="L36" s="282"/>
      <c r="M36" s="144">
        <f t="shared" si="2"/>
        <v>178474.12190000006</v>
      </c>
      <c r="N36" s="43"/>
      <c r="O36" s="5"/>
    </row>
    <row r="37" spans="1:15">
      <c r="A37" s="188">
        <v>34</v>
      </c>
      <c r="B37" s="211"/>
      <c r="C37" s="6"/>
      <c r="D37" s="6"/>
      <c r="E37" s="62"/>
      <c r="F37" s="6"/>
      <c r="G37" s="63">
        <f t="shared" si="6"/>
        <v>0</v>
      </c>
      <c r="H37" s="62"/>
      <c r="I37" s="6"/>
      <c r="J37" s="63">
        <f t="shared" si="7"/>
        <v>0</v>
      </c>
      <c r="K37" s="63">
        <f t="shared" si="1"/>
        <v>0</v>
      </c>
      <c r="L37" s="282"/>
      <c r="M37" s="144">
        <f t="shared" si="2"/>
        <v>178474.12190000006</v>
      </c>
      <c r="N37" s="43"/>
      <c r="O37" s="5"/>
    </row>
    <row r="38" spans="1:15">
      <c r="A38" s="43">
        <v>35</v>
      </c>
      <c r="B38" s="211"/>
      <c r="C38" s="6"/>
      <c r="D38" s="6"/>
      <c r="E38" s="62"/>
      <c r="F38" s="6"/>
      <c r="G38" s="63">
        <f t="shared" si="6"/>
        <v>0</v>
      </c>
      <c r="H38" s="62"/>
      <c r="I38" s="6"/>
      <c r="J38" s="63">
        <f t="shared" si="7"/>
        <v>0</v>
      </c>
      <c r="K38" s="63">
        <f t="shared" si="1"/>
        <v>0</v>
      </c>
      <c r="L38" s="282"/>
      <c r="M38" s="144">
        <f t="shared" si="2"/>
        <v>178474.12190000006</v>
      </c>
      <c r="N38" s="43"/>
      <c r="O38" s="5"/>
    </row>
    <row r="39" spans="1:15">
      <c r="A39" s="43">
        <v>36</v>
      </c>
      <c r="B39" s="211"/>
      <c r="C39" s="6"/>
      <c r="D39" s="6"/>
      <c r="E39" s="62"/>
      <c r="F39" s="6"/>
      <c r="G39" s="63">
        <f t="shared" si="6"/>
        <v>0</v>
      </c>
      <c r="H39" s="62"/>
      <c r="I39" s="6"/>
      <c r="J39" s="63">
        <f t="shared" si="7"/>
        <v>0</v>
      </c>
      <c r="K39" s="63">
        <f t="shared" si="1"/>
        <v>0</v>
      </c>
      <c r="L39" s="282"/>
      <c r="M39" s="144">
        <f t="shared" si="2"/>
        <v>178474.12190000006</v>
      </c>
      <c r="N39" s="43"/>
      <c r="O39" s="5"/>
    </row>
    <row r="40" spans="1:15">
      <c r="A40" s="188">
        <v>37</v>
      </c>
      <c r="B40" s="211"/>
      <c r="C40" s="6"/>
      <c r="D40" s="6"/>
      <c r="E40" s="62"/>
      <c r="F40" s="6"/>
      <c r="G40" s="63">
        <f t="shared" si="6"/>
        <v>0</v>
      </c>
      <c r="H40" s="62"/>
      <c r="I40" s="6"/>
      <c r="J40" s="63">
        <f t="shared" si="7"/>
        <v>0</v>
      </c>
      <c r="K40" s="63">
        <f t="shared" si="1"/>
        <v>0</v>
      </c>
      <c r="L40" s="282"/>
      <c r="M40" s="144">
        <f t="shared" si="2"/>
        <v>178474.12190000006</v>
      </c>
      <c r="N40" s="43"/>
      <c r="O40" s="5"/>
    </row>
    <row r="41" spans="1:15">
      <c r="A41" s="43">
        <v>38</v>
      </c>
      <c r="B41" s="211"/>
      <c r="C41" s="6"/>
      <c r="D41" s="6"/>
      <c r="E41" s="62"/>
      <c r="F41" s="6"/>
      <c r="G41" s="63">
        <f t="shared" si="6"/>
        <v>0</v>
      </c>
      <c r="H41" s="62"/>
      <c r="I41" s="6"/>
      <c r="J41" s="63">
        <f t="shared" si="7"/>
        <v>0</v>
      </c>
      <c r="K41" s="63">
        <f t="shared" si="1"/>
        <v>0</v>
      </c>
      <c r="L41" s="282"/>
      <c r="M41" s="144">
        <f t="shared" si="2"/>
        <v>178474.12190000006</v>
      </c>
      <c r="N41" s="6"/>
      <c r="O41" s="5"/>
    </row>
    <row r="42" spans="1:15">
      <c r="A42" s="43">
        <v>39</v>
      </c>
      <c r="B42" s="211"/>
      <c r="C42" s="6"/>
      <c r="D42" s="6"/>
      <c r="E42" s="62"/>
      <c r="F42" s="6"/>
      <c r="G42" s="63">
        <f t="shared" ref="G25:G49" si="8">E42*F42</f>
        <v>0</v>
      </c>
      <c r="H42" s="62"/>
      <c r="I42" s="6"/>
      <c r="J42" s="63">
        <f t="shared" ref="J25:J49" si="9">H42*I42</f>
        <v>0</v>
      </c>
      <c r="K42" s="63">
        <f t="shared" ref="K42:K49" si="10">G42+J42</f>
        <v>0</v>
      </c>
      <c r="L42" s="282"/>
      <c r="M42" s="144">
        <f t="shared" si="2"/>
        <v>178474.12190000006</v>
      </c>
      <c r="N42" s="6"/>
      <c r="O42" s="5"/>
    </row>
    <row r="43" spans="1:15">
      <c r="A43" s="188">
        <v>40</v>
      </c>
      <c r="B43" s="211"/>
      <c r="C43" s="6"/>
      <c r="D43" s="6"/>
      <c r="E43" s="62"/>
      <c r="F43" s="6"/>
      <c r="G43" s="63">
        <f t="shared" si="8"/>
        <v>0</v>
      </c>
      <c r="H43" s="62"/>
      <c r="I43" s="6"/>
      <c r="J43" s="63">
        <f t="shared" si="9"/>
        <v>0</v>
      </c>
      <c r="K43" s="63">
        <f t="shared" si="10"/>
        <v>0</v>
      </c>
      <c r="L43" s="282"/>
      <c r="M43" s="144">
        <f t="shared" si="2"/>
        <v>178474.12190000006</v>
      </c>
      <c r="N43" s="6"/>
      <c r="O43" s="5"/>
    </row>
    <row r="44" spans="1:15">
      <c r="A44" s="43">
        <v>41</v>
      </c>
      <c r="B44" s="211"/>
      <c r="C44" s="6"/>
      <c r="D44" s="6"/>
      <c r="E44" s="62"/>
      <c r="F44" s="6"/>
      <c r="G44" s="63">
        <f t="shared" si="8"/>
        <v>0</v>
      </c>
      <c r="H44" s="62"/>
      <c r="I44" s="6"/>
      <c r="J44" s="63">
        <f t="shared" si="9"/>
        <v>0</v>
      </c>
      <c r="K44" s="63">
        <f t="shared" si="10"/>
        <v>0</v>
      </c>
      <c r="L44" s="282"/>
      <c r="M44" s="144">
        <f t="shared" si="2"/>
        <v>178474.12190000006</v>
      </c>
      <c r="N44" s="6"/>
      <c r="O44" s="5"/>
    </row>
    <row r="45" spans="1:15">
      <c r="A45" s="43">
        <v>42</v>
      </c>
      <c r="B45" s="211"/>
      <c r="C45" s="6"/>
      <c r="D45" s="6"/>
      <c r="E45" s="62"/>
      <c r="F45" s="6"/>
      <c r="G45" s="63">
        <f t="shared" si="8"/>
        <v>0</v>
      </c>
      <c r="H45" s="62"/>
      <c r="I45" s="6"/>
      <c r="J45" s="63">
        <f t="shared" si="9"/>
        <v>0</v>
      </c>
      <c r="K45" s="63">
        <f t="shared" si="10"/>
        <v>0</v>
      </c>
      <c r="L45" s="282"/>
      <c r="M45" s="144">
        <f t="shared" si="2"/>
        <v>178474.12190000006</v>
      </c>
      <c r="N45" s="6"/>
      <c r="O45" s="5"/>
    </row>
    <row r="46" spans="1:15">
      <c r="A46" s="188">
        <v>43</v>
      </c>
      <c r="B46" s="163"/>
      <c r="C46" s="162"/>
      <c r="D46" s="6"/>
      <c r="E46" s="62"/>
      <c r="F46" s="6"/>
      <c r="G46" s="63">
        <f t="shared" si="8"/>
        <v>0</v>
      </c>
      <c r="H46" s="62"/>
      <c r="I46" s="6"/>
      <c r="J46" s="63">
        <f t="shared" si="9"/>
        <v>0</v>
      </c>
      <c r="K46" s="63">
        <f t="shared" si="10"/>
        <v>0</v>
      </c>
      <c r="L46" s="282"/>
      <c r="M46" s="144">
        <f t="shared" si="2"/>
        <v>178474.12190000006</v>
      </c>
      <c r="N46" s="162"/>
      <c r="O46" s="5"/>
    </row>
    <row r="47" spans="1:15">
      <c r="A47" s="43">
        <v>44</v>
      </c>
      <c r="B47" s="6"/>
      <c r="C47" s="6"/>
      <c r="D47" s="6"/>
      <c r="E47" s="62"/>
      <c r="F47" s="6"/>
      <c r="G47" s="63">
        <f t="shared" si="8"/>
        <v>0</v>
      </c>
      <c r="H47" s="62"/>
      <c r="I47" s="6"/>
      <c r="J47" s="63">
        <f t="shared" si="9"/>
        <v>0</v>
      </c>
      <c r="K47" s="63">
        <f t="shared" si="10"/>
        <v>0</v>
      </c>
      <c r="L47" s="282">
        <v>0</v>
      </c>
      <c r="M47" s="144">
        <f t="shared" si="2"/>
        <v>178474.12190000006</v>
      </c>
      <c r="N47" s="6"/>
      <c r="O47" s="5"/>
    </row>
    <row r="48" spans="1:15">
      <c r="A48" s="43">
        <v>45</v>
      </c>
      <c r="B48" s="162"/>
      <c r="C48" s="162"/>
      <c r="D48" s="6"/>
      <c r="E48" s="62"/>
      <c r="F48" s="6"/>
      <c r="G48" s="63">
        <f t="shared" si="8"/>
        <v>0</v>
      </c>
      <c r="H48" s="62"/>
      <c r="I48" s="6"/>
      <c r="J48" s="63">
        <f t="shared" si="9"/>
        <v>0</v>
      </c>
      <c r="K48" s="164">
        <f t="shared" si="10"/>
        <v>0</v>
      </c>
      <c r="L48" s="155"/>
      <c r="M48" s="144">
        <f t="shared" si="2"/>
        <v>178474.12190000006</v>
      </c>
      <c r="N48" s="162"/>
      <c r="O48" s="5"/>
    </row>
    <row r="49" spans="1:15">
      <c r="A49" s="188">
        <v>46</v>
      </c>
      <c r="B49" s="162"/>
      <c r="C49" s="162"/>
      <c r="D49" s="6"/>
      <c r="E49" s="62"/>
      <c r="F49" s="6"/>
      <c r="G49" s="63">
        <f t="shared" si="8"/>
        <v>0</v>
      </c>
      <c r="H49" s="62"/>
      <c r="I49" s="6"/>
      <c r="J49" s="63">
        <f t="shared" si="9"/>
        <v>0</v>
      </c>
      <c r="K49" s="164">
        <f t="shared" si="10"/>
        <v>0</v>
      </c>
      <c r="L49" s="165"/>
      <c r="M49" s="144">
        <f t="shared" si="2"/>
        <v>178474.12190000006</v>
      </c>
      <c r="N49" s="162"/>
      <c r="O49" s="5"/>
    </row>
    <row r="50" spans="1:15">
      <c r="A50" s="59"/>
      <c r="B50" s="59"/>
      <c r="C50" s="59"/>
      <c r="D50" s="59"/>
      <c r="E50" s="60">
        <f>SUM(E4:E49)</f>
        <v>1566.14</v>
      </c>
      <c r="F50" s="60"/>
      <c r="G50" s="60">
        <f>SUM(G4:G49)</f>
        <v>155408.0722</v>
      </c>
      <c r="H50" s="60">
        <f>SUM(H4:H49)</f>
        <v>44</v>
      </c>
      <c r="I50" s="60"/>
      <c r="J50" s="60">
        <f>SUM(J4:J49)</f>
        <v>4992.3799999999992</v>
      </c>
      <c r="K50" s="60">
        <f>SUM(K4:K49)</f>
        <v>160400.45220000003</v>
      </c>
      <c r="L50" s="60">
        <f>SUM(L4:L49)</f>
        <v>0</v>
      </c>
      <c r="M50" s="60"/>
      <c r="N50" s="60"/>
      <c r="O50" s="56"/>
    </row>
    <row r="51" spans="1:15">
      <c r="A51" s="5"/>
      <c r="B51" s="5"/>
      <c r="C51" s="5"/>
      <c r="D51" s="5"/>
      <c r="E51" s="5"/>
      <c r="F51" s="5"/>
      <c r="G51" s="99"/>
      <c r="H51" s="5"/>
      <c r="I51" s="5"/>
      <c r="J51" s="99"/>
      <c r="K51" s="5"/>
      <c r="L51" s="99"/>
      <c r="M51" s="99"/>
      <c r="N51" s="5"/>
      <c r="O51" s="5"/>
    </row>
    <row r="52" spans="1:15">
      <c r="A52" s="5"/>
      <c r="B52" s="5"/>
      <c r="C52" s="5"/>
      <c r="D52" s="5"/>
      <c r="E52" s="5"/>
      <c r="F52" s="5"/>
      <c r="G52" s="99"/>
      <c r="H52" s="5"/>
      <c r="I52" s="5"/>
      <c r="J52" s="99"/>
      <c r="K52" s="5"/>
      <c r="L52" s="99"/>
      <c r="M52" s="99"/>
      <c r="N52" s="5"/>
      <c r="O52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Q47"/>
  <sheetViews>
    <sheetView workbookViewId="0">
      <pane ySplit="3" topLeftCell="A36" activePane="bottomLeft" state="frozen"/>
      <selection pane="bottomLeft" activeCell="M42" sqref="M42"/>
    </sheetView>
  </sheetViews>
  <sheetFormatPr defaultRowHeight="15"/>
  <cols>
    <col min="1" max="1" width="6.140625" customWidth="1"/>
    <col min="2" max="2" width="11.5703125" bestFit="1" customWidth="1"/>
    <col min="4" max="4" width="15.42578125" customWidth="1"/>
    <col min="5" max="5" width="13.140625" customWidth="1"/>
    <col min="6" max="6" width="9.42578125" bestFit="1" customWidth="1"/>
    <col min="7" max="7" width="11.85546875" bestFit="1" customWidth="1"/>
    <col min="8" max="8" width="12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7" ht="15.75">
      <c r="A1" s="606" t="s">
        <v>161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5"/>
    </row>
    <row r="2" spans="1:17" ht="19.5" customHeight="1">
      <c r="A2" s="61" t="s">
        <v>0</v>
      </c>
      <c r="B2" s="80" t="s">
        <v>168</v>
      </c>
      <c r="C2" s="80" t="s">
        <v>169</v>
      </c>
      <c r="D2" s="80" t="s">
        <v>184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88" t="s">
        <v>176</v>
      </c>
      <c r="M2" s="82" t="s">
        <v>185</v>
      </c>
      <c r="N2" s="80" t="s">
        <v>178</v>
      </c>
      <c r="O2" s="5"/>
    </row>
    <row r="3" spans="1:17">
      <c r="A3" s="625" t="s">
        <v>179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9"/>
      <c r="M3" s="555">
        <v>1087.984399999995</v>
      </c>
      <c r="N3" s="556"/>
      <c r="O3" s="5"/>
    </row>
    <row r="4" spans="1:17">
      <c r="A4" s="188">
        <v>1</v>
      </c>
      <c r="B4" s="211">
        <v>46266</v>
      </c>
      <c r="C4" s="6"/>
      <c r="D4" s="6"/>
      <c r="E4" s="62"/>
      <c r="F4" s="6"/>
      <c r="G4" s="63">
        <f>E4*F4</f>
        <v>0</v>
      </c>
      <c r="H4" s="62">
        <v>5</v>
      </c>
      <c r="I4" s="6">
        <v>111.38</v>
      </c>
      <c r="J4" s="63">
        <f>H4*I4</f>
        <v>556.9</v>
      </c>
      <c r="K4" s="63">
        <f>G4+J4</f>
        <v>556.9</v>
      </c>
      <c r="L4" s="155"/>
      <c r="M4" s="285">
        <f>M3+K4-L4</f>
        <v>1644.8843999999949</v>
      </c>
      <c r="N4" s="43"/>
      <c r="O4" s="5"/>
    </row>
    <row r="5" spans="1:17">
      <c r="A5" s="43">
        <v>2</v>
      </c>
      <c r="B5" s="211">
        <v>46267</v>
      </c>
      <c r="C5" s="6"/>
      <c r="D5" s="6"/>
      <c r="E5" s="62"/>
      <c r="F5" s="6"/>
      <c r="G5" s="63">
        <f t="shared" ref="G5:G34" si="0">E5*F5</f>
        <v>0</v>
      </c>
      <c r="H5" s="62"/>
      <c r="I5" s="6"/>
      <c r="J5" s="63">
        <f t="shared" ref="J5:J41" si="1">H5*I5</f>
        <v>0</v>
      </c>
      <c r="K5" s="63">
        <f t="shared" ref="K5:L41" si="2">G5+J5</f>
        <v>0</v>
      </c>
      <c r="L5" s="155"/>
      <c r="M5" s="285">
        <f t="shared" ref="M5:M18" si="3">M4+K5-L5</f>
        <v>1644.8843999999949</v>
      </c>
      <c r="N5" s="43"/>
      <c r="O5" s="5"/>
    </row>
    <row r="6" spans="1:17">
      <c r="A6" s="43">
        <v>3</v>
      </c>
      <c r="B6" s="211">
        <v>46268</v>
      </c>
      <c r="C6" s="6"/>
      <c r="D6" s="6"/>
      <c r="E6" s="62">
        <v>80</v>
      </c>
      <c r="F6" s="6">
        <v>99.28</v>
      </c>
      <c r="G6" s="63">
        <f t="shared" si="0"/>
        <v>7942.4</v>
      </c>
      <c r="H6" s="62"/>
      <c r="I6" s="6"/>
      <c r="J6" s="63">
        <f t="shared" si="1"/>
        <v>0</v>
      </c>
      <c r="K6" s="63">
        <f t="shared" si="2"/>
        <v>7942.4</v>
      </c>
      <c r="L6" s="155"/>
      <c r="M6" s="285">
        <f t="shared" si="3"/>
        <v>9587.284399999995</v>
      </c>
      <c r="N6" s="43"/>
      <c r="O6" s="554"/>
    </row>
    <row r="7" spans="1:17">
      <c r="A7" s="43">
        <v>4</v>
      </c>
      <c r="B7" s="211">
        <v>46269</v>
      </c>
      <c r="C7" s="162"/>
      <c r="D7" s="162"/>
      <c r="E7" s="62"/>
      <c r="F7" s="6"/>
      <c r="G7" s="63">
        <f t="shared" si="0"/>
        <v>0</v>
      </c>
      <c r="H7" s="6"/>
      <c r="I7" s="63"/>
      <c r="J7" s="63">
        <f t="shared" si="1"/>
        <v>0</v>
      </c>
      <c r="K7" s="63">
        <f t="shared" si="2"/>
        <v>0</v>
      </c>
      <c r="L7" s="155"/>
      <c r="M7" s="285">
        <f t="shared" si="3"/>
        <v>9587.284399999995</v>
      </c>
      <c r="N7" s="43"/>
      <c r="O7" s="5"/>
    </row>
    <row r="8" spans="1:17">
      <c r="A8" s="213">
        <v>5</v>
      </c>
      <c r="B8" s="211">
        <v>46270</v>
      </c>
      <c r="C8" s="6"/>
      <c r="D8" s="6"/>
      <c r="E8" s="62"/>
      <c r="F8" s="6"/>
      <c r="G8" s="63">
        <f t="shared" si="0"/>
        <v>0</v>
      </c>
      <c r="H8" s="62"/>
      <c r="I8" s="6"/>
      <c r="J8" s="63">
        <f t="shared" si="1"/>
        <v>0</v>
      </c>
      <c r="K8" s="63">
        <f t="shared" si="2"/>
        <v>0</v>
      </c>
      <c r="L8" s="155"/>
      <c r="M8" s="285">
        <f t="shared" si="3"/>
        <v>9587.284399999995</v>
      </c>
      <c r="N8" s="43"/>
      <c r="O8" s="5"/>
    </row>
    <row r="9" spans="1:17">
      <c r="A9" s="213">
        <v>6</v>
      </c>
      <c r="B9" s="211">
        <v>46271</v>
      </c>
      <c r="C9" s="6"/>
      <c r="D9" s="6"/>
      <c r="E9" s="62"/>
      <c r="F9" s="6"/>
      <c r="G9" s="63">
        <f t="shared" si="0"/>
        <v>0</v>
      </c>
      <c r="H9" s="62"/>
      <c r="I9" s="6"/>
      <c r="J9" s="63">
        <f t="shared" si="1"/>
        <v>0</v>
      </c>
      <c r="K9" s="63">
        <f t="shared" si="2"/>
        <v>0</v>
      </c>
      <c r="L9" s="155"/>
      <c r="M9" s="285">
        <f t="shared" si="3"/>
        <v>9587.284399999995</v>
      </c>
      <c r="N9" s="43"/>
      <c r="O9" s="5"/>
      <c r="P9" s="630">
        <v>1127.8389999999793</v>
      </c>
      <c r="Q9" s="631"/>
    </row>
    <row r="10" spans="1:17">
      <c r="A10" s="213">
        <v>7</v>
      </c>
      <c r="B10" s="211">
        <v>46272</v>
      </c>
      <c r="C10" s="6"/>
      <c r="D10" s="6"/>
      <c r="E10" s="62"/>
      <c r="F10" s="6"/>
      <c r="G10" s="63">
        <f t="shared" si="0"/>
        <v>0</v>
      </c>
      <c r="H10" s="62">
        <v>6.29</v>
      </c>
      <c r="I10" s="6">
        <v>111.38</v>
      </c>
      <c r="J10" s="63">
        <f t="shared" si="1"/>
        <v>700.58019999999999</v>
      </c>
      <c r="K10" s="63">
        <f t="shared" si="2"/>
        <v>700.58019999999999</v>
      </c>
      <c r="L10" s="155"/>
      <c r="M10" s="285">
        <f t="shared" si="3"/>
        <v>10287.864599999995</v>
      </c>
      <c r="N10" s="43"/>
      <c r="O10" s="5"/>
    </row>
    <row r="11" spans="1:17">
      <c r="A11" s="213">
        <v>8</v>
      </c>
      <c r="B11" s="211">
        <v>46273</v>
      </c>
      <c r="C11" s="6"/>
      <c r="D11" s="6"/>
      <c r="E11" s="62">
        <v>50</v>
      </c>
      <c r="F11" s="6">
        <v>99.28</v>
      </c>
      <c r="G11" s="63">
        <f t="shared" si="0"/>
        <v>4964</v>
      </c>
      <c r="H11" s="62"/>
      <c r="I11" s="6"/>
      <c r="J11" s="63">
        <f t="shared" si="1"/>
        <v>0</v>
      </c>
      <c r="K11" s="63">
        <f>G11+J11</f>
        <v>4964</v>
      </c>
      <c r="L11" s="155"/>
      <c r="M11" s="285">
        <f t="shared" si="3"/>
        <v>15251.864599999995</v>
      </c>
      <c r="N11" s="43"/>
      <c r="O11" s="5"/>
    </row>
    <row r="12" spans="1:17">
      <c r="A12" s="213">
        <v>9</v>
      </c>
      <c r="B12" s="211">
        <v>46274</v>
      </c>
      <c r="C12" s="6"/>
      <c r="D12" s="6"/>
      <c r="E12" s="62">
        <v>70</v>
      </c>
      <c r="F12" s="6">
        <v>99.28</v>
      </c>
      <c r="G12" s="63">
        <f t="shared" si="0"/>
        <v>6949.6</v>
      </c>
      <c r="H12" s="62"/>
      <c r="I12" s="6"/>
      <c r="J12" s="63">
        <f t="shared" si="1"/>
        <v>0</v>
      </c>
      <c r="K12" s="63">
        <f>G12+J12</f>
        <v>6949.6</v>
      </c>
      <c r="L12" s="155"/>
      <c r="M12" s="285">
        <f t="shared" si="3"/>
        <v>22201.464599999996</v>
      </c>
      <c r="N12" s="43"/>
      <c r="O12" s="5"/>
    </row>
    <row r="13" spans="1:17">
      <c r="A13" s="213">
        <v>10</v>
      </c>
      <c r="B13" s="211">
        <v>46275</v>
      </c>
      <c r="C13" s="6"/>
      <c r="D13" s="6"/>
      <c r="E13" s="62"/>
      <c r="F13" s="6"/>
      <c r="G13" s="63">
        <f t="shared" si="0"/>
        <v>0</v>
      </c>
      <c r="H13" s="62"/>
      <c r="I13" s="6"/>
      <c r="J13" s="63">
        <f t="shared" si="1"/>
        <v>0</v>
      </c>
      <c r="K13" s="63">
        <f>G13+J13</f>
        <v>0</v>
      </c>
      <c r="L13" s="155"/>
      <c r="M13" s="285">
        <f t="shared" si="3"/>
        <v>22201.464599999996</v>
      </c>
      <c r="N13" s="43"/>
      <c r="O13" s="5"/>
    </row>
    <row r="14" spans="1:17">
      <c r="A14" s="213">
        <v>11</v>
      </c>
      <c r="B14" s="211">
        <v>46276</v>
      </c>
      <c r="C14" s="6"/>
      <c r="D14" s="6"/>
      <c r="E14" s="62"/>
      <c r="F14" s="6"/>
      <c r="G14" s="63">
        <f t="shared" si="0"/>
        <v>0</v>
      </c>
      <c r="H14" s="62"/>
      <c r="I14" s="6"/>
      <c r="J14" s="63">
        <f t="shared" si="1"/>
        <v>0</v>
      </c>
      <c r="K14" s="63">
        <f t="shared" si="2"/>
        <v>0</v>
      </c>
      <c r="L14" s="155"/>
      <c r="M14" s="285">
        <f t="shared" si="3"/>
        <v>22201.464599999996</v>
      </c>
      <c r="N14" s="43"/>
      <c r="O14" s="5"/>
    </row>
    <row r="15" spans="1:17">
      <c r="A15" s="213">
        <v>12</v>
      </c>
      <c r="B15" s="211">
        <v>46277</v>
      </c>
      <c r="C15" s="6"/>
      <c r="D15" s="6"/>
      <c r="E15" s="62"/>
      <c r="F15" s="6"/>
      <c r="G15" s="63">
        <f t="shared" si="0"/>
        <v>0</v>
      </c>
      <c r="H15" s="62">
        <v>5</v>
      </c>
      <c r="I15" s="6">
        <v>111.38</v>
      </c>
      <c r="J15" s="63">
        <f t="shared" si="1"/>
        <v>556.9</v>
      </c>
      <c r="K15" s="63">
        <f t="shared" si="2"/>
        <v>556.9</v>
      </c>
      <c r="L15" s="155"/>
      <c r="M15" s="285">
        <f t="shared" si="3"/>
        <v>22758.364599999997</v>
      </c>
      <c r="N15" s="43"/>
      <c r="O15" s="5"/>
    </row>
    <row r="16" spans="1:17">
      <c r="A16" s="213">
        <v>13</v>
      </c>
      <c r="B16" s="211">
        <v>46278</v>
      </c>
      <c r="C16" s="6"/>
      <c r="D16" s="6"/>
      <c r="E16" s="62"/>
      <c r="F16" s="6"/>
      <c r="G16" s="63">
        <f t="shared" si="0"/>
        <v>0</v>
      </c>
      <c r="H16" s="62"/>
      <c r="I16" s="6"/>
      <c r="J16" s="63">
        <f t="shared" si="1"/>
        <v>0</v>
      </c>
      <c r="K16" s="63">
        <f t="shared" si="2"/>
        <v>0</v>
      </c>
      <c r="L16" s="63"/>
      <c r="M16" s="285">
        <f t="shared" si="3"/>
        <v>22758.364599999997</v>
      </c>
      <c r="N16" s="43"/>
      <c r="O16" s="5"/>
    </row>
    <row r="17" spans="1:15">
      <c r="A17" s="213">
        <v>14</v>
      </c>
      <c r="B17" s="211">
        <v>46279</v>
      </c>
      <c r="C17" s="6"/>
      <c r="D17" s="6"/>
      <c r="E17" s="62"/>
      <c r="F17" s="6"/>
      <c r="G17" s="63">
        <f t="shared" si="0"/>
        <v>0</v>
      </c>
      <c r="H17" s="62"/>
      <c r="I17" s="6"/>
      <c r="J17" s="63">
        <f t="shared" si="1"/>
        <v>0</v>
      </c>
      <c r="K17" s="63">
        <f t="shared" si="2"/>
        <v>0</v>
      </c>
      <c r="L17" s="155"/>
      <c r="M17" s="285">
        <f t="shared" si="3"/>
        <v>22758.364599999997</v>
      </c>
      <c r="N17" s="43"/>
      <c r="O17" s="5"/>
    </row>
    <row r="18" spans="1:15">
      <c r="A18" s="213">
        <v>15</v>
      </c>
      <c r="B18" s="211">
        <v>46280</v>
      </c>
      <c r="C18" s="6"/>
      <c r="D18" s="6"/>
      <c r="E18" s="62">
        <v>44.64</v>
      </c>
      <c r="F18" s="6">
        <v>99.28</v>
      </c>
      <c r="G18" s="63">
        <f t="shared" si="0"/>
        <v>4431.8591999999999</v>
      </c>
      <c r="H18" s="62">
        <v>5.01</v>
      </c>
      <c r="I18" s="6">
        <v>111.38</v>
      </c>
      <c r="J18" s="63">
        <f t="shared" si="1"/>
        <v>558.01379999999995</v>
      </c>
      <c r="K18" s="63">
        <f t="shared" si="2"/>
        <v>4989.8729999999996</v>
      </c>
      <c r="L18" s="155"/>
      <c r="M18" s="285">
        <f t="shared" si="3"/>
        <v>27748.237599999997</v>
      </c>
      <c r="N18" s="43"/>
      <c r="O18" s="5"/>
    </row>
    <row r="19" spans="1:15">
      <c r="A19" s="213">
        <v>16</v>
      </c>
      <c r="B19" s="211">
        <v>46281</v>
      </c>
      <c r="C19" s="6"/>
      <c r="D19" s="6"/>
      <c r="E19" s="62"/>
      <c r="F19" s="6"/>
      <c r="G19" s="63">
        <f t="shared" si="0"/>
        <v>0</v>
      </c>
      <c r="H19" s="62"/>
      <c r="I19" s="6"/>
      <c r="J19" s="63">
        <f t="shared" si="1"/>
        <v>0</v>
      </c>
      <c r="K19" s="63">
        <f t="shared" si="2"/>
        <v>0</v>
      </c>
      <c r="L19" s="155"/>
      <c r="M19" s="286">
        <f t="shared" ref="M15:M42" si="4">M18+K19-L19</f>
        <v>27748.237599999997</v>
      </c>
      <c r="N19" s="43"/>
      <c r="O19" s="5"/>
    </row>
    <row r="20" spans="1:15">
      <c r="A20" s="213">
        <v>17</v>
      </c>
      <c r="B20" s="211">
        <v>46282</v>
      </c>
      <c r="C20" s="6"/>
      <c r="D20" s="6"/>
      <c r="E20" s="62"/>
      <c r="F20" s="6"/>
      <c r="G20" s="63">
        <f t="shared" si="0"/>
        <v>0</v>
      </c>
      <c r="H20" s="62"/>
      <c r="I20" s="6"/>
      <c r="J20" s="63">
        <f t="shared" si="1"/>
        <v>0</v>
      </c>
      <c r="K20" s="63">
        <f t="shared" si="2"/>
        <v>0</v>
      </c>
      <c r="L20" s="155"/>
      <c r="M20" s="286">
        <f t="shared" si="4"/>
        <v>27748.237599999997</v>
      </c>
      <c r="N20" s="43"/>
      <c r="O20" s="5"/>
    </row>
    <row r="21" spans="1:15">
      <c r="A21" s="213">
        <v>18</v>
      </c>
      <c r="B21" s="211">
        <v>46283</v>
      </c>
      <c r="C21" s="6"/>
      <c r="D21" s="6"/>
      <c r="E21" s="62"/>
      <c r="F21" s="6"/>
      <c r="G21" s="63">
        <f t="shared" si="0"/>
        <v>0</v>
      </c>
      <c r="H21" s="62"/>
      <c r="I21" s="6"/>
      <c r="J21" s="63">
        <f t="shared" si="1"/>
        <v>0</v>
      </c>
      <c r="K21" s="63">
        <f t="shared" si="2"/>
        <v>0</v>
      </c>
      <c r="L21" s="155"/>
      <c r="M21" s="286">
        <f t="shared" si="4"/>
        <v>27748.237599999997</v>
      </c>
      <c r="N21" s="43"/>
      <c r="O21" s="5"/>
    </row>
    <row r="22" spans="1:15">
      <c r="A22" s="213">
        <v>19</v>
      </c>
      <c r="B22" s="211">
        <v>46284</v>
      </c>
      <c r="C22" s="6"/>
      <c r="D22" s="6"/>
      <c r="E22" s="62">
        <v>174.73</v>
      </c>
      <c r="F22" s="6">
        <v>99.28</v>
      </c>
      <c r="G22" s="63">
        <f t="shared" si="0"/>
        <v>17347.1944</v>
      </c>
      <c r="H22" s="62"/>
      <c r="I22" s="6"/>
      <c r="J22" s="63">
        <f t="shared" si="1"/>
        <v>0</v>
      </c>
      <c r="K22" s="63">
        <f t="shared" si="2"/>
        <v>17347.1944</v>
      </c>
      <c r="L22" s="155"/>
      <c r="M22" s="286">
        <f t="shared" si="4"/>
        <v>45095.432000000001</v>
      </c>
      <c r="N22" s="43"/>
      <c r="O22" s="5"/>
    </row>
    <row r="23" spans="1:15">
      <c r="A23" s="213">
        <v>20</v>
      </c>
      <c r="B23" s="211">
        <v>46285</v>
      </c>
      <c r="C23" s="6"/>
      <c r="D23" s="6"/>
      <c r="E23" s="62"/>
      <c r="F23" s="6"/>
      <c r="G23" s="63">
        <f t="shared" si="0"/>
        <v>0</v>
      </c>
      <c r="H23" s="62"/>
      <c r="I23" s="6"/>
      <c r="J23" s="63">
        <f t="shared" si="1"/>
        <v>0</v>
      </c>
      <c r="K23" s="63">
        <f t="shared" si="2"/>
        <v>0</v>
      </c>
      <c r="L23" s="155"/>
      <c r="M23" s="286">
        <f t="shared" si="4"/>
        <v>45095.432000000001</v>
      </c>
      <c r="N23" s="43"/>
      <c r="O23" s="5"/>
    </row>
    <row r="24" spans="1:15">
      <c r="A24" s="213">
        <v>21</v>
      </c>
      <c r="B24" s="211">
        <v>46286</v>
      </c>
      <c r="C24" s="6"/>
      <c r="D24" s="6"/>
      <c r="E24" s="62"/>
      <c r="F24" s="6"/>
      <c r="G24" s="63">
        <f t="shared" si="0"/>
        <v>0</v>
      </c>
      <c r="H24" s="62">
        <v>10.01</v>
      </c>
      <c r="I24" s="6">
        <v>111.38</v>
      </c>
      <c r="J24" s="63">
        <f t="shared" si="1"/>
        <v>1114.9138</v>
      </c>
      <c r="K24" s="63">
        <f t="shared" si="2"/>
        <v>1114.9138</v>
      </c>
      <c r="L24" s="155"/>
      <c r="M24" s="286">
        <f t="shared" si="4"/>
        <v>46210.345800000003</v>
      </c>
      <c r="N24" s="43"/>
      <c r="O24" s="5"/>
    </row>
    <row r="25" spans="1:15">
      <c r="A25" s="43">
        <v>22</v>
      </c>
      <c r="B25" s="211">
        <v>46287</v>
      </c>
      <c r="C25" s="311"/>
      <c r="D25" s="311"/>
      <c r="E25" s="62"/>
      <c r="F25" s="6"/>
      <c r="G25" s="63">
        <f t="shared" si="0"/>
        <v>0</v>
      </c>
      <c r="H25" s="62"/>
      <c r="I25" s="6"/>
      <c r="J25" s="63">
        <f t="shared" si="1"/>
        <v>0</v>
      </c>
      <c r="K25" s="63">
        <f t="shared" si="2"/>
        <v>0</v>
      </c>
      <c r="L25" s="155"/>
      <c r="M25" s="250">
        <f t="shared" si="4"/>
        <v>46210.345800000003</v>
      </c>
      <c r="N25" s="43"/>
      <c r="O25" s="5"/>
    </row>
    <row r="26" spans="1:15">
      <c r="A26" s="43">
        <v>23</v>
      </c>
      <c r="B26" s="211">
        <v>46288</v>
      </c>
      <c r="C26" s="6"/>
      <c r="D26" s="6"/>
      <c r="E26" s="62"/>
      <c r="F26" s="6"/>
      <c r="G26" s="63">
        <f t="shared" si="0"/>
        <v>0</v>
      </c>
      <c r="H26" s="62"/>
      <c r="I26" s="6"/>
      <c r="J26" s="63">
        <f t="shared" si="1"/>
        <v>0</v>
      </c>
      <c r="K26" s="63">
        <f t="shared" si="2"/>
        <v>0</v>
      </c>
      <c r="L26" s="155">
        <v>30000</v>
      </c>
      <c r="M26" s="250">
        <f t="shared" si="4"/>
        <v>16210.345800000003</v>
      </c>
      <c r="N26" s="6"/>
      <c r="O26" s="5"/>
    </row>
    <row r="27" spans="1:15">
      <c r="A27" s="43">
        <v>24</v>
      </c>
      <c r="B27" s="211">
        <v>46289</v>
      </c>
      <c r="C27" s="6"/>
      <c r="D27" s="6"/>
      <c r="E27" s="62"/>
      <c r="F27" s="6"/>
      <c r="G27" s="63">
        <f t="shared" si="0"/>
        <v>0</v>
      </c>
      <c r="H27" s="62"/>
      <c r="I27" s="6"/>
      <c r="J27" s="63">
        <f t="shared" si="1"/>
        <v>0</v>
      </c>
      <c r="K27" s="63">
        <f t="shared" si="2"/>
        <v>0</v>
      </c>
      <c r="L27" s="155"/>
      <c r="M27" s="250">
        <f t="shared" si="4"/>
        <v>16210.345800000003</v>
      </c>
      <c r="N27" s="6"/>
      <c r="O27" s="5"/>
    </row>
    <row r="28" spans="1:15">
      <c r="A28" s="213">
        <v>25</v>
      </c>
      <c r="B28" s="211">
        <v>46290</v>
      </c>
      <c r="C28" s="6"/>
      <c r="D28" s="6"/>
      <c r="E28" s="62"/>
      <c r="F28" s="6"/>
      <c r="G28" s="63">
        <f t="shared" si="0"/>
        <v>0</v>
      </c>
      <c r="H28" s="62">
        <v>6.93</v>
      </c>
      <c r="I28" s="6">
        <v>111.38</v>
      </c>
      <c r="J28" s="63">
        <f t="shared" si="1"/>
        <v>771.86339999999996</v>
      </c>
      <c r="K28" s="63">
        <f t="shared" si="2"/>
        <v>771.86339999999996</v>
      </c>
      <c r="L28" s="155"/>
      <c r="M28" s="250">
        <f t="shared" si="4"/>
        <v>16982.209200000001</v>
      </c>
      <c r="N28" s="6"/>
      <c r="O28" s="5"/>
    </row>
    <row r="29" spans="1:15">
      <c r="A29" s="213">
        <v>26</v>
      </c>
      <c r="B29" s="211">
        <v>46291</v>
      </c>
      <c r="C29" s="6"/>
      <c r="D29" s="6"/>
      <c r="E29" s="62"/>
      <c r="F29" s="6"/>
      <c r="G29" s="63">
        <f t="shared" si="0"/>
        <v>0</v>
      </c>
      <c r="H29" s="296">
        <v>5.03</v>
      </c>
      <c r="I29" s="6">
        <v>111.38</v>
      </c>
      <c r="J29" s="63">
        <f t="shared" si="1"/>
        <v>560.2414</v>
      </c>
      <c r="K29" s="63">
        <f t="shared" si="2"/>
        <v>560.2414</v>
      </c>
      <c r="L29" s="155"/>
      <c r="M29" s="250">
        <f t="shared" si="4"/>
        <v>17542.4506</v>
      </c>
      <c r="N29" s="6"/>
      <c r="O29" s="5"/>
    </row>
    <row r="30" spans="1:15">
      <c r="A30" s="213">
        <v>27</v>
      </c>
      <c r="B30" s="211">
        <v>46292</v>
      </c>
      <c r="C30" s="6"/>
      <c r="D30" s="6"/>
      <c r="E30" s="62">
        <v>50</v>
      </c>
      <c r="F30" s="6">
        <v>99.28</v>
      </c>
      <c r="G30" s="63">
        <f t="shared" si="0"/>
        <v>4964</v>
      </c>
      <c r="H30" s="62"/>
      <c r="I30" s="6"/>
      <c r="J30" s="63">
        <f t="shared" si="1"/>
        <v>0</v>
      </c>
      <c r="K30" s="63">
        <f t="shared" si="2"/>
        <v>4964</v>
      </c>
      <c r="L30" s="155"/>
      <c r="M30" s="250">
        <f t="shared" si="4"/>
        <v>22506.4506</v>
      </c>
      <c r="N30" s="6"/>
      <c r="O30" s="5"/>
    </row>
    <row r="31" spans="1:15">
      <c r="A31" s="213">
        <v>28</v>
      </c>
      <c r="B31" s="211">
        <v>46293</v>
      </c>
      <c r="C31" s="6"/>
      <c r="D31" s="6"/>
      <c r="E31" s="62"/>
      <c r="F31" s="6"/>
      <c r="G31" s="63">
        <f t="shared" si="0"/>
        <v>0</v>
      </c>
      <c r="H31" s="62">
        <v>5</v>
      </c>
      <c r="I31" s="6">
        <v>111.38</v>
      </c>
      <c r="J31" s="63">
        <f t="shared" si="1"/>
        <v>556.9</v>
      </c>
      <c r="K31" s="63">
        <f t="shared" si="2"/>
        <v>556.9</v>
      </c>
      <c r="L31" s="155"/>
      <c r="M31" s="250">
        <f t="shared" si="4"/>
        <v>23063.350600000002</v>
      </c>
      <c r="N31" s="6"/>
      <c r="O31" s="5"/>
    </row>
    <row r="32" spans="1:15">
      <c r="A32" s="214">
        <v>29</v>
      </c>
      <c r="B32" s="211">
        <v>46294</v>
      </c>
      <c r="C32" s="6"/>
      <c r="D32" s="6"/>
      <c r="E32" s="62"/>
      <c r="F32" s="6"/>
      <c r="G32" s="63">
        <f t="shared" si="0"/>
        <v>0</v>
      </c>
      <c r="H32" s="6"/>
      <c r="I32" s="63"/>
      <c r="J32" s="63">
        <f t="shared" si="1"/>
        <v>0</v>
      </c>
      <c r="K32" s="63">
        <f t="shared" si="2"/>
        <v>0</v>
      </c>
      <c r="L32" s="155"/>
      <c r="M32" s="250">
        <f t="shared" si="4"/>
        <v>23063.350600000002</v>
      </c>
      <c r="N32" s="6"/>
      <c r="O32" s="5"/>
    </row>
    <row r="33" spans="1:15">
      <c r="A33" s="214">
        <v>30</v>
      </c>
      <c r="B33" s="211">
        <v>46295</v>
      </c>
      <c r="C33" s="6"/>
      <c r="D33" s="6"/>
      <c r="E33" s="62"/>
      <c r="F33" s="6"/>
      <c r="G33" s="63">
        <f t="shared" si="0"/>
        <v>0</v>
      </c>
      <c r="H33" s="62"/>
      <c r="I33" s="6"/>
      <c r="J33" s="63">
        <f t="shared" si="1"/>
        <v>0</v>
      </c>
      <c r="K33" s="63">
        <f t="shared" si="2"/>
        <v>0</v>
      </c>
      <c r="L33" s="155"/>
      <c r="M33" s="250">
        <f t="shared" si="4"/>
        <v>23063.350600000002</v>
      </c>
      <c r="N33" s="6"/>
      <c r="O33" s="5"/>
    </row>
    <row r="34" spans="1:15">
      <c r="A34" s="214">
        <v>31</v>
      </c>
      <c r="B34" s="211"/>
      <c r="C34" s="6"/>
      <c r="D34" s="6"/>
      <c r="E34" s="62"/>
      <c r="F34" s="6"/>
      <c r="G34" s="63">
        <f t="shared" si="0"/>
        <v>0</v>
      </c>
      <c r="H34" s="62"/>
      <c r="I34" s="6"/>
      <c r="J34" s="63">
        <f t="shared" si="1"/>
        <v>0</v>
      </c>
      <c r="K34" s="63">
        <f t="shared" si="2"/>
        <v>0</v>
      </c>
      <c r="L34" s="155"/>
      <c r="M34" s="250">
        <f t="shared" si="4"/>
        <v>23063.350600000002</v>
      </c>
      <c r="N34" s="6"/>
      <c r="O34" s="5"/>
    </row>
    <row r="35" spans="1:15">
      <c r="A35" s="6">
        <v>35</v>
      </c>
      <c r="B35" s="75"/>
      <c r="C35" s="6"/>
      <c r="D35" s="6"/>
      <c r="E35" s="62"/>
      <c r="F35" s="6"/>
      <c r="G35" s="63">
        <v>0</v>
      </c>
      <c r="H35" s="62"/>
      <c r="I35" s="6"/>
      <c r="J35" s="63">
        <f t="shared" si="1"/>
        <v>0</v>
      </c>
      <c r="K35" s="63">
        <f t="shared" si="2"/>
        <v>0</v>
      </c>
      <c r="L35" s="155"/>
      <c r="M35" s="250">
        <f t="shared" si="4"/>
        <v>23063.350600000002</v>
      </c>
      <c r="N35" s="6"/>
      <c r="O35" s="5"/>
    </row>
    <row r="36" spans="1:15">
      <c r="A36" s="6">
        <v>36</v>
      </c>
      <c r="B36" s="75"/>
      <c r="C36" s="6"/>
      <c r="D36" s="6"/>
      <c r="E36" s="62"/>
      <c r="F36" s="6"/>
      <c r="G36" s="63">
        <v>0</v>
      </c>
      <c r="H36" s="62"/>
      <c r="I36" s="6"/>
      <c r="J36" s="63">
        <f t="shared" si="1"/>
        <v>0</v>
      </c>
      <c r="K36" s="63">
        <f t="shared" si="2"/>
        <v>0</v>
      </c>
      <c r="L36" s="155"/>
      <c r="M36" s="250">
        <f t="shared" si="4"/>
        <v>23063.350600000002</v>
      </c>
      <c r="N36" s="6"/>
      <c r="O36" s="5"/>
    </row>
    <row r="37" spans="1:15">
      <c r="A37" s="6">
        <v>37</v>
      </c>
      <c r="B37" s="75"/>
      <c r="C37" s="6"/>
      <c r="D37" s="6"/>
      <c r="E37" s="62"/>
      <c r="F37" s="6"/>
      <c r="G37" s="63">
        <v>0</v>
      </c>
      <c r="H37" s="62"/>
      <c r="I37" s="6"/>
      <c r="J37" s="63">
        <f t="shared" si="1"/>
        <v>0</v>
      </c>
      <c r="K37" s="63">
        <f t="shared" si="2"/>
        <v>0</v>
      </c>
      <c r="L37" s="155"/>
      <c r="M37" s="250">
        <f t="shared" si="4"/>
        <v>23063.350600000002</v>
      </c>
      <c r="N37" s="6"/>
      <c r="O37" s="5"/>
    </row>
    <row r="38" spans="1:15">
      <c r="A38" s="6">
        <v>38</v>
      </c>
      <c r="B38" s="75"/>
      <c r="C38" s="6"/>
      <c r="D38" s="6"/>
      <c r="E38" s="62"/>
      <c r="F38" s="6"/>
      <c r="G38" s="63">
        <v>0</v>
      </c>
      <c r="H38" s="62"/>
      <c r="I38" s="6"/>
      <c r="J38" s="63">
        <f t="shared" si="1"/>
        <v>0</v>
      </c>
      <c r="K38" s="63">
        <f t="shared" si="2"/>
        <v>0</v>
      </c>
      <c r="L38" s="155"/>
      <c r="M38" s="250">
        <f t="shared" si="4"/>
        <v>23063.350600000002</v>
      </c>
      <c r="N38" s="6"/>
      <c r="O38" s="5"/>
    </row>
    <row r="39" spans="1:15">
      <c r="A39" s="162">
        <v>39</v>
      </c>
      <c r="B39" s="163"/>
      <c r="C39" s="162"/>
      <c r="D39" s="6"/>
      <c r="E39" s="62"/>
      <c r="F39" s="6"/>
      <c r="G39" s="63">
        <v>0</v>
      </c>
      <c r="H39" s="62"/>
      <c r="I39" s="6"/>
      <c r="J39" s="63">
        <f t="shared" si="1"/>
        <v>0</v>
      </c>
      <c r="K39" s="63">
        <f t="shared" si="2"/>
        <v>0</v>
      </c>
      <c r="L39" s="155"/>
      <c r="M39" s="250">
        <f t="shared" si="4"/>
        <v>23063.350600000002</v>
      </c>
      <c r="N39" s="162"/>
      <c r="O39" s="5"/>
    </row>
    <row r="40" spans="1:15">
      <c r="A40" s="6">
        <v>40</v>
      </c>
      <c r="B40" s="6"/>
      <c r="C40" s="6"/>
      <c r="D40" s="6"/>
      <c r="E40" s="62"/>
      <c r="F40" s="6"/>
      <c r="G40" s="63">
        <v>0</v>
      </c>
      <c r="H40" s="62"/>
      <c r="I40" s="6"/>
      <c r="J40" s="63">
        <f t="shared" si="1"/>
        <v>0</v>
      </c>
      <c r="K40" s="63">
        <f t="shared" si="2"/>
        <v>0</v>
      </c>
      <c r="L40" s="155"/>
      <c r="M40" s="250">
        <f t="shared" si="4"/>
        <v>23063.350600000002</v>
      </c>
      <c r="N40" s="6"/>
      <c r="O40" s="5"/>
    </row>
    <row r="41" spans="1:15">
      <c r="A41" s="162">
        <v>41</v>
      </c>
      <c r="B41" s="162"/>
      <c r="C41" s="162"/>
      <c r="D41" s="6"/>
      <c r="E41" s="62"/>
      <c r="F41" s="6"/>
      <c r="G41" s="63">
        <v>0</v>
      </c>
      <c r="H41" s="62"/>
      <c r="I41" s="6"/>
      <c r="J41" s="63">
        <f t="shared" si="1"/>
        <v>0</v>
      </c>
      <c r="K41" s="63">
        <f t="shared" si="2"/>
        <v>0</v>
      </c>
      <c r="L41" s="155"/>
      <c r="M41" s="250">
        <f t="shared" si="4"/>
        <v>23063.350600000002</v>
      </c>
      <c r="N41" s="162"/>
      <c r="O41" s="5"/>
    </row>
    <row r="42" spans="1:15">
      <c r="A42" s="162">
        <v>42</v>
      </c>
      <c r="B42" s="162"/>
      <c r="C42" s="162"/>
      <c r="D42" s="6"/>
      <c r="E42" s="62"/>
      <c r="F42" s="6"/>
      <c r="G42" s="63">
        <f t="shared" ref="G42" si="5">E42*F42</f>
        <v>0</v>
      </c>
      <c r="H42" s="62"/>
      <c r="I42" s="6"/>
      <c r="J42" s="63">
        <f t="shared" ref="J42" si="6">H42*I42</f>
        <v>0</v>
      </c>
      <c r="K42" s="164">
        <f t="shared" ref="K42" si="7">G42+J42</f>
        <v>0</v>
      </c>
      <c r="L42" s="165"/>
      <c r="M42" s="250">
        <f t="shared" si="4"/>
        <v>23063.350600000002</v>
      </c>
      <c r="N42" s="162"/>
      <c r="O42" s="5"/>
    </row>
    <row r="43" spans="1:15">
      <c r="A43" s="59"/>
      <c r="B43" s="59"/>
      <c r="C43" s="59"/>
      <c r="D43" s="59"/>
      <c r="E43" s="60">
        <f>SUM(E4:E42)</f>
        <v>469.37</v>
      </c>
      <c r="F43" s="60"/>
      <c r="G43" s="60">
        <f>SUM(G4:G42)</f>
        <v>46599.053599999999</v>
      </c>
      <c r="H43" s="60">
        <f>SUM(H4:H42)</f>
        <v>48.269999999999996</v>
      </c>
      <c r="I43" s="60"/>
      <c r="J43" s="60">
        <f>SUM(J4:J42)</f>
        <v>5376.3126000000002</v>
      </c>
      <c r="K43" s="60">
        <f>SUM(K4:K42)</f>
        <v>51975.366200000004</v>
      </c>
      <c r="L43" s="60">
        <f>SUM(L4:L42)</f>
        <v>30000</v>
      </c>
      <c r="M43" s="60"/>
      <c r="N43" s="60"/>
      <c r="O43" s="56"/>
    </row>
    <row r="44" spans="1:15">
      <c r="A44" s="5"/>
      <c r="B44" s="5"/>
      <c r="C44" s="5"/>
      <c r="D44" s="5"/>
      <c r="E44" s="5"/>
      <c r="F44" s="5"/>
      <c r="G44" s="99"/>
      <c r="H44" s="5"/>
      <c r="I44" s="5"/>
      <c r="J44" s="99"/>
      <c r="K44" s="5"/>
      <c r="L44" s="99"/>
      <c r="M44" s="99"/>
      <c r="N44" s="5"/>
      <c r="O44" s="5"/>
    </row>
    <row r="45" spans="1:15">
      <c r="A45" s="5"/>
      <c r="B45" s="5"/>
      <c r="C45" s="5"/>
      <c r="D45" s="5"/>
      <c r="E45" s="5"/>
      <c r="F45" s="5"/>
      <c r="G45" s="99"/>
      <c r="H45" s="5"/>
      <c r="I45" s="5"/>
      <c r="J45" s="99"/>
      <c r="K45" s="5"/>
      <c r="L45" s="99"/>
      <c r="M45" s="99"/>
      <c r="N45" s="5"/>
      <c r="O45" s="5"/>
    </row>
    <row r="47" spans="1:15">
      <c r="L47" s="167"/>
    </row>
  </sheetData>
  <mergeCells count="3">
    <mergeCell ref="A1:N1"/>
    <mergeCell ref="A3:L3"/>
    <mergeCell ref="P9:Q9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workbookViewId="0">
      <pane ySplit="3" topLeftCell="A4" activePane="bottomLeft" state="frozen"/>
      <selection pane="bottomLeft" activeCell="A17" sqref="A17:XFD17"/>
    </sheetView>
  </sheetViews>
  <sheetFormatPr defaultRowHeight="15"/>
  <cols>
    <col min="2" max="2" width="10.5703125" bestFit="1" customWidth="1"/>
    <col min="4" max="4" width="15" customWidth="1"/>
    <col min="5" max="5" width="13.28515625" customWidth="1"/>
    <col min="7" max="7" width="11.85546875" bestFit="1" customWidth="1"/>
    <col min="8" max="8" width="12.28515625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606" t="s">
        <v>163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</row>
    <row r="2" spans="1:18" ht="21" customHeight="1">
      <c r="A2" s="61" t="s">
        <v>0</v>
      </c>
      <c r="B2" s="80" t="s">
        <v>168</v>
      </c>
      <c r="C2" s="80" t="s">
        <v>169</v>
      </c>
      <c r="D2" s="80" t="s">
        <v>184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88" t="s">
        <v>176</v>
      </c>
      <c r="M2" s="82" t="s">
        <v>185</v>
      </c>
      <c r="N2" s="80" t="s">
        <v>178</v>
      </c>
    </row>
    <row r="3" spans="1:18">
      <c r="A3" s="625" t="s">
        <v>179</v>
      </c>
      <c r="B3" s="626"/>
      <c r="C3" s="626"/>
      <c r="D3" s="626"/>
      <c r="E3" s="626"/>
      <c r="F3" s="626"/>
      <c r="G3" s="626"/>
      <c r="H3" s="626"/>
      <c r="I3" s="626"/>
      <c r="J3" s="626"/>
      <c r="K3" s="626"/>
      <c r="L3" s="629"/>
      <c r="M3" s="630">
        <v>15663.64070000004</v>
      </c>
      <c r="N3" s="631"/>
    </row>
    <row r="4" spans="1:18">
      <c r="A4" s="188">
        <v>1</v>
      </c>
      <c r="B4" s="211">
        <v>46266</v>
      </c>
      <c r="C4" s="6"/>
      <c r="D4" s="6"/>
      <c r="E4" s="62">
        <v>60</v>
      </c>
      <c r="F4" s="296">
        <v>99.44</v>
      </c>
      <c r="G4" s="63">
        <f>E4*F4</f>
        <v>5966.4</v>
      </c>
      <c r="H4" s="62">
        <v>8</v>
      </c>
      <c r="I4" s="6">
        <v>111.55</v>
      </c>
      <c r="J4" s="63">
        <f>H4*I4</f>
        <v>892.4</v>
      </c>
      <c r="K4" s="63">
        <f>G4+J4</f>
        <v>6858.7999999999993</v>
      </c>
      <c r="L4" s="155"/>
      <c r="M4" s="144">
        <f>M3+K4-L4</f>
        <v>22522.440700000039</v>
      </c>
      <c r="N4" s="43"/>
    </row>
    <row r="5" spans="1:18">
      <c r="A5" s="43">
        <v>2</v>
      </c>
      <c r="B5" s="211">
        <v>46267</v>
      </c>
      <c r="C5" s="6"/>
      <c r="D5" s="6"/>
      <c r="E5" s="62">
        <v>41.52</v>
      </c>
      <c r="F5" s="296">
        <v>99.44</v>
      </c>
      <c r="G5" s="63">
        <f t="shared" ref="G5:G38" si="0">E5*F5</f>
        <v>4128.7488000000003</v>
      </c>
      <c r="H5" s="62"/>
      <c r="I5" s="6"/>
      <c r="J5" s="63">
        <f t="shared" ref="J5:J40" si="1">H5*I5</f>
        <v>0</v>
      </c>
      <c r="K5" s="63">
        <f t="shared" ref="K5:K10" si="2">G5+J5</f>
        <v>4128.7488000000003</v>
      </c>
      <c r="L5" s="155"/>
      <c r="M5" s="144">
        <f t="shared" ref="M5:M33" si="3">M4+K5-L5</f>
        <v>26651.18950000004</v>
      </c>
      <c r="N5" s="43"/>
    </row>
    <row r="6" spans="1:18">
      <c r="A6" s="43">
        <v>3</v>
      </c>
      <c r="B6" s="211">
        <v>46268</v>
      </c>
      <c r="C6" s="6"/>
      <c r="D6" s="6"/>
      <c r="E6" s="62"/>
      <c r="F6" s="296"/>
      <c r="G6" s="63">
        <f t="shared" si="0"/>
        <v>0</v>
      </c>
      <c r="H6" s="62"/>
      <c r="I6" s="6"/>
      <c r="J6" s="63">
        <f t="shared" si="1"/>
        <v>0</v>
      </c>
      <c r="K6" s="63">
        <f t="shared" si="2"/>
        <v>0</v>
      </c>
      <c r="L6" s="155"/>
      <c r="M6" s="144">
        <f t="shared" si="3"/>
        <v>26651.18950000004</v>
      </c>
      <c r="N6" s="43"/>
    </row>
    <row r="7" spans="1:18">
      <c r="A7" s="43">
        <v>4</v>
      </c>
      <c r="B7" s="211">
        <v>46269</v>
      </c>
      <c r="C7" s="6"/>
      <c r="D7" s="6"/>
      <c r="E7" s="62">
        <v>30</v>
      </c>
      <c r="F7" s="296">
        <v>99.44</v>
      </c>
      <c r="G7" s="63">
        <f t="shared" si="0"/>
        <v>2983.2</v>
      </c>
      <c r="H7" s="62"/>
      <c r="I7" s="6"/>
      <c r="J7" s="63">
        <f t="shared" si="1"/>
        <v>0</v>
      </c>
      <c r="K7" s="63">
        <f t="shared" si="2"/>
        <v>2983.2</v>
      </c>
      <c r="L7" s="155"/>
      <c r="M7" s="144">
        <f t="shared" si="3"/>
        <v>29634.389500000041</v>
      </c>
      <c r="N7" s="43"/>
    </row>
    <row r="8" spans="1:18">
      <c r="A8" s="43">
        <v>5</v>
      </c>
      <c r="B8" s="211">
        <v>46270</v>
      </c>
      <c r="C8" s="6"/>
      <c r="D8" s="6"/>
      <c r="E8" s="62">
        <v>140</v>
      </c>
      <c r="F8" s="296">
        <v>99.44</v>
      </c>
      <c r="G8" s="63">
        <f t="shared" si="0"/>
        <v>13921.6</v>
      </c>
      <c r="H8" s="62">
        <v>7.66</v>
      </c>
      <c r="I8" s="6">
        <v>111.55</v>
      </c>
      <c r="J8" s="63">
        <f t="shared" si="1"/>
        <v>854.47299999999996</v>
      </c>
      <c r="K8" s="63">
        <f t="shared" si="2"/>
        <v>14776.073</v>
      </c>
      <c r="L8" s="155"/>
      <c r="M8" s="144">
        <f t="shared" si="3"/>
        <v>44410.462500000038</v>
      </c>
      <c r="N8" s="43"/>
    </row>
    <row r="9" spans="1:18">
      <c r="A9" s="43">
        <v>6</v>
      </c>
      <c r="B9" s="211">
        <v>46271</v>
      </c>
      <c r="C9" s="6"/>
      <c r="D9" s="6"/>
      <c r="E9" s="62">
        <v>45.39</v>
      </c>
      <c r="F9" s="296">
        <v>99.44</v>
      </c>
      <c r="G9" s="63">
        <f t="shared" si="0"/>
        <v>4513.5815999999995</v>
      </c>
      <c r="H9" s="62">
        <v>0</v>
      </c>
      <c r="I9" s="6"/>
      <c r="J9" s="63">
        <f t="shared" si="1"/>
        <v>0</v>
      </c>
      <c r="K9" s="63">
        <f t="shared" si="2"/>
        <v>4513.5815999999995</v>
      </c>
      <c r="L9" s="155"/>
      <c r="M9" s="144">
        <f t="shared" si="3"/>
        <v>48924.044100000036</v>
      </c>
      <c r="N9" s="43"/>
    </row>
    <row r="10" spans="1:18">
      <c r="A10" s="43">
        <v>7</v>
      </c>
      <c r="B10" s="211">
        <v>46272</v>
      </c>
      <c r="C10" s="6"/>
      <c r="D10" s="6"/>
      <c r="E10" s="62">
        <v>30</v>
      </c>
      <c r="F10" s="296">
        <v>99.44</v>
      </c>
      <c r="G10" s="63">
        <f t="shared" si="0"/>
        <v>2983.2</v>
      </c>
      <c r="H10" s="62">
        <v>5</v>
      </c>
      <c r="I10" s="6">
        <v>111.55</v>
      </c>
      <c r="J10" s="63">
        <f t="shared" si="1"/>
        <v>557.75</v>
      </c>
      <c r="K10" s="63">
        <f t="shared" si="2"/>
        <v>3540.95</v>
      </c>
      <c r="L10" s="155"/>
      <c r="M10" s="144">
        <f t="shared" si="3"/>
        <v>52464.994100000033</v>
      </c>
      <c r="N10" s="43"/>
    </row>
    <row r="11" spans="1:18">
      <c r="A11" s="43">
        <v>8</v>
      </c>
      <c r="B11" s="211">
        <v>46273</v>
      </c>
      <c r="C11" s="6"/>
      <c r="D11" s="6"/>
      <c r="E11" s="62">
        <v>4</v>
      </c>
      <c r="F11" s="296">
        <v>99.44</v>
      </c>
      <c r="G11" s="63">
        <f t="shared" si="0"/>
        <v>397.76</v>
      </c>
      <c r="H11" s="62"/>
      <c r="I11" s="6"/>
      <c r="J11" s="63">
        <f t="shared" si="1"/>
        <v>0</v>
      </c>
      <c r="K11" s="63">
        <f t="shared" ref="K5:K40" si="4">G11+J11</f>
        <v>397.76</v>
      </c>
      <c r="L11" s="155"/>
      <c r="M11" s="144">
        <f t="shared" si="3"/>
        <v>52862.754100000035</v>
      </c>
      <c r="N11" s="43"/>
    </row>
    <row r="12" spans="1:18">
      <c r="A12" s="43">
        <v>9</v>
      </c>
      <c r="B12" s="211">
        <v>46274</v>
      </c>
      <c r="C12" s="6"/>
      <c r="D12" s="6"/>
      <c r="E12" s="62">
        <v>35</v>
      </c>
      <c r="F12" s="296">
        <v>99.44</v>
      </c>
      <c r="G12" s="63">
        <f t="shared" si="0"/>
        <v>3480.4</v>
      </c>
      <c r="H12" s="62"/>
      <c r="I12" s="6"/>
      <c r="J12" s="63">
        <f t="shared" si="1"/>
        <v>0</v>
      </c>
      <c r="K12" s="63">
        <f t="shared" si="4"/>
        <v>3480.4</v>
      </c>
      <c r="L12" s="155"/>
      <c r="M12" s="144">
        <f t="shared" si="3"/>
        <v>56343.154100000036</v>
      </c>
      <c r="N12" s="43"/>
      <c r="R12" s="230"/>
    </row>
    <row r="13" spans="1:18">
      <c r="A13" s="43">
        <v>10</v>
      </c>
      <c r="B13" s="211">
        <v>46275</v>
      </c>
      <c r="C13" s="6"/>
      <c r="D13" s="6"/>
      <c r="E13" s="62">
        <v>30</v>
      </c>
      <c r="F13" s="296">
        <v>99.44</v>
      </c>
      <c r="G13" s="63">
        <f t="shared" si="0"/>
        <v>2983.2</v>
      </c>
      <c r="H13" s="62"/>
      <c r="I13" s="6"/>
      <c r="J13" s="63">
        <f t="shared" si="1"/>
        <v>0</v>
      </c>
      <c r="K13" s="63">
        <f t="shared" si="4"/>
        <v>2983.2</v>
      </c>
      <c r="L13" s="155"/>
      <c r="M13" s="144">
        <f t="shared" si="3"/>
        <v>59326.354100000033</v>
      </c>
      <c r="N13" s="43"/>
    </row>
    <row r="14" spans="1:18">
      <c r="A14" s="43">
        <v>11</v>
      </c>
      <c r="B14" s="211">
        <v>46276</v>
      </c>
      <c r="C14" s="6"/>
      <c r="D14" s="6"/>
      <c r="E14" s="62"/>
      <c r="F14" s="296">
        <v>99.44</v>
      </c>
      <c r="G14" s="63">
        <f t="shared" si="0"/>
        <v>0</v>
      </c>
      <c r="H14" s="62">
        <v>17.420000000000002</v>
      </c>
      <c r="I14" s="6">
        <v>111.55</v>
      </c>
      <c r="J14" s="63">
        <f t="shared" si="1"/>
        <v>1943.2010000000002</v>
      </c>
      <c r="K14" s="63">
        <f t="shared" si="4"/>
        <v>1943.2010000000002</v>
      </c>
      <c r="L14" s="155"/>
      <c r="M14" s="144">
        <f t="shared" si="3"/>
        <v>61269.555100000034</v>
      </c>
      <c r="N14" s="43"/>
    </row>
    <row r="15" spans="1:18">
      <c r="A15" s="43">
        <v>12</v>
      </c>
      <c r="B15" s="211">
        <v>46277</v>
      </c>
      <c r="C15" s="6"/>
      <c r="D15" s="6"/>
      <c r="E15" s="62"/>
      <c r="F15" s="296"/>
      <c r="G15" s="63">
        <f t="shared" si="0"/>
        <v>0</v>
      </c>
      <c r="H15" s="62"/>
      <c r="I15" s="6"/>
      <c r="J15" s="63">
        <f t="shared" si="1"/>
        <v>0</v>
      </c>
      <c r="K15" s="63">
        <f t="shared" si="4"/>
        <v>0</v>
      </c>
      <c r="L15" s="155"/>
      <c r="M15" s="144">
        <f t="shared" si="3"/>
        <v>61269.555100000034</v>
      </c>
      <c r="N15" s="43"/>
    </row>
    <row r="16" spans="1:18">
      <c r="A16" s="43">
        <v>13</v>
      </c>
      <c r="B16" s="211">
        <v>46278</v>
      </c>
      <c r="C16" s="6"/>
      <c r="D16" s="6"/>
      <c r="E16" s="62"/>
      <c r="F16" s="296"/>
      <c r="G16" s="63">
        <f t="shared" si="0"/>
        <v>0</v>
      </c>
      <c r="H16" s="62"/>
      <c r="I16" s="6"/>
      <c r="J16" s="63">
        <f t="shared" si="1"/>
        <v>0</v>
      </c>
      <c r="K16" s="63">
        <f t="shared" si="4"/>
        <v>0</v>
      </c>
      <c r="L16" s="155"/>
      <c r="M16" s="144">
        <f t="shared" si="3"/>
        <v>61269.555100000034</v>
      </c>
      <c r="N16" s="43"/>
    </row>
    <row r="17" spans="1:14">
      <c r="A17" s="43">
        <v>14</v>
      </c>
      <c r="B17" s="211">
        <v>46279</v>
      </c>
      <c r="C17" s="6"/>
      <c r="D17" s="6"/>
      <c r="E17" s="62"/>
      <c r="F17" s="296"/>
      <c r="G17" s="63">
        <f t="shared" si="0"/>
        <v>0</v>
      </c>
      <c r="H17" s="62"/>
      <c r="I17" s="6"/>
      <c r="J17" s="63">
        <f t="shared" si="1"/>
        <v>0</v>
      </c>
      <c r="K17" s="63">
        <f t="shared" si="4"/>
        <v>0</v>
      </c>
      <c r="L17" s="155"/>
      <c r="M17" s="144">
        <f t="shared" si="3"/>
        <v>61269.555100000034</v>
      </c>
      <c r="N17" s="43"/>
    </row>
    <row r="18" spans="1:14">
      <c r="A18" s="43">
        <v>15</v>
      </c>
      <c r="B18" s="211">
        <v>46280</v>
      </c>
      <c r="C18" s="6"/>
      <c r="D18" s="6"/>
      <c r="E18" s="62">
        <v>30.3</v>
      </c>
      <c r="F18" s="296">
        <v>99.44</v>
      </c>
      <c r="G18" s="63">
        <f t="shared" si="0"/>
        <v>3013.0320000000002</v>
      </c>
      <c r="H18" s="62"/>
      <c r="I18" s="6"/>
      <c r="J18" s="63">
        <f t="shared" si="1"/>
        <v>0</v>
      </c>
      <c r="K18" s="63">
        <f t="shared" si="4"/>
        <v>3013.0320000000002</v>
      </c>
      <c r="L18" s="155"/>
      <c r="M18" s="144">
        <f t="shared" si="3"/>
        <v>64282.587100000033</v>
      </c>
      <c r="N18" s="43"/>
    </row>
    <row r="19" spans="1:14">
      <c r="A19" s="43">
        <v>16</v>
      </c>
      <c r="B19" s="211">
        <v>46281</v>
      </c>
      <c r="C19" s="6"/>
      <c r="D19" s="6"/>
      <c r="E19" s="62">
        <v>100.97</v>
      </c>
      <c r="F19" s="296">
        <v>99.44</v>
      </c>
      <c r="G19" s="63">
        <f t="shared" si="0"/>
        <v>10040.4568</v>
      </c>
      <c r="H19" s="62">
        <v>8.26</v>
      </c>
      <c r="I19" s="6">
        <v>111.55</v>
      </c>
      <c r="J19" s="63">
        <f t="shared" si="1"/>
        <v>921.40299999999991</v>
      </c>
      <c r="K19" s="63">
        <f t="shared" si="4"/>
        <v>10961.8598</v>
      </c>
      <c r="L19" s="155"/>
      <c r="M19" s="144">
        <f t="shared" si="3"/>
        <v>75244.446900000039</v>
      </c>
      <c r="N19" s="43"/>
    </row>
    <row r="20" spans="1:14">
      <c r="A20" s="43">
        <v>17</v>
      </c>
      <c r="B20" s="211">
        <v>46282</v>
      </c>
      <c r="C20" s="6"/>
      <c r="D20" s="6"/>
      <c r="E20" s="62"/>
      <c r="F20" s="296"/>
      <c r="G20" s="63">
        <f t="shared" si="0"/>
        <v>0</v>
      </c>
      <c r="H20" s="62"/>
      <c r="I20" s="6"/>
      <c r="J20" s="63">
        <f t="shared" si="1"/>
        <v>0</v>
      </c>
      <c r="K20" s="63">
        <f t="shared" si="4"/>
        <v>0</v>
      </c>
      <c r="L20" s="155"/>
      <c r="M20" s="144">
        <f t="shared" si="3"/>
        <v>75244.446900000039</v>
      </c>
      <c r="N20" s="43"/>
    </row>
    <row r="21" spans="1:14">
      <c r="A21" s="43">
        <v>18</v>
      </c>
      <c r="B21" s="211">
        <v>46283</v>
      </c>
      <c r="C21" s="6"/>
      <c r="D21" s="6"/>
      <c r="E21" s="62">
        <v>50</v>
      </c>
      <c r="F21" s="296">
        <v>99.44</v>
      </c>
      <c r="G21" s="63">
        <f t="shared" si="0"/>
        <v>4972</v>
      </c>
      <c r="H21" s="62"/>
      <c r="I21" s="6"/>
      <c r="J21" s="63">
        <f t="shared" si="1"/>
        <v>0</v>
      </c>
      <c r="K21" s="63">
        <f t="shared" si="4"/>
        <v>4972</v>
      </c>
      <c r="L21" s="155"/>
      <c r="M21" s="144">
        <f t="shared" si="3"/>
        <v>80216.446900000039</v>
      </c>
      <c r="N21" s="43"/>
    </row>
    <row r="22" spans="1:14">
      <c r="A22" s="43">
        <v>19</v>
      </c>
      <c r="B22" s="211">
        <v>46284</v>
      </c>
      <c r="C22" s="6"/>
      <c r="D22" s="6"/>
      <c r="E22" s="62"/>
      <c r="F22" s="296"/>
      <c r="G22" s="63">
        <f t="shared" si="0"/>
        <v>0</v>
      </c>
      <c r="H22" s="62"/>
      <c r="I22" s="6"/>
      <c r="J22" s="63">
        <f t="shared" si="1"/>
        <v>0</v>
      </c>
      <c r="K22" s="63">
        <f t="shared" si="4"/>
        <v>0</v>
      </c>
      <c r="L22" s="155"/>
      <c r="M22" s="144">
        <f t="shared" si="3"/>
        <v>80216.446900000039</v>
      </c>
      <c r="N22" s="43"/>
    </row>
    <row r="23" spans="1:14">
      <c r="A23" s="43">
        <v>20</v>
      </c>
      <c r="B23" s="211">
        <v>46285</v>
      </c>
      <c r="C23" s="6"/>
      <c r="D23" s="6"/>
      <c r="E23" s="62">
        <v>164.58999999999997</v>
      </c>
      <c r="F23" s="296">
        <v>99.44</v>
      </c>
      <c r="G23" s="63">
        <f>E23*F23</f>
        <v>16366.829599999997</v>
      </c>
      <c r="H23" s="62"/>
      <c r="I23" s="6"/>
      <c r="J23" s="63">
        <f t="shared" si="1"/>
        <v>0</v>
      </c>
      <c r="K23" s="63">
        <f t="shared" si="4"/>
        <v>16366.829599999997</v>
      </c>
      <c r="L23" s="155"/>
      <c r="M23" s="144">
        <f t="shared" si="3"/>
        <v>96583.276500000036</v>
      </c>
      <c r="N23" s="43"/>
    </row>
    <row r="24" spans="1:14">
      <c r="A24" s="43">
        <v>21</v>
      </c>
      <c r="B24" s="211">
        <v>46286</v>
      </c>
      <c r="C24" s="6"/>
      <c r="D24" s="6"/>
      <c r="E24" s="62">
        <v>120.52</v>
      </c>
      <c r="F24" s="296">
        <v>99.44</v>
      </c>
      <c r="G24" s="63">
        <f t="shared" si="0"/>
        <v>11984.5088</v>
      </c>
      <c r="H24" s="62"/>
      <c r="I24" s="6"/>
      <c r="J24" s="63">
        <f t="shared" si="1"/>
        <v>0</v>
      </c>
      <c r="K24" s="63">
        <f t="shared" si="4"/>
        <v>11984.5088</v>
      </c>
      <c r="L24" s="155"/>
      <c r="M24" s="144">
        <f>M23+K24-L24</f>
        <v>108567.78530000003</v>
      </c>
      <c r="N24" s="43"/>
    </row>
    <row r="25" spans="1:14">
      <c r="A25" s="43">
        <v>22</v>
      </c>
      <c r="B25" s="211">
        <v>46287</v>
      </c>
      <c r="C25" s="6"/>
      <c r="D25" s="6"/>
      <c r="E25" s="296">
        <f>34.3+50.28</f>
        <v>84.58</v>
      </c>
      <c r="F25" s="514">
        <v>99.44</v>
      </c>
      <c r="G25" s="63">
        <f t="shared" si="0"/>
        <v>8410.6351999999988</v>
      </c>
      <c r="H25" s="62"/>
      <c r="I25" s="6"/>
      <c r="J25" s="63">
        <f t="shared" si="1"/>
        <v>0</v>
      </c>
      <c r="K25" s="63">
        <f t="shared" si="4"/>
        <v>8410.6351999999988</v>
      </c>
      <c r="L25" s="155"/>
      <c r="M25" s="144">
        <f t="shared" si="3"/>
        <v>116978.42050000004</v>
      </c>
      <c r="N25" s="43"/>
    </row>
    <row r="26" spans="1:14">
      <c r="A26" s="43">
        <v>23</v>
      </c>
      <c r="B26" s="211">
        <v>46288</v>
      </c>
      <c r="C26" s="6"/>
      <c r="D26" s="6"/>
      <c r="E26" s="62"/>
      <c r="F26" s="296"/>
      <c r="G26" s="63">
        <f t="shared" si="0"/>
        <v>0</v>
      </c>
      <c r="H26" s="62"/>
      <c r="I26" s="6"/>
      <c r="J26" s="63">
        <f t="shared" si="1"/>
        <v>0</v>
      </c>
      <c r="K26" s="63">
        <f t="shared" si="4"/>
        <v>0</v>
      </c>
      <c r="L26" s="155"/>
      <c r="M26" s="144">
        <f t="shared" si="3"/>
        <v>116978.42050000004</v>
      </c>
      <c r="N26" s="6"/>
    </row>
    <row r="27" spans="1:14">
      <c r="A27" s="43">
        <v>24</v>
      </c>
      <c r="B27" s="211">
        <v>46289</v>
      </c>
      <c r="C27" s="6"/>
      <c r="D27" s="6"/>
      <c r="E27" s="62"/>
      <c r="F27" s="296"/>
      <c r="G27" s="63">
        <f t="shared" si="0"/>
        <v>0</v>
      </c>
      <c r="H27" s="62">
        <v>10</v>
      </c>
      <c r="I27" s="6">
        <v>111.55</v>
      </c>
      <c r="J27" s="63">
        <f t="shared" si="1"/>
        <v>1115.5</v>
      </c>
      <c r="K27" s="63">
        <f t="shared" si="4"/>
        <v>1115.5</v>
      </c>
      <c r="L27" s="155"/>
      <c r="M27" s="144">
        <f t="shared" si="3"/>
        <v>118093.92050000004</v>
      </c>
      <c r="N27" s="6"/>
    </row>
    <row r="28" spans="1:14">
      <c r="A28" s="213">
        <v>25</v>
      </c>
      <c r="B28" s="211">
        <v>46290</v>
      </c>
      <c r="C28" s="6"/>
      <c r="D28" s="6"/>
      <c r="E28" s="62">
        <v>50.11</v>
      </c>
      <c r="F28" s="296">
        <v>99.44</v>
      </c>
      <c r="G28" s="63">
        <f t="shared" si="0"/>
        <v>4982.9384</v>
      </c>
      <c r="H28" s="62">
        <v>8.3699999999999992</v>
      </c>
      <c r="I28" s="6">
        <v>111.55</v>
      </c>
      <c r="J28" s="63">
        <f t="shared" si="1"/>
        <v>933.67349999999988</v>
      </c>
      <c r="K28" s="63">
        <f t="shared" si="4"/>
        <v>5916.6118999999999</v>
      </c>
      <c r="L28" s="155"/>
      <c r="M28" s="144">
        <f t="shared" si="3"/>
        <v>124010.53240000004</v>
      </c>
      <c r="N28" s="6"/>
    </row>
    <row r="29" spans="1:14">
      <c r="A29" s="213">
        <v>26</v>
      </c>
      <c r="B29" s="211">
        <v>46291</v>
      </c>
      <c r="C29" s="6"/>
      <c r="D29" s="6"/>
      <c r="E29" s="62"/>
      <c r="F29" s="296"/>
      <c r="G29" s="63">
        <f t="shared" si="0"/>
        <v>0</v>
      </c>
      <c r="H29" s="62"/>
      <c r="I29" s="6"/>
      <c r="J29" s="63">
        <f t="shared" si="1"/>
        <v>0</v>
      </c>
      <c r="K29" s="63">
        <f t="shared" si="4"/>
        <v>0</v>
      </c>
      <c r="L29" s="155"/>
      <c r="M29" s="144">
        <f t="shared" si="3"/>
        <v>124010.53240000004</v>
      </c>
      <c r="N29" s="6"/>
    </row>
    <row r="30" spans="1:14">
      <c r="A30" s="213">
        <v>27</v>
      </c>
      <c r="B30" s="211">
        <v>46292</v>
      </c>
      <c r="C30" s="6"/>
      <c r="D30" s="6"/>
      <c r="E30" s="62"/>
      <c r="F30" s="296"/>
      <c r="G30" s="63">
        <f t="shared" si="0"/>
        <v>0</v>
      </c>
      <c r="H30" s="62"/>
      <c r="I30" s="6"/>
      <c r="J30" s="63">
        <f t="shared" si="1"/>
        <v>0</v>
      </c>
      <c r="K30" s="63">
        <f t="shared" si="4"/>
        <v>0</v>
      </c>
      <c r="L30" s="155"/>
      <c r="M30" s="144">
        <f t="shared" si="3"/>
        <v>124010.53240000004</v>
      </c>
      <c r="N30" s="6"/>
    </row>
    <row r="31" spans="1:14">
      <c r="A31" s="213">
        <v>28</v>
      </c>
      <c r="B31" s="211">
        <v>46293</v>
      </c>
      <c r="C31" s="6"/>
      <c r="D31" s="6"/>
      <c r="E31" s="62">
        <v>40</v>
      </c>
      <c r="F31" s="296">
        <v>99.44</v>
      </c>
      <c r="G31" s="63">
        <f t="shared" si="0"/>
        <v>3977.6</v>
      </c>
      <c r="H31" s="62"/>
      <c r="I31" s="6"/>
      <c r="J31" s="63">
        <f t="shared" si="1"/>
        <v>0</v>
      </c>
      <c r="K31" s="63">
        <f t="shared" si="4"/>
        <v>3977.6</v>
      </c>
      <c r="L31" s="155"/>
      <c r="M31" s="144">
        <f t="shared" si="3"/>
        <v>127988.13240000005</v>
      </c>
      <c r="N31" s="6"/>
    </row>
    <row r="32" spans="1:14">
      <c r="A32" s="214">
        <v>29</v>
      </c>
      <c r="B32" s="211">
        <v>46294</v>
      </c>
      <c r="C32" s="6"/>
      <c r="D32" s="6"/>
      <c r="E32" s="296">
        <v>30</v>
      </c>
      <c r="F32" s="514">
        <v>99.44</v>
      </c>
      <c r="G32" s="63">
        <f t="shared" si="0"/>
        <v>2983.2</v>
      </c>
      <c r="H32" s="62"/>
      <c r="I32" s="6"/>
      <c r="J32" s="63">
        <f t="shared" si="1"/>
        <v>0</v>
      </c>
      <c r="K32" s="63">
        <f t="shared" si="4"/>
        <v>2983.2</v>
      </c>
      <c r="L32" s="155"/>
      <c r="M32" s="144">
        <f t="shared" si="3"/>
        <v>130971.33240000004</v>
      </c>
      <c r="N32" s="6"/>
    </row>
    <row r="33" spans="1:17">
      <c r="A33" s="214">
        <v>30</v>
      </c>
      <c r="B33" s="211">
        <v>46295</v>
      </c>
      <c r="C33" s="6"/>
      <c r="D33" s="6"/>
      <c r="E33" s="296">
        <v>30</v>
      </c>
      <c r="F33" s="514">
        <v>99.44</v>
      </c>
      <c r="G33" s="63">
        <f t="shared" si="0"/>
        <v>2983.2</v>
      </c>
      <c r="H33" s="62">
        <v>13.02</v>
      </c>
      <c r="I33" s="6">
        <v>111.55</v>
      </c>
      <c r="J33" s="63">
        <f t="shared" si="1"/>
        <v>1452.3809999999999</v>
      </c>
      <c r="K33" s="63">
        <f t="shared" si="4"/>
        <v>4435.5810000000001</v>
      </c>
      <c r="L33" s="155"/>
      <c r="M33" s="144">
        <f t="shared" si="3"/>
        <v>135406.91340000005</v>
      </c>
      <c r="N33" s="6"/>
    </row>
    <row r="34" spans="1:17">
      <c r="A34" s="214">
        <v>31</v>
      </c>
      <c r="B34" s="211"/>
      <c r="C34" s="6"/>
      <c r="D34" s="6"/>
      <c r="E34" s="62"/>
      <c r="F34" s="296"/>
      <c r="G34" s="63">
        <f t="shared" si="0"/>
        <v>0</v>
      </c>
      <c r="H34" s="62"/>
      <c r="I34" s="6"/>
      <c r="J34" s="63">
        <f t="shared" si="1"/>
        <v>0</v>
      </c>
      <c r="K34" s="63">
        <f t="shared" si="4"/>
        <v>0</v>
      </c>
      <c r="L34" s="155"/>
      <c r="M34" s="144">
        <f t="shared" ref="M34:M39" si="5">M33+K34-L34</f>
        <v>135406.91340000005</v>
      </c>
      <c r="N34" s="6"/>
    </row>
    <row r="35" spans="1:17">
      <c r="A35" s="6">
        <v>35</v>
      </c>
      <c r="B35" s="75"/>
      <c r="C35" s="6"/>
      <c r="D35" s="6"/>
      <c r="E35" s="62"/>
      <c r="F35" s="296"/>
      <c r="G35" s="63">
        <f t="shared" si="0"/>
        <v>0</v>
      </c>
      <c r="H35" s="62"/>
      <c r="I35" s="6"/>
      <c r="J35" s="63">
        <f t="shared" si="1"/>
        <v>0</v>
      </c>
      <c r="K35" s="63">
        <f t="shared" si="4"/>
        <v>0</v>
      </c>
      <c r="L35" s="155"/>
      <c r="M35" s="144">
        <f t="shared" si="5"/>
        <v>135406.91340000005</v>
      </c>
      <c r="N35" s="6"/>
    </row>
    <row r="36" spans="1:17">
      <c r="A36" s="6">
        <v>36</v>
      </c>
      <c r="B36" s="75"/>
      <c r="C36" s="6"/>
      <c r="D36" s="6"/>
      <c r="E36" s="62"/>
      <c r="F36" s="296"/>
      <c r="G36" s="63">
        <f t="shared" si="0"/>
        <v>0</v>
      </c>
      <c r="H36" s="62"/>
      <c r="I36" s="6"/>
      <c r="J36" s="63">
        <f t="shared" si="1"/>
        <v>0</v>
      </c>
      <c r="K36" s="63">
        <f t="shared" si="4"/>
        <v>0</v>
      </c>
      <c r="L36" s="155"/>
      <c r="M36" s="144">
        <f t="shared" si="5"/>
        <v>135406.91340000005</v>
      </c>
      <c r="N36" s="6"/>
    </row>
    <row r="37" spans="1:17">
      <c r="A37" s="6">
        <v>37</v>
      </c>
      <c r="B37" s="75"/>
      <c r="C37" s="6"/>
      <c r="D37" s="6"/>
      <c r="E37" s="62"/>
      <c r="F37" s="296"/>
      <c r="G37" s="63">
        <f t="shared" si="0"/>
        <v>0</v>
      </c>
      <c r="H37" s="62"/>
      <c r="I37" s="6"/>
      <c r="J37" s="63">
        <f t="shared" si="1"/>
        <v>0</v>
      </c>
      <c r="K37" s="63">
        <f t="shared" si="4"/>
        <v>0</v>
      </c>
      <c r="L37" s="155"/>
      <c r="M37" s="144">
        <f t="shared" si="5"/>
        <v>135406.91340000005</v>
      </c>
      <c r="N37" s="6"/>
    </row>
    <row r="38" spans="1:17">
      <c r="A38" s="6">
        <v>38</v>
      </c>
      <c r="B38" s="75"/>
      <c r="C38" s="6"/>
      <c r="D38" s="6"/>
      <c r="E38" s="62"/>
      <c r="F38" s="296"/>
      <c r="G38" s="63">
        <f t="shared" si="0"/>
        <v>0</v>
      </c>
      <c r="H38" s="62"/>
      <c r="I38" s="6"/>
      <c r="J38" s="63">
        <f t="shared" si="1"/>
        <v>0</v>
      </c>
      <c r="K38" s="63">
        <f t="shared" si="4"/>
        <v>0</v>
      </c>
      <c r="L38" s="155"/>
      <c r="M38" s="144">
        <f t="shared" si="5"/>
        <v>135406.91340000005</v>
      </c>
      <c r="N38" s="6"/>
    </row>
    <row r="39" spans="1:17">
      <c r="A39" s="162">
        <v>39</v>
      </c>
      <c r="B39" s="163"/>
      <c r="C39" s="162"/>
      <c r="D39" s="6"/>
      <c r="E39" s="62"/>
      <c r="F39" s="296"/>
      <c r="G39" s="63">
        <f t="shared" ref="G5:G40" si="6">E39*F39</f>
        <v>0</v>
      </c>
      <c r="H39" s="62"/>
      <c r="I39" s="6"/>
      <c r="J39" s="63">
        <f t="shared" si="1"/>
        <v>0</v>
      </c>
      <c r="K39" s="63">
        <f t="shared" si="4"/>
        <v>0</v>
      </c>
      <c r="L39" s="155"/>
      <c r="M39" s="144">
        <f>M38+K39-L39</f>
        <v>135406.91340000005</v>
      </c>
      <c r="N39" s="162"/>
    </row>
    <row r="40" spans="1:17">
      <c r="A40" s="6">
        <v>40</v>
      </c>
      <c r="B40" s="6"/>
      <c r="C40" s="6"/>
      <c r="D40" s="6"/>
      <c r="E40" s="62"/>
      <c r="F40" s="296"/>
      <c r="G40" s="63">
        <f t="shared" ref="G40:G42" si="7">E40*F40</f>
        <v>0</v>
      </c>
      <c r="H40" s="62"/>
      <c r="I40" s="6"/>
      <c r="J40" s="63">
        <f t="shared" si="1"/>
        <v>0</v>
      </c>
      <c r="K40" s="63">
        <f t="shared" si="4"/>
        <v>0</v>
      </c>
      <c r="L40" s="155"/>
      <c r="M40" s="144">
        <v>0</v>
      </c>
      <c r="N40" s="6"/>
    </row>
    <row r="41" spans="1:17">
      <c r="A41" s="162">
        <v>41</v>
      </c>
      <c r="B41" s="162"/>
      <c r="C41" s="162"/>
      <c r="D41" s="6"/>
      <c r="E41" s="62"/>
      <c r="F41" s="296"/>
      <c r="G41" s="63">
        <f t="shared" si="7"/>
        <v>0</v>
      </c>
      <c r="H41" s="62"/>
      <c r="I41" s="6"/>
      <c r="J41" s="63">
        <f t="shared" ref="J5:J41" si="8">H41*I41</f>
        <v>0</v>
      </c>
      <c r="K41" s="63">
        <f t="shared" ref="K5:K41" si="9">G41+J41</f>
        <v>0</v>
      </c>
      <c r="L41" s="155"/>
      <c r="M41" s="166">
        <v>0</v>
      </c>
      <c r="N41" s="162"/>
    </row>
    <row r="42" spans="1:17">
      <c r="A42" s="162">
        <v>42</v>
      </c>
      <c r="B42" s="162"/>
      <c r="C42" s="162"/>
      <c r="D42" s="6"/>
      <c r="E42" s="62"/>
      <c r="F42" s="296"/>
      <c r="G42" s="63">
        <f t="shared" si="7"/>
        <v>0</v>
      </c>
      <c r="H42" s="62"/>
      <c r="I42" s="6"/>
      <c r="J42" s="63">
        <f t="shared" ref="J42" si="10">H42*I42</f>
        <v>0</v>
      </c>
      <c r="K42" s="164">
        <f t="shared" ref="K42" si="11">G42+J42</f>
        <v>0</v>
      </c>
      <c r="L42" s="165"/>
      <c r="M42" s="166">
        <v>0</v>
      </c>
      <c r="N42" s="162"/>
    </row>
    <row r="43" spans="1:17">
      <c r="A43" s="59"/>
      <c r="B43" s="59"/>
      <c r="C43" s="59"/>
      <c r="D43" s="59"/>
      <c r="E43" s="60">
        <f>SUM(E4:E42)</f>
        <v>1116.98</v>
      </c>
      <c r="F43" s="60"/>
      <c r="G43" s="60">
        <f>SUM(G4:G42)</f>
        <v>111072.49119999999</v>
      </c>
      <c r="H43" s="60">
        <f>SUM(H4:H42)</f>
        <v>77.72999999999999</v>
      </c>
      <c r="I43" s="60"/>
      <c r="J43" s="60">
        <f>SUM(J4:J42)</f>
        <v>8670.781500000001</v>
      </c>
      <c r="K43" s="60">
        <f>SUM(K4:K42)</f>
        <v>119743.2727</v>
      </c>
      <c r="L43" s="60">
        <f>SUM(L4:L42)</f>
        <v>0</v>
      </c>
      <c r="M43" s="60"/>
      <c r="N43" s="60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O44"/>
  <sheetViews>
    <sheetView workbookViewId="0">
      <pane ySplit="3" topLeftCell="A14" activePane="bottomLeft" state="frozen"/>
      <selection pane="bottomLeft" activeCell="L29" sqref="L29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590" t="s">
        <v>165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79"/>
    </row>
    <row r="2" spans="1:15" ht="16.5" customHeight="1">
      <c r="A2" s="95" t="s">
        <v>0</v>
      </c>
      <c r="B2" s="96" t="s">
        <v>168</v>
      </c>
      <c r="C2" s="96" t="s">
        <v>169</v>
      </c>
      <c r="D2" s="96" t="s">
        <v>184</v>
      </c>
      <c r="E2" s="96" t="s">
        <v>171</v>
      </c>
      <c r="F2" s="96" t="s">
        <v>172</v>
      </c>
      <c r="G2" s="96" t="s">
        <v>173</v>
      </c>
      <c r="H2" s="96" t="s">
        <v>174</v>
      </c>
      <c r="I2" s="96" t="s">
        <v>172</v>
      </c>
      <c r="J2" s="134" t="s">
        <v>173</v>
      </c>
      <c r="K2" s="97" t="s">
        <v>175</v>
      </c>
      <c r="L2" s="135" t="s">
        <v>176</v>
      </c>
      <c r="M2" s="138" t="s">
        <v>185</v>
      </c>
      <c r="N2" s="98" t="s">
        <v>178</v>
      </c>
      <c r="O2" s="56"/>
    </row>
    <row r="3" spans="1:15" ht="16.5" customHeight="1">
      <c r="A3" s="591" t="s">
        <v>179</v>
      </c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3"/>
      <c r="M3" s="143">
        <v>0</v>
      </c>
      <c r="N3" s="149"/>
      <c r="O3" s="56"/>
    </row>
    <row r="4" spans="1:15">
      <c r="A4" s="188">
        <v>1</v>
      </c>
      <c r="B4" s="211">
        <v>46266</v>
      </c>
      <c r="C4" s="64"/>
      <c r="D4" s="152"/>
      <c r="E4" s="62"/>
      <c r="F4" s="62"/>
      <c r="G4" s="8">
        <f>E4*F4</f>
        <v>0</v>
      </c>
      <c r="H4" s="62"/>
      <c r="I4" s="63"/>
      <c r="J4" s="8">
        <f>H4*I4</f>
        <v>0</v>
      </c>
      <c r="K4" s="8">
        <f>G4+J4</f>
        <v>0</v>
      </c>
      <c r="L4" s="65">
        <f>+K4</f>
        <v>0</v>
      </c>
      <c r="M4" s="65">
        <v>0</v>
      </c>
      <c r="N4" s="8"/>
    </row>
    <row r="5" spans="1:15">
      <c r="A5" s="43">
        <v>2</v>
      </c>
      <c r="B5" s="211">
        <v>46267</v>
      </c>
      <c r="C5" s="64"/>
      <c r="D5" s="152"/>
      <c r="E5" s="62"/>
      <c r="F5" s="62"/>
      <c r="G5" s="8">
        <f t="shared" ref="G5:G34" si="0">E5*F5</f>
        <v>0</v>
      </c>
      <c r="H5" s="62"/>
      <c r="I5" s="63"/>
      <c r="J5" s="8">
        <f t="shared" ref="J5:J8" si="1">H5*I5</f>
        <v>0</v>
      </c>
      <c r="K5" s="8">
        <f t="shared" ref="K5:K33" si="2">G5+J5</f>
        <v>0</v>
      </c>
      <c r="L5" s="65">
        <f t="shared" ref="L5:L33" si="3">+K5</f>
        <v>0</v>
      </c>
      <c r="M5" s="65">
        <v>0</v>
      </c>
      <c r="N5" s="8"/>
    </row>
    <row r="6" spans="1:15">
      <c r="A6" s="43">
        <v>3</v>
      </c>
      <c r="B6" s="211">
        <v>46268</v>
      </c>
      <c r="C6" s="64"/>
      <c r="D6" s="152"/>
      <c r="E6" s="62"/>
      <c r="F6" s="62"/>
      <c r="G6" s="8">
        <f t="shared" si="0"/>
        <v>0</v>
      </c>
      <c r="H6" s="62"/>
      <c r="I6" s="63"/>
      <c r="J6" s="8">
        <f t="shared" si="1"/>
        <v>0</v>
      </c>
      <c r="K6" s="8">
        <f t="shared" si="2"/>
        <v>0</v>
      </c>
      <c r="L6" s="65">
        <f t="shared" si="3"/>
        <v>0</v>
      </c>
      <c r="M6" s="65">
        <v>0</v>
      </c>
      <c r="N6" s="8"/>
    </row>
    <row r="7" spans="1:15">
      <c r="A7" s="43">
        <v>4</v>
      </c>
      <c r="B7" s="211">
        <v>46269</v>
      </c>
      <c r="C7" s="64"/>
      <c r="D7" s="152"/>
      <c r="E7" s="62"/>
      <c r="F7" s="62"/>
      <c r="G7" s="8">
        <f t="shared" si="0"/>
        <v>0</v>
      </c>
      <c r="H7" s="62">
        <v>9.0500000000000007</v>
      </c>
      <c r="I7" s="63">
        <v>110.44</v>
      </c>
      <c r="J7" s="8">
        <f t="shared" ref="J7" si="4">H7*I7</f>
        <v>999.48200000000008</v>
      </c>
      <c r="K7" s="8">
        <f t="shared" si="2"/>
        <v>999.48200000000008</v>
      </c>
      <c r="L7" s="65">
        <f t="shared" si="3"/>
        <v>999.48200000000008</v>
      </c>
      <c r="M7" s="65">
        <v>0</v>
      </c>
      <c r="N7" s="8"/>
    </row>
    <row r="8" spans="1:15">
      <c r="A8" s="43">
        <v>5</v>
      </c>
      <c r="B8" s="211">
        <v>46270</v>
      </c>
      <c r="C8" s="64"/>
      <c r="D8" s="152"/>
      <c r="E8" s="62"/>
      <c r="F8" s="62"/>
      <c r="G8" s="8">
        <f t="shared" ref="G8:G33" si="5">E8*F8</f>
        <v>0</v>
      </c>
      <c r="H8" s="62"/>
      <c r="I8" s="63"/>
      <c r="J8" s="8">
        <f t="shared" ref="J8:J33" si="6">H8*I8</f>
        <v>0</v>
      </c>
      <c r="K8" s="8">
        <f t="shared" ref="K8:K33" si="7">G8+J8</f>
        <v>0</v>
      </c>
      <c r="L8" s="65">
        <f t="shared" si="3"/>
        <v>0</v>
      </c>
      <c r="M8" s="65">
        <v>0</v>
      </c>
      <c r="N8" s="8"/>
      <c r="O8" s="66"/>
    </row>
    <row r="9" spans="1:15">
      <c r="A9" s="43">
        <v>6</v>
      </c>
      <c r="B9" s="211">
        <v>46271</v>
      </c>
      <c r="C9" s="64"/>
      <c r="D9" s="152"/>
      <c r="E9" s="62"/>
      <c r="F9" s="62"/>
      <c r="G9" s="8">
        <f t="shared" si="5"/>
        <v>0</v>
      </c>
      <c r="H9" s="62"/>
      <c r="I9" s="63"/>
      <c r="J9" s="8">
        <f t="shared" si="6"/>
        <v>0</v>
      </c>
      <c r="K9" s="8">
        <f t="shared" si="7"/>
        <v>0</v>
      </c>
      <c r="L9" s="65">
        <f t="shared" si="3"/>
        <v>0</v>
      </c>
      <c r="M9" s="65">
        <v>0</v>
      </c>
      <c r="N9" s="8"/>
      <c r="O9" s="66"/>
    </row>
    <row r="10" spans="1:15">
      <c r="A10" s="43">
        <v>7</v>
      </c>
      <c r="B10" s="211">
        <v>46272</v>
      </c>
      <c r="C10" s="64"/>
      <c r="D10" s="152"/>
      <c r="E10" s="62"/>
      <c r="F10" s="62"/>
      <c r="G10" s="459">
        <f t="shared" si="5"/>
        <v>0</v>
      </c>
      <c r="H10" s="63"/>
      <c r="I10" s="8"/>
      <c r="J10" s="8">
        <f t="shared" si="6"/>
        <v>0</v>
      </c>
      <c r="K10" s="459">
        <f t="shared" si="7"/>
        <v>0</v>
      </c>
      <c r="L10" s="460">
        <f t="shared" si="3"/>
        <v>0</v>
      </c>
      <c r="M10" s="65">
        <v>0</v>
      </c>
      <c r="N10" s="8"/>
      <c r="O10" s="66"/>
    </row>
    <row r="11" spans="1:15">
      <c r="A11" s="43">
        <v>8</v>
      </c>
      <c r="B11" s="211">
        <v>46273</v>
      </c>
      <c r="C11" s="64"/>
      <c r="D11" s="152"/>
      <c r="E11" s="62"/>
      <c r="F11" s="62"/>
      <c r="G11" s="8">
        <f t="shared" si="5"/>
        <v>0</v>
      </c>
      <c r="H11" s="62">
        <v>3.4</v>
      </c>
      <c r="I11" s="63">
        <v>117.66</v>
      </c>
      <c r="J11" s="8">
        <f t="shared" si="6"/>
        <v>400.04399999999998</v>
      </c>
      <c r="K11" s="8">
        <f t="shared" si="7"/>
        <v>400.04399999999998</v>
      </c>
      <c r="L11" s="65">
        <f t="shared" si="3"/>
        <v>400.04399999999998</v>
      </c>
      <c r="M11" s="65">
        <v>0</v>
      </c>
      <c r="N11" s="8"/>
      <c r="O11" s="66"/>
    </row>
    <row r="12" spans="1:15">
      <c r="A12" s="43">
        <v>9</v>
      </c>
      <c r="B12" s="211">
        <v>46274</v>
      </c>
      <c r="C12" s="64"/>
      <c r="D12" s="152"/>
      <c r="E12" s="62"/>
      <c r="F12" s="62"/>
      <c r="G12" s="8">
        <f>E12*F12</f>
        <v>0</v>
      </c>
      <c r="H12" s="62"/>
      <c r="I12" s="63"/>
      <c r="J12" s="8">
        <f t="shared" si="6"/>
        <v>0</v>
      </c>
      <c r="K12" s="8">
        <f t="shared" si="7"/>
        <v>0</v>
      </c>
      <c r="L12" s="65">
        <f t="shared" si="3"/>
        <v>0</v>
      </c>
      <c r="M12" s="65">
        <v>0</v>
      </c>
      <c r="N12" s="8"/>
      <c r="O12" s="66"/>
    </row>
    <row r="13" spans="1:15">
      <c r="A13" s="43">
        <v>10</v>
      </c>
      <c r="B13" s="211">
        <v>46275</v>
      </c>
      <c r="C13" s="64"/>
      <c r="D13" s="152"/>
      <c r="E13" s="62"/>
      <c r="F13" s="62"/>
      <c r="G13" s="8">
        <f>E13*F13</f>
        <v>0</v>
      </c>
      <c r="H13" s="62"/>
      <c r="I13" s="63"/>
      <c r="J13" s="8">
        <f t="shared" si="6"/>
        <v>0</v>
      </c>
      <c r="K13" s="8">
        <f t="shared" si="7"/>
        <v>0</v>
      </c>
      <c r="L13" s="65">
        <f t="shared" si="3"/>
        <v>0</v>
      </c>
      <c r="M13" s="65">
        <v>0</v>
      </c>
      <c r="N13" s="8"/>
      <c r="O13" s="66"/>
    </row>
    <row r="14" spans="1:15">
      <c r="A14" s="43">
        <v>11</v>
      </c>
      <c r="B14" s="211">
        <v>46276</v>
      </c>
      <c r="C14" s="64"/>
      <c r="D14" s="152"/>
      <c r="E14" s="62"/>
      <c r="F14" s="62"/>
      <c r="G14" s="8">
        <f t="shared" si="5"/>
        <v>0</v>
      </c>
      <c r="H14" s="62"/>
      <c r="I14" s="63"/>
      <c r="J14" s="8">
        <f t="shared" si="6"/>
        <v>0</v>
      </c>
      <c r="K14" s="8">
        <f t="shared" si="7"/>
        <v>0</v>
      </c>
      <c r="L14" s="65">
        <f t="shared" si="3"/>
        <v>0</v>
      </c>
      <c r="M14" s="65">
        <v>0</v>
      </c>
      <c r="N14" s="8"/>
      <c r="O14" s="66"/>
    </row>
    <row r="15" spans="1:15">
      <c r="A15" s="43">
        <v>12</v>
      </c>
      <c r="B15" s="211">
        <v>46277</v>
      </c>
      <c r="C15" s="64"/>
      <c r="D15" s="152"/>
      <c r="E15" s="62"/>
      <c r="F15" s="62"/>
      <c r="G15" s="8">
        <f t="shared" si="5"/>
        <v>0</v>
      </c>
      <c r="H15" s="62"/>
      <c r="I15" s="63"/>
      <c r="J15" s="8">
        <f t="shared" si="6"/>
        <v>0</v>
      </c>
      <c r="K15" s="8">
        <f t="shared" si="7"/>
        <v>0</v>
      </c>
      <c r="L15" s="65">
        <f t="shared" si="3"/>
        <v>0</v>
      </c>
      <c r="M15" s="65">
        <v>0</v>
      </c>
      <c r="N15" s="8"/>
      <c r="O15" s="66"/>
    </row>
    <row r="16" spans="1:15">
      <c r="A16" s="43">
        <v>13</v>
      </c>
      <c r="B16" s="211">
        <v>46278</v>
      </c>
      <c r="C16" s="64"/>
      <c r="D16" s="152"/>
      <c r="E16" s="62"/>
      <c r="F16" s="62"/>
      <c r="G16" s="8">
        <f t="shared" si="5"/>
        <v>0</v>
      </c>
      <c r="H16" s="62"/>
      <c r="I16" s="63"/>
      <c r="J16" s="8">
        <f t="shared" si="6"/>
        <v>0</v>
      </c>
      <c r="K16" s="8">
        <f t="shared" si="7"/>
        <v>0</v>
      </c>
      <c r="L16" s="65">
        <f t="shared" si="3"/>
        <v>0</v>
      </c>
      <c r="M16" s="65">
        <v>0</v>
      </c>
      <c r="N16" s="8"/>
      <c r="O16" s="66"/>
    </row>
    <row r="17" spans="1:15">
      <c r="A17" s="43">
        <v>14</v>
      </c>
      <c r="B17" s="211">
        <v>46279</v>
      </c>
      <c r="C17" s="64"/>
      <c r="D17" s="152"/>
      <c r="E17" s="62"/>
      <c r="F17" s="62"/>
      <c r="G17" s="8"/>
      <c r="H17" s="62"/>
      <c r="I17" s="63"/>
      <c r="J17" s="8">
        <f t="shared" si="6"/>
        <v>0</v>
      </c>
      <c r="K17" s="8">
        <f t="shared" si="7"/>
        <v>0</v>
      </c>
      <c r="L17" s="65">
        <f t="shared" si="3"/>
        <v>0</v>
      </c>
      <c r="M17" s="65">
        <v>0</v>
      </c>
      <c r="N17" s="8"/>
      <c r="O17" s="66"/>
    </row>
    <row r="18" spans="1:15">
      <c r="A18" s="43">
        <v>15</v>
      </c>
      <c r="B18" s="211">
        <v>46280</v>
      </c>
      <c r="C18" s="64"/>
      <c r="D18" s="152"/>
      <c r="E18" s="62"/>
      <c r="F18" s="62"/>
      <c r="G18" s="8">
        <f t="shared" si="5"/>
        <v>0</v>
      </c>
      <c r="H18" s="62">
        <v>9.0500000000000007</v>
      </c>
      <c r="I18" s="63">
        <v>110.44</v>
      </c>
      <c r="J18" s="8">
        <f t="shared" si="6"/>
        <v>999.48200000000008</v>
      </c>
      <c r="K18" s="8">
        <f t="shared" si="7"/>
        <v>999.48200000000008</v>
      </c>
      <c r="L18" s="65">
        <f t="shared" si="3"/>
        <v>999.48200000000008</v>
      </c>
      <c r="M18" s="65"/>
      <c r="N18" s="8"/>
      <c r="O18" s="66"/>
    </row>
    <row r="19" spans="1:15">
      <c r="A19" s="43">
        <v>16</v>
      </c>
      <c r="B19" s="211">
        <v>46281</v>
      </c>
      <c r="C19" s="64"/>
      <c r="D19" s="152"/>
      <c r="E19" s="62"/>
      <c r="F19" s="62"/>
      <c r="G19" s="8">
        <f t="shared" si="5"/>
        <v>0</v>
      </c>
      <c r="H19" s="62"/>
      <c r="I19" s="63"/>
      <c r="J19" s="8">
        <f t="shared" si="6"/>
        <v>0</v>
      </c>
      <c r="K19" s="8">
        <f t="shared" si="7"/>
        <v>0</v>
      </c>
      <c r="L19" s="65">
        <f>+K19</f>
        <v>0</v>
      </c>
      <c r="M19" s="65">
        <v>0</v>
      </c>
      <c r="N19" s="8"/>
      <c r="O19" s="66"/>
    </row>
    <row r="20" spans="1:15">
      <c r="A20" s="43">
        <v>17</v>
      </c>
      <c r="B20" s="211">
        <v>46282</v>
      </c>
      <c r="C20" s="64"/>
      <c r="D20" s="152"/>
      <c r="E20" s="62"/>
      <c r="F20" s="62"/>
      <c r="G20" s="8">
        <f t="shared" si="5"/>
        <v>0</v>
      </c>
      <c r="H20" s="62">
        <v>3.39</v>
      </c>
      <c r="I20" s="63">
        <v>117.66</v>
      </c>
      <c r="J20" s="8">
        <f t="shared" si="6"/>
        <v>398.86739999999998</v>
      </c>
      <c r="K20" s="8">
        <f t="shared" si="7"/>
        <v>398.86739999999998</v>
      </c>
      <c r="L20" s="65">
        <f t="shared" si="3"/>
        <v>398.86739999999998</v>
      </c>
      <c r="M20" s="65">
        <v>0</v>
      </c>
      <c r="N20" s="8" t="s">
        <v>211</v>
      </c>
      <c r="O20" s="66"/>
    </row>
    <row r="21" spans="1:15">
      <c r="A21" s="43">
        <v>18</v>
      </c>
      <c r="B21" s="211">
        <v>46283</v>
      </c>
      <c r="C21" s="64"/>
      <c r="D21" s="152"/>
      <c r="E21" s="62"/>
      <c r="F21" s="62"/>
      <c r="G21" s="8">
        <f t="shared" si="5"/>
        <v>0</v>
      </c>
      <c r="H21" s="62"/>
      <c r="I21" s="63"/>
      <c r="J21" s="8">
        <f t="shared" si="6"/>
        <v>0</v>
      </c>
      <c r="K21" s="8">
        <f t="shared" si="7"/>
        <v>0</v>
      </c>
      <c r="L21" s="65">
        <f t="shared" si="3"/>
        <v>0</v>
      </c>
      <c r="M21" s="65">
        <v>0</v>
      </c>
      <c r="N21" s="8"/>
      <c r="O21" s="66"/>
    </row>
    <row r="22" spans="1:15">
      <c r="A22" s="43">
        <v>19</v>
      </c>
      <c r="B22" s="211">
        <v>46284</v>
      </c>
      <c r="C22" s="64"/>
      <c r="D22" s="152"/>
      <c r="E22" s="62"/>
      <c r="F22" s="62"/>
      <c r="G22" s="8">
        <f t="shared" si="5"/>
        <v>0</v>
      </c>
      <c r="H22" s="62"/>
      <c r="I22" s="63"/>
      <c r="J22" s="8">
        <f t="shared" si="6"/>
        <v>0</v>
      </c>
      <c r="K22" s="8">
        <f t="shared" si="7"/>
        <v>0</v>
      </c>
      <c r="L22" s="65">
        <f t="shared" si="3"/>
        <v>0</v>
      </c>
      <c r="M22" s="65">
        <v>0</v>
      </c>
      <c r="N22" s="8"/>
      <c r="O22" s="66"/>
    </row>
    <row r="23" spans="1:15">
      <c r="A23" s="43">
        <v>20</v>
      </c>
      <c r="B23" s="211">
        <v>46285</v>
      </c>
      <c r="C23" s="64"/>
      <c r="D23" s="152"/>
      <c r="E23" s="62"/>
      <c r="F23" s="62"/>
      <c r="G23" s="8">
        <f t="shared" si="5"/>
        <v>0</v>
      </c>
      <c r="H23" s="62"/>
      <c r="I23" s="63"/>
      <c r="J23" s="8">
        <f t="shared" si="6"/>
        <v>0</v>
      </c>
      <c r="K23" s="8">
        <f t="shared" si="7"/>
        <v>0</v>
      </c>
      <c r="L23" s="65">
        <f t="shared" si="3"/>
        <v>0</v>
      </c>
      <c r="M23" s="65">
        <v>0</v>
      </c>
      <c r="N23" s="8"/>
      <c r="O23" s="66"/>
    </row>
    <row r="24" spans="1:15">
      <c r="A24" s="43">
        <v>21</v>
      </c>
      <c r="B24" s="211">
        <v>46286</v>
      </c>
      <c r="C24" s="64"/>
      <c r="D24" s="152"/>
      <c r="E24" s="62"/>
      <c r="F24" s="62"/>
      <c r="G24" s="8">
        <f t="shared" si="5"/>
        <v>0</v>
      </c>
      <c r="H24" s="62"/>
      <c r="I24" s="63"/>
      <c r="J24" s="8">
        <f t="shared" si="6"/>
        <v>0</v>
      </c>
      <c r="K24" s="8">
        <f t="shared" si="7"/>
        <v>0</v>
      </c>
      <c r="L24" s="65">
        <f t="shared" si="3"/>
        <v>0</v>
      </c>
      <c r="M24" s="65">
        <v>0</v>
      </c>
      <c r="N24" s="8"/>
      <c r="O24" s="66"/>
    </row>
    <row r="25" spans="1:15">
      <c r="A25" s="43">
        <v>22</v>
      </c>
      <c r="B25" s="211">
        <v>46287</v>
      </c>
      <c r="C25" s="64"/>
      <c r="D25" s="152"/>
      <c r="E25" s="62"/>
      <c r="F25" s="62"/>
      <c r="G25" s="8">
        <f t="shared" si="5"/>
        <v>0</v>
      </c>
      <c r="H25" s="62">
        <v>3.4</v>
      </c>
      <c r="I25" s="63">
        <v>117.66</v>
      </c>
      <c r="J25" s="8">
        <f t="shared" si="6"/>
        <v>400.04399999999998</v>
      </c>
      <c r="K25" s="8">
        <f t="shared" si="7"/>
        <v>400.04399999999998</v>
      </c>
      <c r="L25" s="65">
        <f t="shared" si="3"/>
        <v>400.04399999999998</v>
      </c>
      <c r="M25" s="65">
        <v>0</v>
      </c>
      <c r="N25" s="8"/>
      <c r="O25" s="66"/>
    </row>
    <row r="26" spans="1:15">
      <c r="A26" s="43">
        <v>23</v>
      </c>
      <c r="B26" s="211">
        <v>46288</v>
      </c>
      <c r="C26" s="64"/>
      <c r="D26" s="152"/>
      <c r="E26" s="62"/>
      <c r="F26" s="62"/>
      <c r="G26" s="8">
        <f t="shared" si="5"/>
        <v>0</v>
      </c>
      <c r="H26" s="62"/>
      <c r="I26" s="63"/>
      <c r="J26" s="8">
        <f t="shared" si="6"/>
        <v>0</v>
      </c>
      <c r="K26" s="8">
        <f t="shared" si="7"/>
        <v>0</v>
      </c>
      <c r="L26" s="65">
        <f t="shared" si="3"/>
        <v>0</v>
      </c>
      <c r="M26" s="65">
        <v>0</v>
      </c>
      <c r="N26" s="8"/>
      <c r="O26" s="66"/>
    </row>
    <row r="27" spans="1:15">
      <c r="A27" s="43">
        <v>24</v>
      </c>
      <c r="B27" s="211">
        <v>46289</v>
      </c>
      <c r="C27" s="64"/>
      <c r="D27" s="152"/>
      <c r="E27" s="62"/>
      <c r="F27" s="62"/>
      <c r="G27" s="8">
        <f t="shared" si="5"/>
        <v>0</v>
      </c>
      <c r="H27" s="62"/>
      <c r="I27" s="63"/>
      <c r="J27" s="8">
        <f t="shared" si="6"/>
        <v>0</v>
      </c>
      <c r="K27" s="8">
        <f t="shared" si="7"/>
        <v>0</v>
      </c>
      <c r="L27" s="65">
        <f t="shared" si="3"/>
        <v>0</v>
      </c>
      <c r="M27" s="65">
        <v>0</v>
      </c>
      <c r="N27" s="8"/>
      <c r="O27" s="66"/>
    </row>
    <row r="28" spans="1:15">
      <c r="A28" s="213">
        <v>25</v>
      </c>
      <c r="B28" s="211">
        <v>46290</v>
      </c>
      <c r="C28" s="64"/>
      <c r="D28" s="152"/>
      <c r="E28" s="62"/>
      <c r="F28" s="62"/>
      <c r="G28" s="8">
        <f t="shared" si="5"/>
        <v>0</v>
      </c>
      <c r="H28" s="62"/>
      <c r="I28" s="63"/>
      <c r="J28" s="8">
        <f t="shared" si="6"/>
        <v>0</v>
      </c>
      <c r="K28" s="8">
        <f t="shared" si="7"/>
        <v>0</v>
      </c>
      <c r="L28" s="65">
        <f t="shared" si="3"/>
        <v>0</v>
      </c>
      <c r="M28" s="65">
        <v>0</v>
      </c>
      <c r="N28" s="8"/>
      <c r="O28" s="66"/>
    </row>
    <row r="29" spans="1:15">
      <c r="A29" s="213">
        <v>26</v>
      </c>
      <c r="B29" s="211">
        <v>46291</v>
      </c>
      <c r="C29" s="64"/>
      <c r="D29" s="152"/>
      <c r="E29" s="62"/>
      <c r="F29" s="62"/>
      <c r="G29" s="8">
        <f t="shared" si="5"/>
        <v>0</v>
      </c>
      <c r="H29" s="62">
        <v>9.0500000000000007</v>
      </c>
      <c r="I29" s="63">
        <v>110.44</v>
      </c>
      <c r="J29" s="8">
        <f t="shared" si="6"/>
        <v>999.48200000000008</v>
      </c>
      <c r="K29" s="8">
        <f t="shared" si="7"/>
        <v>999.48200000000008</v>
      </c>
      <c r="L29" s="65">
        <f t="shared" si="3"/>
        <v>999.48200000000008</v>
      </c>
      <c r="M29" s="65">
        <v>0</v>
      </c>
      <c r="N29" s="8"/>
      <c r="O29" s="66"/>
    </row>
    <row r="30" spans="1:15">
      <c r="A30" s="213">
        <v>27</v>
      </c>
      <c r="B30" s="211">
        <v>46292</v>
      </c>
      <c r="C30" s="64"/>
      <c r="D30" s="152"/>
      <c r="E30" s="62"/>
      <c r="F30" s="62"/>
      <c r="G30" s="8">
        <f t="shared" si="5"/>
        <v>0</v>
      </c>
      <c r="H30" s="62"/>
      <c r="I30" s="63"/>
      <c r="J30" s="8">
        <f t="shared" si="6"/>
        <v>0</v>
      </c>
      <c r="K30" s="8">
        <f t="shared" si="7"/>
        <v>0</v>
      </c>
      <c r="L30" s="65">
        <f t="shared" si="3"/>
        <v>0</v>
      </c>
      <c r="M30" s="65">
        <v>0</v>
      </c>
      <c r="N30" s="8"/>
      <c r="O30" s="66"/>
    </row>
    <row r="31" spans="1:15">
      <c r="A31" s="213">
        <v>28</v>
      </c>
      <c r="B31" s="211">
        <v>46293</v>
      </c>
      <c r="C31" s="64"/>
      <c r="D31" s="152"/>
      <c r="E31" s="62"/>
      <c r="F31" s="62"/>
      <c r="G31" s="8">
        <f t="shared" si="5"/>
        <v>0</v>
      </c>
      <c r="H31" s="62"/>
      <c r="I31" s="63"/>
      <c r="J31" s="8">
        <f t="shared" si="6"/>
        <v>0</v>
      </c>
      <c r="K31" s="8">
        <f t="shared" si="7"/>
        <v>0</v>
      </c>
      <c r="L31" s="65">
        <f t="shared" si="3"/>
        <v>0</v>
      </c>
      <c r="M31" s="65">
        <v>0</v>
      </c>
      <c r="N31" s="8"/>
      <c r="O31" s="66"/>
    </row>
    <row r="32" spans="1:15">
      <c r="A32" s="214">
        <v>29</v>
      </c>
      <c r="B32" s="211">
        <v>46294</v>
      </c>
      <c r="C32" s="64"/>
      <c r="D32" s="152"/>
      <c r="E32" s="62"/>
      <c r="F32" s="62"/>
      <c r="G32" s="8">
        <f t="shared" si="5"/>
        <v>0</v>
      </c>
      <c r="H32" s="62"/>
      <c r="I32" s="63"/>
      <c r="J32" s="8">
        <f t="shared" si="6"/>
        <v>0</v>
      </c>
      <c r="K32" s="8">
        <f t="shared" si="7"/>
        <v>0</v>
      </c>
      <c r="L32" s="65">
        <f t="shared" si="3"/>
        <v>0</v>
      </c>
      <c r="M32" s="65">
        <v>0</v>
      </c>
      <c r="N32" s="8"/>
      <c r="O32" s="66"/>
    </row>
    <row r="33" spans="1:15">
      <c r="A33" s="214">
        <v>30</v>
      </c>
      <c r="B33" s="211">
        <v>46295</v>
      </c>
      <c r="C33" s="64"/>
      <c r="D33" s="152"/>
      <c r="E33" s="62"/>
      <c r="F33" s="62"/>
      <c r="G33" s="8">
        <f t="shared" si="5"/>
        <v>0</v>
      </c>
      <c r="H33" s="62"/>
      <c r="I33" s="63"/>
      <c r="J33" s="8">
        <f t="shared" si="6"/>
        <v>0</v>
      </c>
      <c r="K33" s="8">
        <f t="shared" si="7"/>
        <v>0</v>
      </c>
      <c r="L33" s="65">
        <f t="shared" si="3"/>
        <v>0</v>
      </c>
      <c r="M33" s="65">
        <v>0</v>
      </c>
      <c r="N33" s="8"/>
      <c r="O33" s="66"/>
    </row>
    <row r="34" spans="1:15">
      <c r="A34" s="214">
        <v>31</v>
      </c>
      <c r="B34" s="211"/>
      <c r="C34" s="64"/>
      <c r="D34" s="152"/>
      <c r="E34" s="62"/>
      <c r="F34" s="62"/>
      <c r="G34" s="8">
        <f t="shared" si="0"/>
        <v>0</v>
      </c>
      <c r="H34" s="62"/>
      <c r="I34" s="63"/>
      <c r="J34" s="8">
        <f t="shared" ref="J9:J34" si="8">H34*I34</f>
        <v>0</v>
      </c>
      <c r="K34" s="8">
        <f t="shared" ref="K34" si="9">G34+J34</f>
        <v>0</v>
      </c>
      <c r="L34" s="65">
        <f t="shared" ref="L34" si="10">+K34</f>
        <v>0</v>
      </c>
      <c r="M34" s="65">
        <v>0</v>
      </c>
      <c r="N34" s="8"/>
      <c r="O34" s="66"/>
    </row>
    <row r="35" spans="1:15">
      <c r="A35" s="59"/>
      <c r="B35" s="59"/>
      <c r="C35" s="59"/>
      <c r="D35" s="59"/>
      <c r="E35" s="60">
        <f>SUM(E4:E34)</f>
        <v>0</v>
      </c>
      <c r="F35" s="60"/>
      <c r="G35" s="60">
        <f>SUM(G4:G34)</f>
        <v>0</v>
      </c>
      <c r="H35" s="60">
        <f>SUM(H4:H34)</f>
        <v>37.340000000000003</v>
      </c>
      <c r="I35" s="60"/>
      <c r="J35" s="60">
        <f>SUM(J4:J34)</f>
        <v>4197.4014000000006</v>
      </c>
      <c r="K35" s="60">
        <f>SUM(K4:K34)</f>
        <v>4197.4014000000006</v>
      </c>
      <c r="L35" s="60">
        <f>SUM(L4:L34)</f>
        <v>4197.4014000000006</v>
      </c>
      <c r="M35" s="60"/>
      <c r="N35" s="60"/>
      <c r="O35" s="56"/>
    </row>
    <row r="36" spans="1:15">
      <c r="A36" s="69"/>
      <c r="B36" s="70"/>
      <c r="C36" s="69"/>
      <c r="D36" s="69"/>
      <c r="E36" s="71"/>
      <c r="F36" s="71"/>
      <c r="G36" s="71"/>
      <c r="H36" s="71"/>
      <c r="I36" s="71"/>
      <c r="J36" s="72"/>
      <c r="K36" s="72"/>
      <c r="L36" s="72"/>
      <c r="M36" s="72"/>
      <c r="N36" s="71"/>
      <c r="O36" s="66"/>
    </row>
    <row r="37" spans="1:15">
      <c r="O37" s="66"/>
    </row>
    <row r="38" spans="1:15">
      <c r="O38" s="66"/>
    </row>
    <row r="39" spans="1:15">
      <c r="O39" s="66"/>
    </row>
    <row r="40" spans="1:15">
      <c r="O40" s="66"/>
    </row>
    <row r="41" spans="1:15">
      <c r="O41" s="66"/>
    </row>
    <row r="42" spans="1:15">
      <c r="A42" s="66"/>
      <c r="B42" s="56"/>
      <c r="C42" s="66"/>
      <c r="D42" s="66"/>
      <c r="E42" s="66"/>
      <c r="F42" s="66"/>
      <c r="G42" s="73"/>
      <c r="H42" s="66"/>
      <c r="I42" s="66"/>
      <c r="J42" s="56"/>
      <c r="K42" s="56"/>
      <c r="L42" s="56"/>
      <c r="M42" s="56"/>
      <c r="N42" s="66"/>
      <c r="O42" s="71"/>
    </row>
    <row r="43" spans="1:15">
      <c r="A43" s="66"/>
      <c r="B43" s="599"/>
      <c r="C43" s="599"/>
      <c r="D43" s="599"/>
      <c r="E43" s="599"/>
      <c r="F43" s="66"/>
      <c r="G43" s="66"/>
      <c r="H43" s="66"/>
      <c r="I43" s="599"/>
      <c r="J43" s="599"/>
      <c r="K43" s="599"/>
      <c r="L43" s="599"/>
      <c r="M43" s="599"/>
      <c r="N43" s="599"/>
      <c r="O43" s="71"/>
    </row>
    <row r="44" spans="1:15">
      <c r="A44" s="66"/>
      <c r="B44" s="56"/>
      <c r="C44" s="66"/>
      <c r="D44" s="66"/>
      <c r="E44" s="66"/>
      <c r="F44" s="66"/>
      <c r="G44" s="66"/>
      <c r="H44" s="66"/>
      <c r="I44" s="66"/>
      <c r="J44" s="56"/>
      <c r="K44" s="56"/>
      <c r="L44" s="56"/>
      <c r="M44" s="56"/>
      <c r="N44" s="66"/>
      <c r="O44" s="71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dimension ref="A1:U106"/>
  <sheetViews>
    <sheetView workbookViewId="0">
      <pane ySplit="3" topLeftCell="A59" activePane="bottomLeft" state="frozen"/>
      <selection pane="bottomLeft" activeCell="C103" sqref="C103"/>
    </sheetView>
  </sheetViews>
  <sheetFormatPr defaultRowHeight="15"/>
  <cols>
    <col min="1" max="1" width="15" customWidth="1"/>
    <col min="2" max="2" width="18.7109375" customWidth="1"/>
    <col min="3" max="3" width="63.5703125" bestFit="1" customWidth="1"/>
    <col min="4" max="4" width="15.5703125" customWidth="1"/>
    <col min="5" max="5" width="12.28515625" style="178" customWidth="1"/>
    <col min="6" max="6" width="12.85546875" style="178" customWidth="1"/>
    <col min="7" max="7" width="12.5703125" style="178" bestFit="1" customWidth="1"/>
    <col min="8" max="8" width="12.5703125" style="178" customWidth="1"/>
    <col min="9" max="10" width="9.140625" style="178"/>
    <col min="11" max="11" width="18.7109375" style="178" customWidth="1"/>
    <col min="12" max="12" width="24.140625" style="178" customWidth="1"/>
    <col min="13" max="13" width="16.5703125" style="178" customWidth="1"/>
    <col min="14" max="14" width="19.85546875" style="178" customWidth="1"/>
    <col min="15" max="15" width="13.42578125" style="178" customWidth="1"/>
    <col min="16" max="16" width="11.42578125" style="178" bestFit="1" customWidth="1"/>
    <col min="17" max="21" width="9.140625" style="178"/>
  </cols>
  <sheetData>
    <row r="1" spans="1:16" ht="15.75">
      <c r="A1" s="238" t="s">
        <v>241</v>
      </c>
      <c r="B1" s="238"/>
      <c r="C1" s="238"/>
      <c r="D1" s="238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</row>
    <row r="2" spans="1:16" ht="26.25" customHeight="1">
      <c r="A2" s="61" t="s">
        <v>0</v>
      </c>
      <c r="B2" s="80" t="s">
        <v>168</v>
      </c>
      <c r="C2" s="80" t="s">
        <v>242</v>
      </c>
      <c r="D2" s="80" t="s">
        <v>243</v>
      </c>
      <c r="E2" s="270" t="s">
        <v>171</v>
      </c>
      <c r="F2" s="270" t="s">
        <v>172</v>
      </c>
      <c r="G2" s="271" t="s">
        <v>173</v>
      </c>
      <c r="H2" s="270" t="s">
        <v>174</v>
      </c>
      <c r="I2" s="270" t="s">
        <v>172</v>
      </c>
      <c r="J2" s="271" t="s">
        <v>173</v>
      </c>
      <c r="K2" s="272" t="s">
        <v>175</v>
      </c>
      <c r="L2" s="273" t="s">
        <v>244</v>
      </c>
      <c r="M2" s="274" t="s">
        <v>185</v>
      </c>
      <c r="N2" s="270" t="s">
        <v>178</v>
      </c>
      <c r="O2" s="270" t="s">
        <v>245</v>
      </c>
    </row>
    <row r="3" spans="1:16" ht="15.75">
      <c r="A3" s="239" t="s">
        <v>179</v>
      </c>
      <c r="B3" s="239"/>
      <c r="C3" s="239"/>
      <c r="D3" s="239"/>
      <c r="E3" s="275"/>
      <c r="F3" s="275"/>
      <c r="G3" s="275"/>
      <c r="H3" s="275"/>
      <c r="I3" s="275"/>
      <c r="J3" s="275"/>
      <c r="K3" s="291">
        <v>0</v>
      </c>
      <c r="L3" s="291"/>
      <c r="M3" s="291"/>
      <c r="N3" s="291"/>
      <c r="O3" s="374"/>
    </row>
    <row r="4" spans="1:16">
      <c r="A4" s="373">
        <v>1</v>
      </c>
      <c r="B4" s="215">
        <v>46235</v>
      </c>
      <c r="C4" s="366" t="s">
        <v>246</v>
      </c>
      <c r="D4" s="366" t="s">
        <v>247</v>
      </c>
      <c r="E4" s="276">
        <v>5.76</v>
      </c>
      <c r="F4" s="276">
        <v>104.7</v>
      </c>
      <c r="G4" s="276">
        <f>E4*F4</f>
        <v>603.072</v>
      </c>
      <c r="H4" s="101">
        <v>10</v>
      </c>
      <c r="I4" s="101">
        <v>116.99</v>
      </c>
      <c r="J4" s="276">
        <f>H4*I4</f>
        <v>1169.8999999999999</v>
      </c>
      <c r="K4" s="276">
        <f t="shared" ref="K4" si="0">G4+J4</f>
        <v>1772.9719999999998</v>
      </c>
      <c r="L4" s="277"/>
      <c r="M4" s="277">
        <f>K3+L4-K4</f>
        <v>-1772.9719999999998</v>
      </c>
      <c r="N4" s="277"/>
      <c r="O4" s="277"/>
      <c r="P4" s="178" t="s">
        <v>248</v>
      </c>
    </row>
    <row r="5" spans="1:16">
      <c r="A5" s="14">
        <v>2</v>
      </c>
      <c r="B5" s="215">
        <v>46235</v>
      </c>
      <c r="C5" s="366" t="s">
        <v>249</v>
      </c>
      <c r="D5" s="366" t="s">
        <v>247</v>
      </c>
      <c r="E5" s="101">
        <v>30</v>
      </c>
      <c r="F5" s="101">
        <v>104.67</v>
      </c>
      <c r="G5" s="276">
        <f>E5*F5</f>
        <v>3140.1</v>
      </c>
      <c r="H5" s="101"/>
      <c r="I5" s="101"/>
      <c r="J5" s="276">
        <f t="shared" ref="J5:J73" si="1">H5*I5</f>
        <v>0</v>
      </c>
      <c r="K5" s="276">
        <f>G5+J5</f>
        <v>3140.1</v>
      </c>
      <c r="L5" s="277"/>
      <c r="M5" s="276">
        <f>M4+L5-K5</f>
        <v>-4913.0720000000001</v>
      </c>
      <c r="N5" s="276"/>
      <c r="O5" s="276"/>
    </row>
    <row r="6" spans="1:16">
      <c r="A6" s="14">
        <v>3</v>
      </c>
      <c r="B6" s="215">
        <v>46235</v>
      </c>
      <c r="C6" s="384" t="s">
        <v>250</v>
      </c>
      <c r="D6" s="384" t="s">
        <v>247</v>
      </c>
      <c r="E6" s="177">
        <v>50</v>
      </c>
      <c r="F6" s="177">
        <v>104.7</v>
      </c>
      <c r="G6" s="276">
        <f>E6*F6</f>
        <v>5235</v>
      </c>
      <c r="H6" s="101"/>
      <c r="I6" s="101"/>
      <c r="J6" s="276">
        <f t="shared" si="1"/>
        <v>0</v>
      </c>
      <c r="K6" s="276">
        <f>G6+J6</f>
        <v>5235</v>
      </c>
      <c r="L6" s="277"/>
      <c r="M6" s="276">
        <f>M5+L6-K6</f>
        <v>-10148.072</v>
      </c>
      <c r="N6" s="276"/>
      <c r="O6" s="276"/>
    </row>
    <row r="7" spans="1:16">
      <c r="A7" s="373">
        <v>4</v>
      </c>
      <c r="B7" s="215">
        <v>46235</v>
      </c>
      <c r="C7" s="384" t="s">
        <v>251</v>
      </c>
      <c r="D7" s="384" t="s">
        <v>247</v>
      </c>
      <c r="E7" s="177">
        <v>0</v>
      </c>
      <c r="F7" s="177">
        <v>0</v>
      </c>
      <c r="G7" s="276">
        <f>E7*F7</f>
        <v>0</v>
      </c>
      <c r="H7" s="276">
        <v>8.57</v>
      </c>
      <c r="I7" s="101">
        <v>117.62</v>
      </c>
      <c r="J7" s="276">
        <f t="shared" si="1"/>
        <v>1008.0034000000001</v>
      </c>
      <c r="K7" s="276">
        <f>G7+J7</f>
        <v>1008.0034000000001</v>
      </c>
      <c r="L7" s="277"/>
      <c r="M7" s="276">
        <f>M6+L7-K7</f>
        <v>-11156.0754</v>
      </c>
      <c r="N7" s="276"/>
      <c r="O7" s="276"/>
    </row>
    <row r="8" spans="1:16">
      <c r="A8" s="14">
        <v>5</v>
      </c>
      <c r="B8" s="215">
        <v>46236</v>
      </c>
      <c r="C8" s="384" t="s">
        <v>246</v>
      </c>
      <c r="D8" s="384" t="s">
        <v>247</v>
      </c>
      <c r="E8" s="177">
        <v>10</v>
      </c>
      <c r="F8" s="177">
        <v>104.7</v>
      </c>
      <c r="G8" s="276">
        <f>E8*F8</f>
        <v>1047</v>
      </c>
      <c r="H8" s="276"/>
      <c r="I8" s="101"/>
      <c r="J8" s="276">
        <f t="shared" si="1"/>
        <v>0</v>
      </c>
      <c r="K8" s="276">
        <f>G8+J8</f>
        <v>1047</v>
      </c>
      <c r="L8" s="277"/>
      <c r="M8" s="276">
        <f>M7+L8-K8</f>
        <v>-12203.0754</v>
      </c>
      <c r="N8" s="276"/>
      <c r="O8" s="276"/>
    </row>
    <row r="9" spans="1:16">
      <c r="A9" s="14">
        <v>6</v>
      </c>
      <c r="B9" s="215">
        <v>46236</v>
      </c>
      <c r="C9" s="384" t="s">
        <v>251</v>
      </c>
      <c r="D9" s="384" t="s">
        <v>247</v>
      </c>
      <c r="E9" s="276"/>
      <c r="F9" s="276"/>
      <c r="G9" s="276">
        <f>E9*F9</f>
        <v>0</v>
      </c>
      <c r="H9" s="276">
        <v>5</v>
      </c>
      <c r="I9" s="101">
        <v>117.62</v>
      </c>
      <c r="J9" s="276">
        <f t="shared" si="1"/>
        <v>588.1</v>
      </c>
      <c r="K9" s="276">
        <f>G9+J9</f>
        <v>588.1</v>
      </c>
      <c r="L9" s="277"/>
      <c r="M9" s="276">
        <f>M8+L9-K9</f>
        <v>-12791.1754</v>
      </c>
      <c r="N9" s="276"/>
      <c r="O9" s="276"/>
    </row>
    <row r="10" spans="1:16">
      <c r="A10" s="373">
        <v>7</v>
      </c>
      <c r="B10" s="215">
        <v>46237</v>
      </c>
      <c r="C10" s="384" t="s">
        <v>246</v>
      </c>
      <c r="D10" s="384" t="s">
        <v>247</v>
      </c>
      <c r="E10" s="276"/>
      <c r="F10" s="276"/>
      <c r="G10" s="276">
        <f>E10*F10</f>
        <v>0</v>
      </c>
      <c r="H10" s="101">
        <v>8</v>
      </c>
      <c r="I10" s="101">
        <v>116.99</v>
      </c>
      <c r="J10" s="276">
        <f t="shared" si="1"/>
        <v>935.92</v>
      </c>
      <c r="K10" s="276">
        <f>G10+J10</f>
        <v>935.92</v>
      </c>
      <c r="L10" s="277"/>
      <c r="M10" s="276">
        <f>M9+L10-K10</f>
        <v>-13727.0954</v>
      </c>
      <c r="N10" s="276"/>
      <c r="O10" s="276"/>
    </row>
    <row r="11" spans="1:16">
      <c r="A11" s="14">
        <v>8</v>
      </c>
      <c r="B11" s="215">
        <v>46237</v>
      </c>
      <c r="C11" s="384" t="s">
        <v>252</v>
      </c>
      <c r="D11" s="384" t="s">
        <v>247</v>
      </c>
      <c r="E11" s="276">
        <v>28.7</v>
      </c>
      <c r="F11" s="276">
        <v>104.54</v>
      </c>
      <c r="G11" s="276">
        <f>E11*F11</f>
        <v>3000.2980000000002</v>
      </c>
      <c r="H11" s="101"/>
      <c r="I11" s="101"/>
      <c r="J11" s="276">
        <f t="shared" si="1"/>
        <v>0</v>
      </c>
      <c r="K11" s="276">
        <f>G11+J11</f>
        <v>3000.2980000000002</v>
      </c>
      <c r="L11" s="277"/>
      <c r="M11" s="276">
        <f>M10+L11-K11</f>
        <v>-16727.393400000001</v>
      </c>
      <c r="N11" s="276"/>
      <c r="O11" s="276"/>
    </row>
    <row r="12" spans="1:16">
      <c r="A12" s="14">
        <v>9</v>
      </c>
      <c r="B12" s="215">
        <v>46237</v>
      </c>
      <c r="C12" s="384" t="s">
        <v>253</v>
      </c>
      <c r="D12" s="384" t="s">
        <v>247</v>
      </c>
      <c r="E12" s="276"/>
      <c r="F12" s="276"/>
      <c r="G12" s="276">
        <f>E12*F12</f>
        <v>0</v>
      </c>
      <c r="H12" s="101">
        <v>30.01</v>
      </c>
      <c r="I12" s="101">
        <v>116.9</v>
      </c>
      <c r="J12" s="276">
        <f t="shared" si="1"/>
        <v>3508.1690000000003</v>
      </c>
      <c r="K12" s="276">
        <f>G12+J12</f>
        <v>3508.1690000000003</v>
      </c>
      <c r="L12" s="277"/>
      <c r="M12" s="276">
        <f>M11+L12-K12</f>
        <v>-20235.562400000003</v>
      </c>
      <c r="N12" s="276"/>
      <c r="O12" s="276"/>
    </row>
    <row r="13" spans="1:16">
      <c r="A13" s="373">
        <v>10</v>
      </c>
      <c r="B13" s="215">
        <v>46237</v>
      </c>
      <c r="C13" s="384" t="s">
        <v>254</v>
      </c>
      <c r="D13" s="384" t="s">
        <v>44</v>
      </c>
      <c r="E13" s="101">
        <v>39</v>
      </c>
      <c r="F13" s="101">
        <v>103.85</v>
      </c>
      <c r="G13" s="276">
        <f>E13*F13</f>
        <v>4050.1499999999996</v>
      </c>
      <c r="H13" s="101"/>
      <c r="I13" s="101"/>
      <c r="J13" s="276">
        <f t="shared" si="1"/>
        <v>0</v>
      </c>
      <c r="K13" s="276">
        <f>G13+J13</f>
        <v>4050.1499999999996</v>
      </c>
      <c r="L13" s="277"/>
      <c r="M13" s="276">
        <f>M12+L13-K13</f>
        <v>-24285.712400000004</v>
      </c>
      <c r="N13" s="276"/>
      <c r="O13" s="276"/>
    </row>
    <row r="14" spans="1:16">
      <c r="A14" s="14">
        <v>11</v>
      </c>
      <c r="B14" s="215">
        <v>46237</v>
      </c>
      <c r="C14" s="384" t="s">
        <v>255</v>
      </c>
      <c r="D14" s="384" t="s">
        <v>256</v>
      </c>
      <c r="E14">
        <v>109.95</v>
      </c>
      <c r="F14" s="101">
        <v>100.05</v>
      </c>
      <c r="G14" s="276">
        <f>E14*F14</f>
        <v>11000.497499999999</v>
      </c>
      <c r="H14" s="101">
        <v>6.02</v>
      </c>
      <c r="I14" s="101">
        <v>112.07</v>
      </c>
      <c r="J14" s="276">
        <f t="shared" si="1"/>
        <v>674.66139999999996</v>
      </c>
      <c r="K14" s="276">
        <f>G14+J14</f>
        <v>11675.158899999999</v>
      </c>
      <c r="L14" s="277"/>
      <c r="M14" s="276">
        <f>M13+L14-K14</f>
        <v>-35960.871299999999</v>
      </c>
      <c r="N14" s="276"/>
      <c r="O14" s="276"/>
    </row>
    <row r="15" spans="1:16">
      <c r="A15" s="14">
        <v>12</v>
      </c>
      <c r="B15" s="215">
        <v>46237</v>
      </c>
      <c r="C15" s="384" t="s">
        <v>257</v>
      </c>
      <c r="D15" s="384" t="s">
        <v>247</v>
      </c>
      <c r="E15" s="276">
        <v>30</v>
      </c>
      <c r="F15" s="276">
        <v>105.4</v>
      </c>
      <c r="G15" s="276">
        <f>E15*F15</f>
        <v>3162</v>
      </c>
      <c r="H15" s="101"/>
      <c r="I15" s="101"/>
      <c r="J15" s="276">
        <f t="shared" si="1"/>
        <v>0</v>
      </c>
      <c r="K15" s="276">
        <f>G15+J15</f>
        <v>3162</v>
      </c>
      <c r="L15" s="277"/>
      <c r="M15" s="276">
        <f>M14+L15-K15</f>
        <v>-39122.871299999999</v>
      </c>
      <c r="N15" s="276"/>
      <c r="O15" s="276"/>
    </row>
    <row r="16" spans="1:16">
      <c r="A16" s="373">
        <v>13</v>
      </c>
      <c r="B16" s="215">
        <v>46237</v>
      </c>
      <c r="C16" s="384" t="s">
        <v>251</v>
      </c>
      <c r="D16" s="384" t="s">
        <v>247</v>
      </c>
      <c r="E16" s="276">
        <v>44.13</v>
      </c>
      <c r="F16" s="276">
        <v>105.29</v>
      </c>
      <c r="G16" s="276">
        <f>E16*F16</f>
        <v>4646.4477000000006</v>
      </c>
      <c r="H16" s="101"/>
      <c r="I16" s="101"/>
      <c r="J16" s="276">
        <f t="shared" si="1"/>
        <v>0</v>
      </c>
      <c r="K16" s="276">
        <f>G16+J16</f>
        <v>4646.4477000000006</v>
      </c>
      <c r="L16" s="277"/>
      <c r="M16" s="276">
        <f>M15+L16-K16</f>
        <v>-43769.319000000003</v>
      </c>
      <c r="N16" s="276"/>
      <c r="O16" s="276"/>
    </row>
    <row r="17" spans="1:15">
      <c r="A17" s="14">
        <v>14</v>
      </c>
      <c r="B17" s="215">
        <v>46237</v>
      </c>
      <c r="C17" s="384" t="s">
        <v>258</v>
      </c>
      <c r="D17" s="384" t="s">
        <v>40</v>
      </c>
      <c r="E17" s="276"/>
      <c r="F17" s="276"/>
      <c r="G17" s="276">
        <f>E17*F17</f>
        <v>0</v>
      </c>
      <c r="H17" s="101">
        <v>4.79</v>
      </c>
      <c r="I17" s="101">
        <v>115.69</v>
      </c>
      <c r="J17" s="276">
        <f t="shared" si="1"/>
        <v>554.15509999999995</v>
      </c>
      <c r="K17" s="276">
        <f>G17+J17</f>
        <v>554.15509999999995</v>
      </c>
      <c r="L17" s="277"/>
      <c r="M17" s="276">
        <f>M16+L17-K17</f>
        <v>-44323.474100000007</v>
      </c>
      <c r="N17" s="276"/>
      <c r="O17" s="276"/>
    </row>
    <row r="18" spans="1:15">
      <c r="A18" s="14">
        <v>15</v>
      </c>
      <c r="B18" s="215">
        <v>46237</v>
      </c>
      <c r="C18" s="384" t="s">
        <v>259</v>
      </c>
      <c r="D18" s="384" t="s">
        <v>53</v>
      </c>
      <c r="E18" s="276">
        <v>50</v>
      </c>
      <c r="F18" s="276">
        <v>99.62</v>
      </c>
      <c r="G18" s="276">
        <f>E18*F18</f>
        <v>4981</v>
      </c>
      <c r="H18" s="101"/>
      <c r="I18" s="101"/>
      <c r="J18" s="276">
        <f t="shared" si="1"/>
        <v>0</v>
      </c>
      <c r="K18" s="276">
        <f>G18+J18</f>
        <v>4981</v>
      </c>
      <c r="L18" s="277"/>
      <c r="M18" s="276">
        <f>M17+L18-K18</f>
        <v>-49304.474100000007</v>
      </c>
      <c r="N18" s="276"/>
      <c r="O18" s="276"/>
    </row>
    <row r="19" spans="1:15">
      <c r="A19" s="373">
        <v>16</v>
      </c>
      <c r="B19" s="215">
        <v>46238</v>
      </c>
      <c r="C19" s="384" t="s">
        <v>260</v>
      </c>
      <c r="D19" s="384" t="s">
        <v>247</v>
      </c>
      <c r="E19" s="276">
        <v>30</v>
      </c>
      <c r="F19" s="276">
        <v>105.33</v>
      </c>
      <c r="G19" s="276">
        <f>E19*F19</f>
        <v>3159.9</v>
      </c>
      <c r="H19" s="101"/>
      <c r="I19" s="101"/>
      <c r="J19" s="276">
        <f t="shared" si="1"/>
        <v>0</v>
      </c>
      <c r="K19" s="276">
        <f>G19+J19</f>
        <v>3159.9</v>
      </c>
      <c r="L19" s="277"/>
      <c r="M19" s="276">
        <f>M18+L19-K19</f>
        <v>-52464.374100000008</v>
      </c>
      <c r="N19" s="276"/>
      <c r="O19" s="276"/>
    </row>
    <row r="20" spans="1:15">
      <c r="A20" s="14">
        <v>17</v>
      </c>
      <c r="B20" s="215">
        <v>46238</v>
      </c>
      <c r="C20" s="384" t="s">
        <v>255</v>
      </c>
      <c r="D20" s="384" t="s">
        <v>256</v>
      </c>
      <c r="E20" s="276">
        <v>35</v>
      </c>
      <c r="F20" s="276">
        <v>100.05</v>
      </c>
      <c r="G20" s="276">
        <f>E20*F20</f>
        <v>3501.75</v>
      </c>
      <c r="H20" s="101"/>
      <c r="I20" s="101"/>
      <c r="J20" s="276">
        <f t="shared" si="1"/>
        <v>0</v>
      </c>
      <c r="K20" s="276">
        <f>G20+J20</f>
        <v>3501.75</v>
      </c>
      <c r="L20" s="277"/>
      <c r="M20" s="276">
        <f>M19+L20-K20</f>
        <v>-55966.124100000008</v>
      </c>
      <c r="N20" s="276"/>
      <c r="O20" s="276"/>
    </row>
    <row r="21" spans="1:15">
      <c r="A21" s="14">
        <v>18</v>
      </c>
      <c r="B21" s="215">
        <v>46238</v>
      </c>
      <c r="C21" s="384" t="s">
        <v>257</v>
      </c>
      <c r="D21" s="384" t="s">
        <v>247</v>
      </c>
      <c r="E21" s="276">
        <v>70</v>
      </c>
      <c r="F21" s="276">
        <v>105.4</v>
      </c>
      <c r="G21" s="276">
        <f>E21*F21</f>
        <v>7378</v>
      </c>
      <c r="H21" s="101"/>
      <c r="I21" s="101"/>
      <c r="J21" s="276">
        <f t="shared" si="1"/>
        <v>0</v>
      </c>
      <c r="K21" s="276">
        <f>G21+J21</f>
        <v>7378</v>
      </c>
      <c r="L21" s="277"/>
      <c r="M21" s="276">
        <f>M20+L21-K21</f>
        <v>-63344.124100000008</v>
      </c>
      <c r="N21" s="276"/>
      <c r="O21" s="276"/>
    </row>
    <row r="22" spans="1:15">
      <c r="A22" s="373">
        <v>19</v>
      </c>
      <c r="B22" s="215">
        <v>46238</v>
      </c>
      <c r="C22" s="384" t="s">
        <v>261</v>
      </c>
      <c r="D22" s="384" t="s">
        <v>247</v>
      </c>
      <c r="E22" s="276">
        <v>36.65</v>
      </c>
      <c r="F22" s="276">
        <v>105.59</v>
      </c>
      <c r="G22" s="276">
        <f>E22*F22</f>
        <v>3869.8735000000001</v>
      </c>
      <c r="H22" s="101">
        <v>4.71</v>
      </c>
      <c r="I22" s="101">
        <v>117.98</v>
      </c>
      <c r="J22" s="276">
        <f t="shared" si="1"/>
        <v>555.68579999999997</v>
      </c>
      <c r="K22" s="276">
        <f>G22+J22</f>
        <v>4425.5592999999999</v>
      </c>
      <c r="L22" s="277"/>
      <c r="M22" s="276">
        <f>M21+L22-K22</f>
        <v>-67769.683400000009</v>
      </c>
      <c r="N22" s="276"/>
      <c r="O22" s="276"/>
    </row>
    <row r="23" spans="1:15">
      <c r="A23" s="14">
        <v>20</v>
      </c>
      <c r="B23" s="215">
        <v>46238</v>
      </c>
      <c r="C23" s="384" t="s">
        <v>262</v>
      </c>
      <c r="D23" s="384" t="s">
        <v>247</v>
      </c>
      <c r="E23" s="276">
        <v>50</v>
      </c>
      <c r="F23" s="276">
        <v>105.01</v>
      </c>
      <c r="G23" s="276">
        <f>E23*F23</f>
        <v>5250.5</v>
      </c>
      <c r="H23" s="101">
        <v>5</v>
      </c>
      <c r="I23" s="101">
        <v>117.32</v>
      </c>
      <c r="J23" s="276">
        <f t="shared" si="1"/>
        <v>586.59999999999991</v>
      </c>
      <c r="K23" s="276">
        <f>G23+J23</f>
        <v>5837.1</v>
      </c>
      <c r="L23" s="277"/>
      <c r="M23" s="276">
        <f>M22+L23-K23</f>
        <v>-73606.783400000015</v>
      </c>
      <c r="N23" s="276"/>
      <c r="O23" s="276"/>
    </row>
    <row r="24" spans="1:15">
      <c r="A24" s="14">
        <v>21</v>
      </c>
      <c r="B24" s="215">
        <v>46238</v>
      </c>
      <c r="C24" s="384" t="s">
        <v>263</v>
      </c>
      <c r="D24" s="384" t="s">
        <v>247</v>
      </c>
      <c r="E24" s="276">
        <v>130</v>
      </c>
      <c r="F24" s="276">
        <v>105.35</v>
      </c>
      <c r="G24" s="276">
        <f>E24*F24</f>
        <v>13695.5</v>
      </c>
      <c r="H24" s="101"/>
      <c r="I24" s="101"/>
      <c r="J24" s="276">
        <f t="shared" si="1"/>
        <v>0</v>
      </c>
      <c r="K24" s="276">
        <f>G24+J24</f>
        <v>13695.5</v>
      </c>
      <c r="L24" s="277"/>
      <c r="M24" s="276">
        <f>M23+L24-K24</f>
        <v>-87302.283400000015</v>
      </c>
      <c r="N24" s="276"/>
      <c r="O24" s="276"/>
    </row>
    <row r="25" spans="1:15">
      <c r="A25" s="373">
        <v>22</v>
      </c>
      <c r="B25" s="215">
        <v>46239</v>
      </c>
      <c r="C25" s="384" t="s">
        <v>264</v>
      </c>
      <c r="D25" s="384" t="s">
        <v>51</v>
      </c>
      <c r="E25" s="101">
        <v>29.7</v>
      </c>
      <c r="F25" s="276">
        <v>100.07</v>
      </c>
      <c r="G25" s="276">
        <f>E25*F25</f>
        <v>2972.0789999999997</v>
      </c>
      <c r="H25" s="101"/>
      <c r="I25" s="101"/>
      <c r="J25" s="276">
        <f t="shared" si="1"/>
        <v>0</v>
      </c>
      <c r="K25" s="276">
        <f>G25+J25</f>
        <v>2972.0789999999997</v>
      </c>
      <c r="L25" s="277"/>
      <c r="M25" s="276">
        <f>M24+L25-K25</f>
        <v>-90274.362400000013</v>
      </c>
      <c r="N25" s="276"/>
      <c r="O25" s="276"/>
    </row>
    <row r="26" spans="1:15">
      <c r="A26" s="14">
        <v>23</v>
      </c>
      <c r="B26" s="215">
        <v>46239</v>
      </c>
      <c r="C26" s="384" t="s">
        <v>255</v>
      </c>
      <c r="D26" s="384" t="s">
        <v>256</v>
      </c>
      <c r="E26" s="276">
        <v>35</v>
      </c>
      <c r="F26" s="276">
        <v>100.05</v>
      </c>
      <c r="G26" s="276">
        <f>E26*F26</f>
        <v>3501.75</v>
      </c>
      <c r="H26" s="101"/>
      <c r="I26" s="101"/>
      <c r="J26" s="276">
        <f t="shared" si="1"/>
        <v>0</v>
      </c>
      <c r="K26" s="276">
        <f>G26+J26</f>
        <v>3501.75</v>
      </c>
      <c r="L26" s="277"/>
      <c r="M26" s="276">
        <f>M25+L26-K26</f>
        <v>-93776.112400000013</v>
      </c>
      <c r="N26" s="276"/>
      <c r="O26" s="276"/>
    </row>
    <row r="27" spans="1:15">
      <c r="A27" s="14">
        <v>24</v>
      </c>
      <c r="B27" s="215">
        <v>46239</v>
      </c>
      <c r="C27" s="384" t="s">
        <v>261</v>
      </c>
      <c r="D27" s="384" t="s">
        <v>247</v>
      </c>
      <c r="E27" s="276">
        <v>28.41</v>
      </c>
      <c r="F27" s="276">
        <v>105.59</v>
      </c>
      <c r="G27" s="276">
        <f>E27*F27</f>
        <v>2999.8119000000002</v>
      </c>
      <c r="H27" s="101"/>
      <c r="I27" s="101"/>
      <c r="J27" s="276">
        <f t="shared" si="1"/>
        <v>0</v>
      </c>
      <c r="K27" s="276">
        <f>G27+J27</f>
        <v>2999.8119000000002</v>
      </c>
      <c r="L27" s="277"/>
      <c r="M27" s="276">
        <f>M26+L27-K27</f>
        <v>-96775.924300000013</v>
      </c>
      <c r="N27" s="276"/>
      <c r="O27" s="276"/>
    </row>
    <row r="28" spans="1:15">
      <c r="A28" s="373">
        <v>25</v>
      </c>
      <c r="B28" s="215">
        <v>46239</v>
      </c>
      <c r="C28" s="384" t="s">
        <v>251</v>
      </c>
      <c r="D28" s="384" t="s">
        <v>247</v>
      </c>
      <c r="E28" s="276"/>
      <c r="F28" s="276"/>
      <c r="G28" s="276">
        <f>E28*F28</f>
        <v>0</v>
      </c>
      <c r="H28" s="101">
        <v>4</v>
      </c>
      <c r="I28" s="101">
        <v>117.62</v>
      </c>
      <c r="J28" s="276">
        <f t="shared" si="1"/>
        <v>470.48</v>
      </c>
      <c r="K28" s="276">
        <f>G28+J28</f>
        <v>470.48</v>
      </c>
      <c r="L28" s="277"/>
      <c r="M28" s="276">
        <f>M27+L28-K28</f>
        <v>-97246.404300000009</v>
      </c>
      <c r="N28" s="276"/>
      <c r="O28" s="276"/>
    </row>
    <row r="29" spans="1:15" ht="14.25" customHeight="1">
      <c r="A29" s="14">
        <v>26</v>
      </c>
      <c r="B29" s="215">
        <v>46239</v>
      </c>
      <c r="C29" s="384" t="s">
        <v>262</v>
      </c>
      <c r="D29" s="384" t="s">
        <v>247</v>
      </c>
      <c r="E29" s="276">
        <v>38.090000000000003</v>
      </c>
      <c r="F29" s="276">
        <v>105.01</v>
      </c>
      <c r="G29" s="276">
        <f>E29*F29</f>
        <v>3999.8309000000004</v>
      </c>
      <c r="H29" s="101"/>
      <c r="I29" s="101"/>
      <c r="J29" s="276">
        <f t="shared" si="1"/>
        <v>0</v>
      </c>
      <c r="K29" s="276">
        <f>G29+J29</f>
        <v>3999.8309000000004</v>
      </c>
      <c r="L29" s="277"/>
      <c r="M29" s="276">
        <f>M28+L29-K29</f>
        <v>-101246.23520000001</v>
      </c>
      <c r="N29" s="276"/>
      <c r="O29" s="276"/>
    </row>
    <row r="30" spans="1:15">
      <c r="A30" s="14">
        <v>27</v>
      </c>
      <c r="B30" s="215">
        <v>46240</v>
      </c>
      <c r="C30" s="384" t="s">
        <v>246</v>
      </c>
      <c r="D30" s="384" t="s">
        <v>247</v>
      </c>
      <c r="E30" s="276">
        <v>44.35</v>
      </c>
      <c r="F30" s="276">
        <v>104.7</v>
      </c>
      <c r="G30" s="276">
        <f>E30*F30</f>
        <v>4643.4450000000006</v>
      </c>
      <c r="H30" s="101">
        <v>5</v>
      </c>
      <c r="I30" s="101">
        <v>116.99</v>
      </c>
      <c r="J30" s="276">
        <f t="shared" si="1"/>
        <v>584.94999999999993</v>
      </c>
      <c r="K30" s="276">
        <f>G30+J30</f>
        <v>5228.3950000000004</v>
      </c>
      <c r="L30" s="277"/>
      <c r="M30" s="276">
        <f>M29+L30-K30</f>
        <v>-106474.63020000001</v>
      </c>
      <c r="N30" s="276"/>
      <c r="O30" s="276"/>
    </row>
    <row r="31" spans="1:15">
      <c r="A31" s="373">
        <v>28</v>
      </c>
      <c r="B31" s="215">
        <v>46240</v>
      </c>
      <c r="C31" s="384" t="s">
        <v>265</v>
      </c>
      <c r="D31" s="384" t="s">
        <v>40</v>
      </c>
      <c r="E31" s="276"/>
      <c r="F31" s="276"/>
      <c r="G31" s="276">
        <f>E31*F31</f>
        <v>0</v>
      </c>
      <c r="H31" s="101">
        <v>4.63</v>
      </c>
      <c r="I31" s="101">
        <v>115.69</v>
      </c>
      <c r="J31" s="276">
        <f t="shared" si="1"/>
        <v>535.64469999999994</v>
      </c>
      <c r="K31" s="276">
        <f>G31+J31</f>
        <v>535.64469999999994</v>
      </c>
      <c r="L31" s="277"/>
      <c r="M31" s="276">
        <f>M30+L31-K31</f>
        <v>-107010.27490000002</v>
      </c>
      <c r="N31" s="276"/>
      <c r="O31" s="276"/>
    </row>
    <row r="32" spans="1:15">
      <c r="A32" s="14">
        <v>29</v>
      </c>
      <c r="B32" s="215">
        <v>46240</v>
      </c>
      <c r="C32" s="384" t="s">
        <v>257</v>
      </c>
      <c r="D32" s="384" t="s">
        <v>247</v>
      </c>
      <c r="E32" s="101">
        <v>130</v>
      </c>
      <c r="F32" s="101">
        <v>105.4</v>
      </c>
      <c r="G32" s="276">
        <f>E32*F32</f>
        <v>13702</v>
      </c>
      <c r="H32" s="101">
        <v>5.01</v>
      </c>
      <c r="I32" s="101">
        <v>117.74</v>
      </c>
      <c r="J32" s="276">
        <f t="shared" si="1"/>
        <v>589.87739999999997</v>
      </c>
      <c r="K32" s="276">
        <f>G32+J32</f>
        <v>14291.877399999999</v>
      </c>
      <c r="L32" s="277"/>
      <c r="M32" s="276">
        <f>M31+L32-K32</f>
        <v>-121302.15230000002</v>
      </c>
      <c r="N32" s="276"/>
      <c r="O32" s="276"/>
    </row>
    <row r="33" spans="1:16">
      <c r="A33" s="14">
        <v>30</v>
      </c>
      <c r="B33" s="215">
        <v>46240</v>
      </c>
      <c r="C33" s="384" t="s">
        <v>266</v>
      </c>
      <c r="D33" s="384" t="s">
        <v>247</v>
      </c>
      <c r="E33" s="101">
        <v>30</v>
      </c>
      <c r="F33" s="101">
        <v>104.62</v>
      </c>
      <c r="G33" s="276">
        <f>E33*F33</f>
        <v>3138.6000000000004</v>
      </c>
      <c r="H33" s="101"/>
      <c r="I33" s="101"/>
      <c r="J33" s="276">
        <f t="shared" si="1"/>
        <v>0</v>
      </c>
      <c r="K33" s="276">
        <f>G33+J33</f>
        <v>3138.6000000000004</v>
      </c>
      <c r="L33" s="277"/>
      <c r="M33" s="276">
        <f>M32+L33-K33</f>
        <v>-124440.75230000002</v>
      </c>
      <c r="N33" s="276"/>
      <c r="O33" s="276"/>
    </row>
    <row r="34" spans="1:16">
      <c r="A34" s="373">
        <v>31</v>
      </c>
      <c r="B34" s="215">
        <v>46240</v>
      </c>
      <c r="C34" s="384" t="s">
        <v>261</v>
      </c>
      <c r="D34" s="384" t="s">
        <v>247</v>
      </c>
      <c r="E34" s="101">
        <v>95.01</v>
      </c>
      <c r="F34" s="101">
        <v>105.59</v>
      </c>
      <c r="G34" s="276">
        <f>E34*F34</f>
        <v>10032.1059</v>
      </c>
      <c r="H34" s="101">
        <v>3</v>
      </c>
      <c r="I34" s="101">
        <v>117.98</v>
      </c>
      <c r="J34" s="276">
        <f t="shared" si="1"/>
        <v>353.94</v>
      </c>
      <c r="K34" s="276">
        <f>G34+J34</f>
        <v>10386.045900000001</v>
      </c>
      <c r="L34" s="277"/>
      <c r="M34" s="276">
        <f>M33+L34-K34</f>
        <v>-134826.79820000002</v>
      </c>
      <c r="N34" s="276"/>
      <c r="O34" s="276"/>
    </row>
    <row r="35" spans="1:16">
      <c r="A35" s="14">
        <v>32</v>
      </c>
      <c r="B35" s="215">
        <v>46240</v>
      </c>
      <c r="C35" s="384" t="s">
        <v>259</v>
      </c>
      <c r="D35" s="384" t="s">
        <v>53</v>
      </c>
      <c r="E35" s="101">
        <v>40</v>
      </c>
      <c r="F35" s="101">
        <v>99.62</v>
      </c>
      <c r="G35" s="276">
        <f>E35*F35</f>
        <v>3984.8</v>
      </c>
      <c r="H35" s="101"/>
      <c r="I35" s="101"/>
      <c r="J35" s="276">
        <f t="shared" si="1"/>
        <v>0</v>
      </c>
      <c r="K35" s="276">
        <f>G35+J35</f>
        <v>3984.8</v>
      </c>
      <c r="L35" s="277"/>
      <c r="M35" s="276">
        <f>M34+L35-K35</f>
        <v>-138811.59820000001</v>
      </c>
      <c r="N35" s="276"/>
      <c r="O35" s="276"/>
    </row>
    <row r="36" spans="1:16">
      <c r="A36" s="14">
        <v>33</v>
      </c>
      <c r="B36" s="215">
        <v>46241</v>
      </c>
      <c r="C36" s="384" t="s">
        <v>267</v>
      </c>
      <c r="D36" s="384" t="s">
        <v>268</v>
      </c>
      <c r="E36" s="276">
        <v>30</v>
      </c>
      <c r="F36" s="276">
        <v>100.01</v>
      </c>
      <c r="G36" s="276">
        <f>E36*F36</f>
        <v>3000.3</v>
      </c>
      <c r="H36" s="101"/>
      <c r="I36" s="101"/>
      <c r="J36" s="276">
        <f t="shared" si="1"/>
        <v>0</v>
      </c>
      <c r="K36" s="276">
        <f>G36+J36</f>
        <v>3000.3</v>
      </c>
      <c r="L36" s="277"/>
      <c r="M36" s="276">
        <f>M35+L36-K36</f>
        <v>-141811.8982</v>
      </c>
      <c r="N36" s="276"/>
      <c r="O36" s="276"/>
    </row>
    <row r="37" spans="1:16">
      <c r="A37" s="373">
        <v>34</v>
      </c>
      <c r="B37" s="215">
        <v>46241</v>
      </c>
      <c r="C37" s="384" t="s">
        <v>269</v>
      </c>
      <c r="D37" s="384" t="s">
        <v>51</v>
      </c>
      <c r="E37" s="276">
        <v>29.79</v>
      </c>
      <c r="F37" s="276">
        <v>98.41</v>
      </c>
      <c r="G37" s="276">
        <f>E37*F37</f>
        <v>2931.6338999999998</v>
      </c>
      <c r="H37" s="101"/>
      <c r="I37" s="101"/>
      <c r="J37" s="276">
        <f t="shared" si="1"/>
        <v>0</v>
      </c>
      <c r="K37" s="276">
        <f>G37+J37</f>
        <v>2931.6338999999998</v>
      </c>
      <c r="L37" s="277"/>
      <c r="M37" s="276">
        <f>M36+L37-K37</f>
        <v>-144743.53209999998</v>
      </c>
      <c r="N37" s="276"/>
      <c r="O37" s="276"/>
    </row>
    <row r="38" spans="1:16">
      <c r="A38" s="14">
        <v>35</v>
      </c>
      <c r="B38" s="215">
        <v>46241</v>
      </c>
      <c r="C38" s="384" t="s">
        <v>270</v>
      </c>
      <c r="D38" s="384" t="s">
        <v>256</v>
      </c>
      <c r="E38" s="101">
        <v>82</v>
      </c>
      <c r="F38" s="101">
        <v>98.79</v>
      </c>
      <c r="G38" s="276">
        <f>E38*F38</f>
        <v>8100.7800000000007</v>
      </c>
      <c r="H38" s="101"/>
      <c r="I38" s="101"/>
      <c r="J38" s="276">
        <f t="shared" si="1"/>
        <v>0</v>
      </c>
      <c r="K38" s="276">
        <f>G38+J38</f>
        <v>8100.7800000000007</v>
      </c>
      <c r="L38" s="277"/>
      <c r="M38" s="276">
        <f>M37+L38-K38</f>
        <v>-152844.31209999998</v>
      </c>
      <c r="N38" s="276"/>
      <c r="O38" s="276"/>
    </row>
    <row r="39" spans="1:16">
      <c r="A39" s="14">
        <v>36</v>
      </c>
      <c r="B39" s="215">
        <v>46241</v>
      </c>
      <c r="C39" s="384" t="s">
        <v>271</v>
      </c>
      <c r="D39" s="384" t="s">
        <v>272</v>
      </c>
      <c r="E39" s="101">
        <v>0</v>
      </c>
      <c r="F39" s="101"/>
      <c r="G39" s="276">
        <f>E39*F39</f>
        <v>0</v>
      </c>
      <c r="H39" s="101">
        <v>35</v>
      </c>
      <c r="I39" s="101">
        <v>111.86</v>
      </c>
      <c r="J39" s="276">
        <f t="shared" si="1"/>
        <v>3915.1</v>
      </c>
      <c r="K39" s="276">
        <f>G39+J39</f>
        <v>3915.1</v>
      </c>
      <c r="L39" s="277"/>
      <c r="M39" s="276">
        <f>M38+L39-K39</f>
        <v>-156759.41209999999</v>
      </c>
      <c r="N39" s="276"/>
      <c r="O39" s="276"/>
    </row>
    <row r="40" spans="1:16">
      <c r="A40" s="373">
        <v>37</v>
      </c>
      <c r="B40" s="215">
        <v>46241</v>
      </c>
      <c r="C40" s="384" t="s">
        <v>261</v>
      </c>
      <c r="D40" s="384" t="s">
        <v>247</v>
      </c>
      <c r="E40" s="101"/>
      <c r="F40" s="101"/>
      <c r="G40" s="276">
        <f>E40*F40</f>
        <v>0</v>
      </c>
      <c r="H40" s="101">
        <v>5</v>
      </c>
      <c r="I40" s="101">
        <v>117.98</v>
      </c>
      <c r="J40" s="276">
        <f t="shared" si="1"/>
        <v>589.9</v>
      </c>
      <c r="K40" s="276">
        <f>G40+J40</f>
        <v>589.9</v>
      </c>
      <c r="L40" s="277"/>
      <c r="M40" s="276">
        <f>M39+L40-K40</f>
        <v>-157349.31209999998</v>
      </c>
      <c r="N40" s="276"/>
      <c r="O40" s="276"/>
    </row>
    <row r="41" spans="1:16">
      <c r="A41" s="14">
        <v>38</v>
      </c>
      <c r="B41" s="215">
        <v>46241</v>
      </c>
      <c r="C41" s="384" t="s">
        <v>262</v>
      </c>
      <c r="D41" s="384" t="s">
        <v>247</v>
      </c>
      <c r="E41" s="101">
        <v>80</v>
      </c>
      <c r="F41" s="101">
        <v>105.01</v>
      </c>
      <c r="G41" s="276">
        <f>E41*F41</f>
        <v>8400.8000000000011</v>
      </c>
      <c r="H41" s="101">
        <v>5</v>
      </c>
      <c r="I41" s="101">
        <v>117.32</v>
      </c>
      <c r="J41" s="276">
        <f t="shared" si="1"/>
        <v>586.59999999999991</v>
      </c>
      <c r="K41" s="276">
        <f>G41+J41</f>
        <v>8987.4000000000015</v>
      </c>
      <c r="L41" s="277"/>
      <c r="M41" s="276">
        <f>M40+L41-K41</f>
        <v>-166336.71209999998</v>
      </c>
      <c r="N41" s="276"/>
      <c r="O41" s="276"/>
    </row>
    <row r="42" spans="1:16">
      <c r="A42" s="14">
        <v>39</v>
      </c>
      <c r="B42" s="215">
        <v>46242</v>
      </c>
      <c r="C42" s="366" t="s">
        <v>246</v>
      </c>
      <c r="D42" s="366" t="s">
        <v>247</v>
      </c>
      <c r="E42" s="276">
        <v>4.78</v>
      </c>
      <c r="F42" s="276">
        <v>104.7</v>
      </c>
      <c r="G42" s="276">
        <f>E42*F42</f>
        <v>500.46600000000007</v>
      </c>
      <c r="H42" s="101">
        <v>5</v>
      </c>
      <c r="I42" s="101">
        <v>116.99</v>
      </c>
      <c r="J42" s="276">
        <f t="shared" si="1"/>
        <v>584.94999999999993</v>
      </c>
      <c r="K42" s="276">
        <f>G42+J42</f>
        <v>1085.4159999999999</v>
      </c>
      <c r="L42" s="277"/>
      <c r="M42" s="276">
        <f>M41+L42-K42</f>
        <v>-167422.12809999997</v>
      </c>
      <c r="N42" s="276"/>
      <c r="O42" s="276"/>
    </row>
    <row r="43" spans="1:16">
      <c r="A43" s="373">
        <v>40</v>
      </c>
      <c r="B43" s="393">
        <v>46242</v>
      </c>
      <c r="C43" s="366" t="s">
        <v>273</v>
      </c>
      <c r="D43" s="366" t="s">
        <v>53</v>
      </c>
      <c r="E43" s="276">
        <v>34</v>
      </c>
      <c r="F43" s="276">
        <v>98.79</v>
      </c>
      <c r="G43" s="276">
        <f>E43*F43</f>
        <v>3358.86</v>
      </c>
      <c r="H43" s="101"/>
      <c r="I43" s="101"/>
      <c r="J43" s="276">
        <f t="shared" si="1"/>
        <v>0</v>
      </c>
      <c r="K43" s="276">
        <f>G43+J43</f>
        <v>3358.86</v>
      </c>
      <c r="L43" s="277"/>
      <c r="M43" s="276">
        <f>M42+L43-K43</f>
        <v>-170780.98809999996</v>
      </c>
      <c r="N43" s="276"/>
      <c r="O43" s="276"/>
    </row>
    <row r="44" spans="1:16">
      <c r="A44" s="94">
        <v>41</v>
      </c>
      <c r="B44" s="215">
        <v>46242</v>
      </c>
      <c r="C44" s="366" t="s">
        <v>274</v>
      </c>
      <c r="D44" s="366" t="s">
        <v>247</v>
      </c>
      <c r="E44" s="388">
        <v>150.01</v>
      </c>
      <c r="F44" s="386">
        <v>104.93</v>
      </c>
      <c r="G44" s="276">
        <f>E44*F44</f>
        <v>15740.549300000001</v>
      </c>
      <c r="H44" s="101"/>
      <c r="I44" s="101"/>
      <c r="J44" s="276">
        <f t="shared" si="1"/>
        <v>0</v>
      </c>
      <c r="K44" s="276">
        <f>G44+J44</f>
        <v>15740.549300000001</v>
      </c>
      <c r="L44" s="277"/>
      <c r="M44" s="276">
        <f>M43+L44-K44</f>
        <v>-186521.53739999997</v>
      </c>
      <c r="N44" s="276"/>
      <c r="O44" s="276">
        <v>564582.48</v>
      </c>
      <c r="P44" s="365">
        <f>O44-M44</f>
        <v>751104.01740000001</v>
      </c>
    </row>
    <row r="45" spans="1:16">
      <c r="A45" s="94">
        <v>42</v>
      </c>
      <c r="B45" s="215">
        <v>46242</v>
      </c>
      <c r="C45" s="366" t="s">
        <v>275</v>
      </c>
      <c r="D45" s="366" t="s">
        <v>40</v>
      </c>
      <c r="E45" s="389"/>
      <c r="F45" s="101"/>
      <c r="G45" s="276">
        <f>E45*F45</f>
        <v>0</v>
      </c>
      <c r="H45" s="101">
        <v>3.78</v>
      </c>
      <c r="I45" s="101">
        <v>115.69</v>
      </c>
      <c r="J45" s="276">
        <f t="shared" si="1"/>
        <v>437.30819999999994</v>
      </c>
      <c r="K45" s="276">
        <f>G45+J45</f>
        <v>437.30819999999994</v>
      </c>
      <c r="L45" s="277"/>
      <c r="M45" s="276">
        <f>M44+L45-K45</f>
        <v>-186958.84559999997</v>
      </c>
      <c r="N45" s="276"/>
      <c r="O45" s="276"/>
    </row>
    <row r="46" spans="1:16">
      <c r="A46" s="289">
        <v>43</v>
      </c>
      <c r="B46" s="215">
        <v>46242</v>
      </c>
      <c r="C46" s="366" t="s">
        <v>255</v>
      </c>
      <c r="D46" s="366" t="s">
        <v>256</v>
      </c>
      <c r="E46" s="293">
        <v>39.979999999999997</v>
      </c>
      <c r="F46" s="368">
        <v>100.05</v>
      </c>
      <c r="G46" s="276">
        <f>E46*F46</f>
        <v>3999.9989999999998</v>
      </c>
      <c r="H46" s="385">
        <v>6</v>
      </c>
      <c r="I46" s="101">
        <v>112.07</v>
      </c>
      <c r="J46" s="276">
        <f t="shared" si="1"/>
        <v>672.42</v>
      </c>
      <c r="K46" s="276">
        <f>G46+J46</f>
        <v>4672.4189999999999</v>
      </c>
      <c r="L46" s="277"/>
      <c r="M46" s="276">
        <f>M45+L46-K46</f>
        <v>-191631.26459999997</v>
      </c>
      <c r="N46" s="276">
        <v>458115.19</v>
      </c>
      <c r="O46" s="276">
        <f>N46-M46</f>
        <v>649746.45459999994</v>
      </c>
    </row>
    <row r="47" spans="1:16">
      <c r="A47" s="94">
        <v>44</v>
      </c>
      <c r="B47" s="215">
        <v>46242</v>
      </c>
      <c r="C47" s="366" t="s">
        <v>257</v>
      </c>
      <c r="D47" s="366" t="s">
        <v>247</v>
      </c>
      <c r="E47" s="358">
        <v>15</v>
      </c>
      <c r="F47" s="386">
        <v>105.4</v>
      </c>
      <c r="G47" s="276">
        <f>E47*F47</f>
        <v>1581</v>
      </c>
      <c r="H47" s="101"/>
      <c r="I47" s="368"/>
      <c r="J47" s="276">
        <f t="shared" si="1"/>
        <v>0</v>
      </c>
      <c r="K47" s="276">
        <f>G47+J47</f>
        <v>1581</v>
      </c>
      <c r="L47" s="277"/>
      <c r="M47" s="276">
        <f>M46+L47-K47</f>
        <v>-193212.26459999997</v>
      </c>
      <c r="N47" s="276"/>
      <c r="O47" s="276"/>
    </row>
    <row r="48" spans="1:16">
      <c r="A48" s="94">
        <v>45</v>
      </c>
      <c r="B48" s="215">
        <v>46242</v>
      </c>
      <c r="C48" s="366" t="s">
        <v>261</v>
      </c>
      <c r="D48" s="366" t="s">
        <v>247</v>
      </c>
      <c r="E48" s="389"/>
      <c r="F48" s="101"/>
      <c r="G48" s="276">
        <f>E48*F48</f>
        <v>0</v>
      </c>
      <c r="H48" s="290">
        <v>9</v>
      </c>
      <c r="I48" s="101">
        <v>117.98</v>
      </c>
      <c r="J48" s="276">
        <f t="shared" si="1"/>
        <v>1061.82</v>
      </c>
      <c r="K48" s="276">
        <f>G48+J48</f>
        <v>1061.82</v>
      </c>
      <c r="L48" s="277"/>
      <c r="M48" s="276">
        <f>M47+L48-K48</f>
        <v>-194274.08459999997</v>
      </c>
      <c r="N48" s="276"/>
      <c r="O48" s="276"/>
    </row>
    <row r="49" spans="1:15">
      <c r="A49" s="289">
        <v>46</v>
      </c>
      <c r="B49" s="215">
        <v>46243</v>
      </c>
      <c r="C49" s="366" t="s">
        <v>261</v>
      </c>
      <c r="D49" s="366" t="s">
        <v>247</v>
      </c>
      <c r="E49" s="293"/>
      <c r="F49" s="368"/>
      <c r="G49" s="276">
        <f>E49*F49</f>
        <v>0</v>
      </c>
      <c r="H49" s="216">
        <v>2.0299999999999998</v>
      </c>
      <c r="I49" s="101">
        <v>117.98</v>
      </c>
      <c r="J49" s="276">
        <f t="shared" si="1"/>
        <v>239.49939999999998</v>
      </c>
      <c r="K49" s="276">
        <f>G49+J49</f>
        <v>239.49939999999998</v>
      </c>
      <c r="L49" s="277"/>
      <c r="M49" s="276">
        <f>M48+L49-K49</f>
        <v>-194513.58399999997</v>
      </c>
      <c r="N49" s="276"/>
      <c r="O49" s="276"/>
    </row>
    <row r="50" spans="1:15">
      <c r="A50" s="94">
        <v>47</v>
      </c>
      <c r="B50" s="215">
        <v>46244</v>
      </c>
      <c r="C50" s="366" t="s">
        <v>276</v>
      </c>
      <c r="D50" s="366" t="s">
        <v>51</v>
      </c>
      <c r="E50" s="305">
        <v>48.96</v>
      </c>
      <c r="F50" s="101">
        <v>100.07</v>
      </c>
      <c r="G50" s="276">
        <f>E50*F50</f>
        <v>4899.4272000000001</v>
      </c>
      <c r="H50" s="41"/>
      <c r="I50" s="368"/>
      <c r="J50" s="276">
        <f t="shared" si="1"/>
        <v>0</v>
      </c>
      <c r="K50" s="276">
        <f>G50+J50</f>
        <v>4899.4272000000001</v>
      </c>
      <c r="L50" s="277"/>
      <c r="M50" s="276">
        <f>M49+L50-K50</f>
        <v>-199413.01119999998</v>
      </c>
      <c r="N50" s="276"/>
      <c r="O50" s="276"/>
    </row>
    <row r="51" spans="1:15">
      <c r="A51" s="94">
        <v>48</v>
      </c>
      <c r="B51" s="215">
        <v>46244</v>
      </c>
      <c r="C51" s="366" t="s">
        <v>275</v>
      </c>
      <c r="D51" s="366" t="s">
        <v>40</v>
      </c>
      <c r="E51" s="293"/>
      <c r="F51" s="368"/>
      <c r="G51" s="276">
        <f>E51*F51</f>
        <v>0</v>
      </c>
      <c r="H51" s="394">
        <v>1.82</v>
      </c>
      <c r="I51" s="101">
        <v>115.69</v>
      </c>
      <c r="J51" s="276">
        <f t="shared" si="1"/>
        <v>210.5558</v>
      </c>
      <c r="K51" s="276">
        <f>G51+J51</f>
        <v>210.5558</v>
      </c>
      <c r="L51" s="277"/>
      <c r="M51" s="276">
        <f>M50+L51-K51</f>
        <v>-199623.56699999998</v>
      </c>
      <c r="N51" s="276"/>
      <c r="O51" s="276"/>
    </row>
    <row r="52" spans="1:15">
      <c r="A52" s="289">
        <v>49</v>
      </c>
      <c r="B52" s="215">
        <v>46244</v>
      </c>
      <c r="C52" s="366" t="s">
        <v>266</v>
      </c>
      <c r="D52" s="366" t="s">
        <v>247</v>
      </c>
      <c r="E52" s="293">
        <v>19.12</v>
      </c>
      <c r="F52" s="101">
        <v>104.62</v>
      </c>
      <c r="G52" s="276">
        <f>E52*F52</f>
        <v>2000.3344000000002</v>
      </c>
      <c r="H52" s="101"/>
      <c r="I52" s="368"/>
      <c r="J52" s="276">
        <f t="shared" si="1"/>
        <v>0</v>
      </c>
      <c r="K52" s="276">
        <f>G52+J52</f>
        <v>2000.3344000000002</v>
      </c>
      <c r="L52" s="277"/>
      <c r="M52" s="276">
        <f>M51+L52-K52</f>
        <v>-201623.90139999997</v>
      </c>
      <c r="N52" s="276"/>
      <c r="O52" s="276"/>
    </row>
    <row r="53" spans="1:15">
      <c r="A53" s="94">
        <v>50</v>
      </c>
      <c r="B53" s="215">
        <v>46245</v>
      </c>
      <c r="C53" s="366" t="s">
        <v>246</v>
      </c>
      <c r="D53" s="366" t="s">
        <v>247</v>
      </c>
      <c r="E53" s="293">
        <v>35</v>
      </c>
      <c r="F53" s="368">
        <v>104.7</v>
      </c>
      <c r="G53" s="276">
        <f>E53*F53</f>
        <v>3664.5</v>
      </c>
      <c r="H53" s="290"/>
      <c r="I53" s="101"/>
      <c r="J53" s="276">
        <f t="shared" si="1"/>
        <v>0</v>
      </c>
      <c r="K53" s="276">
        <f>G53+J53</f>
        <v>3664.5</v>
      </c>
      <c r="L53" s="277"/>
      <c r="M53" s="276">
        <f>M52+L53-K53</f>
        <v>-205288.40139999997</v>
      </c>
      <c r="N53" s="276"/>
      <c r="O53" s="276"/>
    </row>
    <row r="54" spans="1:15">
      <c r="A54" s="94">
        <v>51</v>
      </c>
      <c r="B54" s="215">
        <v>46245</v>
      </c>
      <c r="C54" s="366" t="s">
        <v>277</v>
      </c>
      <c r="D54" s="366" t="s">
        <v>53</v>
      </c>
      <c r="E54" s="388">
        <v>44.94</v>
      </c>
      <c r="F54" s="368">
        <v>100.15</v>
      </c>
      <c r="G54" s="276">
        <f>E54*F54</f>
        <v>4500.741</v>
      </c>
      <c r="H54" s="385"/>
      <c r="I54" s="385"/>
      <c r="J54" s="386">
        <f t="shared" si="1"/>
        <v>0</v>
      </c>
      <c r="K54" s="276">
        <f>G54+J54</f>
        <v>4500.741</v>
      </c>
      <c r="L54" s="277"/>
      <c r="M54" s="276">
        <f>M53+L54-K54</f>
        <v>-209789.14239999998</v>
      </c>
      <c r="N54" s="276"/>
      <c r="O54" s="276"/>
    </row>
    <row r="55" spans="1:15">
      <c r="A55" s="396">
        <v>52</v>
      </c>
      <c r="B55" s="397">
        <v>46245</v>
      </c>
      <c r="C55" s="366" t="s">
        <v>275</v>
      </c>
      <c r="D55" s="366" t="s">
        <v>40</v>
      </c>
      <c r="E55" s="101"/>
      <c r="F55" s="101"/>
      <c r="G55" s="276">
        <f>E55*F55</f>
        <v>0</v>
      </c>
      <c r="H55" s="101">
        <v>3.89</v>
      </c>
      <c r="I55" s="101">
        <v>115.69</v>
      </c>
      <c r="J55" s="276">
        <f t="shared" si="1"/>
        <v>450.03410000000002</v>
      </c>
      <c r="K55" s="276">
        <f>G55+J55</f>
        <v>450.03410000000002</v>
      </c>
      <c r="L55" s="400"/>
      <c r="M55" s="276">
        <f>M54+L55-K55</f>
        <v>-210239.17649999997</v>
      </c>
      <c r="N55" s="276"/>
      <c r="O55" s="276"/>
    </row>
    <row r="56" spans="1:15">
      <c r="A56" s="14">
        <v>53</v>
      </c>
      <c r="B56" s="398">
        <v>46245</v>
      </c>
      <c r="C56" s="366" t="s">
        <v>261</v>
      </c>
      <c r="D56" s="366" t="s">
        <v>247</v>
      </c>
      <c r="E56" s="101">
        <v>28.41</v>
      </c>
      <c r="F56" s="101">
        <v>105.59</v>
      </c>
      <c r="G56" s="276">
        <f>E56*F56</f>
        <v>2999.8119000000002</v>
      </c>
      <c r="H56" s="101">
        <v>2</v>
      </c>
      <c r="I56" s="101">
        <v>117.98</v>
      </c>
      <c r="J56" s="276">
        <f t="shared" si="1"/>
        <v>235.96</v>
      </c>
      <c r="K56" s="276">
        <f>G56+J56</f>
        <v>3235.7719000000002</v>
      </c>
      <c r="L56" s="401"/>
      <c r="M56" s="278">
        <f>M55+L56-K56</f>
        <v>-213474.94839999996</v>
      </c>
      <c r="N56" s="276"/>
      <c r="O56" s="276"/>
    </row>
    <row r="57" spans="1:15" ht="15" customHeight="1">
      <c r="A57" s="14">
        <v>54</v>
      </c>
      <c r="B57" s="398">
        <v>46246</v>
      </c>
      <c r="C57" s="366" t="s">
        <v>278</v>
      </c>
      <c r="D57" s="366" t="s">
        <v>279</v>
      </c>
      <c r="E57" s="101">
        <v>39.67</v>
      </c>
      <c r="F57" s="101">
        <v>104.95</v>
      </c>
      <c r="G57" s="276">
        <f>E57*F57</f>
        <v>4163.3665000000001</v>
      </c>
      <c r="H57" s="101"/>
      <c r="I57" s="101"/>
      <c r="J57" s="276">
        <f t="shared" si="1"/>
        <v>0</v>
      </c>
      <c r="K57" s="276">
        <f>G57+J57</f>
        <v>4163.3665000000001</v>
      </c>
      <c r="L57" s="401"/>
      <c r="M57" s="278">
        <f>M56+L57-K57</f>
        <v>-217638.31489999997</v>
      </c>
      <c r="N57" s="276"/>
      <c r="O57" s="276"/>
    </row>
    <row r="58" spans="1:15" ht="15" customHeight="1">
      <c r="A58" s="14">
        <v>55</v>
      </c>
      <c r="B58" s="398">
        <v>46246</v>
      </c>
      <c r="C58" s="366" t="s">
        <v>246</v>
      </c>
      <c r="D58" s="366" t="s">
        <v>247</v>
      </c>
      <c r="E58" s="101">
        <v>30</v>
      </c>
      <c r="F58" s="101">
        <v>104.7</v>
      </c>
      <c r="G58" s="276">
        <f>E58*F58</f>
        <v>3141</v>
      </c>
      <c r="H58" s="101"/>
      <c r="I58" s="101"/>
      <c r="J58" s="276">
        <f t="shared" si="1"/>
        <v>0</v>
      </c>
      <c r="K58" s="276">
        <f>G58+J58</f>
        <v>3141</v>
      </c>
      <c r="L58" s="401"/>
      <c r="M58" s="278">
        <f>M57+L58-K58</f>
        <v>-220779.31489999997</v>
      </c>
      <c r="N58" s="276"/>
      <c r="O58" s="276"/>
    </row>
    <row r="59" spans="1:15" ht="15" customHeight="1">
      <c r="A59" s="14">
        <v>56</v>
      </c>
      <c r="B59" s="398">
        <v>46246</v>
      </c>
      <c r="C59" s="366" t="s">
        <v>280</v>
      </c>
      <c r="D59" s="366" t="s">
        <v>247</v>
      </c>
      <c r="E59" s="101">
        <v>9.57</v>
      </c>
      <c r="F59" s="101">
        <v>104.51</v>
      </c>
      <c r="G59" s="276">
        <f>E59*F59</f>
        <v>1000.1607000000001</v>
      </c>
      <c r="H59" s="101"/>
      <c r="I59" s="101"/>
      <c r="J59" s="276">
        <f t="shared" si="1"/>
        <v>0</v>
      </c>
      <c r="K59" s="276">
        <f>G59+J59</f>
        <v>1000.1607000000001</v>
      </c>
      <c r="L59" s="401"/>
      <c r="M59" s="278">
        <f>M58+L59-K59</f>
        <v>-221779.47559999998</v>
      </c>
      <c r="N59" s="276"/>
      <c r="O59" s="276"/>
    </row>
    <row r="60" spans="1:15" ht="15" customHeight="1">
      <c r="A60" s="14">
        <v>57</v>
      </c>
      <c r="B60" s="398">
        <v>46246</v>
      </c>
      <c r="C60" s="366" t="s">
        <v>255</v>
      </c>
      <c r="D60" s="366" t="s">
        <v>256</v>
      </c>
      <c r="E60" s="101">
        <v>68.040000000000006</v>
      </c>
      <c r="F60" s="101">
        <v>100.05</v>
      </c>
      <c r="G60" s="276">
        <f>E60*F60</f>
        <v>6807.402</v>
      </c>
      <c r="H60" s="101">
        <v>10</v>
      </c>
      <c r="I60" s="101">
        <v>112.07</v>
      </c>
      <c r="J60" s="276">
        <f t="shared" si="1"/>
        <v>1120.6999999999998</v>
      </c>
      <c r="K60" s="276">
        <f>G60+J60</f>
        <v>7928.1019999999999</v>
      </c>
      <c r="L60" s="401"/>
      <c r="M60" s="278">
        <f>M59+L60-K60</f>
        <v>-229707.57759999999</v>
      </c>
      <c r="N60" s="276"/>
      <c r="O60" s="276"/>
    </row>
    <row r="61" spans="1:15" ht="15" customHeight="1">
      <c r="A61" s="14">
        <v>58</v>
      </c>
      <c r="B61" s="398">
        <v>46246</v>
      </c>
      <c r="C61" s="366" t="s">
        <v>261</v>
      </c>
      <c r="D61" s="366" t="s">
        <v>247</v>
      </c>
      <c r="E61" s="101"/>
      <c r="F61" s="101"/>
      <c r="G61" s="276">
        <f>E61*F61</f>
        <v>0</v>
      </c>
      <c r="H61" s="101">
        <v>3</v>
      </c>
      <c r="I61" s="101">
        <v>117.98</v>
      </c>
      <c r="J61" s="276">
        <f t="shared" si="1"/>
        <v>353.94</v>
      </c>
      <c r="K61" s="276">
        <f>G61+J61</f>
        <v>353.94</v>
      </c>
      <c r="L61" s="401"/>
      <c r="M61" s="278">
        <f>M60+L61-K61</f>
        <v>-230061.51759999999</v>
      </c>
      <c r="N61" s="276"/>
      <c r="O61" s="276"/>
    </row>
    <row r="62" spans="1:15" ht="15" customHeight="1">
      <c r="A62" s="14">
        <v>59</v>
      </c>
      <c r="B62" s="398">
        <v>46246</v>
      </c>
      <c r="C62" s="366" t="s">
        <v>262</v>
      </c>
      <c r="D62" s="366" t="s">
        <v>247</v>
      </c>
      <c r="E62" s="101"/>
      <c r="F62" s="101"/>
      <c r="G62" s="276">
        <f>E62*F62</f>
        <v>0</v>
      </c>
      <c r="H62" s="101">
        <v>5</v>
      </c>
      <c r="I62" s="101">
        <v>117.32</v>
      </c>
      <c r="J62" s="276">
        <f t="shared" si="1"/>
        <v>586.59999999999991</v>
      </c>
      <c r="K62" s="276">
        <f>G62+J62</f>
        <v>586.59999999999991</v>
      </c>
      <c r="L62" s="401"/>
      <c r="M62" s="278">
        <f>M61+L62-K62</f>
        <v>-230648.1176</v>
      </c>
      <c r="N62" s="276"/>
      <c r="O62" s="276"/>
    </row>
    <row r="63" spans="1:15">
      <c r="A63" s="373">
        <v>60</v>
      </c>
      <c r="B63" s="398">
        <v>46247</v>
      </c>
      <c r="C63" s="101" t="s">
        <v>275</v>
      </c>
      <c r="D63" s="101" t="s">
        <v>281</v>
      </c>
      <c r="E63" s="276">
        <v>47.57</v>
      </c>
      <c r="F63" s="101">
        <v>103.82</v>
      </c>
      <c r="G63" s="276">
        <f>E63*F63</f>
        <v>4938.7173999999995</v>
      </c>
      <c r="H63" s="101"/>
      <c r="I63" s="101"/>
      <c r="J63" s="276">
        <f t="shared" si="1"/>
        <v>0</v>
      </c>
      <c r="K63" s="276">
        <f>G63+J63</f>
        <v>4938.7173999999995</v>
      </c>
      <c r="L63" s="401"/>
      <c r="M63" s="278">
        <f>M62+L63-K63</f>
        <v>-235586.83499999999</v>
      </c>
      <c r="N63" s="276"/>
      <c r="O63" s="276"/>
    </row>
    <row r="64" spans="1:15">
      <c r="A64" s="375">
        <v>61</v>
      </c>
      <c r="B64" s="399">
        <v>46247</v>
      </c>
      <c r="C64" s="101" t="s">
        <v>261</v>
      </c>
      <c r="D64" s="101" t="s">
        <v>247</v>
      </c>
      <c r="E64" s="276">
        <v>40</v>
      </c>
      <c r="F64" s="101">
        <v>105.59</v>
      </c>
      <c r="G64" s="276">
        <f>E64*F64</f>
        <v>4223.6000000000004</v>
      </c>
      <c r="H64" s="101">
        <v>5</v>
      </c>
      <c r="I64" s="101">
        <v>117.98</v>
      </c>
      <c r="J64" s="276">
        <f t="shared" si="1"/>
        <v>589.9</v>
      </c>
      <c r="K64" s="276">
        <f>G64+J64</f>
        <v>4813.5</v>
      </c>
      <c r="L64" s="402"/>
      <c r="M64" s="278">
        <f>M63+L64-K64</f>
        <v>-240400.33499999999</v>
      </c>
      <c r="N64" s="276"/>
      <c r="O64" s="276"/>
    </row>
    <row r="65" spans="1:15">
      <c r="A65" s="94">
        <v>62</v>
      </c>
      <c r="B65" s="398">
        <v>46247</v>
      </c>
      <c r="C65" s="101" t="s">
        <v>282</v>
      </c>
      <c r="D65" s="101" t="s">
        <v>53</v>
      </c>
      <c r="E65" s="101">
        <v>39.799999999999997</v>
      </c>
      <c r="F65" s="101">
        <v>100.07</v>
      </c>
      <c r="G65" s="276">
        <f>E65*F65</f>
        <v>3982.7859999999996</v>
      </c>
      <c r="H65" s="101"/>
      <c r="I65" s="101"/>
      <c r="J65" s="276">
        <f t="shared" si="1"/>
        <v>0</v>
      </c>
      <c r="K65" s="276">
        <f>G65+J65</f>
        <v>3982.7859999999996</v>
      </c>
      <c r="L65" s="401"/>
      <c r="M65" s="278">
        <f>M64+L65-K65</f>
        <v>-244383.12099999998</v>
      </c>
      <c r="N65" s="276"/>
      <c r="O65" s="276"/>
    </row>
    <row r="66" spans="1:15">
      <c r="A66" s="289">
        <v>63</v>
      </c>
      <c r="B66" s="215">
        <v>46247</v>
      </c>
      <c r="C66" s="290" t="s">
        <v>276</v>
      </c>
      <c r="D66" s="290" t="s">
        <v>51</v>
      </c>
      <c r="E66" s="305">
        <v>36.729999999999997</v>
      </c>
      <c r="F66" s="368">
        <v>100.07</v>
      </c>
      <c r="G66" s="276">
        <f>E66*F66</f>
        <v>3675.5710999999997</v>
      </c>
      <c r="H66" s="395"/>
      <c r="I66" s="290"/>
      <c r="J66" s="279">
        <f t="shared" si="1"/>
        <v>0</v>
      </c>
      <c r="K66" s="276">
        <f>G66+J66</f>
        <v>3675.5710999999997</v>
      </c>
      <c r="L66" s="277"/>
      <c r="M66" s="278">
        <f>M65+L66-K66</f>
        <v>-248058.69209999999</v>
      </c>
      <c r="N66" s="276"/>
      <c r="O66" s="276"/>
    </row>
    <row r="67" spans="1:15">
      <c r="A67" s="94">
        <v>64</v>
      </c>
      <c r="B67" s="215">
        <v>46248</v>
      </c>
      <c r="C67" s="101" t="s">
        <v>283</v>
      </c>
      <c r="D67" s="101" t="s">
        <v>284</v>
      </c>
      <c r="E67" s="358">
        <v>285.39</v>
      </c>
      <c r="F67" s="386">
        <v>105.12</v>
      </c>
      <c r="G67" s="276">
        <f>E67*F67</f>
        <v>30000.196800000002</v>
      </c>
      <c r="H67" s="101"/>
      <c r="I67" s="368"/>
      <c r="J67" s="276">
        <f t="shared" si="1"/>
        <v>0</v>
      </c>
      <c r="K67" s="276">
        <f>G67+J67</f>
        <v>30000.196800000002</v>
      </c>
      <c r="L67" s="277"/>
      <c r="M67" s="278">
        <f>M66+L67-K67</f>
        <v>-278058.88889999996</v>
      </c>
      <c r="N67" s="276"/>
      <c r="O67" s="276"/>
    </row>
    <row r="68" spans="1:15">
      <c r="A68" s="94">
        <v>65</v>
      </c>
      <c r="B68" s="215">
        <v>46248</v>
      </c>
      <c r="C68" s="101" t="s">
        <v>261</v>
      </c>
      <c r="D68" s="101" t="s">
        <v>247</v>
      </c>
      <c r="E68" s="391">
        <v>30</v>
      </c>
      <c r="F68" s="101">
        <v>105.59</v>
      </c>
      <c r="G68" s="276">
        <f>E68*F68</f>
        <v>3167.7000000000003</v>
      </c>
      <c r="H68" s="395"/>
      <c r="I68" s="385"/>
      <c r="J68" s="276">
        <f t="shared" si="1"/>
        <v>0</v>
      </c>
      <c r="K68" s="276">
        <f>G68+J68</f>
        <v>3167.7000000000003</v>
      </c>
      <c r="L68" s="277"/>
      <c r="M68" s="278">
        <f>M67+L68-K68</f>
        <v>-281226.58889999997</v>
      </c>
      <c r="N68" s="276"/>
      <c r="O68" s="276"/>
    </row>
    <row r="69" spans="1:15">
      <c r="A69" s="289">
        <v>66</v>
      </c>
      <c r="B69" s="215">
        <v>46248</v>
      </c>
      <c r="C69" s="101" t="s">
        <v>285</v>
      </c>
      <c r="D69" s="101" t="s">
        <v>247</v>
      </c>
      <c r="E69" s="278">
        <v>30</v>
      </c>
      <c r="F69" s="368">
        <v>104.98</v>
      </c>
      <c r="G69" s="276">
        <f>E69*F69</f>
        <v>3149.4</v>
      </c>
      <c r="H69" s="387"/>
      <c r="I69" s="385"/>
      <c r="J69" s="276">
        <f t="shared" si="1"/>
        <v>0</v>
      </c>
      <c r="K69" s="276">
        <f>G69+J69</f>
        <v>3149.4</v>
      </c>
      <c r="L69" s="277"/>
      <c r="M69" s="278">
        <f>M68+L69-K69</f>
        <v>-284375.9889</v>
      </c>
      <c r="N69" s="276"/>
      <c r="O69" s="276"/>
    </row>
    <row r="70" spans="1:15">
      <c r="A70" s="94">
        <v>67</v>
      </c>
      <c r="B70" s="215">
        <v>46249</v>
      </c>
      <c r="C70" s="101" t="s">
        <v>255</v>
      </c>
      <c r="D70" s="101" t="s">
        <v>256</v>
      </c>
      <c r="E70" s="278">
        <v>31.26</v>
      </c>
      <c r="F70" s="276">
        <v>100.05</v>
      </c>
      <c r="G70" s="276">
        <f>E70*F70</f>
        <v>3127.5630000000001</v>
      </c>
      <c r="H70" s="387"/>
      <c r="I70" s="101"/>
      <c r="J70" s="276">
        <f t="shared" si="1"/>
        <v>0</v>
      </c>
      <c r="K70" s="276">
        <f>G70+J70</f>
        <v>3127.5630000000001</v>
      </c>
      <c r="L70" s="277"/>
      <c r="M70" s="278">
        <f>M69+L70-K70</f>
        <v>-287503.55190000002</v>
      </c>
      <c r="N70" s="353"/>
      <c r="O70" s="276"/>
    </row>
    <row r="71" spans="1:15">
      <c r="A71" s="94">
        <v>68</v>
      </c>
      <c r="B71" s="215">
        <v>46249</v>
      </c>
      <c r="C71" s="101" t="s">
        <v>259</v>
      </c>
      <c r="D71" s="101" t="s">
        <v>53</v>
      </c>
      <c r="E71" s="390">
        <v>30.11</v>
      </c>
      <c r="F71" s="385">
        <v>99.62</v>
      </c>
      <c r="G71" s="276">
        <f>E71*F71</f>
        <v>2999.5581999999999</v>
      </c>
      <c r="H71" s="101"/>
      <c r="I71" s="368"/>
      <c r="J71" s="276">
        <f t="shared" si="1"/>
        <v>0</v>
      </c>
      <c r="K71" s="276">
        <f>G71+J71</f>
        <v>2999.5581999999999</v>
      </c>
      <c r="L71" s="277"/>
      <c r="M71" s="278">
        <f>M70+L71-K71</f>
        <v>-290503.11010000005</v>
      </c>
      <c r="N71" s="177"/>
      <c r="O71" s="177"/>
    </row>
    <row r="72" spans="1:15">
      <c r="A72" s="289">
        <v>69</v>
      </c>
      <c r="B72" s="215">
        <v>46250</v>
      </c>
      <c r="C72" s="101" t="s">
        <v>253</v>
      </c>
      <c r="D72" s="101" t="s">
        <v>247</v>
      </c>
      <c r="E72" s="392">
        <v>14.34</v>
      </c>
      <c r="F72" s="101">
        <v>104.62</v>
      </c>
      <c r="G72" s="276">
        <f>E72*F72</f>
        <v>1500.2508</v>
      </c>
      <c r="H72" s="290"/>
      <c r="I72" s="101"/>
      <c r="J72" s="276">
        <f t="shared" si="1"/>
        <v>0</v>
      </c>
      <c r="K72" s="276">
        <f>G72+J72</f>
        <v>1500.2508</v>
      </c>
      <c r="L72" s="277"/>
      <c r="M72" s="278">
        <f>M71+L72-K72</f>
        <v>-292003.36090000003</v>
      </c>
      <c r="N72" s="177"/>
      <c r="O72" s="177"/>
    </row>
    <row r="73" spans="1:15">
      <c r="A73" s="403">
        <v>70</v>
      </c>
      <c r="B73" s="393">
        <v>46250</v>
      </c>
      <c r="C73" s="385" t="s">
        <v>286</v>
      </c>
      <c r="D73" s="385" t="s">
        <v>48</v>
      </c>
      <c r="E73" s="404">
        <v>53.92</v>
      </c>
      <c r="F73" s="368">
        <v>103.84</v>
      </c>
      <c r="G73" s="276">
        <f>E73*F73</f>
        <v>5599.0528000000004</v>
      </c>
      <c r="H73" s="386"/>
      <c r="I73" s="386"/>
      <c r="J73" s="386">
        <f t="shared" si="1"/>
        <v>0</v>
      </c>
      <c r="K73" s="276">
        <f>G73+J73</f>
        <v>5599.0528000000004</v>
      </c>
      <c r="L73" s="405"/>
      <c r="M73" s="278">
        <f>M72+L73-K73</f>
        <v>-297602.41370000003</v>
      </c>
      <c r="N73" s="177"/>
      <c r="O73" s="177"/>
    </row>
    <row r="74" spans="1:15">
      <c r="A74" s="14">
        <v>71</v>
      </c>
      <c r="B74" s="215">
        <v>46250</v>
      </c>
      <c r="C74" s="41" t="s">
        <v>261</v>
      </c>
      <c r="D74" s="41" t="s">
        <v>247</v>
      </c>
      <c r="E74" s="41"/>
      <c r="F74" s="41"/>
      <c r="G74" s="276">
        <f>E74*F74</f>
        <v>0</v>
      </c>
      <c r="H74" s="276">
        <v>4</v>
      </c>
      <c r="I74" s="41">
        <v>117.98</v>
      </c>
      <c r="J74" s="276">
        <f t="shared" ref="J74:J97" si="2">H74*I74</f>
        <v>471.92</v>
      </c>
      <c r="K74" s="276">
        <f>G74+J74</f>
        <v>471.92</v>
      </c>
      <c r="L74" s="277"/>
      <c r="M74" s="278">
        <f>M73+L74-K74</f>
        <v>-298074.33370000002</v>
      </c>
      <c r="N74" s="177"/>
      <c r="O74" s="177"/>
    </row>
    <row r="75" spans="1:15">
      <c r="A75" s="373">
        <v>72</v>
      </c>
      <c r="B75" s="215">
        <v>46250</v>
      </c>
      <c r="C75" s="41" t="s">
        <v>258</v>
      </c>
      <c r="D75" s="41" t="s">
        <v>281</v>
      </c>
      <c r="E75" s="41">
        <v>41.67</v>
      </c>
      <c r="F75" s="41">
        <v>103.82</v>
      </c>
      <c r="G75" s="276">
        <f>E75*F75</f>
        <v>4326.1794</v>
      </c>
      <c r="H75" s="276"/>
      <c r="I75" s="276"/>
      <c r="J75" s="276">
        <f t="shared" si="2"/>
        <v>0</v>
      </c>
      <c r="K75" s="276">
        <f>G75+J75</f>
        <v>4326.1794</v>
      </c>
      <c r="L75" s="277"/>
      <c r="M75" s="278">
        <f>M74+L75-K75</f>
        <v>-302400.51310000004</v>
      </c>
      <c r="N75" s="177"/>
      <c r="O75" s="177"/>
    </row>
    <row r="76" spans="1:15">
      <c r="A76" s="14">
        <v>73</v>
      </c>
      <c r="B76" s="215">
        <v>46251</v>
      </c>
      <c r="C76" s="41" t="s">
        <v>287</v>
      </c>
      <c r="D76" s="41" t="s">
        <v>51</v>
      </c>
      <c r="E76" s="41">
        <v>49.1</v>
      </c>
      <c r="F76" s="41">
        <v>99.79</v>
      </c>
      <c r="G76" s="276">
        <f>E76*F76</f>
        <v>4899.6890000000003</v>
      </c>
      <c r="H76" s="101"/>
      <c r="I76" s="101"/>
      <c r="J76" s="276">
        <f t="shared" si="2"/>
        <v>0</v>
      </c>
      <c r="K76" s="276">
        <f>G76+J76</f>
        <v>4899.6890000000003</v>
      </c>
      <c r="L76" s="277"/>
      <c r="M76" s="278">
        <f>M75+L76-K76</f>
        <v>-307300.20210000005</v>
      </c>
      <c r="N76" s="177"/>
      <c r="O76" s="177"/>
    </row>
    <row r="77" spans="1:15">
      <c r="A77" s="14">
        <v>74</v>
      </c>
      <c r="B77" s="215">
        <v>46251</v>
      </c>
      <c r="C77" s="41" t="s">
        <v>265</v>
      </c>
      <c r="D77" s="41" t="s">
        <v>40</v>
      </c>
      <c r="E77" s="41"/>
      <c r="F77" s="41"/>
      <c r="G77" s="276">
        <f>E77*F77</f>
        <v>0</v>
      </c>
      <c r="H77" s="101">
        <v>3.89</v>
      </c>
      <c r="I77" s="101">
        <v>115.69</v>
      </c>
      <c r="J77" s="276">
        <f t="shared" si="2"/>
        <v>450.03410000000002</v>
      </c>
      <c r="K77" s="276">
        <f>G77+J77</f>
        <v>450.03410000000002</v>
      </c>
      <c r="L77" s="277"/>
      <c r="M77" s="278">
        <f>M76+L77-K77</f>
        <v>-307750.23620000004</v>
      </c>
      <c r="N77" s="177"/>
      <c r="O77" s="177"/>
    </row>
    <row r="78" spans="1:15">
      <c r="A78" s="373">
        <v>75</v>
      </c>
      <c r="B78" s="215">
        <v>46251</v>
      </c>
      <c r="C78" s="41" t="s">
        <v>283</v>
      </c>
      <c r="D78" s="41" t="s">
        <v>284</v>
      </c>
      <c r="E78" s="41">
        <v>285.39</v>
      </c>
      <c r="F78" s="41">
        <v>105.12</v>
      </c>
      <c r="G78" s="276">
        <f>E78*F78</f>
        <v>30000.196800000002</v>
      </c>
      <c r="H78" s="276"/>
      <c r="I78" s="276"/>
      <c r="J78" s="276">
        <f t="shared" si="2"/>
        <v>0</v>
      </c>
      <c r="K78" s="276">
        <f>G78+J78</f>
        <v>30000.196800000002</v>
      </c>
      <c r="L78" s="277"/>
      <c r="M78" s="278">
        <f>M77+L78-K78</f>
        <v>-337750.43300000002</v>
      </c>
      <c r="N78" s="177"/>
      <c r="O78" s="177"/>
    </row>
    <row r="79" spans="1:15">
      <c r="A79" s="373">
        <v>76</v>
      </c>
      <c r="B79" s="376">
        <v>46251</v>
      </c>
      <c r="C79" s="295" t="s">
        <v>255</v>
      </c>
      <c r="D79" s="295" t="s">
        <v>256</v>
      </c>
      <c r="E79" s="279">
        <v>124.61</v>
      </c>
      <c r="F79" s="279">
        <v>100.05</v>
      </c>
      <c r="G79" s="279">
        <f>E79*F79</f>
        <v>12467.2305</v>
      </c>
      <c r="H79" s="279">
        <v>12</v>
      </c>
      <c r="I79" s="279">
        <v>112.07</v>
      </c>
      <c r="J79" s="279">
        <f t="shared" si="2"/>
        <v>1344.84</v>
      </c>
      <c r="K79" s="276">
        <f>G79+J79</f>
        <v>13812.0705</v>
      </c>
      <c r="L79" s="406"/>
      <c r="M79" s="278">
        <f>M78+L79-K79</f>
        <v>-351562.50349999999</v>
      </c>
      <c r="N79" s="177"/>
      <c r="O79" s="177"/>
    </row>
    <row r="80" spans="1:15">
      <c r="A80" s="373">
        <v>77</v>
      </c>
      <c r="B80" s="215">
        <v>46251</v>
      </c>
      <c r="C80" s="14" t="s">
        <v>261</v>
      </c>
      <c r="D80" s="160" t="s">
        <v>247</v>
      </c>
      <c r="E80" s="276">
        <v>14.21</v>
      </c>
      <c r="F80" s="276">
        <v>105.59</v>
      </c>
      <c r="G80" s="276">
        <f>E80*F80</f>
        <v>1500.4339000000002</v>
      </c>
      <c r="H80" s="276"/>
      <c r="I80" s="276"/>
      <c r="J80" s="276">
        <f t="shared" si="2"/>
        <v>0</v>
      </c>
      <c r="K80" s="276">
        <f>G80+J80</f>
        <v>1500.4339000000002</v>
      </c>
      <c r="L80" s="277"/>
      <c r="M80" s="278">
        <f>M79+L80-K80</f>
        <v>-353062.9374</v>
      </c>
      <c r="N80" s="177"/>
      <c r="O80" s="177"/>
    </row>
    <row r="81" spans="1:15">
      <c r="A81" s="373">
        <v>78</v>
      </c>
      <c r="B81" s="215">
        <v>46252</v>
      </c>
      <c r="C81" s="160" t="s">
        <v>275</v>
      </c>
      <c r="D81" s="160" t="s">
        <v>44</v>
      </c>
      <c r="E81" s="276">
        <v>38.1</v>
      </c>
      <c r="F81" s="276">
        <v>103.82</v>
      </c>
      <c r="G81" s="276">
        <f>E81*F81</f>
        <v>3955.5419999999999</v>
      </c>
      <c r="H81" s="276"/>
      <c r="I81" s="276"/>
      <c r="J81" s="276">
        <f t="shared" si="2"/>
        <v>0</v>
      </c>
      <c r="K81" s="276">
        <f>G81+J81</f>
        <v>3955.5419999999999</v>
      </c>
      <c r="L81" s="277"/>
      <c r="M81" s="278">
        <f>M80+L81-K81</f>
        <v>-357018.47940000001</v>
      </c>
      <c r="N81" s="177"/>
      <c r="O81" s="177"/>
    </row>
    <row r="82" spans="1:15">
      <c r="A82" s="373">
        <v>79</v>
      </c>
      <c r="B82" s="215">
        <v>46252</v>
      </c>
      <c r="C82" s="160" t="s">
        <v>261</v>
      </c>
      <c r="D82" s="160" t="s">
        <v>247</v>
      </c>
      <c r="E82" s="276">
        <v>47.35</v>
      </c>
      <c r="F82" s="276">
        <v>105.59</v>
      </c>
      <c r="G82" s="276">
        <f>E82*F82</f>
        <v>4999.6865000000007</v>
      </c>
      <c r="H82" s="276">
        <v>9.73</v>
      </c>
      <c r="I82" s="276">
        <v>117.98</v>
      </c>
      <c r="J82" s="276">
        <f t="shared" si="2"/>
        <v>1147.9454000000001</v>
      </c>
      <c r="K82" s="276">
        <f>G82+J82</f>
        <v>6147.6319000000003</v>
      </c>
      <c r="L82" s="277"/>
      <c r="M82" s="278">
        <f>M81+L82-K82</f>
        <v>-363166.11129999999</v>
      </c>
      <c r="N82" s="177"/>
      <c r="O82" s="177"/>
    </row>
    <row r="83" spans="1:15">
      <c r="A83" s="373">
        <v>80</v>
      </c>
      <c r="B83" s="215">
        <v>46252</v>
      </c>
      <c r="C83" s="160" t="s">
        <v>262</v>
      </c>
      <c r="D83" s="160" t="s">
        <v>247</v>
      </c>
      <c r="E83" s="276"/>
      <c r="F83" s="276"/>
      <c r="G83" s="276">
        <f>E83*F83</f>
        <v>0</v>
      </c>
      <c r="H83" s="276">
        <v>5</v>
      </c>
      <c r="I83" s="276">
        <v>117.32</v>
      </c>
      <c r="J83" s="276">
        <f>H83*I83</f>
        <v>586.59999999999991</v>
      </c>
      <c r="K83" s="276">
        <f t="shared" ref="K75:K98" si="3">G83+J83</f>
        <v>586.59999999999991</v>
      </c>
      <c r="L83" s="277"/>
      <c r="M83" s="278">
        <f>M82+L83-K83</f>
        <v>-363752.71129999997</v>
      </c>
      <c r="N83" s="177"/>
      <c r="O83" s="177"/>
    </row>
    <row r="84" spans="1:15">
      <c r="A84" s="373">
        <v>81</v>
      </c>
      <c r="B84" s="215">
        <v>46252</v>
      </c>
      <c r="C84" s="160" t="s">
        <v>276</v>
      </c>
      <c r="D84" s="160" t="s">
        <v>51</v>
      </c>
      <c r="E84" s="276">
        <v>49.96</v>
      </c>
      <c r="F84" s="276">
        <v>100.07</v>
      </c>
      <c r="G84" s="276">
        <f>E84*F84</f>
        <v>4999.4971999999998</v>
      </c>
      <c r="H84" s="276"/>
      <c r="I84" s="276"/>
      <c r="J84" s="276">
        <f>H84*I84</f>
        <v>0</v>
      </c>
      <c r="K84" s="276">
        <f t="shared" si="3"/>
        <v>4999.4971999999998</v>
      </c>
      <c r="L84" s="277"/>
      <c r="M84" s="278">
        <f>M83+L84-K84</f>
        <v>-368752.20849999995</v>
      </c>
      <c r="N84" s="177"/>
      <c r="O84" s="177"/>
    </row>
    <row r="85" spans="1:15">
      <c r="A85" s="373">
        <v>82</v>
      </c>
      <c r="B85" s="215">
        <v>46253</v>
      </c>
      <c r="C85" s="160" t="s">
        <v>288</v>
      </c>
      <c r="D85" s="160" t="s">
        <v>247</v>
      </c>
      <c r="E85" s="276">
        <v>38.14</v>
      </c>
      <c r="F85" s="276">
        <v>104.88</v>
      </c>
      <c r="G85" s="276">
        <f>E85*F85</f>
        <v>4000.1232</v>
      </c>
      <c r="H85" s="276"/>
      <c r="I85" s="276"/>
      <c r="J85" s="276">
        <f>H85*I85</f>
        <v>0</v>
      </c>
      <c r="K85" s="276">
        <f t="shared" si="3"/>
        <v>4000.1232</v>
      </c>
      <c r="L85" s="277"/>
      <c r="M85" s="278">
        <f>M84+L85-K85</f>
        <v>-372752.33169999992</v>
      </c>
      <c r="N85" s="177"/>
      <c r="O85" s="177"/>
    </row>
    <row r="86" spans="1:15">
      <c r="A86" s="373">
        <v>83</v>
      </c>
      <c r="B86" s="215">
        <v>46253</v>
      </c>
      <c r="C86" s="160" t="s">
        <v>289</v>
      </c>
      <c r="D86" s="160" t="s">
        <v>53</v>
      </c>
      <c r="E86" s="276">
        <v>44.63</v>
      </c>
      <c r="F86" s="276">
        <v>99.95</v>
      </c>
      <c r="G86" s="276">
        <f>E86*F86</f>
        <v>4460.7685000000001</v>
      </c>
      <c r="H86" s="276"/>
      <c r="I86" s="276"/>
      <c r="J86" s="276">
        <f>H86*I86</f>
        <v>0</v>
      </c>
      <c r="K86" s="276">
        <f t="shared" si="3"/>
        <v>4460.7685000000001</v>
      </c>
      <c r="L86" s="277"/>
      <c r="M86" s="278">
        <f>M85+L86-K86</f>
        <v>-377213.10019999993</v>
      </c>
      <c r="N86" s="177"/>
      <c r="O86" s="177"/>
    </row>
    <row r="87" spans="1:15">
      <c r="A87" s="373">
        <v>84</v>
      </c>
      <c r="B87" s="215">
        <v>46253</v>
      </c>
      <c r="C87" s="160" t="s">
        <v>255</v>
      </c>
      <c r="D87" s="160" t="s">
        <v>256</v>
      </c>
      <c r="E87" s="276"/>
      <c r="F87" s="276"/>
      <c r="G87" s="276">
        <f>E87*F87</f>
        <v>0</v>
      </c>
      <c r="H87" s="276">
        <v>7</v>
      </c>
      <c r="I87" s="276">
        <v>112.07</v>
      </c>
      <c r="J87" s="276">
        <f t="shared" ref="J87:J91" si="4">H87*I87</f>
        <v>784.49</v>
      </c>
      <c r="K87" s="276">
        <f t="shared" si="3"/>
        <v>784.49</v>
      </c>
      <c r="L87" s="277"/>
      <c r="M87" s="278">
        <f>M86+L87-K87</f>
        <v>-377997.59019999992</v>
      </c>
      <c r="N87" s="177"/>
      <c r="O87" s="177"/>
    </row>
    <row r="88" spans="1:15">
      <c r="A88" s="373">
        <v>85</v>
      </c>
      <c r="B88" s="215">
        <v>46254</v>
      </c>
      <c r="C88" s="160" t="s">
        <v>264</v>
      </c>
      <c r="D88" s="160" t="s">
        <v>290</v>
      </c>
      <c r="E88" s="276">
        <v>10</v>
      </c>
      <c r="F88" s="276">
        <v>100.07</v>
      </c>
      <c r="G88" s="276">
        <f>E88*F88</f>
        <v>1000.6999999999999</v>
      </c>
      <c r="H88" s="276"/>
      <c r="I88" s="276"/>
      <c r="J88" s="276">
        <f t="shared" si="4"/>
        <v>0</v>
      </c>
      <c r="K88" s="276">
        <f t="shared" si="3"/>
        <v>1000.6999999999999</v>
      </c>
      <c r="L88" s="277"/>
      <c r="M88" s="278">
        <f>M87+L88-K88</f>
        <v>-378998.29019999993</v>
      </c>
      <c r="N88" s="177"/>
      <c r="O88" s="177"/>
    </row>
    <row r="89" spans="1:15">
      <c r="A89" s="373">
        <v>86</v>
      </c>
      <c r="B89" s="215">
        <v>46254</v>
      </c>
      <c r="C89" s="160" t="s">
        <v>275</v>
      </c>
      <c r="D89" s="160" t="s">
        <v>40</v>
      </c>
      <c r="E89" s="276"/>
      <c r="F89" s="276"/>
      <c r="G89" s="276">
        <f>E89*F89</f>
        <v>0</v>
      </c>
      <c r="H89" s="276">
        <v>4.33</v>
      </c>
      <c r="I89" s="276">
        <v>115.69</v>
      </c>
      <c r="J89" s="276">
        <f t="shared" si="4"/>
        <v>500.93770000000001</v>
      </c>
      <c r="K89" s="276">
        <f t="shared" si="3"/>
        <v>500.93770000000001</v>
      </c>
      <c r="L89" s="277"/>
      <c r="M89" s="278">
        <f>M88+L89-K89</f>
        <v>-379499.22789999994</v>
      </c>
      <c r="N89" s="177"/>
      <c r="O89" s="177"/>
    </row>
    <row r="90" spans="1:15">
      <c r="A90" s="373">
        <v>87</v>
      </c>
      <c r="B90" s="215">
        <v>46254</v>
      </c>
      <c r="C90" s="160" t="s">
        <v>291</v>
      </c>
      <c r="D90" s="160" t="s">
        <v>51</v>
      </c>
      <c r="E90" s="276">
        <v>40.33</v>
      </c>
      <c r="F90" s="276">
        <v>99.18</v>
      </c>
      <c r="G90" s="276">
        <f>E90*F90</f>
        <v>3999.9294</v>
      </c>
      <c r="H90" s="386"/>
      <c r="I90" s="386"/>
      <c r="J90" s="276">
        <f t="shared" si="4"/>
        <v>0</v>
      </c>
      <c r="K90" s="276">
        <f t="shared" si="3"/>
        <v>3999.9294</v>
      </c>
      <c r="L90" s="277"/>
      <c r="M90" s="278">
        <f>M89+L90-K90</f>
        <v>-383499.15729999996</v>
      </c>
      <c r="N90" s="177"/>
      <c r="O90" s="177"/>
    </row>
    <row r="91" spans="1:15">
      <c r="A91" s="373">
        <v>88</v>
      </c>
      <c r="B91" s="215">
        <v>46255</v>
      </c>
      <c r="C91" s="160" t="s">
        <v>261</v>
      </c>
      <c r="D91" s="160" t="s">
        <v>247</v>
      </c>
      <c r="E91" s="276"/>
      <c r="F91" s="276"/>
      <c r="G91" s="509">
        <f>E91*F91</f>
        <v>0</v>
      </c>
      <c r="H91" s="101">
        <v>3</v>
      </c>
      <c r="I91" s="101">
        <v>117.98</v>
      </c>
      <c r="J91" s="278">
        <f t="shared" si="4"/>
        <v>353.94</v>
      </c>
      <c r="K91" s="276">
        <f t="shared" si="3"/>
        <v>353.94</v>
      </c>
      <c r="L91" s="276"/>
      <c r="M91" s="278">
        <f>M90+L91-K91</f>
        <v>-383853.09729999996</v>
      </c>
      <c r="N91" s="177"/>
      <c r="O91" s="177"/>
    </row>
    <row r="92" spans="1:15">
      <c r="A92" s="373">
        <v>89</v>
      </c>
      <c r="B92" s="376">
        <v>46255</v>
      </c>
      <c r="C92" s="377" t="s">
        <v>262</v>
      </c>
      <c r="D92" s="295" t="s">
        <v>247</v>
      </c>
      <c r="E92" s="279"/>
      <c r="F92" s="279"/>
      <c r="G92" s="510">
        <f>E92*F92</f>
        <v>0</v>
      </c>
      <c r="H92" s="101">
        <v>5</v>
      </c>
      <c r="I92" s="101">
        <v>117.32</v>
      </c>
      <c r="J92" s="358">
        <f t="shared" si="2"/>
        <v>586.59999999999991</v>
      </c>
      <c r="K92" s="276">
        <f t="shared" si="3"/>
        <v>586.59999999999991</v>
      </c>
      <c r="L92" s="279"/>
      <c r="M92" s="278">
        <f>M91+L92-K92</f>
        <v>-384439.69729999994</v>
      </c>
      <c r="N92" s="378"/>
      <c r="O92" s="378"/>
    </row>
    <row r="93" spans="1:15">
      <c r="A93" s="373">
        <v>90</v>
      </c>
      <c r="B93" s="215">
        <v>46256</v>
      </c>
      <c r="C93" s="294" t="s">
        <v>292</v>
      </c>
      <c r="D93" s="160" t="s">
        <v>48</v>
      </c>
      <c r="E93" s="276">
        <v>43.76</v>
      </c>
      <c r="F93" s="276">
        <v>104.87</v>
      </c>
      <c r="G93" s="509">
        <f>E93*F93</f>
        <v>4589.1112000000003</v>
      </c>
      <c r="H93" s="276"/>
      <c r="I93" s="276"/>
      <c r="J93" s="278">
        <f t="shared" si="2"/>
        <v>0</v>
      </c>
      <c r="K93" s="276">
        <f t="shared" si="3"/>
        <v>4589.1112000000003</v>
      </c>
      <c r="L93" s="276"/>
      <c r="M93" s="278">
        <f>M92+L93-K93</f>
        <v>-389028.80849999993</v>
      </c>
      <c r="N93" s="177"/>
      <c r="O93" s="177"/>
    </row>
    <row r="94" spans="1:15">
      <c r="A94" s="373">
        <v>91</v>
      </c>
      <c r="B94" s="215">
        <v>46256</v>
      </c>
      <c r="C94" s="294" t="s">
        <v>259</v>
      </c>
      <c r="D94" s="160" t="s">
        <v>53</v>
      </c>
      <c r="E94" s="276">
        <v>45</v>
      </c>
      <c r="F94" s="276">
        <v>99.62</v>
      </c>
      <c r="G94" s="276">
        <f>E94*F94</f>
        <v>4482.9000000000005</v>
      </c>
      <c r="H94" s="279"/>
      <c r="I94" s="279"/>
      <c r="J94" s="276">
        <f t="shared" si="2"/>
        <v>0</v>
      </c>
      <c r="K94" s="276">
        <f t="shared" si="3"/>
        <v>4482.9000000000005</v>
      </c>
      <c r="L94" s="276"/>
      <c r="M94" s="278">
        <f>M93+L94-K94</f>
        <v>-393511.70849999995</v>
      </c>
      <c r="N94" s="177"/>
      <c r="O94" s="177"/>
    </row>
    <row r="95" spans="1:15">
      <c r="A95" s="373">
        <v>92</v>
      </c>
      <c r="B95" s="215">
        <v>46258</v>
      </c>
      <c r="C95" s="294" t="s">
        <v>293</v>
      </c>
      <c r="D95" s="160" t="s">
        <v>53</v>
      </c>
      <c r="E95" s="276">
        <v>40</v>
      </c>
      <c r="F95" s="276">
        <v>98.94</v>
      </c>
      <c r="G95" s="276">
        <f t="shared" ref="G95:G99" si="5">E95*F95</f>
        <v>3957.6</v>
      </c>
      <c r="H95" s="276"/>
      <c r="I95" s="276"/>
      <c r="J95" s="276">
        <f t="shared" si="2"/>
        <v>0</v>
      </c>
      <c r="K95" s="276">
        <f t="shared" si="3"/>
        <v>3957.6</v>
      </c>
      <c r="L95" s="276"/>
      <c r="M95" s="278">
        <f>M94+L95-K95</f>
        <v>-397469.30849999993</v>
      </c>
      <c r="N95" s="361"/>
      <c r="O95" s="361"/>
    </row>
    <row r="96" spans="1:15">
      <c r="A96" s="373">
        <v>93</v>
      </c>
      <c r="B96" s="215">
        <v>46258</v>
      </c>
      <c r="C96" s="294" t="s">
        <v>254</v>
      </c>
      <c r="D96" s="160" t="s">
        <v>48</v>
      </c>
      <c r="E96" s="276">
        <v>53.05</v>
      </c>
      <c r="F96" s="276">
        <v>103.85</v>
      </c>
      <c r="G96" s="276">
        <f t="shared" si="5"/>
        <v>5509.2424999999994</v>
      </c>
      <c r="H96" s="276"/>
      <c r="I96" s="276"/>
      <c r="J96" s="276">
        <f t="shared" si="2"/>
        <v>0</v>
      </c>
      <c r="K96" s="276">
        <f t="shared" si="3"/>
        <v>5509.2424999999994</v>
      </c>
      <c r="L96" s="276"/>
      <c r="M96" s="278">
        <f>M95+L96-K96</f>
        <v>-402978.55099999992</v>
      </c>
      <c r="N96" s="177"/>
      <c r="O96" s="177"/>
    </row>
    <row r="97" spans="1:15">
      <c r="A97" s="373">
        <v>94</v>
      </c>
      <c r="B97" s="215">
        <v>46258</v>
      </c>
      <c r="C97" s="294" t="s">
        <v>255</v>
      </c>
      <c r="D97" s="160" t="s">
        <v>256</v>
      </c>
      <c r="E97" s="276">
        <v>69</v>
      </c>
      <c r="F97" s="276">
        <v>100.05</v>
      </c>
      <c r="G97" s="276">
        <f t="shared" si="5"/>
        <v>6903.45</v>
      </c>
      <c r="H97" s="276">
        <v>5</v>
      </c>
      <c r="I97" s="276">
        <v>112.07</v>
      </c>
      <c r="J97" s="276">
        <f t="shared" si="2"/>
        <v>560.34999999999991</v>
      </c>
      <c r="K97" s="276">
        <f t="shared" si="3"/>
        <v>7463.7999999999993</v>
      </c>
      <c r="L97" s="276"/>
      <c r="M97" s="278">
        <f>M96+L97-K97</f>
        <v>-410442.35099999991</v>
      </c>
      <c r="N97" s="353">
        <v>78625.02</v>
      </c>
      <c r="O97" s="353">
        <f>N97-M97</f>
        <v>489067.37099999993</v>
      </c>
    </row>
    <row r="98" spans="1:15">
      <c r="A98" s="381">
        <v>95</v>
      </c>
      <c r="B98" s="511">
        <v>46258</v>
      </c>
      <c r="C98" s="294" t="s">
        <v>261</v>
      </c>
      <c r="D98" s="294" t="s">
        <v>247</v>
      </c>
      <c r="E98" s="386"/>
      <c r="F98" s="386"/>
      <c r="G98" s="276">
        <f t="shared" si="5"/>
        <v>0</v>
      </c>
      <c r="H98" s="386">
        <v>5</v>
      </c>
      <c r="I98" s="386">
        <v>117.98</v>
      </c>
      <c r="J98" s="386"/>
      <c r="K98" s="386">
        <f t="shared" si="3"/>
        <v>0</v>
      </c>
      <c r="L98" s="386"/>
      <c r="M98" s="388">
        <f>M97+L98-K98</f>
        <v>-410442.35099999991</v>
      </c>
      <c r="N98" s="408"/>
      <c r="O98" s="408"/>
    </row>
    <row r="99" spans="1:15">
      <c r="A99" s="14">
        <v>96</v>
      </c>
      <c r="B99" s="512">
        <v>46258</v>
      </c>
      <c r="C99" s="14" t="s">
        <v>276</v>
      </c>
      <c r="D99" s="14" t="s">
        <v>51</v>
      </c>
      <c r="E99" s="177">
        <v>46.97</v>
      </c>
      <c r="F99" s="177">
        <v>100.07</v>
      </c>
      <c r="G99" s="276">
        <f t="shared" si="5"/>
        <v>4700.2878999999994</v>
      </c>
      <c r="H99" s="177"/>
      <c r="I99" s="177"/>
      <c r="J99" s="177"/>
      <c r="K99" s="177"/>
      <c r="L99" s="177"/>
      <c r="M99" s="177"/>
      <c r="N99" s="177"/>
      <c r="O99" s="177"/>
    </row>
    <row r="100" spans="1:15">
      <c r="A100" s="14">
        <v>97</v>
      </c>
      <c r="B100" s="14"/>
      <c r="C100" s="14"/>
      <c r="D100" s="14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</row>
    <row r="101" spans="1:15">
      <c r="A101" s="14">
        <v>98</v>
      </c>
      <c r="B101" s="14"/>
      <c r="C101" s="14"/>
      <c r="D101" s="14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</row>
    <row r="102" spans="1:15">
      <c r="A102" s="14">
        <v>99</v>
      </c>
      <c r="B102" s="14"/>
      <c r="C102" s="14"/>
      <c r="D102" s="14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</row>
    <row r="103" spans="1:15">
      <c r="A103" s="14">
        <v>100</v>
      </c>
      <c r="B103" s="14"/>
      <c r="C103" s="14"/>
      <c r="D103" s="14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</row>
    <row r="104" spans="1:15">
      <c r="E104" s="365"/>
    </row>
    <row r="106" spans="1:15">
      <c r="C106" t="s">
        <v>294</v>
      </c>
      <c r="E106" s="365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132"/>
  <sheetViews>
    <sheetView topLeftCell="A6" workbookViewId="0">
      <selection activeCell="A18" sqref="A18:XFD18"/>
    </sheetView>
  </sheetViews>
  <sheetFormatPr defaultRowHeight="15"/>
  <cols>
    <col min="1" max="1" width="9.140625" style="5"/>
    <col min="2" max="2" width="11.5703125" style="5" customWidth="1"/>
    <col min="3" max="3" width="61.140625" style="5" bestFit="1" customWidth="1"/>
    <col min="4" max="4" width="36.5703125" style="5" customWidth="1"/>
    <col min="5" max="5" width="15.7109375" style="5" customWidth="1"/>
    <col min="6" max="6" width="9.140625" style="5"/>
    <col min="7" max="7" width="22.42578125" style="5" customWidth="1"/>
    <col min="8" max="8" width="22.140625" style="5" customWidth="1"/>
    <col min="9" max="9" width="17.7109375" style="5" bestFit="1" customWidth="1"/>
    <col min="10" max="10" width="10.42578125" style="5" bestFit="1" customWidth="1"/>
    <col min="11" max="11" width="15.42578125" style="5" customWidth="1"/>
    <col min="12" max="12" width="17.7109375" style="5" customWidth="1"/>
    <col min="13" max="13" width="12.7109375" style="5" customWidth="1"/>
    <col min="14" max="14" width="15.140625" style="5" customWidth="1"/>
    <col min="15" max="15" width="20.5703125" style="5" customWidth="1"/>
    <col min="16" max="16384" width="9.140625" style="5"/>
  </cols>
  <sheetData>
    <row r="1" spans="1:15" ht="15.75">
      <c r="A1" s="606" t="s">
        <v>295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</row>
    <row r="2" spans="1:15">
      <c r="A2" s="61" t="s">
        <v>0</v>
      </c>
      <c r="B2" s="80" t="s">
        <v>168</v>
      </c>
      <c r="C2" s="80" t="s">
        <v>242</v>
      </c>
      <c r="D2" s="80" t="s">
        <v>243</v>
      </c>
      <c r="E2" s="80" t="s">
        <v>171</v>
      </c>
      <c r="F2" s="80" t="s">
        <v>172</v>
      </c>
      <c r="G2" s="87" t="s">
        <v>173</v>
      </c>
      <c r="H2" s="80" t="s">
        <v>174</v>
      </c>
      <c r="I2" s="80" t="s">
        <v>172</v>
      </c>
      <c r="J2" s="87" t="s">
        <v>173</v>
      </c>
      <c r="K2" s="61" t="s">
        <v>175</v>
      </c>
      <c r="L2" s="88" t="s">
        <v>244</v>
      </c>
      <c r="M2" s="82" t="s">
        <v>185</v>
      </c>
      <c r="N2" s="80" t="s">
        <v>178</v>
      </c>
      <c r="O2" s="80" t="s">
        <v>245</v>
      </c>
    </row>
    <row r="3" spans="1:15">
      <c r="A3" s="632" t="s">
        <v>179</v>
      </c>
      <c r="B3" s="632"/>
      <c r="C3" s="632"/>
      <c r="D3" s="632"/>
      <c r="E3" s="632"/>
      <c r="F3" s="632"/>
      <c r="G3" s="632"/>
      <c r="H3" s="632"/>
      <c r="I3" s="632"/>
      <c r="J3" s="632"/>
      <c r="K3" s="99">
        <v>47524.82</v>
      </c>
      <c r="L3" s="216"/>
      <c r="M3" s="99">
        <v>47524.82</v>
      </c>
      <c r="N3" s="162"/>
      <c r="O3" s="162"/>
    </row>
    <row r="4" spans="1:15" ht="15.75">
      <c r="A4" s="6">
        <v>1</v>
      </c>
      <c r="B4" s="75"/>
      <c r="C4" s="409"/>
      <c r="D4" s="633"/>
      <c r="E4" s="413"/>
      <c r="F4" s="413"/>
      <c r="G4" s="413">
        <f>E4*F4</f>
        <v>0</v>
      </c>
      <c r="H4" s="415"/>
      <c r="I4" s="415"/>
      <c r="J4" s="415">
        <f>H4*I4</f>
        <v>0</v>
      </c>
      <c r="K4" s="415">
        <f>G4+J4</f>
        <v>0</v>
      </c>
      <c r="L4" s="409">
        <v>150000</v>
      </c>
      <c r="M4" s="410">
        <f>SUM(M3+L4-K4)</f>
        <v>197524.82</v>
      </c>
      <c r="N4" s="6"/>
      <c r="O4" s="6"/>
    </row>
    <row r="5" spans="1:15" ht="15.75">
      <c r="A5" s="6">
        <v>2</v>
      </c>
      <c r="B5" s="75" t="s">
        <v>296</v>
      </c>
      <c r="C5" s="409" t="s">
        <v>297</v>
      </c>
      <c r="D5" s="633" t="s">
        <v>298</v>
      </c>
      <c r="E5" s="413">
        <v>1734.1</v>
      </c>
      <c r="F5" s="413">
        <v>103.8</v>
      </c>
      <c r="G5" s="413">
        <f>E5*F5</f>
        <v>179999.58</v>
      </c>
      <c r="H5" s="415"/>
      <c r="I5" s="415"/>
      <c r="J5" s="415">
        <f>H5*I5</f>
        <v>0</v>
      </c>
      <c r="K5" s="415">
        <f>G5+J5</f>
        <v>179999.58</v>
      </c>
      <c r="L5" s="409"/>
      <c r="M5" s="410">
        <f t="shared" ref="M5:M57" si="0">SUM(M4+L5-K5)</f>
        <v>17525.24000000002</v>
      </c>
      <c r="N5" s="6"/>
      <c r="O5" s="6"/>
    </row>
    <row r="6" spans="1:15" ht="15.75">
      <c r="A6" s="6">
        <v>3</v>
      </c>
      <c r="B6" s="75" t="s">
        <v>299</v>
      </c>
      <c r="C6" s="409" t="s">
        <v>300</v>
      </c>
      <c r="D6" s="435" t="s">
        <v>301</v>
      </c>
      <c r="E6" s="409">
        <v>70</v>
      </c>
      <c r="F6" s="413">
        <v>103.76</v>
      </c>
      <c r="G6" s="413">
        <f>E6*F6</f>
        <v>7263.2000000000007</v>
      </c>
      <c r="H6" s="634"/>
      <c r="I6" s="634"/>
      <c r="J6" s="415">
        <f t="shared" ref="J6:J9" si="1">H6*I6</f>
        <v>0</v>
      </c>
      <c r="K6" s="415">
        <f t="shared" ref="K6:K94" si="2">G6+J6</f>
        <v>7263.2000000000007</v>
      </c>
      <c r="L6" s="409"/>
      <c r="M6" s="410">
        <f t="shared" si="0"/>
        <v>10262.040000000019</v>
      </c>
      <c r="N6" s="6"/>
      <c r="O6" s="6"/>
    </row>
    <row r="7" spans="1:15" ht="15.75">
      <c r="A7" s="6">
        <v>4</v>
      </c>
      <c r="B7" s="75" t="s">
        <v>302</v>
      </c>
      <c r="C7" s="409" t="s">
        <v>297</v>
      </c>
      <c r="D7" s="435" t="s">
        <v>298</v>
      </c>
      <c r="E7" s="409">
        <v>3853.56</v>
      </c>
      <c r="F7" s="413">
        <v>103.8</v>
      </c>
      <c r="G7" s="413">
        <f>E7*F7</f>
        <v>399999.52799999999</v>
      </c>
      <c r="H7" s="634"/>
      <c r="I7" s="634"/>
      <c r="J7" s="415">
        <f t="shared" si="1"/>
        <v>0</v>
      </c>
      <c r="K7" s="415">
        <f t="shared" si="2"/>
        <v>399999.52799999999</v>
      </c>
      <c r="L7" s="409">
        <v>500000</v>
      </c>
      <c r="M7" s="410">
        <f t="shared" si="0"/>
        <v>110262.51200000005</v>
      </c>
      <c r="N7" s="6"/>
      <c r="O7" s="6"/>
    </row>
    <row r="8" spans="1:15" ht="15.75">
      <c r="A8" s="6">
        <v>5</v>
      </c>
      <c r="B8" s="75" t="s">
        <v>303</v>
      </c>
      <c r="C8" s="409" t="s">
        <v>304</v>
      </c>
      <c r="D8" s="435" t="s">
        <v>305</v>
      </c>
      <c r="E8" s="409">
        <v>3021.45</v>
      </c>
      <c r="F8" s="409">
        <v>99.29</v>
      </c>
      <c r="G8" s="413">
        <f>E8*F8</f>
        <v>299999.77049999998</v>
      </c>
      <c r="H8" s="634"/>
      <c r="I8" s="634"/>
      <c r="J8" s="415">
        <f t="shared" si="1"/>
        <v>0</v>
      </c>
      <c r="K8" s="415">
        <f t="shared" si="2"/>
        <v>299999.77049999998</v>
      </c>
      <c r="L8" s="409"/>
      <c r="M8" s="410">
        <f t="shared" si="0"/>
        <v>-189737.25849999994</v>
      </c>
      <c r="N8" s="6"/>
      <c r="O8" s="6"/>
    </row>
    <row r="9" spans="1:15" ht="15.75">
      <c r="A9" s="6">
        <v>6</v>
      </c>
      <c r="B9" s="75" t="s">
        <v>303</v>
      </c>
      <c r="C9" s="409" t="s">
        <v>306</v>
      </c>
      <c r="D9" s="434" t="s">
        <v>307</v>
      </c>
      <c r="E9" s="409">
        <v>3026.03</v>
      </c>
      <c r="F9" s="409">
        <v>99.14</v>
      </c>
      <c r="G9" s="413">
        <f>E9*F9</f>
        <v>300000.61420000001</v>
      </c>
      <c r="H9" s="634"/>
      <c r="I9" s="634"/>
      <c r="J9" s="415">
        <f t="shared" si="1"/>
        <v>0</v>
      </c>
      <c r="K9" s="415">
        <f t="shared" si="2"/>
        <v>300000.61420000001</v>
      </c>
      <c r="L9" s="409"/>
      <c r="M9" s="410">
        <f t="shared" si="0"/>
        <v>-489737.87269999995</v>
      </c>
      <c r="N9" s="6"/>
      <c r="O9" s="6"/>
    </row>
    <row r="10" spans="1:15" ht="15.75">
      <c r="A10" s="6">
        <v>7</v>
      </c>
      <c r="B10" s="75" t="s">
        <v>303</v>
      </c>
      <c r="C10" s="409" t="s">
        <v>300</v>
      </c>
      <c r="D10" s="435" t="s">
        <v>301</v>
      </c>
      <c r="E10" s="409">
        <v>70</v>
      </c>
      <c r="F10" s="409">
        <v>103.76</v>
      </c>
      <c r="G10" s="413">
        <f>E10*F10</f>
        <v>7263.2000000000007</v>
      </c>
      <c r="H10" s="634"/>
      <c r="I10" s="634"/>
      <c r="J10" s="415">
        <f t="shared" ref="J6:J55" si="3">H10*I10</f>
        <v>0</v>
      </c>
      <c r="K10" s="415">
        <f t="shared" si="2"/>
        <v>7263.2000000000007</v>
      </c>
      <c r="L10" s="409"/>
      <c r="M10" s="410">
        <f t="shared" si="0"/>
        <v>-497001.07269999996</v>
      </c>
      <c r="N10" s="6"/>
      <c r="O10" s="6"/>
    </row>
    <row r="11" spans="1:15" ht="15.75">
      <c r="A11" s="6">
        <v>8</v>
      </c>
      <c r="B11" s="75" t="s">
        <v>308</v>
      </c>
      <c r="C11" s="409"/>
      <c r="D11" s="435"/>
      <c r="E11" s="409"/>
      <c r="F11" s="409"/>
      <c r="G11" s="413"/>
      <c r="H11" s="634"/>
      <c r="I11" s="634"/>
      <c r="J11" s="415"/>
      <c r="K11" s="415"/>
      <c r="L11" s="409">
        <v>600000</v>
      </c>
      <c r="M11" s="410">
        <f t="shared" si="0"/>
        <v>102998.92730000004</v>
      </c>
      <c r="N11" s="6"/>
      <c r="O11" s="6"/>
    </row>
    <row r="12" spans="1:15" ht="15.75">
      <c r="A12" s="6">
        <v>9</v>
      </c>
      <c r="B12" s="75" t="s">
        <v>309</v>
      </c>
      <c r="C12" s="409" t="s">
        <v>300</v>
      </c>
      <c r="D12" s="435" t="s">
        <v>301</v>
      </c>
      <c r="E12" s="409">
        <v>140</v>
      </c>
      <c r="F12" s="409">
        <v>103.76</v>
      </c>
      <c r="G12" s="413">
        <f t="shared" ref="G12:G55" si="4">E12*F12</f>
        <v>14526.400000000001</v>
      </c>
      <c r="H12" s="634"/>
      <c r="I12" s="634"/>
      <c r="J12" s="415">
        <f t="shared" si="3"/>
        <v>0</v>
      </c>
      <c r="K12" s="415">
        <f t="shared" si="2"/>
        <v>14526.400000000001</v>
      </c>
      <c r="L12" s="409"/>
      <c r="M12" s="410">
        <f t="shared" si="0"/>
        <v>88472.527300000045</v>
      </c>
      <c r="N12" s="6"/>
      <c r="O12" s="6"/>
    </row>
    <row r="13" spans="1:15" ht="15.75">
      <c r="A13" s="6">
        <v>10</v>
      </c>
      <c r="B13" s="75" t="s">
        <v>310</v>
      </c>
      <c r="C13" s="409" t="s">
        <v>297</v>
      </c>
      <c r="D13" s="633" t="s">
        <v>298</v>
      </c>
      <c r="E13" s="409">
        <v>1445.09</v>
      </c>
      <c r="F13" s="409">
        <v>103.8</v>
      </c>
      <c r="G13" s="413">
        <f t="shared" si="4"/>
        <v>150000.34199999998</v>
      </c>
      <c r="H13" s="634"/>
      <c r="I13" s="634"/>
      <c r="J13" s="415">
        <f t="shared" si="3"/>
        <v>0</v>
      </c>
      <c r="K13" s="415">
        <f t="shared" si="2"/>
        <v>150000.34199999998</v>
      </c>
      <c r="L13" s="409">
        <v>94900</v>
      </c>
      <c r="M13" s="410">
        <f t="shared" si="0"/>
        <v>33372.18530000007</v>
      </c>
      <c r="N13" s="6"/>
      <c r="O13" s="6"/>
    </row>
    <row r="14" spans="1:15" ht="15.75">
      <c r="A14" s="6">
        <v>11</v>
      </c>
      <c r="B14" s="75" t="s">
        <v>311</v>
      </c>
      <c r="C14" s="409" t="s">
        <v>300</v>
      </c>
      <c r="D14" s="435" t="s">
        <v>301</v>
      </c>
      <c r="E14" s="409">
        <v>70</v>
      </c>
      <c r="F14" s="409">
        <v>103.76</v>
      </c>
      <c r="G14" s="413">
        <f t="shared" si="4"/>
        <v>7263.2000000000007</v>
      </c>
      <c r="H14" s="634"/>
      <c r="I14" s="634"/>
      <c r="J14" s="415">
        <f t="shared" si="3"/>
        <v>0</v>
      </c>
      <c r="K14" s="415">
        <f t="shared" si="2"/>
        <v>7263.2000000000007</v>
      </c>
      <c r="L14" s="266"/>
      <c r="M14" s="410">
        <f t="shared" si="0"/>
        <v>26108.985300000069</v>
      </c>
      <c r="N14" s="6"/>
      <c r="O14" s="6"/>
    </row>
    <row r="15" spans="1:15" ht="15.75">
      <c r="A15" s="6">
        <v>12</v>
      </c>
      <c r="B15" s="75" t="s">
        <v>312</v>
      </c>
      <c r="C15" s="409" t="s">
        <v>313</v>
      </c>
      <c r="D15" s="435" t="s">
        <v>305</v>
      </c>
      <c r="E15" s="409">
        <v>100</v>
      </c>
      <c r="F15" s="409">
        <v>99.87</v>
      </c>
      <c r="G15" s="413">
        <f t="shared" si="4"/>
        <v>9987</v>
      </c>
      <c r="H15" s="634">
        <v>17</v>
      </c>
      <c r="I15" s="634">
        <v>112.06</v>
      </c>
      <c r="J15" s="415">
        <f t="shared" si="3"/>
        <v>1905.02</v>
      </c>
      <c r="K15" s="415">
        <f t="shared" si="2"/>
        <v>11892.02</v>
      </c>
      <c r="L15" s="409">
        <v>350000</v>
      </c>
      <c r="M15" s="410">
        <f t="shared" si="0"/>
        <v>364216.96530000004</v>
      </c>
      <c r="N15" s="6"/>
      <c r="O15" s="6"/>
    </row>
    <row r="16" spans="1:15" ht="15.75">
      <c r="A16" s="6">
        <v>13</v>
      </c>
      <c r="B16" s="75" t="s">
        <v>312</v>
      </c>
      <c r="C16" s="409" t="s">
        <v>314</v>
      </c>
      <c r="D16" s="434" t="s">
        <v>315</v>
      </c>
      <c r="E16" s="462">
        <v>1004.02</v>
      </c>
      <c r="F16" s="462">
        <v>99.6</v>
      </c>
      <c r="G16" s="413">
        <f t="shared" si="4"/>
        <v>100000.39199999999</v>
      </c>
      <c r="H16" s="634"/>
      <c r="I16" s="634"/>
      <c r="J16" s="415">
        <f t="shared" si="3"/>
        <v>0</v>
      </c>
      <c r="K16" s="415">
        <f t="shared" si="2"/>
        <v>100000.39199999999</v>
      </c>
      <c r="L16" s="354"/>
      <c r="M16" s="410">
        <f t="shared" si="0"/>
        <v>264216.57330000005</v>
      </c>
      <c r="N16" s="6"/>
      <c r="O16" s="6"/>
    </row>
    <row r="17" spans="1:15" ht="15.75">
      <c r="A17" s="6">
        <v>14</v>
      </c>
      <c r="B17" s="75" t="s">
        <v>312</v>
      </c>
      <c r="C17" s="409" t="s">
        <v>300</v>
      </c>
      <c r="D17" s="435" t="s">
        <v>301</v>
      </c>
      <c r="E17" s="409"/>
      <c r="F17" s="409"/>
      <c r="G17" s="413">
        <f t="shared" si="4"/>
        <v>0</v>
      </c>
      <c r="H17" s="634">
        <v>62.82</v>
      </c>
      <c r="I17" s="634">
        <v>115.62</v>
      </c>
      <c r="J17" s="415">
        <f t="shared" si="3"/>
        <v>7263.2484000000004</v>
      </c>
      <c r="K17" s="415">
        <f t="shared" si="2"/>
        <v>7263.2484000000004</v>
      </c>
      <c r="L17" s="63"/>
      <c r="M17" s="410">
        <f t="shared" si="0"/>
        <v>256953.32490000004</v>
      </c>
      <c r="N17" s="6"/>
      <c r="O17" s="6"/>
    </row>
    <row r="18" spans="1:15" ht="15.75">
      <c r="A18" s="6">
        <v>15</v>
      </c>
      <c r="B18" s="75" t="s">
        <v>316</v>
      </c>
      <c r="C18" s="409" t="s">
        <v>317</v>
      </c>
      <c r="D18" s="434" t="s">
        <v>318</v>
      </c>
      <c r="E18" s="409">
        <v>1697.7</v>
      </c>
      <c r="F18" s="409">
        <v>105.25</v>
      </c>
      <c r="G18" s="413">
        <f t="shared" si="4"/>
        <v>178682.92500000002</v>
      </c>
      <c r="H18" s="634"/>
      <c r="I18" s="634"/>
      <c r="J18" s="415">
        <f t="shared" si="3"/>
        <v>0</v>
      </c>
      <c r="K18" s="415">
        <f t="shared" si="2"/>
        <v>178682.92500000002</v>
      </c>
      <c r="L18" s="63"/>
      <c r="M18" s="410">
        <f t="shared" si="0"/>
        <v>78270.399900000019</v>
      </c>
      <c r="N18" s="6"/>
      <c r="O18" s="6"/>
    </row>
    <row r="19" spans="1:15" ht="15.75">
      <c r="A19" s="6">
        <v>16</v>
      </c>
      <c r="B19" s="75" t="s">
        <v>319</v>
      </c>
      <c r="C19" s="409" t="s">
        <v>304</v>
      </c>
      <c r="D19" s="435" t="s">
        <v>305</v>
      </c>
      <c r="E19" s="409">
        <v>4119.24</v>
      </c>
      <c r="F19" s="409">
        <v>99.29</v>
      </c>
      <c r="G19" s="413">
        <f t="shared" si="4"/>
        <v>408999.33960000001</v>
      </c>
      <c r="H19" s="634"/>
      <c r="I19" s="634"/>
      <c r="J19" s="415">
        <f t="shared" si="3"/>
        <v>0</v>
      </c>
      <c r="K19" s="415">
        <f t="shared" si="2"/>
        <v>408999.33960000001</v>
      </c>
      <c r="L19" s="63">
        <v>6827138</v>
      </c>
      <c r="M19" s="410">
        <f t="shared" si="0"/>
        <v>6496409.0603</v>
      </c>
      <c r="N19" s="6"/>
      <c r="O19" s="6"/>
    </row>
    <row r="20" spans="1:15" ht="15.75">
      <c r="A20" s="6">
        <v>17</v>
      </c>
      <c r="B20" s="75" t="s">
        <v>319</v>
      </c>
      <c r="C20" s="409" t="s">
        <v>320</v>
      </c>
      <c r="D20" s="461" t="s">
        <v>298</v>
      </c>
      <c r="E20" s="6">
        <v>6743.73</v>
      </c>
      <c r="F20" s="6">
        <v>103.8</v>
      </c>
      <c r="G20" s="413">
        <f t="shared" si="4"/>
        <v>699999.17399999988</v>
      </c>
      <c r="H20" s="634"/>
      <c r="I20" s="634"/>
      <c r="J20" s="415">
        <f t="shared" si="3"/>
        <v>0</v>
      </c>
      <c r="K20" s="415">
        <f t="shared" si="2"/>
        <v>699999.17399999988</v>
      </c>
      <c r="L20" s="63"/>
      <c r="M20" s="410">
        <f t="shared" si="0"/>
        <v>5796409.8863000004</v>
      </c>
      <c r="N20" s="6"/>
      <c r="O20" s="6"/>
    </row>
    <row r="21" spans="1:15" ht="15.75">
      <c r="A21" s="6">
        <v>18</v>
      </c>
      <c r="B21" s="75" t="s">
        <v>319</v>
      </c>
      <c r="C21" s="409" t="s">
        <v>314</v>
      </c>
      <c r="D21" s="461" t="s">
        <v>315</v>
      </c>
      <c r="E21" s="6">
        <v>3072.3</v>
      </c>
      <c r="F21" s="6">
        <v>99.6</v>
      </c>
      <c r="G21" s="413">
        <f t="shared" si="4"/>
        <v>306001.08</v>
      </c>
      <c r="H21" s="634"/>
      <c r="I21" s="634"/>
      <c r="J21" s="415">
        <f t="shared" si="3"/>
        <v>0</v>
      </c>
      <c r="K21" s="415">
        <f t="shared" si="2"/>
        <v>306001.08</v>
      </c>
      <c r="L21" s="63"/>
      <c r="M21" s="410">
        <f t="shared" si="0"/>
        <v>5490408.8063000003</v>
      </c>
      <c r="N21" s="6"/>
      <c r="O21" s="6"/>
    </row>
    <row r="22" spans="1:15" ht="15.75">
      <c r="A22" s="6">
        <v>19</v>
      </c>
      <c r="B22" s="75" t="s">
        <v>319</v>
      </c>
      <c r="C22" s="409" t="s">
        <v>306</v>
      </c>
      <c r="D22" s="461" t="s">
        <v>307</v>
      </c>
      <c r="E22" s="409">
        <v>4317</v>
      </c>
      <c r="F22" s="409">
        <v>99.14</v>
      </c>
      <c r="G22" s="413">
        <f t="shared" si="4"/>
        <v>427987.38</v>
      </c>
      <c r="H22" s="634"/>
      <c r="I22" s="634"/>
      <c r="J22" s="415">
        <f t="shared" si="3"/>
        <v>0</v>
      </c>
      <c r="K22" s="415">
        <f t="shared" si="2"/>
        <v>427987.38</v>
      </c>
      <c r="L22" s="63"/>
      <c r="M22" s="410">
        <f t="shared" si="0"/>
        <v>5062421.4263000004</v>
      </c>
      <c r="N22" s="6"/>
      <c r="O22" s="6"/>
    </row>
    <row r="23" spans="1:15" ht="15.75">
      <c r="A23" s="6">
        <v>20</v>
      </c>
      <c r="B23" s="75" t="s">
        <v>319</v>
      </c>
      <c r="C23" s="409" t="s">
        <v>321</v>
      </c>
      <c r="D23" s="461" t="s">
        <v>322</v>
      </c>
      <c r="E23" s="409">
        <v>4724.18</v>
      </c>
      <c r="F23" s="409">
        <v>99.7</v>
      </c>
      <c r="G23" s="413">
        <f t="shared" si="4"/>
        <v>471000.74600000004</v>
      </c>
      <c r="H23" s="634"/>
      <c r="I23" s="634"/>
      <c r="J23" s="415">
        <f t="shared" si="3"/>
        <v>0</v>
      </c>
      <c r="K23" s="415">
        <f t="shared" si="2"/>
        <v>471000.74600000004</v>
      </c>
      <c r="L23" s="63"/>
      <c r="M23" s="410">
        <f t="shared" si="0"/>
        <v>4591420.6803000001</v>
      </c>
      <c r="N23" s="6"/>
      <c r="O23" s="6"/>
    </row>
    <row r="24" spans="1:15" ht="15.75">
      <c r="A24" s="6">
        <v>21</v>
      </c>
      <c r="B24" s="75" t="s">
        <v>319</v>
      </c>
      <c r="C24" s="409" t="s">
        <v>323</v>
      </c>
      <c r="D24" s="434" t="s">
        <v>324</v>
      </c>
      <c r="E24" s="409">
        <v>7018.97</v>
      </c>
      <c r="F24" s="409">
        <v>99.73</v>
      </c>
      <c r="G24" s="413">
        <f t="shared" si="4"/>
        <v>700001.87810000009</v>
      </c>
      <c r="H24" s="634"/>
      <c r="I24" s="634"/>
      <c r="J24" s="415">
        <f t="shared" si="3"/>
        <v>0</v>
      </c>
      <c r="K24" s="415">
        <f t="shared" si="2"/>
        <v>700001.87810000009</v>
      </c>
      <c r="L24" s="63"/>
      <c r="M24" s="410">
        <f t="shared" si="0"/>
        <v>3891418.8021999998</v>
      </c>
      <c r="N24" s="6"/>
      <c r="O24" s="6"/>
    </row>
    <row r="25" spans="1:15" ht="15.75">
      <c r="A25" s="6">
        <v>22</v>
      </c>
      <c r="B25" s="75" t="s">
        <v>325</v>
      </c>
      <c r="C25" s="409" t="s">
        <v>320</v>
      </c>
      <c r="D25" s="461" t="s">
        <v>298</v>
      </c>
      <c r="E25" s="409">
        <v>30193.93</v>
      </c>
      <c r="F25" s="409">
        <v>103.8</v>
      </c>
      <c r="G25" s="413">
        <f t="shared" si="4"/>
        <v>3134129.9339999999</v>
      </c>
      <c r="H25" s="634"/>
      <c r="I25" s="634"/>
      <c r="J25" s="415">
        <f t="shared" si="3"/>
        <v>0</v>
      </c>
      <c r="K25" s="415">
        <f t="shared" si="2"/>
        <v>3134129.9339999999</v>
      </c>
      <c r="L25" s="63"/>
      <c r="M25" s="410">
        <f t="shared" si="0"/>
        <v>757288.86819999991</v>
      </c>
      <c r="N25" s="6"/>
      <c r="O25" s="6"/>
    </row>
    <row r="26" spans="1:15" ht="15.75">
      <c r="A26" s="6">
        <v>23</v>
      </c>
      <c r="B26" s="75" t="s">
        <v>325</v>
      </c>
      <c r="C26" s="409" t="s">
        <v>326</v>
      </c>
      <c r="D26" s="461" t="s">
        <v>327</v>
      </c>
      <c r="E26" s="409">
        <v>478.84</v>
      </c>
      <c r="F26" s="409">
        <v>104.42</v>
      </c>
      <c r="G26" s="413">
        <f t="shared" si="4"/>
        <v>50000.472799999996</v>
      </c>
      <c r="H26" s="634"/>
      <c r="I26" s="634"/>
      <c r="J26" s="415">
        <f t="shared" si="3"/>
        <v>0</v>
      </c>
      <c r="K26" s="415">
        <f t="shared" si="2"/>
        <v>50000.472799999996</v>
      </c>
      <c r="L26" s="63"/>
      <c r="M26" s="410">
        <f t="shared" si="0"/>
        <v>707288.39539999992</v>
      </c>
      <c r="N26" s="6"/>
      <c r="O26" s="6"/>
    </row>
    <row r="27" spans="1:15" ht="15.75">
      <c r="A27" s="6">
        <v>24</v>
      </c>
      <c r="B27" s="75" t="s">
        <v>325</v>
      </c>
      <c r="C27" s="409" t="s">
        <v>317</v>
      </c>
      <c r="D27" s="434" t="s">
        <v>318</v>
      </c>
      <c r="E27" s="409">
        <v>176.22</v>
      </c>
      <c r="F27" s="409">
        <v>105.25</v>
      </c>
      <c r="G27" s="413">
        <f t="shared" si="4"/>
        <v>18547.154999999999</v>
      </c>
      <c r="H27" s="634"/>
      <c r="I27" s="634"/>
      <c r="J27" s="415">
        <f t="shared" si="3"/>
        <v>0</v>
      </c>
      <c r="K27" s="415">
        <f t="shared" si="2"/>
        <v>18547.154999999999</v>
      </c>
      <c r="L27" s="63"/>
      <c r="M27" s="410">
        <f t="shared" si="0"/>
        <v>688741.24039999989</v>
      </c>
      <c r="N27" s="6"/>
      <c r="O27" s="6"/>
    </row>
    <row r="28" spans="1:15" ht="15.75">
      <c r="A28" s="6">
        <v>25</v>
      </c>
      <c r="B28" s="75" t="s">
        <v>325</v>
      </c>
      <c r="C28" s="409" t="s">
        <v>328</v>
      </c>
      <c r="D28" s="434" t="s">
        <v>329</v>
      </c>
      <c r="E28" s="409">
        <v>3019.62</v>
      </c>
      <c r="F28" s="409">
        <v>99.35</v>
      </c>
      <c r="G28" s="413">
        <f t="shared" si="4"/>
        <v>299999.24699999997</v>
      </c>
      <c r="H28" s="634"/>
      <c r="I28" s="634"/>
      <c r="J28" s="415">
        <f t="shared" si="3"/>
        <v>0</v>
      </c>
      <c r="K28" s="415">
        <f t="shared" si="2"/>
        <v>299999.24699999997</v>
      </c>
      <c r="L28" s="63"/>
      <c r="M28" s="410">
        <f t="shared" si="0"/>
        <v>388741.99339999992</v>
      </c>
      <c r="N28" s="6"/>
      <c r="O28" s="6"/>
    </row>
    <row r="29" spans="1:15" ht="15.75">
      <c r="A29" s="6">
        <v>26</v>
      </c>
      <c r="B29" s="75" t="s">
        <v>325</v>
      </c>
      <c r="C29" s="409" t="s">
        <v>313</v>
      </c>
      <c r="D29" s="434" t="s">
        <v>305</v>
      </c>
      <c r="E29" s="463">
        <v>200</v>
      </c>
      <c r="F29" s="463">
        <v>99.87</v>
      </c>
      <c r="G29" s="413">
        <f t="shared" si="4"/>
        <v>19974</v>
      </c>
      <c r="H29" s="634"/>
      <c r="I29" s="634"/>
      <c r="J29" s="415">
        <f t="shared" si="3"/>
        <v>0</v>
      </c>
      <c r="K29" s="415">
        <f t="shared" si="2"/>
        <v>19974</v>
      </c>
      <c r="L29" s="63"/>
      <c r="M29" s="410">
        <f t="shared" si="0"/>
        <v>368767.99339999992</v>
      </c>
      <c r="N29" s="6"/>
      <c r="O29" s="6"/>
    </row>
    <row r="30" spans="1:15" ht="15.75">
      <c r="A30" s="6">
        <v>27</v>
      </c>
      <c r="B30" s="75" t="s">
        <v>325</v>
      </c>
      <c r="C30" s="409" t="s">
        <v>300</v>
      </c>
      <c r="D30" s="434" t="s">
        <v>301</v>
      </c>
      <c r="E30" s="409">
        <v>70</v>
      </c>
      <c r="F30" s="409">
        <v>103.76</v>
      </c>
      <c r="G30" s="413">
        <f t="shared" si="4"/>
        <v>7263.2000000000007</v>
      </c>
      <c r="H30" s="634"/>
      <c r="I30" s="634"/>
      <c r="J30" s="415">
        <f t="shared" si="3"/>
        <v>0</v>
      </c>
      <c r="K30" s="415">
        <f t="shared" si="2"/>
        <v>7263.2000000000007</v>
      </c>
      <c r="L30" s="63"/>
      <c r="M30" s="410">
        <f t="shared" si="0"/>
        <v>361504.79339999991</v>
      </c>
      <c r="N30" s="6"/>
      <c r="O30" s="6"/>
    </row>
    <row r="31" spans="1:15" ht="15.75">
      <c r="A31" s="6">
        <v>28</v>
      </c>
      <c r="B31" s="75" t="s">
        <v>330</v>
      </c>
      <c r="C31" s="409" t="s">
        <v>313</v>
      </c>
      <c r="D31" s="434" t="s">
        <v>305</v>
      </c>
      <c r="E31" s="409">
        <v>29.17</v>
      </c>
      <c r="F31" s="409">
        <v>99.87</v>
      </c>
      <c r="G31" s="413">
        <f t="shared" si="4"/>
        <v>2913.2079000000003</v>
      </c>
      <c r="H31" s="634"/>
      <c r="I31" s="634"/>
      <c r="J31" s="415">
        <f t="shared" si="3"/>
        <v>0</v>
      </c>
      <c r="K31" s="415">
        <f t="shared" si="2"/>
        <v>2913.2079000000003</v>
      </c>
      <c r="L31" s="41"/>
      <c r="M31" s="410">
        <f t="shared" si="0"/>
        <v>358591.58549999993</v>
      </c>
      <c r="N31" s="6"/>
      <c r="O31" s="6"/>
    </row>
    <row r="32" spans="1:15" ht="15.75">
      <c r="A32" s="6">
        <v>29</v>
      </c>
      <c r="B32" s="75" t="s">
        <v>330</v>
      </c>
      <c r="C32" s="409" t="s">
        <v>300</v>
      </c>
      <c r="D32" s="434" t="s">
        <v>301</v>
      </c>
      <c r="E32" s="409">
        <v>140</v>
      </c>
      <c r="F32" s="409">
        <v>103.76</v>
      </c>
      <c r="G32" s="413">
        <f t="shared" si="4"/>
        <v>14526.400000000001</v>
      </c>
      <c r="H32" s="634"/>
      <c r="I32" s="634"/>
      <c r="J32" s="415">
        <f t="shared" si="3"/>
        <v>0</v>
      </c>
      <c r="K32" s="415">
        <f t="shared" si="2"/>
        <v>14526.400000000001</v>
      </c>
      <c r="L32" s="41"/>
      <c r="M32" s="410">
        <f t="shared" si="0"/>
        <v>344065.18549999991</v>
      </c>
      <c r="N32" s="6"/>
      <c r="O32" s="6"/>
    </row>
    <row r="33" spans="1:15" ht="15.75">
      <c r="A33" s="6">
        <v>30</v>
      </c>
      <c r="B33" s="75" t="s">
        <v>331</v>
      </c>
      <c r="C33" s="409" t="s">
        <v>300</v>
      </c>
      <c r="D33" s="434" t="s">
        <v>301</v>
      </c>
      <c r="E33" s="409">
        <v>70</v>
      </c>
      <c r="F33" s="409">
        <v>103.76</v>
      </c>
      <c r="G33" s="413">
        <f t="shared" si="4"/>
        <v>7263.2000000000007</v>
      </c>
      <c r="H33" s="414">
        <v>31.41</v>
      </c>
      <c r="I33" s="414">
        <v>115.62</v>
      </c>
      <c r="J33" s="415">
        <f t="shared" si="3"/>
        <v>3631.6242000000002</v>
      </c>
      <c r="K33" s="415">
        <f>G33+J33</f>
        <v>10894.824200000001</v>
      </c>
      <c r="L33" s="41"/>
      <c r="M33" s="410">
        <f t="shared" si="0"/>
        <v>333170.36129999993</v>
      </c>
      <c r="N33" s="6"/>
      <c r="O33" s="6"/>
    </row>
    <row r="34" spans="1:15" ht="15.75">
      <c r="A34" s="6">
        <v>31</v>
      </c>
      <c r="B34" s="75" t="s">
        <v>332</v>
      </c>
      <c r="C34" s="409" t="s">
        <v>313</v>
      </c>
      <c r="D34" s="434" t="s">
        <v>305</v>
      </c>
      <c r="E34" s="409">
        <v>200</v>
      </c>
      <c r="F34" s="409">
        <v>99.87</v>
      </c>
      <c r="G34" s="413">
        <f t="shared" si="4"/>
        <v>19974</v>
      </c>
      <c r="H34" s="634"/>
      <c r="I34" s="634"/>
      <c r="J34" s="415">
        <f t="shared" si="3"/>
        <v>0</v>
      </c>
      <c r="K34" s="415">
        <f>G34+J34</f>
        <v>19974</v>
      </c>
      <c r="L34" s="41"/>
      <c r="M34" s="410">
        <f t="shared" si="0"/>
        <v>313196.36129999993</v>
      </c>
      <c r="N34" s="6"/>
      <c r="O34" s="6"/>
    </row>
    <row r="35" spans="1:15" ht="15.75">
      <c r="A35" s="6">
        <v>32</v>
      </c>
      <c r="B35" s="75" t="s">
        <v>333</v>
      </c>
      <c r="C35" s="409" t="s">
        <v>300</v>
      </c>
      <c r="D35" s="434" t="s">
        <v>301</v>
      </c>
      <c r="E35" s="409">
        <v>70</v>
      </c>
      <c r="F35" s="409">
        <v>103.76</v>
      </c>
      <c r="G35" s="413">
        <f t="shared" si="4"/>
        <v>7263.2000000000007</v>
      </c>
      <c r="H35" s="634"/>
      <c r="I35" s="634"/>
      <c r="J35" s="415">
        <f t="shared" si="3"/>
        <v>0</v>
      </c>
      <c r="K35" s="415">
        <f t="shared" si="2"/>
        <v>7263.2000000000007</v>
      </c>
      <c r="L35" s="41"/>
      <c r="M35" s="410">
        <f t="shared" si="0"/>
        <v>305933.16129999992</v>
      </c>
      <c r="N35" s="6"/>
      <c r="O35" s="6"/>
    </row>
    <row r="36" spans="1:15" ht="15.75">
      <c r="A36" s="6">
        <v>33</v>
      </c>
      <c r="B36" s="75" t="s">
        <v>334</v>
      </c>
      <c r="C36" s="409" t="s">
        <v>300</v>
      </c>
      <c r="D36" s="434" t="s">
        <v>301</v>
      </c>
      <c r="E36" s="409">
        <v>50</v>
      </c>
      <c r="F36" s="409">
        <v>103.76</v>
      </c>
      <c r="G36" s="413">
        <f t="shared" si="4"/>
        <v>5188</v>
      </c>
      <c r="H36" s="634"/>
      <c r="I36" s="634"/>
      <c r="J36" s="415">
        <f t="shared" si="3"/>
        <v>0</v>
      </c>
      <c r="K36" s="415">
        <f t="shared" si="2"/>
        <v>5188</v>
      </c>
      <c r="L36" s="41"/>
      <c r="M36" s="410">
        <f t="shared" si="0"/>
        <v>300745.16129999992</v>
      </c>
      <c r="N36" s="6"/>
      <c r="O36" s="6"/>
    </row>
    <row r="37" spans="1:15" ht="15.75">
      <c r="A37" s="6">
        <v>34</v>
      </c>
      <c r="B37" s="75" t="s">
        <v>335</v>
      </c>
      <c r="C37" s="409" t="s">
        <v>317</v>
      </c>
      <c r="D37" s="434" t="s">
        <v>318</v>
      </c>
      <c r="E37" s="409">
        <v>1900.24</v>
      </c>
      <c r="F37" s="409">
        <v>105.25</v>
      </c>
      <c r="G37" s="413">
        <f t="shared" si="4"/>
        <v>200000.26</v>
      </c>
      <c r="H37" s="634"/>
      <c r="I37" s="634"/>
      <c r="J37" s="415">
        <f t="shared" si="3"/>
        <v>0</v>
      </c>
      <c r="K37" s="415">
        <f t="shared" si="2"/>
        <v>200000.26</v>
      </c>
      <c r="L37" s="41"/>
      <c r="M37" s="410">
        <f t="shared" si="0"/>
        <v>100744.90129999991</v>
      </c>
      <c r="N37" s="6"/>
      <c r="O37" s="6"/>
    </row>
    <row r="38" spans="1:15" ht="15.75">
      <c r="A38" s="6">
        <v>35</v>
      </c>
      <c r="B38" s="75" t="s">
        <v>335</v>
      </c>
      <c r="C38" s="409" t="s">
        <v>300</v>
      </c>
      <c r="D38" s="434" t="s">
        <v>301</v>
      </c>
      <c r="E38" s="409">
        <v>100</v>
      </c>
      <c r="F38" s="409">
        <v>103.76</v>
      </c>
      <c r="G38" s="413">
        <f t="shared" si="4"/>
        <v>10376</v>
      </c>
      <c r="H38" s="634"/>
      <c r="I38" s="414"/>
      <c r="J38" s="415">
        <f t="shared" si="3"/>
        <v>0</v>
      </c>
      <c r="K38" s="415">
        <f t="shared" si="2"/>
        <v>10376</v>
      </c>
      <c r="L38" s="41"/>
      <c r="M38" s="410">
        <f t="shared" si="0"/>
        <v>90368.90129999991</v>
      </c>
      <c r="N38" s="6"/>
      <c r="O38" s="6"/>
    </row>
    <row r="39" spans="1:15" ht="15.75">
      <c r="A39" s="6">
        <v>36</v>
      </c>
      <c r="B39" s="75"/>
      <c r="C39" s="409"/>
      <c r="D39" s="434"/>
      <c r="E39" s="409"/>
      <c r="F39" s="409"/>
      <c r="G39" s="413">
        <f t="shared" si="4"/>
        <v>0</v>
      </c>
      <c r="H39" s="634"/>
      <c r="I39" s="414"/>
      <c r="J39" s="415">
        <f t="shared" si="3"/>
        <v>0</v>
      </c>
      <c r="K39" s="415">
        <f t="shared" si="2"/>
        <v>0</v>
      </c>
      <c r="L39" s="41"/>
      <c r="M39" s="410">
        <f t="shared" si="0"/>
        <v>90368.90129999991</v>
      </c>
      <c r="N39" s="6"/>
      <c r="O39" s="6"/>
    </row>
    <row r="40" spans="1:15" ht="15.75">
      <c r="A40" s="6">
        <v>37</v>
      </c>
      <c r="B40" s="75"/>
      <c r="C40" s="409"/>
      <c r="D40" s="434"/>
      <c r="E40" s="409"/>
      <c r="F40" s="409"/>
      <c r="G40" s="413">
        <f t="shared" si="4"/>
        <v>0</v>
      </c>
      <c r="H40" s="634"/>
      <c r="I40" s="634"/>
      <c r="J40" s="415">
        <f t="shared" si="3"/>
        <v>0</v>
      </c>
      <c r="K40" s="415">
        <f t="shared" si="2"/>
        <v>0</v>
      </c>
      <c r="L40" s="41"/>
      <c r="M40" s="410">
        <f t="shared" si="0"/>
        <v>90368.90129999991</v>
      </c>
      <c r="N40" s="6"/>
      <c r="O40" s="6"/>
    </row>
    <row r="41" spans="1:15" ht="15.75">
      <c r="A41" s="6">
        <v>38</v>
      </c>
      <c r="B41" s="75"/>
      <c r="C41" s="409"/>
      <c r="D41" s="434"/>
      <c r="E41" s="409"/>
      <c r="F41" s="409"/>
      <c r="G41" s="413">
        <f t="shared" si="4"/>
        <v>0</v>
      </c>
      <c r="H41" s="634"/>
      <c r="I41" s="634"/>
      <c r="J41" s="415">
        <f t="shared" si="3"/>
        <v>0</v>
      </c>
      <c r="K41" s="415">
        <f t="shared" si="2"/>
        <v>0</v>
      </c>
      <c r="L41" s="41"/>
      <c r="M41" s="410">
        <f t="shared" si="0"/>
        <v>90368.90129999991</v>
      </c>
      <c r="N41" s="6"/>
      <c r="O41" s="6"/>
    </row>
    <row r="42" spans="1:15" ht="15.75">
      <c r="A42" s="6">
        <v>39</v>
      </c>
      <c r="B42" s="75"/>
      <c r="C42" s="409"/>
      <c r="D42" s="434"/>
      <c r="E42" s="409"/>
      <c r="F42" s="409"/>
      <c r="G42" s="413">
        <f t="shared" si="4"/>
        <v>0</v>
      </c>
      <c r="H42" s="634"/>
      <c r="I42" s="634"/>
      <c r="J42" s="415">
        <f t="shared" si="3"/>
        <v>0</v>
      </c>
      <c r="K42" s="415">
        <f t="shared" si="2"/>
        <v>0</v>
      </c>
      <c r="L42" s="41"/>
      <c r="M42" s="410">
        <f t="shared" si="0"/>
        <v>90368.90129999991</v>
      </c>
      <c r="N42" s="6"/>
      <c r="O42" s="6"/>
    </row>
    <row r="43" spans="1:15" ht="15.75">
      <c r="A43" s="6">
        <v>40</v>
      </c>
      <c r="B43" s="75"/>
      <c r="C43" s="409"/>
      <c r="D43" s="434"/>
      <c r="E43" s="409"/>
      <c r="F43" s="409"/>
      <c r="G43" s="413">
        <f t="shared" si="4"/>
        <v>0</v>
      </c>
      <c r="H43" s="634"/>
      <c r="I43" s="634"/>
      <c r="J43" s="415">
        <f t="shared" si="3"/>
        <v>0</v>
      </c>
      <c r="K43" s="415">
        <f t="shared" si="2"/>
        <v>0</v>
      </c>
      <c r="L43" s="41"/>
      <c r="M43" s="410">
        <f t="shared" si="0"/>
        <v>90368.90129999991</v>
      </c>
      <c r="N43" s="6"/>
      <c r="O43" s="6"/>
    </row>
    <row r="44" spans="1:15" ht="15.75">
      <c r="A44" s="6">
        <v>41</v>
      </c>
      <c r="B44" s="75"/>
      <c r="C44" s="409"/>
      <c r="D44" s="434"/>
      <c r="E44" s="409"/>
      <c r="F44" s="409"/>
      <c r="G44" s="413">
        <f t="shared" si="4"/>
        <v>0</v>
      </c>
      <c r="H44" s="634"/>
      <c r="I44" s="634"/>
      <c r="J44" s="415">
        <f t="shared" si="3"/>
        <v>0</v>
      </c>
      <c r="K44" s="415">
        <f t="shared" si="2"/>
        <v>0</v>
      </c>
      <c r="L44" s="41"/>
      <c r="M44" s="410">
        <f t="shared" si="0"/>
        <v>90368.90129999991</v>
      </c>
      <c r="N44" s="6"/>
      <c r="O44" s="6"/>
    </row>
    <row r="45" spans="1:15" ht="15.75">
      <c r="A45" s="6">
        <v>42</v>
      </c>
      <c r="B45" s="75"/>
      <c r="C45" s="409"/>
      <c r="D45" s="434"/>
      <c r="F45" s="409"/>
      <c r="G45" s="413">
        <f t="shared" si="4"/>
        <v>0</v>
      </c>
      <c r="H45" s="634"/>
      <c r="I45" s="634"/>
      <c r="J45" s="415">
        <f t="shared" si="3"/>
        <v>0</v>
      </c>
      <c r="K45" s="415">
        <f t="shared" si="2"/>
        <v>0</v>
      </c>
      <c r="L45" s="41"/>
      <c r="M45" s="410">
        <f t="shared" si="0"/>
        <v>90368.90129999991</v>
      </c>
      <c r="N45" s="6"/>
      <c r="O45" s="6"/>
    </row>
    <row r="46" spans="1:15" ht="15.75">
      <c r="A46" s="6">
        <v>43</v>
      </c>
      <c r="B46" s="75"/>
      <c r="C46" s="409"/>
      <c r="D46" s="434"/>
      <c r="E46" s="409"/>
      <c r="F46" s="409"/>
      <c r="G46" s="413">
        <f t="shared" si="4"/>
        <v>0</v>
      </c>
      <c r="H46" s="634"/>
      <c r="I46" s="634"/>
      <c r="J46" s="415">
        <f t="shared" si="3"/>
        <v>0</v>
      </c>
      <c r="K46" s="415">
        <f t="shared" si="2"/>
        <v>0</v>
      </c>
      <c r="L46" s="41"/>
      <c r="M46" s="410">
        <f t="shared" si="0"/>
        <v>90368.90129999991</v>
      </c>
      <c r="N46" s="6"/>
      <c r="O46" s="6"/>
    </row>
    <row r="47" spans="1:15" ht="15.75">
      <c r="A47" s="6">
        <v>44</v>
      </c>
      <c r="B47" s="75"/>
      <c r="C47" s="409"/>
      <c r="D47" s="434"/>
      <c r="E47" s="409"/>
      <c r="F47" s="409"/>
      <c r="G47" s="413">
        <f t="shared" si="4"/>
        <v>0</v>
      </c>
      <c r="H47" s="634"/>
      <c r="I47" s="634"/>
      <c r="J47" s="415">
        <f t="shared" si="3"/>
        <v>0</v>
      </c>
      <c r="K47" s="415">
        <f t="shared" si="2"/>
        <v>0</v>
      </c>
      <c r="L47" s="44"/>
      <c r="M47" s="410">
        <f t="shared" si="0"/>
        <v>90368.90129999991</v>
      </c>
      <c r="N47" s="6"/>
      <c r="O47" s="6"/>
    </row>
    <row r="48" spans="1:15" ht="15.75">
      <c r="A48" s="6">
        <v>45</v>
      </c>
      <c r="B48" s="75"/>
      <c r="C48" s="409"/>
      <c r="D48" s="434"/>
      <c r="E48" s="409"/>
      <c r="F48" s="409"/>
      <c r="G48" s="413">
        <f t="shared" si="4"/>
        <v>0</v>
      </c>
      <c r="H48" s="634"/>
      <c r="I48" s="634"/>
      <c r="J48" s="415">
        <f t="shared" si="3"/>
        <v>0</v>
      </c>
      <c r="K48" s="415">
        <f t="shared" si="2"/>
        <v>0</v>
      </c>
      <c r="L48" s="44"/>
      <c r="M48" s="410">
        <f t="shared" si="0"/>
        <v>90368.90129999991</v>
      </c>
      <c r="N48" s="6"/>
      <c r="O48" s="6"/>
    </row>
    <row r="49" spans="1:15" ht="15.75">
      <c r="A49" s="6">
        <v>46</v>
      </c>
      <c r="B49" s="75"/>
      <c r="C49" s="409"/>
      <c r="D49" s="434"/>
      <c r="E49" s="409"/>
      <c r="F49" s="409"/>
      <c r="G49" s="413">
        <f t="shared" si="4"/>
        <v>0</v>
      </c>
      <c r="H49" s="634"/>
      <c r="I49" s="634"/>
      <c r="J49" s="415">
        <f t="shared" si="3"/>
        <v>0</v>
      </c>
      <c r="K49" s="415">
        <f t="shared" si="2"/>
        <v>0</v>
      </c>
      <c r="L49" s="44"/>
      <c r="M49" s="410">
        <f t="shared" si="0"/>
        <v>90368.90129999991</v>
      </c>
      <c r="N49" s="6"/>
      <c r="O49" s="6"/>
    </row>
    <row r="50" spans="1:15" ht="15.75">
      <c r="A50" s="6">
        <v>47</v>
      </c>
      <c r="B50" s="75"/>
      <c r="C50" s="409"/>
      <c r="D50" s="434"/>
      <c r="E50" s="409"/>
      <c r="F50" s="409"/>
      <c r="G50" s="413">
        <f t="shared" si="4"/>
        <v>0</v>
      </c>
      <c r="H50" s="634"/>
      <c r="I50" s="634"/>
      <c r="J50" s="415">
        <f t="shared" si="3"/>
        <v>0</v>
      </c>
      <c r="K50" s="415">
        <f t="shared" si="2"/>
        <v>0</v>
      </c>
      <c r="L50" s="44"/>
      <c r="M50" s="410">
        <f t="shared" si="0"/>
        <v>90368.90129999991</v>
      </c>
      <c r="N50" s="6"/>
      <c r="O50" s="6"/>
    </row>
    <row r="51" spans="1:15" ht="15.75">
      <c r="A51" s="6">
        <v>48</v>
      </c>
      <c r="B51" s="75"/>
      <c r="C51" s="409"/>
      <c r="D51" s="434"/>
      <c r="E51" s="409"/>
      <c r="F51" s="409"/>
      <c r="G51" s="413">
        <f t="shared" si="4"/>
        <v>0</v>
      </c>
      <c r="H51" s="409"/>
      <c r="I51" s="409"/>
      <c r="J51" s="415">
        <f t="shared" si="3"/>
        <v>0</v>
      </c>
      <c r="K51" s="415">
        <f t="shared" si="2"/>
        <v>0</v>
      </c>
      <c r="L51" s="44"/>
      <c r="M51" s="410">
        <f t="shared" si="0"/>
        <v>90368.90129999991</v>
      </c>
      <c r="N51" s="6"/>
      <c r="O51" s="6"/>
    </row>
    <row r="52" spans="1:15" ht="15.75">
      <c r="A52" s="6">
        <v>49</v>
      </c>
      <c r="B52" s="75"/>
      <c r="C52" s="409"/>
      <c r="D52" s="434"/>
      <c r="E52" s="409"/>
      <c r="F52" s="409"/>
      <c r="G52" s="413">
        <f t="shared" si="4"/>
        <v>0</v>
      </c>
      <c r="H52" s="409"/>
      <c r="I52" s="409"/>
      <c r="J52" s="415">
        <f t="shared" si="3"/>
        <v>0</v>
      </c>
      <c r="K52" s="415">
        <f t="shared" si="2"/>
        <v>0</v>
      </c>
      <c r="L52" s="44"/>
      <c r="M52" s="410">
        <f t="shared" si="0"/>
        <v>90368.90129999991</v>
      </c>
      <c r="N52" s="6"/>
      <c r="O52" s="6"/>
    </row>
    <row r="53" spans="1:15" ht="15.75">
      <c r="A53" s="6">
        <v>50</v>
      </c>
      <c r="B53" s="75"/>
      <c r="C53" s="409"/>
      <c r="D53" s="434"/>
      <c r="E53" s="409"/>
      <c r="F53" s="409"/>
      <c r="G53" s="413">
        <f t="shared" si="4"/>
        <v>0</v>
      </c>
      <c r="H53" s="409"/>
      <c r="I53" s="409"/>
      <c r="J53" s="415">
        <f t="shared" si="3"/>
        <v>0</v>
      </c>
      <c r="K53" s="415">
        <f t="shared" si="2"/>
        <v>0</v>
      </c>
      <c r="L53" s="44"/>
      <c r="M53" s="410">
        <f t="shared" si="0"/>
        <v>90368.90129999991</v>
      </c>
      <c r="N53" s="6"/>
      <c r="O53" s="6"/>
    </row>
    <row r="54" spans="1:15" ht="15.75">
      <c r="A54" s="6">
        <v>51</v>
      </c>
      <c r="B54" s="75"/>
      <c r="C54" s="409"/>
      <c r="D54" s="434"/>
      <c r="E54" s="409"/>
      <c r="F54" s="409"/>
      <c r="G54" s="413">
        <f t="shared" si="4"/>
        <v>0</v>
      </c>
      <c r="H54" s="409"/>
      <c r="I54" s="409"/>
      <c r="J54" s="415">
        <f t="shared" si="3"/>
        <v>0</v>
      </c>
      <c r="K54" s="415">
        <f t="shared" si="2"/>
        <v>0</v>
      </c>
      <c r="L54" s="44"/>
      <c r="M54" s="410">
        <f t="shared" si="0"/>
        <v>90368.90129999991</v>
      </c>
      <c r="N54" s="6"/>
      <c r="O54" s="6"/>
    </row>
    <row r="55" spans="1:15" ht="15.75">
      <c r="A55" s="6">
        <v>52</v>
      </c>
      <c r="B55" s="75"/>
      <c r="C55" s="409"/>
      <c r="D55" s="434"/>
      <c r="E55" s="409"/>
      <c r="F55" s="409"/>
      <c r="G55" s="413">
        <f t="shared" si="4"/>
        <v>0</v>
      </c>
      <c r="H55" s="409"/>
      <c r="I55" s="409"/>
      <c r="J55" s="415">
        <f t="shared" si="3"/>
        <v>0</v>
      </c>
      <c r="K55" s="415">
        <f t="shared" si="2"/>
        <v>0</v>
      </c>
      <c r="L55" s="44"/>
      <c r="M55" s="410">
        <f t="shared" si="0"/>
        <v>90368.90129999991</v>
      </c>
      <c r="N55" s="6"/>
      <c r="O55" s="6"/>
    </row>
    <row r="56" spans="1:15" ht="15.75">
      <c r="A56" s="6">
        <v>53</v>
      </c>
      <c r="B56" s="75"/>
      <c r="C56" s="409"/>
      <c r="D56" s="434"/>
      <c r="E56" s="409"/>
      <c r="F56" s="409"/>
      <c r="G56" s="409"/>
      <c r="H56" s="409"/>
      <c r="I56" s="409"/>
      <c r="J56" s="409"/>
      <c r="K56" s="415"/>
      <c r="L56" s="44"/>
      <c r="M56" s="410">
        <f t="shared" si="0"/>
        <v>90368.90129999991</v>
      </c>
      <c r="N56" s="6"/>
      <c r="O56" s="6"/>
    </row>
    <row r="57" spans="1:15" ht="15.75">
      <c r="A57" s="6">
        <v>54</v>
      </c>
      <c r="B57" s="75"/>
      <c r="C57" s="409"/>
      <c r="D57" s="434"/>
      <c r="E57" s="409"/>
      <c r="F57" s="409"/>
      <c r="G57" s="409"/>
      <c r="H57" s="409"/>
      <c r="I57" s="409"/>
      <c r="J57" s="409"/>
      <c r="K57" s="415"/>
      <c r="L57" s="44"/>
      <c r="M57" s="410">
        <f t="shared" si="0"/>
        <v>90368.90129999991</v>
      </c>
      <c r="N57" s="6"/>
      <c r="O57" s="6"/>
    </row>
    <row r="58" spans="1:15" ht="15.75">
      <c r="A58" s="6">
        <v>55</v>
      </c>
      <c r="B58" s="75"/>
      <c r="C58" s="409"/>
      <c r="D58" s="434"/>
      <c r="E58" s="409"/>
      <c r="F58" s="409"/>
      <c r="G58" s="409"/>
      <c r="H58" s="409"/>
      <c r="I58" s="409"/>
      <c r="J58" s="409"/>
      <c r="K58" s="415"/>
      <c r="L58" s="44"/>
      <c r="M58" s="410"/>
      <c r="N58" s="6"/>
      <c r="O58" s="6"/>
    </row>
    <row r="59" spans="1:15" ht="15.75">
      <c r="A59" s="6">
        <v>56</v>
      </c>
      <c r="B59" s="75"/>
      <c r="C59" s="409"/>
      <c r="D59" s="434"/>
      <c r="E59" s="409"/>
      <c r="F59" s="409"/>
      <c r="G59" s="409"/>
      <c r="H59" s="409"/>
      <c r="I59" s="409"/>
      <c r="J59" s="409"/>
      <c r="K59" s="415"/>
      <c r="L59" s="44"/>
      <c r="M59" s="410"/>
      <c r="N59" s="6"/>
      <c r="O59" s="6"/>
    </row>
    <row r="60" spans="1:15" ht="15.75">
      <c r="A60" s="6">
        <v>57</v>
      </c>
      <c r="B60" s="75"/>
      <c r="C60" s="409"/>
      <c r="D60" s="434"/>
      <c r="E60" s="409"/>
      <c r="F60" s="409"/>
      <c r="G60" s="409"/>
      <c r="H60" s="409"/>
      <c r="I60" s="409"/>
      <c r="J60" s="409"/>
      <c r="K60" s="415"/>
      <c r="L60" s="44"/>
      <c r="M60" s="410"/>
      <c r="N60" s="6"/>
      <c r="O60" s="6"/>
    </row>
    <row r="61" spans="1:15" ht="15.75">
      <c r="A61" s="6">
        <v>58</v>
      </c>
      <c r="B61" s="75"/>
      <c r="C61" s="409"/>
      <c r="D61" s="434"/>
      <c r="E61" s="409"/>
      <c r="F61" s="409"/>
      <c r="G61" s="409"/>
      <c r="H61" s="409"/>
      <c r="I61" s="409"/>
      <c r="J61" s="409"/>
      <c r="K61" s="415"/>
      <c r="L61" s="44"/>
      <c r="M61" s="410"/>
      <c r="N61" s="6"/>
      <c r="O61" s="6"/>
    </row>
    <row r="62" spans="1:15" ht="15.75">
      <c r="A62" s="6">
        <v>59</v>
      </c>
      <c r="B62" s="75"/>
      <c r="C62" s="409"/>
      <c r="D62" s="434"/>
      <c r="E62" s="409"/>
      <c r="F62" s="409"/>
      <c r="G62" s="409"/>
      <c r="H62" s="409"/>
      <c r="I62" s="409"/>
      <c r="J62" s="409"/>
      <c r="K62" s="415"/>
      <c r="L62" s="44"/>
      <c r="M62" s="410"/>
      <c r="N62" s="6"/>
      <c r="O62" s="6"/>
    </row>
    <row r="63" spans="1:15" ht="15.75">
      <c r="A63" s="6">
        <v>60</v>
      </c>
      <c r="B63" s="75"/>
      <c r="C63" s="409"/>
      <c r="D63" s="434"/>
      <c r="E63" s="409"/>
      <c r="F63" s="409"/>
      <c r="G63" s="409"/>
      <c r="H63" s="409"/>
      <c r="I63" s="409"/>
      <c r="J63" s="409"/>
      <c r="K63" s="415"/>
      <c r="L63" s="44"/>
      <c r="M63" s="410"/>
      <c r="N63" s="6"/>
      <c r="O63" s="6"/>
    </row>
    <row r="64" spans="1:15" ht="15.75">
      <c r="A64" s="6">
        <v>61</v>
      </c>
      <c r="B64" s="75"/>
      <c r="C64" s="409"/>
      <c r="D64" s="434"/>
      <c r="E64" s="409"/>
      <c r="F64" s="409"/>
      <c r="G64" s="409"/>
      <c r="H64" s="409"/>
      <c r="I64" s="409"/>
      <c r="J64" s="409"/>
      <c r="K64" s="415"/>
      <c r="L64" s="44"/>
      <c r="M64" s="410"/>
      <c r="N64" s="6"/>
      <c r="O64" s="6"/>
    </row>
    <row r="65" spans="1:15" ht="15.75">
      <c r="A65" s="6">
        <v>62</v>
      </c>
      <c r="B65" s="75"/>
      <c r="C65" s="409"/>
      <c r="D65" s="434"/>
      <c r="E65" s="409"/>
      <c r="F65" s="409"/>
      <c r="G65" s="409"/>
      <c r="H65" s="409"/>
      <c r="I65" s="409"/>
      <c r="J65" s="409"/>
      <c r="K65" s="415"/>
      <c r="L65" s="44"/>
      <c r="M65" s="410"/>
      <c r="N65" s="6"/>
      <c r="O65" s="6"/>
    </row>
    <row r="66" spans="1:15" ht="15.75">
      <c r="A66" s="6">
        <v>63</v>
      </c>
      <c r="B66" s="75"/>
      <c r="C66" s="409"/>
      <c r="D66" s="434"/>
      <c r="E66" s="409"/>
      <c r="F66" s="409"/>
      <c r="G66" s="409"/>
      <c r="H66" s="409"/>
      <c r="I66" s="409"/>
      <c r="J66" s="409"/>
      <c r="K66" s="415"/>
      <c r="L66" s="44"/>
      <c r="M66" s="410"/>
      <c r="N66" s="6"/>
      <c r="O66" s="6"/>
    </row>
    <row r="67" spans="1:15" ht="15.75">
      <c r="A67" s="6">
        <v>64</v>
      </c>
      <c r="B67" s="75"/>
      <c r="C67" s="409"/>
      <c r="D67" s="434"/>
      <c r="E67" s="409"/>
      <c r="F67" s="409"/>
      <c r="G67" s="409"/>
      <c r="H67" s="409"/>
      <c r="I67" s="409"/>
      <c r="J67" s="409"/>
      <c r="K67" s="415"/>
      <c r="L67" s="44"/>
      <c r="M67" s="410"/>
      <c r="N67" s="6"/>
      <c r="O67" s="6"/>
    </row>
    <row r="68" spans="1:15" ht="15.75">
      <c r="A68" s="6">
        <v>65</v>
      </c>
      <c r="B68" s="75"/>
      <c r="C68" s="409"/>
      <c r="D68" s="434"/>
      <c r="E68" s="409"/>
      <c r="F68" s="409"/>
      <c r="G68" s="409"/>
      <c r="H68" s="409"/>
      <c r="I68" s="409"/>
      <c r="J68" s="409"/>
      <c r="K68" s="415"/>
      <c r="L68" s="44"/>
      <c r="M68" s="410"/>
      <c r="N68" s="6"/>
      <c r="O68" s="6"/>
    </row>
    <row r="69" spans="1:15" ht="15.75">
      <c r="A69" s="6">
        <v>66</v>
      </c>
      <c r="B69" s="75"/>
      <c r="C69" s="409"/>
      <c r="D69" s="434"/>
      <c r="E69" s="409"/>
      <c r="F69" s="409"/>
      <c r="G69" s="409"/>
      <c r="H69" s="409"/>
      <c r="I69" s="409"/>
      <c r="J69" s="409"/>
      <c r="K69" s="415"/>
      <c r="L69" s="44"/>
      <c r="M69" s="410"/>
      <c r="N69" s="6"/>
      <c r="O69" s="6"/>
    </row>
    <row r="70" spans="1:15" ht="15.75">
      <c r="A70" s="6">
        <v>67</v>
      </c>
      <c r="B70" s="75"/>
      <c r="C70" s="409"/>
      <c r="D70" s="434"/>
      <c r="E70" s="409"/>
      <c r="F70" s="409"/>
      <c r="G70" s="409"/>
      <c r="H70" s="409"/>
      <c r="I70" s="409"/>
      <c r="J70" s="409"/>
      <c r="K70" s="415"/>
      <c r="L70" s="44"/>
      <c r="M70" s="410"/>
      <c r="N70" s="6"/>
      <c r="O70" s="6"/>
    </row>
    <row r="71" spans="1:15" ht="15.75">
      <c r="A71" s="6">
        <v>68</v>
      </c>
      <c r="B71" s="75"/>
      <c r="C71" s="409"/>
      <c r="D71" s="434"/>
      <c r="E71" s="409"/>
      <c r="F71" s="409"/>
      <c r="G71" s="409"/>
      <c r="H71" s="634"/>
      <c r="I71" s="634"/>
      <c r="J71" s="409"/>
      <c r="K71" s="415"/>
      <c r="L71" s="44"/>
      <c r="M71" s="410"/>
      <c r="N71" s="6"/>
      <c r="O71" s="6"/>
    </row>
    <row r="72" spans="1:15" ht="15.75">
      <c r="A72" s="6">
        <v>69</v>
      </c>
      <c r="B72" s="75"/>
      <c r="C72" s="409"/>
      <c r="D72" s="434"/>
      <c r="E72" s="409"/>
      <c r="F72" s="409"/>
      <c r="G72" s="409"/>
      <c r="H72" s="634"/>
      <c r="I72" s="634"/>
      <c r="J72" s="409"/>
      <c r="K72" s="415"/>
      <c r="L72" s="44"/>
      <c r="M72" s="410"/>
      <c r="N72" s="6"/>
      <c r="O72" s="6"/>
    </row>
    <row r="73" spans="1:15" ht="15.75">
      <c r="A73" s="6">
        <v>70</v>
      </c>
      <c r="B73" s="75"/>
      <c r="C73" s="409"/>
      <c r="D73" s="434"/>
      <c r="E73" s="409"/>
      <c r="F73" s="409"/>
      <c r="G73" s="409"/>
      <c r="H73" s="635"/>
      <c r="I73" s="635"/>
      <c r="J73" s="409"/>
      <c r="K73" s="415"/>
      <c r="L73" s="44"/>
      <c r="M73" s="410"/>
      <c r="N73" s="6"/>
      <c r="O73" s="6"/>
    </row>
    <row r="74" spans="1:15" ht="15.75">
      <c r="A74" s="6">
        <v>71</v>
      </c>
      <c r="B74" s="75"/>
      <c r="C74" s="409"/>
      <c r="D74" s="409"/>
      <c r="E74" s="409"/>
      <c r="F74" s="409"/>
      <c r="G74" s="409"/>
      <c r="H74" s="635"/>
      <c r="I74" s="635"/>
      <c r="J74" s="409"/>
      <c r="K74" s="415"/>
      <c r="L74" s="44"/>
      <c r="M74" s="410"/>
      <c r="N74" s="6"/>
      <c r="O74" s="6"/>
    </row>
    <row r="75" spans="1:15" ht="15.75">
      <c r="A75" s="6">
        <v>72</v>
      </c>
      <c r="B75" s="75"/>
      <c r="C75" s="409"/>
      <c r="D75" s="409"/>
      <c r="E75" s="409"/>
      <c r="F75" s="409"/>
      <c r="G75" s="409"/>
      <c r="H75" s="635"/>
      <c r="I75" s="635"/>
      <c r="J75" s="409"/>
      <c r="K75" s="415"/>
      <c r="L75" s="44"/>
      <c r="M75" s="410"/>
      <c r="N75" s="6"/>
      <c r="O75" s="6"/>
    </row>
    <row r="76" spans="1:15" ht="15.75">
      <c r="A76" s="6">
        <v>73</v>
      </c>
      <c r="B76" s="75"/>
      <c r="C76" s="409"/>
      <c r="D76" s="409"/>
      <c r="E76" s="409"/>
      <c r="F76" s="409"/>
      <c r="G76" s="409"/>
      <c r="H76" s="635"/>
      <c r="I76" s="635"/>
      <c r="J76" s="409"/>
      <c r="K76" s="415"/>
      <c r="L76" s="44"/>
      <c r="M76" s="410"/>
      <c r="N76" s="6"/>
      <c r="O76" s="6"/>
    </row>
    <row r="77" spans="1:15" ht="15.75">
      <c r="A77" s="6">
        <v>74</v>
      </c>
      <c r="B77" s="75"/>
      <c r="C77" s="409"/>
      <c r="D77" s="409"/>
      <c r="E77" s="409"/>
      <c r="F77" s="409"/>
      <c r="G77" s="409"/>
      <c r="H77" s="414"/>
      <c r="I77" s="414"/>
      <c r="J77" s="409"/>
      <c r="K77" s="415"/>
      <c r="L77" s="44"/>
      <c r="M77" s="410"/>
      <c r="N77" s="6"/>
      <c r="O77" s="6"/>
    </row>
    <row r="78" spans="1:15" ht="15.75">
      <c r="A78" s="6">
        <v>75</v>
      </c>
      <c r="B78" s="75"/>
      <c r="C78" s="409"/>
      <c r="D78" s="409"/>
      <c r="E78" s="409"/>
      <c r="F78" s="409"/>
      <c r="G78" s="409"/>
      <c r="H78" s="635"/>
      <c r="I78" s="635"/>
      <c r="J78" s="409"/>
      <c r="K78" s="415"/>
      <c r="L78" s="44"/>
      <c r="M78" s="410"/>
      <c r="N78" s="6"/>
      <c r="O78" s="6"/>
    </row>
    <row r="79" spans="1:15" ht="15.75">
      <c r="A79" s="6">
        <v>76</v>
      </c>
      <c r="B79" s="75"/>
      <c r="C79" s="409"/>
      <c r="D79" s="409"/>
      <c r="E79" s="409"/>
      <c r="F79" s="409"/>
      <c r="G79" s="409"/>
      <c r="H79" s="635"/>
      <c r="I79" s="635"/>
      <c r="J79" s="409"/>
      <c r="K79" s="415"/>
      <c r="L79" s="44"/>
      <c r="M79" s="410"/>
      <c r="N79" s="6"/>
      <c r="O79" s="63"/>
    </row>
    <row r="80" spans="1:15" ht="15.75">
      <c r="A80" s="6">
        <v>77</v>
      </c>
      <c r="B80" s="411"/>
      <c r="C80" s="409"/>
      <c r="D80" s="409"/>
      <c r="E80" s="409"/>
      <c r="F80" s="409"/>
      <c r="G80" s="409"/>
      <c r="H80" s="636"/>
      <c r="I80" s="636"/>
      <c r="J80" s="409"/>
      <c r="K80" s="415"/>
      <c r="L80" s="44"/>
      <c r="M80" s="410"/>
      <c r="N80" s="162"/>
      <c r="O80" s="162"/>
    </row>
    <row r="81" spans="1:15" ht="15.75">
      <c r="A81" s="6">
        <v>78</v>
      </c>
      <c r="B81" s="411"/>
      <c r="C81" s="409"/>
      <c r="D81" s="409"/>
      <c r="E81" s="409"/>
      <c r="F81" s="409"/>
      <c r="G81" s="409"/>
      <c r="H81" s="414"/>
      <c r="I81" s="414"/>
      <c r="J81" s="409"/>
      <c r="K81" s="415"/>
      <c r="L81" s="44"/>
      <c r="M81" s="410"/>
      <c r="N81" s="162"/>
      <c r="O81" s="162"/>
    </row>
    <row r="82" spans="1:15" ht="15.75">
      <c r="A82" s="6">
        <v>79</v>
      </c>
      <c r="B82" s="412"/>
      <c r="C82" s="409"/>
      <c r="D82" s="409"/>
      <c r="E82" s="409"/>
      <c r="F82" s="409"/>
      <c r="G82" s="409"/>
      <c r="H82" s="635"/>
      <c r="I82" s="635"/>
      <c r="J82" s="409"/>
      <c r="K82" s="415"/>
      <c r="L82" s="44"/>
      <c r="M82" s="410"/>
      <c r="N82" s="6"/>
      <c r="O82" s="6"/>
    </row>
    <row r="83" spans="1:15" ht="15.75">
      <c r="A83" s="6">
        <v>80</v>
      </c>
      <c r="B83" s="412"/>
      <c r="C83" s="409"/>
      <c r="D83" s="409"/>
      <c r="E83" s="409"/>
      <c r="F83" s="409"/>
      <c r="G83" s="409"/>
      <c r="H83" s="635"/>
      <c r="I83" s="635"/>
      <c r="J83" s="409"/>
      <c r="K83" s="415"/>
      <c r="L83" s="44"/>
      <c r="M83" s="410"/>
      <c r="N83" s="6"/>
      <c r="O83" s="6"/>
    </row>
    <row r="84" spans="1:15" ht="15.75">
      <c r="A84" s="6">
        <v>81</v>
      </c>
      <c r="B84" s="412"/>
      <c r="C84" s="409"/>
      <c r="D84" s="409"/>
      <c r="E84" s="409"/>
      <c r="F84" s="409"/>
      <c r="G84" s="409"/>
      <c r="H84" s="635"/>
      <c r="I84" s="635"/>
      <c r="J84" s="409"/>
      <c r="K84" s="415"/>
      <c r="L84" s="44"/>
      <c r="M84" s="410"/>
      <c r="N84" s="6"/>
      <c r="O84" s="6"/>
    </row>
    <row r="85" spans="1:15" ht="15.75">
      <c r="A85" s="6">
        <v>82</v>
      </c>
      <c r="B85" s="412"/>
      <c r="C85" s="409"/>
      <c r="D85" s="409"/>
      <c r="E85" s="409"/>
      <c r="F85" s="409"/>
      <c r="G85" s="409"/>
      <c r="H85" s="635"/>
      <c r="I85" s="635"/>
      <c r="J85" s="409"/>
      <c r="K85" s="415"/>
      <c r="L85" s="44"/>
      <c r="M85" s="410"/>
      <c r="N85" s="6"/>
      <c r="O85" s="6"/>
    </row>
    <row r="86" spans="1:15" ht="15.75">
      <c r="A86" s="6">
        <v>83</v>
      </c>
      <c r="B86" s="412"/>
      <c r="C86" s="409"/>
      <c r="D86" s="409"/>
      <c r="E86" s="409"/>
      <c r="F86" s="409"/>
      <c r="G86" s="409"/>
      <c r="H86" s="635"/>
      <c r="I86" s="635"/>
      <c r="J86" s="409"/>
      <c r="K86" s="415"/>
      <c r="L86" s="44"/>
      <c r="M86" s="410"/>
      <c r="N86" s="6"/>
      <c r="O86" s="6"/>
    </row>
    <row r="87" spans="1:15" ht="15.75">
      <c r="A87" s="6">
        <v>84</v>
      </c>
      <c r="B87" s="412"/>
      <c r="C87" s="409"/>
      <c r="D87" s="409"/>
      <c r="E87" s="409"/>
      <c r="F87" s="409"/>
      <c r="G87" s="409"/>
      <c r="H87" s="635"/>
      <c r="I87" s="635"/>
      <c r="J87" s="409"/>
      <c r="K87" s="415"/>
      <c r="L87" s="44"/>
      <c r="M87" s="410"/>
      <c r="N87" s="6"/>
      <c r="O87" s="6"/>
    </row>
    <row r="88" spans="1:15" ht="15.75">
      <c r="A88" s="6">
        <v>85</v>
      </c>
      <c r="B88" s="412"/>
      <c r="C88" s="409"/>
      <c r="D88" s="409"/>
      <c r="E88" s="409"/>
      <c r="F88" s="409"/>
      <c r="G88" s="409"/>
      <c r="H88" s="635"/>
      <c r="I88" s="635"/>
      <c r="J88" s="409"/>
      <c r="K88" s="415"/>
      <c r="L88" s="44"/>
      <c r="M88" s="410"/>
      <c r="N88" s="6"/>
      <c r="O88" s="6"/>
    </row>
    <row r="89" spans="1:15" ht="15.75">
      <c r="A89" s="6">
        <v>86</v>
      </c>
      <c r="B89" s="412"/>
      <c r="C89" s="409"/>
      <c r="D89" s="409"/>
      <c r="E89" s="409"/>
      <c r="F89" s="409"/>
      <c r="G89" s="409"/>
      <c r="H89" s="635"/>
      <c r="I89" s="635"/>
      <c r="J89" s="409"/>
      <c r="K89" s="415"/>
      <c r="L89" s="44"/>
      <c r="M89" s="410"/>
      <c r="N89" s="6"/>
      <c r="O89" s="6"/>
    </row>
    <row r="90" spans="1:15" ht="15.75">
      <c r="A90" s="6">
        <v>87</v>
      </c>
      <c r="B90" s="412"/>
      <c r="C90" s="409"/>
      <c r="D90" s="409"/>
      <c r="E90" s="409"/>
      <c r="F90" s="409"/>
      <c r="G90" s="409"/>
      <c r="H90" s="635"/>
      <c r="I90" s="635"/>
      <c r="J90" s="409"/>
      <c r="K90" s="415"/>
      <c r="L90" s="44"/>
      <c r="M90" s="410"/>
      <c r="N90" s="6"/>
      <c r="O90" s="6"/>
    </row>
    <row r="91" spans="1:15" ht="15.75">
      <c r="A91" s="6">
        <v>88</v>
      </c>
      <c r="B91" s="412"/>
      <c r="C91" s="409"/>
      <c r="D91" s="409"/>
      <c r="E91" s="409"/>
      <c r="F91" s="409"/>
      <c r="G91" s="409"/>
      <c r="H91" s="635"/>
      <c r="I91" s="414"/>
      <c r="J91" s="409"/>
      <c r="K91" s="415"/>
      <c r="L91" s="44"/>
      <c r="M91" s="410"/>
      <c r="N91" s="6"/>
      <c r="O91" s="6"/>
    </row>
    <row r="92" spans="1:15" ht="15.75">
      <c r="A92" s="6">
        <v>89</v>
      </c>
      <c r="B92" s="412"/>
      <c r="C92" s="409"/>
      <c r="D92" s="409"/>
      <c r="E92" s="409"/>
      <c r="F92" s="409"/>
      <c r="G92" s="409"/>
      <c r="H92" s="635"/>
      <c r="I92" s="635"/>
      <c r="J92" s="409"/>
      <c r="K92" s="415"/>
      <c r="L92" s="44"/>
      <c r="M92" s="410"/>
      <c r="N92" s="6"/>
      <c r="O92" s="6"/>
    </row>
    <row r="93" spans="1:15" ht="15.75">
      <c r="A93" s="6">
        <v>90</v>
      </c>
      <c r="B93" s="412"/>
      <c r="C93" s="409"/>
      <c r="D93" s="409"/>
      <c r="E93" s="409"/>
      <c r="F93" s="409"/>
      <c r="G93" s="409"/>
      <c r="H93" s="635"/>
      <c r="I93" s="635"/>
      <c r="J93" s="409"/>
      <c r="K93" s="415"/>
      <c r="L93" s="44"/>
      <c r="M93" s="410"/>
      <c r="N93" s="6"/>
      <c r="O93" s="6"/>
    </row>
    <row r="94" spans="1:15" ht="15.75">
      <c r="A94" s="6">
        <v>91</v>
      </c>
      <c r="B94" s="412"/>
      <c r="C94" s="409"/>
      <c r="D94" s="409"/>
      <c r="E94" s="409"/>
      <c r="F94" s="409"/>
      <c r="G94" s="409"/>
      <c r="H94" s="635"/>
      <c r="I94" s="635"/>
      <c r="J94" s="409"/>
      <c r="K94" s="415"/>
      <c r="L94" s="44"/>
      <c r="M94" s="410"/>
      <c r="N94" s="6"/>
      <c r="O94" s="6"/>
    </row>
    <row r="95" spans="1:15" ht="15.75">
      <c r="A95" s="6">
        <v>92</v>
      </c>
      <c r="B95" s="412"/>
      <c r="C95" s="409"/>
      <c r="D95" s="409"/>
      <c r="E95" s="409"/>
      <c r="F95" s="409"/>
      <c r="G95" s="409"/>
      <c r="H95" s="635"/>
      <c r="I95" s="635"/>
      <c r="J95" s="409"/>
      <c r="K95" s="415"/>
      <c r="L95" s="44"/>
      <c r="M95" s="410"/>
      <c r="N95" s="6"/>
      <c r="O95" s="6"/>
    </row>
    <row r="96" spans="1:15" ht="15.75">
      <c r="A96" s="6">
        <v>93</v>
      </c>
      <c r="B96" s="412"/>
      <c r="C96" s="409"/>
      <c r="D96" s="409"/>
      <c r="E96" s="409"/>
      <c r="F96" s="409"/>
      <c r="G96" s="409"/>
      <c r="H96" s="635"/>
      <c r="I96" s="414"/>
      <c r="J96" s="409"/>
      <c r="K96" s="415"/>
      <c r="L96" s="44"/>
      <c r="M96" s="410"/>
      <c r="N96" s="6"/>
      <c r="O96" s="6"/>
    </row>
    <row r="97" spans="1:15" ht="15.75">
      <c r="A97" s="6">
        <v>94</v>
      </c>
      <c r="B97" s="6"/>
      <c r="C97" s="6"/>
      <c r="D97" s="635"/>
      <c r="E97" s="635"/>
      <c r="F97" s="635"/>
      <c r="G97" s="635"/>
      <c r="H97" s="635"/>
      <c r="I97" s="635"/>
      <c r="J97" s="409"/>
      <c r="K97" s="415"/>
      <c r="L97" s="44"/>
      <c r="M97" s="410"/>
      <c r="N97" s="6"/>
      <c r="O97" s="6"/>
    </row>
    <row r="98" spans="1:15" ht="15.75">
      <c r="A98" s="6">
        <v>95</v>
      </c>
      <c r="B98" s="6"/>
      <c r="C98" s="6"/>
      <c r="D98" s="6"/>
      <c r="E98" s="6"/>
      <c r="F98" s="6"/>
      <c r="G98" s="6"/>
      <c r="H98" s="6"/>
      <c r="I98" s="6"/>
      <c r="J98" s="409"/>
      <c r="K98" s="415"/>
      <c r="L98" s="44"/>
      <c r="M98" s="410"/>
      <c r="N98" s="6"/>
      <c r="O98" s="6"/>
    </row>
    <row r="99" spans="1:15" ht="15.75">
      <c r="A99" s="6">
        <v>96</v>
      </c>
      <c r="B99" s="6"/>
      <c r="C99" s="6"/>
      <c r="D99" s="6"/>
      <c r="E99" s="6"/>
      <c r="F99" s="6"/>
      <c r="G99" s="6"/>
      <c r="H99" s="6"/>
      <c r="I99" s="6"/>
      <c r="J99" s="409"/>
      <c r="K99" s="415"/>
      <c r="L99" s="44"/>
      <c r="M99" s="410"/>
      <c r="N99" s="6"/>
      <c r="O99" s="6"/>
    </row>
    <row r="100" spans="1:15" ht="15.75">
      <c r="A100" s="6">
        <v>97</v>
      </c>
      <c r="B100" s="6"/>
      <c r="C100" s="6"/>
      <c r="D100" s="6"/>
      <c r="E100" s="6"/>
      <c r="F100" s="6"/>
      <c r="G100" s="6"/>
      <c r="H100" s="6"/>
      <c r="I100" s="6"/>
      <c r="J100" s="409"/>
      <c r="K100" s="415"/>
      <c r="L100" s="44"/>
      <c r="M100" s="410"/>
      <c r="N100" s="6"/>
      <c r="O100" s="6"/>
    </row>
    <row r="101" spans="1:15" ht="15.75">
      <c r="A101" s="6">
        <v>98</v>
      </c>
      <c r="B101" s="6"/>
      <c r="C101" s="6"/>
      <c r="D101" s="6"/>
      <c r="E101" s="6"/>
      <c r="F101" s="6"/>
      <c r="G101" s="6"/>
      <c r="H101" s="6"/>
      <c r="I101" s="6"/>
      <c r="J101" s="409"/>
      <c r="K101" s="415"/>
      <c r="L101" s="44"/>
      <c r="M101" s="410"/>
      <c r="N101" s="6"/>
      <c r="O101" s="6"/>
    </row>
    <row r="102" spans="1:15" ht="15.75">
      <c r="A102" s="6">
        <v>99</v>
      </c>
      <c r="B102" s="6"/>
      <c r="C102" s="6"/>
      <c r="D102" s="6"/>
      <c r="E102" s="6"/>
      <c r="F102" s="6"/>
      <c r="G102" s="6"/>
      <c r="H102" s="6"/>
      <c r="I102" s="6"/>
      <c r="J102" s="409"/>
      <c r="K102" s="415"/>
      <c r="L102" s="44"/>
      <c r="M102" s="410"/>
      <c r="N102" s="6"/>
      <c r="O102" s="6"/>
    </row>
    <row r="103" spans="1:15" ht="15.75">
      <c r="A103" s="6">
        <v>100</v>
      </c>
      <c r="B103" s="6"/>
      <c r="C103" s="6"/>
      <c r="D103" s="6"/>
      <c r="E103" s="6"/>
      <c r="F103" s="6"/>
      <c r="G103" s="6"/>
      <c r="H103" s="6"/>
      <c r="I103" s="6"/>
      <c r="J103" s="409"/>
      <c r="K103" s="415"/>
      <c r="L103" s="44"/>
      <c r="M103" s="410"/>
      <c r="N103" s="6"/>
      <c r="O103" s="6"/>
    </row>
    <row r="104" spans="1:15" ht="15.75">
      <c r="A104" s="6">
        <v>101</v>
      </c>
      <c r="B104" s="6"/>
      <c r="C104" s="6"/>
      <c r="D104" s="6"/>
      <c r="E104" s="6"/>
      <c r="F104" s="6"/>
      <c r="G104" s="6"/>
      <c r="H104" s="6"/>
      <c r="I104" s="6"/>
      <c r="J104" s="409"/>
      <c r="K104" s="415"/>
      <c r="L104" s="44"/>
      <c r="M104" s="410"/>
      <c r="N104" s="6"/>
      <c r="O104" s="6"/>
    </row>
    <row r="105" spans="1:15" ht="15.75">
      <c r="A105" s="6">
        <v>102</v>
      </c>
      <c r="B105" s="6"/>
      <c r="C105" s="6"/>
      <c r="D105" s="6"/>
      <c r="E105" s="6"/>
      <c r="F105" s="6"/>
      <c r="G105" s="6"/>
      <c r="H105" s="6"/>
      <c r="I105" s="6"/>
      <c r="J105" s="409"/>
      <c r="K105" s="415"/>
      <c r="L105" s="44"/>
      <c r="M105" s="6"/>
      <c r="N105" s="6"/>
      <c r="O105" s="6"/>
    </row>
    <row r="106" spans="1:15" ht="15.75">
      <c r="A106" s="6">
        <v>103</v>
      </c>
      <c r="B106" s="6"/>
      <c r="C106" s="6"/>
      <c r="D106" s="6"/>
      <c r="E106" s="6"/>
      <c r="F106" s="6"/>
      <c r="G106" s="6"/>
      <c r="H106" s="6"/>
      <c r="I106" s="6"/>
      <c r="J106" s="409"/>
      <c r="K106" s="415"/>
      <c r="L106" s="44"/>
      <c r="M106" s="6"/>
      <c r="N106" s="6"/>
      <c r="O106" s="6"/>
    </row>
    <row r="107" spans="1:15" ht="15.75">
      <c r="A107" s="6">
        <v>104</v>
      </c>
      <c r="B107" s="6"/>
      <c r="C107" s="6"/>
      <c r="D107" s="6"/>
      <c r="E107" s="6"/>
      <c r="F107" s="6"/>
      <c r="G107" s="6"/>
      <c r="H107" s="6"/>
      <c r="I107" s="6"/>
      <c r="J107" s="409"/>
      <c r="K107" s="415"/>
      <c r="L107" s="44"/>
      <c r="M107" s="6"/>
      <c r="N107" s="6"/>
      <c r="O107" s="6"/>
    </row>
    <row r="108" spans="1:15" ht="15.75">
      <c r="A108" s="6">
        <v>105</v>
      </c>
      <c r="B108" s="6"/>
      <c r="C108" s="6"/>
      <c r="D108" s="6"/>
      <c r="E108" s="6"/>
      <c r="F108" s="6"/>
      <c r="G108" s="6"/>
      <c r="H108" s="6"/>
      <c r="I108" s="6"/>
      <c r="J108" s="409"/>
      <c r="K108" s="415"/>
      <c r="L108" s="44"/>
      <c r="M108" s="6"/>
      <c r="N108" s="6"/>
      <c r="O108" s="6"/>
    </row>
    <row r="109" spans="1:15" ht="15.75">
      <c r="A109" s="6">
        <v>106</v>
      </c>
      <c r="B109" s="6"/>
      <c r="C109" s="6"/>
      <c r="D109" s="6"/>
      <c r="E109" s="6"/>
      <c r="F109" s="6"/>
      <c r="G109" s="6"/>
      <c r="H109" s="6"/>
      <c r="I109" s="6"/>
      <c r="J109" s="409"/>
      <c r="K109" s="415"/>
      <c r="L109" s="44"/>
      <c r="M109" s="6"/>
      <c r="N109" s="6"/>
      <c r="O109" s="6"/>
    </row>
    <row r="110" spans="1:15" ht="15.75">
      <c r="A110" s="6">
        <v>107</v>
      </c>
      <c r="B110" s="6"/>
      <c r="C110" s="6"/>
      <c r="D110" s="6"/>
      <c r="E110" s="6"/>
      <c r="F110" s="6"/>
      <c r="G110" s="6"/>
      <c r="H110" s="6"/>
      <c r="I110" s="6"/>
      <c r="J110" s="409"/>
      <c r="K110" s="415"/>
      <c r="L110" s="44"/>
      <c r="M110" s="6"/>
      <c r="N110" s="6"/>
      <c r="O110" s="6"/>
    </row>
    <row r="111" spans="1:15" ht="15.75">
      <c r="A111" s="6">
        <v>108</v>
      </c>
      <c r="B111" s="6"/>
      <c r="C111" s="6"/>
      <c r="D111" s="6"/>
      <c r="E111" s="6"/>
      <c r="F111" s="6"/>
      <c r="G111" s="6"/>
      <c r="H111" s="6"/>
      <c r="I111" s="6"/>
      <c r="J111" s="409"/>
      <c r="K111" s="415"/>
      <c r="L111" s="44"/>
      <c r="M111" s="6"/>
      <c r="N111" s="6"/>
      <c r="O111" s="6"/>
    </row>
    <row r="112" spans="1:15">
      <c r="A112" s="6">
        <v>109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>
      <c r="A113" s="6">
        <v>110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>
      <c r="A114" s="6">
        <v>111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>
      <c r="A115" s="6">
        <v>112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>
      <c r="A116" s="6">
        <v>113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>
      <c r="A117" s="6">
        <v>114</v>
      </c>
      <c r="B117" s="162"/>
      <c r="C117" s="162"/>
      <c r="D117" s="162"/>
      <c r="E117" s="162"/>
      <c r="F117" s="162"/>
      <c r="G117" s="162"/>
      <c r="H117" s="162"/>
      <c r="I117" s="162"/>
      <c r="J117" s="162"/>
      <c r="K117" s="162"/>
      <c r="L117" s="162"/>
      <c r="M117" s="162"/>
      <c r="N117" s="162"/>
      <c r="O117" s="162"/>
    </row>
    <row r="118" spans="1:15">
      <c r="A118" s="6">
        <v>115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>
      <c r="A119" s="6">
        <v>116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>
      <c r="A120" s="6">
        <v>117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>
      <c r="A121" s="6">
        <v>118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</row>
    <row r="122" spans="1:15">
      <c r="A122" s="6">
        <v>119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>
      <c r="A123" s="6">
        <v>120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>
      <c r="A124" s="6">
        <v>121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>
      <c r="A125" s="6">
        <v>122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>
      <c r="A126" s="6">
        <v>123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>
      <c r="A127" s="6">
        <v>124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>
      <c r="A128" s="6">
        <v>125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>
      <c r="A129" s="6">
        <v>126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>
      <c r="A130" s="6">
        <v>127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>
      <c r="A131" s="6">
        <v>128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>
      <c r="A132" s="6">
        <v>129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</sheetData>
  <mergeCells count="2">
    <mergeCell ref="A1:O1"/>
    <mergeCell ref="A3:J3"/>
  </mergeCell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36F0-8AEE-4D71-B274-AD3D9F13445A}">
  <dimension ref="A2:A7"/>
  <sheetViews>
    <sheetView workbookViewId="0">
      <selection activeCell="G8" sqref="G8"/>
    </sheetView>
  </sheetViews>
  <sheetFormatPr defaultRowHeight="15"/>
  <cols>
    <col min="2" max="2" width="11.7109375" customWidth="1"/>
  </cols>
  <sheetData>
    <row r="2" ht="30" customHeight="1"/>
    <row r="3" ht="30" customHeight="1"/>
    <row r="4" ht="30" customHeight="1"/>
    <row r="5" ht="30" customHeight="1"/>
    <row r="6" ht="30" customHeight="1"/>
    <row r="7" ht="30" customHeight="1"/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C14-6E7E-415C-A7E3-EBB67030E1DA}">
  <dimension ref="A1"/>
  <sheetViews>
    <sheetView workbookViewId="0">
      <selection sqref="A1:B1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2026-10-14T05:16:22Z</dcterms:modified>
  <cp:category/>
  <cp:contentStatus/>
</cp:coreProperties>
</file>