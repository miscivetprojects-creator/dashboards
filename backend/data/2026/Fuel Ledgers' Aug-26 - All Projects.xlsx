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filterPrivacy="1"/>
  <xr:revisionPtr revIDLastSave="35679" documentId="8_{21E78461-8472-4FC4-9B9A-C4551723630E}" xr6:coauthVersionLast="47" xr6:coauthVersionMax="47" xr10:uidLastSave="{0AB931D1-F8E6-4251-9C3E-2CAA03DA9F91}"/>
  <bookViews>
    <workbookView xWindow="-60" yWindow="-60" windowWidth="15480" windowHeight="11640" firstSheet="34" activeTab="17" xr2:uid="{00000000-000D-0000-FFFF-FFFF00000000}"/>
  </bookViews>
  <sheets>
    <sheet name=" MIs" sheetId="84" state="hidden" r:id="rId1"/>
    <sheet name=" Aug-26" sheetId="56" r:id="rId2"/>
    <sheet name="HO(DG)" sheetId="81" r:id="rId3"/>
    <sheet name="Khammam-1" sheetId="50" r:id="rId4"/>
    <sheet name="Khammam-2" sheetId="47" r:id="rId5"/>
    <sheet name="Khammam-3" sheetId="82" r:id="rId6"/>
    <sheet name="Khammam-4" sheetId="109" r:id="rId7"/>
    <sheet name=" Khammam-5" sheetId="110" r:id="rId8"/>
    <sheet name=" Khammam&amp;Cash" sheetId="95" r:id="rId9"/>
    <sheet name="Jadcherla-4" sheetId="78" r:id="rId10"/>
    <sheet name=" Sangareddy-2" sheetId="89" r:id="rId11"/>
    <sheet name=" Sangareddy-3" sheetId="93" r:id="rId12"/>
    <sheet name="Narayankhed" sheetId="98" r:id="rId13"/>
    <sheet name="Dindi" sheetId="58" r:id="rId14"/>
    <sheet name="Multiple bunks(KKD)" sheetId="65" r:id="rId15"/>
    <sheet name=" Pitapram(KKD)" sheetId="105" r:id="rId16"/>
    <sheet name="Yeleshwaram(KKD)" sheetId="104" r:id="rId17"/>
    <sheet name="Amalapuram(KKD)" sheetId="106" r:id="rId18"/>
    <sheet name=" Solasa Krishna OIl" sheetId="107" r:id="rId19"/>
    <sheet name="Sri Venkateshwara Services" sheetId="108" r:id="rId20"/>
    <sheet name="Madana palli" sheetId="71" r:id="rId21"/>
    <sheet name="Kadur" sheetId="7" r:id="rId22"/>
    <sheet name="YG Gudda" sheetId="62" r:id="rId23"/>
    <sheet name=" YG Gudda-2" sheetId="103" r:id="rId24"/>
    <sheet name="Hosadurga -2" sheetId="52" r:id="rId25"/>
    <sheet name="Hiriyur(VJNL)" sheetId="3" r:id="rId26"/>
    <sheet name="Malebenur(KUWSDB)" sheetId="16" r:id="rId27"/>
    <sheet name="Molakamuru" sheetId="63" r:id="rId28"/>
    <sheet name="Chellakere -1" sheetId="68" r:id="rId29"/>
    <sheet name=" Chellakere-PKG-9" sheetId="73" r:id="rId30"/>
    <sheet name=" Chennagiri" sheetId="74" r:id="rId31"/>
    <sheet name="Khanapur" sheetId="24" r:id="rId32"/>
    <sheet name="Munavali-2" sheetId="80" r:id="rId33"/>
    <sheet name=" Munavali" sheetId="99" r:id="rId34"/>
    <sheet name="Borgaon" sheetId="10" r:id="rId35"/>
    <sheet name="Ugar,Khagwad,Kudichi" sheetId="11" r:id="rId36"/>
    <sheet name="shedbal" sheetId="101" r:id="rId37"/>
    <sheet name="Kabbur" sheetId="40" r:id="rId38"/>
    <sheet name="kumta" sheetId="25" r:id="rId39"/>
    <sheet name="Jalgoan-2" sheetId="85" r:id="rId40"/>
    <sheet name="MKBD" sheetId="14" r:id="rId41"/>
    <sheet name=" Haveri-2" sheetId="75" r:id="rId42"/>
    <sheet name=" Guttal-2" sheetId="79" r:id="rId43"/>
    <sheet name="Rattihali-2" sheetId="76" r:id="rId44"/>
    <sheet name="Gajendragada" sheetId="12" r:id="rId45"/>
    <sheet name="Gokak Dharwad PKG 3" sheetId="41" r:id="rId46"/>
    <sheet name="Ankalgi" sheetId="60" r:id="rId47"/>
    <sheet name=" TR Associates" sheetId="83" r:id="rId48"/>
    <sheet name="SHRI DESHPANDE" sheetId="100" r:id="rId49"/>
    <sheet name=" Shankeshwar" sheetId="57" r:id="rId50"/>
    <sheet name=" Talikote" sheetId="26" r:id="rId51"/>
    <sheet name="Chadchan" sheetId="9" r:id="rId52"/>
    <sheet name="Sindagi" sheetId="33" r:id="rId53"/>
    <sheet name="Muddebhihal-2" sheetId="69" r:id="rId54"/>
    <sheet name="Alemela" sheetId="35" r:id="rId55"/>
    <sheet name="Nalatwad" sheetId="51" r:id="rId56"/>
    <sheet name="Srirangapatna" sheetId="19" r:id="rId57"/>
    <sheet name="BPCL Aug-26" sheetId="44" r:id="rId58"/>
    <sheet name=" HPCL Aug -26" sheetId="45" r:id="rId59"/>
    <sheet name="Sheet1" sheetId="86" r:id="rId60"/>
    <sheet name="Sheet2" sheetId="102" r:id="rId61"/>
  </sheets>
  <definedNames>
    <definedName name="_xlnm._FilterDatabase" localSheetId="58" hidden="1">' HPCL Aug -26'!$A$1:$O$78</definedName>
    <definedName name="_xlnm._FilterDatabase" localSheetId="57" hidden="1">'BPCL Aug-26'!$A$4:$U$4</definedName>
    <definedName name="_xlnm._FilterDatabase" localSheetId="32" hidden="1">'Munavali-2'!$A$2:$N$2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80" l="1"/>
  <c r="S35" i="80"/>
  <c r="S33" i="80"/>
  <c r="L50" i="65"/>
  <c r="L51" i="65"/>
  <c r="L52" i="65"/>
  <c r="L53" i="65"/>
  <c r="L54" i="65"/>
  <c r="L55" i="65"/>
  <c r="L56" i="65"/>
  <c r="L57" i="65"/>
  <c r="L58" i="65"/>
  <c r="L59" i="65"/>
  <c r="L60" i="65"/>
  <c r="L61" i="65"/>
  <c r="L62" i="65"/>
  <c r="L63" i="65"/>
  <c r="L64" i="65"/>
  <c r="L65" i="65"/>
  <c r="L66" i="65"/>
  <c r="L67" i="65"/>
  <c r="L68" i="65"/>
  <c r="L69" i="65"/>
  <c r="L70" i="65"/>
  <c r="L71" i="65"/>
  <c r="L72" i="65"/>
  <c r="L73" i="65"/>
  <c r="L74" i="65"/>
  <c r="L75" i="65"/>
  <c r="L76" i="65"/>
  <c r="J78" i="65"/>
  <c r="K78" i="65" s="1"/>
  <c r="O78" i="65" s="1"/>
  <c r="J77" i="65"/>
  <c r="K77" i="65" s="1"/>
  <c r="O77" i="65" s="1"/>
  <c r="J76" i="65"/>
  <c r="K76" i="65" s="1"/>
  <c r="O76" i="65" s="1"/>
  <c r="J75" i="65"/>
  <c r="K75" i="65" s="1"/>
  <c r="O75" i="65" s="1"/>
  <c r="J74" i="65"/>
  <c r="K74" i="65" s="1"/>
  <c r="O74" i="65" s="1"/>
  <c r="J73" i="65"/>
  <c r="K73" i="65" s="1"/>
  <c r="O73" i="65" s="1"/>
  <c r="J72" i="65"/>
  <c r="K72" i="65" s="1"/>
  <c r="O72" i="65" s="1"/>
  <c r="J71" i="65"/>
  <c r="K71" i="65" s="1"/>
  <c r="O71" i="65" s="1"/>
  <c r="J70" i="65"/>
  <c r="K70" i="65" s="1"/>
  <c r="O70" i="65" s="1"/>
  <c r="J69" i="65"/>
  <c r="K69" i="65" s="1"/>
  <c r="O69" i="65" s="1"/>
  <c r="J68" i="65"/>
  <c r="K68" i="65" s="1"/>
  <c r="O68" i="65" s="1"/>
  <c r="J67" i="65"/>
  <c r="K67" i="65" s="1"/>
  <c r="O67" i="65" s="1"/>
  <c r="J66" i="65"/>
  <c r="K66" i="65" s="1"/>
  <c r="O66" i="65" s="1"/>
  <c r="J65" i="65"/>
  <c r="K65" i="65" s="1"/>
  <c r="O65" i="65" s="1"/>
  <c r="J64" i="65"/>
  <c r="K64" i="65" s="1"/>
  <c r="O64" i="65" s="1"/>
  <c r="J63" i="65"/>
  <c r="K63" i="65" s="1"/>
  <c r="O63" i="65" s="1"/>
  <c r="J62" i="65"/>
  <c r="K62" i="65" s="1"/>
  <c r="O62" i="65" s="1"/>
  <c r="J61" i="65"/>
  <c r="K61" i="65" s="1"/>
  <c r="O61" i="65" s="1"/>
  <c r="F61" i="65"/>
  <c r="J60" i="65"/>
  <c r="K60" i="65" s="1"/>
  <c r="O60" i="65" s="1"/>
  <c r="J59" i="65"/>
  <c r="K59" i="65" s="1"/>
  <c r="O59" i="65" s="1"/>
  <c r="J58" i="65"/>
  <c r="K58" i="65" s="1"/>
  <c r="O58" i="65" s="1"/>
  <c r="F58" i="65"/>
  <c r="J57" i="65"/>
  <c r="K57" i="65" s="1"/>
  <c r="O57" i="65" s="1"/>
  <c r="F57" i="65"/>
  <c r="J56" i="65"/>
  <c r="K56" i="65" s="1"/>
  <c r="O56" i="65" s="1"/>
  <c r="F56" i="65"/>
  <c r="J55" i="65"/>
  <c r="K55" i="65" s="1"/>
  <c r="O55" i="65" s="1"/>
  <c r="F55" i="65"/>
  <c r="K54" i="65"/>
  <c r="O54" i="65" s="1"/>
  <c r="I54" i="65"/>
  <c r="K53" i="65"/>
  <c r="O53" i="65" s="1"/>
  <c r="I53" i="65"/>
  <c r="J52" i="65"/>
  <c r="K52" i="65" s="1"/>
  <c r="O52" i="65" s="1"/>
  <c r="F52" i="65"/>
  <c r="K51" i="65"/>
  <c r="O51" i="65" s="1"/>
  <c r="I51" i="65"/>
  <c r="J50" i="65"/>
  <c r="K50" i="65" s="1"/>
  <c r="O50" i="65" s="1"/>
  <c r="F50" i="65"/>
  <c r="E42" i="41"/>
  <c r="K32" i="101"/>
  <c r="G31" i="101"/>
  <c r="G32" i="101"/>
  <c r="U29" i="98"/>
  <c r="J21" i="101"/>
  <c r="J22" i="101"/>
  <c r="J23" i="101"/>
  <c r="K34" i="103"/>
  <c r="G34" i="103"/>
  <c r="J34" i="103"/>
  <c r="K29" i="103"/>
  <c r="K30" i="103"/>
  <c r="K31" i="103"/>
  <c r="K32" i="103"/>
  <c r="K33" i="103"/>
  <c r="K35" i="103"/>
  <c r="K36" i="103"/>
  <c r="L35" i="81"/>
  <c r="E32" i="51"/>
  <c r="E48" i="26"/>
  <c r="L32" i="81"/>
  <c r="G30" i="108"/>
  <c r="G29" i="107"/>
  <c r="G30" i="107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G5" i="45"/>
  <c r="J5" i="45"/>
  <c r="K5" i="45"/>
  <c r="J6" i="45"/>
  <c r="J7" i="45"/>
  <c r="J8" i="45"/>
  <c r="J9" i="45"/>
  <c r="J29" i="106"/>
  <c r="G29" i="106"/>
  <c r="G30" i="106"/>
  <c r="L30" i="81"/>
  <c r="J22" i="45"/>
  <c r="J23" i="45"/>
  <c r="J24" i="45"/>
  <c r="J25" i="45"/>
  <c r="G24" i="45"/>
  <c r="K24" i="45" s="1"/>
  <c r="G7" i="45"/>
  <c r="K7" i="45" s="1"/>
  <c r="G55" i="45"/>
  <c r="J49" i="45"/>
  <c r="J50" i="45"/>
  <c r="J51" i="45"/>
  <c r="J52" i="45"/>
  <c r="J53" i="45"/>
  <c r="J54" i="45"/>
  <c r="J55" i="45"/>
  <c r="G54" i="45"/>
  <c r="G53" i="45"/>
  <c r="G52" i="45"/>
  <c r="G51" i="45"/>
  <c r="G50" i="45"/>
  <c r="J44" i="45"/>
  <c r="J45" i="45"/>
  <c r="J46" i="45"/>
  <c r="J47" i="45"/>
  <c r="J48" i="45"/>
  <c r="G49" i="45"/>
  <c r="G47" i="45"/>
  <c r="G48" i="45"/>
  <c r="G46" i="45"/>
  <c r="G4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G44" i="45"/>
  <c r="G43" i="45"/>
  <c r="G42" i="45"/>
  <c r="G41" i="45"/>
  <c r="G40" i="45"/>
  <c r="G38" i="45"/>
  <c r="G37" i="45"/>
  <c r="G36" i="45"/>
  <c r="G35" i="45"/>
  <c r="G34" i="45"/>
  <c r="G33" i="45"/>
  <c r="G32" i="45"/>
  <c r="G31" i="45"/>
  <c r="G30" i="45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9" i="44"/>
  <c r="J39" i="44"/>
  <c r="K39" i="44"/>
  <c r="G97" i="44"/>
  <c r="G98" i="44"/>
  <c r="G99" i="44"/>
  <c r="J95" i="44"/>
  <c r="J96" i="44"/>
  <c r="J97" i="44"/>
  <c r="G95" i="44"/>
  <c r="G96" i="44"/>
  <c r="J56" i="44"/>
  <c r="L28" i="81"/>
  <c r="L26" i="81"/>
  <c r="I6" i="56"/>
  <c r="K4" i="56"/>
  <c r="K7" i="56"/>
  <c r="I5" i="56"/>
  <c r="H3" i="56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L35" i="110"/>
  <c r="J6" i="56" s="1"/>
  <c r="H35" i="110"/>
  <c r="F6" i="56" s="1"/>
  <c r="E35" i="110"/>
  <c r="D6" i="56" s="1"/>
  <c r="J34" i="110"/>
  <c r="G34" i="110"/>
  <c r="K34" i="110" s="1"/>
  <c r="J33" i="110"/>
  <c r="G33" i="110"/>
  <c r="K33" i="110" s="1"/>
  <c r="J32" i="110"/>
  <c r="G32" i="110"/>
  <c r="K32" i="110" s="1"/>
  <c r="J31" i="110"/>
  <c r="G31" i="110"/>
  <c r="K31" i="110" s="1"/>
  <c r="J30" i="110"/>
  <c r="G30" i="110"/>
  <c r="K30" i="110" s="1"/>
  <c r="J29" i="110"/>
  <c r="G29" i="110"/>
  <c r="K29" i="110" s="1"/>
  <c r="J28" i="110"/>
  <c r="G28" i="110"/>
  <c r="K28" i="110" s="1"/>
  <c r="J27" i="110"/>
  <c r="G27" i="110"/>
  <c r="K27" i="110" s="1"/>
  <c r="J26" i="110"/>
  <c r="G26" i="110"/>
  <c r="K26" i="110" s="1"/>
  <c r="J25" i="110"/>
  <c r="G25" i="110"/>
  <c r="K25" i="110" s="1"/>
  <c r="J24" i="110"/>
  <c r="G24" i="110"/>
  <c r="K24" i="110" s="1"/>
  <c r="J23" i="110"/>
  <c r="G23" i="110"/>
  <c r="K23" i="110" s="1"/>
  <c r="J22" i="110"/>
  <c r="G22" i="110"/>
  <c r="K22" i="110" s="1"/>
  <c r="J21" i="110"/>
  <c r="G21" i="110"/>
  <c r="K21" i="110" s="1"/>
  <c r="J20" i="110"/>
  <c r="G20" i="110"/>
  <c r="K20" i="110" s="1"/>
  <c r="J19" i="110"/>
  <c r="G19" i="110"/>
  <c r="K19" i="110" s="1"/>
  <c r="J18" i="110"/>
  <c r="G18" i="110"/>
  <c r="K18" i="110" s="1"/>
  <c r="J17" i="110"/>
  <c r="G17" i="110"/>
  <c r="K17" i="110" s="1"/>
  <c r="J16" i="110"/>
  <c r="G16" i="110"/>
  <c r="K16" i="110" s="1"/>
  <c r="J15" i="110"/>
  <c r="G15" i="110"/>
  <c r="K15" i="110" s="1"/>
  <c r="J14" i="110"/>
  <c r="G14" i="110"/>
  <c r="K14" i="110" s="1"/>
  <c r="J13" i="110"/>
  <c r="G13" i="110"/>
  <c r="K13" i="110" s="1"/>
  <c r="J12" i="110"/>
  <c r="G12" i="110"/>
  <c r="K12" i="110" s="1"/>
  <c r="J11" i="110"/>
  <c r="G11" i="110"/>
  <c r="K11" i="110" s="1"/>
  <c r="J10" i="110"/>
  <c r="G10" i="110"/>
  <c r="K10" i="110" s="1"/>
  <c r="J9" i="110"/>
  <c r="G9" i="110"/>
  <c r="K9" i="110" s="1"/>
  <c r="J8" i="110"/>
  <c r="G8" i="110"/>
  <c r="K8" i="110" s="1"/>
  <c r="J7" i="110"/>
  <c r="G7" i="110"/>
  <c r="K7" i="110" s="1"/>
  <c r="J6" i="110"/>
  <c r="G6" i="110"/>
  <c r="K6" i="110" s="1"/>
  <c r="J5" i="110"/>
  <c r="G5" i="110"/>
  <c r="K5" i="110" s="1"/>
  <c r="J4" i="110"/>
  <c r="J35" i="110" s="1"/>
  <c r="G6" i="56" s="1"/>
  <c r="G4" i="110"/>
  <c r="L35" i="109"/>
  <c r="J5" i="56" s="1"/>
  <c r="H35" i="109"/>
  <c r="F5" i="56" s="1"/>
  <c r="E35" i="109"/>
  <c r="D5" i="56" s="1"/>
  <c r="J34" i="109"/>
  <c r="G34" i="109"/>
  <c r="K34" i="109" s="1"/>
  <c r="J33" i="109"/>
  <c r="G33" i="109"/>
  <c r="K33" i="109" s="1"/>
  <c r="J32" i="109"/>
  <c r="G32" i="109"/>
  <c r="K32" i="109" s="1"/>
  <c r="J31" i="109"/>
  <c r="G31" i="109"/>
  <c r="K31" i="109" s="1"/>
  <c r="J30" i="109"/>
  <c r="G30" i="109"/>
  <c r="K30" i="109" s="1"/>
  <c r="J29" i="109"/>
  <c r="G29" i="109"/>
  <c r="K29" i="109" s="1"/>
  <c r="J28" i="109"/>
  <c r="G28" i="109"/>
  <c r="K28" i="109" s="1"/>
  <c r="J27" i="109"/>
  <c r="G27" i="109"/>
  <c r="K27" i="109" s="1"/>
  <c r="J26" i="109"/>
  <c r="G26" i="109"/>
  <c r="K26" i="109" s="1"/>
  <c r="J25" i="109"/>
  <c r="G25" i="109"/>
  <c r="K25" i="109" s="1"/>
  <c r="J24" i="109"/>
  <c r="G24" i="109"/>
  <c r="K24" i="109" s="1"/>
  <c r="J23" i="109"/>
  <c r="G23" i="109"/>
  <c r="K23" i="109" s="1"/>
  <c r="J22" i="109"/>
  <c r="G22" i="109"/>
  <c r="K22" i="109" s="1"/>
  <c r="J21" i="109"/>
  <c r="G21" i="109"/>
  <c r="K21" i="109" s="1"/>
  <c r="J20" i="109"/>
  <c r="G20" i="109"/>
  <c r="K20" i="109" s="1"/>
  <c r="J19" i="109"/>
  <c r="G19" i="109"/>
  <c r="K19" i="109" s="1"/>
  <c r="J18" i="109"/>
  <c r="G18" i="109"/>
  <c r="K18" i="109" s="1"/>
  <c r="J17" i="109"/>
  <c r="G17" i="109"/>
  <c r="K17" i="109" s="1"/>
  <c r="J16" i="109"/>
  <c r="G16" i="109"/>
  <c r="K16" i="109" s="1"/>
  <c r="J15" i="109"/>
  <c r="G15" i="109"/>
  <c r="K15" i="109" s="1"/>
  <c r="J14" i="109"/>
  <c r="G14" i="109"/>
  <c r="K14" i="109" s="1"/>
  <c r="J13" i="109"/>
  <c r="G13" i="109"/>
  <c r="K13" i="109" s="1"/>
  <c r="J12" i="109"/>
  <c r="G12" i="109"/>
  <c r="K12" i="109" s="1"/>
  <c r="J11" i="109"/>
  <c r="G11" i="109"/>
  <c r="K11" i="109" s="1"/>
  <c r="J10" i="109"/>
  <c r="G10" i="109"/>
  <c r="K10" i="109" s="1"/>
  <c r="J9" i="109"/>
  <c r="G9" i="109"/>
  <c r="K9" i="109" s="1"/>
  <c r="J8" i="109"/>
  <c r="G8" i="109"/>
  <c r="K8" i="109" s="1"/>
  <c r="J7" i="109"/>
  <c r="G7" i="109"/>
  <c r="K7" i="109" s="1"/>
  <c r="J6" i="109"/>
  <c r="G6" i="109"/>
  <c r="K6" i="109" s="1"/>
  <c r="J5" i="109"/>
  <c r="G5" i="109"/>
  <c r="K5" i="109" s="1"/>
  <c r="J4" i="109"/>
  <c r="J35" i="109" s="1"/>
  <c r="G5" i="56" s="1"/>
  <c r="G4" i="109"/>
  <c r="K16" i="80"/>
  <c r="K17" i="80"/>
  <c r="K18" i="80"/>
  <c r="K19" i="80"/>
  <c r="K20" i="80"/>
  <c r="K21" i="80"/>
  <c r="K22" i="80"/>
  <c r="K23" i="80"/>
  <c r="G16" i="80"/>
  <c r="G17" i="80"/>
  <c r="G18" i="80"/>
  <c r="G19" i="80"/>
  <c r="G20" i="80"/>
  <c r="G21" i="80"/>
  <c r="G22" i="80"/>
  <c r="G23" i="80"/>
  <c r="G24" i="80"/>
  <c r="G25" i="80"/>
  <c r="G26" i="80"/>
  <c r="L24" i="81"/>
  <c r="G21" i="9"/>
  <c r="G22" i="9"/>
  <c r="G22" i="41"/>
  <c r="J18" i="41"/>
  <c r="J19" i="41"/>
  <c r="J20" i="41"/>
  <c r="J21" i="41"/>
  <c r="J22" i="41"/>
  <c r="J23" i="41"/>
  <c r="L23" i="81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10" i="14"/>
  <c r="J25" i="14"/>
  <c r="J26" i="14"/>
  <c r="J27" i="14"/>
  <c r="J20" i="83"/>
  <c r="J21" i="83"/>
  <c r="G20" i="83"/>
  <c r="G21" i="83"/>
  <c r="J21" i="100"/>
  <c r="G21" i="100"/>
  <c r="I14" i="56"/>
  <c r="H37" i="108"/>
  <c r="F14" i="56" s="1"/>
  <c r="E37" i="108"/>
  <c r="D14" i="56" s="1"/>
  <c r="J36" i="108"/>
  <c r="G36" i="108"/>
  <c r="K36" i="108" s="1"/>
  <c r="L36" i="108" s="1"/>
  <c r="J35" i="108"/>
  <c r="G35" i="108"/>
  <c r="K35" i="108" s="1"/>
  <c r="L35" i="108" s="1"/>
  <c r="J34" i="108"/>
  <c r="G34" i="108"/>
  <c r="K34" i="108" s="1"/>
  <c r="L34" i="108" s="1"/>
  <c r="J33" i="108"/>
  <c r="G33" i="108"/>
  <c r="K33" i="108" s="1"/>
  <c r="J32" i="108"/>
  <c r="G32" i="108"/>
  <c r="K32" i="108" s="1"/>
  <c r="J31" i="108"/>
  <c r="G31" i="108"/>
  <c r="K31" i="108" s="1"/>
  <c r="J30" i="108"/>
  <c r="K30" i="108" s="1"/>
  <c r="J29" i="108"/>
  <c r="G29" i="108"/>
  <c r="K29" i="108" s="1"/>
  <c r="J28" i="108"/>
  <c r="G28" i="108"/>
  <c r="K28" i="108" s="1"/>
  <c r="J27" i="108"/>
  <c r="G27" i="108"/>
  <c r="K27" i="108" s="1"/>
  <c r="J26" i="108"/>
  <c r="G26" i="108"/>
  <c r="K26" i="108" s="1"/>
  <c r="J25" i="108"/>
  <c r="G25" i="108"/>
  <c r="K25" i="108" s="1"/>
  <c r="J24" i="108"/>
  <c r="G24" i="108"/>
  <c r="K24" i="108" s="1"/>
  <c r="J23" i="108"/>
  <c r="G23" i="108"/>
  <c r="K23" i="108" s="1"/>
  <c r="J22" i="108"/>
  <c r="G22" i="108"/>
  <c r="K22" i="108" s="1"/>
  <c r="L37" i="108" s="1"/>
  <c r="J14" i="56" s="1"/>
  <c r="J21" i="108"/>
  <c r="G21" i="108"/>
  <c r="K21" i="108" s="1"/>
  <c r="J20" i="108"/>
  <c r="G20" i="108"/>
  <c r="K20" i="108" s="1"/>
  <c r="J19" i="108"/>
  <c r="G19" i="108"/>
  <c r="K19" i="108" s="1"/>
  <c r="J18" i="108"/>
  <c r="G18" i="108"/>
  <c r="K18" i="108" s="1"/>
  <c r="J17" i="108"/>
  <c r="G17" i="108"/>
  <c r="K17" i="108" s="1"/>
  <c r="J16" i="108"/>
  <c r="G16" i="108"/>
  <c r="K16" i="108" s="1"/>
  <c r="J15" i="108"/>
  <c r="G15" i="108"/>
  <c r="K15" i="108" s="1"/>
  <c r="J14" i="108"/>
  <c r="G14" i="108"/>
  <c r="K14" i="108" s="1"/>
  <c r="J13" i="108"/>
  <c r="G13" i="108"/>
  <c r="K13" i="108" s="1"/>
  <c r="J12" i="108"/>
  <c r="G12" i="108"/>
  <c r="K12" i="108" s="1"/>
  <c r="J11" i="108"/>
  <c r="G11" i="108"/>
  <c r="K11" i="108" s="1"/>
  <c r="J10" i="108"/>
  <c r="G10" i="108"/>
  <c r="K10" i="108" s="1"/>
  <c r="J9" i="108"/>
  <c r="G9" i="108"/>
  <c r="K9" i="108" s="1"/>
  <c r="J8" i="108"/>
  <c r="G8" i="108"/>
  <c r="K8" i="108" s="1"/>
  <c r="J7" i="108"/>
  <c r="G7" i="108"/>
  <c r="K7" i="108" s="1"/>
  <c r="J6" i="108"/>
  <c r="G6" i="108"/>
  <c r="K6" i="108" s="1"/>
  <c r="J5" i="108"/>
  <c r="G5" i="108"/>
  <c r="K5" i="108" s="1"/>
  <c r="J4" i="108"/>
  <c r="J37" i="108" s="1"/>
  <c r="G14" i="56" s="1"/>
  <c r="G4" i="108"/>
  <c r="M17" i="11"/>
  <c r="M18" i="11"/>
  <c r="M19" i="11"/>
  <c r="M20" i="11"/>
  <c r="H35" i="79"/>
  <c r="M16" i="81"/>
  <c r="M17" i="81"/>
  <c r="M18" i="81"/>
  <c r="M19" i="81"/>
  <c r="M20" i="81"/>
  <c r="M21" i="81"/>
  <c r="M22" i="81"/>
  <c r="L18" i="81"/>
  <c r="G17" i="81"/>
  <c r="G18" i="81"/>
  <c r="K17" i="81"/>
  <c r="K18" i="81"/>
  <c r="G17" i="100"/>
  <c r="G18" i="100"/>
  <c r="G21" i="75"/>
  <c r="G15" i="9"/>
  <c r="G16" i="9"/>
  <c r="O3" i="50"/>
  <c r="O19" i="47"/>
  <c r="O16" i="47"/>
  <c r="J49" i="65"/>
  <c r="K49" i="65" s="1"/>
  <c r="L49" i="65" s="1"/>
  <c r="F49" i="65"/>
  <c r="K48" i="65"/>
  <c r="L48" i="65" s="1"/>
  <c r="I48" i="65"/>
  <c r="J47" i="65"/>
  <c r="K47" i="65" s="1"/>
  <c r="L47" i="65" s="1"/>
  <c r="F47" i="65"/>
  <c r="J46" i="65"/>
  <c r="K46" i="65" s="1"/>
  <c r="L46" i="65" s="1"/>
  <c r="F46" i="65"/>
  <c r="J45" i="65"/>
  <c r="K45" i="65" s="1"/>
  <c r="L45" i="65" s="1"/>
  <c r="F45" i="65"/>
  <c r="K44" i="65"/>
  <c r="L44" i="65" s="1"/>
  <c r="I44" i="65"/>
  <c r="J43" i="65"/>
  <c r="K43" i="65" s="1"/>
  <c r="L43" i="65" s="1"/>
  <c r="F43" i="65"/>
  <c r="J42" i="65"/>
  <c r="K42" i="65" s="1"/>
  <c r="L42" i="65" s="1"/>
  <c r="F42" i="65"/>
  <c r="K41" i="65"/>
  <c r="L41" i="65" s="1"/>
  <c r="I41" i="65"/>
  <c r="K40" i="65"/>
  <c r="L40" i="65" s="1"/>
  <c r="I40" i="65"/>
  <c r="J39" i="65"/>
  <c r="K39" i="65" s="1"/>
  <c r="L39" i="65" s="1"/>
  <c r="F39" i="65"/>
  <c r="K38" i="65"/>
  <c r="L38" i="65" s="1"/>
  <c r="I38" i="65"/>
  <c r="K37" i="65"/>
  <c r="L37" i="65" s="1"/>
  <c r="I37" i="65"/>
  <c r="K36" i="65"/>
  <c r="L36" i="65" s="1"/>
  <c r="I36" i="65"/>
  <c r="J35" i="65"/>
  <c r="K35" i="65" s="1"/>
  <c r="L35" i="65" s="1"/>
  <c r="F35" i="65"/>
  <c r="J34" i="65"/>
  <c r="K34" i="65" s="1"/>
  <c r="L34" i="65" s="1"/>
  <c r="F34" i="65"/>
  <c r="K33" i="65"/>
  <c r="L33" i="65" s="1"/>
  <c r="I33" i="65"/>
  <c r="J32" i="65"/>
  <c r="K32" i="65" s="1"/>
  <c r="L32" i="65" s="1"/>
  <c r="F32" i="65"/>
  <c r="J31" i="65"/>
  <c r="K31" i="65" s="1"/>
  <c r="L31" i="65" s="1"/>
  <c r="F31" i="65"/>
  <c r="K30" i="65"/>
  <c r="L30" i="65" s="1"/>
  <c r="I30" i="65"/>
  <c r="K29" i="65"/>
  <c r="L29" i="65" s="1"/>
  <c r="I29" i="65"/>
  <c r="J28" i="65"/>
  <c r="K28" i="65" s="1"/>
  <c r="L28" i="65" s="1"/>
  <c r="F28" i="65"/>
  <c r="J27" i="65"/>
  <c r="K27" i="65" s="1"/>
  <c r="L27" i="65" s="1"/>
  <c r="F27" i="65"/>
  <c r="J26" i="65"/>
  <c r="K26" i="65" s="1"/>
  <c r="L26" i="65" s="1"/>
  <c r="F26" i="65"/>
  <c r="K25" i="65"/>
  <c r="L25" i="65" s="1"/>
  <c r="I25" i="65"/>
  <c r="J24" i="65"/>
  <c r="K24" i="65" s="1"/>
  <c r="L24" i="65" s="1"/>
  <c r="J23" i="65"/>
  <c r="K23" i="65" s="1"/>
  <c r="L23" i="65" s="1"/>
  <c r="J22" i="65"/>
  <c r="K22" i="65" s="1"/>
  <c r="L22" i="65" s="1"/>
  <c r="J21" i="65"/>
  <c r="K21" i="65" s="1"/>
  <c r="L21" i="65" s="1"/>
  <c r="F21" i="65"/>
  <c r="J20" i="65"/>
  <c r="K20" i="65" s="1"/>
  <c r="L20" i="65" s="1"/>
  <c r="F20" i="65"/>
  <c r="J19" i="65"/>
  <c r="K19" i="65" s="1"/>
  <c r="L19" i="65" s="1"/>
  <c r="F19" i="65"/>
  <c r="J18" i="65"/>
  <c r="K18" i="65" s="1"/>
  <c r="L18" i="65" s="1"/>
  <c r="F18" i="65"/>
  <c r="K17" i="65"/>
  <c r="L17" i="65" s="1"/>
  <c r="I17" i="65"/>
  <c r="K16" i="65"/>
  <c r="L16" i="65" s="1"/>
  <c r="I16" i="65"/>
  <c r="K15" i="65"/>
  <c r="L15" i="65" s="1"/>
  <c r="I15" i="65"/>
  <c r="J14" i="65"/>
  <c r="K14" i="65" s="1"/>
  <c r="L14" i="65" s="1"/>
  <c r="F14" i="65"/>
  <c r="J13" i="65"/>
  <c r="K13" i="65" s="1"/>
  <c r="L13" i="65" s="1"/>
  <c r="F13" i="65"/>
  <c r="K12" i="65"/>
  <c r="L12" i="65" s="1"/>
  <c r="I12" i="65"/>
  <c r="J11" i="65"/>
  <c r="K11" i="65" s="1"/>
  <c r="L11" i="65" s="1"/>
  <c r="F11" i="65"/>
  <c r="K10" i="65"/>
  <c r="L10" i="65" s="1"/>
  <c r="I10" i="65"/>
  <c r="J9" i="65"/>
  <c r="K9" i="65" s="1"/>
  <c r="L9" i="65" s="1"/>
  <c r="F9" i="65"/>
  <c r="J8" i="65"/>
  <c r="K8" i="65" s="1"/>
  <c r="L8" i="65" s="1"/>
  <c r="F8" i="65"/>
  <c r="J7" i="65"/>
  <c r="K7" i="65" s="1"/>
  <c r="L7" i="65" s="1"/>
  <c r="F7" i="65"/>
  <c r="K6" i="65"/>
  <c r="L6" i="65" s="1"/>
  <c r="I6" i="65"/>
  <c r="K5" i="65"/>
  <c r="L5" i="65" s="1"/>
  <c r="I5" i="65"/>
  <c r="J4" i="65"/>
  <c r="K4" i="65" s="1"/>
  <c r="L4" i="65" s="1"/>
  <c r="F4" i="65"/>
  <c r="I18" i="56"/>
  <c r="I15" i="56"/>
  <c r="I16" i="56"/>
  <c r="H37" i="107"/>
  <c r="F15" i="56" s="1"/>
  <c r="E37" i="107"/>
  <c r="D15" i="56" s="1"/>
  <c r="J36" i="107"/>
  <c r="G36" i="107"/>
  <c r="K36" i="107" s="1"/>
  <c r="L36" i="107" s="1"/>
  <c r="J35" i="107"/>
  <c r="G35" i="107"/>
  <c r="K35" i="107" s="1"/>
  <c r="J34" i="107"/>
  <c r="G34" i="107"/>
  <c r="K34" i="107" s="1"/>
  <c r="J33" i="107"/>
  <c r="G33" i="107"/>
  <c r="K33" i="107" s="1"/>
  <c r="J32" i="107"/>
  <c r="G32" i="107"/>
  <c r="K32" i="107" s="1"/>
  <c r="J31" i="107"/>
  <c r="G31" i="107"/>
  <c r="K31" i="107" s="1"/>
  <c r="J30" i="107"/>
  <c r="K30" i="107" s="1"/>
  <c r="J29" i="107"/>
  <c r="K29" i="107"/>
  <c r="J28" i="107"/>
  <c r="G28" i="107"/>
  <c r="K28" i="107" s="1"/>
  <c r="J27" i="107"/>
  <c r="G27" i="107"/>
  <c r="K27" i="107" s="1"/>
  <c r="J26" i="107"/>
  <c r="G26" i="107"/>
  <c r="K26" i="107" s="1"/>
  <c r="J25" i="107"/>
  <c r="G25" i="107"/>
  <c r="K25" i="107" s="1"/>
  <c r="J24" i="107"/>
  <c r="G24" i="107"/>
  <c r="K24" i="107" s="1"/>
  <c r="J23" i="107"/>
  <c r="G23" i="107"/>
  <c r="K23" i="107" s="1"/>
  <c r="J22" i="107"/>
  <c r="G22" i="107"/>
  <c r="K22" i="107" s="1"/>
  <c r="J21" i="107"/>
  <c r="G21" i="107"/>
  <c r="K21" i="107" s="1"/>
  <c r="J20" i="107"/>
  <c r="G20" i="107"/>
  <c r="K20" i="107" s="1"/>
  <c r="J19" i="107"/>
  <c r="G19" i="107"/>
  <c r="K19" i="107" s="1"/>
  <c r="J18" i="107"/>
  <c r="G18" i="107"/>
  <c r="K18" i="107" s="1"/>
  <c r="J17" i="107"/>
  <c r="G17" i="107"/>
  <c r="K17" i="107" s="1"/>
  <c r="J16" i="107"/>
  <c r="G16" i="107"/>
  <c r="K16" i="107" s="1"/>
  <c r="L37" i="107" s="1"/>
  <c r="J15" i="56" s="1"/>
  <c r="J15" i="107"/>
  <c r="G15" i="107"/>
  <c r="K15" i="107" s="1"/>
  <c r="J14" i="107"/>
  <c r="G14" i="107"/>
  <c r="K14" i="107" s="1"/>
  <c r="J13" i="107"/>
  <c r="G13" i="107"/>
  <c r="K13" i="107" s="1"/>
  <c r="J12" i="107"/>
  <c r="G12" i="107"/>
  <c r="K12" i="107" s="1"/>
  <c r="J11" i="107"/>
  <c r="G11" i="107"/>
  <c r="K11" i="107" s="1"/>
  <c r="J10" i="107"/>
  <c r="G10" i="107"/>
  <c r="K10" i="107" s="1"/>
  <c r="J9" i="107"/>
  <c r="G9" i="107"/>
  <c r="K9" i="107" s="1"/>
  <c r="J8" i="107"/>
  <c r="G8" i="107"/>
  <c r="K8" i="107" s="1"/>
  <c r="J7" i="107"/>
  <c r="G7" i="107"/>
  <c r="K7" i="107" s="1"/>
  <c r="J6" i="107"/>
  <c r="G6" i="107"/>
  <c r="K6" i="107" s="1"/>
  <c r="J5" i="107"/>
  <c r="G5" i="107"/>
  <c r="K5" i="107" s="1"/>
  <c r="J4" i="107"/>
  <c r="J37" i="107" s="1"/>
  <c r="G15" i="56" s="1"/>
  <c r="G4" i="107"/>
  <c r="M13" i="106"/>
  <c r="M14" i="106"/>
  <c r="M15" i="106"/>
  <c r="G11" i="9"/>
  <c r="H37" i="106"/>
  <c r="F16" i="56" s="1"/>
  <c r="E37" i="106"/>
  <c r="D16" i="56" s="1"/>
  <c r="J36" i="106"/>
  <c r="G36" i="106"/>
  <c r="K36" i="106" s="1"/>
  <c r="L36" i="106" s="1"/>
  <c r="J35" i="106"/>
  <c r="G35" i="106"/>
  <c r="K35" i="106" s="1"/>
  <c r="L35" i="106" s="1"/>
  <c r="J34" i="106"/>
  <c r="G34" i="106"/>
  <c r="K34" i="106" s="1"/>
  <c r="J33" i="106"/>
  <c r="G33" i="106"/>
  <c r="K33" i="106" s="1"/>
  <c r="J32" i="106"/>
  <c r="G32" i="106"/>
  <c r="K32" i="106" s="1"/>
  <c r="J31" i="106"/>
  <c r="G31" i="106"/>
  <c r="K31" i="106" s="1"/>
  <c r="J30" i="106"/>
  <c r="K30" i="106" s="1"/>
  <c r="K29" i="106"/>
  <c r="J28" i="106"/>
  <c r="G28" i="106"/>
  <c r="K28" i="106" s="1"/>
  <c r="J27" i="106"/>
  <c r="G27" i="106"/>
  <c r="K27" i="106" s="1"/>
  <c r="J26" i="106"/>
  <c r="G26" i="106"/>
  <c r="K26" i="106" s="1"/>
  <c r="J25" i="106"/>
  <c r="G25" i="106"/>
  <c r="K25" i="106" s="1"/>
  <c r="J24" i="106"/>
  <c r="G24" i="106"/>
  <c r="K24" i="106" s="1"/>
  <c r="J23" i="106"/>
  <c r="G23" i="106"/>
  <c r="K23" i="106" s="1"/>
  <c r="J22" i="106"/>
  <c r="G22" i="106"/>
  <c r="K22" i="106" s="1"/>
  <c r="J21" i="106"/>
  <c r="G21" i="106"/>
  <c r="K21" i="106" s="1"/>
  <c r="J20" i="106"/>
  <c r="G20" i="106"/>
  <c r="K20" i="106" s="1"/>
  <c r="J19" i="106"/>
  <c r="G19" i="106"/>
  <c r="K19" i="106" s="1"/>
  <c r="J18" i="106"/>
  <c r="G18" i="106"/>
  <c r="K18" i="106" s="1"/>
  <c r="J17" i="106"/>
  <c r="G17" i="106"/>
  <c r="K17" i="106" s="1"/>
  <c r="J16" i="106"/>
  <c r="G16" i="106"/>
  <c r="K16" i="106" s="1"/>
  <c r="J15" i="106"/>
  <c r="G15" i="106"/>
  <c r="K15" i="106" s="1"/>
  <c r="J14" i="106"/>
  <c r="G14" i="106"/>
  <c r="K14" i="106" s="1"/>
  <c r="J13" i="106"/>
  <c r="G13" i="106"/>
  <c r="K13" i="106" s="1"/>
  <c r="J12" i="106"/>
  <c r="G12" i="106"/>
  <c r="K12" i="106" s="1"/>
  <c r="J11" i="106"/>
  <c r="G11" i="106"/>
  <c r="K11" i="106" s="1"/>
  <c r="J10" i="106"/>
  <c r="G10" i="106"/>
  <c r="K10" i="106" s="1"/>
  <c r="J9" i="106"/>
  <c r="G9" i="106"/>
  <c r="K9" i="106" s="1"/>
  <c r="J8" i="106"/>
  <c r="G8" i="106"/>
  <c r="K8" i="106" s="1"/>
  <c r="J7" i="106"/>
  <c r="G7" i="106"/>
  <c r="K7" i="106" s="1"/>
  <c r="J6" i="106"/>
  <c r="G6" i="106"/>
  <c r="K6" i="106" s="1"/>
  <c r="J5" i="106"/>
  <c r="G5" i="106"/>
  <c r="K5" i="106" s="1"/>
  <c r="J4" i="106"/>
  <c r="J37" i="106" s="1"/>
  <c r="G16" i="56" s="1"/>
  <c r="G4" i="106"/>
  <c r="J10" i="19"/>
  <c r="J11" i="19"/>
  <c r="G9" i="62"/>
  <c r="K9" i="62"/>
  <c r="G6" i="47"/>
  <c r="J34" i="74"/>
  <c r="G34" i="74"/>
  <c r="K4" i="104"/>
  <c r="K5" i="104"/>
  <c r="G5" i="104"/>
  <c r="G5" i="105"/>
  <c r="G4" i="9"/>
  <c r="J12" i="69"/>
  <c r="J13" i="69"/>
  <c r="J14" i="69"/>
  <c r="J15" i="69"/>
  <c r="J16" i="69"/>
  <c r="J17" i="69"/>
  <c r="J18" i="69"/>
  <c r="J19" i="69"/>
  <c r="J20" i="69"/>
  <c r="J21" i="69"/>
  <c r="J22" i="69"/>
  <c r="J23" i="69"/>
  <c r="J24" i="69"/>
  <c r="J25" i="69"/>
  <c r="J26" i="69"/>
  <c r="J27" i="69"/>
  <c r="J28" i="69"/>
  <c r="J29" i="69"/>
  <c r="J30" i="69"/>
  <c r="G4" i="57"/>
  <c r="K5" i="103"/>
  <c r="K6" i="103"/>
  <c r="K7" i="103"/>
  <c r="K8" i="103"/>
  <c r="K9" i="103"/>
  <c r="K10" i="103"/>
  <c r="K11" i="103"/>
  <c r="K12" i="103"/>
  <c r="K13" i="103"/>
  <c r="K14" i="103"/>
  <c r="K15" i="103"/>
  <c r="K16" i="103"/>
  <c r="K17" i="103"/>
  <c r="K18" i="103"/>
  <c r="K19" i="103"/>
  <c r="K20" i="103"/>
  <c r="K21" i="103"/>
  <c r="K22" i="103"/>
  <c r="K23" i="103"/>
  <c r="K24" i="103"/>
  <c r="K25" i="103"/>
  <c r="K26" i="103"/>
  <c r="K27" i="103"/>
  <c r="K28" i="103"/>
  <c r="K37" i="103"/>
  <c r="K38" i="103"/>
  <c r="K4" i="103"/>
  <c r="G5" i="103"/>
  <c r="G6" i="103"/>
  <c r="G7" i="103"/>
  <c r="G8" i="103"/>
  <c r="G9" i="103"/>
  <c r="G10" i="103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8" i="103"/>
  <c r="G29" i="103"/>
  <c r="G30" i="103"/>
  <c r="G31" i="103"/>
  <c r="G32" i="103"/>
  <c r="G33" i="103"/>
  <c r="G35" i="103"/>
  <c r="G36" i="103"/>
  <c r="G37" i="103"/>
  <c r="G38" i="103"/>
  <c r="G4" i="103"/>
  <c r="J7" i="103"/>
  <c r="J16" i="103"/>
  <c r="J17" i="103"/>
  <c r="J18" i="103"/>
  <c r="J19" i="103"/>
  <c r="J20" i="103"/>
  <c r="J21" i="103"/>
  <c r="J22" i="103"/>
  <c r="J23" i="103"/>
  <c r="J24" i="103"/>
  <c r="J25" i="103"/>
  <c r="J26" i="103"/>
  <c r="J27" i="103"/>
  <c r="J28" i="103"/>
  <c r="J29" i="103"/>
  <c r="J30" i="103"/>
  <c r="J31" i="103"/>
  <c r="J32" i="103"/>
  <c r="J33" i="103"/>
  <c r="J35" i="103"/>
  <c r="H289" i="65"/>
  <c r="F19" i="56" s="1"/>
  <c r="E289" i="65"/>
  <c r="D19" i="56" s="1"/>
  <c r="M289" i="65"/>
  <c r="L288" i="65"/>
  <c r="L287" i="65"/>
  <c r="L286" i="65"/>
  <c r="L285" i="65"/>
  <c r="L284" i="65"/>
  <c r="L283" i="65"/>
  <c r="L282" i="65"/>
  <c r="L281" i="65"/>
  <c r="L280" i="65"/>
  <c r="L279" i="65"/>
  <c r="L278" i="65"/>
  <c r="L277" i="65"/>
  <c r="L276" i="65"/>
  <c r="L275" i="65"/>
  <c r="L274" i="65"/>
  <c r="L273" i="65"/>
  <c r="L272" i="65"/>
  <c r="L271" i="65"/>
  <c r="L270" i="65"/>
  <c r="L269" i="65"/>
  <c r="L268" i="65"/>
  <c r="L267" i="65"/>
  <c r="L266" i="65"/>
  <c r="L265" i="65"/>
  <c r="L264" i="65"/>
  <c r="L263" i="65"/>
  <c r="L262" i="65"/>
  <c r="L261" i="65"/>
  <c r="L260" i="65"/>
  <c r="L259" i="65"/>
  <c r="L258" i="65"/>
  <c r="L257" i="65"/>
  <c r="L256" i="65"/>
  <c r="L255" i="65"/>
  <c r="L254" i="65"/>
  <c r="L253" i="65"/>
  <c r="L252" i="65"/>
  <c r="L251" i="65"/>
  <c r="L250" i="65"/>
  <c r="L249" i="65"/>
  <c r="L248" i="65"/>
  <c r="L247" i="65"/>
  <c r="L246" i="65"/>
  <c r="L245" i="65"/>
  <c r="L244" i="65"/>
  <c r="L243" i="65"/>
  <c r="L242" i="65"/>
  <c r="L241" i="65"/>
  <c r="L240" i="65"/>
  <c r="L239" i="65"/>
  <c r="L238" i="65"/>
  <c r="L237" i="65"/>
  <c r="L236" i="65"/>
  <c r="L235" i="65"/>
  <c r="L234" i="65"/>
  <c r="L233" i="65"/>
  <c r="L232" i="65"/>
  <c r="L231" i="65"/>
  <c r="L230" i="65"/>
  <c r="L229" i="65"/>
  <c r="L228" i="65"/>
  <c r="L227" i="65"/>
  <c r="L226" i="65"/>
  <c r="L225" i="65"/>
  <c r="L224" i="65"/>
  <c r="L223" i="65"/>
  <c r="J34" i="25"/>
  <c r="G34" i="100"/>
  <c r="G32" i="76"/>
  <c r="J32" i="76"/>
  <c r="K32" i="76"/>
  <c r="E37" i="76"/>
  <c r="H37" i="76"/>
  <c r="J31" i="75"/>
  <c r="G30" i="105"/>
  <c r="J28" i="78"/>
  <c r="J28" i="89"/>
  <c r="L222" i="65"/>
  <c r="L221" i="65"/>
  <c r="L220" i="65"/>
  <c r="L219" i="65"/>
  <c r="L218" i="65"/>
  <c r="L217" i="65"/>
  <c r="L216" i="65"/>
  <c r="J24" i="75"/>
  <c r="J25" i="75"/>
  <c r="J26" i="75"/>
  <c r="J27" i="75"/>
  <c r="L215" i="65"/>
  <c r="L214" i="65"/>
  <c r="L213" i="65"/>
  <c r="L212" i="65"/>
  <c r="L211" i="65"/>
  <c r="L210" i="65"/>
  <c r="L209" i="65"/>
  <c r="L208" i="65"/>
  <c r="L207" i="65"/>
  <c r="L206" i="65"/>
  <c r="L205" i="65"/>
  <c r="L204" i="65"/>
  <c r="L203" i="65"/>
  <c r="L202" i="65"/>
  <c r="L201" i="65"/>
  <c r="L200" i="65"/>
  <c r="L199" i="65"/>
  <c r="L198" i="65"/>
  <c r="L197" i="65"/>
  <c r="L196" i="65"/>
  <c r="L195" i="65"/>
  <c r="L194" i="65"/>
  <c r="L193" i="65"/>
  <c r="L192" i="65"/>
  <c r="L191" i="65"/>
  <c r="L190" i="65"/>
  <c r="L189" i="65"/>
  <c r="L188" i="65"/>
  <c r="L187" i="65"/>
  <c r="L186" i="65"/>
  <c r="L185" i="65"/>
  <c r="L184" i="65"/>
  <c r="L183" i="65"/>
  <c r="L182" i="65"/>
  <c r="L181" i="65"/>
  <c r="L180" i="65"/>
  <c r="L179" i="65"/>
  <c r="L178" i="65"/>
  <c r="L177" i="65"/>
  <c r="L176" i="65"/>
  <c r="L175" i="65"/>
  <c r="L174" i="65"/>
  <c r="L173" i="65"/>
  <c r="L172" i="65"/>
  <c r="L171" i="65"/>
  <c r="L170" i="65"/>
  <c r="L169" i="65"/>
  <c r="L168" i="65"/>
  <c r="L167" i="65"/>
  <c r="L166" i="65"/>
  <c r="L165" i="65"/>
  <c r="L164" i="65"/>
  <c r="L163" i="65"/>
  <c r="L162" i="65"/>
  <c r="L161" i="65"/>
  <c r="L160" i="65"/>
  <c r="L159" i="65"/>
  <c r="L158" i="65"/>
  <c r="L157" i="65"/>
  <c r="L156" i="65"/>
  <c r="L155" i="65"/>
  <c r="L154" i="65"/>
  <c r="L153" i="65"/>
  <c r="L152" i="65"/>
  <c r="L151" i="65"/>
  <c r="L150" i="65"/>
  <c r="L149" i="65"/>
  <c r="L148" i="65"/>
  <c r="L147" i="65"/>
  <c r="L146" i="65"/>
  <c r="L145" i="65"/>
  <c r="L144" i="65"/>
  <c r="L143" i="65"/>
  <c r="L142" i="65"/>
  <c r="L141" i="65"/>
  <c r="L140" i="65"/>
  <c r="L139" i="65"/>
  <c r="L138" i="65"/>
  <c r="L137" i="65"/>
  <c r="L136" i="65"/>
  <c r="L135" i="65"/>
  <c r="L134" i="65"/>
  <c r="L133" i="65"/>
  <c r="L132" i="65"/>
  <c r="L131" i="65"/>
  <c r="L130" i="65"/>
  <c r="L129" i="65"/>
  <c r="L128" i="65"/>
  <c r="L127" i="65"/>
  <c r="L126" i="65"/>
  <c r="L125" i="65"/>
  <c r="L124" i="65"/>
  <c r="L123" i="65"/>
  <c r="L122" i="65"/>
  <c r="L121" i="65"/>
  <c r="L120" i="65"/>
  <c r="L119" i="65"/>
  <c r="L118" i="65"/>
  <c r="L117" i="65"/>
  <c r="L116" i="65"/>
  <c r="L115" i="65"/>
  <c r="L114" i="65"/>
  <c r="L113" i="65"/>
  <c r="L112" i="65"/>
  <c r="L111" i="65"/>
  <c r="L110" i="65"/>
  <c r="L109" i="65"/>
  <c r="L108" i="65"/>
  <c r="L107" i="65"/>
  <c r="L106" i="65"/>
  <c r="L105" i="65"/>
  <c r="L104" i="65"/>
  <c r="L103" i="65"/>
  <c r="L102" i="65"/>
  <c r="L101" i="65"/>
  <c r="L100" i="65"/>
  <c r="L99" i="65"/>
  <c r="L98" i="65"/>
  <c r="L97" i="65"/>
  <c r="L96" i="65"/>
  <c r="L95" i="65"/>
  <c r="L94" i="65"/>
  <c r="L93" i="65"/>
  <c r="L92" i="65"/>
  <c r="L91" i="65"/>
  <c r="L90" i="65"/>
  <c r="L89" i="65"/>
  <c r="L88" i="65"/>
  <c r="L87" i="65"/>
  <c r="L86" i="65"/>
  <c r="L85" i="65"/>
  <c r="L84" i="65"/>
  <c r="L83" i="65"/>
  <c r="L82" i="65"/>
  <c r="L81" i="65"/>
  <c r="L80" i="65"/>
  <c r="L79" i="65"/>
  <c r="I17" i="56"/>
  <c r="M4" i="104"/>
  <c r="H37" i="105"/>
  <c r="F18" i="56" s="1"/>
  <c r="E37" i="105"/>
  <c r="D18" i="56" s="1"/>
  <c r="J36" i="105"/>
  <c r="G36" i="105"/>
  <c r="K36" i="105" s="1"/>
  <c r="J35" i="105"/>
  <c r="G35" i="105"/>
  <c r="K35" i="105" s="1"/>
  <c r="J34" i="105"/>
  <c r="G34" i="105"/>
  <c r="K34" i="105" s="1"/>
  <c r="J33" i="105"/>
  <c r="G33" i="105"/>
  <c r="K33" i="105" s="1"/>
  <c r="J32" i="105"/>
  <c r="G32" i="105"/>
  <c r="K32" i="105" s="1"/>
  <c r="J31" i="105"/>
  <c r="G31" i="105"/>
  <c r="K31" i="105" s="1"/>
  <c r="J30" i="105"/>
  <c r="K30" i="105" s="1"/>
  <c r="J29" i="105"/>
  <c r="G29" i="105"/>
  <c r="K29" i="105" s="1"/>
  <c r="J28" i="105"/>
  <c r="G28" i="105"/>
  <c r="K28" i="105" s="1"/>
  <c r="J27" i="105"/>
  <c r="G27" i="105"/>
  <c r="K27" i="105" s="1"/>
  <c r="J26" i="105"/>
  <c r="G26" i="105"/>
  <c r="K26" i="105" s="1"/>
  <c r="J25" i="105"/>
  <c r="G25" i="105"/>
  <c r="K25" i="105" s="1"/>
  <c r="J24" i="105"/>
  <c r="G24" i="105"/>
  <c r="K24" i="105" s="1"/>
  <c r="J23" i="105"/>
  <c r="G23" i="105"/>
  <c r="K23" i="105" s="1"/>
  <c r="J22" i="105"/>
  <c r="G22" i="105"/>
  <c r="K22" i="105" s="1"/>
  <c r="J21" i="105"/>
  <c r="G21" i="105"/>
  <c r="K21" i="105" s="1"/>
  <c r="J20" i="105"/>
  <c r="G20" i="105"/>
  <c r="K20" i="105" s="1"/>
  <c r="J19" i="105"/>
  <c r="G19" i="105"/>
  <c r="K19" i="105" s="1"/>
  <c r="J18" i="105"/>
  <c r="G18" i="105"/>
  <c r="K18" i="105" s="1"/>
  <c r="J17" i="105"/>
  <c r="G17" i="105"/>
  <c r="K17" i="105" s="1"/>
  <c r="J16" i="105"/>
  <c r="G16" i="105"/>
  <c r="K16" i="105" s="1"/>
  <c r="J15" i="105"/>
  <c r="G15" i="105"/>
  <c r="K15" i="105" s="1"/>
  <c r="J14" i="105"/>
  <c r="G14" i="105"/>
  <c r="K14" i="105" s="1"/>
  <c r="J13" i="105"/>
  <c r="G13" i="105"/>
  <c r="K13" i="105" s="1"/>
  <c r="J12" i="105"/>
  <c r="G12" i="105"/>
  <c r="K12" i="105" s="1"/>
  <c r="J11" i="105"/>
  <c r="G11" i="105"/>
  <c r="K11" i="105" s="1"/>
  <c r="J10" i="105"/>
  <c r="G10" i="105"/>
  <c r="K10" i="105" s="1"/>
  <c r="J9" i="105"/>
  <c r="G9" i="105"/>
  <c r="J8" i="105"/>
  <c r="G8" i="105"/>
  <c r="K8" i="105" s="1"/>
  <c r="J7" i="105"/>
  <c r="G7" i="105"/>
  <c r="K7" i="105" s="1"/>
  <c r="J6" i="105"/>
  <c r="G6" i="105"/>
  <c r="K6" i="105" s="1"/>
  <c r="J5" i="105"/>
  <c r="K5" i="105" s="1"/>
  <c r="J4" i="105"/>
  <c r="J37" i="105" s="1"/>
  <c r="G18" i="56" s="1"/>
  <c r="G4" i="105"/>
  <c r="H37" i="104"/>
  <c r="F17" i="56" s="1"/>
  <c r="E37" i="104"/>
  <c r="D17" i="56" s="1"/>
  <c r="J36" i="104"/>
  <c r="G36" i="104"/>
  <c r="K36" i="104" s="1"/>
  <c r="L36" i="104" s="1"/>
  <c r="J35" i="104"/>
  <c r="G35" i="104"/>
  <c r="K35" i="104" s="1"/>
  <c r="L35" i="104" s="1"/>
  <c r="J34" i="104"/>
  <c r="G34" i="104"/>
  <c r="K34" i="104" s="1"/>
  <c r="J33" i="104"/>
  <c r="G33" i="104"/>
  <c r="K33" i="104" s="1"/>
  <c r="J32" i="104"/>
  <c r="G32" i="104"/>
  <c r="K32" i="104" s="1"/>
  <c r="J31" i="104"/>
  <c r="G31" i="104"/>
  <c r="K31" i="104" s="1"/>
  <c r="J30" i="104"/>
  <c r="K30" i="104" s="1"/>
  <c r="J29" i="104"/>
  <c r="G29" i="104"/>
  <c r="K29" i="104" s="1"/>
  <c r="J28" i="104"/>
  <c r="G28" i="104"/>
  <c r="K28" i="104" s="1"/>
  <c r="J27" i="104"/>
  <c r="G27" i="104"/>
  <c r="K27" i="104" s="1"/>
  <c r="J26" i="104"/>
  <c r="G26" i="104"/>
  <c r="K26" i="104" s="1"/>
  <c r="J25" i="104"/>
  <c r="G25" i="104"/>
  <c r="K25" i="104" s="1"/>
  <c r="J24" i="104"/>
  <c r="G24" i="104"/>
  <c r="K24" i="104" s="1"/>
  <c r="J23" i="104"/>
  <c r="G23" i="104"/>
  <c r="K23" i="104" s="1"/>
  <c r="J22" i="104"/>
  <c r="G22" i="104"/>
  <c r="K22" i="104" s="1"/>
  <c r="J21" i="104"/>
  <c r="G21" i="104"/>
  <c r="K21" i="104" s="1"/>
  <c r="J20" i="104"/>
  <c r="G20" i="104"/>
  <c r="K20" i="104" s="1"/>
  <c r="J19" i="104"/>
  <c r="G19" i="104"/>
  <c r="K19" i="104" s="1"/>
  <c r="J18" i="104"/>
  <c r="G18" i="104"/>
  <c r="K18" i="104" s="1"/>
  <c r="J17" i="104"/>
  <c r="G17" i="104"/>
  <c r="K17" i="104" s="1"/>
  <c r="J16" i="104"/>
  <c r="G16" i="104"/>
  <c r="K16" i="104" s="1"/>
  <c r="L16" i="104" s="1"/>
  <c r="J15" i="104"/>
  <c r="G15" i="104"/>
  <c r="K15" i="104" s="1"/>
  <c r="J14" i="104"/>
  <c r="G14" i="104"/>
  <c r="K14" i="104" s="1"/>
  <c r="J13" i="104"/>
  <c r="G13" i="104"/>
  <c r="K13" i="104" s="1"/>
  <c r="J12" i="104"/>
  <c r="G12" i="104"/>
  <c r="K12" i="104" s="1"/>
  <c r="J11" i="104"/>
  <c r="G11" i="104"/>
  <c r="K11" i="104" s="1"/>
  <c r="L11" i="104" s="1"/>
  <c r="J10" i="104"/>
  <c r="G10" i="104"/>
  <c r="K10" i="104" s="1"/>
  <c r="J9" i="104"/>
  <c r="G9" i="104"/>
  <c r="K9" i="104" s="1"/>
  <c r="J8" i="104"/>
  <c r="G8" i="104"/>
  <c r="K8" i="104" s="1"/>
  <c r="J7" i="104"/>
  <c r="G7" i="104"/>
  <c r="K7" i="104" s="1"/>
  <c r="L7" i="104" s="1"/>
  <c r="J6" i="104"/>
  <c r="G6" i="104"/>
  <c r="K6" i="104" s="1"/>
  <c r="J5" i="104"/>
  <c r="J4" i="104"/>
  <c r="J37" i="104" s="1"/>
  <c r="G17" i="56" s="1"/>
  <c r="G4" i="104"/>
  <c r="J27" i="26"/>
  <c r="K27" i="26" s="1"/>
  <c r="G20" i="9"/>
  <c r="G22" i="75"/>
  <c r="G23" i="75"/>
  <c r="G21" i="101"/>
  <c r="K21" i="101" s="1"/>
  <c r="G22" i="101"/>
  <c r="K22" i="101" s="1"/>
  <c r="G20" i="24"/>
  <c r="G21" i="26"/>
  <c r="K21" i="26" s="1"/>
  <c r="G19" i="98"/>
  <c r="K19" i="98" s="1"/>
  <c r="L19" i="98" s="1"/>
  <c r="G19" i="3"/>
  <c r="G29" i="45"/>
  <c r="G28" i="45"/>
  <c r="G27" i="45"/>
  <c r="K27" i="45" s="1"/>
  <c r="G26" i="45"/>
  <c r="K26" i="45" s="1"/>
  <c r="G25" i="45"/>
  <c r="K25" i="45" s="1"/>
  <c r="G23" i="45"/>
  <c r="K23" i="45" s="1"/>
  <c r="J21" i="45"/>
  <c r="G22" i="45"/>
  <c r="K22" i="45" s="1"/>
  <c r="G20" i="45"/>
  <c r="G21" i="45"/>
  <c r="K21" i="45" s="1"/>
  <c r="J18" i="45"/>
  <c r="J19" i="45"/>
  <c r="J20" i="45"/>
  <c r="G19" i="45"/>
  <c r="G18" i="45"/>
  <c r="J16" i="45"/>
  <c r="J17" i="45"/>
  <c r="G17" i="45"/>
  <c r="G15" i="45"/>
  <c r="G16" i="45"/>
  <c r="J14" i="45"/>
  <c r="J15" i="45"/>
  <c r="G12" i="45"/>
  <c r="G13" i="45"/>
  <c r="G14" i="45"/>
  <c r="J10" i="45"/>
  <c r="J12" i="45"/>
  <c r="J13" i="45"/>
  <c r="J4" i="45"/>
  <c r="G10" i="45"/>
  <c r="G9" i="45"/>
  <c r="G8" i="45"/>
  <c r="G6" i="45"/>
  <c r="G4" i="45"/>
  <c r="J13" i="47"/>
  <c r="G13" i="47"/>
  <c r="K13" i="47" s="1"/>
  <c r="G10" i="75"/>
  <c r="J8" i="85"/>
  <c r="J9" i="85"/>
  <c r="J10" i="85"/>
  <c r="J11" i="85"/>
  <c r="J12" i="85"/>
  <c r="J13" i="85"/>
  <c r="J14" i="85"/>
  <c r="J15" i="85"/>
  <c r="J16" i="85"/>
  <c r="J14" i="50"/>
  <c r="J5" i="50"/>
  <c r="J33" i="83"/>
  <c r="G33" i="83"/>
  <c r="K33" i="83"/>
  <c r="G8" i="99"/>
  <c r="G9" i="99"/>
  <c r="G10" i="99"/>
  <c r="G11" i="99"/>
  <c r="G12" i="99"/>
  <c r="G13" i="99"/>
  <c r="G14" i="99"/>
  <c r="J41" i="26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I54" i="56"/>
  <c r="G23" i="51"/>
  <c r="J33" i="50"/>
  <c r="G33" i="100"/>
  <c r="J30" i="50"/>
  <c r="J31" i="50"/>
  <c r="J32" i="50"/>
  <c r="G34" i="81"/>
  <c r="J32" i="35"/>
  <c r="G32" i="100"/>
  <c r="J23" i="75"/>
  <c r="K23" i="75" s="1"/>
  <c r="E38" i="47"/>
  <c r="G31" i="24"/>
  <c r="G30" i="24"/>
  <c r="G30" i="100"/>
  <c r="G31" i="100"/>
  <c r="G26" i="26"/>
  <c r="G28" i="26"/>
  <c r="G29" i="26"/>
  <c r="G30" i="26"/>
  <c r="G31" i="26"/>
  <c r="G32" i="26"/>
  <c r="J29" i="50"/>
  <c r="G29" i="100"/>
  <c r="K52" i="45"/>
  <c r="K53" i="45"/>
  <c r="K50" i="45"/>
  <c r="K49" i="45"/>
  <c r="K44" i="45"/>
  <c r="K42" i="45"/>
  <c r="K41" i="45"/>
  <c r="K39" i="45"/>
  <c r="M39" i="45" s="1"/>
  <c r="K37" i="45"/>
  <c r="K36" i="45"/>
  <c r="K30" i="45"/>
  <c r="K29" i="45"/>
  <c r="K28" i="45"/>
  <c r="K34" i="45"/>
  <c r="K4" i="45"/>
  <c r="M4" i="45" s="1"/>
  <c r="K33" i="45"/>
  <c r="K31" i="45"/>
  <c r="K32" i="45"/>
  <c r="K35" i="45"/>
  <c r="K38" i="45"/>
  <c r="K40" i="45"/>
  <c r="K43" i="45"/>
  <c r="K45" i="45"/>
  <c r="K46" i="45"/>
  <c r="K47" i="45"/>
  <c r="K48" i="45"/>
  <c r="K51" i="45"/>
  <c r="K54" i="45"/>
  <c r="K6" i="45"/>
  <c r="K8" i="45"/>
  <c r="K9" i="45"/>
  <c r="K10" i="45"/>
  <c r="K12" i="45"/>
  <c r="K13" i="45"/>
  <c r="K14" i="45"/>
  <c r="K15" i="45"/>
  <c r="K16" i="45"/>
  <c r="K17" i="45"/>
  <c r="K18" i="45"/>
  <c r="K19" i="45"/>
  <c r="I21" i="56"/>
  <c r="J28" i="50"/>
  <c r="J21" i="99"/>
  <c r="J22" i="99"/>
  <c r="J23" i="99"/>
  <c r="G29" i="99"/>
  <c r="G28" i="100"/>
  <c r="J27" i="78"/>
  <c r="G27" i="78"/>
  <c r="K27" i="78" s="1"/>
  <c r="J26" i="78"/>
  <c r="G26" i="78"/>
  <c r="K26" i="78" s="1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J26" i="50"/>
  <c r="J27" i="50"/>
  <c r="G27" i="11"/>
  <c r="G27" i="100"/>
  <c r="G25" i="100"/>
  <c r="G26" i="100"/>
  <c r="J24" i="50"/>
  <c r="J25" i="50"/>
  <c r="J19" i="50"/>
  <c r="J20" i="50"/>
  <c r="J21" i="50"/>
  <c r="J22" i="50"/>
  <c r="J23" i="50"/>
  <c r="G24" i="100"/>
  <c r="G23" i="100"/>
  <c r="G19" i="69"/>
  <c r="K19" i="69" s="1"/>
  <c r="J23" i="12"/>
  <c r="G22" i="100"/>
  <c r="G21" i="11"/>
  <c r="G22" i="81"/>
  <c r="G19" i="100"/>
  <c r="G20" i="100"/>
  <c r="G21" i="81"/>
  <c r="J15" i="50"/>
  <c r="J16" i="50"/>
  <c r="J17" i="50"/>
  <c r="J18" i="50"/>
  <c r="G16" i="100"/>
  <c r="G8" i="19"/>
  <c r="J8" i="19"/>
  <c r="K8" i="19"/>
  <c r="G9" i="19"/>
  <c r="J9" i="19"/>
  <c r="K9" i="19"/>
  <c r="G10" i="19"/>
  <c r="K10" i="19"/>
  <c r="G11" i="19"/>
  <c r="K11" i="19"/>
  <c r="G12" i="19"/>
  <c r="J12" i="19"/>
  <c r="K12" i="19"/>
  <c r="G13" i="19"/>
  <c r="J13" i="19"/>
  <c r="K13" i="19"/>
  <c r="G14" i="19"/>
  <c r="J14" i="19"/>
  <c r="K14" i="19"/>
  <c r="G15" i="19"/>
  <c r="J15" i="19"/>
  <c r="K15" i="19"/>
  <c r="G16" i="19"/>
  <c r="J16" i="19"/>
  <c r="K16" i="19"/>
  <c r="G17" i="19"/>
  <c r="J17" i="19"/>
  <c r="K17" i="19"/>
  <c r="G18" i="19"/>
  <c r="J18" i="19"/>
  <c r="K18" i="19"/>
  <c r="G19" i="19"/>
  <c r="J19" i="19"/>
  <c r="K19" i="19"/>
  <c r="G20" i="19"/>
  <c r="J20" i="19"/>
  <c r="K20" i="19"/>
  <c r="G21" i="19"/>
  <c r="J21" i="19"/>
  <c r="K21" i="19"/>
  <c r="G22" i="19"/>
  <c r="J22" i="19"/>
  <c r="K22" i="19"/>
  <c r="G23" i="19"/>
  <c r="J23" i="19"/>
  <c r="K23" i="19"/>
  <c r="G24" i="19"/>
  <c r="J24" i="19"/>
  <c r="K24" i="19"/>
  <c r="G25" i="19"/>
  <c r="J25" i="19"/>
  <c r="K25" i="19"/>
  <c r="G26" i="19"/>
  <c r="J26" i="19"/>
  <c r="K26" i="19"/>
  <c r="G27" i="19"/>
  <c r="J27" i="19"/>
  <c r="K27" i="19"/>
  <c r="G28" i="19"/>
  <c r="J28" i="19"/>
  <c r="K28" i="19"/>
  <c r="G29" i="19"/>
  <c r="J29" i="19"/>
  <c r="K29" i="19"/>
  <c r="G30" i="19"/>
  <c r="J30" i="19"/>
  <c r="K30" i="19"/>
  <c r="G31" i="19"/>
  <c r="J31" i="19"/>
  <c r="K31" i="19"/>
  <c r="G32" i="19"/>
  <c r="J32" i="19"/>
  <c r="K32" i="19"/>
  <c r="G33" i="19"/>
  <c r="J33" i="19"/>
  <c r="K33" i="19"/>
  <c r="G17" i="89"/>
  <c r="G15" i="100"/>
  <c r="G14" i="100"/>
  <c r="G13" i="100"/>
  <c r="J15" i="75"/>
  <c r="H39" i="103"/>
  <c r="F21" i="56" s="1"/>
  <c r="E39" i="103"/>
  <c r="D21" i="56" s="1"/>
  <c r="J38" i="103"/>
  <c r="J37" i="103"/>
  <c r="J36" i="103"/>
  <c r="L39" i="103"/>
  <c r="J21" i="56" s="1"/>
  <c r="J39" i="103"/>
  <c r="G21" i="56" s="1"/>
  <c r="G15" i="93"/>
  <c r="K15" i="93" s="1"/>
  <c r="G12" i="100"/>
  <c r="G11" i="100"/>
  <c r="G12" i="85"/>
  <c r="J10" i="47"/>
  <c r="J11" i="47"/>
  <c r="J12" i="47"/>
  <c r="J14" i="47"/>
  <c r="J15" i="47"/>
  <c r="G10" i="47"/>
  <c r="K10" i="47" s="1"/>
  <c r="G11" i="47"/>
  <c r="K11" i="47" s="1"/>
  <c r="G12" i="47"/>
  <c r="K12" i="47" s="1"/>
  <c r="G14" i="47"/>
  <c r="K14" i="47" s="1"/>
  <c r="G15" i="47"/>
  <c r="K15" i="47" s="1"/>
  <c r="G16" i="47"/>
  <c r="G17" i="47"/>
  <c r="G18" i="47"/>
  <c r="S17" i="47"/>
  <c r="S19" i="47" s="1"/>
  <c r="S21" i="47" s="1"/>
  <c r="G16" i="62"/>
  <c r="K16" i="62" s="1"/>
  <c r="G10" i="100"/>
  <c r="G9" i="100"/>
  <c r="G8" i="100"/>
  <c r="J8" i="9"/>
  <c r="G8" i="9"/>
  <c r="K8" i="9" s="1"/>
  <c r="J10" i="25"/>
  <c r="G10" i="25"/>
  <c r="K10" i="25" s="1"/>
  <c r="J7" i="35"/>
  <c r="G5" i="100"/>
  <c r="G6" i="100"/>
  <c r="G7" i="100"/>
  <c r="G7" i="83"/>
  <c r="G7" i="14"/>
  <c r="J7" i="14"/>
  <c r="K7" i="14"/>
  <c r="J5" i="101"/>
  <c r="J5" i="71"/>
  <c r="K5" i="71" s="1"/>
  <c r="L5" i="71" s="1"/>
  <c r="G4" i="100"/>
  <c r="J5" i="25"/>
  <c r="G5" i="25"/>
  <c r="K5" i="25" s="1"/>
  <c r="J6" i="24"/>
  <c r="J7" i="24"/>
  <c r="J8" i="24"/>
  <c r="J5" i="24"/>
  <c r="J4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J20" i="24"/>
  <c r="K20" i="24"/>
  <c r="G4" i="76"/>
  <c r="G5" i="76"/>
  <c r="G5" i="62"/>
  <c r="K5" i="62" s="1"/>
  <c r="G5" i="85"/>
  <c r="J32" i="73"/>
  <c r="J33" i="73"/>
  <c r="J34" i="73"/>
  <c r="G31" i="73"/>
  <c r="G32" i="73"/>
  <c r="G33" i="73"/>
  <c r="G34" i="73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I32" i="56"/>
  <c r="H35" i="100"/>
  <c r="G35" i="100"/>
  <c r="E35" i="100"/>
  <c r="I35" i="56"/>
  <c r="L38" i="101"/>
  <c r="J35" i="56" s="1"/>
  <c r="H38" i="101"/>
  <c r="F35" i="56" s="1"/>
  <c r="E38" i="101"/>
  <c r="D35" i="56" s="1"/>
  <c r="J37" i="101"/>
  <c r="G37" i="101"/>
  <c r="K37" i="101" s="1"/>
  <c r="J36" i="101"/>
  <c r="G36" i="101"/>
  <c r="K36" i="101" s="1"/>
  <c r="J35" i="101"/>
  <c r="G35" i="101"/>
  <c r="K35" i="101" s="1"/>
  <c r="J34" i="101"/>
  <c r="G34" i="101"/>
  <c r="K34" i="101" s="1"/>
  <c r="J33" i="101"/>
  <c r="G33" i="101"/>
  <c r="K33" i="101" s="1"/>
  <c r="J31" i="101"/>
  <c r="K31" i="10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G23" i="101"/>
  <c r="K23" i="101" s="1"/>
  <c r="J20" i="101"/>
  <c r="G20" i="101"/>
  <c r="K20" i="101" s="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G5" i="101"/>
  <c r="K5" i="101" s="1"/>
  <c r="J4" i="101"/>
  <c r="J38" i="101" s="1"/>
  <c r="G35" i="56" s="1"/>
  <c r="G4" i="101"/>
  <c r="I47" i="56"/>
  <c r="F47" i="56"/>
  <c r="E47" i="56"/>
  <c r="D47" i="56"/>
  <c r="G36" i="81"/>
  <c r="K36" i="81" s="1"/>
  <c r="J34" i="100"/>
  <c r="K34" i="100"/>
  <c r="G33" i="35"/>
  <c r="G34" i="35"/>
  <c r="G33" i="51"/>
  <c r="G34" i="51"/>
  <c r="G37" i="14"/>
  <c r="K37" i="81"/>
  <c r="G32" i="81"/>
  <c r="K32" i="81" s="1"/>
  <c r="G33" i="81"/>
  <c r="K33" i="81" s="1"/>
  <c r="G35" i="81"/>
  <c r="K35" i="81" s="1"/>
  <c r="J27" i="11"/>
  <c r="K27" i="11" s="1"/>
  <c r="E35" i="10"/>
  <c r="G30" i="35"/>
  <c r="G31" i="35"/>
  <c r="G32" i="35"/>
  <c r="G34" i="25"/>
  <c r="K34" i="25" s="1"/>
  <c r="G31" i="81"/>
  <c r="K31" i="81" s="1"/>
  <c r="K33" i="52"/>
  <c r="K34" i="52"/>
  <c r="P32" i="11"/>
  <c r="J15" i="25"/>
  <c r="G15" i="25"/>
  <c r="K15" i="25" s="1"/>
  <c r="G27" i="24"/>
  <c r="G28" i="24"/>
  <c r="G29" i="81"/>
  <c r="K29" i="81" s="1"/>
  <c r="G30" i="81"/>
  <c r="K30" i="81" s="1"/>
  <c r="G20" i="12"/>
  <c r="G21" i="12"/>
  <c r="G22" i="12"/>
  <c r="G23" i="12"/>
  <c r="K23" i="12" s="1"/>
  <c r="G24" i="12"/>
  <c r="G31" i="75"/>
  <c r="K31" i="75" s="1"/>
  <c r="G28" i="81"/>
  <c r="K28" i="81" s="1"/>
  <c r="G26" i="24"/>
  <c r="G25" i="24"/>
  <c r="L35" i="100"/>
  <c r="J47" i="56" s="1"/>
  <c r="J33" i="100"/>
  <c r="K33" i="100"/>
  <c r="J32" i="100"/>
  <c r="K32" i="100"/>
  <c r="J31" i="100"/>
  <c r="K31" i="100"/>
  <c r="J30" i="100"/>
  <c r="K30" i="100"/>
  <c r="J29" i="100"/>
  <c r="K29" i="100"/>
  <c r="J28" i="100"/>
  <c r="K28" i="100"/>
  <c r="J27" i="100"/>
  <c r="K27" i="100"/>
  <c r="J26" i="100"/>
  <c r="K26" i="100"/>
  <c r="J25" i="100"/>
  <c r="K25" i="100"/>
  <c r="J24" i="100"/>
  <c r="K24" i="100"/>
  <c r="J23" i="100"/>
  <c r="K23" i="100"/>
  <c r="J22" i="100"/>
  <c r="K22" i="100"/>
  <c r="K21" i="100"/>
  <c r="J20" i="100"/>
  <c r="K20" i="100"/>
  <c r="J19" i="100"/>
  <c r="K19" i="100"/>
  <c r="J18" i="100"/>
  <c r="K18" i="100"/>
  <c r="J17" i="100"/>
  <c r="K17" i="100"/>
  <c r="J16" i="100"/>
  <c r="K16" i="100"/>
  <c r="J15" i="100"/>
  <c r="K15" i="100"/>
  <c r="J14" i="100"/>
  <c r="K14" i="100"/>
  <c r="J13" i="100"/>
  <c r="K13" i="100"/>
  <c r="J12" i="100"/>
  <c r="K12" i="100"/>
  <c r="J11" i="100"/>
  <c r="K11" i="100"/>
  <c r="J10" i="100"/>
  <c r="K10" i="100"/>
  <c r="J9" i="100"/>
  <c r="K9" i="100"/>
  <c r="J8" i="100"/>
  <c r="K8" i="100"/>
  <c r="J7" i="100"/>
  <c r="K7" i="100"/>
  <c r="J6" i="100"/>
  <c r="K6" i="100"/>
  <c r="J5" i="100"/>
  <c r="K5" i="100"/>
  <c r="J4" i="100"/>
  <c r="G24" i="24"/>
  <c r="G27" i="81"/>
  <c r="K27" i="81" s="1"/>
  <c r="G26" i="81"/>
  <c r="K26" i="81" s="1"/>
  <c r="G26" i="75"/>
  <c r="K26" i="75" s="1"/>
  <c r="G24" i="75"/>
  <c r="G25" i="75"/>
  <c r="K25" i="75" s="1"/>
  <c r="G24" i="3"/>
  <c r="G23" i="24"/>
  <c r="G25" i="81"/>
  <c r="K25" i="81" s="1"/>
  <c r="J24" i="85"/>
  <c r="G24" i="85"/>
  <c r="K24" i="85" s="1"/>
  <c r="G23" i="73"/>
  <c r="K23" i="73" s="1"/>
  <c r="L23" i="73" s="1"/>
  <c r="G23" i="99"/>
  <c r="K23" i="99"/>
  <c r="J16" i="99"/>
  <c r="J17" i="99"/>
  <c r="J18" i="99"/>
  <c r="J19" i="99"/>
  <c r="L39" i="99"/>
  <c r="J32" i="56" s="1"/>
  <c r="H39" i="99"/>
  <c r="F32" i="56" s="1"/>
  <c r="E39" i="99"/>
  <c r="D32" i="56" s="1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G33" i="99"/>
  <c r="K33" i="99" s="1"/>
  <c r="J32" i="99"/>
  <c r="G32" i="99"/>
  <c r="K32" i="99" s="1"/>
  <c r="J31" i="99"/>
  <c r="G31" i="99"/>
  <c r="K31" i="99" s="1"/>
  <c r="J30" i="99"/>
  <c r="G30" i="99"/>
  <c r="K30" i="99" s="1"/>
  <c r="J29" i="99"/>
  <c r="K29" i="99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G22" i="99"/>
  <c r="K22" i="99" s="1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K14" i="99"/>
  <c r="J13" i="99"/>
  <c r="K13" i="99"/>
  <c r="J12" i="99"/>
  <c r="K12" i="99"/>
  <c r="J11" i="99"/>
  <c r="K11" i="99"/>
  <c r="J10" i="99"/>
  <c r="K10" i="99"/>
  <c r="J9" i="99"/>
  <c r="K9" i="99"/>
  <c r="J8" i="99"/>
  <c r="K8" i="99"/>
  <c r="J7" i="99"/>
  <c r="G7" i="99"/>
  <c r="K7" i="99" s="1"/>
  <c r="J6" i="99"/>
  <c r="G6" i="99"/>
  <c r="K6" i="99" s="1"/>
  <c r="J5" i="99"/>
  <c r="G5" i="99"/>
  <c r="K5" i="99" s="1"/>
  <c r="J4" i="99"/>
  <c r="J39" i="99" s="1"/>
  <c r="G32" i="56" s="1"/>
  <c r="G4" i="99"/>
  <c r="G21" i="24"/>
  <c r="G22" i="24"/>
  <c r="G24" i="81"/>
  <c r="K24" i="81" s="1"/>
  <c r="K21" i="81"/>
  <c r="K22" i="81"/>
  <c r="G23" i="81"/>
  <c r="K23" i="81" s="1"/>
  <c r="M23" i="81" s="1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82" i="44"/>
  <c r="J21" i="11"/>
  <c r="K21" i="11" s="1"/>
  <c r="M21" i="11" s="1"/>
  <c r="J19" i="75"/>
  <c r="J20" i="75"/>
  <c r="J57" i="44"/>
  <c r="K57" i="44" s="1"/>
  <c r="J58" i="44"/>
  <c r="K58" i="44" s="1"/>
  <c r="J59" i="44"/>
  <c r="K59" i="44" s="1"/>
  <c r="J60" i="44"/>
  <c r="K60" i="44" s="1"/>
  <c r="J61" i="44"/>
  <c r="K61" i="44" s="1"/>
  <c r="J62" i="44"/>
  <c r="K62" i="44" s="1"/>
  <c r="K96" i="44"/>
  <c r="K97" i="44"/>
  <c r="K98" i="44"/>
  <c r="J5" i="44"/>
  <c r="K5" i="44" s="1"/>
  <c r="J6" i="44"/>
  <c r="K6" i="44" s="1"/>
  <c r="J7" i="44"/>
  <c r="K7" i="44" s="1"/>
  <c r="J8" i="44"/>
  <c r="K8" i="44" s="1"/>
  <c r="J9" i="44"/>
  <c r="K9" i="44" s="1"/>
  <c r="J10" i="44"/>
  <c r="K10" i="44" s="1"/>
  <c r="J11" i="44"/>
  <c r="K11" i="44" s="1"/>
  <c r="J12" i="44"/>
  <c r="K12" i="44" s="1"/>
  <c r="J13" i="44"/>
  <c r="K13" i="44" s="1"/>
  <c r="J14" i="44"/>
  <c r="K14" i="44" s="1"/>
  <c r="J15" i="44"/>
  <c r="K15" i="44" s="1"/>
  <c r="J16" i="44"/>
  <c r="K16" i="44" s="1"/>
  <c r="J17" i="44"/>
  <c r="K17" i="44" s="1"/>
  <c r="J18" i="44"/>
  <c r="K18" i="44" s="1"/>
  <c r="J19" i="44"/>
  <c r="K19" i="44" s="1"/>
  <c r="J20" i="44"/>
  <c r="K20" i="44" s="1"/>
  <c r="J21" i="44"/>
  <c r="K21" i="44" s="1"/>
  <c r="J22" i="44"/>
  <c r="K22" i="44" s="1"/>
  <c r="J23" i="44"/>
  <c r="K23" i="44" s="1"/>
  <c r="J24" i="44"/>
  <c r="K24" i="44" s="1"/>
  <c r="J25" i="44"/>
  <c r="K25" i="44" s="1"/>
  <c r="J26" i="44"/>
  <c r="K26" i="44" s="1"/>
  <c r="J27" i="44"/>
  <c r="K27" i="44" s="1"/>
  <c r="J28" i="44"/>
  <c r="K28" i="44" s="1"/>
  <c r="J29" i="44"/>
  <c r="K29" i="44" s="1"/>
  <c r="J30" i="44"/>
  <c r="K30" i="44" s="1"/>
  <c r="J31" i="44"/>
  <c r="K31" i="44" s="1"/>
  <c r="J32" i="44"/>
  <c r="K32" i="44" s="1"/>
  <c r="J33" i="44"/>
  <c r="K33" i="44" s="1"/>
  <c r="J34" i="44"/>
  <c r="K34" i="44" s="1"/>
  <c r="J35" i="44"/>
  <c r="K35" i="44" s="1"/>
  <c r="J36" i="44"/>
  <c r="K36" i="44" s="1"/>
  <c r="J37" i="44"/>
  <c r="K37" i="44" s="1"/>
  <c r="J38" i="44"/>
  <c r="K38" i="44" s="1"/>
  <c r="J40" i="44"/>
  <c r="K40" i="44" s="1"/>
  <c r="J41" i="44"/>
  <c r="K41" i="44" s="1"/>
  <c r="J42" i="44"/>
  <c r="K42" i="44" s="1"/>
  <c r="J43" i="44"/>
  <c r="K43" i="44" s="1"/>
  <c r="J44" i="44"/>
  <c r="K44" i="44" s="1"/>
  <c r="J45" i="44"/>
  <c r="K45" i="44" s="1"/>
  <c r="J46" i="44"/>
  <c r="K46" i="44" s="1"/>
  <c r="J47" i="44"/>
  <c r="K47" i="44" s="1"/>
  <c r="J48" i="44"/>
  <c r="K48" i="44" s="1"/>
  <c r="J49" i="44"/>
  <c r="K49" i="44" s="1"/>
  <c r="J50" i="44"/>
  <c r="K50" i="44" s="1"/>
  <c r="J51" i="44"/>
  <c r="K51" i="44" s="1"/>
  <c r="J52" i="44"/>
  <c r="K52" i="44" s="1"/>
  <c r="J53" i="44"/>
  <c r="K53" i="44" s="1"/>
  <c r="J54" i="44"/>
  <c r="K54" i="44" s="1"/>
  <c r="J55" i="44"/>
  <c r="K55" i="44" s="1"/>
  <c r="K56" i="44"/>
  <c r="J63" i="44"/>
  <c r="K63" i="44" s="1"/>
  <c r="J64" i="44"/>
  <c r="K64" i="44" s="1"/>
  <c r="J65" i="44"/>
  <c r="K65" i="44" s="1"/>
  <c r="J66" i="44"/>
  <c r="K66" i="44" s="1"/>
  <c r="J67" i="44"/>
  <c r="K67" i="44" s="1"/>
  <c r="J68" i="44"/>
  <c r="K68" i="44" s="1"/>
  <c r="J69" i="44"/>
  <c r="K69" i="44" s="1"/>
  <c r="J70" i="44"/>
  <c r="K70" i="44" s="1"/>
  <c r="J71" i="44"/>
  <c r="K71" i="44" s="1"/>
  <c r="J72" i="44"/>
  <c r="K72" i="44" s="1"/>
  <c r="J73" i="44"/>
  <c r="K73" i="44" s="1"/>
  <c r="J22" i="25"/>
  <c r="G22" i="25"/>
  <c r="K22" i="25" s="1"/>
  <c r="P14" i="12"/>
  <c r="G16" i="81"/>
  <c r="K16" i="81" s="1"/>
  <c r="L16" i="81" s="1"/>
  <c r="G19" i="81"/>
  <c r="K19" i="81" s="1"/>
  <c r="G20" i="81"/>
  <c r="K20" i="81" s="1"/>
  <c r="S32" i="25"/>
  <c r="T32" i="25"/>
  <c r="U32" i="25"/>
  <c r="J10" i="24"/>
  <c r="J11" i="24"/>
  <c r="J12" i="24"/>
  <c r="J13" i="24"/>
  <c r="K16" i="14"/>
  <c r="K17" i="14"/>
  <c r="I11" i="56"/>
  <c r="G11" i="56"/>
  <c r="F11" i="56"/>
  <c r="I7" i="56"/>
  <c r="H35" i="98"/>
  <c r="E35" i="98"/>
  <c r="D11" i="56" s="1"/>
  <c r="J34" i="98"/>
  <c r="G34" i="98"/>
  <c r="K34" i="98" s="1"/>
  <c r="L34" i="98" s="1"/>
  <c r="J33" i="98"/>
  <c r="G33" i="98"/>
  <c r="K33" i="98" s="1"/>
  <c r="L33" i="98" s="1"/>
  <c r="J32" i="98"/>
  <c r="G32" i="98"/>
  <c r="K32" i="98" s="1"/>
  <c r="L32" i="98" s="1"/>
  <c r="J31" i="98"/>
  <c r="G31" i="98"/>
  <c r="K31" i="98" s="1"/>
  <c r="L31" i="98" s="1"/>
  <c r="J30" i="98"/>
  <c r="G30" i="98"/>
  <c r="K30" i="98" s="1"/>
  <c r="L30" i="98" s="1"/>
  <c r="J29" i="98"/>
  <c r="G29" i="98"/>
  <c r="K29" i="98" s="1"/>
  <c r="L29" i="98" s="1"/>
  <c r="J28" i="98"/>
  <c r="G28" i="98"/>
  <c r="K28" i="98" s="1"/>
  <c r="L28" i="98" s="1"/>
  <c r="J27" i="98"/>
  <c r="G27" i="98"/>
  <c r="K27" i="98" s="1"/>
  <c r="L27" i="98" s="1"/>
  <c r="J26" i="98"/>
  <c r="G26" i="98"/>
  <c r="K26" i="98" s="1"/>
  <c r="L26" i="98" s="1"/>
  <c r="J25" i="98"/>
  <c r="G25" i="98"/>
  <c r="K25" i="98" s="1"/>
  <c r="L25" i="98" s="1"/>
  <c r="J24" i="98"/>
  <c r="G24" i="98"/>
  <c r="K24" i="98" s="1"/>
  <c r="L24" i="98" s="1"/>
  <c r="J23" i="98"/>
  <c r="G23" i="98"/>
  <c r="K23" i="98" s="1"/>
  <c r="L23" i="98" s="1"/>
  <c r="J22" i="98"/>
  <c r="G22" i="98"/>
  <c r="K22" i="98" s="1"/>
  <c r="L22" i="98" s="1"/>
  <c r="J21" i="98"/>
  <c r="G21" i="98"/>
  <c r="K21" i="98" s="1"/>
  <c r="L21" i="98" s="1"/>
  <c r="J20" i="98"/>
  <c r="G20" i="98"/>
  <c r="K20" i="98" s="1"/>
  <c r="L20" i="98" s="1"/>
  <c r="J19" i="98"/>
  <c r="J18" i="98"/>
  <c r="G18" i="98"/>
  <c r="J17" i="98"/>
  <c r="G17" i="98"/>
  <c r="K17" i="98" s="1"/>
  <c r="L17" i="98" s="1"/>
  <c r="J16" i="98"/>
  <c r="G16" i="98"/>
  <c r="K16" i="98" s="1"/>
  <c r="L16" i="98" s="1"/>
  <c r="J15" i="98"/>
  <c r="G15" i="98"/>
  <c r="K15" i="98" s="1"/>
  <c r="L15" i="98" s="1"/>
  <c r="J14" i="98"/>
  <c r="G14" i="98"/>
  <c r="K14" i="98" s="1"/>
  <c r="L14" i="98" s="1"/>
  <c r="J13" i="98"/>
  <c r="G13" i="98"/>
  <c r="K13" i="98" s="1"/>
  <c r="L13" i="98" s="1"/>
  <c r="J12" i="98"/>
  <c r="G12" i="98"/>
  <c r="K12" i="98" s="1"/>
  <c r="J11" i="98"/>
  <c r="G11" i="98"/>
  <c r="K11" i="98" s="1"/>
  <c r="L11" i="98" s="1"/>
  <c r="J10" i="98"/>
  <c r="G10" i="98"/>
  <c r="K10" i="98" s="1"/>
  <c r="J9" i="98"/>
  <c r="G9" i="98"/>
  <c r="K9" i="98" s="1"/>
  <c r="J8" i="98"/>
  <c r="G8" i="98"/>
  <c r="K8" i="98" s="1"/>
  <c r="L8" i="98" s="1"/>
  <c r="J7" i="98"/>
  <c r="G7" i="98"/>
  <c r="K7" i="98" s="1"/>
  <c r="L7" i="98" s="1"/>
  <c r="J6" i="98"/>
  <c r="G6" i="98"/>
  <c r="K6" i="98" s="1"/>
  <c r="L6" i="98" s="1"/>
  <c r="J5" i="98"/>
  <c r="G5" i="98"/>
  <c r="K5" i="98" s="1"/>
  <c r="L5" i="98" s="1"/>
  <c r="J4" i="98"/>
  <c r="J35" i="98" s="1"/>
  <c r="G4" i="98"/>
  <c r="G5" i="24"/>
  <c r="K5" i="24" s="1"/>
  <c r="G6" i="24"/>
  <c r="K6" i="24" s="1"/>
  <c r="G7" i="24"/>
  <c r="K7" i="24" s="1"/>
  <c r="G8" i="24"/>
  <c r="G9" i="24"/>
  <c r="G10" i="24"/>
  <c r="K10" i="24" s="1"/>
  <c r="G11" i="24"/>
  <c r="K11" i="24" s="1"/>
  <c r="G12" i="24"/>
  <c r="K12" i="24" s="1"/>
  <c r="G13" i="24"/>
  <c r="K13" i="24" s="1"/>
  <c r="G13" i="81"/>
  <c r="K13" i="81" s="1"/>
  <c r="L13" i="81" s="1"/>
  <c r="G14" i="81"/>
  <c r="K14" i="81" s="1"/>
  <c r="L14" i="81" s="1"/>
  <c r="G15" i="81"/>
  <c r="K15" i="81" s="1"/>
  <c r="G12" i="81"/>
  <c r="K12" i="81" s="1"/>
  <c r="G11" i="81"/>
  <c r="K11" i="81" s="1"/>
  <c r="L11" i="81" s="1"/>
  <c r="G8" i="81"/>
  <c r="K8" i="81" s="1"/>
  <c r="L8" i="81" s="1"/>
  <c r="G9" i="81"/>
  <c r="K9" i="81" s="1"/>
  <c r="G10" i="81"/>
  <c r="K10" i="81" s="1"/>
  <c r="L10" i="81" s="1"/>
  <c r="J4" i="44"/>
  <c r="J9" i="24"/>
  <c r="J8" i="14"/>
  <c r="G5" i="81"/>
  <c r="K5" i="81" s="1"/>
  <c r="G6" i="81"/>
  <c r="K6" i="81" s="1"/>
  <c r="L6" i="81" s="1"/>
  <c r="G7" i="81"/>
  <c r="K7" i="81" s="1"/>
  <c r="G5" i="79"/>
  <c r="G6" i="79"/>
  <c r="J6" i="79"/>
  <c r="G4" i="25"/>
  <c r="G4" i="24"/>
  <c r="G40" i="95"/>
  <c r="K40" i="95" s="1"/>
  <c r="L40" i="95" s="1"/>
  <c r="G38" i="95"/>
  <c r="K38" i="95" s="1"/>
  <c r="L38" i="95" s="1"/>
  <c r="G39" i="95"/>
  <c r="K39" i="95" s="1"/>
  <c r="L39" i="95" s="1"/>
  <c r="J36" i="14"/>
  <c r="G36" i="14"/>
  <c r="J25" i="41"/>
  <c r="G37" i="25"/>
  <c r="J37" i="25"/>
  <c r="K37" i="25"/>
  <c r="G31" i="14"/>
  <c r="G32" i="14"/>
  <c r="G33" i="14"/>
  <c r="G34" i="14"/>
  <c r="G35" i="14"/>
  <c r="J31" i="14"/>
  <c r="J32" i="14"/>
  <c r="J33" i="14"/>
  <c r="J34" i="14"/>
  <c r="J35" i="14"/>
  <c r="G27" i="95"/>
  <c r="K27" i="95" s="1"/>
  <c r="L27" i="95" s="1"/>
  <c r="H46" i="95"/>
  <c r="F7" i="56" s="1"/>
  <c r="E46" i="95"/>
  <c r="D7" i="56" s="1"/>
  <c r="J45" i="95"/>
  <c r="G45" i="95"/>
  <c r="K45" i="95" s="1"/>
  <c r="J37" i="95"/>
  <c r="G37" i="95"/>
  <c r="K37" i="95" s="1"/>
  <c r="L37" i="95" s="1"/>
  <c r="J36" i="95"/>
  <c r="G36" i="95"/>
  <c r="K36" i="95" s="1"/>
  <c r="L36" i="95" s="1"/>
  <c r="G35" i="95"/>
  <c r="K35" i="95" s="1"/>
  <c r="L35" i="95" s="1"/>
  <c r="J34" i="95"/>
  <c r="G34" i="95"/>
  <c r="K34" i="95" s="1"/>
  <c r="L34" i="95" s="1"/>
  <c r="J33" i="95"/>
  <c r="G33" i="95"/>
  <c r="K33" i="95" s="1"/>
  <c r="L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J23" i="95"/>
  <c r="G23" i="95"/>
  <c r="K23" i="95" s="1"/>
  <c r="J22" i="95"/>
  <c r="G22" i="95"/>
  <c r="K22" i="95" s="1"/>
  <c r="L22" i="95" s="1"/>
  <c r="J21" i="95"/>
  <c r="G21" i="95"/>
  <c r="K21" i="95" s="1"/>
  <c r="L21" i="95" s="1"/>
  <c r="J20" i="95"/>
  <c r="G20" i="95"/>
  <c r="K20" i="95" s="1"/>
  <c r="L20" i="95" s="1"/>
  <c r="J19" i="95"/>
  <c r="G19" i="95"/>
  <c r="K19" i="95" s="1"/>
  <c r="L19" i="95" s="1"/>
  <c r="J18" i="95"/>
  <c r="G18" i="95"/>
  <c r="K18" i="95" s="1"/>
  <c r="L18" i="95" s="1"/>
  <c r="J17" i="95"/>
  <c r="G17" i="95"/>
  <c r="K17" i="95" s="1"/>
  <c r="L17" i="95" s="1"/>
  <c r="J16" i="95"/>
  <c r="G16" i="95"/>
  <c r="K16" i="95" s="1"/>
  <c r="L16" i="95" s="1"/>
  <c r="J15" i="95"/>
  <c r="G15" i="95"/>
  <c r="K15" i="95" s="1"/>
  <c r="L15" i="95" s="1"/>
  <c r="J14" i="95"/>
  <c r="G14" i="95"/>
  <c r="K14" i="95" s="1"/>
  <c r="L14" i="95" s="1"/>
  <c r="J13" i="95"/>
  <c r="G13" i="95"/>
  <c r="K13" i="95" s="1"/>
  <c r="L13" i="95" s="1"/>
  <c r="J12" i="95"/>
  <c r="G12" i="95"/>
  <c r="K12" i="95" s="1"/>
  <c r="L12" i="95" s="1"/>
  <c r="J11" i="95"/>
  <c r="G11" i="95"/>
  <c r="K11" i="95" s="1"/>
  <c r="L11" i="95" s="1"/>
  <c r="J10" i="95"/>
  <c r="G10" i="95"/>
  <c r="K10" i="95" s="1"/>
  <c r="L10" i="95" s="1"/>
  <c r="J9" i="95"/>
  <c r="G9" i="95"/>
  <c r="K9" i="95" s="1"/>
  <c r="L9" i="95" s="1"/>
  <c r="J8" i="95"/>
  <c r="G8" i="95"/>
  <c r="K8" i="95" s="1"/>
  <c r="L8" i="95" s="1"/>
  <c r="J7" i="95"/>
  <c r="G7" i="95"/>
  <c r="K7" i="95" s="1"/>
  <c r="L7" i="95" s="1"/>
  <c r="J6" i="95"/>
  <c r="G6" i="95"/>
  <c r="K6" i="95" s="1"/>
  <c r="L6" i="95" s="1"/>
  <c r="J5" i="95"/>
  <c r="J46" i="95" s="1"/>
  <c r="G7" i="56" s="1"/>
  <c r="G5" i="95"/>
  <c r="K5" i="95" s="1"/>
  <c r="L5" i="95" s="1"/>
  <c r="G4" i="95"/>
  <c r="J30" i="14"/>
  <c r="G30" i="14"/>
  <c r="G29" i="14"/>
  <c r="J29" i="14"/>
  <c r="K29" i="14"/>
  <c r="U22" i="76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8" i="14"/>
  <c r="G28" i="14"/>
  <c r="G21" i="85"/>
  <c r="G21" i="3"/>
  <c r="K24" i="14"/>
  <c r="K18" i="14"/>
  <c r="K20" i="14"/>
  <c r="I10" i="56"/>
  <c r="G16" i="41"/>
  <c r="J16" i="41"/>
  <c r="K16" i="41" s="1"/>
  <c r="J14" i="41"/>
  <c r="G14" i="41"/>
  <c r="K14" i="41" s="1"/>
  <c r="J22" i="76"/>
  <c r="K15" i="14"/>
  <c r="K14" i="14"/>
  <c r="G14" i="68"/>
  <c r="J11" i="50"/>
  <c r="J12" i="50"/>
  <c r="J13" i="50"/>
  <c r="G12" i="14"/>
  <c r="H36" i="93"/>
  <c r="F10" i="56" s="1"/>
  <c r="E36" i="93"/>
  <c r="D10" i="56" s="1"/>
  <c r="J35" i="93"/>
  <c r="G35" i="93"/>
  <c r="K35" i="93" s="1"/>
  <c r="J34" i="93"/>
  <c r="G34" i="93"/>
  <c r="K34" i="93" s="1"/>
  <c r="J33" i="93"/>
  <c r="G33" i="93"/>
  <c r="K33" i="93" s="1"/>
  <c r="J32" i="93"/>
  <c r="G32" i="93"/>
  <c r="K32" i="93" s="1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6" i="93" s="1"/>
  <c r="G10" i="56" s="1"/>
  <c r="G4" i="93"/>
  <c r="J9" i="50"/>
  <c r="J10" i="50"/>
  <c r="J11" i="80"/>
  <c r="G11" i="80"/>
  <c r="K11" i="80" s="1"/>
  <c r="G11" i="14"/>
  <c r="J9" i="35"/>
  <c r="G10" i="14"/>
  <c r="G5" i="14"/>
  <c r="G6" i="14"/>
  <c r="G8" i="14"/>
  <c r="G9" i="14"/>
  <c r="J7" i="50"/>
  <c r="J8" i="50"/>
  <c r="G8" i="5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G13" i="69"/>
  <c r="G14" i="69"/>
  <c r="G15" i="69"/>
  <c r="G16" i="69"/>
  <c r="G17" i="69"/>
  <c r="G18" i="69"/>
  <c r="G20" i="69"/>
  <c r="G21" i="69"/>
  <c r="G22" i="69"/>
  <c r="G23" i="69"/>
  <c r="G24" i="69"/>
  <c r="G25" i="69"/>
  <c r="G26" i="69"/>
  <c r="G27" i="69"/>
  <c r="G28" i="69"/>
  <c r="G29" i="69"/>
  <c r="G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9" i="9"/>
  <c r="J9" i="9"/>
  <c r="G10" i="9"/>
  <c r="J10" i="9"/>
  <c r="J11" i="9"/>
  <c r="G12" i="9"/>
  <c r="J12" i="9"/>
  <c r="G13" i="9"/>
  <c r="J13" i="9"/>
  <c r="G14" i="9"/>
  <c r="J14" i="9"/>
  <c r="J15" i="9"/>
  <c r="J16" i="9"/>
  <c r="G17" i="9"/>
  <c r="J17" i="9"/>
  <c r="G18" i="9"/>
  <c r="J18" i="9"/>
  <c r="G19" i="9"/>
  <c r="J19" i="9"/>
  <c r="J20" i="9"/>
  <c r="J21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2" i="26"/>
  <c r="G23" i="26"/>
  <c r="G24" i="26"/>
  <c r="G25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G19" i="41"/>
  <c r="G20" i="41"/>
  <c r="G21" i="41"/>
  <c r="G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3" i="76"/>
  <c r="J33" i="76"/>
  <c r="G34" i="76"/>
  <c r="J34" i="76"/>
  <c r="G35" i="76"/>
  <c r="J35" i="76"/>
  <c r="J5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J10" i="75"/>
  <c r="G11" i="75"/>
  <c r="J11" i="75"/>
  <c r="G12" i="75"/>
  <c r="J12" i="75"/>
  <c r="G13" i="75"/>
  <c r="J13" i="75"/>
  <c r="G14" i="75"/>
  <c r="J14" i="75"/>
  <c r="G15" i="75"/>
  <c r="G16" i="75"/>
  <c r="J16" i="75"/>
  <c r="G17" i="75"/>
  <c r="J17" i="75"/>
  <c r="G18" i="75"/>
  <c r="J18" i="75"/>
  <c r="G19" i="75"/>
  <c r="G20" i="75"/>
  <c r="J21" i="75"/>
  <c r="J22" i="75"/>
  <c r="G27" i="75"/>
  <c r="G28" i="75"/>
  <c r="J28" i="75"/>
  <c r="G29" i="75"/>
  <c r="J29" i="75"/>
  <c r="G30" i="75"/>
  <c r="J30" i="75"/>
  <c r="G32" i="75"/>
  <c r="J32" i="75"/>
  <c r="G33" i="75"/>
  <c r="J33" i="75"/>
  <c r="G34" i="75"/>
  <c r="J34" i="75"/>
  <c r="J5" i="85"/>
  <c r="K5" i="85"/>
  <c r="G6" i="85"/>
  <c r="J6" i="85"/>
  <c r="K6" i="85"/>
  <c r="G7" i="85"/>
  <c r="J7" i="85"/>
  <c r="K7" i="85"/>
  <c r="G8" i="85"/>
  <c r="K8" i="85"/>
  <c r="G9" i="85"/>
  <c r="K9" i="85"/>
  <c r="G10" i="85"/>
  <c r="K10" i="85"/>
  <c r="G11" i="85"/>
  <c r="K11" i="85"/>
  <c r="K12" i="85"/>
  <c r="G13" i="85"/>
  <c r="K13" i="85"/>
  <c r="G14" i="85"/>
  <c r="K14" i="85"/>
  <c r="G15" i="85"/>
  <c r="K15" i="85"/>
  <c r="G16" i="85"/>
  <c r="K16" i="85"/>
  <c r="G17" i="85"/>
  <c r="J17" i="85"/>
  <c r="K17" i="85"/>
  <c r="L17" i="85" s="1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6" i="25"/>
  <c r="G7" i="25"/>
  <c r="G8" i="25"/>
  <c r="G9" i="25"/>
  <c r="G11" i="25"/>
  <c r="G12" i="25"/>
  <c r="G13" i="25"/>
  <c r="G14" i="25"/>
  <c r="G16" i="25"/>
  <c r="G17" i="25"/>
  <c r="G18" i="25"/>
  <c r="G19" i="25"/>
  <c r="G20" i="25"/>
  <c r="G21" i="25"/>
  <c r="G23" i="25"/>
  <c r="G24" i="25"/>
  <c r="G25" i="25"/>
  <c r="G26" i="25"/>
  <c r="G27" i="25"/>
  <c r="G28" i="25"/>
  <c r="G29" i="25"/>
  <c r="G30" i="25"/>
  <c r="G31" i="25"/>
  <c r="G32" i="25"/>
  <c r="G33" i="25"/>
  <c r="G35" i="25"/>
  <c r="G36" i="25"/>
  <c r="G38" i="25"/>
  <c r="G39" i="25"/>
  <c r="G40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2" i="11"/>
  <c r="J22" i="11"/>
  <c r="G23" i="11"/>
  <c r="J23" i="11"/>
  <c r="G24" i="11"/>
  <c r="J24" i="11"/>
  <c r="G25" i="11"/>
  <c r="J25" i="11"/>
  <c r="G26" i="11"/>
  <c r="J26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J16" i="80"/>
  <c r="J18" i="80"/>
  <c r="J19" i="80"/>
  <c r="J20" i="80"/>
  <c r="J21" i="80"/>
  <c r="J22" i="80"/>
  <c r="J24" i="80"/>
  <c r="J25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1" i="24"/>
  <c r="J22" i="24"/>
  <c r="J23" i="24"/>
  <c r="J24" i="24"/>
  <c r="J25" i="24"/>
  <c r="J26" i="24"/>
  <c r="J27" i="24"/>
  <c r="J28" i="24"/>
  <c r="G29" i="24"/>
  <c r="J29" i="24"/>
  <c r="J30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6" i="73"/>
  <c r="J26" i="73"/>
  <c r="G27" i="73"/>
  <c r="J27" i="73"/>
  <c r="G28" i="73"/>
  <c r="J28" i="73"/>
  <c r="G29" i="73"/>
  <c r="J29" i="73"/>
  <c r="G30" i="73"/>
  <c r="J30" i="73"/>
  <c r="J31" i="73"/>
  <c r="G5" i="68"/>
  <c r="J5" i="68"/>
  <c r="K5" i="68"/>
  <c r="G6" i="68"/>
  <c r="J6" i="68"/>
  <c r="K6" i="68"/>
  <c r="G7" i="68"/>
  <c r="J7" i="68"/>
  <c r="K7" i="68"/>
  <c r="G8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16" i="68"/>
  <c r="J16" i="68"/>
  <c r="K16" i="68"/>
  <c r="G17" i="68"/>
  <c r="J17" i="68"/>
  <c r="K17" i="68"/>
  <c r="G18" i="68"/>
  <c r="J18" i="68"/>
  <c r="K18" i="68"/>
  <c r="G19" i="68"/>
  <c r="J19" i="68"/>
  <c r="K19" i="68"/>
  <c r="G20" i="68"/>
  <c r="J20" i="68"/>
  <c r="K20" i="68"/>
  <c r="G21" i="68"/>
  <c r="J21" i="68"/>
  <c r="K21" i="68"/>
  <c r="G22" i="68"/>
  <c r="J22" i="68"/>
  <c r="K22" i="68"/>
  <c r="G23" i="68"/>
  <c r="J23" i="68"/>
  <c r="K23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G35" i="68"/>
  <c r="J35" i="68"/>
  <c r="K35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J8" i="16"/>
  <c r="K8" i="16"/>
  <c r="J9" i="16"/>
  <c r="K9" i="16"/>
  <c r="J10" i="16"/>
  <c r="K10" i="16"/>
  <c r="J11" i="16"/>
  <c r="K11" i="16"/>
  <c r="J12" i="16"/>
  <c r="K12" i="16"/>
  <c r="J13" i="16"/>
  <c r="K13" i="16"/>
  <c r="J14" i="16"/>
  <c r="K14" i="16"/>
  <c r="J15" i="16"/>
  <c r="K15" i="16"/>
  <c r="J16" i="16"/>
  <c r="K16" i="16"/>
  <c r="J17" i="16"/>
  <c r="K17" i="16"/>
  <c r="J18" i="16"/>
  <c r="K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J25" i="16"/>
  <c r="K25" i="16"/>
  <c r="J26" i="16"/>
  <c r="K26" i="16"/>
  <c r="J27" i="16"/>
  <c r="K27" i="16"/>
  <c r="J28" i="16"/>
  <c r="K28" i="16"/>
  <c r="J29" i="16"/>
  <c r="K29" i="16"/>
  <c r="J30" i="16"/>
  <c r="K30" i="16"/>
  <c r="J31" i="16"/>
  <c r="J32" i="16"/>
  <c r="K32" i="16"/>
  <c r="J33" i="16"/>
  <c r="K33" i="16"/>
  <c r="J34" i="16"/>
  <c r="K34" i="16"/>
  <c r="G35" i="16"/>
  <c r="J35" i="16"/>
  <c r="K35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10" i="62"/>
  <c r="G11" i="62"/>
  <c r="G12" i="62"/>
  <c r="G13" i="62"/>
  <c r="G14" i="62"/>
  <c r="G15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5" i="89"/>
  <c r="J5" i="89"/>
  <c r="K5" i="89"/>
  <c r="G6" i="89"/>
  <c r="J6" i="89"/>
  <c r="K6" i="89"/>
  <c r="G7" i="89"/>
  <c r="J7" i="89"/>
  <c r="K7" i="89"/>
  <c r="G8" i="89"/>
  <c r="J8" i="89"/>
  <c r="K8" i="89"/>
  <c r="G9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9" i="78"/>
  <c r="J30" i="78"/>
  <c r="J31" i="78"/>
  <c r="J32" i="78"/>
  <c r="G5" i="82"/>
  <c r="J5" i="82"/>
  <c r="K5" i="82"/>
  <c r="G6" i="82"/>
  <c r="J6" i="82"/>
  <c r="K6" i="82"/>
  <c r="G7" i="82"/>
  <c r="J7" i="82"/>
  <c r="K7" i="82"/>
  <c r="G8" i="82"/>
  <c r="J8" i="82"/>
  <c r="K8" i="82"/>
  <c r="G9" i="82"/>
  <c r="J9" i="82"/>
  <c r="K9" i="82"/>
  <c r="G10" i="82"/>
  <c r="J10" i="82"/>
  <c r="K10" i="82"/>
  <c r="G11" i="82"/>
  <c r="J11" i="82"/>
  <c r="K11" i="82"/>
  <c r="G12" i="82"/>
  <c r="J12" i="82"/>
  <c r="K12" i="82"/>
  <c r="G13" i="82"/>
  <c r="J13" i="82"/>
  <c r="K13" i="82"/>
  <c r="G14" i="82"/>
  <c r="J14" i="82"/>
  <c r="K14" i="82"/>
  <c r="G15" i="82"/>
  <c r="J15" i="82"/>
  <c r="K15" i="82"/>
  <c r="G16" i="82"/>
  <c r="J16" i="82"/>
  <c r="K16" i="82"/>
  <c r="G17" i="82"/>
  <c r="J17" i="82"/>
  <c r="K17" i="82"/>
  <c r="G18" i="82"/>
  <c r="J18" i="82"/>
  <c r="K18" i="82"/>
  <c r="G19" i="82"/>
  <c r="J19" i="82"/>
  <c r="K19" i="82"/>
  <c r="G20" i="82"/>
  <c r="J20" i="82"/>
  <c r="K20" i="82"/>
  <c r="G21" i="82"/>
  <c r="J21" i="82"/>
  <c r="K21" i="82"/>
  <c r="G22" i="82"/>
  <c r="J22" i="82"/>
  <c r="K22" i="82"/>
  <c r="G23" i="82"/>
  <c r="J23" i="82"/>
  <c r="K23" i="82"/>
  <c r="G24" i="82"/>
  <c r="J24" i="82"/>
  <c r="K24" i="82"/>
  <c r="G25" i="82"/>
  <c r="J25" i="82"/>
  <c r="K25" i="82"/>
  <c r="G26" i="82"/>
  <c r="J26" i="82"/>
  <c r="K26" i="82"/>
  <c r="G27" i="82"/>
  <c r="J27" i="82"/>
  <c r="K27" i="82"/>
  <c r="G28" i="82"/>
  <c r="J28" i="82"/>
  <c r="K28" i="82"/>
  <c r="G29" i="82"/>
  <c r="J29" i="82"/>
  <c r="K29" i="82"/>
  <c r="G30" i="82"/>
  <c r="J30" i="82"/>
  <c r="K30" i="82"/>
  <c r="G31" i="82"/>
  <c r="J31" i="82"/>
  <c r="K31" i="82"/>
  <c r="G32" i="82"/>
  <c r="J32" i="82"/>
  <c r="K32" i="82"/>
  <c r="G33" i="82"/>
  <c r="J33" i="82"/>
  <c r="K33" i="82"/>
  <c r="G34" i="82"/>
  <c r="J34" i="82"/>
  <c r="K34" i="82"/>
  <c r="J6" i="47"/>
  <c r="K6" i="47"/>
  <c r="G7" i="47"/>
  <c r="J7" i="47"/>
  <c r="K7" i="47"/>
  <c r="G8" i="47"/>
  <c r="J8" i="47"/>
  <c r="K8" i="47"/>
  <c r="G9" i="47"/>
  <c r="J9" i="47"/>
  <c r="J16" i="47"/>
  <c r="J17" i="47"/>
  <c r="J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36" i="47"/>
  <c r="J36" i="47"/>
  <c r="K36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 s="1"/>
  <c r="G17" i="50"/>
  <c r="K17" i="50" s="1"/>
  <c r="G18" i="50"/>
  <c r="K18" i="50" s="1"/>
  <c r="G19" i="50"/>
  <c r="K19" i="50" s="1"/>
  <c r="G20" i="50"/>
  <c r="K20" i="50" s="1"/>
  <c r="G21" i="50"/>
  <c r="K21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K95" i="44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K81" i="44" s="1"/>
  <c r="G79" i="44"/>
  <c r="G80" i="44"/>
  <c r="K80" i="44" s="1"/>
  <c r="J79" i="44"/>
  <c r="J76" i="44"/>
  <c r="K76" i="44" s="1"/>
  <c r="J77" i="44"/>
  <c r="K77" i="44" s="1"/>
  <c r="J78" i="44"/>
  <c r="K78" i="44" s="1"/>
  <c r="J74" i="44"/>
  <c r="K74" i="44" s="1"/>
  <c r="J75" i="44"/>
  <c r="K75" i="44" s="1"/>
  <c r="H43" i="51"/>
  <c r="E35" i="24"/>
  <c r="K15" i="69"/>
  <c r="E50" i="69"/>
  <c r="J31" i="62"/>
  <c r="K31" i="62"/>
  <c r="J30" i="71"/>
  <c r="K30" i="71" s="1"/>
  <c r="L30" i="71" s="1"/>
  <c r="I9" i="56"/>
  <c r="H35" i="89"/>
  <c r="F9" i="56" s="1"/>
  <c r="E35" i="89"/>
  <c r="D9" i="56" s="1"/>
  <c r="J4" i="89"/>
  <c r="G4" i="89"/>
  <c r="K4" i="89" s="1"/>
  <c r="K15" i="75"/>
  <c r="J7" i="33"/>
  <c r="J6" i="33"/>
  <c r="J8" i="26"/>
  <c r="J9" i="26"/>
  <c r="G6" i="83"/>
  <c r="G6" i="71"/>
  <c r="G4" i="35"/>
  <c r="I48" i="56"/>
  <c r="I37" i="56"/>
  <c r="J4" i="57"/>
  <c r="G11" i="40"/>
  <c r="G12" i="40"/>
  <c r="G13" i="40"/>
  <c r="G14" i="40"/>
  <c r="G8" i="62"/>
  <c r="G9" i="7"/>
  <c r="G10" i="7"/>
  <c r="G11" i="7"/>
  <c r="G12" i="7"/>
  <c r="G13" i="7"/>
  <c r="G14" i="7"/>
  <c r="G15" i="7"/>
  <c r="G16" i="7"/>
  <c r="G17" i="7"/>
  <c r="G18" i="7"/>
  <c r="K22" i="9"/>
  <c r="K10" i="9"/>
  <c r="K11" i="9"/>
  <c r="K9" i="9"/>
  <c r="H56" i="85"/>
  <c r="F38" i="56" s="1"/>
  <c r="E56" i="85"/>
  <c r="D38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8" i="56" s="1"/>
  <c r="J4" i="85"/>
  <c r="J56" i="85" s="1"/>
  <c r="G38" i="56" s="1"/>
  <c r="G4" i="85"/>
  <c r="I38" i="56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6" i="62"/>
  <c r="J6" i="62"/>
  <c r="K6" i="62"/>
  <c r="G7" i="62"/>
  <c r="J7" i="62"/>
  <c r="K7" i="62"/>
  <c r="J8" i="62"/>
  <c r="K8" i="62"/>
  <c r="J9" i="62"/>
  <c r="J10" i="62"/>
  <c r="K10" i="62"/>
  <c r="J11" i="62"/>
  <c r="K11" i="62"/>
  <c r="J12" i="62"/>
  <c r="K12" i="62"/>
  <c r="J13" i="62"/>
  <c r="K13" i="62"/>
  <c r="J14" i="62"/>
  <c r="K14" i="62"/>
  <c r="J15" i="62"/>
  <c r="K15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0" i="62"/>
  <c r="K30" i="62"/>
  <c r="J32" i="62"/>
  <c r="K32" i="62"/>
  <c r="J33" i="62"/>
  <c r="K33" i="62"/>
  <c r="J34" i="62"/>
  <c r="K34" i="62"/>
  <c r="J35" i="62"/>
  <c r="K35" i="62"/>
  <c r="J36" i="62"/>
  <c r="K36" i="62"/>
  <c r="G33" i="58"/>
  <c r="J5" i="47"/>
  <c r="J33" i="78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" i="56"/>
  <c r="I45" i="56"/>
  <c r="L35" i="83"/>
  <c r="J45" i="56" s="1"/>
  <c r="H35" i="83"/>
  <c r="F45" i="56" s="1"/>
  <c r="E35" i="83"/>
  <c r="D45" i="56" s="1"/>
  <c r="J34" i="83"/>
  <c r="G34" i="83"/>
  <c r="K34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K21" i="83"/>
  <c r="K20" i="83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K7" i="83"/>
  <c r="J6" i="83"/>
  <c r="K6" i="83" s="1"/>
  <c r="J5" i="83"/>
  <c r="G5" i="83"/>
  <c r="K5" i="83" s="1"/>
  <c r="J4" i="83"/>
  <c r="J35" i="83" s="1"/>
  <c r="G45" i="56" s="1"/>
  <c r="G4" i="83"/>
  <c r="L35" i="82"/>
  <c r="J4" i="56" s="1"/>
  <c r="H35" i="82"/>
  <c r="F4" i="56" s="1"/>
  <c r="E35" i="82"/>
  <c r="D4" i="56" s="1"/>
  <c r="J4" i="82"/>
  <c r="J35" i="82" s="1"/>
  <c r="G4" i="56" s="1"/>
  <c r="G4" i="82"/>
  <c r="J13" i="25"/>
  <c r="J14" i="25"/>
  <c r="J16" i="25"/>
  <c r="J17" i="25"/>
  <c r="I56" i="56"/>
  <c r="M58" i="81"/>
  <c r="H47" i="81"/>
  <c r="F56" i="56" s="1"/>
  <c r="E47" i="81"/>
  <c r="D56" i="56" s="1"/>
  <c r="J46" i="81"/>
  <c r="G46" i="81"/>
  <c r="K46" i="81" s="1"/>
  <c r="J4" i="81"/>
  <c r="J47" i="81" s="1"/>
  <c r="G56" i="56" s="1"/>
  <c r="G4" i="81"/>
  <c r="I31" i="56"/>
  <c r="I41" i="56"/>
  <c r="L40" i="80"/>
  <c r="J31" i="56" s="1"/>
  <c r="F31" i="56"/>
  <c r="E40" i="80"/>
  <c r="D31" i="56" s="1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15" i="80"/>
  <c r="K14" i="80"/>
  <c r="K13" i="80"/>
  <c r="K12" i="80"/>
  <c r="K10" i="80"/>
  <c r="K9" i="80"/>
  <c r="K8" i="80"/>
  <c r="K6" i="80"/>
  <c r="K5" i="80"/>
  <c r="J40" i="80"/>
  <c r="G31" i="56" s="1"/>
  <c r="L35" i="79"/>
  <c r="J41" i="56" s="1"/>
  <c r="F41" i="56"/>
  <c r="E35" i="79"/>
  <c r="D41" i="56" s="1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41" i="56" s="1"/>
  <c r="G4" i="79"/>
  <c r="J7" i="25"/>
  <c r="J8" i="25"/>
  <c r="J9" i="25"/>
  <c r="J11" i="25"/>
  <c r="J12" i="25"/>
  <c r="J18" i="25"/>
  <c r="J19" i="25"/>
  <c r="J20" i="25"/>
  <c r="J21" i="25"/>
  <c r="J23" i="25"/>
  <c r="J24" i="25"/>
  <c r="J25" i="25"/>
  <c r="J26" i="25"/>
  <c r="J27" i="25"/>
  <c r="J28" i="25"/>
  <c r="J29" i="25"/>
  <c r="J30" i="25"/>
  <c r="J31" i="25"/>
  <c r="J32" i="25"/>
  <c r="J33" i="25"/>
  <c r="J35" i="25"/>
  <c r="J36" i="25"/>
  <c r="J38" i="25"/>
  <c r="J39" i="25"/>
  <c r="J40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J5" i="51"/>
  <c r="K5" i="51"/>
  <c r="J6" i="51"/>
  <c r="K6" i="51"/>
  <c r="J7" i="51"/>
  <c r="K7" i="51"/>
  <c r="J8" i="51"/>
  <c r="K8" i="51"/>
  <c r="J9" i="51"/>
  <c r="K9" i="51"/>
  <c r="J10" i="51"/>
  <c r="K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18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7" i="62"/>
  <c r="G34" i="10"/>
  <c r="J34" i="10"/>
  <c r="G4" i="75"/>
  <c r="J35" i="73"/>
  <c r="G35" i="73"/>
  <c r="K35" i="73" s="1"/>
  <c r="L35" i="73" s="1"/>
  <c r="K34" i="24"/>
  <c r="K34" i="60"/>
  <c r="G34" i="63"/>
  <c r="K34" i="63" s="1"/>
  <c r="E35" i="74"/>
  <c r="K33" i="74"/>
  <c r="L33" i="74" s="1"/>
  <c r="K34" i="74"/>
  <c r="L34" i="74" s="1"/>
  <c r="I8" i="56"/>
  <c r="G32" i="78"/>
  <c r="K32" i="78"/>
  <c r="G33" i="78"/>
  <c r="K33" i="78"/>
  <c r="G34" i="78"/>
  <c r="J34" i="78"/>
  <c r="K34" i="78"/>
  <c r="H35" i="78"/>
  <c r="F8" i="56" s="1"/>
  <c r="E35" i="78"/>
  <c r="D8" i="56" s="1"/>
  <c r="G31" i="78"/>
  <c r="K31" i="78" s="1"/>
  <c r="G30" i="78"/>
  <c r="K30" i="78" s="1"/>
  <c r="G29" i="78"/>
  <c r="K29" i="78" s="1"/>
  <c r="G28" i="78"/>
  <c r="K28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8" i="56" s="1"/>
  <c r="G14" i="78"/>
  <c r="K14" i="78" s="1"/>
  <c r="G13" i="78"/>
  <c r="K13" i="78" s="1"/>
  <c r="G12" i="78"/>
  <c r="K12" i="78" s="1"/>
  <c r="G11" i="78"/>
  <c r="K11" i="78" s="1"/>
  <c r="G10" i="78"/>
  <c r="K10" i="78" s="1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K33" i="14"/>
  <c r="J6" i="14"/>
  <c r="K27" i="14"/>
  <c r="I42" i="56"/>
  <c r="L37" i="76"/>
  <c r="J42" i="56" s="1"/>
  <c r="F42" i="56"/>
  <c r="D42" i="56"/>
  <c r="K35" i="76"/>
  <c r="K34" i="76"/>
  <c r="K33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40" i="56"/>
  <c r="E35" i="57"/>
  <c r="L35" i="9"/>
  <c r="E35" i="60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H42" i="75"/>
  <c r="F40" i="56" s="1"/>
  <c r="E42" i="75"/>
  <c r="D40" i="56" s="1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K33" i="75"/>
  <c r="K32" i="75"/>
  <c r="K30" i="75"/>
  <c r="K29" i="75"/>
  <c r="I45" i="75" s="1"/>
  <c r="K28" i="75"/>
  <c r="K27" i="75"/>
  <c r="K24" i="75"/>
  <c r="K22" i="75"/>
  <c r="K21" i="75"/>
  <c r="K20" i="75"/>
  <c r="K19" i="75"/>
  <c r="K18" i="75"/>
  <c r="K17" i="75"/>
  <c r="K16" i="75"/>
  <c r="K14" i="75"/>
  <c r="K13" i="75"/>
  <c r="K12" i="75"/>
  <c r="K11" i="75"/>
  <c r="K10" i="75"/>
  <c r="K9" i="75"/>
  <c r="K8" i="75"/>
  <c r="K7" i="75"/>
  <c r="K6" i="75"/>
  <c r="J4" i="75"/>
  <c r="I29" i="56"/>
  <c r="J4" i="25"/>
  <c r="K4" i="68"/>
  <c r="I27" i="56"/>
  <c r="H35" i="74"/>
  <c r="F29" i="56" s="1"/>
  <c r="D29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9" i="56" s="1"/>
  <c r="G4" i="74"/>
  <c r="M3" i="74"/>
  <c r="H36" i="73"/>
  <c r="F27" i="56" s="1"/>
  <c r="E36" i="73"/>
  <c r="D27" i="56" s="1"/>
  <c r="K34" i="73"/>
  <c r="L34" i="73" s="1"/>
  <c r="K33" i="73"/>
  <c r="L33" i="73" s="1"/>
  <c r="K32" i="73"/>
  <c r="L32" i="73" s="1"/>
  <c r="K31" i="73"/>
  <c r="L31" i="73" s="1"/>
  <c r="K30" i="73"/>
  <c r="L30" i="73" s="1"/>
  <c r="K29" i="73"/>
  <c r="L29" i="73" s="1"/>
  <c r="K28" i="73"/>
  <c r="L28" i="73" s="1"/>
  <c r="K27" i="73"/>
  <c r="L27" i="73" s="1"/>
  <c r="K26" i="73"/>
  <c r="L26" i="73" s="1"/>
  <c r="K25" i="73"/>
  <c r="L25" i="73" s="1"/>
  <c r="K24" i="73"/>
  <c r="L24" i="73" s="1"/>
  <c r="K22" i="73"/>
  <c r="L22" i="73" s="1"/>
  <c r="K21" i="73"/>
  <c r="L21" i="73" s="1"/>
  <c r="K20" i="73"/>
  <c r="L20" i="73" s="1"/>
  <c r="K19" i="73"/>
  <c r="L19" i="73" s="1"/>
  <c r="K18" i="73"/>
  <c r="L18" i="73" s="1"/>
  <c r="K17" i="73"/>
  <c r="L17" i="73" s="1"/>
  <c r="K16" i="73"/>
  <c r="L16" i="73" s="1"/>
  <c r="K15" i="73"/>
  <c r="L15" i="73" s="1"/>
  <c r="K14" i="73"/>
  <c r="L14" i="73" s="1"/>
  <c r="K13" i="73"/>
  <c r="L13" i="73" s="1"/>
  <c r="K12" i="73"/>
  <c r="L12" i="73" s="1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6" i="73" s="1"/>
  <c r="G27" i="56" s="1"/>
  <c r="G4" i="73"/>
  <c r="H35" i="9"/>
  <c r="P18" i="71"/>
  <c r="O13" i="71"/>
  <c r="Q13" i="71" s="1"/>
  <c r="I12" i="56"/>
  <c r="G12" i="56"/>
  <c r="I26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J12" i="7"/>
  <c r="K12" i="7"/>
  <c r="J13" i="7"/>
  <c r="K13" i="7"/>
  <c r="J14" i="7"/>
  <c r="K14" i="7"/>
  <c r="J15" i="7"/>
  <c r="K15" i="7"/>
  <c r="J16" i="7"/>
  <c r="K16" i="7"/>
  <c r="J17" i="7"/>
  <c r="K17" i="7"/>
  <c r="H37" i="71"/>
  <c r="H43" i="35"/>
  <c r="I13" i="56"/>
  <c r="F13" i="56"/>
  <c r="E37" i="71"/>
  <c r="D13" i="56" s="1"/>
  <c r="J36" i="71"/>
  <c r="G36" i="71"/>
  <c r="K36" i="71" s="1"/>
  <c r="L36" i="71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K6" i="71"/>
  <c r="L6" i="71" s="1"/>
  <c r="J4" i="71"/>
  <c r="J37" i="71" s="1"/>
  <c r="G13" i="56" s="1"/>
  <c r="G4" i="71"/>
  <c r="I52" i="56"/>
  <c r="H48" i="26"/>
  <c r="H50" i="69"/>
  <c r="F52" i="56" s="1"/>
  <c r="J49" i="69"/>
  <c r="G49" i="69"/>
  <c r="K49" i="69" s="1"/>
  <c r="J48" i="69"/>
  <c r="G48" i="69"/>
  <c r="K48" i="69" s="1"/>
  <c r="L50" i="69" s="1"/>
  <c r="J52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52" i="56" s="1"/>
  <c r="G4" i="69"/>
  <c r="H38" i="68"/>
  <c r="F26" i="56" s="1"/>
  <c r="E38" i="68"/>
  <c r="D26" i="56" s="1"/>
  <c r="J38" i="68"/>
  <c r="G26" i="56" s="1"/>
  <c r="I30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10" i="14"/>
  <c r="K11" i="14"/>
  <c r="K12" i="14"/>
  <c r="K13" i="14"/>
  <c r="K19" i="14"/>
  <c r="K21" i="14"/>
  <c r="K22" i="14"/>
  <c r="K23" i="14"/>
  <c r="K25" i="14"/>
  <c r="K26" i="14"/>
  <c r="K28" i="14"/>
  <c r="K30" i="14"/>
  <c r="K31" i="14"/>
  <c r="K32" i="14"/>
  <c r="K34" i="14"/>
  <c r="K35" i="14"/>
  <c r="K36" i="14"/>
  <c r="K37" i="14"/>
  <c r="K38" i="14"/>
  <c r="G39" i="14"/>
  <c r="J39" i="14"/>
  <c r="K39" i="14"/>
  <c r="G40" i="14"/>
  <c r="J40" i="14"/>
  <c r="K40" i="14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4" i="19"/>
  <c r="J7" i="19"/>
  <c r="J6" i="25"/>
  <c r="K6" i="25"/>
  <c r="K7" i="25"/>
  <c r="K8" i="25"/>
  <c r="K9" i="25"/>
  <c r="K11" i="25"/>
  <c r="K12" i="25"/>
  <c r="K13" i="25"/>
  <c r="K14" i="25"/>
  <c r="K16" i="25"/>
  <c r="K17" i="25"/>
  <c r="K18" i="25"/>
  <c r="K19" i="25"/>
  <c r="K20" i="25"/>
  <c r="K21" i="25"/>
  <c r="K23" i="25"/>
  <c r="K24" i="25"/>
  <c r="K25" i="25"/>
  <c r="K26" i="25"/>
  <c r="K27" i="25"/>
  <c r="K28" i="25"/>
  <c r="K29" i="25"/>
  <c r="K30" i="25"/>
  <c r="K31" i="25"/>
  <c r="K32" i="25"/>
  <c r="K33" i="25"/>
  <c r="K35" i="25"/>
  <c r="K36" i="25"/>
  <c r="K38" i="25"/>
  <c r="K39" i="25"/>
  <c r="K40" i="25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30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0" i="26"/>
  <c r="K20" i="26"/>
  <c r="J22" i="26"/>
  <c r="K22" i="26"/>
  <c r="J23" i="26"/>
  <c r="K23" i="26"/>
  <c r="J24" i="26"/>
  <c r="K24" i="26"/>
  <c r="J25" i="26"/>
  <c r="K25" i="26"/>
  <c r="J26" i="26"/>
  <c r="K26" i="26"/>
  <c r="J28" i="26"/>
  <c r="K28" i="26"/>
  <c r="J29" i="26"/>
  <c r="K29" i="26"/>
  <c r="J30" i="26"/>
  <c r="K30" i="26"/>
  <c r="J31" i="26"/>
  <c r="K31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K41" i="26" s="1"/>
  <c r="G42" i="26"/>
  <c r="J42" i="26"/>
  <c r="K42" i="26"/>
  <c r="G43" i="26"/>
  <c r="J43" i="26"/>
  <c r="K43" i="26"/>
  <c r="G44" i="26"/>
  <c r="J44" i="26"/>
  <c r="K44" i="26"/>
  <c r="G45" i="26"/>
  <c r="J45" i="26"/>
  <c r="K45" i="26"/>
  <c r="G46" i="26"/>
  <c r="J46" i="26"/>
  <c r="K46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K9" i="14"/>
  <c r="G41" i="14"/>
  <c r="J41" i="14"/>
  <c r="K41" i="14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L34" i="40" s="1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8" i="11"/>
  <c r="K29" i="11"/>
  <c r="K30" i="11"/>
  <c r="K31" i="11"/>
  <c r="K32" i="11"/>
  <c r="K33" i="11"/>
  <c r="K34" i="11"/>
  <c r="K35" i="11"/>
  <c r="K36" i="11"/>
  <c r="G36" i="16"/>
  <c r="J36" i="16"/>
  <c r="K36" i="16"/>
  <c r="K37" i="62"/>
  <c r="G38" i="62"/>
  <c r="J38" i="62"/>
  <c r="K38" i="62"/>
  <c r="G5" i="58"/>
  <c r="J5" i="58"/>
  <c r="K5" i="58"/>
  <c r="L5" i="58"/>
  <c r="G6" i="58"/>
  <c r="J6" i="58"/>
  <c r="K6" i="58"/>
  <c r="L6" i="58"/>
  <c r="G7" i="58"/>
  <c r="J7" i="58"/>
  <c r="K7" i="58"/>
  <c r="L7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J29" i="58"/>
  <c r="K29" i="58"/>
  <c r="L29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9" i="56"/>
  <c r="I28" i="56"/>
  <c r="H35" i="63"/>
  <c r="F28" i="56" s="1"/>
  <c r="E35" i="63"/>
  <c r="D28" i="56" s="1"/>
  <c r="J4" i="63"/>
  <c r="J35" i="63" s="1"/>
  <c r="G28" i="56" s="1"/>
  <c r="G4" i="63"/>
  <c r="I34" i="56"/>
  <c r="L39" i="62"/>
  <c r="J20" i="56" s="1"/>
  <c r="H39" i="62"/>
  <c r="F20" i="56" s="1"/>
  <c r="E39" i="62"/>
  <c r="D20" i="56" s="1"/>
  <c r="J4" i="62"/>
  <c r="J39" i="62" s="1"/>
  <c r="G20" i="56" s="1"/>
  <c r="G4" i="62"/>
  <c r="I20" i="56"/>
  <c r="K5" i="19"/>
  <c r="L5" i="19"/>
  <c r="K6" i="19"/>
  <c r="L6" i="19"/>
  <c r="K7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7" i="11"/>
  <c r="H42" i="41"/>
  <c r="I46" i="56"/>
  <c r="H36" i="12"/>
  <c r="I53" i="56"/>
  <c r="I51" i="56"/>
  <c r="H35" i="60"/>
  <c r="F46" i="56" s="1"/>
  <c r="D46" i="56"/>
  <c r="J4" i="60"/>
  <c r="J35" i="60" s="1"/>
  <c r="G46" i="56" s="1"/>
  <c r="I49" i="56"/>
  <c r="G4" i="52"/>
  <c r="J4" i="47"/>
  <c r="J5" i="14"/>
  <c r="L42" i="41"/>
  <c r="I50" i="56"/>
  <c r="I44" i="56"/>
  <c r="I43" i="56"/>
  <c r="I39" i="56"/>
  <c r="I33" i="56"/>
  <c r="I25" i="56"/>
  <c r="I24" i="56"/>
  <c r="I23" i="56"/>
  <c r="I22" i="56"/>
  <c r="K34" i="19"/>
  <c r="L34" i="19"/>
  <c r="L33" i="57"/>
  <c r="L34" i="57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2" i="56" s="1"/>
  <c r="E35" i="58"/>
  <c r="D12" i="56" s="1"/>
  <c r="J35" i="58"/>
  <c r="H35" i="19"/>
  <c r="E35" i="19"/>
  <c r="E43" i="51"/>
  <c r="F55" i="56"/>
  <c r="D55" i="56"/>
  <c r="F54" i="56"/>
  <c r="D54" i="56"/>
  <c r="D53" i="56"/>
  <c r="E35" i="33"/>
  <c r="D51" i="56" s="1"/>
  <c r="F50" i="56"/>
  <c r="E35" i="9"/>
  <c r="D50" i="56" s="1"/>
  <c r="F49" i="56"/>
  <c r="D49" i="56"/>
  <c r="H35" i="57"/>
  <c r="F48" i="56" s="1"/>
  <c r="D48" i="56"/>
  <c r="J35" i="57"/>
  <c r="G48" i="56" s="1"/>
  <c r="J44" i="56"/>
  <c r="F44" i="56"/>
  <c r="D44" i="56"/>
  <c r="E36" i="12"/>
  <c r="L36" i="12"/>
  <c r="J43" i="56"/>
  <c r="F43" i="56"/>
  <c r="D43" i="56"/>
  <c r="E42" i="14"/>
  <c r="D39" i="56" s="1"/>
  <c r="E41" i="25"/>
  <c r="D37" i="56" s="1"/>
  <c r="E35" i="40"/>
  <c r="D36" i="56" s="1"/>
  <c r="D34" i="56"/>
  <c r="J33" i="56"/>
  <c r="D33" i="56"/>
  <c r="D30" i="56"/>
  <c r="E35" i="3"/>
  <c r="D25" i="56" s="1"/>
  <c r="E35" i="7"/>
  <c r="D24" i="56" s="1"/>
  <c r="E37" i="16"/>
  <c r="D23" i="56" s="1"/>
  <c r="L37" i="16"/>
  <c r="E35" i="52"/>
  <c r="D22" i="56" s="1"/>
  <c r="J50" i="56"/>
  <c r="L37" i="11"/>
  <c r="H37" i="11"/>
  <c r="F34" i="56" s="1"/>
  <c r="F33" i="56"/>
  <c r="H35" i="3"/>
  <c r="F25" i="56" s="1"/>
  <c r="L35" i="3"/>
  <c r="J25" i="56" s="1"/>
  <c r="H35" i="7"/>
  <c r="F24" i="56" s="1"/>
  <c r="I3" i="56"/>
  <c r="I2" i="56"/>
  <c r="L38" i="50"/>
  <c r="J2" i="56" s="1"/>
  <c r="H38" i="50"/>
  <c r="F2" i="56" s="1"/>
  <c r="E38" i="50"/>
  <c r="D2" i="56" s="1"/>
  <c r="F53" i="56"/>
  <c r="L42" i="14"/>
  <c r="J39" i="56" s="1"/>
  <c r="H42" i="14"/>
  <c r="F39" i="56" s="1"/>
  <c r="H41" i="25"/>
  <c r="F37" i="56" s="1"/>
  <c r="J35" i="40"/>
  <c r="G36" i="56" s="1"/>
  <c r="H35" i="40"/>
  <c r="F36" i="56" s="1"/>
  <c r="F30" i="56"/>
  <c r="K38" i="16"/>
  <c r="L35" i="52"/>
  <c r="J22" i="56" s="1"/>
  <c r="H35" i="52"/>
  <c r="F22" i="56" s="1"/>
  <c r="D3" i="56"/>
  <c r="L38" i="47"/>
  <c r="J3" i="56" s="1"/>
  <c r="H38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J47" i="26"/>
  <c r="J4" i="41"/>
  <c r="J42" i="51"/>
  <c r="K42" i="51"/>
  <c r="L42" i="51" s="1"/>
  <c r="J4" i="51"/>
  <c r="G47" i="26"/>
  <c r="K47" i="26"/>
  <c r="G34" i="7"/>
  <c r="J34" i="7"/>
  <c r="K34" i="7"/>
  <c r="G4" i="47"/>
  <c r="G4" i="40"/>
  <c r="J35" i="24"/>
  <c r="G30" i="56" s="1"/>
  <c r="G4" i="12"/>
  <c r="G36" i="12" s="1"/>
  <c r="E43" i="56" s="1"/>
  <c r="H37" i="16"/>
  <c r="F23" i="56" s="1"/>
  <c r="M3" i="40"/>
  <c r="J42" i="35"/>
  <c r="G42" i="35"/>
  <c r="K42" i="35" s="1"/>
  <c r="J4" i="35"/>
  <c r="H35" i="33"/>
  <c r="F51" i="56" s="1"/>
  <c r="J4" i="33"/>
  <c r="J35" i="33" s="1"/>
  <c r="G51" i="56" s="1"/>
  <c r="G4" i="33"/>
  <c r="J4" i="10"/>
  <c r="J35" i="10" s="1"/>
  <c r="L35" i="7"/>
  <c r="J24" i="56" s="1"/>
  <c r="J4" i="26"/>
  <c r="J4" i="9"/>
  <c r="G4" i="7"/>
  <c r="G4" i="19"/>
  <c r="G35" i="19" s="1"/>
  <c r="E55" i="56" s="1"/>
  <c r="J4" i="19"/>
  <c r="K4" i="19"/>
  <c r="J4" i="16"/>
  <c r="G4" i="16"/>
  <c r="K4" i="16" s="1"/>
  <c r="J4" i="14"/>
  <c r="G4" i="14"/>
  <c r="K4" i="14"/>
  <c r="J4" i="7"/>
  <c r="J35" i="7" s="1"/>
  <c r="G24" i="56" s="1"/>
  <c r="J4" i="12"/>
  <c r="G4" i="11"/>
  <c r="J4" i="11"/>
  <c r="J37" i="11" s="1"/>
  <c r="G34" i="56" s="1"/>
  <c r="K4" i="11"/>
  <c r="M4" i="11" s="1"/>
  <c r="M5" i="11" s="1"/>
  <c r="G4" i="10"/>
  <c r="G35" i="10" s="1"/>
  <c r="J4" i="3"/>
  <c r="J35" i="3" s="1"/>
  <c r="G25" i="56" s="1"/>
  <c r="G4" i="3"/>
  <c r="G35" i="3" s="1"/>
  <c r="E25" i="56" s="1"/>
  <c r="M40" i="45" l="1"/>
  <c r="M41" i="45" s="1"/>
  <c r="M42" i="45" s="1"/>
  <c r="M43" i="45" s="1"/>
  <c r="M44" i="45" s="1"/>
  <c r="M45" i="45" s="1"/>
  <c r="M46" i="45" s="1"/>
  <c r="M47" i="45" s="1"/>
  <c r="M48" i="45" s="1"/>
  <c r="M49" i="45" s="1"/>
  <c r="M50" i="45" s="1"/>
  <c r="M51" i="45" s="1"/>
  <c r="M52" i="45" s="1"/>
  <c r="M53" i="45" s="1"/>
  <c r="M54" i="45" s="1"/>
  <c r="M55" i="45" s="1"/>
  <c r="M56" i="45" s="1"/>
  <c r="M57" i="45" s="1"/>
  <c r="K20" i="45"/>
  <c r="K55" i="45"/>
  <c r="K82" i="44"/>
  <c r="K79" i="44"/>
  <c r="G35" i="110"/>
  <c r="E6" i="56" s="1"/>
  <c r="H6" i="56" s="1"/>
  <c r="K6" i="56" s="1"/>
  <c r="K4" i="110"/>
  <c r="G35" i="109"/>
  <c r="E5" i="56" s="1"/>
  <c r="H5" i="56" s="1"/>
  <c r="K5" i="56" s="1"/>
  <c r="K4" i="109"/>
  <c r="M22" i="11"/>
  <c r="M23" i="11"/>
  <c r="M24" i="11" s="1"/>
  <c r="G37" i="108"/>
  <c r="E14" i="56" s="1"/>
  <c r="H14" i="56" s="1"/>
  <c r="K14" i="56" s="1"/>
  <c r="K4" i="108"/>
  <c r="L37" i="106"/>
  <c r="J16" i="56" s="1"/>
  <c r="M16" i="106"/>
  <c r="G37" i="107"/>
  <c r="E15" i="56" s="1"/>
  <c r="H15" i="56" s="1"/>
  <c r="K15" i="56" s="1"/>
  <c r="K4" i="107"/>
  <c r="G37" i="106"/>
  <c r="E16" i="56" s="1"/>
  <c r="H16" i="56" s="1"/>
  <c r="K16" i="56" s="1"/>
  <c r="K4" i="106"/>
  <c r="K9" i="105"/>
  <c r="M5" i="104"/>
  <c r="K31" i="16"/>
  <c r="M6" i="104"/>
  <c r="M7" i="104" s="1"/>
  <c r="M8" i="104" s="1"/>
  <c r="M9" i="104" s="1"/>
  <c r="M10" i="104" s="1"/>
  <c r="M11" i="104" s="1"/>
  <c r="M12" i="104" s="1"/>
  <c r="M13" i="104" s="1"/>
  <c r="M14" i="104" s="1"/>
  <c r="M15" i="104" s="1"/>
  <c r="M16" i="104" s="1"/>
  <c r="M17" i="104" s="1"/>
  <c r="M18" i="104" s="1"/>
  <c r="M19" i="104" s="1"/>
  <c r="M20" i="104" s="1"/>
  <c r="M21" i="104" s="1"/>
  <c r="M22" i="104" s="1"/>
  <c r="M23" i="104" s="1"/>
  <c r="M24" i="104" s="1"/>
  <c r="M25" i="104" s="1"/>
  <c r="J289" i="65"/>
  <c r="G19" i="56" s="1"/>
  <c r="G289" i="65"/>
  <c r="E19" i="56" s="1"/>
  <c r="H19" i="56" s="1"/>
  <c r="M26" i="104"/>
  <c r="M27" i="104" s="1"/>
  <c r="M28" i="104" s="1"/>
  <c r="M29" i="104" s="1"/>
  <c r="M30" i="104" s="1"/>
  <c r="M31" i="104" s="1"/>
  <c r="M32" i="104" s="1"/>
  <c r="M33" i="104" s="1"/>
  <c r="M34" i="104" s="1"/>
  <c r="M35" i="104" s="1"/>
  <c r="M36" i="104" s="1"/>
  <c r="G37" i="105"/>
  <c r="E18" i="56" s="1"/>
  <c r="H18" i="56" s="1"/>
  <c r="K4" i="105"/>
  <c r="M4" i="105" s="1"/>
  <c r="M5" i="105" s="1"/>
  <c r="M6" i="105" s="1"/>
  <c r="M7" i="105" s="1"/>
  <c r="M8" i="105" s="1"/>
  <c r="M9" i="105" s="1"/>
  <c r="M10" i="105" s="1"/>
  <c r="M11" i="105" s="1"/>
  <c r="M12" i="105" s="1"/>
  <c r="M13" i="105" s="1"/>
  <c r="M14" i="105" s="1"/>
  <c r="M15" i="105" s="1"/>
  <c r="M16" i="105" s="1"/>
  <c r="M17" i="105" s="1"/>
  <c r="M18" i="105" s="1"/>
  <c r="M19" i="105" s="1"/>
  <c r="M20" i="105" s="1"/>
  <c r="M21" i="105" s="1"/>
  <c r="M22" i="105" s="1"/>
  <c r="M23" i="105" s="1"/>
  <c r="M24" i="105" s="1"/>
  <c r="M25" i="105" s="1"/>
  <c r="M26" i="105" s="1"/>
  <c r="M27" i="105" s="1"/>
  <c r="M28" i="105" s="1"/>
  <c r="M29" i="105" s="1"/>
  <c r="M30" i="105" s="1"/>
  <c r="M31" i="105" s="1"/>
  <c r="M32" i="105" s="1"/>
  <c r="M33" i="105" s="1"/>
  <c r="M34" i="105" s="1"/>
  <c r="M35" i="105" s="1"/>
  <c r="M36" i="105" s="1"/>
  <c r="G37" i="104"/>
  <c r="E17" i="56" s="1"/>
  <c r="H17" i="56" s="1"/>
  <c r="K11" i="7"/>
  <c r="G39" i="103"/>
  <c r="E21" i="56" s="1"/>
  <c r="H21" i="56" s="1"/>
  <c r="K21" i="56" s="1"/>
  <c r="K9" i="47"/>
  <c r="K18" i="47"/>
  <c r="K17" i="47"/>
  <c r="K16" i="47"/>
  <c r="J35" i="100"/>
  <c r="G47" i="56" s="1"/>
  <c r="H47" i="56"/>
  <c r="K9" i="24"/>
  <c r="K8" i="24"/>
  <c r="K24" i="52"/>
  <c r="K23" i="52"/>
  <c r="K22" i="52"/>
  <c r="K21" i="52"/>
  <c r="K20" i="52"/>
  <c r="M20" i="52" s="1"/>
  <c r="M21" i="52" s="1"/>
  <c r="M22" i="52" s="1"/>
  <c r="M23" i="52" s="1"/>
  <c r="M24" i="52" s="1"/>
  <c r="K32" i="52"/>
  <c r="K30" i="52"/>
  <c r="K29" i="52"/>
  <c r="K28" i="52"/>
  <c r="K27" i="52"/>
  <c r="K26" i="52"/>
  <c r="K25" i="52"/>
  <c r="K18" i="98"/>
  <c r="L18" i="98" s="1"/>
  <c r="K47" i="56"/>
  <c r="G38" i="101"/>
  <c r="E35" i="56" s="1"/>
  <c r="H35" i="56" s="1"/>
  <c r="K35" i="56" s="1"/>
  <c r="K4" i="101"/>
  <c r="K38" i="101" s="1"/>
  <c r="K31" i="52"/>
  <c r="I57" i="56"/>
  <c r="K4" i="100"/>
  <c r="K35" i="100" s="1"/>
  <c r="L42" i="75"/>
  <c r="J40" i="56" s="1"/>
  <c r="G39" i="99"/>
  <c r="E32" i="56" s="1"/>
  <c r="H32" i="56" s="1"/>
  <c r="K32" i="56" s="1"/>
  <c r="K4" i="99"/>
  <c r="K85" i="44"/>
  <c r="K8" i="14"/>
  <c r="G35" i="98"/>
  <c r="E11" i="56" s="1"/>
  <c r="H11" i="56" s="1"/>
  <c r="K4" i="98"/>
  <c r="L4" i="98" s="1"/>
  <c r="L35" i="98" s="1"/>
  <c r="J11" i="56" s="1"/>
  <c r="K25" i="60"/>
  <c r="K24" i="60"/>
  <c r="K23" i="60"/>
  <c r="K22" i="60"/>
  <c r="K21" i="60"/>
  <c r="K20" i="60"/>
  <c r="K19" i="60"/>
  <c r="K18" i="60"/>
  <c r="K17" i="60"/>
  <c r="K15" i="60"/>
  <c r="K26" i="41"/>
  <c r="L36" i="93"/>
  <c r="J10" i="56" s="1"/>
  <c r="K24" i="76"/>
  <c r="L47" i="81"/>
  <c r="J56" i="56" s="1"/>
  <c r="G46" i="95"/>
  <c r="E7" i="56" s="1"/>
  <c r="H7" i="56" s="1"/>
  <c r="K4" i="95"/>
  <c r="L4" i="95" s="1"/>
  <c r="L46" i="95" s="1"/>
  <c r="J7" i="56" s="1"/>
  <c r="K23" i="76"/>
  <c r="G36" i="93"/>
  <c r="E10" i="56" s="1"/>
  <c r="H10" i="56" s="1"/>
  <c r="K10" i="56" s="1"/>
  <c r="K4" i="93"/>
  <c r="M4" i="89"/>
  <c r="M5" i="89" s="1"/>
  <c r="M6" i="89" s="1"/>
  <c r="M7" i="89" s="1"/>
  <c r="M8" i="89" s="1"/>
  <c r="M9" i="89" s="1"/>
  <c r="M10" i="89" s="1"/>
  <c r="J35" i="89"/>
  <c r="G9" i="56" s="1"/>
  <c r="J34" i="56"/>
  <c r="L35" i="89"/>
  <c r="J9" i="56" s="1"/>
  <c r="K35" i="89"/>
  <c r="G35" i="89"/>
  <c r="E9" i="56" s="1"/>
  <c r="H9" i="56" s="1"/>
  <c r="K9" i="56" s="1"/>
  <c r="G56" i="85"/>
  <c r="E38" i="56" s="1"/>
  <c r="H38" i="56" s="1"/>
  <c r="K38" i="56" s="1"/>
  <c r="K4" i="85"/>
  <c r="J35" i="78"/>
  <c r="G8" i="56" s="1"/>
  <c r="G35" i="83"/>
  <c r="E45" i="56" s="1"/>
  <c r="H45" i="56" s="1"/>
  <c r="K45" i="56" s="1"/>
  <c r="K4" i="83"/>
  <c r="G35" i="82"/>
  <c r="E4" i="56" s="1"/>
  <c r="H4" i="56" s="1"/>
  <c r="K4" i="82"/>
  <c r="F57" i="56"/>
  <c r="G47" i="81"/>
  <c r="E56" i="56" s="1"/>
  <c r="H56" i="56" s="1"/>
  <c r="K56" i="56" s="1"/>
  <c r="K4" i="81"/>
  <c r="G40" i="80"/>
  <c r="E31" i="56" s="1"/>
  <c r="H31" i="56" s="1"/>
  <c r="K31" i="56" s="1"/>
  <c r="K4" i="80"/>
  <c r="G35" i="79"/>
  <c r="E41" i="56" s="1"/>
  <c r="H41" i="56" s="1"/>
  <c r="K41" i="56" s="1"/>
  <c r="K4" i="79"/>
  <c r="K32" i="74"/>
  <c r="L32" i="74" s="1"/>
  <c r="K31" i="74"/>
  <c r="L31" i="74" s="1"/>
  <c r="K30" i="74"/>
  <c r="L30" i="74" s="1"/>
  <c r="G35" i="78"/>
  <c r="E8" i="56" s="1"/>
  <c r="K6" i="14"/>
  <c r="J37" i="76"/>
  <c r="G42" i="56" s="1"/>
  <c r="K4" i="76"/>
  <c r="G37" i="76"/>
  <c r="E42" i="56" s="1"/>
  <c r="H42" i="56" s="1"/>
  <c r="K42" i="56" s="1"/>
  <c r="K5" i="76"/>
  <c r="J42" i="75"/>
  <c r="G40" i="56" s="1"/>
  <c r="K4" i="75"/>
  <c r="G42" i="75"/>
  <c r="E40" i="56" s="1"/>
  <c r="H40" i="56" s="1"/>
  <c r="K40" i="56" s="1"/>
  <c r="K5" i="75"/>
  <c r="K18" i="10"/>
  <c r="G35" i="74"/>
  <c r="E29" i="56" s="1"/>
  <c r="H29" i="56" s="1"/>
  <c r="K4" i="74"/>
  <c r="G36" i="73"/>
  <c r="E27" i="56" s="1"/>
  <c r="H27" i="56" s="1"/>
  <c r="K4" i="73"/>
  <c r="H25" i="56"/>
  <c r="K25" i="56" s="1"/>
  <c r="K11" i="35"/>
  <c r="G37" i="71"/>
  <c r="E13" i="56" s="1"/>
  <c r="H13" i="56" s="1"/>
  <c r="K4" i="71"/>
  <c r="K4" i="69"/>
  <c r="D52" i="56"/>
  <c r="D57" i="56" s="1"/>
  <c r="G38" i="68"/>
  <c r="E26" i="56" s="1"/>
  <c r="K4" i="44"/>
  <c r="M4" i="44" s="1"/>
  <c r="M5" i="44" s="1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6" i="11"/>
  <c r="J37" i="16"/>
  <c r="G23" i="56" s="1"/>
  <c r="L48" i="26"/>
  <c r="G35" i="63"/>
  <c r="E28" i="56" s="1"/>
  <c r="H28" i="56" s="1"/>
  <c r="K4" i="63"/>
  <c r="M7" i="11"/>
  <c r="M8" i="11" s="1"/>
  <c r="G39" i="62"/>
  <c r="E20" i="56" s="1"/>
  <c r="H20" i="56" s="1"/>
  <c r="K20" i="56" s="1"/>
  <c r="K4" i="62"/>
  <c r="G35" i="60"/>
  <c r="E46" i="56" s="1"/>
  <c r="H46" i="56" s="1"/>
  <c r="K4" i="60"/>
  <c r="J43" i="51"/>
  <c r="G54" i="56" s="1"/>
  <c r="J23" i="56"/>
  <c r="K4" i="12"/>
  <c r="K36" i="12" s="1"/>
  <c r="J36" i="12"/>
  <c r="G43" i="56" s="1"/>
  <c r="H43" i="56"/>
  <c r="K43" i="56" s="1"/>
  <c r="G35" i="33"/>
  <c r="E51" i="56" s="1"/>
  <c r="H51" i="56" s="1"/>
  <c r="J35" i="9"/>
  <c r="G50" i="56" s="1"/>
  <c r="J48" i="26"/>
  <c r="G49" i="56" s="1"/>
  <c r="K4" i="40"/>
  <c r="L4" i="40" s="1"/>
  <c r="G35" i="40"/>
  <c r="E36" i="56" s="1"/>
  <c r="H36" i="56" s="1"/>
  <c r="L35" i="40"/>
  <c r="J36" i="56" s="1"/>
  <c r="K35" i="40"/>
  <c r="J35" i="52"/>
  <c r="G22" i="56" s="1"/>
  <c r="K35" i="52"/>
  <c r="H22" i="56" s="1"/>
  <c r="K22" i="56" s="1"/>
  <c r="G35" i="52"/>
  <c r="J42" i="41"/>
  <c r="G44" i="56" s="1"/>
  <c r="G37" i="11"/>
  <c r="E34" i="56" s="1"/>
  <c r="G43" i="35"/>
  <c r="E53" i="56" s="1"/>
  <c r="G43" i="51"/>
  <c r="E54" i="56" s="1"/>
  <c r="H54" i="56" s="1"/>
  <c r="J49" i="56"/>
  <c r="G48" i="26"/>
  <c r="E49" i="56" s="1"/>
  <c r="J35" i="19"/>
  <c r="G55" i="56" s="1"/>
  <c r="H55" i="56" s="1"/>
  <c r="H49" i="56"/>
  <c r="J43" i="35"/>
  <c r="G53" i="56" s="1"/>
  <c r="H53" i="56" s="1"/>
  <c r="G35" i="9"/>
  <c r="E50" i="56" s="1"/>
  <c r="G42" i="41"/>
  <c r="E44" i="56" s="1"/>
  <c r="H44" i="56" s="1"/>
  <c r="G35" i="58"/>
  <c r="E12" i="56" s="1"/>
  <c r="H12" i="56" s="1"/>
  <c r="K4" i="58"/>
  <c r="G35" i="57"/>
  <c r="E48" i="56" s="1"/>
  <c r="H48" i="56" s="1"/>
  <c r="K4" i="57"/>
  <c r="L4" i="57" s="1"/>
  <c r="L35" i="57" s="1"/>
  <c r="J48" i="56" s="1"/>
  <c r="H34" i="56"/>
  <c r="K34" i="56" s="1"/>
  <c r="G35" i="7"/>
  <c r="E24" i="56" s="1"/>
  <c r="J38" i="47"/>
  <c r="G3" i="56" s="1"/>
  <c r="G33" i="56"/>
  <c r="J42" i="14"/>
  <c r="G39" i="56" s="1"/>
  <c r="G42" i="14"/>
  <c r="E39" i="56" s="1"/>
  <c r="H39" i="56" s="1"/>
  <c r="K39" i="56" s="1"/>
  <c r="G38" i="47"/>
  <c r="E3" i="56" s="1"/>
  <c r="K35" i="19"/>
  <c r="H26" i="56"/>
  <c r="J38" i="50"/>
  <c r="G2" i="56" s="1"/>
  <c r="G38" i="50"/>
  <c r="E2" i="56" s="1"/>
  <c r="G41" i="25"/>
  <c r="E37" i="56" s="1"/>
  <c r="J41" i="25"/>
  <c r="G37" i="56" s="1"/>
  <c r="H37" i="56" s="1"/>
  <c r="K37" i="11"/>
  <c r="E33" i="56"/>
  <c r="G35" i="24"/>
  <c r="E30" i="56" s="1"/>
  <c r="H30" i="56" s="1"/>
  <c r="K4" i="41"/>
  <c r="K42" i="14"/>
  <c r="K4" i="51"/>
  <c r="K4" i="24"/>
  <c r="M4" i="24" s="1"/>
  <c r="K38" i="50"/>
  <c r="K4" i="47"/>
  <c r="K38" i="47" s="1"/>
  <c r="M4" i="47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5" i="56" s="1"/>
  <c r="K4" i="7"/>
  <c r="K35" i="7" s="1"/>
  <c r="M4" i="14"/>
  <c r="M5" i="14" s="1"/>
  <c r="M6" i="14" s="1"/>
  <c r="M7" i="14" s="1"/>
  <c r="K4" i="9"/>
  <c r="K4" i="10"/>
  <c r="K35" i="10" s="1"/>
  <c r="K4" i="26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M4" i="25" s="1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K4" i="3"/>
  <c r="M38" i="44" l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K35" i="110"/>
  <c r="M4" i="110"/>
  <c r="M5" i="110" s="1"/>
  <c r="M6" i="110" s="1"/>
  <c r="M7" i="110" s="1"/>
  <c r="M8" i="110" s="1"/>
  <c r="M9" i="110" s="1"/>
  <c r="M10" i="110" s="1"/>
  <c r="M11" i="110" s="1"/>
  <c r="M12" i="110" s="1"/>
  <c r="M13" i="110" s="1"/>
  <c r="M14" i="110" s="1"/>
  <c r="M15" i="110" s="1"/>
  <c r="M16" i="110" s="1"/>
  <c r="M17" i="110" s="1"/>
  <c r="M18" i="110" s="1"/>
  <c r="M19" i="110" s="1"/>
  <c r="M20" i="110" s="1"/>
  <c r="M21" i="110" s="1"/>
  <c r="M22" i="110" s="1"/>
  <c r="M23" i="110" s="1"/>
  <c r="M24" i="110" s="1"/>
  <c r="M25" i="110" s="1"/>
  <c r="M26" i="110" s="1"/>
  <c r="M27" i="110" s="1"/>
  <c r="M28" i="110" s="1"/>
  <c r="M29" i="110" s="1"/>
  <c r="M30" i="110" s="1"/>
  <c r="M31" i="110" s="1"/>
  <c r="M32" i="110" s="1"/>
  <c r="M33" i="110" s="1"/>
  <c r="M34" i="110" s="1"/>
  <c r="K35" i="109"/>
  <c r="M4" i="109"/>
  <c r="M5" i="109" s="1"/>
  <c r="M6" i="109" s="1"/>
  <c r="M7" i="109" s="1"/>
  <c r="M8" i="109" s="1"/>
  <c r="M9" i="109" s="1"/>
  <c r="M10" i="109" s="1"/>
  <c r="M11" i="109" s="1"/>
  <c r="M12" i="109" s="1"/>
  <c r="M13" i="109" s="1"/>
  <c r="M14" i="109" s="1"/>
  <c r="M15" i="109" s="1"/>
  <c r="M16" i="109" s="1"/>
  <c r="M17" i="109" s="1"/>
  <c r="M18" i="109" s="1"/>
  <c r="M19" i="109" s="1"/>
  <c r="M20" i="109" s="1"/>
  <c r="M21" i="109" s="1"/>
  <c r="M22" i="109" s="1"/>
  <c r="M23" i="109" s="1"/>
  <c r="M24" i="109" s="1"/>
  <c r="M25" i="109" s="1"/>
  <c r="M26" i="109" s="1"/>
  <c r="M27" i="109" s="1"/>
  <c r="M28" i="109" s="1"/>
  <c r="M29" i="109" s="1"/>
  <c r="M30" i="109" s="1"/>
  <c r="M31" i="109" s="1"/>
  <c r="M32" i="109" s="1"/>
  <c r="M33" i="109" s="1"/>
  <c r="M34" i="109" s="1"/>
  <c r="K37" i="108"/>
  <c r="M4" i="108"/>
  <c r="M5" i="108" s="1"/>
  <c r="M6" i="108" s="1"/>
  <c r="M7" i="108" s="1"/>
  <c r="M8" i="108" s="1"/>
  <c r="M9" i="108" s="1"/>
  <c r="M10" i="108" s="1"/>
  <c r="M11" i="108" s="1"/>
  <c r="M12" i="108" s="1"/>
  <c r="M13" i="108" s="1"/>
  <c r="M14" i="108" s="1"/>
  <c r="M15" i="108" s="1"/>
  <c r="M16" i="108" s="1"/>
  <c r="M17" i="108" s="1"/>
  <c r="M18" i="108" s="1"/>
  <c r="M19" i="108" s="1"/>
  <c r="M20" i="108" s="1"/>
  <c r="M21" i="108" s="1"/>
  <c r="M22" i="108" s="1"/>
  <c r="M23" i="108" s="1"/>
  <c r="M24" i="108" s="1"/>
  <c r="M25" i="108" s="1"/>
  <c r="M26" i="108" s="1"/>
  <c r="M27" i="108" s="1"/>
  <c r="M28" i="108" s="1"/>
  <c r="M29" i="108" s="1"/>
  <c r="M30" i="108" s="1"/>
  <c r="M31" i="108" s="1"/>
  <c r="M32" i="108" s="1"/>
  <c r="M33" i="108" s="1"/>
  <c r="M34" i="108" s="1"/>
  <c r="M35" i="108" s="1"/>
  <c r="M36" i="108" s="1"/>
  <c r="K37" i="107"/>
  <c r="M4" i="107"/>
  <c r="M5" i="107" s="1"/>
  <c r="M6" i="107" s="1"/>
  <c r="M7" i="107" s="1"/>
  <c r="M8" i="107" s="1"/>
  <c r="M9" i="107" s="1"/>
  <c r="M10" i="107" s="1"/>
  <c r="M11" i="107" s="1"/>
  <c r="M12" i="107" s="1"/>
  <c r="M13" i="107" s="1"/>
  <c r="M14" i="107" s="1"/>
  <c r="M15" i="107" s="1"/>
  <c r="M16" i="107" s="1"/>
  <c r="M17" i="107" s="1"/>
  <c r="M18" i="107" s="1"/>
  <c r="M19" i="107" s="1"/>
  <c r="M20" i="107" s="1"/>
  <c r="M21" i="107" s="1"/>
  <c r="M22" i="107" s="1"/>
  <c r="M23" i="107" s="1"/>
  <c r="M24" i="107" s="1"/>
  <c r="M25" i="107" s="1"/>
  <c r="M26" i="107" s="1"/>
  <c r="M27" i="107" s="1"/>
  <c r="M28" i="107" s="1"/>
  <c r="M29" i="107" s="1"/>
  <c r="M30" i="107" s="1"/>
  <c r="M31" i="107" s="1"/>
  <c r="M32" i="107" s="1"/>
  <c r="M33" i="107" s="1"/>
  <c r="M34" i="107" s="1"/>
  <c r="M35" i="107" s="1"/>
  <c r="M36" i="107" s="1"/>
  <c r="K37" i="106"/>
  <c r="M4" i="106"/>
  <c r="M5" i="106" s="1"/>
  <c r="M6" i="106" s="1"/>
  <c r="M7" i="106" s="1"/>
  <c r="M8" i="106" s="1"/>
  <c r="M9" i="106" s="1"/>
  <c r="M10" i="106" s="1"/>
  <c r="M11" i="106" s="1"/>
  <c r="M12" i="106" s="1"/>
  <c r="M17" i="106" s="1"/>
  <c r="M18" i="106" s="1"/>
  <c r="M19" i="106" s="1"/>
  <c r="M20" i="106" s="1"/>
  <c r="M21" i="106" s="1"/>
  <c r="M22" i="106" s="1"/>
  <c r="M23" i="106" s="1"/>
  <c r="M24" i="106" s="1"/>
  <c r="M25" i="106" s="1"/>
  <c r="M26" i="106" s="1"/>
  <c r="M27" i="106" s="1"/>
  <c r="M28" i="106" s="1"/>
  <c r="M29" i="106" s="1"/>
  <c r="M30" i="106" s="1"/>
  <c r="M31" i="106" s="1"/>
  <c r="M32" i="106" s="1"/>
  <c r="M33" i="106" s="1"/>
  <c r="M34" i="106" s="1"/>
  <c r="M35" i="106" s="1"/>
  <c r="M36" i="106" s="1"/>
  <c r="K289" i="65"/>
  <c r="M11" i="89"/>
  <c r="M12" i="89" s="1"/>
  <c r="M13" i="89" s="1"/>
  <c r="M14" i="89" s="1"/>
  <c r="M15" i="89" s="1"/>
  <c r="M16" i="89" s="1"/>
  <c r="M17" i="89" s="1"/>
  <c r="M18" i="89" s="1"/>
  <c r="M19" i="89" s="1"/>
  <c r="M20" i="89" s="1"/>
  <c r="L289" i="65"/>
  <c r="J19" i="56" s="1"/>
  <c r="K37" i="105"/>
  <c r="L37" i="105"/>
  <c r="J18" i="56" s="1"/>
  <c r="K18" i="56" s="1"/>
  <c r="K37" i="104"/>
  <c r="M8" i="14"/>
  <c r="M9" i="14" s="1"/>
  <c r="M10" i="14" s="1"/>
  <c r="M11" i="14" s="1"/>
  <c r="M12" i="14" s="1"/>
  <c r="M13" i="14" s="1"/>
  <c r="M14" i="14" s="1"/>
  <c r="K43" i="51"/>
  <c r="M4" i="51"/>
  <c r="M21" i="89"/>
  <c r="M22" i="89" s="1"/>
  <c r="M23" i="89" s="1"/>
  <c r="M24" i="89" s="1"/>
  <c r="M25" i="89" s="1"/>
  <c r="M26" i="89" s="1"/>
  <c r="M27" i="89" s="1"/>
  <c r="K39" i="103"/>
  <c r="M4" i="103"/>
  <c r="M16" i="47"/>
  <c r="M17" i="47" s="1"/>
  <c r="M18" i="47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15" i="14"/>
  <c r="M16" i="14" s="1"/>
  <c r="M17" i="14" s="1"/>
  <c r="M18" i="14" s="1"/>
  <c r="M19" i="14" s="1"/>
  <c r="M20" i="14" s="1"/>
  <c r="M21" i="14" s="1"/>
  <c r="M22" i="14" s="1"/>
  <c r="M23" i="14" s="1"/>
  <c r="M25" i="52"/>
  <c r="M26" i="52" s="1"/>
  <c r="M27" i="52" s="1"/>
  <c r="M28" i="52" s="1"/>
  <c r="M29" i="52" s="1"/>
  <c r="M30" i="52" s="1"/>
  <c r="M31" i="52" s="1"/>
  <c r="M32" i="52" s="1"/>
  <c r="M33" i="52" s="1"/>
  <c r="K11" i="56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K19" i="56"/>
  <c r="M4" i="100"/>
  <c r="M5" i="100" s="1"/>
  <c r="M6" i="100" s="1"/>
  <c r="M7" i="100" s="1"/>
  <c r="M8" i="100" s="1"/>
  <c r="M9" i="100" s="1"/>
  <c r="M10" i="100" s="1"/>
  <c r="M11" i="100" s="1"/>
  <c r="M12" i="100" s="1"/>
  <c r="M13" i="100" s="1"/>
  <c r="M14" i="100" s="1"/>
  <c r="M15" i="100" s="1"/>
  <c r="M16" i="100" s="1"/>
  <c r="M17" i="100" s="1"/>
  <c r="M18" i="100" s="1"/>
  <c r="M19" i="100" s="1"/>
  <c r="M20" i="100" s="1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K35" i="98"/>
  <c r="M4" i="98"/>
  <c r="M5" i="98" s="1"/>
  <c r="M6" i="98" s="1"/>
  <c r="M7" i="98" s="1"/>
  <c r="M8" i="98" s="1"/>
  <c r="M9" i="98" s="1"/>
  <c r="M10" i="98" s="1"/>
  <c r="M11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4" i="26"/>
  <c r="M5" i="26" s="1"/>
  <c r="M28" i="89"/>
  <c r="M29" i="89" s="1"/>
  <c r="M30" i="89" s="1"/>
  <c r="M31" i="89" s="1"/>
  <c r="M32" i="89" s="1"/>
  <c r="M33" i="89" s="1"/>
  <c r="M34" i="89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6" i="93"/>
  <c r="M4" i="93"/>
  <c r="M5" i="93" s="1"/>
  <c r="M6" i="93" s="1"/>
  <c r="M7" i="93" s="1"/>
  <c r="M8" i="93" s="1"/>
  <c r="M9" i="93" s="1"/>
  <c r="M10" i="93" s="1"/>
  <c r="M11" i="93" s="1"/>
  <c r="M12" i="93" s="1"/>
  <c r="H8" i="56"/>
  <c r="K8" i="56" s="1"/>
  <c r="K48" i="56"/>
  <c r="M9" i="11"/>
  <c r="M10" i="11" s="1"/>
  <c r="M11" i="11" s="1"/>
  <c r="M12" i="11" s="1"/>
  <c r="M13" i="11" s="1"/>
  <c r="M14" i="11" s="1"/>
  <c r="M15" i="11" s="1"/>
  <c r="M16" i="11" s="1"/>
  <c r="K56" i="85"/>
  <c r="M4" i="85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K35" i="82"/>
  <c r="M4" i="82"/>
  <c r="G57" i="56"/>
  <c r="H2" i="56"/>
  <c r="K47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M39" i="81" s="1"/>
  <c r="K40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M38" i="75" s="1"/>
  <c r="M39" i="75" s="1"/>
  <c r="M40" i="75" s="1"/>
  <c r="K35" i="74"/>
  <c r="L4" i="74"/>
  <c r="L35" i="74" s="1"/>
  <c r="J29" i="56" s="1"/>
  <c r="K29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6" i="73"/>
  <c r="L4" i="73"/>
  <c r="L36" i="73" s="1"/>
  <c r="J27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4" i="73" s="1"/>
  <c r="M25" i="73" s="1"/>
  <c r="M26" i="73" s="1"/>
  <c r="M27" i="73" s="1"/>
  <c r="M28" i="73" s="1"/>
  <c r="M5" i="24"/>
  <c r="M6" i="24" s="1"/>
  <c r="M7" i="24" s="1"/>
  <c r="M8" i="24" s="1"/>
  <c r="M9" i="24" s="1"/>
  <c r="M10" i="24" s="1"/>
  <c r="K35" i="24"/>
  <c r="K3" i="56"/>
  <c r="K37" i="71"/>
  <c r="L4" i="71"/>
  <c r="L37" i="71" s="1"/>
  <c r="J13" i="56" s="1"/>
  <c r="K13" i="56" s="1"/>
  <c r="G50" i="69"/>
  <c r="E52" i="56" s="1"/>
  <c r="K50" i="69"/>
  <c r="H52" i="56" s="1"/>
  <c r="M4" i="69"/>
  <c r="M5" i="69" s="1"/>
  <c r="M6" i="69" s="1"/>
  <c r="M7" i="69" s="1"/>
  <c r="M8" i="69" s="1"/>
  <c r="M9" i="69" s="1"/>
  <c r="K38" i="68"/>
  <c r="L38" i="68"/>
  <c r="J26" i="56" s="1"/>
  <c r="M4" i="68"/>
  <c r="M5" i="68" s="1"/>
  <c r="M6" i="68" s="1"/>
  <c r="M7" i="68" s="1"/>
  <c r="M8" i="68" s="1"/>
  <c r="M9" i="68" s="1"/>
  <c r="K41" i="25"/>
  <c r="H50" i="56"/>
  <c r="K50" i="56" s="1"/>
  <c r="H24" i="56"/>
  <c r="K24" i="56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E23" i="56"/>
  <c r="H23" i="56" s="1"/>
  <c r="K23" i="56" s="1"/>
  <c r="K35" i="63"/>
  <c r="L35" i="63"/>
  <c r="J28" i="56" s="1"/>
  <c r="M4" i="63"/>
  <c r="M5" i="63" s="1"/>
  <c r="M6" i="63" s="1"/>
  <c r="K39" i="62"/>
  <c r="M4" i="62"/>
  <c r="L43" i="51"/>
  <c r="M5" i="51"/>
  <c r="M6" i="51" s="1"/>
  <c r="K49" i="56"/>
  <c r="K44" i="56"/>
  <c r="K35" i="60"/>
  <c r="K48" i="26"/>
  <c r="M4" i="10"/>
  <c r="K35" i="33"/>
  <c r="K35" i="9"/>
  <c r="M4" i="9"/>
  <c r="M24" i="14"/>
  <c r="M25" i="14" s="1"/>
  <c r="M26" i="14" s="1"/>
  <c r="M27" i="14" s="1"/>
  <c r="M28" i="14" s="1"/>
  <c r="M29" i="14" s="1"/>
  <c r="M30" i="14" s="1"/>
  <c r="E22" i="56"/>
  <c r="E57" i="56" s="1"/>
  <c r="M16" i="12"/>
  <c r="M17" i="12" s="1"/>
  <c r="M18" i="12" s="1"/>
  <c r="M19" i="12" s="1"/>
  <c r="M20" i="12" s="1"/>
  <c r="M21" i="12" s="1"/>
  <c r="M22" i="12" s="1"/>
  <c r="K36" i="56"/>
  <c r="H33" i="56"/>
  <c r="M4" i="41"/>
  <c r="K42" i="41"/>
  <c r="M4" i="16"/>
  <c r="K37" i="16"/>
  <c r="K55" i="56"/>
  <c r="K35" i="58"/>
  <c r="L4" i="58"/>
  <c r="L35" i="58" s="1"/>
  <c r="J12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53" i="56" s="1"/>
  <c r="K53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6" i="56"/>
  <c r="M18" i="101" l="1"/>
  <c r="M19" i="101" s="1"/>
  <c r="M20" i="101" s="1"/>
  <c r="M21" i="101" s="1"/>
  <c r="M22" i="101" s="1"/>
  <c r="M23" i="101" s="1"/>
  <c r="M24" i="101" s="1"/>
  <c r="M25" i="101" s="1"/>
  <c r="M26" i="101" s="1"/>
  <c r="M27" i="101" s="1"/>
  <c r="M28" i="101" s="1"/>
  <c r="M29" i="101" s="1"/>
  <c r="M30" i="101" s="1"/>
  <c r="M31" i="101" s="1"/>
  <c r="M32" i="76"/>
  <c r="M33" i="76" s="1"/>
  <c r="M34" i="76" s="1"/>
  <c r="M35" i="76" s="1"/>
  <c r="M36" i="76" s="1"/>
  <c r="P36" i="76" s="1"/>
  <c r="L37" i="104"/>
  <c r="J17" i="56" s="1"/>
  <c r="M21" i="26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21" i="100"/>
  <c r="M22" i="100" s="1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M34" i="100" s="1"/>
  <c r="M19" i="83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16" i="99"/>
  <c r="M17" i="99" s="1"/>
  <c r="M18" i="99" s="1"/>
  <c r="M19" i="99" s="1"/>
  <c r="M20" i="99" s="1"/>
  <c r="M21" i="99" s="1"/>
  <c r="M22" i="99" s="1"/>
  <c r="M5" i="62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M13" i="93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M11" i="24"/>
  <c r="M12" i="24" s="1"/>
  <c r="M6" i="103"/>
  <c r="M7" i="103" s="1"/>
  <c r="M8" i="103" s="1"/>
  <c r="M9" i="103" s="1"/>
  <c r="M10" i="103" s="1"/>
  <c r="M11" i="103" s="1"/>
  <c r="M12" i="103" s="1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5" i="103"/>
  <c r="M5" i="41"/>
  <c r="M6" i="41" s="1"/>
  <c r="M7" i="41" s="1"/>
  <c r="M8" i="41" s="1"/>
  <c r="M9" i="41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H57" i="56"/>
  <c r="M25" i="11"/>
  <c r="M26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29" i="16"/>
  <c r="M30" i="16" s="1"/>
  <c r="M31" i="16" s="1"/>
  <c r="M32" i="16" s="1"/>
  <c r="M33" i="16" s="1"/>
  <c r="M34" i="16" s="1"/>
  <c r="M35" i="16" s="1"/>
  <c r="M36" i="16" s="1"/>
  <c r="M10" i="85"/>
  <c r="M11" i="85" s="1"/>
  <c r="M12" i="85" s="1"/>
  <c r="M13" i="85" s="1"/>
  <c r="M14" i="85" s="1"/>
  <c r="J54" i="56"/>
  <c r="K54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K33" i="56"/>
  <c r="K27" i="56"/>
  <c r="K28" i="56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M15" i="69" s="1"/>
  <c r="M16" i="69" s="1"/>
  <c r="M17" i="69" s="1"/>
  <c r="C66" i="56" a="1"/>
  <c r="C66" i="56" s="1"/>
  <c r="M31" i="14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41" i="25"/>
  <c r="J37" i="56" s="1"/>
  <c r="L35" i="60"/>
  <c r="J46" i="56" s="1"/>
  <c r="K46" i="56" s="1"/>
  <c r="M4" i="60"/>
  <c r="L35" i="33"/>
  <c r="J51" i="56" s="1"/>
  <c r="M4" i="33"/>
  <c r="K12" i="56"/>
  <c r="M5" i="50"/>
  <c r="M6" i="50" s="1"/>
  <c r="M7" i="50" s="1"/>
  <c r="M8" i="50" s="1"/>
  <c r="M9" i="50" s="1"/>
  <c r="M13" i="9"/>
  <c r="M14" i="9" s="1"/>
  <c r="M32" i="101" l="1"/>
  <c r="M33" i="101" s="1"/>
  <c r="M34" i="101" s="1"/>
  <c r="M35" i="101" s="1"/>
  <c r="M36" i="101" s="1"/>
  <c r="M37" i="101" s="1"/>
  <c r="M15" i="85"/>
  <c r="M16" i="85" s="1"/>
  <c r="M17" i="85" s="1"/>
  <c r="M18" i="85" s="1"/>
  <c r="M19" i="85" s="1"/>
  <c r="M20" i="85" s="1"/>
  <c r="M21" i="85" s="1"/>
  <c r="M22" i="85" s="1"/>
  <c r="K17" i="56"/>
  <c r="J57" i="56"/>
  <c r="M37" i="26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18" i="69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4" i="83"/>
  <c r="M33" i="83"/>
  <c r="M10" i="4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41" i="75"/>
  <c r="M23" i="85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P55" i="85" s="1"/>
  <c r="M20" i="68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7" i="11"/>
  <c r="M28" i="11" s="1"/>
  <c r="M29" i="11" s="1"/>
  <c r="M30" i="11" s="1"/>
  <c r="M31" i="11" s="1"/>
  <c r="M32" i="11" s="1"/>
  <c r="M33" i="11" s="1"/>
  <c r="M34" i="11" s="1"/>
  <c r="M35" i="11" s="1"/>
  <c r="M36" i="11" s="1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10" i="50"/>
  <c r="M11" i="50" s="1"/>
  <c r="M12" i="50" s="1"/>
  <c r="M13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32" i="69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52" i="56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37" i="56"/>
  <c r="K51" i="56"/>
  <c r="B63" i="56" a="1"/>
  <c r="B63" i="56" s="1"/>
  <c r="M32" i="51"/>
  <c r="M33" i="51" s="1"/>
  <c r="M34" i="51" s="1"/>
  <c r="M35" i="51" s="1"/>
  <c r="M36" i="51" s="1"/>
  <c r="M37" i="51" s="1"/>
  <c r="M38" i="51" s="1"/>
  <c r="M39" i="51" s="1"/>
  <c r="M14" i="24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28" i="9"/>
  <c r="M29" i="9" s="1"/>
  <c r="M30" i="9" s="1"/>
  <c r="M31" i="9" s="1"/>
  <c r="M32" i="9" s="1"/>
  <c r="M33" i="9" s="1"/>
  <c r="M34" i="9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l="1"/>
  <c r="M33" i="33" s="1"/>
  <c r="M34" i="33" s="1"/>
  <c r="M19" i="50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P44" i="44"/>
  <c r="K57" i="56"/>
  <c r="M15" i="24"/>
  <c r="M16" i="24" s="1"/>
  <c r="M17" i="24" s="1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94" i="44" l="1"/>
  <c r="M95" i="44" s="1"/>
  <c r="M96" i="44" s="1"/>
  <c r="M97" i="44" s="1"/>
  <c r="O46" i="44"/>
  <c r="M46" i="81"/>
  <c r="P45" i="81"/>
  <c r="M18" i="24"/>
  <c r="M98" i="44" l="1"/>
  <c r="O97" i="44"/>
  <c r="M19" i="24"/>
  <c r="M20" i="24" l="1"/>
  <c r="M21" i="24" l="1"/>
  <c r="M22" i="24" l="1"/>
  <c r="M24" i="24" l="1"/>
  <c r="M25" i="24" s="1"/>
  <c r="M26" i="24" s="1"/>
  <c r="M27" i="24" s="1"/>
  <c r="M28" i="24" s="1"/>
  <c r="M29" i="24" s="1"/>
  <c r="M30" i="24" s="1"/>
  <c r="M31" i="24" l="1"/>
  <c r="M32" i="24" l="1"/>
  <c r="M33" i="24" l="1"/>
  <c r="M34" i="24" s="1"/>
  <c r="M35" i="24"/>
  <c r="K30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  <author>tc={AA23B43B-E1C2-4CCD-B489-88EE76E70833}</author>
  </authors>
  <commentList>
    <comment ref="L13" authorId="0" shapeId="0" xr:uid="{57909647-A7D4-4901-80B4-34505433C57D}">
      <text>
        <r>
          <rPr>
            <sz val="11"/>
            <color theme="1"/>
            <rFont val="Calibri"/>
            <family val="2"/>
            <scheme val="minor"/>
          </rPr>
          <t xml:space="preserve">MIS:
Redeem Cash
</t>
        </r>
      </text>
    </comment>
    <comment ref="H17" authorId="1" shapeId="0" xr:uid="{AA23B43B-E1C2-4CCD-B489-88EE76E708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received Diesel
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<sst xmlns="http://schemas.openxmlformats.org/spreadsheetml/2006/main" count="1742" uniqueCount="363">
  <si>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</si>
  <si>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</si>
  <si>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</si>
  <si>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</si>
  <si>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</si>
  <si>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</si>
  <si>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</si>
  <si>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</si>
  <si>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</si>
  <si>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</si>
  <si>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</si>
  <si>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</si>
  <si>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</si>
  <si>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</si>
  <si>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</si>
  <si>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</si>
  <si>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</si>
  <si>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</si>
  <si>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</si>
  <si>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</si>
  <si>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</si>
  <si>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</si>
  <si>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</si>
  <si>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</si>
  <si>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</si>
  <si>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</si>
  <si>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</si>
  <si>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</si>
  <si>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</si>
  <si>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</si>
  <si>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</si>
  <si>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</si>
  <si>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</si>
  <si>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</si>
  <si>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</si>
  <si>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</si>
  <si>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</si>
  <si>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</si>
  <si>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</si>
  <si>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</si>
  <si>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</si>
  <si>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</si>
  <si>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</si>
  <si>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</si>
  <si>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</si>
  <si>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</si>
  <si>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</si>
  <si>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</si>
  <si>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</si>
  <si>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</si>
  <si>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</si>
  <si>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</si>
  <si>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</si>
  <si>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</si>
  <si>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</si>
  <si>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</si>
  <si>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</si>
  <si>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</si>
  <si>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</si>
  <si>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</si>
  <si>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</si>
  <si>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</si>
  <si>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</si>
  <si>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</si>
  <si>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</si>
  <si>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</si>
  <si>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</si>
  <si>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</si>
  <si>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</si>
  <si>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</si>
  <si>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</si>
  <si>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</si>
  <si>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Khammam</t>
  </si>
  <si>
    <t>Sai Madeana Filling Station</t>
  </si>
  <si>
    <t>Vajra mahalakshmi filling station</t>
  </si>
  <si>
    <t>Khammam-Cash&amp;Carry</t>
  </si>
  <si>
    <t xml:space="preserve">NA </t>
  </si>
  <si>
    <t>Jadcherla-2</t>
  </si>
  <si>
    <t>Shree Poornima F/S</t>
  </si>
  <si>
    <t>Sangareddy-2</t>
  </si>
  <si>
    <t>Durga Bhavani F/S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</si>
  <si>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</si>
  <si>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</si>
  <si>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</si>
  <si>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</si>
  <si>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</si>
  <si>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</si>
  <si>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</si>
  <si>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</si>
  <si>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Kovvur</t>
  </si>
  <si>
    <t>Sri Venkateshwara Services</t>
  </si>
  <si>
    <t>Jangareddygudem</t>
  </si>
  <si>
    <t>Solasa Krishna Oil Company</t>
  </si>
  <si>
    <t xml:space="preserve">Amalapuram  </t>
  </si>
  <si>
    <t>Royal Fill 'N' Fly</t>
  </si>
  <si>
    <t>Yeleshwaram</t>
  </si>
  <si>
    <t>Sri sathya Filling Station</t>
  </si>
  <si>
    <t>Pitapuam</t>
  </si>
  <si>
    <t>Satya Siva Durga Agencies, Chebrolu</t>
  </si>
  <si>
    <t>Kakinada</t>
  </si>
  <si>
    <t>Multiple bunks</t>
  </si>
  <si>
    <t>YG Gudda-2</t>
  </si>
  <si>
    <t>Pankaja HP Fuel Center</t>
  </si>
  <si>
    <t xml:space="preserve">One stop 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</si>
  <si>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</si>
  <si>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</si>
  <si>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</si>
  <si>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</si>
  <si>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</si>
  <si>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</si>
  <si>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</si>
  <si>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</si>
  <si>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</si>
  <si>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</si>
  <si>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</si>
  <si>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</si>
  <si>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</si>
  <si>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</si>
  <si>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</si>
  <si>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</si>
  <si>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</si>
  <si>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</si>
  <si>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</si>
  <si>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Borgaon(PKG-3)</t>
  </si>
  <si>
    <t>Aadisagar Petrolium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</si>
  <si>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</si>
  <si>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</si>
  <si>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</si>
  <si>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</si>
  <si>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</si>
  <si>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</si>
  <si>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</si>
  <si>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</si>
  <si>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Jalgaon-2</t>
  </si>
  <si>
    <t>Nayara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</si>
  <si>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</si>
  <si>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</si>
  <si>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</si>
  <si>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</si>
  <si>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</si>
  <si>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</si>
  <si>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</si>
  <si>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</si>
  <si>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</si>
  <si>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</si>
  <si>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</si>
  <si>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</si>
  <si>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</si>
  <si>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</si>
  <si>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</si>
  <si>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</si>
  <si>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</si>
  <si>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</si>
  <si>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</si>
  <si>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</si>
  <si>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</si>
  <si>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</si>
  <si>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</si>
  <si>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</si>
  <si>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</si>
  <si>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</si>
  <si>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</si>
  <si>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</si>
  <si>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</si>
  <si>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</si>
  <si>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</si>
  <si>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</si>
  <si>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</si>
  <si>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</si>
  <si>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</si>
  <si>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</si>
  <si>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</si>
  <si>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</si>
  <si>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</si>
  <si>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</si>
  <si>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</si>
  <si>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</si>
  <si>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</si>
  <si>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</si>
  <si>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</si>
  <si>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</si>
  <si>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</si>
  <si>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Credit Card</t>
  </si>
  <si>
    <t>Roundoff</t>
  </si>
  <si>
    <t>As 0n Date</t>
  </si>
  <si>
    <t>250000-IOCL/40696-DGM Sir</t>
  </si>
  <si>
    <t>DGM Sir</t>
  </si>
  <si>
    <t>Devendra</t>
  </si>
  <si>
    <t>260000/DGM-70000 IOCL</t>
  </si>
  <si>
    <t>300000-IOCL/DGM-155000</t>
  </si>
  <si>
    <t xml:space="preserve">JSASFuel Genie India Pvt.Ltd													</t>
  </si>
  <si>
    <t xml:space="preserve"> Vajra mahalakshmi filling station</t>
  </si>
  <si>
    <t xml:space="preserve"> Cash &amp;Carry</t>
  </si>
  <si>
    <t>Stambhadri Fuel Park HPCL</t>
  </si>
  <si>
    <t>Ind no/Bill No</t>
  </si>
  <si>
    <t>As on Date</t>
  </si>
  <si>
    <t>SHIVA PARVATHI FILLING STATION SADASHIVPET</t>
  </si>
  <si>
    <t xml:space="preserve"> </t>
  </si>
  <si>
    <t>BT</t>
  </si>
  <si>
    <t>DEVI VYSHNAVI FILLING STATION</t>
  </si>
  <si>
    <t>BALABHADRAPURAM</t>
  </si>
  <si>
    <t xml:space="preserve">BP - KOVVUR </t>
  </si>
  <si>
    <t>KOVVUR</t>
  </si>
  <si>
    <t>SRI BHIMESWARA AGENCIES</t>
  </si>
  <si>
    <t>AMALAPURAM</t>
  </si>
  <si>
    <t>MOTILAL RUPCHAND</t>
  </si>
  <si>
    <t>SOLASA KRISHNA OIL COMPANY</t>
  </si>
  <si>
    <t>JANGAREDDYGUDEM</t>
  </si>
  <si>
    <t>BP - CHAKRADWARABANDHAM</t>
  </si>
  <si>
    <t>RAJHAMUNDRY</t>
  </si>
  <si>
    <t>BP - QUARRY MARKET</t>
  </si>
  <si>
    <t>SRI BALAJI AGENCIES</t>
  </si>
  <si>
    <t>KAKINADA</t>
  </si>
  <si>
    <t>SRI MALLIDI VENKATA REDDY AGENCIES</t>
  </si>
  <si>
    <t>MANDAPETA</t>
  </si>
  <si>
    <t>TIRUMALA AGENCIES</t>
  </si>
  <si>
    <t>MUMIDIVARAM</t>
  </si>
  <si>
    <t>KILARAM BROTHERS</t>
  </si>
  <si>
    <t>SREE SURYAPRAKASH SERVICE STATION</t>
  </si>
  <si>
    <t>RAJ PETROS</t>
  </si>
  <si>
    <t>RAVULAPALEM</t>
  </si>
  <si>
    <t>BP - RAJANAGARAM</t>
  </si>
  <si>
    <t>SRI VIJAYAKRISHNA FILLING STATION</t>
  </si>
  <si>
    <t>PSRG FILLING STATION</t>
  </si>
  <si>
    <t>YERNAGUDEM</t>
  </si>
  <si>
    <t>BP-CHAKRADWARABANDHAM</t>
  </si>
  <si>
    <t>-</t>
  </si>
  <si>
    <t>SATYA SIVA DURGA AGENCIES, CHEBROLU (BPCL)</t>
  </si>
  <si>
    <t>SRI SATYA FILLING STATION, YELESWARAM (BPCL)</t>
  </si>
  <si>
    <t>ROYAL FILL 'N' FLY, AMALAPURAM(HPCL)</t>
  </si>
  <si>
    <t>IOCL</t>
  </si>
  <si>
    <t>HPCL</t>
  </si>
  <si>
    <t> </t>
  </si>
  <si>
    <t>One Stop</t>
  </si>
  <si>
    <t>Sree Veerabhadreshwara Service Station</t>
  </si>
  <si>
    <t>Molakamuru</t>
  </si>
  <si>
    <t>Shivaganga Service Station (BPCL)</t>
  </si>
  <si>
    <t>Chellakere-PKG-09</t>
  </si>
  <si>
    <t>Date of payment</t>
  </si>
  <si>
    <t>Shiri Shiva Petroluem</t>
  </si>
  <si>
    <t>HPCl</t>
  </si>
  <si>
    <t>DANESHWARI  PETROLIUM(YERRAGATTI)</t>
  </si>
  <si>
    <t>d</t>
  </si>
  <si>
    <t>Card Payment</t>
  </si>
  <si>
    <t>VARAD PETROLEUM SHEDBAL</t>
  </si>
  <si>
    <t xml:space="preserve">V.M.MIRJANKAR (KUMTA) BHARAT 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</si>
  <si>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</si>
  <si>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</si>
  <si>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</si>
  <si>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</si>
  <si>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</si>
  <si>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</si>
  <si>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</si>
  <si>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</si>
  <si>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</si>
  <si>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</si>
  <si>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>CASH purchese</t>
  </si>
  <si>
    <t xml:space="preserve"> Magavi fuel F/S</t>
  </si>
  <si>
    <t>.</t>
  </si>
  <si>
    <t>raja bhakshi</t>
  </si>
  <si>
    <t>Shiva ganga</t>
  </si>
  <si>
    <t xml:space="preserve">  TR Associates</t>
  </si>
  <si>
    <t xml:space="preserve"> S R PATIL</t>
  </si>
  <si>
    <t>Talikote</t>
  </si>
  <si>
    <t>`</t>
  </si>
  <si>
    <t>BPCL Card Ledger</t>
  </si>
  <si>
    <t>Petrol Bunk Name</t>
  </si>
  <si>
    <t>Card No</t>
  </si>
  <si>
    <t>Recharge Amount</t>
  </si>
  <si>
    <t>Redeem</t>
  </si>
  <si>
    <t>BP- KOVVURU BHARAT PETROLEUM CORPN LTD.</t>
  </si>
  <si>
    <t>FC8000207659</t>
  </si>
  <si>
    <t>7,84,905.31</t>
  </si>
  <si>
    <t>DEVI VYSHNAVI FILLING STATION BHARAT PETROLEUM DEALERS</t>
  </si>
  <si>
    <t>MOTILAL RUPCHAND BHARAT PETROLEUM DEALERS</t>
  </si>
  <si>
    <t>SRI BHIMESWARA AGENCIES BHARAT PETROLEUM DEALERS</t>
  </si>
  <si>
    <t>BP-CHAKRADWARABANDHAM BHARAT PETROLEUM DEALERS</t>
  </si>
  <si>
    <t>BP-QUARRY MARKET BHARAT PETROLEUM DEALERS</t>
  </si>
  <si>
    <t>HITECH FILLING STATION BHARAT PETROLEUM DEALERS</t>
  </si>
  <si>
    <t>SHIVAGANGA SERVICE STATION BHARAT PETROLEUM DEALERS</t>
  </si>
  <si>
    <t>FC3450698863</t>
  </si>
  <si>
    <t>SOLASA KRISHNA OIL COMPANY BHARAT PETROLEUM DEALERS</t>
  </si>
  <si>
    <t>TS POLICE WELFARE SOCIETY-CYD- BHARAT PETROLEUM DEALERS</t>
  </si>
  <si>
    <t>VIJAYA BHARAT FUEL &amp; SERVICES BHARAT PETROLEUM DEALERS</t>
  </si>
  <si>
    <t>KILARAM BROTHERS BHARAT PETROLEUM DEALERS</t>
  </si>
  <si>
    <t>SRI BALAJI AGENCIES BHARAT PETROLEUM DEALERS</t>
  </si>
  <si>
    <t>SRI MALLIDI VENKATA REDDY AGEN BHARAT PETROLEUM DEALERS</t>
  </si>
  <si>
    <t>TIRUMALA AGENCIES BHARAT PETROLEUM DEALERS</t>
  </si>
  <si>
    <t>JAGALUR MAHALINGAPPA PETRO AGE BHARAT PETROLEUM DEALERS</t>
  </si>
  <si>
    <t>JUBILEE HILLS FILL. STN. BHARAT PETROLEUM DEALERS</t>
  </si>
  <si>
    <t>SREE SURYAPRAKASH SERVICE STAT BHARAT PETROLEUM DEALERS</t>
  </si>
  <si>
    <t>MAHADEVI FUELS BHARAT PETROLEUM DEALERS</t>
  </si>
  <si>
    <t>FC8000207650</t>
  </si>
  <si>
    <t>MUKHYAPRANA HERITAGE FUELS BHARAT PETROLEUM DEALERS</t>
  </si>
  <si>
    <t>SAKLASPUR ENTERPRISES BHARAT PETROLEUM DEALERS</t>
  </si>
  <si>
    <t>SHRI BRAHMANATH PETROLEUM BHARAT PETROLEUM DEALERS</t>
  </si>
  <si>
    <t>FC3450698868</t>
  </si>
  <si>
    <t>FEDERATION OF LORRY OWNERS ASS BHARAT PETROLEUM DEALERS</t>
  </si>
  <si>
    <t>RAJ PETROS BHARAT PETROLEUM DEALERS</t>
  </si>
  <si>
    <t>SANDHYA FUEL STATION BHARAT PETROLEUM DEALERS</t>
  </si>
  <si>
    <t>W SRINIVAS RAO &amp; SONS BHARAT PETROLEUM DEALERS</t>
  </si>
  <si>
    <t>RATHNA FUEL STATION BHARAT PETROLEUM DEALERS</t>
  </si>
  <si>
    <t>AKARAPU BALAKISTAMMA FILLLING BHARAT PETROLEUM DEALERS</t>
  </si>
  <si>
    <t>FC3450676134</t>
  </si>
  <si>
    <t>BP-RAJANAGARAM BHARAT PETROLEUM CORPORATION L</t>
  </si>
  <si>
    <t>FC3450698866</t>
  </si>
  <si>
    <t>THIRUMALA FUEL STATION BHARAT PETROLEUM DEALERS</t>
  </si>
  <si>
    <t>SAI SHIVA FILLING STATION BHARAT PETROLEUM DEALERS</t>
  </si>
  <si>
    <t>FC3450676135</t>
  </si>
  <si>
    <t>SRI VIJAYAKRISHNA FILLING STAT BHARAT PETROLEUM DEALERS</t>
  </si>
  <si>
    <t>S S FILLING STATION BHARAT PETROLEUM DEALERS</t>
  </si>
  <si>
    <t>AJITH PETROS BHARAT PETROLEUM DEALERS</t>
  </si>
  <si>
    <t>P.S.R.G FILLING STATION BHARAT PETROLEUM DEALERS</t>
  </si>
  <si>
    <t>V G SHETRU BHARAT PETROLEUM DEALERS</t>
  </si>
  <si>
    <t>FC3450698861</t>
  </si>
  <si>
    <t>SLN FUELS BHARAT PETROLEUM DEALERS</t>
  </si>
  <si>
    <t>RAGHURAM FUELS BHARAT PETROLEUM DEALERS</t>
  </si>
  <si>
    <t>CAPITAL FUELS BHARAT PETROLEUM DEALERS</t>
  </si>
  <si>
    <t>HPCL Card Ledger</t>
  </si>
  <si>
    <t>02.08.2026</t>
  </si>
  <si>
    <t>Stambhadri Fuel Park</t>
  </si>
  <si>
    <t>8200079000522057</t>
  </si>
  <si>
    <t>03.08.2026</t>
  </si>
  <si>
    <t>Venkatadri fuel Point</t>
  </si>
  <si>
    <t>8200079005271461</t>
  </si>
  <si>
    <t>04.08.2026</t>
  </si>
  <si>
    <t>05.08.2026</t>
  </si>
  <si>
    <t>AJ PETROLINKS</t>
  </si>
  <si>
    <t>8200079004507062</t>
  </si>
  <si>
    <t>PANKAJA HP FUEL CENTRE</t>
  </si>
  <si>
    <t>8200079004507153</t>
  </si>
  <si>
    <t>06.08.2026</t>
  </si>
  <si>
    <t>07.08.2026</t>
  </si>
  <si>
    <t>08.08.2026</t>
  </si>
  <si>
    <t>10.08.2026</t>
  </si>
  <si>
    <t>11.08.2026</t>
  </si>
  <si>
    <t>TUMCOS FUEL STATION</t>
  </si>
  <si>
    <t>MSHSD SHRI HEMAGIRI PETROLEUM</t>
  </si>
  <si>
    <t>8200079004507121</t>
  </si>
  <si>
    <t>12.08.2026</t>
  </si>
  <si>
    <t>ROYAL FILL &amp;#x27;N&amp;#x27; FLY</t>
  </si>
  <si>
    <t>8200079005271395</t>
  </si>
  <si>
    <t>13.08.2026</t>
  </si>
  <si>
    <t>DIVYA LAXMI GANAPATHI AUTO SERVICES</t>
  </si>
  <si>
    <t>SHIVA OIL TRADERS</t>
  </si>
  <si>
    <t>8200079004507138</t>
  </si>
  <si>
    <t>VARAD PETROLEUM</t>
  </si>
  <si>
    <t>8200079004507071</t>
  </si>
  <si>
    <t>14.08.2026</t>
  </si>
  <si>
    <t>POORNIMA FILLING STATION</t>
  </si>
  <si>
    <t>8200079000522041</t>
  </si>
  <si>
    <t>SHRI SHIVA PETROLEUM</t>
  </si>
  <si>
    <t>8200079005271387</t>
  </si>
  <si>
    <t>19.08.2026</t>
  </si>
  <si>
    <t>20.08.2026</t>
  </si>
  <si>
    <t>21.08.2026</t>
  </si>
  <si>
    <t>22.08.2026</t>
  </si>
  <si>
    <t>24.08.2026</t>
  </si>
  <si>
    <t>26.08.2026</t>
  </si>
  <si>
    <t>27.08.2026</t>
  </si>
  <si>
    <t>28.08.2026</t>
  </si>
  <si>
    <t>29.08.2026</t>
  </si>
  <si>
    <t>31.08.2026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</si>
</sst>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  <numFmt numFmtId="173" formatCode="0.000_ "/>
    <numFmt numFmtId="174" formatCode="[$-409]d\-mmm\-yyyy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34"/>
    </font>
    <font>
      <sz val="11"/>
      <color rgb="FF242424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</cellStyleXfs>
  <cellXfs count="613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0" fillId="0" borderId="10" xfId="0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4" fillId="3" borderId="6" xfId="0" applyNumberFormat="1" applyFont="1" applyFill="1" applyBorder="1" applyAlignment="1">
      <alignment horizontal="right" vertical="center" wrapText="1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0" fillId="0" borderId="21" xfId="0" applyBorder="1"/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5" fontId="19" fillId="2" borderId="5" xfId="0" applyNumberFormat="1" applyFont="1" applyFill="1" applyBorder="1"/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right" vertical="center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11" xfId="0" applyNumberFormat="1" applyFont="1" applyFill="1" applyBorder="1" applyAlignment="1">
      <alignment vertical="center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14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0" fontId="0" fillId="2" borderId="10" xfId="0" applyFill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0" fontId="19" fillId="2" borderId="13" xfId="0" applyFont="1" applyFill="1" applyBorder="1"/>
    <xf numFmtId="0" fontId="19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0" fillId="0" borderId="0" xfId="0" applyFont="1"/>
    <xf numFmtId="1" fontId="0" fillId="0" borderId="0" xfId="0" applyNumberFormat="1"/>
    <xf numFmtId="0" fontId="29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31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0" fillId="10" borderId="5" xfId="0" applyFill="1" applyBorder="1"/>
    <xf numFmtId="0" fontId="15" fillId="5" borderId="9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4" borderId="42" xfId="0" applyNumberFormat="1" applyFont="1" applyFill="1" applyBorder="1" applyAlignment="1">
      <alignment horizontal="center" vertical="center"/>
    </xf>
    <xf numFmtId="164" fontId="10" fillId="4" borderId="42" xfId="1" applyFont="1" applyFill="1" applyBorder="1" applyAlignment="1">
      <alignment horizontal="center" vertical="center"/>
    </xf>
    <xf numFmtId="164" fontId="10" fillId="4" borderId="43" xfId="1" applyFont="1" applyFill="1" applyBorder="1" applyAlignment="1">
      <alignment horizontal="center" vertical="center"/>
    </xf>
    <xf numFmtId="164" fontId="10" fillId="4" borderId="44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0" fontId="18" fillId="0" borderId="0" xfId="0" applyFont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1" borderId="5" xfId="0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left" vertical="center" wrapText="1"/>
    </xf>
    <xf numFmtId="2" fontId="32" fillId="11" borderId="5" xfId="0" applyNumberFormat="1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center" vertical="center"/>
    </xf>
    <xf numFmtId="14" fontId="32" fillId="11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9" fillId="0" borderId="5" xfId="0" applyNumberFormat="1" applyFont="1" applyBorder="1"/>
    <xf numFmtId="0" fontId="34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6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2" fontId="0" fillId="0" borderId="33" xfId="0" applyNumberFormat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3" fontId="4" fillId="2" borderId="13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4" fontId="19" fillId="0" borderId="11" xfId="0" applyNumberFormat="1" applyFont="1" applyBorder="1"/>
    <xf numFmtId="164" fontId="11" fillId="0" borderId="33" xfId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9" fillId="0" borderId="2" xfId="0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166" fontId="4" fillId="0" borderId="5" xfId="0" applyNumberFormat="1" applyFont="1" applyBorder="1" applyAlignment="1">
      <alignment horizontal="right"/>
    </xf>
    <xf numFmtId="172" fontId="29" fillId="0" borderId="11" xfId="0" applyNumberFormat="1" applyFont="1" applyBorder="1" applyAlignment="1">
      <alignment horizontal="left" vertical="center" wrapText="1"/>
    </xf>
    <xf numFmtId="166" fontId="29" fillId="0" borderId="5" xfId="0" applyNumberFormat="1" applyFont="1" applyBorder="1" applyAlignment="1">
      <alignment horizontal="right" vertical="center"/>
    </xf>
    <xf numFmtId="164" fontId="29" fillId="0" borderId="5" xfId="1" applyFont="1" applyBorder="1" applyAlignment="1">
      <alignment horizontal="right" vertical="center"/>
    </xf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0" fontId="0" fillId="0" borderId="27" xfId="0" applyBorder="1"/>
    <xf numFmtId="15" fontId="19" fillId="2" borderId="12" xfId="0" applyNumberFormat="1" applyFont="1" applyFill="1" applyBorder="1"/>
    <xf numFmtId="0" fontId="19" fillId="2" borderId="40" xfId="0" applyFont="1" applyFill="1" applyBorder="1"/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7" fillId="0" borderId="12" xfId="0" applyFont="1" applyBorder="1" applyAlignment="1">
      <alignment horizontal="center" vertical="top"/>
    </xf>
    <xf numFmtId="0" fontId="0" fillId="2" borderId="13" xfId="0" applyFill="1" applyBorder="1"/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0" fontId="6" fillId="0" borderId="2" xfId="0" applyFont="1" applyBorder="1"/>
    <xf numFmtId="0" fontId="19" fillId="0" borderId="13" xfId="0" applyFont="1" applyBorder="1"/>
    <xf numFmtId="2" fontId="0" fillId="0" borderId="13" xfId="0" applyNumberFormat="1" applyBorder="1" applyAlignment="1">
      <alignment horizontal="right"/>
    </xf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2" fontId="0" fillId="0" borderId="21" xfId="0" applyNumberFormat="1" applyBorder="1" applyAlignment="1">
      <alignment horizontal="right"/>
    </xf>
    <xf numFmtId="0" fontId="19" fillId="0" borderId="21" xfId="0" applyFont="1" applyBorder="1"/>
    <xf numFmtId="15" fontId="19" fillId="2" borderId="13" xfId="0" applyNumberFormat="1" applyFont="1" applyFill="1" applyBorder="1"/>
    <xf numFmtId="0" fontId="6" fillId="0" borderId="40" xfId="0" applyFont="1" applyBorder="1"/>
    <xf numFmtId="0" fontId="19" fillId="0" borderId="40" xfId="0" applyFont="1" applyBorder="1"/>
    <xf numFmtId="0" fontId="0" fillId="2" borderId="23" xfId="0" applyFill="1" applyBorder="1"/>
    <xf numFmtId="15" fontId="19" fillId="2" borderId="23" xfId="0" applyNumberFormat="1" applyFont="1" applyFill="1" applyBorder="1"/>
    <xf numFmtId="15" fontId="19" fillId="2" borderId="10" xfId="0" applyNumberFormat="1" applyFont="1" applyFill="1" applyBorder="1"/>
    <xf numFmtId="15" fontId="19" fillId="2" borderId="27" xfId="0" applyNumberFormat="1" applyFont="1" applyFill="1" applyBorder="1"/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0" fontId="0" fillId="0" borderId="23" xfId="0" applyBorder="1"/>
    <xf numFmtId="0" fontId="19" fillId="0" borderId="46" xfId="0" applyFont="1" applyBorder="1"/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37" fillId="0" borderId="2" xfId="0" applyFont="1" applyBorder="1"/>
    <xf numFmtId="0" fontId="0" fillId="0" borderId="13" xfId="0" applyBorder="1" applyAlignment="1">
      <alignment horizontal="right"/>
    </xf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38" fillId="0" borderId="5" xfId="0" applyFont="1" applyBorder="1"/>
    <xf numFmtId="0" fontId="39" fillId="0" borderId="5" xfId="0" applyFont="1" applyBorder="1"/>
    <xf numFmtId="2" fontId="40" fillId="0" borderId="5" xfId="0" applyNumberFormat="1" applyFont="1" applyBorder="1"/>
    <xf numFmtId="0" fontId="0" fillId="0" borderId="10" xfId="0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2" fontId="0" fillId="0" borderId="10" xfId="0" applyNumberFormat="1" applyBorder="1"/>
    <xf numFmtId="166" fontId="37" fillId="0" borderId="5" xfId="0" applyNumberFormat="1" applyFont="1" applyBorder="1" applyAlignment="1">
      <alignment horizontal="center"/>
    </xf>
    <xf numFmtId="1" fontId="27" fillId="2" borderId="12" xfId="1" applyNumberFormat="1" applyFont="1" applyFill="1" applyBorder="1" applyAlignment="1">
      <alignment vertical="center"/>
    </xf>
    <xf numFmtId="166" fontId="37" fillId="0" borderId="13" xfId="0" applyNumberFormat="1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2" fontId="25" fillId="2" borderId="5" xfId="0" applyNumberFormat="1" applyFont="1" applyFill="1" applyBorder="1" applyAlignment="1">
      <alignment horizontal="center"/>
    </xf>
    <xf numFmtId="0" fontId="25" fillId="2" borderId="5" xfId="0" applyFont="1" applyFill="1" applyBorder="1"/>
    <xf numFmtId="166" fontId="25" fillId="0" borderId="12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center" indent="1"/>
    </xf>
    <xf numFmtId="166" fontId="29" fillId="0" borderId="5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43" fontId="4" fillId="0" borderId="0" xfId="0" applyNumberFormat="1" applyFont="1"/>
    <xf numFmtId="4" fontId="19" fillId="0" borderId="5" xfId="0" applyNumberFormat="1" applyFont="1" applyBorder="1"/>
    <xf numFmtId="4" fontId="19" fillId="0" borderId="24" xfId="0" applyNumberFormat="1" applyFont="1" applyBorder="1"/>
    <xf numFmtId="1" fontId="0" fillId="0" borderId="10" xfId="0" applyNumberFormat="1" applyBorder="1"/>
    <xf numFmtId="0" fontId="13" fillId="0" borderId="5" xfId="0" quotePrefix="1" applyFont="1" applyBorder="1"/>
    <xf numFmtId="0" fontId="6" fillId="0" borderId="5" xfId="0" quotePrefix="1" applyFont="1" applyBorder="1"/>
    <xf numFmtId="166" fontId="37" fillId="0" borderId="2" xfId="0" applyNumberFormat="1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2" fontId="10" fillId="4" borderId="48" xfId="0" applyNumberFormat="1" applyFont="1" applyFill="1" applyBorder="1" applyAlignment="1">
      <alignment horizontal="center" vertical="center"/>
    </xf>
    <xf numFmtId="2" fontId="10" fillId="4" borderId="49" xfId="0" applyNumberFormat="1" applyFont="1" applyFill="1" applyBorder="1" applyAlignment="1">
      <alignment horizontal="center" vertical="center"/>
    </xf>
    <xf numFmtId="2" fontId="10" fillId="4" borderId="50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18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164" fontId="4" fillId="0" borderId="51" xfId="1" applyFont="1" applyBorder="1" applyAlignment="1">
      <alignment horizontal="center" vertical="center"/>
    </xf>
    <xf numFmtId="164" fontId="5" fillId="4" borderId="27" xfId="1" applyFont="1" applyFill="1" applyBorder="1" applyAlignment="1">
      <alignment horizontal="center" vertical="center"/>
    </xf>
    <xf numFmtId="164" fontId="5" fillId="4" borderId="33" xfId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top"/>
    </xf>
    <xf numFmtId="43" fontId="4" fillId="2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6" fillId="0" borderId="11" xfId="0" applyFont="1" applyBorder="1"/>
    <xf numFmtId="43" fontId="12" fillId="3" borderId="13" xfId="0" applyNumberFormat="1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164" fontId="41" fillId="2" borderId="5" xfId="0" applyNumberFormat="1" applyFont="1" applyFill="1" applyBorder="1"/>
    <xf numFmtId="164" fontId="41" fillId="2" borderId="7" xfId="0" applyNumberFormat="1" applyFont="1" applyFill="1" applyBorder="1"/>
    <xf numFmtId="169" fontId="4" fillId="0" borderId="5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top"/>
    </xf>
    <xf numFmtId="0" fontId="13" fillId="0" borderId="10" xfId="0" quotePrefix="1" applyFont="1" applyBorder="1"/>
    <xf numFmtId="0" fontId="13" fillId="0" borderId="13" xfId="0" applyFont="1" applyBorder="1"/>
    <xf numFmtId="0" fontId="13" fillId="0" borderId="12" xfId="0" applyFont="1" applyBorder="1"/>
    <xf numFmtId="166" fontId="37" fillId="10" borderId="2" xfId="0" applyNumberFormat="1" applyFont="1" applyFill="1" applyBorder="1" applyAlignment="1">
      <alignment horizontal="center"/>
    </xf>
    <xf numFmtId="0" fontId="37" fillId="10" borderId="2" xfId="0" applyFont="1" applyFill="1" applyBorder="1"/>
    <xf numFmtId="166" fontId="20" fillId="0" borderId="5" xfId="0" applyNumberFormat="1" applyFont="1" applyBorder="1" applyAlignment="1">
      <alignment horizontal="center"/>
    </xf>
    <xf numFmtId="169" fontId="4" fillId="0" borderId="12" xfId="1" applyNumberFormat="1" applyFont="1" applyBorder="1" applyAlignment="1">
      <alignment horizontal="center" vertical="center"/>
    </xf>
    <xf numFmtId="0" fontId="2" fillId="0" borderId="5" xfId="4" applyBorder="1"/>
    <xf numFmtId="0" fontId="27" fillId="0" borderId="10" xfId="0" applyFont="1" applyBorder="1"/>
    <xf numFmtId="0" fontId="27" fillId="0" borderId="13" xfId="0" applyFont="1" applyBorder="1"/>
    <xf numFmtId="1" fontId="27" fillId="2" borderId="52" xfId="0" applyNumberFormat="1" applyFont="1" applyFill="1" applyBorder="1"/>
    <xf numFmtId="0" fontId="27" fillId="0" borderId="12" xfId="0" applyFont="1" applyBorder="1"/>
    <xf numFmtId="1" fontId="27" fillId="2" borderId="53" xfId="0" applyNumberFormat="1" applyFont="1" applyFill="1" applyBorder="1"/>
    <xf numFmtId="165" fontId="19" fillId="0" borderId="2" xfId="0" applyNumberFormat="1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166" fontId="25" fillId="0" borderId="2" xfId="0" applyNumberFormat="1" applyFont="1" applyBorder="1"/>
    <xf numFmtId="166" fontId="25" fillId="0" borderId="2" xfId="0" applyNumberFormat="1" applyFont="1" applyBorder="1" applyAlignment="1">
      <alignment horizontal="center"/>
    </xf>
    <xf numFmtId="164" fontId="25" fillId="0" borderId="2" xfId="1" applyFont="1" applyBorder="1" applyAlignment="1"/>
    <xf numFmtId="0" fontId="0" fillId="2" borderId="2" xfId="0" applyFill="1" applyBorder="1"/>
    <xf numFmtId="0" fontId="25" fillId="2" borderId="2" xfId="0" applyFont="1" applyFill="1" applyBorder="1" applyAlignment="1">
      <alignment horizontal="center"/>
    </xf>
    <xf numFmtId="166" fontId="25" fillId="2" borderId="2" xfId="0" applyNumberFormat="1" applyFont="1" applyFill="1" applyBorder="1" applyAlignment="1">
      <alignment horizontal="center"/>
    </xf>
    <xf numFmtId="166" fontId="25" fillId="2" borderId="2" xfId="0" applyNumberFormat="1" applyFont="1" applyFill="1" applyBorder="1"/>
    <xf numFmtId="0" fontId="0" fillId="0" borderId="2" xfId="0" applyBorder="1"/>
    <xf numFmtId="2" fontId="0" fillId="0" borderId="2" xfId="0" applyNumberFormat="1" applyBorder="1"/>
    <xf numFmtId="0" fontId="25" fillId="2" borderId="2" xfId="0" applyFont="1" applyFill="1" applyBorder="1"/>
    <xf numFmtId="0" fontId="25" fillId="2" borderId="2" xfId="0" applyFont="1" applyFill="1" applyBorder="1" applyAlignment="1">
      <alignment horizontal="left"/>
    </xf>
    <xf numFmtId="0" fontId="25" fillId="0" borderId="6" xfId="0" applyFont="1" applyBorder="1" applyAlignment="1">
      <alignment horizontal="center"/>
    </xf>
    <xf numFmtId="166" fontId="25" fillId="0" borderId="6" xfId="0" applyNumberFormat="1" applyFont="1" applyBorder="1"/>
    <xf numFmtId="166" fontId="25" fillId="0" borderId="6" xfId="0" applyNumberFormat="1" applyFont="1" applyBorder="1" applyAlignment="1">
      <alignment horizontal="center"/>
    </xf>
    <xf numFmtId="173" fontId="25" fillId="0" borderId="6" xfId="0" applyNumberFormat="1" applyFont="1" applyBorder="1"/>
    <xf numFmtId="166" fontId="25" fillId="2" borderId="6" xfId="0" applyNumberFormat="1" applyFont="1" applyFill="1" applyBorder="1"/>
    <xf numFmtId="0" fontId="0" fillId="2" borderId="2" xfId="0" applyFill="1" applyBorder="1" applyAlignment="1">
      <alignment horizontal="left"/>
    </xf>
    <xf numFmtId="164" fontId="2" fillId="0" borderId="2" xfId="1" applyFont="1" applyFill="1" applyBorder="1" applyAlignment="1"/>
    <xf numFmtId="164" fontId="0" fillId="0" borderId="2" xfId="1" applyFont="1" applyFill="1" applyBorder="1" applyAlignment="1"/>
    <xf numFmtId="0" fontId="25" fillId="2" borderId="6" xfId="0" applyFont="1" applyFill="1" applyBorder="1" applyAlignment="1">
      <alignment horizontal="center"/>
    </xf>
    <xf numFmtId="164" fontId="2" fillId="0" borderId="6" xfId="1" applyFont="1" applyFill="1" applyBorder="1" applyAlignment="1"/>
    <xf numFmtId="164" fontId="0" fillId="2" borderId="6" xfId="1" applyFont="1" applyFill="1" applyBorder="1" applyAlignment="1"/>
    <xf numFmtId="166" fontId="25" fillId="0" borderId="6" xfId="0" applyNumberFormat="1" applyFont="1" applyBorder="1" applyAlignment="1">
      <alignment horizontal="center" vertical="center"/>
    </xf>
    <xf numFmtId="166" fontId="25" fillId="0" borderId="6" xfId="0" applyNumberFormat="1" applyFont="1" applyBorder="1" applyAlignment="1">
      <alignment vertical="center"/>
    </xf>
    <xf numFmtId="165" fontId="19" fillId="2" borderId="2" xfId="0" applyNumberFormat="1" applyFont="1" applyFill="1" applyBorder="1" applyAlignment="1">
      <alignment horizontal="center" vertical="center"/>
    </xf>
    <xf numFmtId="166" fontId="25" fillId="2" borderId="6" xfId="0" applyNumberFormat="1" applyFont="1" applyFill="1" applyBorder="1" applyAlignment="1">
      <alignment horizontal="center"/>
    </xf>
    <xf numFmtId="164" fontId="25" fillId="2" borderId="2" xfId="1" applyFont="1" applyFill="1" applyBorder="1" applyAlignment="1"/>
    <xf numFmtId="165" fontId="19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25" fillId="10" borderId="6" xfId="0" applyFont="1" applyFill="1" applyBorder="1" applyAlignment="1">
      <alignment horizontal="center"/>
    </xf>
    <xf numFmtId="166" fontId="25" fillId="10" borderId="6" xfId="0" applyNumberFormat="1" applyFont="1" applyFill="1" applyBorder="1"/>
    <xf numFmtId="166" fontId="25" fillId="10" borderId="6" xfId="0" applyNumberFormat="1" applyFont="1" applyFill="1" applyBorder="1" applyAlignment="1">
      <alignment horizontal="center"/>
    </xf>
    <xf numFmtId="164" fontId="25" fillId="10" borderId="2" xfId="1" applyFont="1" applyFill="1" applyBorder="1" applyAlignment="1"/>
    <xf numFmtId="164" fontId="25" fillId="0" borderId="2" xfId="1" applyFont="1" applyFill="1" applyBorder="1" applyAlignment="1"/>
    <xf numFmtId="165" fontId="19" fillId="0" borderId="6" xfId="0" applyNumberFormat="1" applyFont="1" applyBorder="1" applyAlignment="1">
      <alignment horizontal="center" vertical="center"/>
    </xf>
    <xf numFmtId="0" fontId="27" fillId="2" borderId="0" xfId="0" applyFont="1" applyFill="1"/>
    <xf numFmtId="166" fontId="20" fillId="0" borderId="5" xfId="0" applyNumberFormat="1" applyFont="1" applyBorder="1" applyAlignment="1">
      <alignment horizontal="center" indent="1"/>
    </xf>
    <xf numFmtId="2" fontId="7" fillId="0" borderId="5" xfId="0" applyNumberFormat="1" applyFont="1" applyBorder="1"/>
    <xf numFmtId="164" fontId="25" fillId="0" borderId="6" xfId="1" applyFont="1" applyBorder="1" applyAlignment="1">
      <alignment horizontal="center"/>
    </xf>
    <xf numFmtId="164" fontId="25" fillId="0" borderId="2" xfId="1" applyFont="1" applyBorder="1" applyAlignment="1">
      <alignment horizontal="center"/>
    </xf>
    <xf numFmtId="164" fontId="0" fillId="2" borderId="2" xfId="1" applyFont="1" applyFill="1" applyBorder="1" applyAlignment="1"/>
    <xf numFmtId="164" fontId="25" fillId="2" borderId="6" xfId="1" applyFont="1" applyFill="1" applyBorder="1" applyAlignment="1">
      <alignment horizontal="center"/>
    </xf>
    <xf numFmtId="164" fontId="25" fillId="10" borderId="6" xfId="1" applyFont="1" applyFill="1" applyBorder="1" applyAlignment="1">
      <alignment horizontal="center"/>
    </xf>
    <xf numFmtId="1" fontId="27" fillId="2" borderId="23" xfId="0" applyNumberFormat="1" applyFont="1" applyFill="1" applyBorder="1"/>
    <xf numFmtId="1" fontId="27" fillId="2" borderId="27" xfId="0" applyNumberFormat="1" applyFont="1" applyFill="1" applyBorder="1"/>
    <xf numFmtId="1" fontId="18" fillId="0" borderId="5" xfId="0" applyNumberFormat="1" applyFont="1" applyBorder="1"/>
    <xf numFmtId="2" fontId="25" fillId="0" borderId="5" xfId="0" applyNumberFormat="1" applyFont="1" applyBorder="1" applyAlignment="1">
      <alignment horizontal="center" vertical="center"/>
    </xf>
    <xf numFmtId="164" fontId="2" fillId="0" borderId="54" xfId="1" applyFont="1" applyBorder="1" applyAlignment="1">
      <alignment vertical="center"/>
    </xf>
    <xf numFmtId="164" fontId="2" fillId="2" borderId="54" xfId="1" applyFont="1" applyFill="1" applyBorder="1" applyAlignment="1">
      <alignment horizontal="right" vertical="center"/>
    </xf>
    <xf numFmtId="164" fontId="2" fillId="0" borderId="54" xfId="1" applyFont="1" applyFill="1" applyBorder="1" applyAlignment="1">
      <alignment horizontal="right" vertical="center"/>
    </xf>
    <xf numFmtId="174" fontId="25" fillId="2" borderId="2" xfId="1" applyNumberFormat="1" applyFont="1" applyFill="1" applyBorder="1" applyAlignment="1">
      <alignment horizontal="center" vertical="center"/>
    </xf>
    <xf numFmtId="164" fontId="25" fillId="2" borderId="2" xfId="1" applyFont="1" applyFill="1" applyBorder="1" applyAlignment="1">
      <alignment horizontal="center"/>
    </xf>
    <xf numFmtId="164" fontId="42" fillId="2" borderId="2" xfId="0" applyNumberFormat="1" applyFont="1" applyFill="1" applyBorder="1"/>
    <xf numFmtId="164" fontId="42" fillId="0" borderId="2" xfId="0" applyNumberFormat="1" applyFont="1" applyBorder="1"/>
    <xf numFmtId="174" fontId="25" fillId="0" borderId="2" xfId="1" applyNumberFormat="1" applyFont="1" applyFill="1" applyBorder="1" applyAlignment="1">
      <alignment horizontal="center" vertical="center"/>
    </xf>
    <xf numFmtId="164" fontId="25" fillId="0" borderId="2" xfId="1" applyFont="1" applyFill="1" applyBorder="1" applyAlignment="1">
      <alignment horizontal="center"/>
    </xf>
    <xf numFmtId="164" fontId="25" fillId="2" borderId="2" xfId="0" applyNumberFormat="1" applyFont="1" applyFill="1" applyBorder="1" applyAlignment="1">
      <alignment horizontal="center"/>
    </xf>
    <xf numFmtId="2" fontId="18" fillId="0" borderId="0" xfId="0" applyNumberFormat="1" applyFont="1"/>
    <xf numFmtId="2" fontId="0" fillId="10" borderId="0" xfId="0" applyNumberFormat="1" applyFill="1"/>
    <xf numFmtId="2" fontId="20" fillId="0" borderId="5" xfId="0" applyNumberFormat="1" applyFont="1" applyBorder="1"/>
    <xf numFmtId="164" fontId="11" fillId="10" borderId="11" xfId="1" applyFont="1" applyFill="1" applyBorder="1" applyAlignment="1">
      <alignment horizontal="center" vertical="center"/>
    </xf>
    <xf numFmtId="0" fontId="4" fillId="2" borderId="5" xfId="0" applyFont="1" applyFill="1" applyBorder="1"/>
    <xf numFmtId="2" fontId="0" fillId="0" borderId="10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15" fontId="0" fillId="0" borderId="13" xfId="0" applyNumberFormat="1" applyBorder="1"/>
    <xf numFmtId="15" fontId="0" fillId="0" borderId="5" xfId="0" applyNumberFormat="1" applyBorder="1"/>
    <xf numFmtId="166" fontId="20" fillId="0" borderId="5" xfId="0" applyNumberFormat="1" applyFont="1" applyBorder="1" applyAlignment="1">
      <alignment horizontal="left" indent="1"/>
    </xf>
    <xf numFmtId="0" fontId="29" fillId="0" borderId="5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166" fontId="4" fillId="0" borderId="11" xfId="0" applyNumberFormat="1" applyFont="1" applyBorder="1"/>
    <xf numFmtId="166" fontId="4" fillId="0" borderId="12" xfId="0" applyNumberFormat="1" applyFont="1" applyBorder="1"/>
    <xf numFmtId="1" fontId="38" fillId="0" borderId="5" xfId="0" applyNumberFormat="1" applyFont="1" applyBorder="1"/>
    <xf numFmtId="0" fontId="15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32" fillId="11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5" fillId="5" borderId="4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8" fillId="0" borderId="24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" fillId="0" borderId="5" xfId="0" quotePrefix="1" applyFont="1" applyBorder="1" applyAlignment="1">
      <alignment horizontal="left" wrapText="1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  <cellStyle name="Normal 3" xfId="4" xr:uid="{931265BE-D218-4258-80C5-9D4E7635D8EA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D7A8A823-66A3-4A0D-BBB6-9B7D5C7FE292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6-08-27T10:05:32.18" personId="{D7A8A823-66A3-4A0D-BBB6-9B7D5C7FE292}" id="{AA23B43B-E1C2-4CCD-B489-88EE76E70833}">
    <text xml:space="preserve">received Diesel
 </text>
  </threadedComment>
</ThreadedComments>
</file>

<file path=xl/worksheets/_rels/sheet5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43" t="s">
        <v>0</v>
      </c>
      <c r="B2" s="344" t="s">
        <v>1</v>
      </c>
      <c r="C2" s="345" t="s">
        <v>2</v>
      </c>
      <c r="D2" s="345" t="s">
        <v>3</v>
      </c>
      <c r="E2" s="345" t="s">
        <v>3</v>
      </c>
      <c r="F2" s="345" t="s">
        <v>4</v>
      </c>
      <c r="G2" s="562" t="s">
        <v>5</v>
      </c>
      <c r="H2" s="562"/>
      <c r="I2" s="346" t="s">
        <v>6</v>
      </c>
      <c r="J2" s="346" t="s">
        <v>7</v>
      </c>
      <c r="K2" s="346" t="s">
        <v>8</v>
      </c>
      <c r="L2" s="346" t="s">
        <v>9</v>
      </c>
      <c r="M2" s="346" t="s">
        <v>10</v>
      </c>
      <c r="N2" s="346" t="s">
        <v>11</v>
      </c>
      <c r="O2" s="346" t="s">
        <v>12</v>
      </c>
      <c r="P2" s="346" t="s">
        <v>13</v>
      </c>
      <c r="Q2" s="346" t="s">
        <v>14</v>
      </c>
      <c r="R2" s="346" t="s">
        <v>15</v>
      </c>
      <c r="S2" s="346" t="s">
        <v>16</v>
      </c>
      <c r="T2" s="346" t="s">
        <v>17</v>
      </c>
      <c r="U2" s="346" t="s">
        <v>18</v>
      </c>
      <c r="V2" s="346" t="s">
        <v>19</v>
      </c>
      <c r="W2" s="346" t="s">
        <v>20</v>
      </c>
      <c r="X2" s="346" t="s">
        <v>21</v>
      </c>
      <c r="Y2" s="346" t="s">
        <v>22</v>
      </c>
      <c r="Z2" s="346" t="s">
        <v>23</v>
      </c>
      <c r="AA2" s="346" t="s">
        <v>24</v>
      </c>
      <c r="AB2" s="346" t="s">
        <v>25</v>
      </c>
      <c r="AC2" s="346" t="s">
        <v>26</v>
      </c>
      <c r="AD2" s="346" t="s">
        <v>27</v>
      </c>
      <c r="AE2" s="346" t="s">
        <v>28</v>
      </c>
      <c r="AF2" s="346" t="s">
        <v>29</v>
      </c>
      <c r="AG2" s="346" t="s">
        <v>30</v>
      </c>
      <c r="AH2" s="346" t="s">
        <v>31</v>
      </c>
      <c r="AI2" s="346" t="s">
        <v>32</v>
      </c>
      <c r="AJ2" s="346" t="s">
        <v>33</v>
      </c>
      <c r="AK2" s="346" t="s">
        <v>34</v>
      </c>
      <c r="AL2" s="346" t="s">
        <v>35</v>
      </c>
      <c r="AM2" s="347" t="s">
        <v>36</v>
      </c>
    </row>
    <row r="3" spans="1:39" s="340" customFormat="1">
      <c r="A3" s="348"/>
      <c r="B3" s="349"/>
      <c r="C3" s="350"/>
      <c r="D3" s="350"/>
      <c r="E3" s="350"/>
      <c r="F3" s="351" t="s">
        <v>37</v>
      </c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52"/>
    </row>
    <row r="4" spans="1:39" ht="15.75">
      <c r="A4" s="561">
        <v>1</v>
      </c>
      <c r="B4" s="560" t="s">
        <v>38</v>
      </c>
      <c r="C4" s="560" t="s">
        <v>39</v>
      </c>
      <c r="D4" s="563" t="s">
        <v>40</v>
      </c>
      <c r="E4" s="353" t="s">
        <v>37</v>
      </c>
      <c r="F4" s="342">
        <v>0</v>
      </c>
      <c r="G4" s="342">
        <v>0</v>
      </c>
      <c r="H4" s="342">
        <v>0</v>
      </c>
      <c r="I4" s="342">
        <v>0</v>
      </c>
      <c r="J4" s="342">
        <v>0</v>
      </c>
      <c r="K4" s="342">
        <v>0</v>
      </c>
      <c r="L4" s="342">
        <v>0</v>
      </c>
      <c r="M4" s="342">
        <v>0</v>
      </c>
      <c r="N4" s="342">
        <v>0</v>
      </c>
      <c r="O4" s="342">
        <v>0</v>
      </c>
      <c r="P4" s="342">
        <v>0</v>
      </c>
      <c r="Q4" s="342">
        <v>0</v>
      </c>
      <c r="R4" s="342">
        <v>0</v>
      </c>
      <c r="S4" s="342">
        <v>0</v>
      </c>
      <c r="T4" s="342">
        <v>0</v>
      </c>
      <c r="U4" s="342">
        <v>0</v>
      </c>
      <c r="V4" s="342">
        <v>0</v>
      </c>
      <c r="W4" s="342">
        <v>0</v>
      </c>
      <c r="X4" s="342">
        <v>5.22</v>
      </c>
      <c r="Y4" s="342">
        <v>0</v>
      </c>
      <c r="Z4" s="342">
        <v>0</v>
      </c>
      <c r="AA4" s="342">
        <v>0</v>
      </c>
      <c r="AB4" s="342">
        <v>0</v>
      </c>
      <c r="AC4" s="342">
        <v>0</v>
      </c>
      <c r="AD4" s="342">
        <v>60</v>
      </c>
      <c r="AE4" s="342">
        <v>0</v>
      </c>
      <c r="AF4" s="342">
        <v>0</v>
      </c>
      <c r="AG4" s="342">
        <v>0</v>
      </c>
      <c r="AH4" s="342">
        <v>4.5599999999999996</v>
      </c>
      <c r="AI4" s="342">
        <v>0</v>
      </c>
      <c r="AJ4" s="342">
        <v>0</v>
      </c>
      <c r="AK4" s="342">
        <v>0</v>
      </c>
      <c r="AL4" s="342">
        <v>0</v>
      </c>
      <c r="AM4" s="342">
        <f>SUM(F4:AL4)</f>
        <v>69.78</v>
      </c>
    </row>
    <row r="5" spans="1:39" ht="15.75">
      <c r="A5" s="561"/>
      <c r="B5" s="560"/>
      <c r="C5" s="560"/>
      <c r="D5" s="563"/>
      <c r="E5" s="354" t="s">
        <v>41</v>
      </c>
      <c r="F5" s="342">
        <v>0</v>
      </c>
      <c r="G5" s="342">
        <v>4.6900000000000004</v>
      </c>
      <c r="H5" s="342">
        <v>0</v>
      </c>
      <c r="I5" s="342">
        <v>0</v>
      </c>
      <c r="J5" s="342">
        <v>0</v>
      </c>
      <c r="K5" s="342">
        <v>0</v>
      </c>
      <c r="L5" s="342">
        <v>0</v>
      </c>
      <c r="M5" s="342">
        <v>0</v>
      </c>
      <c r="N5" s="342">
        <v>3.91</v>
      </c>
      <c r="O5" s="342">
        <v>0</v>
      </c>
      <c r="P5" s="342">
        <v>6.98</v>
      </c>
      <c r="Q5" s="342">
        <v>0</v>
      </c>
      <c r="R5" s="342">
        <v>0</v>
      </c>
      <c r="S5" s="342">
        <v>0</v>
      </c>
      <c r="T5" s="342">
        <v>0</v>
      </c>
      <c r="U5" s="342">
        <v>0</v>
      </c>
      <c r="V5" s="342">
        <v>0</v>
      </c>
      <c r="W5" s="342">
        <v>0</v>
      </c>
      <c r="X5" s="342">
        <v>0</v>
      </c>
      <c r="Y5" s="342">
        <v>0</v>
      </c>
      <c r="Z5" s="342">
        <v>0</v>
      </c>
      <c r="AA5" s="342"/>
      <c r="AB5" s="342">
        <v>0</v>
      </c>
      <c r="AC5" s="355">
        <v>0</v>
      </c>
      <c r="AD5" s="342">
        <v>0</v>
      </c>
      <c r="AE5" s="342">
        <v>0</v>
      </c>
      <c r="AF5" s="342">
        <v>0</v>
      </c>
      <c r="AG5" s="342">
        <v>0</v>
      </c>
      <c r="AH5" s="342">
        <v>0</v>
      </c>
      <c r="AI5" s="342">
        <v>0</v>
      </c>
      <c r="AJ5" s="342">
        <v>0</v>
      </c>
      <c r="AK5" s="342">
        <v>0</v>
      </c>
      <c r="AL5" s="342">
        <v>0</v>
      </c>
      <c r="AM5" s="342">
        <f t="shared" ref="AM5:AM15" si="0">SUM(F5:AL5)</f>
        <v>15.580000000000002</v>
      </c>
    </row>
    <row r="6" spans="1:39" ht="15.75">
      <c r="A6" s="561">
        <v>2</v>
      </c>
      <c r="B6" s="560" t="s">
        <v>42</v>
      </c>
      <c r="C6" s="560" t="s">
        <v>43</v>
      </c>
      <c r="D6" s="563" t="s">
        <v>44</v>
      </c>
      <c r="E6" s="356" t="s">
        <v>37</v>
      </c>
      <c r="F6" s="342">
        <v>0</v>
      </c>
      <c r="G6" s="342">
        <v>0</v>
      </c>
      <c r="H6" s="342">
        <v>0</v>
      </c>
      <c r="I6" s="342">
        <v>0</v>
      </c>
      <c r="J6" s="342">
        <v>0</v>
      </c>
      <c r="K6" s="342">
        <v>0</v>
      </c>
      <c r="L6" s="342">
        <v>0</v>
      </c>
      <c r="M6" s="342">
        <v>0</v>
      </c>
      <c r="N6" s="342">
        <v>0</v>
      </c>
      <c r="O6" s="342">
        <v>0</v>
      </c>
      <c r="P6" s="342">
        <v>0</v>
      </c>
      <c r="Q6" s="342">
        <v>0</v>
      </c>
      <c r="R6" s="342">
        <v>0</v>
      </c>
      <c r="S6" s="342">
        <v>0</v>
      </c>
      <c r="T6" s="342">
        <v>0</v>
      </c>
      <c r="U6" s="342">
        <v>0</v>
      </c>
      <c r="V6" s="342">
        <v>0</v>
      </c>
      <c r="W6" s="342">
        <v>0</v>
      </c>
      <c r="X6" s="342">
        <v>0</v>
      </c>
      <c r="Y6" s="342">
        <v>0</v>
      </c>
      <c r="Z6" s="342">
        <v>0</v>
      </c>
      <c r="AA6" s="342">
        <v>0</v>
      </c>
      <c r="AB6" s="342">
        <v>0</v>
      </c>
      <c r="AC6" s="342">
        <v>0</v>
      </c>
      <c r="AD6" s="342">
        <v>0</v>
      </c>
      <c r="AE6" s="342">
        <v>0</v>
      </c>
      <c r="AF6" s="342">
        <v>0</v>
      </c>
      <c r="AG6" s="342">
        <v>0</v>
      </c>
      <c r="AH6" s="342">
        <v>0</v>
      </c>
      <c r="AI6" s="342">
        <v>0</v>
      </c>
      <c r="AJ6" s="342">
        <v>0</v>
      </c>
      <c r="AK6" s="342">
        <v>0</v>
      </c>
      <c r="AL6" s="342">
        <v>0</v>
      </c>
      <c r="AM6" s="342">
        <f t="shared" si="0"/>
        <v>0</v>
      </c>
    </row>
    <row r="7" spans="1:39" ht="15.75">
      <c r="A7" s="561"/>
      <c r="B7" s="560"/>
      <c r="C7" s="560"/>
      <c r="D7" s="563"/>
      <c r="E7" s="354" t="s">
        <v>41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X7" s="342">
        <v>0</v>
      </c>
      <c r="Y7" s="342">
        <v>0</v>
      </c>
      <c r="Z7" s="342">
        <v>0</v>
      </c>
      <c r="AA7" s="342"/>
      <c r="AB7" s="342">
        <v>0</v>
      </c>
      <c r="AC7" s="355">
        <v>0</v>
      </c>
      <c r="AD7" s="342">
        <v>0</v>
      </c>
      <c r="AE7" s="342">
        <v>0</v>
      </c>
      <c r="AF7" s="342">
        <v>0</v>
      </c>
      <c r="AG7" s="342">
        <v>0</v>
      </c>
      <c r="AH7" s="342">
        <v>0</v>
      </c>
      <c r="AI7" s="342">
        <v>0</v>
      </c>
      <c r="AJ7" s="342">
        <v>0</v>
      </c>
      <c r="AK7" s="342">
        <v>0</v>
      </c>
      <c r="AL7" s="342">
        <v>0</v>
      </c>
      <c r="AM7" s="342">
        <f t="shared" si="0"/>
        <v>0</v>
      </c>
    </row>
    <row r="8" spans="1:39" ht="15.75">
      <c r="A8" s="561">
        <v>3</v>
      </c>
      <c r="B8" s="560" t="s">
        <v>45</v>
      </c>
      <c r="C8" s="560" t="s">
        <v>43</v>
      </c>
      <c r="D8" s="563" t="s">
        <v>46</v>
      </c>
      <c r="E8" s="356" t="s">
        <v>37</v>
      </c>
      <c r="F8" s="342">
        <v>0</v>
      </c>
      <c r="G8" s="342">
        <v>0</v>
      </c>
      <c r="H8" s="342">
        <v>0</v>
      </c>
      <c r="I8" s="342">
        <v>0</v>
      </c>
      <c r="J8" s="342">
        <v>33.44</v>
      </c>
      <c r="K8" s="342">
        <v>0</v>
      </c>
      <c r="L8" s="342">
        <v>0</v>
      </c>
      <c r="M8" s="342">
        <v>0</v>
      </c>
      <c r="N8" s="342">
        <v>0</v>
      </c>
      <c r="O8" s="342">
        <v>0</v>
      </c>
      <c r="P8" s="342">
        <v>0</v>
      </c>
      <c r="Q8" s="342">
        <v>0</v>
      </c>
      <c r="R8" s="342">
        <v>35.53</v>
      </c>
      <c r="S8" s="342">
        <v>0</v>
      </c>
      <c r="T8" s="342">
        <v>0</v>
      </c>
      <c r="U8" s="342">
        <v>0</v>
      </c>
      <c r="V8" s="342">
        <v>0</v>
      </c>
      <c r="W8" s="342">
        <v>0</v>
      </c>
      <c r="X8" s="342">
        <v>0</v>
      </c>
      <c r="Y8" s="342">
        <v>0</v>
      </c>
      <c r="Z8" s="342">
        <v>0</v>
      </c>
      <c r="AA8" s="342">
        <v>0</v>
      </c>
      <c r="AB8" s="342">
        <v>33.44</v>
      </c>
      <c r="AC8" s="342">
        <v>0</v>
      </c>
      <c r="AD8" s="342">
        <v>0</v>
      </c>
      <c r="AE8" s="342">
        <v>0</v>
      </c>
      <c r="AF8" s="342">
        <v>0</v>
      </c>
      <c r="AG8" s="342">
        <v>0</v>
      </c>
      <c r="AH8" s="342">
        <v>0</v>
      </c>
      <c r="AI8" s="342">
        <v>0</v>
      </c>
      <c r="AJ8" s="342">
        <v>0</v>
      </c>
      <c r="AK8" s="342">
        <v>0</v>
      </c>
      <c r="AL8" s="342">
        <v>0</v>
      </c>
      <c r="AM8" s="342">
        <f t="shared" si="0"/>
        <v>102.41</v>
      </c>
    </row>
    <row r="9" spans="1:39" ht="15.75">
      <c r="A9" s="561"/>
      <c r="B9" s="560"/>
      <c r="C9" s="560"/>
      <c r="D9" s="563"/>
      <c r="E9" s="354" t="s">
        <v>41</v>
      </c>
      <c r="F9" s="342">
        <v>0</v>
      </c>
      <c r="G9" s="342">
        <v>0</v>
      </c>
      <c r="H9" s="342">
        <v>0</v>
      </c>
      <c r="I9" s="342">
        <v>0</v>
      </c>
      <c r="J9" s="342">
        <v>0</v>
      </c>
      <c r="K9" s="342">
        <v>0</v>
      </c>
      <c r="L9" s="342">
        <v>0</v>
      </c>
      <c r="M9" s="342">
        <v>0</v>
      </c>
      <c r="N9" s="342">
        <v>0</v>
      </c>
      <c r="O9" s="342">
        <v>0</v>
      </c>
      <c r="P9" s="342">
        <v>0</v>
      </c>
      <c r="Q9" s="342">
        <v>0</v>
      </c>
      <c r="R9" s="342">
        <v>0</v>
      </c>
      <c r="S9" s="342">
        <v>0</v>
      </c>
      <c r="T9" s="342">
        <v>0</v>
      </c>
      <c r="U9" s="342">
        <v>0</v>
      </c>
      <c r="V9" s="342">
        <v>0</v>
      </c>
      <c r="W9" s="342">
        <v>0</v>
      </c>
      <c r="X9" s="342">
        <v>0</v>
      </c>
      <c r="Y9" s="342">
        <v>0</v>
      </c>
      <c r="Z9" s="342">
        <v>0</v>
      </c>
      <c r="AA9" s="342"/>
      <c r="AB9" s="342">
        <v>0</v>
      </c>
      <c r="AC9" s="355">
        <v>0</v>
      </c>
      <c r="AD9" s="342">
        <v>0</v>
      </c>
      <c r="AE9" s="342">
        <v>0</v>
      </c>
      <c r="AF9" s="342">
        <v>0</v>
      </c>
      <c r="AG9" s="342">
        <v>0</v>
      </c>
      <c r="AH9" s="342">
        <v>0</v>
      </c>
      <c r="AI9" s="342">
        <v>0</v>
      </c>
      <c r="AJ9" s="342">
        <v>0</v>
      </c>
      <c r="AK9" s="342">
        <v>0</v>
      </c>
      <c r="AL9" s="342">
        <v>0</v>
      </c>
      <c r="AM9" s="342">
        <f t="shared" si="0"/>
        <v>0</v>
      </c>
    </row>
    <row r="10" spans="1:39" ht="15.75">
      <c r="A10" s="561">
        <v>4</v>
      </c>
      <c r="B10" s="560" t="s">
        <v>47</v>
      </c>
      <c r="C10" s="560" t="s">
        <v>43</v>
      </c>
      <c r="D10" s="563" t="s">
        <v>48</v>
      </c>
      <c r="E10" s="356" t="s">
        <v>37</v>
      </c>
      <c r="F10" s="342">
        <v>0</v>
      </c>
      <c r="G10" s="342">
        <v>0</v>
      </c>
      <c r="H10" s="342">
        <v>0</v>
      </c>
      <c r="I10" s="342">
        <v>0</v>
      </c>
      <c r="J10" s="342">
        <v>0</v>
      </c>
      <c r="K10" s="342">
        <v>0</v>
      </c>
      <c r="L10" s="342">
        <v>0</v>
      </c>
      <c r="M10" s="342">
        <v>0</v>
      </c>
      <c r="N10" s="342">
        <v>0</v>
      </c>
      <c r="O10" s="342">
        <v>0</v>
      </c>
      <c r="P10" s="342">
        <v>49.22</v>
      </c>
      <c r="Q10" s="342">
        <v>0</v>
      </c>
      <c r="R10" s="342">
        <v>0</v>
      </c>
      <c r="S10" s="342">
        <v>0</v>
      </c>
      <c r="T10" s="342">
        <v>0</v>
      </c>
      <c r="U10" s="342">
        <v>54.57</v>
      </c>
      <c r="V10" s="342">
        <v>0</v>
      </c>
      <c r="W10" s="342">
        <v>0</v>
      </c>
      <c r="X10" s="342">
        <v>0</v>
      </c>
      <c r="Y10" s="342">
        <v>0</v>
      </c>
      <c r="Z10" s="342">
        <v>0</v>
      </c>
      <c r="AA10" s="342">
        <v>0</v>
      </c>
      <c r="AB10" s="342">
        <v>0</v>
      </c>
      <c r="AC10" s="342">
        <v>0</v>
      </c>
      <c r="AD10" s="342">
        <v>49.8</v>
      </c>
      <c r="AE10" s="342">
        <v>0</v>
      </c>
      <c r="AF10" s="342">
        <v>0</v>
      </c>
      <c r="AG10" s="342">
        <v>0</v>
      </c>
      <c r="AH10" s="342">
        <v>0</v>
      </c>
      <c r="AI10" s="342">
        <v>0</v>
      </c>
      <c r="AJ10" s="342">
        <v>0</v>
      </c>
      <c r="AK10" s="342">
        <v>0</v>
      </c>
      <c r="AL10" s="342">
        <v>0</v>
      </c>
      <c r="AM10" s="342">
        <f t="shared" si="0"/>
        <v>153.58999999999997</v>
      </c>
    </row>
    <row r="11" spans="1:39" ht="15.75">
      <c r="A11" s="561"/>
      <c r="B11" s="560"/>
      <c r="C11" s="560"/>
      <c r="D11" s="563"/>
      <c r="E11" s="354" t="s">
        <v>41</v>
      </c>
      <c r="F11" s="342">
        <v>0</v>
      </c>
      <c r="G11" s="342">
        <v>0</v>
      </c>
      <c r="H11" s="342">
        <v>0</v>
      </c>
      <c r="I11" s="342">
        <v>0</v>
      </c>
      <c r="J11" s="342">
        <v>0</v>
      </c>
      <c r="K11" s="342">
        <v>0</v>
      </c>
      <c r="L11" s="342">
        <v>0</v>
      </c>
      <c r="M11" s="342">
        <v>0</v>
      </c>
      <c r="N11" s="342">
        <v>0</v>
      </c>
      <c r="O11" s="342">
        <v>0</v>
      </c>
      <c r="P11" s="342">
        <v>0</v>
      </c>
      <c r="Q11" s="342">
        <v>0</v>
      </c>
      <c r="R11" s="342">
        <v>0</v>
      </c>
      <c r="S11" s="342">
        <v>0</v>
      </c>
      <c r="T11" s="342">
        <v>0</v>
      </c>
      <c r="U11" s="342">
        <v>0</v>
      </c>
      <c r="V11" s="342">
        <v>0</v>
      </c>
      <c r="W11" s="342">
        <v>0</v>
      </c>
      <c r="X11" s="342">
        <v>0</v>
      </c>
      <c r="Y11" s="342">
        <v>0</v>
      </c>
      <c r="Z11" s="342">
        <v>0</v>
      </c>
      <c r="AA11" s="342"/>
      <c r="AB11" s="342">
        <v>0</v>
      </c>
      <c r="AC11" s="355">
        <v>0</v>
      </c>
      <c r="AD11" s="342">
        <v>0</v>
      </c>
      <c r="AE11" s="342">
        <v>0</v>
      </c>
      <c r="AF11" s="342">
        <v>0</v>
      </c>
      <c r="AG11" s="342">
        <v>0</v>
      </c>
      <c r="AH11" s="342">
        <v>0</v>
      </c>
      <c r="AI11" s="342">
        <v>0</v>
      </c>
      <c r="AJ11" s="342">
        <v>0</v>
      </c>
      <c r="AK11" s="342">
        <v>0</v>
      </c>
      <c r="AL11" s="342">
        <v>0</v>
      </c>
      <c r="AM11" s="342">
        <f t="shared" si="0"/>
        <v>0</v>
      </c>
    </row>
    <row r="12" spans="1:39" ht="15.75">
      <c r="A12" s="561">
        <v>5</v>
      </c>
      <c r="B12" s="560" t="s">
        <v>49</v>
      </c>
      <c r="C12" s="560" t="s">
        <v>50</v>
      </c>
      <c r="D12" s="563" t="s">
        <v>51</v>
      </c>
      <c r="E12" s="356" t="s">
        <v>37</v>
      </c>
      <c r="F12" s="342">
        <v>0</v>
      </c>
      <c r="G12" s="342">
        <v>0</v>
      </c>
      <c r="H12" s="342">
        <v>0</v>
      </c>
      <c r="I12" s="342">
        <v>0</v>
      </c>
      <c r="J12" s="342">
        <v>0</v>
      </c>
      <c r="K12" s="342">
        <v>0</v>
      </c>
      <c r="L12" s="342">
        <v>0</v>
      </c>
      <c r="M12" s="342">
        <v>0</v>
      </c>
      <c r="N12" s="342">
        <v>86.29</v>
      </c>
      <c r="O12" s="342">
        <v>0</v>
      </c>
      <c r="P12" s="342">
        <v>0</v>
      </c>
      <c r="Q12" s="342">
        <v>0</v>
      </c>
      <c r="R12" s="342">
        <v>0</v>
      </c>
      <c r="S12" s="342">
        <v>0</v>
      </c>
      <c r="T12" s="342">
        <v>0</v>
      </c>
      <c r="U12" s="342">
        <v>0</v>
      </c>
      <c r="V12" s="342">
        <v>0</v>
      </c>
      <c r="W12" s="342">
        <v>0</v>
      </c>
      <c r="X12" s="342">
        <v>0</v>
      </c>
      <c r="Y12" s="342">
        <v>0</v>
      </c>
      <c r="Z12" s="342">
        <v>0</v>
      </c>
      <c r="AA12" s="342">
        <v>0</v>
      </c>
      <c r="AB12" s="342">
        <v>0</v>
      </c>
      <c r="AC12" s="342">
        <v>0</v>
      </c>
      <c r="AD12" s="342">
        <v>145.61000000000001</v>
      </c>
      <c r="AE12" s="342">
        <v>0</v>
      </c>
      <c r="AF12" s="342">
        <v>0</v>
      </c>
      <c r="AG12" s="342">
        <v>0</v>
      </c>
      <c r="AH12" s="342">
        <v>0</v>
      </c>
      <c r="AI12" s="342">
        <v>0</v>
      </c>
      <c r="AJ12" s="342">
        <v>0</v>
      </c>
      <c r="AK12" s="342">
        <v>0</v>
      </c>
      <c r="AL12" s="342">
        <v>0</v>
      </c>
      <c r="AM12" s="342">
        <f t="shared" si="0"/>
        <v>231.90000000000003</v>
      </c>
    </row>
    <row r="13" spans="1:39" ht="15.75">
      <c r="A13" s="561"/>
      <c r="B13" s="560"/>
      <c r="C13" s="560"/>
      <c r="D13" s="563"/>
      <c r="E13" s="354" t="s">
        <v>41</v>
      </c>
      <c r="F13" s="342">
        <v>0</v>
      </c>
      <c r="G13" s="342">
        <v>0</v>
      </c>
      <c r="H13" s="342">
        <v>0</v>
      </c>
      <c r="I13" s="342">
        <v>0</v>
      </c>
      <c r="J13" s="342">
        <v>0</v>
      </c>
      <c r="K13" s="342">
        <v>0</v>
      </c>
      <c r="L13" s="342">
        <v>0</v>
      </c>
      <c r="M13" s="342">
        <v>0</v>
      </c>
      <c r="N13" s="342">
        <v>0</v>
      </c>
      <c r="O13" s="342">
        <v>0</v>
      </c>
      <c r="P13" s="342">
        <v>0</v>
      </c>
      <c r="Q13" s="342">
        <v>0</v>
      </c>
      <c r="R13" s="342">
        <v>0</v>
      </c>
      <c r="S13" s="342">
        <v>0</v>
      </c>
      <c r="T13" s="342">
        <v>0</v>
      </c>
      <c r="U13" s="342">
        <v>0</v>
      </c>
      <c r="V13" s="342">
        <v>0</v>
      </c>
      <c r="W13" s="342">
        <v>0</v>
      </c>
      <c r="X13" s="342">
        <v>0</v>
      </c>
      <c r="Y13" s="342">
        <v>0</v>
      </c>
      <c r="Z13" s="342">
        <v>0</v>
      </c>
      <c r="AA13" s="342"/>
      <c r="AB13" s="342">
        <v>0</v>
      </c>
      <c r="AC13" s="355">
        <v>0</v>
      </c>
      <c r="AD13" s="342">
        <v>0</v>
      </c>
      <c r="AE13" s="342">
        <v>0</v>
      </c>
      <c r="AF13" s="342">
        <v>0</v>
      </c>
      <c r="AG13" s="342">
        <v>0</v>
      </c>
      <c r="AH13" s="342">
        <v>0</v>
      </c>
      <c r="AI13" s="342">
        <v>0</v>
      </c>
      <c r="AJ13" s="342">
        <v>0</v>
      </c>
      <c r="AK13" s="342">
        <v>0</v>
      </c>
      <c r="AL13" s="342">
        <v>0</v>
      </c>
      <c r="AM13" s="342">
        <f t="shared" si="0"/>
        <v>0</v>
      </c>
    </row>
    <row r="14" spans="1:39" ht="15.75">
      <c r="A14" s="561">
        <v>6</v>
      </c>
      <c r="B14" s="560" t="s">
        <v>49</v>
      </c>
      <c r="C14" s="560" t="s">
        <v>52</v>
      </c>
      <c r="D14" s="563" t="s">
        <v>53</v>
      </c>
      <c r="E14" s="356" t="s">
        <v>37</v>
      </c>
      <c r="F14" s="342">
        <v>0</v>
      </c>
      <c r="G14" s="342">
        <v>0</v>
      </c>
      <c r="H14" s="342">
        <v>0</v>
      </c>
      <c r="I14" s="342">
        <v>0</v>
      </c>
      <c r="J14" s="342">
        <v>0</v>
      </c>
      <c r="K14" s="342">
        <v>0</v>
      </c>
      <c r="L14" s="342">
        <v>40</v>
      </c>
      <c r="M14" s="342">
        <v>40</v>
      </c>
      <c r="N14" s="342">
        <v>0</v>
      </c>
      <c r="O14" s="342">
        <v>36</v>
      </c>
      <c r="P14" s="342">
        <v>35</v>
      </c>
      <c r="Q14" s="342">
        <v>0</v>
      </c>
      <c r="R14" s="342">
        <v>0</v>
      </c>
      <c r="S14" s="342">
        <v>0</v>
      </c>
      <c r="T14" s="342">
        <v>0</v>
      </c>
      <c r="U14" s="342">
        <v>0</v>
      </c>
      <c r="V14" s="342">
        <v>0</v>
      </c>
      <c r="W14" s="342">
        <v>45</v>
      </c>
      <c r="X14" s="342">
        <v>45</v>
      </c>
      <c r="Y14" s="342">
        <v>43.53</v>
      </c>
      <c r="Z14" s="342">
        <v>40</v>
      </c>
      <c r="AA14" s="342">
        <v>43</v>
      </c>
      <c r="AB14" s="342">
        <v>0</v>
      </c>
      <c r="AC14" s="342">
        <v>40</v>
      </c>
      <c r="AD14" s="342">
        <v>0</v>
      </c>
      <c r="AE14" s="342">
        <v>40</v>
      </c>
      <c r="AF14" s="342">
        <v>0</v>
      </c>
      <c r="AG14" s="342">
        <v>0</v>
      </c>
      <c r="AH14" s="342">
        <v>0</v>
      </c>
      <c r="AI14" s="342">
        <v>0</v>
      </c>
      <c r="AJ14" s="342">
        <v>0</v>
      </c>
      <c r="AK14" s="342">
        <v>0</v>
      </c>
      <c r="AL14" s="342">
        <v>0</v>
      </c>
      <c r="AM14" s="342">
        <f t="shared" si="0"/>
        <v>447.53</v>
      </c>
    </row>
    <row r="15" spans="1:39" ht="15.75">
      <c r="A15" s="561"/>
      <c r="B15" s="560"/>
      <c r="C15" s="560"/>
      <c r="D15" s="563"/>
      <c r="E15" s="354" t="s">
        <v>41</v>
      </c>
      <c r="F15" s="342">
        <v>0</v>
      </c>
      <c r="G15" s="342">
        <v>0</v>
      </c>
      <c r="H15" s="342">
        <v>0</v>
      </c>
      <c r="I15" s="342">
        <v>0</v>
      </c>
      <c r="J15" s="342">
        <v>0</v>
      </c>
      <c r="K15" s="342">
        <v>0</v>
      </c>
      <c r="L15" s="342">
        <v>0</v>
      </c>
      <c r="M15" s="342">
        <v>0</v>
      </c>
      <c r="N15" s="342">
        <v>0</v>
      </c>
      <c r="O15" s="342">
        <v>0</v>
      </c>
      <c r="P15" s="342">
        <v>0</v>
      </c>
      <c r="Q15" s="342">
        <v>0</v>
      </c>
      <c r="R15" s="342">
        <v>0</v>
      </c>
      <c r="S15" s="342">
        <v>0</v>
      </c>
      <c r="T15" s="342">
        <v>0</v>
      </c>
      <c r="U15" s="342">
        <v>0</v>
      </c>
      <c r="V15" s="342">
        <v>0</v>
      </c>
      <c r="W15" s="342">
        <v>0</v>
      </c>
      <c r="X15" s="342">
        <v>0</v>
      </c>
      <c r="Y15" s="342">
        <v>0</v>
      </c>
      <c r="Z15" s="342">
        <v>0</v>
      </c>
      <c r="AA15" s="342"/>
      <c r="AB15" s="342">
        <v>0</v>
      </c>
      <c r="AC15" s="355">
        <v>0</v>
      </c>
      <c r="AD15" s="342">
        <v>0</v>
      </c>
      <c r="AE15" s="342">
        <v>0</v>
      </c>
      <c r="AF15" s="342">
        <v>0</v>
      </c>
      <c r="AG15" s="342">
        <v>0</v>
      </c>
      <c r="AH15" s="342">
        <v>0</v>
      </c>
      <c r="AI15" s="342">
        <v>0</v>
      </c>
      <c r="AJ15" s="342">
        <v>0</v>
      </c>
      <c r="AK15" s="342">
        <v>0</v>
      </c>
      <c r="AL15" s="342">
        <v>0</v>
      </c>
      <c r="AM15" s="342">
        <f t="shared" si="0"/>
        <v>0</v>
      </c>
    </row>
    <row r="18" spans="7:7">
      <c r="G18" t="s">
        <v>54</v>
      </c>
    </row>
  </sheetData>
  <mergeCells count="25"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4"/>
  <sheetViews>
    <sheetView topLeftCell="A19" workbookViewId="0">
      <selection activeCell="A33" sqref="A33:XFD33"/>
    </sheetView>
  </sheetViews>
  <sheetFormatPr defaultColWidth="8.28515625" defaultRowHeight="15.75"/>
  <cols>
    <col min="1" max="1" width="8.28515625" style="263"/>
    <col min="2" max="2" width="25" style="263" customWidth="1"/>
    <col min="3" max="3" width="34.5703125" style="263" bestFit="1" customWidth="1"/>
    <col min="4" max="4" width="13.5703125" style="263" bestFit="1" customWidth="1"/>
    <col min="5" max="5" width="15.42578125" style="263" customWidth="1"/>
    <col min="6" max="6" width="14.5703125" style="263" customWidth="1"/>
    <col min="7" max="7" width="16.5703125" style="263" customWidth="1"/>
    <col min="8" max="8" width="23.5703125" style="263" customWidth="1"/>
    <col min="9" max="9" width="17.42578125" style="263" customWidth="1"/>
    <col min="10" max="10" width="16.7109375" style="263" customWidth="1"/>
    <col min="11" max="11" width="20.42578125" style="263" customWidth="1"/>
    <col min="12" max="12" width="22.7109375" style="263" customWidth="1"/>
    <col min="13" max="13" width="16.85546875" style="263" customWidth="1"/>
    <col min="14" max="16384" width="8.28515625" style="263"/>
  </cols>
  <sheetData>
    <row r="1" spans="1:11">
      <c r="A1" s="259" t="s">
        <v>55</v>
      </c>
      <c r="B1" s="260" t="s">
        <v>56</v>
      </c>
      <c r="C1" s="260" t="s">
        <v>57</v>
      </c>
      <c r="D1" s="261" t="s">
        <v>58</v>
      </c>
      <c r="E1" s="261" t="s">
        <v>59</v>
      </c>
      <c r="F1" s="261" t="s">
        <v>60</v>
      </c>
      <c r="G1" s="261" t="s">
        <v>61</v>
      </c>
      <c r="H1" s="261" t="s">
        <v>62</v>
      </c>
      <c r="I1" s="261" t="s">
        <v>63</v>
      </c>
      <c r="J1" s="261" t="s">
        <v>64</v>
      </c>
      <c r="K1" s="262" t="s">
        <v>65</v>
      </c>
    </row>
    <row r="2" spans="1:11">
      <c r="A2" s="319">
        <v>1</v>
      </c>
      <c r="B2" s="264" t="s">
        <v>66</v>
      </c>
      <c r="C2" s="264" t="s">
        <v>67</v>
      </c>
      <c r="D2" s="265">
        <f>+'Khammam-1'!E38</f>
        <v>26800</v>
      </c>
      <c r="E2" s="265">
        <f>+'Khammam-1'!G38</f>
        <v>2781840</v>
      </c>
      <c r="F2" s="265">
        <f>+'Khammam-1'!H38</f>
        <v>205</v>
      </c>
      <c r="G2" s="265">
        <f>+'Khammam-1'!J38</f>
        <v>23716.449999999997</v>
      </c>
      <c r="H2" s="265">
        <f>E2+G2</f>
        <v>2805556.45</v>
      </c>
      <c r="I2" s="265">
        <f>+'Khammam-1'!K3</f>
        <v>3834148.7102999995</v>
      </c>
      <c r="J2" s="265">
        <f>+'Khammam-1'!L38</f>
        <v>3834140</v>
      </c>
      <c r="K2" s="320">
        <f>H2+I2-J2</f>
        <v>2805565.1602999996</v>
      </c>
    </row>
    <row r="3" spans="1:11">
      <c r="A3" s="319">
        <v>2</v>
      </c>
      <c r="B3" s="264" t="s">
        <v>68</v>
      </c>
      <c r="C3" s="264" t="s">
        <v>69</v>
      </c>
      <c r="D3" s="265">
        <f>+'Khammam-2'!E38</f>
        <v>35123.527999999998</v>
      </c>
      <c r="E3" s="265">
        <f>+'Khammam-2'!G38</f>
        <v>3646524.6769599994</v>
      </c>
      <c r="F3" s="265">
        <f>+'Khammam-2'!H38</f>
        <v>515</v>
      </c>
      <c r="G3" s="265">
        <f>+'Khammam-2'!J38</f>
        <v>59595.799999999996</v>
      </c>
      <c r="H3" s="265">
        <f>E3+G3</f>
        <v>3706120.4769599992</v>
      </c>
      <c r="I3" s="265">
        <f>+'Khammam-2'!K3</f>
        <v>18929637.035429999</v>
      </c>
      <c r="J3" s="265">
        <f>+'Khammam-2'!L38</f>
        <v>22635757.512389995</v>
      </c>
      <c r="K3" s="320">
        <f>H3+I3-J3</f>
        <v>0</v>
      </c>
    </row>
    <row r="4" spans="1:11">
      <c r="A4" s="319">
        <v>3</v>
      </c>
      <c r="B4" s="264" t="s">
        <v>70</v>
      </c>
      <c r="C4" s="264" t="s">
        <v>71</v>
      </c>
      <c r="D4" s="265">
        <f>+'Khammam-3'!E35</f>
        <v>0</v>
      </c>
      <c r="E4" s="265">
        <f>+'Khammam-3'!G35</f>
        <v>0</v>
      </c>
      <c r="F4" s="265">
        <f>+'Khammam-3'!H35</f>
        <v>0</v>
      </c>
      <c r="G4" s="265">
        <f>+'Khammam-3'!J35</f>
        <v>0</v>
      </c>
      <c r="H4" s="265">
        <f>E4+G4</f>
        <v>0</v>
      </c>
      <c r="I4" s="265">
        <f>+'Khammam-3'!M3</f>
        <v>1510680</v>
      </c>
      <c r="J4" s="265">
        <f>+'Khammam-3'!L35</f>
        <v>1510680</v>
      </c>
      <c r="K4" s="320">
        <f t="shared" ref="K4:K7" si="0">H4+I4-J4</f>
        <v>0</v>
      </c>
    </row>
    <row r="5" spans="1:11">
      <c r="A5" s="319">
        <v>4</v>
      </c>
      <c r="B5" s="544" t="s">
        <v>72</v>
      </c>
      <c r="C5" s="264" t="s">
        <v>73</v>
      </c>
      <c r="D5" s="265">
        <f>+'Khammam-4'!E35</f>
        <v>18900</v>
      </c>
      <c r="E5" s="265">
        <f>+'Khammam-4'!G35</f>
        <v>1958418</v>
      </c>
      <c r="F5" s="265">
        <f>+'Khammam-4'!H35</f>
        <v>70</v>
      </c>
      <c r="G5" s="265">
        <f>+'Khammam-4'!J35</f>
        <v>8084.2999999999993</v>
      </c>
      <c r="H5" s="265">
        <f t="shared" ref="H5:H6" si="1">E5+G5</f>
        <v>1966502.3</v>
      </c>
      <c r="I5" s="265">
        <f>+'Khammam-4'!M3</f>
        <v>0</v>
      </c>
      <c r="J5" s="265">
        <f>+'Khammam-4'!L35</f>
        <v>1123138</v>
      </c>
      <c r="K5" s="320">
        <f t="shared" si="0"/>
        <v>843364.3</v>
      </c>
    </row>
    <row r="6" spans="1:11">
      <c r="A6" s="319">
        <v>5</v>
      </c>
      <c r="B6" s="544" t="s">
        <v>72</v>
      </c>
      <c r="C6" s="264" t="s">
        <v>74</v>
      </c>
      <c r="D6" s="265">
        <f>+' Khammam-5'!E35</f>
        <v>16260</v>
      </c>
      <c r="E6" s="265">
        <f>+' Khammam-5'!G35</f>
        <v>1684861.2000000002</v>
      </c>
      <c r="F6" s="265">
        <f>+' Khammam-5'!H35</f>
        <v>240</v>
      </c>
      <c r="G6" s="265">
        <f>+' Khammam-5'!J35</f>
        <v>27717.599999999999</v>
      </c>
      <c r="H6" s="265">
        <f t="shared" si="1"/>
        <v>1712578.8000000003</v>
      </c>
      <c r="I6" s="265">
        <f>+' Khammam-5'!M3</f>
        <v>0</v>
      </c>
      <c r="J6" s="265">
        <f>+' Khammam-5'!L35</f>
        <v>1134007</v>
      </c>
      <c r="K6" s="320">
        <f t="shared" si="0"/>
        <v>578571.80000000028</v>
      </c>
    </row>
    <row r="7" spans="1:11">
      <c r="A7" s="319">
        <v>6</v>
      </c>
      <c r="B7" s="264" t="s">
        <v>75</v>
      </c>
      <c r="C7" s="264" t="s">
        <v>76</v>
      </c>
      <c r="D7" s="265">
        <f>+' Khammam&amp;Cash'!E46</f>
        <v>7032.7529999999997</v>
      </c>
      <c r="E7" s="265">
        <f>+' Khammam&amp;Cash'!G46</f>
        <v>729999.76139999996</v>
      </c>
      <c r="F7" s="265">
        <f>+' Khammam&amp;Cash'!H46</f>
        <v>0</v>
      </c>
      <c r="G7" s="265">
        <f>+' Khammam&amp;Cash'!J46</f>
        <v>0</v>
      </c>
      <c r="H7" s="265">
        <f>E7+G7</f>
        <v>729999.76139999996</v>
      </c>
      <c r="I7" s="265">
        <f>+' Khammam&amp;Cash'!M3</f>
        <v>0</v>
      </c>
      <c r="J7" s="265">
        <f>+' Khammam&amp;Cash'!L46</f>
        <v>729999.76139999996</v>
      </c>
      <c r="K7" s="320">
        <f t="shared" si="0"/>
        <v>0</v>
      </c>
    </row>
    <row r="8" spans="1:11">
      <c r="A8" s="319">
        <v>7</v>
      </c>
      <c r="B8" s="264" t="s">
        <v>77</v>
      </c>
      <c r="C8" s="264" t="s">
        <v>78</v>
      </c>
      <c r="D8" s="265">
        <f>+'Jadcherla-4'!E35</f>
        <v>0</v>
      </c>
      <c r="E8" s="265">
        <f>+'Jadcherla-4'!G35</f>
        <v>0</v>
      </c>
      <c r="F8" s="265">
        <f>+'Jadcherla-4'!H35</f>
        <v>20</v>
      </c>
      <c r="G8" s="265">
        <f>+'Jadcherla-4'!J35</f>
        <v>2326.6</v>
      </c>
      <c r="H8" s="265">
        <f>E8+G8</f>
        <v>2326.6</v>
      </c>
      <c r="I8" s="265">
        <f>+'Jadcherla-4'!M3</f>
        <v>50273.68</v>
      </c>
      <c r="J8" s="265">
        <f>+'Jadcherla-4'!L35</f>
        <v>50000</v>
      </c>
      <c r="K8" s="320">
        <f>H8+I8-J8</f>
        <v>2600.2799999999988</v>
      </c>
    </row>
    <row r="9" spans="1:11">
      <c r="A9" s="319">
        <v>8</v>
      </c>
      <c r="B9" s="264" t="s">
        <v>79</v>
      </c>
      <c r="C9" s="264" t="s">
        <v>80</v>
      </c>
      <c r="D9" s="265">
        <f>+' Sangareddy-2'!E35</f>
        <v>38.25</v>
      </c>
      <c r="E9" s="265">
        <f>+' Sangareddy-2'!G35</f>
        <v>3999.42</v>
      </c>
      <c r="F9" s="265">
        <f>+' Sangareddy-2'!H35</f>
        <v>20</v>
      </c>
      <c r="G9" s="265">
        <f>+' Sangareddy-2'!J35</f>
        <v>2330.8000000000002</v>
      </c>
      <c r="H9" s="265">
        <f>E9+G9</f>
        <v>6330.22</v>
      </c>
      <c r="I9" s="265">
        <f>+' Sangareddy-2'!M3</f>
        <v>52609.144999999975</v>
      </c>
      <c r="J9" s="265">
        <f>+' Sangareddy-2'!L35</f>
        <v>58939.364999999976</v>
      </c>
      <c r="K9" s="320">
        <f>H9+I9-J9</f>
        <v>0</v>
      </c>
    </row>
    <row r="10" spans="1:11">
      <c r="A10" s="319">
        <v>9</v>
      </c>
      <c r="B10" s="264" t="s">
        <v>81</v>
      </c>
      <c r="C10" s="264" t="s">
        <v>82</v>
      </c>
      <c r="D10" s="265">
        <f>+' Sangareddy-3'!E36</f>
        <v>9474</v>
      </c>
      <c r="E10" s="265">
        <f>+' Sangareddy-3'!G36</f>
        <v>988611.9</v>
      </c>
      <c r="F10" s="265">
        <f>+' Sangareddy-3'!H36</f>
        <v>84</v>
      </c>
      <c r="G10" s="265">
        <f>+' Sangareddy-3'!J36</f>
        <v>9823.68</v>
      </c>
      <c r="H10" s="265">
        <f>E10+G10</f>
        <v>998435.58000000007</v>
      </c>
      <c r="I10" s="265">
        <f>+' Sangareddy-3'!M3</f>
        <v>754936.41289999988</v>
      </c>
      <c r="J10" s="265">
        <f>+' Sangareddy-3'!L36</f>
        <v>1607217</v>
      </c>
      <c r="K10" s="477">
        <f>H10+I10-J10</f>
        <v>146154.99289999995</v>
      </c>
    </row>
    <row r="11" spans="1:11">
      <c r="A11" s="319">
        <v>10</v>
      </c>
      <c r="B11" s="264" t="s">
        <v>83</v>
      </c>
      <c r="C11" s="476" t="s">
        <v>84</v>
      </c>
      <c r="D11" s="325">
        <f>Narayankhed!E35</f>
        <v>1332.8144232602478</v>
      </c>
      <c r="E11" s="325">
        <f>+Narayankhed!G35</f>
        <v>140000.59039999999</v>
      </c>
      <c r="F11" s="325">
        <f>+Narayankhed!H35</f>
        <v>0</v>
      </c>
      <c r="G11" s="325">
        <f>+Narayankhed!J35</f>
        <v>0</v>
      </c>
      <c r="H11" s="325">
        <f>E11+G11</f>
        <v>140000.59039999999</v>
      </c>
      <c r="I11" s="325">
        <f>+Narayankhed!M3</f>
        <v>0</v>
      </c>
      <c r="J11" s="526">
        <f>+Narayankhed!L35</f>
        <v>140000.59039999999</v>
      </c>
      <c r="K11" s="320">
        <f>H11+I11-J11</f>
        <v>0</v>
      </c>
    </row>
    <row r="12" spans="1:11">
      <c r="A12" s="319">
        <v>11</v>
      </c>
      <c r="B12" s="475" t="s">
        <v>85</v>
      </c>
      <c r="C12" s="264" t="s">
        <v>86</v>
      </c>
      <c r="D12" s="265">
        <f>+Dindi!E35</f>
        <v>33.78</v>
      </c>
      <c r="E12" s="265">
        <f>+Dindi!G35</f>
        <v>3545.2110000000002</v>
      </c>
      <c r="F12" s="265">
        <f>+Dindi!H35</f>
        <v>0</v>
      </c>
      <c r="G12" s="265">
        <f>+Dindi!J35</f>
        <v>0</v>
      </c>
      <c r="H12" s="265">
        <f>E12+G12</f>
        <v>3545.2110000000002</v>
      </c>
      <c r="I12" s="265">
        <f>+Dindi!M3</f>
        <v>0</v>
      </c>
      <c r="J12" s="337">
        <f>+Dindi!L35</f>
        <v>3545.2110000000002</v>
      </c>
      <c r="K12" s="320">
        <f t="shared" ref="K12:K56" si="2">H12+I12-J12</f>
        <v>0</v>
      </c>
    </row>
    <row r="13" spans="1:11">
      <c r="A13" s="319">
        <v>12</v>
      </c>
      <c r="B13" s="475" t="s">
        <v>87</v>
      </c>
      <c r="C13" s="264" t="s">
        <v>88</v>
      </c>
      <c r="D13" s="265">
        <f>+'Madana palli'!E37</f>
        <v>0</v>
      </c>
      <c r="E13" s="265">
        <f>+'Madana palli'!G37</f>
        <v>0</v>
      </c>
      <c r="F13" s="265">
        <f>+'Madana palli'!H37</f>
        <v>3.4</v>
      </c>
      <c r="G13" s="265">
        <f>+'Madana palli'!J37</f>
        <v>399.36399999999998</v>
      </c>
      <c r="H13" s="265">
        <f>E13+G13</f>
        <v>399.36399999999998</v>
      </c>
      <c r="I13" s="265">
        <f>+'Madana palli'!M3</f>
        <v>0</v>
      </c>
      <c r="J13" s="337">
        <f>+'Madana palli'!L37</f>
        <v>399.36399999999998</v>
      </c>
      <c r="K13" s="320">
        <f t="shared" si="2"/>
        <v>0</v>
      </c>
    </row>
    <row r="14" spans="1:11">
      <c r="A14" s="319">
        <v>13</v>
      </c>
      <c r="B14" s="475" t="s">
        <v>89</v>
      </c>
      <c r="C14" s="264" t="s">
        <v>90</v>
      </c>
      <c r="D14" s="265">
        <f>+'Sri Venkateshwara Services'!E37</f>
        <v>879.64</v>
      </c>
      <c r="E14" s="265">
        <f>+'Sri Venkateshwara Services'!G37</f>
        <v>92080.715200000006</v>
      </c>
      <c r="F14" s="265">
        <f>+'Sri Venkateshwara Services'!H37</f>
        <v>70</v>
      </c>
      <c r="G14" s="265">
        <f>+'Sri Venkateshwara Services'!J37</f>
        <v>8187.2</v>
      </c>
      <c r="H14" s="265">
        <f>E14+G14</f>
        <v>100267.9152</v>
      </c>
      <c r="I14" s="265">
        <f>+'Sri Venkateshwara Services'!M3</f>
        <v>0</v>
      </c>
      <c r="J14" s="337">
        <f>+'Sri Venkateshwara Services'!L37</f>
        <v>83230</v>
      </c>
      <c r="K14" s="320">
        <f t="shared" si="2"/>
        <v>17037.915200000003</v>
      </c>
    </row>
    <row r="15" spans="1:11">
      <c r="A15" s="319">
        <v>14</v>
      </c>
      <c r="B15" s="475" t="s">
        <v>91</v>
      </c>
      <c r="C15" s="264" t="s">
        <v>92</v>
      </c>
      <c r="D15" s="265">
        <f>+' Solasa Krishna OIl'!E37</f>
        <v>2182.9700000000003</v>
      </c>
      <c r="E15" s="265">
        <f>+' Solasa Krishna OIl'!G37</f>
        <v>230085.03799999997</v>
      </c>
      <c r="F15" s="265">
        <f>+' Solasa Krishna OIl'!H37</f>
        <v>25.009999999999998</v>
      </c>
      <c r="G15" s="265">
        <f>+' Solasa Krishna OIl'!J37</f>
        <v>2944.6773999999996</v>
      </c>
      <c r="H15" s="265">
        <f t="shared" ref="H15:H16" si="3">E15+G15</f>
        <v>233029.71539999996</v>
      </c>
      <c r="I15" s="265">
        <f>+' Solasa Krishna OIl'!M3</f>
        <v>0</v>
      </c>
      <c r="J15" s="337">
        <f>+' Solasa Krishna OIl'!L37</f>
        <v>186667</v>
      </c>
      <c r="K15" s="320">
        <f t="shared" si="2"/>
        <v>46362.715399999957</v>
      </c>
    </row>
    <row r="16" spans="1:11">
      <c r="A16" s="319">
        <v>15</v>
      </c>
      <c r="B16" s="475" t="s">
        <v>93</v>
      </c>
      <c r="C16" s="264" t="s">
        <v>94</v>
      </c>
      <c r="D16" s="265">
        <f>+'Amalapuram(KKD)'!E37</f>
        <v>7986.03</v>
      </c>
      <c r="E16" s="265">
        <f>+'Amalapuram(KKD)'!G37</f>
        <v>840536.85750000004</v>
      </c>
      <c r="F16" s="265">
        <f>+'Amalapuram(KKD)'!H37</f>
        <v>141</v>
      </c>
      <c r="G16" s="265">
        <f>+'Amalapuram(KKD)'!J37</f>
        <v>16578.779999999995</v>
      </c>
      <c r="H16" s="265">
        <f t="shared" si="3"/>
        <v>857115.63750000007</v>
      </c>
      <c r="I16" s="265">
        <f>+'Amalapuram(KKD)'!M3</f>
        <v>0</v>
      </c>
      <c r="J16" s="337">
        <f>+'Amalapuram(KKD)'!L37</f>
        <v>430256</v>
      </c>
      <c r="K16" s="320">
        <f t="shared" si="2"/>
        <v>426859.63750000007</v>
      </c>
    </row>
    <row r="17" spans="1:11">
      <c r="A17" s="319">
        <v>16</v>
      </c>
      <c r="B17" s="475" t="s">
        <v>95</v>
      </c>
      <c r="C17" s="474" t="s">
        <v>96</v>
      </c>
      <c r="D17" s="265">
        <f>+'Yeleshwaram(KKD)'!E37</f>
        <v>954.16000000000008</v>
      </c>
      <c r="E17" s="265">
        <f>+'Yeleshwaram(KKD)'!G37</f>
        <v>100625.7136</v>
      </c>
      <c r="F17" s="265">
        <f>+'Yeleshwaram(KKD)'!H37</f>
        <v>35</v>
      </c>
      <c r="G17" s="265">
        <f>+'Yeleshwaram(KKD)'!J37</f>
        <v>4124.3999999999996</v>
      </c>
      <c r="H17" s="265">
        <f>E17+G17</f>
        <v>104750.1136</v>
      </c>
      <c r="I17" s="265">
        <f>+'Yeleshwaram(KKD)'!M3</f>
        <v>19106.599999999999</v>
      </c>
      <c r="J17" s="337">
        <f>+'Yeleshwaram(KKD)'!L37</f>
        <v>115358</v>
      </c>
      <c r="K17" s="320">
        <f t="shared" si="2"/>
        <v>8498.7135999999882</v>
      </c>
    </row>
    <row r="18" spans="1:11">
      <c r="A18" s="319">
        <v>17</v>
      </c>
      <c r="B18" s="475" t="s">
        <v>97</v>
      </c>
      <c r="C18" s="474" t="s">
        <v>98</v>
      </c>
      <c r="D18" s="265">
        <f>+' Pitapram(KKD)'!E37</f>
        <v>5592.86</v>
      </c>
      <c r="E18" s="265">
        <f>+' Pitapram(KKD)'!G37</f>
        <v>588424.80059999984</v>
      </c>
      <c r="F18" s="265">
        <f>+' Pitapram(KKD)'!H37</f>
        <v>188</v>
      </c>
      <c r="G18" s="265">
        <f>+' Pitapram(KKD)'!J37</f>
        <v>22105.040000000001</v>
      </c>
      <c r="H18" s="265">
        <f>E18+G18</f>
        <v>610529.84059999988</v>
      </c>
      <c r="I18" s="265">
        <f>+' Pitapram(KKD)'!M3</f>
        <v>92349.157300000021</v>
      </c>
      <c r="J18" s="337">
        <f>+' Pitapram(KKD)'!L37</f>
        <v>578525</v>
      </c>
      <c r="K18" s="320">
        <f t="shared" si="2"/>
        <v>124353.99789999984</v>
      </c>
    </row>
    <row r="19" spans="1:11">
      <c r="A19" s="319">
        <v>18</v>
      </c>
      <c r="B19" s="475" t="s">
        <v>99</v>
      </c>
      <c r="C19" s="264" t="s">
        <v>100</v>
      </c>
      <c r="D19" s="265">
        <f>+'Multiple bunks(KKD)'!E289</f>
        <v>1535.7299999999998</v>
      </c>
      <c r="E19" s="265">
        <f>+'Multiple bunks(KKD)'!G289</f>
        <v>161495.57000000004</v>
      </c>
      <c r="F19" s="265">
        <f>+'Multiple bunks(KKD)'!H289</f>
        <v>184.57999999999998</v>
      </c>
      <c r="G19" s="265">
        <f>+'Multiple bunks(KKD)'!J289</f>
        <v>21686.104399999997</v>
      </c>
      <c r="H19" s="265">
        <f>E19+G19</f>
        <v>183181.67440000002</v>
      </c>
      <c r="I19" s="265">
        <f>+'Multiple bunks(KKD)'!M3</f>
        <v>0</v>
      </c>
      <c r="J19" s="337">
        <f>+'Multiple bunks(KKD)'!L289</f>
        <v>183181.67440000002</v>
      </c>
      <c r="K19" s="320">
        <f>H19+I19-J19</f>
        <v>0</v>
      </c>
    </row>
    <row r="20" spans="1:11">
      <c r="A20" s="319">
        <v>19</v>
      </c>
      <c r="B20" s="475" t="s">
        <v>101</v>
      </c>
      <c r="C20" s="264" t="s">
        <v>102</v>
      </c>
      <c r="D20" s="265">
        <f>+'YG Gudda'!E39</f>
        <v>9400</v>
      </c>
      <c r="E20" s="265">
        <f>+'YG Gudda'!G39</f>
        <v>931916</v>
      </c>
      <c r="F20" s="265">
        <f>+'YG Gudda'!H39</f>
        <v>245</v>
      </c>
      <c r="G20" s="265">
        <f>+'YG Gudda'!J39</f>
        <v>27253.8</v>
      </c>
      <c r="H20" s="265">
        <f t="shared" ref="H20:H21" si="4">E20+G20</f>
        <v>959169.8</v>
      </c>
      <c r="I20" s="265">
        <f>+'YG Gudda'!M3</f>
        <v>296621.359903</v>
      </c>
      <c r="J20" s="337">
        <f>+'YG Gudda'!L39</f>
        <v>1128000</v>
      </c>
      <c r="K20" s="320">
        <f t="shared" si="2"/>
        <v>127791.15990300011</v>
      </c>
    </row>
    <row r="21" spans="1:11">
      <c r="A21" s="319">
        <v>20</v>
      </c>
      <c r="B21" s="475" t="s">
        <v>101</v>
      </c>
      <c r="C21" s="264" t="s">
        <v>103</v>
      </c>
      <c r="D21" s="265">
        <f>+' YG Gudda-2'!E39</f>
        <v>1500</v>
      </c>
      <c r="E21" s="265">
        <f>+' YG Gudda-2'!G39</f>
        <v>148530</v>
      </c>
      <c r="F21" s="265">
        <f>+' YG Gudda-2'!H39</f>
        <v>70</v>
      </c>
      <c r="G21" s="265">
        <f>+' YG Gudda-2'!J39</f>
        <v>7778.4000000000005</v>
      </c>
      <c r="H21" s="265">
        <f t="shared" si="4"/>
        <v>156308.4</v>
      </c>
      <c r="I21" s="265">
        <f>+' YG Gudda-2'!M3</f>
        <v>299.31919999999809</v>
      </c>
      <c r="J21" s="337">
        <f>+' YG Gudda-2'!L39</f>
        <v>0</v>
      </c>
      <c r="K21" s="320">
        <f t="shared" si="2"/>
        <v>156607.71919999999</v>
      </c>
    </row>
    <row r="22" spans="1:11">
      <c r="A22" s="319">
        <v>21</v>
      </c>
      <c r="B22" s="264" t="s">
        <v>104</v>
      </c>
      <c r="C22" s="478" t="s">
        <v>105</v>
      </c>
      <c r="D22" s="360">
        <f>+'Hosadurga -2'!E35</f>
        <v>2400</v>
      </c>
      <c r="E22" s="360">
        <f>+'Hosadurga -2'!G35</f>
        <v>238512</v>
      </c>
      <c r="F22" s="360">
        <f>+'Hosadurga -2'!H35</f>
        <v>240</v>
      </c>
      <c r="G22" s="360">
        <f>+'Hosadurga -2'!J35</f>
        <v>26812.799999999999</v>
      </c>
      <c r="H22" s="360">
        <f>+'Hosadurga -2'!K35</f>
        <v>265324.79999999999</v>
      </c>
      <c r="I22" s="360">
        <f>+'Hosadurga -2'!K3</f>
        <v>484.79409999979543</v>
      </c>
      <c r="J22" s="527">
        <f>+'Hosadurga -2'!L35</f>
        <v>147000</v>
      </c>
      <c r="K22" s="320">
        <f>H22+I22-J22</f>
        <v>118809.59409999975</v>
      </c>
    </row>
    <row r="23" spans="1:11" ht="15.75" customHeight="1">
      <c r="A23" s="319">
        <v>22</v>
      </c>
      <c r="B23" s="266" t="s">
        <v>106</v>
      </c>
      <c r="C23" s="266" t="s">
        <v>107</v>
      </c>
      <c r="D23" s="265">
        <f>+'Malebenur(KUWSDB)'!E37</f>
        <v>4150</v>
      </c>
      <c r="E23" s="265">
        <f>+'Malebenur(KUWSDB)'!G37</f>
        <v>414958.5</v>
      </c>
      <c r="F23" s="265">
        <f>+'Malebenur(KUWSDB)'!H37</f>
        <v>200</v>
      </c>
      <c r="G23" s="265">
        <f>+'Malebenur(KUWSDB)'!J37</f>
        <v>22405.200000000001</v>
      </c>
      <c r="H23" s="265">
        <f>E23+G23</f>
        <v>437363.7</v>
      </c>
      <c r="I23" s="265">
        <f>+'Malebenur(KUWSDB)'!K3</f>
        <v>130766.70989999996</v>
      </c>
      <c r="J23" s="337">
        <f>+'Malebenur(KUWSDB)'!L37</f>
        <v>445902</v>
      </c>
      <c r="K23" s="320">
        <f>H23+I23-J23</f>
        <v>122228.40989999997</v>
      </c>
    </row>
    <row r="24" spans="1:11">
      <c r="A24" s="319">
        <v>23</v>
      </c>
      <c r="B24" s="264" t="s">
        <v>108</v>
      </c>
      <c r="C24" s="264" t="s">
        <v>109</v>
      </c>
      <c r="D24" s="265">
        <f>+Kadur!E35</f>
        <v>0</v>
      </c>
      <c r="E24" s="265">
        <f>+Kadur!G35</f>
        <v>0</v>
      </c>
      <c r="F24" s="265">
        <f>+Kadur!H35</f>
        <v>0</v>
      </c>
      <c r="G24" s="265">
        <f>+Kadur!J35</f>
        <v>0</v>
      </c>
      <c r="H24" s="265">
        <f t="shared" ref="H24:H56" si="5">E24+G24</f>
        <v>0</v>
      </c>
      <c r="I24" s="265">
        <f>+Kadur!K3</f>
        <v>673026.9</v>
      </c>
      <c r="J24" s="337">
        <f>+Kadur!L35</f>
        <v>673026</v>
      </c>
      <c r="K24" s="320">
        <f>H24+I24-J24</f>
        <v>0.90000000002328306</v>
      </c>
    </row>
    <row r="25" spans="1:11">
      <c r="A25" s="319">
        <v>24</v>
      </c>
      <c r="B25" s="264" t="s">
        <v>110</v>
      </c>
      <c r="C25" s="264" t="s">
        <v>111</v>
      </c>
      <c r="D25" s="265">
        <f>+'Hiriyur(VJNL)'!E35</f>
        <v>4000</v>
      </c>
      <c r="E25" s="265">
        <f>+'Hiriyur(VJNL)'!G35</f>
        <v>400360</v>
      </c>
      <c r="F25" s="265">
        <f>+'Hiriyur(VJNL)'!H35</f>
        <v>315</v>
      </c>
      <c r="G25" s="265">
        <f>+'Hiriyur(VJNL)'!J35</f>
        <v>35317.800000000003</v>
      </c>
      <c r="H25" s="265">
        <f t="shared" si="5"/>
        <v>435677.8</v>
      </c>
      <c r="I25" s="265">
        <f>+'Hiriyur(VJNL)'!K3</f>
        <v>208267.90000000002</v>
      </c>
      <c r="J25" s="265">
        <f>+'Hiriyur(VJNL)'!L35</f>
        <v>424000</v>
      </c>
      <c r="K25" s="479">
        <f t="shared" si="2"/>
        <v>219945.69999999995</v>
      </c>
    </row>
    <row r="26" spans="1:11">
      <c r="A26" s="319">
        <v>25</v>
      </c>
      <c r="B26" s="264" t="s">
        <v>112</v>
      </c>
      <c r="C26" s="264" t="s">
        <v>113</v>
      </c>
      <c r="D26" s="265">
        <f>+'Chellakere -1'!E38</f>
        <v>3000</v>
      </c>
      <c r="E26" s="265">
        <f>+'Chellakere -1'!G38</f>
        <v>300150</v>
      </c>
      <c r="F26" s="265">
        <f>+'Chellakere -1'!H38</f>
        <v>175</v>
      </c>
      <c r="G26" s="265">
        <f>+'Chellakere -1'!J38</f>
        <v>19612.25</v>
      </c>
      <c r="H26" s="265">
        <f t="shared" si="5"/>
        <v>319762.25</v>
      </c>
      <c r="I26" s="265">
        <f>+'Chellakere -1'!K3</f>
        <v>210978.25139999995</v>
      </c>
      <c r="J26" s="265">
        <f>+'Chellakere -1'!L38</f>
        <v>530740</v>
      </c>
      <c r="K26" s="320">
        <f t="shared" si="2"/>
        <v>0.50139999995008111</v>
      </c>
    </row>
    <row r="27" spans="1:11">
      <c r="A27" s="319">
        <v>26</v>
      </c>
      <c r="B27" s="264" t="s">
        <v>114</v>
      </c>
      <c r="C27" s="264" t="s">
        <v>113</v>
      </c>
      <c r="D27" s="265">
        <f>+' Chellakere-PKG-9'!E36</f>
        <v>735.99</v>
      </c>
      <c r="E27" s="265">
        <f>+' Chellakere-PKG-9'!G36</f>
        <v>73532.470499999996</v>
      </c>
      <c r="F27" s="265">
        <f>+' Chellakere-PKG-9'!H36</f>
        <v>41.019999999999996</v>
      </c>
      <c r="G27" s="265">
        <f>+' Chellakere-PKG-9'!J36</f>
        <v>4597.1113999999998</v>
      </c>
      <c r="H27" s="265">
        <f t="shared" si="5"/>
        <v>78129.58189999999</v>
      </c>
      <c r="I27" s="265">
        <f>+' Chellakere-PKG-9'!M3</f>
        <v>0</v>
      </c>
      <c r="J27" s="265">
        <f>+' Chellakere-PKG-9'!L36</f>
        <v>78129.58189999999</v>
      </c>
      <c r="K27" s="320">
        <f t="shared" si="2"/>
        <v>0</v>
      </c>
    </row>
    <row r="28" spans="1:11">
      <c r="A28" s="319">
        <v>27</v>
      </c>
      <c r="B28" s="264" t="s">
        <v>115</v>
      </c>
      <c r="C28" s="295" t="s">
        <v>116</v>
      </c>
      <c r="D28" s="265">
        <f>+Molakamuru!E35</f>
        <v>900</v>
      </c>
      <c r="E28" s="265">
        <f>+Molakamuru!G35</f>
        <v>90036</v>
      </c>
      <c r="F28" s="265">
        <f>+Molakamuru!H35</f>
        <v>85</v>
      </c>
      <c r="G28" s="265">
        <f>+Molakamuru!J35</f>
        <v>9525.0999999999985</v>
      </c>
      <c r="H28" s="265">
        <f t="shared" si="5"/>
        <v>99561.1</v>
      </c>
      <c r="I28" s="265">
        <f>+Molakamuru!K3</f>
        <v>50699.16</v>
      </c>
      <c r="J28" s="265">
        <f>+Molakamuru!L35</f>
        <v>115000</v>
      </c>
      <c r="K28" s="320">
        <f t="shared" si="2"/>
        <v>35260.260000000009</v>
      </c>
    </row>
    <row r="29" spans="1:11">
      <c r="A29" s="319">
        <v>28</v>
      </c>
      <c r="B29" s="264" t="s">
        <v>117</v>
      </c>
      <c r="C29" s="318" t="s">
        <v>88</v>
      </c>
      <c r="D29" s="265">
        <f>+' Chennagiri'!E35</f>
        <v>860</v>
      </c>
      <c r="E29" s="265">
        <f>+' Chennagiri'!G35</f>
        <v>85894.2</v>
      </c>
      <c r="F29" s="265">
        <f>+' Chennagiri'!H35</f>
        <v>78</v>
      </c>
      <c r="G29" s="265">
        <f>+' Chennagiri'!J35</f>
        <v>8740.68</v>
      </c>
      <c r="H29" s="265">
        <f t="shared" si="5"/>
        <v>94634.880000000005</v>
      </c>
      <c r="I29" s="265">
        <f>+' Chennagiri'!K3</f>
        <v>0</v>
      </c>
      <c r="J29" s="265">
        <f>+' Chennagiri'!L35</f>
        <v>94634.880000000005</v>
      </c>
      <c r="K29" s="320">
        <f t="shared" si="2"/>
        <v>0</v>
      </c>
    </row>
    <row r="30" spans="1:11">
      <c r="A30" s="319">
        <v>29</v>
      </c>
      <c r="B30" s="264" t="s">
        <v>118</v>
      </c>
      <c r="C30" s="264" t="s">
        <v>119</v>
      </c>
      <c r="D30" s="265">
        <f>+Khanapur!E35</f>
        <v>865.03000000000009</v>
      </c>
      <c r="E30" s="265">
        <f>+Khanapur!G35</f>
        <v>85369.610700000005</v>
      </c>
      <c r="F30" s="265">
        <f>+Khanapur!H35</f>
        <v>90</v>
      </c>
      <c r="G30" s="265">
        <f>+Khanapur!J35</f>
        <v>9966.6</v>
      </c>
      <c r="H30" s="265">
        <f t="shared" si="5"/>
        <v>95336.210700000011</v>
      </c>
      <c r="I30" s="265">
        <f>+Khanapur!M3</f>
        <v>84731.65889999998</v>
      </c>
      <c r="J30" s="265">
        <f>+Khanapur!L35</f>
        <v>138271</v>
      </c>
      <c r="K30" s="320">
        <f t="shared" si="2"/>
        <v>41796.869599999976</v>
      </c>
    </row>
    <row r="31" spans="1:11">
      <c r="A31" s="319">
        <v>30</v>
      </c>
      <c r="B31" s="264" t="s">
        <v>120</v>
      </c>
      <c r="C31" s="264" t="s">
        <v>121</v>
      </c>
      <c r="D31" s="265">
        <f>+'Munavali-2'!E40</f>
        <v>5000</v>
      </c>
      <c r="E31" s="265">
        <f>+'Munavali-2'!G40</f>
        <v>496750</v>
      </c>
      <c r="F31" s="265">
        <f>+'Munavali-2'!H40</f>
        <v>30</v>
      </c>
      <c r="G31" s="265">
        <f>+'Munavali-2'!J40</f>
        <v>3343.5</v>
      </c>
      <c r="H31" s="265">
        <f t="shared" si="5"/>
        <v>500093.5</v>
      </c>
      <c r="I31" s="265">
        <f>+'Munavali-2'!M3</f>
        <v>146708</v>
      </c>
      <c r="J31" s="265">
        <f>+'Munavali-2'!L40</f>
        <v>300000</v>
      </c>
      <c r="K31" s="320">
        <f t="shared" si="2"/>
        <v>346801.5</v>
      </c>
    </row>
    <row r="32" spans="1:11">
      <c r="A32" s="319">
        <v>31</v>
      </c>
      <c r="B32" s="264" t="s">
        <v>120</v>
      </c>
      <c r="C32" s="264" t="s">
        <v>122</v>
      </c>
      <c r="D32" s="265">
        <f>+' Munavali'!E39</f>
        <v>200</v>
      </c>
      <c r="E32" s="265">
        <f>+' Munavali'!G39</f>
        <v>19826</v>
      </c>
      <c r="F32" s="265">
        <f>+' Munavali'!H39</f>
        <v>217.31</v>
      </c>
      <c r="G32" s="265">
        <f>+' Munavali'!J39</f>
        <v>24167.045099999996</v>
      </c>
      <c r="H32" s="265">
        <f t="shared" si="5"/>
        <v>43993.045099999996</v>
      </c>
      <c r="I32" s="265">
        <f>+' Munavali'!M3</f>
        <v>274277.22479999973</v>
      </c>
      <c r="J32" s="265">
        <f>+' Munavali'!L39</f>
        <v>317605</v>
      </c>
      <c r="K32" s="320">
        <f t="shared" si="2"/>
        <v>665.26989999972284</v>
      </c>
    </row>
    <row r="33" spans="1:13">
      <c r="A33" s="319">
        <v>32</v>
      </c>
      <c r="B33" s="264" t="s">
        <v>123</v>
      </c>
      <c r="C33" s="264" t="s">
        <v>124</v>
      </c>
      <c r="D33" s="265">
        <f>+Borgaon!E35</f>
        <v>0</v>
      </c>
      <c r="E33" s="265">
        <f>+Borgaon!G35</f>
        <v>0</v>
      </c>
      <c r="F33" s="265">
        <f>+Borgaon!H35</f>
        <v>0</v>
      </c>
      <c r="G33" s="265">
        <f>+Borgaon!J35</f>
        <v>0</v>
      </c>
      <c r="H33" s="265">
        <f t="shared" si="5"/>
        <v>0</v>
      </c>
      <c r="I33" s="265">
        <f>+Borgaon!K3</f>
        <v>208.39069999998901</v>
      </c>
      <c r="J33" s="265">
        <f>+Borgaon!L35</f>
        <v>208.39</v>
      </c>
      <c r="K33" s="320">
        <f>H33+I33-J33</f>
        <v>6.9999998902403604E-4</v>
      </c>
    </row>
    <row r="34" spans="1:13">
      <c r="A34" s="319">
        <v>33</v>
      </c>
      <c r="B34" s="264" t="s">
        <v>125</v>
      </c>
      <c r="C34" s="264" t="s">
        <v>126</v>
      </c>
      <c r="D34" s="265">
        <f>+'Ugar,Khagwad,Kudichi'!E37</f>
        <v>7624</v>
      </c>
      <c r="E34" s="265">
        <f>+'Ugar,Khagwad,Kudichi'!G37</f>
        <v>760417.76</v>
      </c>
      <c r="F34" s="265">
        <f>+'Ugar,Khagwad,Kudichi'!H37</f>
        <v>297</v>
      </c>
      <c r="G34" s="265">
        <f>+'Ugar,Khagwad,Kudichi'!J37</f>
        <v>33361.149999999994</v>
      </c>
      <c r="H34" s="265">
        <f t="shared" si="5"/>
        <v>793778.91</v>
      </c>
      <c r="I34" s="265">
        <f>+'Ugar,Khagwad,Kudichi'!M3</f>
        <v>342020.47570000042</v>
      </c>
      <c r="J34" s="265">
        <f>+'Ugar,Khagwad,Kudichi'!L37</f>
        <v>551965.02</v>
      </c>
      <c r="K34" s="320">
        <f>H34+I34-J34</f>
        <v>583834.36570000043</v>
      </c>
    </row>
    <row r="35" spans="1:13">
      <c r="A35" s="319">
        <v>34</v>
      </c>
      <c r="B35" s="264" t="s">
        <v>127</v>
      </c>
      <c r="C35" s="264" t="s">
        <v>128</v>
      </c>
      <c r="D35" s="265">
        <f>+shedbal!E38</f>
        <v>3478.1800000000003</v>
      </c>
      <c r="E35" s="265">
        <f>+shedbal!G38</f>
        <v>346853.65989999997</v>
      </c>
      <c r="F35" s="265">
        <f>+shedbal!H38</f>
        <v>192</v>
      </c>
      <c r="G35" s="265">
        <f>+shedbal!J38</f>
        <v>21475.200000000001</v>
      </c>
      <c r="H35" s="265">
        <f t="shared" si="5"/>
        <v>368328.85989999998</v>
      </c>
      <c r="I35" s="265">
        <f>+shedbal!M3</f>
        <v>506281.15000000014</v>
      </c>
      <c r="J35" s="265">
        <f>+shedbal!L38</f>
        <v>703968.95499999996</v>
      </c>
      <c r="K35" s="320">
        <f>H35+I35-J35</f>
        <v>170641.05490000022</v>
      </c>
    </row>
    <row r="36" spans="1:13">
      <c r="A36" s="319">
        <v>35</v>
      </c>
      <c r="B36" s="264" t="s">
        <v>129</v>
      </c>
      <c r="C36" s="264" t="s">
        <v>130</v>
      </c>
      <c r="D36" s="265">
        <f>+Kabbur!E35</f>
        <v>352</v>
      </c>
      <c r="E36" s="265">
        <f>+Kabbur!G35</f>
        <v>34992.32</v>
      </c>
      <c r="F36" s="265">
        <f>+Kabbur!H35</f>
        <v>23.23</v>
      </c>
      <c r="G36" s="265">
        <f>+Kabbur!J35</f>
        <v>2590.3773000000001</v>
      </c>
      <c r="H36" s="265">
        <f t="shared" si="5"/>
        <v>37582.6973</v>
      </c>
      <c r="I36" s="265">
        <v>0</v>
      </c>
      <c r="J36" s="265">
        <f>+Kabbur!L35</f>
        <v>37582.697299999993</v>
      </c>
      <c r="K36" s="320">
        <f t="shared" si="2"/>
        <v>0</v>
      </c>
    </row>
    <row r="37" spans="1:13">
      <c r="A37" s="319">
        <v>36</v>
      </c>
      <c r="B37" s="264" t="s">
        <v>131</v>
      </c>
      <c r="C37" s="264" t="s">
        <v>132</v>
      </c>
      <c r="D37" s="265">
        <f>+kumta!E41</f>
        <v>1229</v>
      </c>
      <c r="E37" s="265">
        <f>+kumta!G41</f>
        <v>122629.61999999998</v>
      </c>
      <c r="F37" s="265">
        <f>+kumta!H41</f>
        <v>100</v>
      </c>
      <c r="G37" s="265">
        <f>+kumta!J41</f>
        <v>11197.999999999998</v>
      </c>
      <c r="H37" s="265">
        <f t="shared" si="5"/>
        <v>133827.61999999997</v>
      </c>
      <c r="I37" s="265">
        <f>kumta!M3</f>
        <v>60343.606800000023</v>
      </c>
      <c r="J37" s="265">
        <f>+kumta!L41</f>
        <v>170079</v>
      </c>
      <c r="K37" s="320">
        <f t="shared" si="2"/>
        <v>24092.226800000004</v>
      </c>
    </row>
    <row r="38" spans="1:13">
      <c r="A38" s="319">
        <v>37</v>
      </c>
      <c r="B38" s="264" t="s">
        <v>133</v>
      </c>
      <c r="C38" s="264" t="s">
        <v>134</v>
      </c>
      <c r="D38" s="265">
        <f>+'Jalgoan-2'!E56</f>
        <v>3826.03</v>
      </c>
      <c r="E38" s="265">
        <f>'Jalgoan-2'!G56</f>
        <v>380734.65490000008</v>
      </c>
      <c r="F38" s="265">
        <f>+'Jalgoan-2'!H56</f>
        <v>160</v>
      </c>
      <c r="G38" s="265">
        <f>+'Jalgoan-2'!J56</f>
        <v>18108.800000000003</v>
      </c>
      <c r="H38" s="265">
        <f t="shared" si="5"/>
        <v>398843.45490000007</v>
      </c>
      <c r="I38" s="265">
        <f>+'Jalgoan-2'!M3</f>
        <v>4531108.1682000002</v>
      </c>
      <c r="J38" s="265">
        <f>+'Jalgoan-2'!L56</f>
        <v>4879951.5948999999</v>
      </c>
      <c r="K38" s="320">
        <f t="shared" si="2"/>
        <v>50000.028200000525</v>
      </c>
    </row>
    <row r="39" spans="1:13">
      <c r="A39" s="319">
        <v>38</v>
      </c>
      <c r="B39" s="264" t="s">
        <v>135</v>
      </c>
      <c r="C39" s="264" t="s">
        <v>136</v>
      </c>
      <c r="D39" s="265">
        <f>+MKBD!E42</f>
        <v>3000</v>
      </c>
      <c r="E39" s="265">
        <f>+MKBD!G42</f>
        <v>296820</v>
      </c>
      <c r="F39" s="265">
        <f>+MKBD!H42</f>
        <v>50</v>
      </c>
      <c r="G39" s="265">
        <f>+MKBD!J42</f>
        <v>5613.5</v>
      </c>
      <c r="H39" s="265">
        <f t="shared" si="5"/>
        <v>302433.5</v>
      </c>
      <c r="I39" s="265">
        <f>+MKBD!K3</f>
        <v>929513.50990000111</v>
      </c>
      <c r="J39" s="265">
        <f>+MKBD!L42</f>
        <v>1141380</v>
      </c>
      <c r="K39" s="320">
        <f t="shared" si="2"/>
        <v>90567.009900001111</v>
      </c>
    </row>
    <row r="40" spans="1:13">
      <c r="A40" s="319">
        <v>39</v>
      </c>
      <c r="B40" s="264" t="s">
        <v>137</v>
      </c>
      <c r="C40" s="264" t="s">
        <v>138</v>
      </c>
      <c r="D40" s="265">
        <f>' Haveri-2'!E42</f>
        <v>2755.91</v>
      </c>
      <c r="E40" s="265">
        <f>' Haveri-2'!G42</f>
        <v>273661.86300000001</v>
      </c>
      <c r="F40" s="265">
        <f>' Haveri-2'!H42</f>
        <v>74.5</v>
      </c>
      <c r="G40" s="265">
        <f>' Haveri-2'!J42</f>
        <v>8299.3000000000011</v>
      </c>
      <c r="H40" s="265">
        <f t="shared" si="5"/>
        <v>281961.163</v>
      </c>
      <c r="I40" s="265">
        <f>' Haveri-2'!M3</f>
        <v>119035.38549999986</v>
      </c>
      <c r="J40" s="265">
        <f>+' Haveri-2'!L42</f>
        <v>359944</v>
      </c>
      <c r="K40" s="320">
        <f t="shared" si="2"/>
        <v>41052.548499999859</v>
      </c>
    </row>
    <row r="41" spans="1:13">
      <c r="A41" s="319">
        <v>40</v>
      </c>
      <c r="B41" s="264" t="s">
        <v>139</v>
      </c>
      <c r="C41" s="264" t="s">
        <v>140</v>
      </c>
      <c r="D41" s="265">
        <f>+' Guttal-2'!E35</f>
        <v>6294</v>
      </c>
      <c r="E41" s="265">
        <f>+' Guttal-2'!G35</f>
        <v>626882.4</v>
      </c>
      <c r="F41" s="265">
        <f>+' Guttal-2'!H35</f>
        <v>207.93</v>
      </c>
      <c r="G41" s="265">
        <f>+' Guttal-2'!J35</f>
        <v>23227.860299999997</v>
      </c>
      <c r="H41" s="265">
        <f t="shared" si="5"/>
        <v>650110.26029999997</v>
      </c>
      <c r="I41" s="265">
        <f>+' Guttal-2'!M3</f>
        <v>164389.71640000009</v>
      </c>
      <c r="J41" s="265">
        <f>+' Guttal-2'!L35</f>
        <v>406000</v>
      </c>
      <c r="K41" s="320">
        <f t="shared" si="2"/>
        <v>408499.9767</v>
      </c>
    </row>
    <row r="42" spans="1:13">
      <c r="A42" s="319">
        <v>41</v>
      </c>
      <c r="B42" s="264" t="s">
        <v>141</v>
      </c>
      <c r="C42" s="264" t="s">
        <v>142</v>
      </c>
      <c r="D42" s="265">
        <f>+'Rattihali-2'!E37</f>
        <v>2650.91</v>
      </c>
      <c r="E42" s="265">
        <f>+'Rattihali-2'!G37</f>
        <v>264295.72700000001</v>
      </c>
      <c r="F42" s="265">
        <f>+'Rattihali-2'!H37</f>
        <v>69</v>
      </c>
      <c r="G42" s="265">
        <f>+'Rattihali-2'!J37</f>
        <v>7715.5800000000008</v>
      </c>
      <c r="H42" s="265">
        <f t="shared" si="5"/>
        <v>272011.30700000003</v>
      </c>
      <c r="I42" s="265">
        <f>+'Rattihali-2'!M3</f>
        <v>343880.92190000013</v>
      </c>
      <c r="J42" s="265">
        <f>+'Rattihali-2'!L37</f>
        <v>471000</v>
      </c>
      <c r="K42" s="320">
        <f t="shared" si="2"/>
        <v>144892.22890000022</v>
      </c>
    </row>
    <row r="43" spans="1:13">
      <c r="A43" s="319">
        <v>42</v>
      </c>
      <c r="B43" s="264" t="s">
        <v>143</v>
      </c>
      <c r="C43" s="264" t="s">
        <v>144</v>
      </c>
      <c r="D43" s="265">
        <f>+Gajendragada!E36</f>
        <v>979</v>
      </c>
      <c r="E43" s="265">
        <f>+Gajendragada!G36</f>
        <v>97547.560000000041</v>
      </c>
      <c r="F43" s="265">
        <f>+Gajendragada!H36</f>
        <v>84.06</v>
      </c>
      <c r="G43" s="265">
        <f>+Gajendragada!J36</f>
        <v>9395.3862000000008</v>
      </c>
      <c r="H43" s="265">
        <f t="shared" si="5"/>
        <v>106942.94620000003</v>
      </c>
      <c r="I43" s="265">
        <f>+Gajendragada!K3</f>
        <v>59887.243099999934</v>
      </c>
      <c r="J43" s="265">
        <f>+Gajendragada!L36</f>
        <v>150654</v>
      </c>
      <c r="K43" s="320">
        <f t="shared" si="2"/>
        <v>16176.189299999969</v>
      </c>
    </row>
    <row r="44" spans="1:13">
      <c r="A44" s="319">
        <v>43</v>
      </c>
      <c r="B44" s="267" t="s">
        <v>145</v>
      </c>
      <c r="C44" s="267" t="s">
        <v>146</v>
      </c>
      <c r="D44" s="265">
        <f>+'Gokak Dharwad PKG 3'!E42</f>
        <v>8436.6700000000019</v>
      </c>
      <c r="E44" s="265">
        <f>+'Gokak Dharwad PKG 3'!G42</f>
        <v>837676.96430000011</v>
      </c>
      <c r="F44" s="265">
        <f>+'Gokak Dharwad PKG 3'!H42</f>
        <v>95</v>
      </c>
      <c r="G44" s="265">
        <f>+'Gokak Dharwad PKG 3'!J42</f>
        <v>10630.75</v>
      </c>
      <c r="H44" s="265">
        <f t="shared" si="5"/>
        <v>848307.71430000011</v>
      </c>
      <c r="I44" s="339">
        <f>+'Gokak Dharwad PKG 3'!K3</f>
        <v>442814.45570000139</v>
      </c>
      <c r="J44" s="265">
        <f>+'Gokak Dharwad PKG 3'!L42</f>
        <v>1109000</v>
      </c>
      <c r="K44" s="320">
        <f t="shared" si="2"/>
        <v>182122.17000000156</v>
      </c>
      <c r="M44" s="269"/>
    </row>
    <row r="45" spans="1:13">
      <c r="A45" s="319">
        <v>44</v>
      </c>
      <c r="B45" s="267" t="s">
        <v>147</v>
      </c>
      <c r="C45" s="267" t="s">
        <v>148</v>
      </c>
      <c r="D45" s="265">
        <f>+' TR Associates'!E35</f>
        <v>7542.24</v>
      </c>
      <c r="E45" s="265">
        <f>+' TR Associates'!G35</f>
        <v>747662.25120000006</v>
      </c>
      <c r="F45" s="265">
        <f>+' TR Associates'!H35</f>
        <v>0</v>
      </c>
      <c r="G45" s="265">
        <f>+' TR Associates'!J35</f>
        <v>0</v>
      </c>
      <c r="H45" s="337">
        <f t="shared" si="5"/>
        <v>747662.25120000006</v>
      </c>
      <c r="I45" s="336">
        <f>+' TR Associates'!M3</f>
        <v>1398189.1940000001</v>
      </c>
      <c r="J45" s="338">
        <f>+' TR Associates'!L35</f>
        <v>2009750</v>
      </c>
      <c r="K45" s="320">
        <f t="shared" si="2"/>
        <v>136101.44519999996</v>
      </c>
      <c r="M45" s="269"/>
    </row>
    <row r="46" spans="1:13">
      <c r="A46" s="319">
        <v>45</v>
      </c>
      <c r="B46" s="267" t="s">
        <v>149</v>
      </c>
      <c r="C46" s="267" t="s">
        <v>150</v>
      </c>
      <c r="D46" s="265">
        <f>+Ankalgi!E35</f>
        <v>2615.48</v>
      </c>
      <c r="E46" s="265">
        <f>+Ankalgi!G35</f>
        <v>259272.5324</v>
      </c>
      <c r="F46" s="265">
        <f>+Ankalgi!H35</f>
        <v>85</v>
      </c>
      <c r="G46" s="265">
        <f>+Ankalgi!J35</f>
        <v>9452.8499999999985</v>
      </c>
      <c r="H46" s="265">
        <f t="shared" si="5"/>
        <v>268725.3824</v>
      </c>
      <c r="I46" s="286">
        <f>+Ankalgi!M3</f>
        <v>114274.93569999991</v>
      </c>
      <c r="J46" s="265">
        <f>+Ankalgi!L35</f>
        <v>351157</v>
      </c>
      <c r="K46" s="320">
        <f>H46+I46-J46</f>
        <v>31843.318099999917</v>
      </c>
    </row>
    <row r="47" spans="1:13">
      <c r="A47" s="319">
        <v>46</v>
      </c>
      <c r="B47" s="267" t="s">
        <v>151</v>
      </c>
      <c r="C47" s="267" t="s">
        <v>152</v>
      </c>
      <c r="D47" s="265">
        <f>+'SHRI DESHPANDE'!E35</f>
        <v>6753.8549999999987</v>
      </c>
      <c r="E47" s="265">
        <f>+'SHRI DESHPANDE'!G35</f>
        <v>671130.57134999987</v>
      </c>
      <c r="F47" s="265">
        <f>+'SHRI DESHPANDE'!H35</f>
        <v>299</v>
      </c>
      <c r="G47" s="265">
        <f>+'SHRI DESHPANDE'!J35</f>
        <v>33326.54</v>
      </c>
      <c r="H47" s="337">
        <f>E47+G47</f>
        <v>704457.1113499999</v>
      </c>
      <c r="I47" s="336">
        <f>+'SHRI DESHPANDE'!M3</f>
        <v>1046236.6956000001</v>
      </c>
      <c r="J47" s="338">
        <f>+'SHRI DESHPANDE'!L35</f>
        <v>1606081</v>
      </c>
      <c r="K47" s="320">
        <f>H47+I47-J47</f>
        <v>144612.80695000011</v>
      </c>
    </row>
    <row r="48" spans="1:13">
      <c r="A48" s="319">
        <v>47</v>
      </c>
      <c r="B48" s="267" t="s">
        <v>153</v>
      </c>
      <c r="C48" s="267" t="s">
        <v>154</v>
      </c>
      <c r="D48" s="265">
        <f>+' Shankeshwar'!E35</f>
        <v>160.18</v>
      </c>
      <c r="E48" s="265">
        <f>+' Shankeshwar'!G35</f>
        <v>15877.0416</v>
      </c>
      <c r="F48" s="265">
        <f>+' Shankeshwar'!H35</f>
        <v>40</v>
      </c>
      <c r="G48" s="265">
        <f>+' Shankeshwar'!J35</f>
        <v>4448</v>
      </c>
      <c r="H48" s="337">
        <f t="shared" si="5"/>
        <v>20325.0416</v>
      </c>
      <c r="I48" s="426">
        <f>' Shankeshwar'!M3</f>
        <v>0</v>
      </c>
      <c r="J48" s="338">
        <f>+' Shankeshwar'!L35</f>
        <v>20325.0416</v>
      </c>
      <c r="K48" s="320">
        <f t="shared" si="2"/>
        <v>0</v>
      </c>
    </row>
    <row r="49" spans="1:13">
      <c r="A49" s="319">
        <v>48</v>
      </c>
      <c r="B49" s="267" t="s">
        <v>155</v>
      </c>
      <c r="C49" s="267" t="s">
        <v>156</v>
      </c>
      <c r="D49" s="265">
        <f>+' Talikote'!E48</f>
        <v>1123.106</v>
      </c>
      <c r="E49" s="265">
        <f>+' Talikote'!G48</f>
        <v>111537.08192</v>
      </c>
      <c r="F49" s="265">
        <f>+' Talikote'!H48</f>
        <v>72.66</v>
      </c>
      <c r="G49" s="265">
        <f>+' Talikote'!J48</f>
        <v>8095.7772000000014</v>
      </c>
      <c r="H49" s="265">
        <f t="shared" si="5"/>
        <v>119632.85911999999</v>
      </c>
      <c r="I49" s="360">
        <f>+' Talikote'!N3</f>
        <v>20180.948599999974</v>
      </c>
      <c r="J49" s="265">
        <f>+' Talikote'!L48</f>
        <v>130000</v>
      </c>
      <c r="K49" s="320">
        <f t="shared" si="2"/>
        <v>9813.8077199999825</v>
      </c>
    </row>
    <row r="50" spans="1:13">
      <c r="A50" s="319">
        <v>49</v>
      </c>
      <c r="B50" s="267" t="s">
        <v>157</v>
      </c>
      <c r="C50" s="267" t="s">
        <v>158</v>
      </c>
      <c r="D50" s="265">
        <f>+Chadchan!E35</f>
        <v>950.98</v>
      </c>
      <c r="E50" s="265">
        <f>+Chadchan!G35</f>
        <v>94261.137600000002</v>
      </c>
      <c r="F50" s="265">
        <f>+Chadchan!H35</f>
        <v>91.82</v>
      </c>
      <c r="G50" s="265">
        <f>+Chadchan!J35</f>
        <v>10209.465800000002</v>
      </c>
      <c r="H50" s="265">
        <f t="shared" si="5"/>
        <v>104470.60340000001</v>
      </c>
      <c r="I50" s="265">
        <f>+Chadchan!K3</f>
        <v>118310.1755000001</v>
      </c>
      <c r="J50" s="265">
        <f>+Chadchan!L35</f>
        <v>218819</v>
      </c>
      <c r="K50" s="320">
        <f t="shared" si="2"/>
        <v>3961.7789000000921</v>
      </c>
    </row>
    <row r="51" spans="1:13">
      <c r="A51" s="319">
        <v>50</v>
      </c>
      <c r="B51" s="267" t="s">
        <v>159</v>
      </c>
      <c r="C51" s="267" t="s">
        <v>160</v>
      </c>
      <c r="D51" s="265">
        <f>+Sindagi!E35</f>
        <v>330</v>
      </c>
      <c r="E51" s="265">
        <f>+Sindagi!G35</f>
        <v>32693.1</v>
      </c>
      <c r="F51" s="265">
        <f>+Sindagi!H35</f>
        <v>0</v>
      </c>
      <c r="G51" s="265">
        <f>+Sindagi!J35</f>
        <v>0</v>
      </c>
      <c r="H51" s="265">
        <f t="shared" si="5"/>
        <v>32693.1</v>
      </c>
      <c r="I51" s="265">
        <f>+Sindagi!M3</f>
        <v>23593.439999999988</v>
      </c>
      <c r="J51" s="265">
        <f>+Sindagi!L35</f>
        <v>46380</v>
      </c>
      <c r="K51" s="320">
        <f t="shared" si="2"/>
        <v>9906.5399999999863</v>
      </c>
    </row>
    <row r="52" spans="1:13">
      <c r="A52" s="319">
        <v>51</v>
      </c>
      <c r="B52" s="267" t="s">
        <v>161</v>
      </c>
      <c r="C52" s="267" t="s">
        <v>162</v>
      </c>
      <c r="D52" s="265">
        <f>+'Muddebhihal-2'!E50</f>
        <v>1667.9</v>
      </c>
      <c r="E52" s="265">
        <f>+'Muddebhihal-2'!G50</f>
        <v>165480.8603</v>
      </c>
      <c r="F52" s="265">
        <f>+'Muddebhihal-2'!H50</f>
        <v>43</v>
      </c>
      <c r="G52" s="265">
        <f>+'Muddebhihal-2'!J50</f>
        <v>4881.0599999999995</v>
      </c>
      <c r="H52" s="265">
        <f>+'Muddebhihal-2'!K50</f>
        <v>170361.92029999997</v>
      </c>
      <c r="I52" s="265">
        <f>+'Muddebhihal-2'!M3</f>
        <v>184308.74940000003</v>
      </c>
      <c r="J52" s="265">
        <f>+'Muddebhihal-2'!L50</f>
        <v>336597</v>
      </c>
      <c r="K52" s="320">
        <f>+'Muddebhihal-2'!M49</f>
        <v>18073.669700000079</v>
      </c>
    </row>
    <row r="53" spans="1:13">
      <c r="A53" s="319">
        <v>52</v>
      </c>
      <c r="B53" s="267" t="s">
        <v>163</v>
      </c>
      <c r="C53" s="267" t="s">
        <v>164</v>
      </c>
      <c r="D53" s="265">
        <f>+Alemela!E43</f>
        <v>360.89</v>
      </c>
      <c r="E53" s="265">
        <f>+Alemela!G43</f>
        <v>35826.5867</v>
      </c>
      <c r="F53" s="265">
        <f>+Alemela!H43</f>
        <v>51.04</v>
      </c>
      <c r="G53" s="265">
        <f>+Alemela!J43</f>
        <v>5684.8351999999995</v>
      </c>
      <c r="H53" s="265">
        <f t="shared" si="5"/>
        <v>41511.421900000001</v>
      </c>
      <c r="I53" s="265">
        <f>+Alemela!M3</f>
        <v>28530.320299999974</v>
      </c>
      <c r="J53" s="265">
        <f>+Alemela!L43</f>
        <v>68954</v>
      </c>
      <c r="K53" s="320">
        <f t="shared" si="2"/>
        <v>1087.7421999999788</v>
      </c>
    </row>
    <row r="54" spans="1:13">
      <c r="A54" s="319">
        <v>53</v>
      </c>
      <c r="B54" s="267" t="s">
        <v>165</v>
      </c>
      <c r="C54" s="267" t="s">
        <v>166</v>
      </c>
      <c r="D54" s="265">
        <f>+Nalatwad!E43</f>
        <v>431.87</v>
      </c>
      <c r="E54" s="265">
        <f>+Nalatwad!G43</f>
        <v>42945.152799999996</v>
      </c>
      <c r="F54" s="265">
        <f>+Nalatwad!H43</f>
        <v>52.95</v>
      </c>
      <c r="G54" s="265">
        <f>+Nalatwad!J43</f>
        <v>5906.2804999999989</v>
      </c>
      <c r="H54" s="265">
        <f>E54+G54</f>
        <v>48851.433299999997</v>
      </c>
      <c r="I54" s="265">
        <f>+Nalatwad!M3</f>
        <v>121032.20740000001</v>
      </c>
      <c r="J54" s="265">
        <f>+Nalatwad!L43</f>
        <v>154220</v>
      </c>
      <c r="K54" s="320">
        <f>H54+I54-J54</f>
        <v>15663.640700000018</v>
      </c>
    </row>
    <row r="55" spans="1:13">
      <c r="A55" s="319">
        <v>54</v>
      </c>
      <c r="B55" s="267" t="s">
        <v>167</v>
      </c>
      <c r="C55" s="267" t="s">
        <v>168</v>
      </c>
      <c r="D55" s="265">
        <f>+Srirangapatna!E35</f>
        <v>50.82</v>
      </c>
      <c r="E55" s="265">
        <f>+Srirangapatna!G35</f>
        <v>5000.1797999999999</v>
      </c>
      <c r="F55" s="265">
        <f>+Srirangapatna!H35</f>
        <v>27.150000000000002</v>
      </c>
      <c r="G55" s="265">
        <f>+Srirangapatna!J35</f>
        <v>2998.4460000000004</v>
      </c>
      <c r="H55" s="265">
        <f t="shared" si="5"/>
        <v>7998.6257999999998</v>
      </c>
      <c r="I55" s="265">
        <v>0</v>
      </c>
      <c r="J55" s="265">
        <f>+Srirangapatna!L35</f>
        <v>7998.6257999999998</v>
      </c>
      <c r="K55" s="320">
        <f t="shared" si="2"/>
        <v>0</v>
      </c>
    </row>
    <row r="56" spans="1:13">
      <c r="A56" s="319">
        <v>55</v>
      </c>
      <c r="B56" s="267" t="s">
        <v>169</v>
      </c>
      <c r="C56" s="264" t="s">
        <v>71</v>
      </c>
      <c r="D56" s="325">
        <f>+'HO(DG)'!E47</f>
        <v>1160</v>
      </c>
      <c r="E56" s="325">
        <f>+'HO(DG)'!G47</f>
        <v>120361.59999999999</v>
      </c>
      <c r="F56" s="325">
        <f>+'HO(DG)'!H47</f>
        <v>0</v>
      </c>
      <c r="G56" s="325">
        <f>+'HO(DG)'!J47</f>
        <v>0</v>
      </c>
      <c r="H56" s="265">
        <f t="shared" si="5"/>
        <v>120361.59999999999</v>
      </c>
      <c r="I56" s="325">
        <f>+'HO(DG)'!M3</f>
        <v>265977.75</v>
      </c>
      <c r="J56" s="325">
        <f>+'HO(DG)'!L47</f>
        <v>386339.35000000009</v>
      </c>
      <c r="K56" s="320">
        <f t="shared" si="2"/>
        <v>0</v>
      </c>
    </row>
    <row r="57" spans="1:13">
      <c r="A57" s="564" t="s">
        <v>36</v>
      </c>
      <c r="B57" s="565"/>
      <c r="C57" s="566"/>
      <c r="D57" s="321">
        <f>SUM(D2:D56)</f>
        <v>230910.55642326028</v>
      </c>
      <c r="E57" s="321">
        <f t="shared" ref="E57:G57" si="6">SUM(E2:E56)</f>
        <v>23581444.860630009</v>
      </c>
      <c r="F57" s="321">
        <f t="shared" si="6"/>
        <v>5702.6599999999989</v>
      </c>
      <c r="G57" s="321">
        <f>SUM(G2:G56)</f>
        <v>645760.2407999998</v>
      </c>
      <c r="H57" s="321">
        <f>SUM(H2:H56)</f>
        <v>24227205.101429999</v>
      </c>
      <c r="I57" s="321">
        <f>SUM(I2:I56)</f>
        <v>38140719.459532999</v>
      </c>
      <c r="J57" s="321">
        <f>SUM(J2:J56)</f>
        <v>54115704.615089998</v>
      </c>
      <c r="K57" s="322">
        <f>H57+I57-J57</f>
        <v>8252219.9458729997</v>
      </c>
      <c r="M57" s="269"/>
    </row>
    <row r="58" spans="1:13">
      <c r="I58" s="269"/>
      <c r="K58" s="268"/>
    </row>
    <row r="59" spans="1:13">
      <c r="I59" s="269"/>
      <c r="K59" s="268"/>
    </row>
    <row r="60" spans="1:13">
      <c r="K60" s="268"/>
    </row>
    <row r="61" spans="1:13">
      <c r="K61" s="268"/>
    </row>
    <row r="62" spans="1:13">
      <c r="A62" s="300" t="s">
        <v>55</v>
      </c>
      <c r="B62" s="300" t="s">
        <v>56</v>
      </c>
      <c r="C62" s="300" t="s">
        <v>57</v>
      </c>
      <c r="D62" s="301" t="s">
        <v>58</v>
      </c>
      <c r="E62" s="301" t="s">
        <v>59</v>
      </c>
      <c r="F62" s="301" t="s">
        <v>60</v>
      </c>
      <c r="G62" s="301" t="s">
        <v>61</v>
      </c>
      <c r="H62" s="301" t="s">
        <v>62</v>
      </c>
      <c r="I62" s="301" t="s">
        <v>63</v>
      </c>
      <c r="J62" s="301" t="s">
        <v>64</v>
      </c>
      <c r="K62" s="301" t="s">
        <v>65</v>
      </c>
    </row>
    <row r="63" spans="1:13">
      <c r="A63" s="302">
        <v>39</v>
      </c>
      <c r="B63" s="302" t="str" cm="1">
        <f t="array" ref="B63:K63">VLOOKUP(A63,A1:K55,{2,3,4,5,6,7,8,9,10,11},FALSE)</f>
        <v>Haveri</v>
      </c>
      <c r="C63" s="302" t="str">
        <v>M/s Magavi City Fuels</v>
      </c>
      <c r="D63" s="302">
        <v>2755.91</v>
      </c>
      <c r="E63" s="302">
        <v>273661.86300000001</v>
      </c>
      <c r="F63" s="302">
        <v>74.5</v>
      </c>
      <c r="G63" s="302">
        <v>8299.3000000000011</v>
      </c>
      <c r="H63" s="302">
        <v>281961.163</v>
      </c>
      <c r="I63" s="302">
        <v>119035.38549999986</v>
      </c>
      <c r="J63" s="302">
        <v>359944</v>
      </c>
      <c r="K63" s="302">
        <v>41052.548499999859</v>
      </c>
    </row>
    <row r="65" spans="2:14">
      <c r="B65" s="300" t="s">
        <v>56</v>
      </c>
      <c r="C65" s="300" t="s">
        <v>57</v>
      </c>
      <c r="D65" s="301" t="s">
        <v>58</v>
      </c>
      <c r="E65" s="301" t="s">
        <v>59</v>
      </c>
      <c r="F65" s="301" t="s">
        <v>60</v>
      </c>
      <c r="G65" s="301" t="s">
        <v>61</v>
      </c>
      <c r="H65" s="301" t="s">
        <v>62</v>
      </c>
      <c r="I65" s="301" t="s">
        <v>63</v>
      </c>
      <c r="J65" s="301" t="s">
        <v>64</v>
      </c>
      <c r="K65" s="301" t="s">
        <v>65</v>
      </c>
    </row>
    <row r="66" spans="2:14">
      <c r="B66" s="6" t="s">
        <v>133</v>
      </c>
      <c r="C66" s="263" t="str" cm="1">
        <f t="array" ref="C66:K66">VLOOKUP(B66,B1:K55,{2,3,4,5,6,7,8,9,10},FALSE)</f>
        <v>Nayara</v>
      </c>
      <c r="D66" s="263">
        <v>3826.03</v>
      </c>
      <c r="E66" s="263">
        <v>380734.65490000008</v>
      </c>
      <c r="F66" s="263">
        <v>160</v>
      </c>
      <c r="G66" s="263">
        <v>18108.800000000003</v>
      </c>
      <c r="H66" s="263">
        <v>398843.45490000007</v>
      </c>
      <c r="I66" s="263">
        <v>4531108.1682000002</v>
      </c>
      <c r="J66" s="263">
        <v>4879951.5948999999</v>
      </c>
      <c r="K66" s="263">
        <v>50000.028200000525</v>
      </c>
    </row>
    <row r="73" spans="2:14">
      <c r="B73" s="263">
        <v>60000</v>
      </c>
    </row>
    <row r="74" spans="2:14">
      <c r="B74" s="263">
        <v>18000</v>
      </c>
    </row>
    <row r="75" spans="2:14">
      <c r="B75" s="263">
        <v>18000</v>
      </c>
    </row>
    <row r="76" spans="2:14">
      <c r="B76" s="263">
        <v>75000</v>
      </c>
    </row>
    <row r="77" spans="2:14">
      <c r="B77" s="263">
        <v>360000</v>
      </c>
      <c r="L77" s="518"/>
      <c r="M77" s="518"/>
      <c r="N77" s="518"/>
    </row>
    <row r="78" spans="2:14">
      <c r="L78" s="518"/>
      <c r="M78" s="518"/>
      <c r="N78" s="518"/>
    </row>
    <row r="79" spans="2:14">
      <c r="L79" s="518"/>
      <c r="M79" s="518"/>
      <c r="N79" s="518"/>
    </row>
    <row r="80" spans="2:14">
      <c r="L80" s="518"/>
      <c r="M80" s="518"/>
      <c r="N80" s="518"/>
    </row>
    <row r="81" spans="12:14">
      <c r="L81" s="518"/>
      <c r="M81" s="518"/>
      <c r="N81" s="518"/>
    </row>
    <row r="82" spans="12:14">
      <c r="L82" s="518"/>
      <c r="M82" s="518"/>
      <c r="N82" s="518"/>
    </row>
    <row r="83" spans="12:14">
      <c r="L83" s="518"/>
      <c r="M83" s="518"/>
      <c r="N83" s="518"/>
    </row>
    <row r="84" spans="12:14">
      <c r="L84" s="518"/>
      <c r="M84" s="518"/>
      <c r="N84" s="518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7:C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Q58"/>
  <sheetViews>
    <sheetView topLeftCell="A19" workbookViewId="0">
      <selection activeCell="L35" sqref="L35"/>
    </sheetView>
  </sheetViews>
  <sheetFormatPr defaultRowHeight="15"/>
  <cols>
    <col min="2" max="2" width="10.42578125" bestFit="1" customWidth="1"/>
    <col min="4" max="4" width="18.42578125" customWidth="1"/>
    <col min="7" max="7" width="10.42578125" bestFit="1" customWidth="1"/>
    <col min="11" max="12" width="10.42578125" bestFit="1" customWidth="1"/>
    <col min="13" max="13" width="11.42578125" bestFit="1" customWidth="1"/>
    <col min="14" max="14" width="11.42578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6" ht="15.75">
      <c r="A1" s="567" t="s">
        <v>71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6" ht="27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39" t="s">
        <v>177</v>
      </c>
      <c r="L2" s="139" t="s">
        <v>178</v>
      </c>
      <c r="M2" s="139" t="s">
        <v>179</v>
      </c>
      <c r="N2" s="102" t="s">
        <v>180</v>
      </c>
    </row>
    <row r="3" spans="1:16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 s="127">
        <v>265977.75</v>
      </c>
      <c r="L3" s="225"/>
      <c r="M3" s="306">
        <v>265977.75</v>
      </c>
      <c r="N3" s="226"/>
    </row>
    <row r="4" spans="1:16">
      <c r="A4" s="23">
        <v>1</v>
      </c>
      <c r="B4" s="24">
        <v>46235</v>
      </c>
      <c r="C4" s="103"/>
      <c r="D4" s="32"/>
      <c r="E4" s="33"/>
      <c r="F4" s="33"/>
      <c r="G4" s="33">
        <f>E4*F4</f>
        <v>0</v>
      </c>
      <c r="H4" s="312">
        <v>0</v>
      </c>
      <c r="I4" s="312">
        <v>0</v>
      </c>
      <c r="J4" s="33">
        <f>H4*I4</f>
        <v>0</v>
      </c>
      <c r="K4" s="33">
        <f t="shared" ref="K4:L46" si="0">G4+J4</f>
        <v>0</v>
      </c>
      <c r="L4" s="190">
        <v>0</v>
      </c>
      <c r="M4" s="33">
        <f>M3+K4-L4</f>
        <v>265977.75</v>
      </c>
      <c r="N4" s="227"/>
      <c r="P4" s="19"/>
    </row>
    <row r="5" spans="1:16">
      <c r="A5" s="23">
        <v>2</v>
      </c>
      <c r="B5" s="24">
        <v>46236</v>
      </c>
      <c r="C5" s="103"/>
      <c r="D5" s="32"/>
      <c r="E5" s="33"/>
      <c r="F5" s="33"/>
      <c r="G5" s="33">
        <f t="shared" ref="G5:G22" si="1">E5*F5</f>
        <v>0</v>
      </c>
      <c r="H5" s="312"/>
      <c r="I5" s="312"/>
      <c r="J5" s="33"/>
      <c r="K5" s="33">
        <f t="shared" si="0"/>
        <v>0</v>
      </c>
      <c r="L5" s="190"/>
      <c r="M5" s="33">
        <f t="shared" ref="M5:M39" si="2">M4+K5-L5</f>
        <v>265977.75</v>
      </c>
      <c r="N5" s="229"/>
    </row>
    <row r="6" spans="1:16">
      <c r="A6" s="23">
        <v>3</v>
      </c>
      <c r="B6" s="24">
        <v>46237</v>
      </c>
      <c r="C6" s="103"/>
      <c r="D6" s="32"/>
      <c r="E6" s="33">
        <v>70</v>
      </c>
      <c r="F6" s="33">
        <v>103.76</v>
      </c>
      <c r="G6" s="33">
        <f t="shared" si="1"/>
        <v>7263.2000000000007</v>
      </c>
      <c r="H6" s="312"/>
      <c r="I6" s="312"/>
      <c r="J6" s="33"/>
      <c r="K6" s="33">
        <f t="shared" si="0"/>
        <v>7263.2000000000007</v>
      </c>
      <c r="L6" s="33">
        <f t="shared" si="0"/>
        <v>7263.2000000000007</v>
      </c>
      <c r="M6" s="33">
        <f t="shared" si="2"/>
        <v>265977.75</v>
      </c>
      <c r="N6" s="33"/>
    </row>
    <row r="7" spans="1:16">
      <c r="A7" s="23">
        <v>4</v>
      </c>
      <c r="B7" s="24">
        <v>46238</v>
      </c>
      <c r="C7" s="103"/>
      <c r="D7" s="32"/>
      <c r="E7" s="33"/>
      <c r="F7" s="33"/>
      <c r="G7" s="33">
        <f t="shared" si="1"/>
        <v>0</v>
      </c>
      <c r="H7" s="312"/>
      <c r="I7" s="312"/>
      <c r="J7" s="33"/>
      <c r="K7" s="33">
        <f t="shared" si="0"/>
        <v>0</v>
      </c>
      <c r="L7" s="33"/>
      <c r="M7" s="33">
        <f t="shared" si="2"/>
        <v>265977.75</v>
      </c>
      <c r="N7" s="33"/>
    </row>
    <row r="8" spans="1:16">
      <c r="A8" s="23">
        <v>5</v>
      </c>
      <c r="B8" s="24">
        <v>46239</v>
      </c>
      <c r="C8" s="103"/>
      <c r="D8" s="32"/>
      <c r="E8" s="33">
        <v>70</v>
      </c>
      <c r="F8" s="33">
        <v>103.76</v>
      </c>
      <c r="G8" s="33">
        <f t="shared" si="1"/>
        <v>7263.2000000000007</v>
      </c>
      <c r="H8" s="312"/>
      <c r="I8" s="312"/>
      <c r="J8" s="33"/>
      <c r="K8" s="33">
        <f t="shared" si="0"/>
        <v>7263.2000000000007</v>
      </c>
      <c r="L8" s="33">
        <f t="shared" si="0"/>
        <v>7263.2000000000007</v>
      </c>
      <c r="M8" s="33">
        <f t="shared" si="2"/>
        <v>265977.75</v>
      </c>
      <c r="N8" s="33"/>
    </row>
    <row r="9" spans="1:16">
      <c r="A9" s="23">
        <v>6</v>
      </c>
      <c r="B9" s="24">
        <v>46240</v>
      </c>
      <c r="C9" s="31"/>
      <c r="D9" s="32"/>
      <c r="E9" s="33"/>
      <c r="F9" s="33"/>
      <c r="G9" s="33">
        <f t="shared" si="1"/>
        <v>0</v>
      </c>
      <c r="H9" s="312"/>
      <c r="I9" s="312"/>
      <c r="J9" s="33"/>
      <c r="K9" s="33">
        <f t="shared" si="0"/>
        <v>0</v>
      </c>
      <c r="L9" s="190"/>
      <c r="M9" s="33">
        <f t="shared" si="2"/>
        <v>265977.75</v>
      </c>
      <c r="N9" s="369"/>
    </row>
    <row r="10" spans="1:16">
      <c r="A10" s="23">
        <v>7</v>
      </c>
      <c r="B10" s="24">
        <v>46241</v>
      </c>
      <c r="C10" s="31"/>
      <c r="D10" s="32"/>
      <c r="E10" s="33">
        <v>140</v>
      </c>
      <c r="F10" s="33">
        <v>103.76</v>
      </c>
      <c r="G10" s="33">
        <f t="shared" si="1"/>
        <v>14526.400000000001</v>
      </c>
      <c r="H10" s="312"/>
      <c r="I10" s="312"/>
      <c r="J10" s="33"/>
      <c r="K10" s="33">
        <f t="shared" si="0"/>
        <v>14526.400000000001</v>
      </c>
      <c r="L10" s="33">
        <f t="shared" si="0"/>
        <v>14526.400000000001</v>
      </c>
      <c r="M10" s="33">
        <f t="shared" si="2"/>
        <v>265977.75</v>
      </c>
      <c r="N10" s="191"/>
    </row>
    <row r="11" spans="1:16">
      <c r="A11" s="23"/>
      <c r="B11" s="24">
        <v>46242</v>
      </c>
      <c r="C11" s="31"/>
      <c r="D11" s="32"/>
      <c r="E11" s="33"/>
      <c r="F11" s="33"/>
      <c r="G11" s="33">
        <f t="shared" si="1"/>
        <v>0</v>
      </c>
      <c r="H11" s="312"/>
      <c r="I11" s="312"/>
      <c r="J11" s="33"/>
      <c r="K11" s="33">
        <f t="shared" si="0"/>
        <v>0</v>
      </c>
      <c r="L11" s="33">
        <f t="shared" si="0"/>
        <v>0</v>
      </c>
      <c r="M11" s="33">
        <f t="shared" si="2"/>
        <v>265977.75</v>
      </c>
      <c r="N11" s="191"/>
    </row>
    <row r="12" spans="1:16">
      <c r="A12" s="23">
        <v>8</v>
      </c>
      <c r="B12" s="24">
        <v>46243</v>
      </c>
      <c r="C12" s="31"/>
      <c r="D12" s="32"/>
      <c r="E12" s="33"/>
      <c r="F12" s="33"/>
      <c r="G12" s="33">
        <f t="shared" si="1"/>
        <v>0</v>
      </c>
      <c r="H12" s="312"/>
      <c r="I12" s="312"/>
      <c r="J12" s="33"/>
      <c r="K12" s="33">
        <f t="shared" si="0"/>
        <v>0</v>
      </c>
      <c r="L12" s="33"/>
      <c r="M12" s="33">
        <f t="shared" si="2"/>
        <v>265977.75</v>
      </c>
      <c r="N12" s="191"/>
    </row>
    <row r="13" spans="1:16">
      <c r="A13" s="23">
        <v>9</v>
      </c>
      <c r="B13" s="24">
        <v>46244</v>
      </c>
      <c r="C13" s="31"/>
      <c r="D13" s="32"/>
      <c r="E13" s="33">
        <v>70</v>
      </c>
      <c r="F13" s="33">
        <v>103.76</v>
      </c>
      <c r="G13" s="33">
        <f t="shared" si="1"/>
        <v>7263.2000000000007</v>
      </c>
      <c r="H13" s="312"/>
      <c r="I13" s="312"/>
      <c r="J13" s="33"/>
      <c r="K13" s="33">
        <f t="shared" si="0"/>
        <v>7263.2000000000007</v>
      </c>
      <c r="L13" s="33">
        <f t="shared" si="0"/>
        <v>7263.2000000000007</v>
      </c>
      <c r="M13" s="33">
        <f t="shared" si="2"/>
        <v>265977.75</v>
      </c>
      <c r="N13" s="191"/>
    </row>
    <row r="14" spans="1:16">
      <c r="A14" s="23">
        <v>10</v>
      </c>
      <c r="B14" s="24">
        <v>46245</v>
      </c>
      <c r="C14" s="31"/>
      <c r="D14" s="32"/>
      <c r="E14" s="33">
        <v>70</v>
      </c>
      <c r="F14" s="33">
        <v>103.76</v>
      </c>
      <c r="G14" s="33">
        <f t="shared" si="1"/>
        <v>7263.2000000000007</v>
      </c>
      <c r="H14" s="312"/>
      <c r="I14" s="312"/>
      <c r="J14" s="33"/>
      <c r="K14" s="33">
        <f t="shared" si="0"/>
        <v>7263.2000000000007</v>
      </c>
      <c r="L14" s="33">
        <f t="shared" si="0"/>
        <v>7263.2000000000007</v>
      </c>
      <c r="M14" s="33">
        <f t="shared" si="2"/>
        <v>265977.75</v>
      </c>
      <c r="N14" s="191"/>
    </row>
    <row r="15" spans="1:16">
      <c r="A15" s="23">
        <v>11</v>
      </c>
      <c r="B15" s="24">
        <v>46246</v>
      </c>
      <c r="C15" s="31"/>
      <c r="D15" s="32"/>
      <c r="E15" s="33"/>
      <c r="F15" s="33"/>
      <c r="G15" s="33">
        <f t="shared" si="1"/>
        <v>0</v>
      </c>
      <c r="H15" s="312"/>
      <c r="I15" s="312"/>
      <c r="J15" s="33"/>
      <c r="K15" s="33">
        <f t="shared" si="0"/>
        <v>0</v>
      </c>
      <c r="L15" s="33"/>
      <c r="M15" s="33">
        <f t="shared" si="2"/>
        <v>265977.75</v>
      </c>
      <c r="N15" s="191"/>
    </row>
    <row r="16" spans="1:16">
      <c r="A16" s="23">
        <v>12</v>
      </c>
      <c r="B16" s="24">
        <v>46247</v>
      </c>
      <c r="C16" s="31"/>
      <c r="D16" s="32"/>
      <c r="E16" s="33">
        <v>70</v>
      </c>
      <c r="F16" s="33">
        <v>103.76</v>
      </c>
      <c r="G16" s="33">
        <f t="shared" si="1"/>
        <v>7263.2000000000007</v>
      </c>
      <c r="H16" s="312"/>
      <c r="I16" s="312"/>
      <c r="J16" s="33"/>
      <c r="K16" s="33">
        <f t="shared" ref="K16:K20" si="3">G16+J16</f>
        <v>7263.2000000000007</v>
      </c>
      <c r="L16" s="33">
        <f t="shared" si="0"/>
        <v>7263.2000000000007</v>
      </c>
      <c r="M16" s="33">
        <f t="shared" si="2"/>
        <v>265977.75</v>
      </c>
      <c r="N16" s="543" t="s">
        <v>182</v>
      </c>
    </row>
    <row r="17" spans="1:17">
      <c r="A17" s="23">
        <v>13</v>
      </c>
      <c r="B17" s="24">
        <v>46248</v>
      </c>
      <c r="C17" s="31"/>
      <c r="D17" s="32"/>
      <c r="E17" s="33"/>
      <c r="F17" s="33"/>
      <c r="G17" s="33">
        <f t="shared" si="1"/>
        <v>0</v>
      </c>
      <c r="H17" s="312"/>
      <c r="I17" s="312"/>
      <c r="J17" s="33"/>
      <c r="K17" s="33">
        <f t="shared" si="3"/>
        <v>0</v>
      </c>
      <c r="L17" s="33">
        <v>265910</v>
      </c>
      <c r="M17" s="33">
        <f t="shared" si="2"/>
        <v>67.75</v>
      </c>
      <c r="N17" s="191"/>
    </row>
    <row r="18" spans="1:17">
      <c r="A18" s="23"/>
      <c r="B18" s="24">
        <v>46248</v>
      </c>
      <c r="C18" s="31"/>
      <c r="D18" s="32"/>
      <c r="E18" s="33">
        <v>70</v>
      </c>
      <c r="F18" s="33">
        <v>103.76</v>
      </c>
      <c r="G18" s="33">
        <f t="shared" si="1"/>
        <v>7263.2000000000007</v>
      </c>
      <c r="H18" s="312"/>
      <c r="I18" s="312"/>
      <c r="J18" s="33"/>
      <c r="K18" s="33">
        <f t="shared" si="3"/>
        <v>7263.2000000000007</v>
      </c>
      <c r="L18" s="33">
        <f t="shared" si="0"/>
        <v>7263.2000000000007</v>
      </c>
      <c r="M18" s="33">
        <f t="shared" si="2"/>
        <v>67.75</v>
      </c>
      <c r="N18" s="191"/>
    </row>
    <row r="19" spans="1:17">
      <c r="A19" s="23">
        <v>14</v>
      </c>
      <c r="B19" s="24">
        <v>46249</v>
      </c>
      <c r="C19" s="31"/>
      <c r="D19" s="32"/>
      <c r="E19" s="33"/>
      <c r="F19" s="33"/>
      <c r="G19" s="33">
        <f t="shared" si="1"/>
        <v>0</v>
      </c>
      <c r="H19" s="312"/>
      <c r="I19" s="312"/>
      <c r="J19" s="33"/>
      <c r="K19" s="33">
        <f t="shared" si="3"/>
        <v>0</v>
      </c>
      <c r="L19" s="33">
        <v>67.75</v>
      </c>
      <c r="M19" s="33">
        <f t="shared" si="2"/>
        <v>0</v>
      </c>
      <c r="N19" s="191" t="s">
        <v>183</v>
      </c>
      <c r="Q19" s="167"/>
    </row>
    <row r="20" spans="1:17">
      <c r="A20" s="23">
        <v>15</v>
      </c>
      <c r="B20" s="24">
        <v>46250</v>
      </c>
      <c r="C20" s="31"/>
      <c r="D20" s="32"/>
      <c r="E20" s="33"/>
      <c r="F20" s="33"/>
      <c r="G20" s="33">
        <f t="shared" si="1"/>
        <v>0</v>
      </c>
      <c r="H20" s="312"/>
      <c r="I20" s="312"/>
      <c r="J20" s="33"/>
      <c r="K20" s="33">
        <f t="shared" ref="K20:L37" si="4">G20+J20</f>
        <v>0</v>
      </c>
      <c r="L20" s="33"/>
      <c r="M20" s="33">
        <f t="shared" si="2"/>
        <v>0</v>
      </c>
      <c r="N20" s="191"/>
    </row>
    <row r="21" spans="1:17">
      <c r="A21" s="23">
        <v>16</v>
      </c>
      <c r="B21" s="24">
        <v>46251</v>
      </c>
      <c r="C21" s="31"/>
      <c r="D21" s="32"/>
      <c r="E21" s="33"/>
      <c r="F21" s="33"/>
      <c r="G21" s="33">
        <f t="shared" si="1"/>
        <v>0</v>
      </c>
      <c r="H21" s="312"/>
      <c r="I21" s="312"/>
      <c r="J21" s="33"/>
      <c r="K21" s="33">
        <f t="shared" si="4"/>
        <v>0</v>
      </c>
      <c r="L21" s="33"/>
      <c r="M21" s="33">
        <f t="shared" si="2"/>
        <v>0</v>
      </c>
      <c r="N21" s="191"/>
    </row>
    <row r="22" spans="1:17">
      <c r="A22" s="23">
        <v>17</v>
      </c>
      <c r="B22" s="24">
        <v>46252</v>
      </c>
      <c r="C22" s="31"/>
      <c r="D22" s="32"/>
      <c r="E22" s="33"/>
      <c r="F22" s="33"/>
      <c r="G22" s="33">
        <f t="shared" si="1"/>
        <v>0</v>
      </c>
      <c r="H22" s="312"/>
      <c r="I22" s="312"/>
      <c r="J22" s="33"/>
      <c r="K22" s="33">
        <f t="shared" si="4"/>
        <v>0</v>
      </c>
      <c r="L22" s="33"/>
      <c r="M22" s="33">
        <f t="shared" si="2"/>
        <v>0</v>
      </c>
      <c r="N22" s="191"/>
    </row>
    <row r="23" spans="1:17">
      <c r="A23" s="23">
        <v>18</v>
      </c>
      <c r="B23" s="24">
        <v>46253</v>
      </c>
      <c r="C23" s="161"/>
      <c r="D23" s="32"/>
      <c r="E23" s="33">
        <v>140</v>
      </c>
      <c r="F23" s="33">
        <v>103.76</v>
      </c>
      <c r="G23" s="33">
        <f t="shared" ref="G23:G36" si="5">E23*F23</f>
        <v>14526.400000000001</v>
      </c>
      <c r="H23" s="312"/>
      <c r="I23" s="312"/>
      <c r="J23" s="33"/>
      <c r="K23" s="33">
        <f t="shared" si="4"/>
        <v>14526.400000000001</v>
      </c>
      <c r="L23" s="33">
        <f t="shared" si="4"/>
        <v>14526.400000000001</v>
      </c>
      <c r="M23" s="33">
        <f t="shared" si="2"/>
        <v>0</v>
      </c>
      <c r="N23" s="230"/>
    </row>
    <row r="24" spans="1:17">
      <c r="A24" s="23">
        <v>19</v>
      </c>
      <c r="B24" s="24">
        <v>46254</v>
      </c>
      <c r="C24" s="161"/>
      <c r="D24" s="32"/>
      <c r="E24" s="33">
        <v>70</v>
      </c>
      <c r="F24" s="33">
        <v>103.76</v>
      </c>
      <c r="G24" s="33">
        <f t="shared" si="5"/>
        <v>7263.2000000000007</v>
      </c>
      <c r="H24" s="312"/>
      <c r="I24" s="312"/>
      <c r="J24" s="33"/>
      <c r="K24" s="33">
        <f t="shared" si="4"/>
        <v>7263.2000000000007</v>
      </c>
      <c r="L24" s="33">
        <f t="shared" si="4"/>
        <v>7263.2000000000007</v>
      </c>
      <c r="M24" s="33">
        <f t="shared" si="2"/>
        <v>0</v>
      </c>
      <c r="N24" s="230"/>
    </row>
    <row r="25" spans="1:17">
      <c r="A25" s="23">
        <v>20</v>
      </c>
      <c r="B25" s="24">
        <v>46255</v>
      </c>
      <c r="C25" s="103"/>
      <c r="D25" s="32"/>
      <c r="E25" s="33"/>
      <c r="F25" s="33"/>
      <c r="G25" s="33">
        <f t="shared" si="5"/>
        <v>0</v>
      </c>
      <c r="H25" s="312"/>
      <c r="I25" s="312"/>
      <c r="J25" s="33"/>
      <c r="K25" s="33">
        <f t="shared" si="4"/>
        <v>0</v>
      </c>
      <c r="L25" s="33"/>
      <c r="M25" s="33">
        <f t="shared" si="2"/>
        <v>0</v>
      </c>
      <c r="N25" s="230"/>
    </row>
    <row r="26" spans="1:17">
      <c r="A26" s="23">
        <v>21</v>
      </c>
      <c r="B26" s="24">
        <v>46256</v>
      </c>
      <c r="C26" s="173"/>
      <c r="D26" s="32"/>
      <c r="E26" s="33">
        <v>70</v>
      </c>
      <c r="F26" s="33">
        <v>103.76</v>
      </c>
      <c r="G26" s="33">
        <f t="shared" si="5"/>
        <v>7263.2000000000007</v>
      </c>
      <c r="H26" s="312"/>
      <c r="I26" s="312"/>
      <c r="J26" s="33"/>
      <c r="K26" s="33">
        <f t="shared" si="4"/>
        <v>7263.2000000000007</v>
      </c>
      <c r="L26" s="33">
        <f t="shared" si="4"/>
        <v>7263.2000000000007</v>
      </c>
      <c r="M26" s="33">
        <f t="shared" si="2"/>
        <v>0</v>
      </c>
      <c r="N26" s="230"/>
    </row>
    <row r="27" spans="1:17">
      <c r="A27" s="23">
        <v>22</v>
      </c>
      <c r="B27" s="24">
        <v>46257</v>
      </c>
      <c r="C27" s="173"/>
      <c r="D27" s="32"/>
      <c r="E27" s="33"/>
      <c r="F27" s="33"/>
      <c r="G27" s="33">
        <f t="shared" si="5"/>
        <v>0</v>
      </c>
      <c r="H27" s="312"/>
      <c r="I27" s="312"/>
      <c r="J27" s="33"/>
      <c r="K27" s="33">
        <f t="shared" si="4"/>
        <v>0</v>
      </c>
      <c r="L27" s="33"/>
      <c r="M27" s="33">
        <f t="shared" si="2"/>
        <v>0</v>
      </c>
      <c r="N27" s="230"/>
    </row>
    <row r="28" spans="1:17">
      <c r="A28" s="23">
        <v>23</v>
      </c>
      <c r="B28" s="24">
        <v>46258</v>
      </c>
      <c r="C28" s="103"/>
      <c r="D28" s="32"/>
      <c r="E28" s="33">
        <v>50</v>
      </c>
      <c r="F28" s="33">
        <v>103.76</v>
      </c>
      <c r="G28" s="33">
        <f t="shared" si="5"/>
        <v>5188</v>
      </c>
      <c r="H28" s="312"/>
      <c r="I28" s="312"/>
      <c r="J28" s="33"/>
      <c r="K28" s="33">
        <f t="shared" si="4"/>
        <v>5188</v>
      </c>
      <c r="L28" s="33">
        <f t="shared" si="4"/>
        <v>5188</v>
      </c>
      <c r="M28" s="33">
        <f t="shared" si="2"/>
        <v>0</v>
      </c>
      <c r="N28" s="191"/>
    </row>
    <row r="29" spans="1:17">
      <c r="A29" s="23">
        <v>24</v>
      </c>
      <c r="B29" s="24">
        <v>46259</v>
      </c>
      <c r="C29" s="103"/>
      <c r="D29" s="32"/>
      <c r="E29" s="33"/>
      <c r="F29" s="33"/>
      <c r="G29" s="33">
        <f t="shared" si="5"/>
        <v>0</v>
      </c>
      <c r="H29" s="312"/>
      <c r="I29" s="312"/>
      <c r="J29" s="33"/>
      <c r="K29" s="33">
        <f t="shared" si="4"/>
        <v>0</v>
      </c>
      <c r="L29" s="33"/>
      <c r="M29" s="33">
        <f t="shared" si="2"/>
        <v>0</v>
      </c>
      <c r="N29" s="191"/>
    </row>
    <row r="30" spans="1:17">
      <c r="A30" s="23">
        <v>25</v>
      </c>
      <c r="B30" s="24">
        <v>46260</v>
      </c>
      <c r="C30" s="103"/>
      <c r="D30" s="32"/>
      <c r="E30" s="33">
        <v>100</v>
      </c>
      <c r="F30" s="33">
        <v>103.76</v>
      </c>
      <c r="G30" s="33">
        <f t="shared" si="5"/>
        <v>10376</v>
      </c>
      <c r="H30" s="312"/>
      <c r="I30" s="312"/>
      <c r="J30" s="33"/>
      <c r="K30" s="33">
        <f t="shared" si="4"/>
        <v>10376</v>
      </c>
      <c r="L30" s="33">
        <f t="shared" si="4"/>
        <v>10376</v>
      </c>
      <c r="M30" s="33">
        <f t="shared" si="2"/>
        <v>0</v>
      </c>
      <c r="N30" s="191"/>
    </row>
    <row r="31" spans="1:17">
      <c r="A31" s="23">
        <v>26</v>
      </c>
      <c r="B31" s="24">
        <v>46261</v>
      </c>
      <c r="C31" s="103"/>
      <c r="D31" s="32"/>
      <c r="E31" s="33"/>
      <c r="F31" s="33"/>
      <c r="G31" s="33">
        <f t="shared" si="5"/>
        <v>0</v>
      </c>
      <c r="H31" s="312"/>
      <c r="I31" s="312"/>
      <c r="J31" s="33"/>
      <c r="K31" s="33">
        <f t="shared" si="4"/>
        <v>0</v>
      </c>
      <c r="L31" s="33"/>
      <c r="M31" s="33">
        <f t="shared" si="2"/>
        <v>0</v>
      </c>
      <c r="N31" s="191"/>
    </row>
    <row r="32" spans="1:17">
      <c r="A32" s="23">
        <v>27</v>
      </c>
      <c r="B32" s="24">
        <v>46262</v>
      </c>
      <c r="C32" s="103"/>
      <c r="D32" s="32"/>
      <c r="E32" s="33">
        <v>100</v>
      </c>
      <c r="F32" s="33">
        <v>103.76</v>
      </c>
      <c r="G32" s="33">
        <f t="shared" si="5"/>
        <v>10376</v>
      </c>
      <c r="H32" s="312"/>
      <c r="I32" s="312"/>
      <c r="J32" s="33"/>
      <c r="K32" s="33">
        <f t="shared" si="4"/>
        <v>10376</v>
      </c>
      <c r="L32" s="33">
        <f t="shared" si="4"/>
        <v>10376</v>
      </c>
      <c r="M32" s="33">
        <f t="shared" si="2"/>
        <v>0</v>
      </c>
      <c r="N32" s="191"/>
    </row>
    <row r="33" spans="1:16">
      <c r="A33" s="23">
        <v>28</v>
      </c>
      <c r="B33" s="24">
        <v>46263</v>
      </c>
      <c r="C33" s="103"/>
      <c r="D33" s="32"/>
      <c r="E33" s="33"/>
      <c r="F33" s="33"/>
      <c r="G33" s="33">
        <f t="shared" si="5"/>
        <v>0</v>
      </c>
      <c r="H33" s="312"/>
      <c r="I33" s="312"/>
      <c r="J33" s="33"/>
      <c r="K33" s="33">
        <f t="shared" si="4"/>
        <v>0</v>
      </c>
      <c r="L33" s="33"/>
      <c r="M33" s="33">
        <f t="shared" si="2"/>
        <v>0</v>
      </c>
      <c r="N33" s="191"/>
    </row>
    <row r="34" spans="1:16">
      <c r="A34" s="23"/>
      <c r="B34" s="24">
        <v>46264</v>
      </c>
      <c r="C34" s="103"/>
      <c r="D34" s="32"/>
      <c r="E34" s="33"/>
      <c r="F34" s="33"/>
      <c r="G34" s="33">
        <f t="shared" si="5"/>
        <v>0</v>
      </c>
      <c r="H34" s="312"/>
      <c r="I34" s="312"/>
      <c r="J34" s="33"/>
      <c r="K34" s="33"/>
      <c r="L34" s="33"/>
      <c r="M34" s="33">
        <f t="shared" si="2"/>
        <v>0</v>
      </c>
      <c r="N34" s="191"/>
    </row>
    <row r="35" spans="1:16">
      <c r="A35" s="23">
        <v>29</v>
      </c>
      <c r="B35" s="24">
        <v>46265</v>
      </c>
      <c r="C35" s="103"/>
      <c r="D35" s="32"/>
      <c r="E35" s="33">
        <v>70</v>
      </c>
      <c r="F35" s="33">
        <v>103.76</v>
      </c>
      <c r="G35" s="33">
        <f t="shared" si="5"/>
        <v>7263.2000000000007</v>
      </c>
      <c r="H35" s="312"/>
      <c r="I35" s="312"/>
      <c r="J35" s="33"/>
      <c r="K35" s="33">
        <f t="shared" si="4"/>
        <v>7263.2000000000007</v>
      </c>
      <c r="L35" s="33">
        <f t="shared" si="4"/>
        <v>7263.2000000000007</v>
      </c>
      <c r="M35" s="33">
        <f t="shared" si="2"/>
        <v>0</v>
      </c>
      <c r="N35" s="191"/>
    </row>
    <row r="36" spans="1:16">
      <c r="A36" s="23"/>
      <c r="B36" s="24"/>
      <c r="C36" s="103"/>
      <c r="D36" s="32"/>
      <c r="E36" s="33"/>
      <c r="F36" s="33"/>
      <c r="G36" s="33">
        <f t="shared" si="5"/>
        <v>0</v>
      </c>
      <c r="H36" s="312"/>
      <c r="I36" s="312"/>
      <c r="J36" s="33"/>
      <c r="K36" s="33">
        <f t="shared" si="4"/>
        <v>0</v>
      </c>
      <c r="L36" s="33"/>
      <c r="M36" s="33">
        <f t="shared" si="2"/>
        <v>0</v>
      </c>
      <c r="N36" s="191"/>
    </row>
    <row r="37" spans="1:16">
      <c r="A37" s="23">
        <v>30</v>
      </c>
      <c r="B37" s="24"/>
      <c r="C37" s="103"/>
      <c r="D37" s="32"/>
      <c r="E37" s="33"/>
      <c r="F37" s="33"/>
      <c r="G37" s="33"/>
      <c r="H37" s="312"/>
      <c r="I37" s="312"/>
      <c r="J37" s="33"/>
      <c r="K37" s="33">
        <f t="shared" si="4"/>
        <v>0</v>
      </c>
      <c r="L37" s="33"/>
      <c r="M37" s="33">
        <f t="shared" si="2"/>
        <v>0</v>
      </c>
      <c r="N37" s="191"/>
    </row>
    <row r="38" spans="1:16">
      <c r="A38" s="23">
        <v>31</v>
      </c>
      <c r="B38" s="24"/>
      <c r="C38" s="103"/>
      <c r="D38" s="32"/>
      <c r="E38" s="33"/>
      <c r="F38" s="33"/>
      <c r="G38" s="33"/>
      <c r="H38" s="312"/>
      <c r="I38" s="312"/>
      <c r="J38" s="33"/>
      <c r="K38" s="33"/>
      <c r="L38" s="33"/>
      <c r="M38" s="33">
        <f t="shared" si="2"/>
        <v>0</v>
      </c>
      <c r="N38" s="191"/>
    </row>
    <row r="39" spans="1:16">
      <c r="A39" s="23">
        <v>32</v>
      </c>
      <c r="B39" s="24"/>
      <c r="C39" s="103"/>
      <c r="D39" s="32"/>
      <c r="E39" s="33"/>
      <c r="F39" s="33"/>
      <c r="G39" s="33"/>
      <c r="H39" s="312"/>
      <c r="I39" s="312"/>
      <c r="J39" s="33"/>
      <c r="K39" s="33"/>
      <c r="L39" s="190"/>
      <c r="M39" s="33">
        <f t="shared" si="2"/>
        <v>0</v>
      </c>
      <c r="N39" s="191"/>
    </row>
    <row r="40" spans="1:16">
      <c r="A40" s="23">
        <v>33</v>
      </c>
      <c r="B40" s="24"/>
      <c r="C40" s="103"/>
      <c r="D40" s="32"/>
      <c r="E40" s="33"/>
      <c r="F40" s="33"/>
      <c r="G40" s="33"/>
      <c r="H40" s="312"/>
      <c r="I40" s="312"/>
      <c r="J40" s="33"/>
      <c r="K40" s="33"/>
      <c r="L40" s="190"/>
      <c r="M40" s="33"/>
      <c r="N40" s="191"/>
    </row>
    <row r="41" spans="1:16">
      <c r="A41" s="23">
        <v>34</v>
      </c>
      <c r="B41" s="24"/>
      <c r="C41" s="103"/>
      <c r="D41" s="32"/>
      <c r="E41" s="33"/>
      <c r="F41" s="33"/>
      <c r="G41" s="33"/>
      <c r="H41" s="312"/>
      <c r="I41" s="312"/>
      <c r="J41" s="33"/>
      <c r="K41" s="33"/>
      <c r="L41" s="190"/>
      <c r="M41" s="33"/>
      <c r="N41" s="191"/>
    </row>
    <row r="42" spans="1:16">
      <c r="A42" s="23">
        <v>35</v>
      </c>
      <c r="B42" s="24"/>
      <c r="C42" s="103"/>
      <c r="D42" s="32"/>
      <c r="E42" s="33"/>
      <c r="F42" s="33"/>
      <c r="G42" s="33"/>
      <c r="H42" s="312"/>
      <c r="I42" s="312"/>
      <c r="J42" s="33"/>
      <c r="K42" s="33"/>
      <c r="L42" s="190"/>
      <c r="M42" s="33"/>
      <c r="N42" s="191"/>
    </row>
    <row r="43" spans="1:16">
      <c r="A43" s="23">
        <v>36</v>
      </c>
      <c r="B43" s="24"/>
      <c r="C43" s="103"/>
      <c r="D43" s="32"/>
      <c r="E43" s="33"/>
      <c r="F43" s="33"/>
      <c r="G43" s="33"/>
      <c r="H43" s="312"/>
      <c r="I43" s="312"/>
      <c r="J43" s="33"/>
      <c r="K43" s="33"/>
      <c r="L43" s="190"/>
      <c r="M43" s="33"/>
      <c r="N43" s="191"/>
    </row>
    <row r="44" spans="1:16">
      <c r="A44" s="23">
        <v>37</v>
      </c>
      <c r="B44" s="24"/>
      <c r="C44" s="103"/>
      <c r="D44" s="32"/>
      <c r="E44" s="33"/>
      <c r="F44" s="33"/>
      <c r="G44" s="33"/>
      <c r="H44" s="312"/>
      <c r="I44" s="312"/>
      <c r="J44" s="33"/>
      <c r="K44" s="33"/>
      <c r="L44" s="190"/>
      <c r="M44" s="33"/>
      <c r="N44" s="191"/>
    </row>
    <row r="45" spans="1:16">
      <c r="A45" s="23">
        <v>38</v>
      </c>
      <c r="B45" s="24"/>
      <c r="C45" s="103"/>
      <c r="D45" s="32"/>
      <c r="E45" s="33"/>
      <c r="F45" s="33"/>
      <c r="G45" s="33"/>
      <c r="H45" s="312"/>
      <c r="I45" s="312"/>
      <c r="J45" s="33"/>
      <c r="K45" s="33"/>
      <c r="L45" s="190"/>
      <c r="M45" s="33"/>
      <c r="N45" s="230"/>
      <c r="O45">
        <v>2669494</v>
      </c>
      <c r="P45" s="167">
        <f>O45-M45</f>
        <v>2669494</v>
      </c>
    </row>
    <row r="46" spans="1:16">
      <c r="A46" s="328"/>
      <c r="B46" s="24"/>
      <c r="C46" s="30"/>
      <c r="D46" s="329"/>
      <c r="E46" s="33">
        <v>0</v>
      </c>
      <c r="F46" s="33">
        <v>0</v>
      </c>
      <c r="G46" s="33">
        <f>E46*F46</f>
        <v>0</v>
      </c>
      <c r="H46" s="33"/>
      <c r="I46" s="33"/>
      <c r="J46" s="33">
        <f t="shared" ref="J21:J46" si="6">H46*I46</f>
        <v>0</v>
      </c>
      <c r="K46" s="33">
        <f t="shared" si="0"/>
        <v>0</v>
      </c>
      <c r="L46" s="35"/>
      <c r="M46" s="33">
        <f t="shared" ref="M42:M46" si="7">M45+K46-L46</f>
        <v>0</v>
      </c>
      <c r="N46" s="33"/>
    </row>
    <row r="47" spans="1:16">
      <c r="A47" s="174"/>
      <c r="B47" s="330"/>
      <c r="C47" s="330"/>
      <c r="D47" s="330"/>
      <c r="E47" s="331">
        <f>SUM(E4:E45)</f>
        <v>1160</v>
      </c>
      <c r="F47" s="331"/>
      <c r="G47" s="331">
        <f>SUM(G4:G45)</f>
        <v>120361.59999999999</v>
      </c>
      <c r="H47" s="331">
        <f>SUM(H4:H45)</f>
        <v>0</v>
      </c>
      <c r="I47" s="331"/>
      <c r="J47" s="331">
        <f>SUM(J4:J45)</f>
        <v>0</v>
      </c>
      <c r="K47" s="331">
        <f>SUM(K4:K45)</f>
        <v>120361.59999999999</v>
      </c>
      <c r="L47" s="331">
        <f>SUM(L4:L45)</f>
        <v>386339.35000000009</v>
      </c>
      <c r="M47" s="332"/>
      <c r="N47" s="333"/>
    </row>
    <row r="48" spans="1:16">
      <c r="A48" s="34"/>
      <c r="B48" s="34"/>
      <c r="C48" s="34"/>
      <c r="D48" s="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</row>
    <row r="49" spans="1:14">
      <c r="A49" s="30"/>
      <c r="B49" s="30"/>
      <c r="C49" s="30"/>
      <c r="D49" s="30"/>
      <c r="E49" s="30"/>
      <c r="F49" s="30"/>
      <c r="G49" s="36"/>
      <c r="H49" s="30"/>
      <c r="I49" s="30"/>
      <c r="J49" s="30"/>
      <c r="K49" s="30"/>
      <c r="L49" s="30"/>
      <c r="M49" s="30"/>
      <c r="N49" s="30"/>
    </row>
    <row r="50" spans="1:14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4" spans="1:14">
      <c r="E54" s="167"/>
    </row>
    <row r="56" spans="1:14">
      <c r="M56">
        <v>2408309</v>
      </c>
    </row>
    <row r="57" spans="1:14">
      <c r="M57">
        <v>5327.86</v>
      </c>
    </row>
    <row r="58" spans="1:14">
      <c r="M58" s="335">
        <f>M56-M57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13" workbookViewId="0">
      <selection activeCell="M35" sqref="M35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5" max="15" width="10.42578125" bestFit="1" customWidth="1"/>
    <col min="16" max="16" width="12.140625" bestFit="1" customWidth="1"/>
    <col min="18" max="18" width="13" bestFit="1" customWidth="1"/>
  </cols>
  <sheetData>
    <row r="1" spans="1:18" ht="15.75">
      <c r="A1" s="571" t="s">
        <v>67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8" ht="30">
      <c r="A2" s="120" t="s">
        <v>0</v>
      </c>
      <c r="B2" s="121" t="s">
        <v>170</v>
      </c>
      <c r="C2" s="121" t="s">
        <v>171</v>
      </c>
      <c r="D2" s="121" t="s">
        <v>172</v>
      </c>
      <c r="E2" s="121" t="s">
        <v>173</v>
      </c>
      <c r="F2" s="121" t="s">
        <v>174</v>
      </c>
      <c r="G2" s="121" t="s">
        <v>175</v>
      </c>
      <c r="H2" s="121" t="s">
        <v>176</v>
      </c>
      <c r="I2" s="121" t="s">
        <v>174</v>
      </c>
      <c r="J2" s="122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</row>
    <row r="3" spans="1:18">
      <c r="A3" s="572" t="s">
        <v>181</v>
      </c>
      <c r="B3" s="572"/>
      <c r="C3" s="572"/>
      <c r="D3" s="572"/>
      <c r="E3" s="572"/>
      <c r="F3" s="572"/>
      <c r="G3" s="572"/>
      <c r="H3" s="572"/>
      <c r="I3" s="572"/>
      <c r="J3" s="572"/>
      <c r="K3" s="205">
        <v>3834148.7102999995</v>
      </c>
      <c r="L3" s="221"/>
      <c r="M3" s="205">
        <v>3834148.7102999995</v>
      </c>
      <c r="N3" s="91"/>
      <c r="O3" s="19">
        <f>K3-M3</f>
        <v>0</v>
      </c>
    </row>
    <row r="4" spans="1:18">
      <c r="A4" s="23">
        <v>1</v>
      </c>
      <c r="B4" s="24">
        <v>46235</v>
      </c>
      <c r="C4" s="14"/>
      <c r="D4" s="14"/>
      <c r="E4" s="14"/>
      <c r="F4" s="14"/>
      <c r="G4" s="14">
        <f>E4*F4</f>
        <v>0</v>
      </c>
      <c r="H4" s="304"/>
      <c r="I4" s="14"/>
      <c r="J4" s="14"/>
      <c r="K4" s="14">
        <f>G4+J4</f>
        <v>0</v>
      </c>
      <c r="L4" s="14"/>
      <c r="M4" s="37">
        <f>M3+K4-L4</f>
        <v>3834148.7102999995</v>
      </c>
      <c r="N4" s="14"/>
    </row>
    <row r="5" spans="1:18">
      <c r="A5" s="23">
        <v>2</v>
      </c>
      <c r="B5" s="24">
        <v>46236</v>
      </c>
      <c r="C5" s="14"/>
      <c r="D5" s="14"/>
      <c r="E5" s="14"/>
      <c r="F5" s="14"/>
      <c r="G5" s="14">
        <f t="shared" ref="G5:G33" si="0">E5*F5</f>
        <v>0</v>
      </c>
      <c r="H5" s="304"/>
      <c r="I5" s="14"/>
      <c r="J5" s="14">
        <f t="shared" ref="J5:J33" si="1">H5*I5</f>
        <v>0</v>
      </c>
      <c r="K5" s="14">
        <f t="shared" ref="K5:L33" si="2">G5+J5</f>
        <v>0</v>
      </c>
      <c r="L5" s="14"/>
      <c r="M5" s="37">
        <f>M4+K5-L5</f>
        <v>3834148.7102999995</v>
      </c>
      <c r="N5" s="14"/>
    </row>
    <row r="6" spans="1:18">
      <c r="A6" s="23">
        <v>3</v>
      </c>
      <c r="B6" s="24">
        <v>46237</v>
      </c>
      <c r="C6" s="14"/>
      <c r="D6" s="14"/>
      <c r="E6" s="14"/>
      <c r="F6" s="14"/>
      <c r="G6" s="14">
        <f t="shared" si="0"/>
        <v>0</v>
      </c>
      <c r="H6" s="304"/>
      <c r="I6" s="14"/>
      <c r="J6" s="14">
        <f>H6*I6</f>
        <v>0</v>
      </c>
      <c r="K6" s="14">
        <f t="shared" si="2"/>
        <v>0</v>
      </c>
      <c r="L6" s="14"/>
      <c r="M6" s="37">
        <f t="shared" ref="M6:M8" si="3">M5+K6-L6</f>
        <v>3834148.7102999995</v>
      </c>
      <c r="N6" s="14"/>
    </row>
    <row r="7" spans="1:18">
      <c r="A7" s="23">
        <v>4</v>
      </c>
      <c r="B7" s="24">
        <v>46238</v>
      </c>
      <c r="C7" s="14"/>
      <c r="D7" s="14"/>
      <c r="E7" s="14"/>
      <c r="F7" s="14"/>
      <c r="G7" s="14">
        <f t="shared" si="0"/>
        <v>0</v>
      </c>
      <c r="H7" s="304"/>
      <c r="I7" s="14"/>
      <c r="J7" s="14">
        <f t="shared" si="1"/>
        <v>0</v>
      </c>
      <c r="K7" s="14">
        <f t="shared" si="2"/>
        <v>0</v>
      </c>
      <c r="L7" s="14"/>
      <c r="M7" s="37">
        <f t="shared" si="3"/>
        <v>3834148.7102999995</v>
      </c>
      <c r="N7" s="14"/>
    </row>
    <row r="8" spans="1:18">
      <c r="A8" s="23">
        <v>5</v>
      </c>
      <c r="B8" s="24">
        <v>46239</v>
      </c>
      <c r="C8" s="14"/>
      <c r="D8" s="14"/>
      <c r="E8" s="14"/>
      <c r="F8" s="14"/>
      <c r="G8" s="14">
        <f t="shared" si="0"/>
        <v>0</v>
      </c>
      <c r="H8" s="30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3834148.7102999995</v>
      </c>
      <c r="N8" s="14"/>
    </row>
    <row r="9" spans="1:18">
      <c r="A9" s="23">
        <v>6</v>
      </c>
      <c r="B9" s="24">
        <v>46240</v>
      </c>
      <c r="C9" s="14"/>
      <c r="D9" s="14"/>
      <c r="E9" s="14"/>
      <c r="F9" s="14"/>
      <c r="G9" s="14">
        <f t="shared" si="0"/>
        <v>0</v>
      </c>
      <c r="H9" s="304"/>
      <c r="I9" s="14"/>
      <c r="J9" s="14">
        <f t="shared" si="1"/>
        <v>0</v>
      </c>
      <c r="K9" s="14">
        <f t="shared" si="2"/>
        <v>0</v>
      </c>
      <c r="L9" s="14"/>
      <c r="M9" s="37">
        <f>M8+K9-L9</f>
        <v>3834148.7102999995</v>
      </c>
      <c r="N9" s="14"/>
    </row>
    <row r="10" spans="1:18">
      <c r="A10" s="23">
        <v>7</v>
      </c>
      <c r="B10" s="24">
        <v>46241</v>
      </c>
      <c r="C10" s="14"/>
      <c r="D10" s="14"/>
      <c r="E10" s="14"/>
      <c r="F10" s="14"/>
      <c r="G10" s="14">
        <f t="shared" si="0"/>
        <v>0</v>
      </c>
      <c r="H10" s="304"/>
      <c r="I10" s="14"/>
      <c r="J10" s="14">
        <f t="shared" si="1"/>
        <v>0</v>
      </c>
      <c r="K10" s="14">
        <f t="shared" si="2"/>
        <v>0</v>
      </c>
      <c r="L10" s="14"/>
      <c r="M10" s="37">
        <f>M9+K10-L10</f>
        <v>3834148.7102999995</v>
      </c>
      <c r="N10" s="14"/>
    </row>
    <row r="11" spans="1:18">
      <c r="A11" s="23">
        <v>8</v>
      </c>
      <c r="B11" s="24">
        <v>46242</v>
      </c>
      <c r="C11" s="14"/>
      <c r="D11" s="14"/>
      <c r="E11" s="14"/>
      <c r="F11" s="14"/>
      <c r="G11" s="14">
        <f t="shared" si="0"/>
        <v>0</v>
      </c>
      <c r="H11" s="304"/>
      <c r="I11" s="14"/>
      <c r="J11" s="14">
        <f t="shared" si="1"/>
        <v>0</v>
      </c>
      <c r="K11" s="14">
        <f t="shared" si="2"/>
        <v>0</v>
      </c>
      <c r="L11" s="14"/>
      <c r="M11" s="37">
        <f>M10+K11-L11</f>
        <v>3834148.7102999995</v>
      </c>
      <c r="N11" s="14"/>
    </row>
    <row r="12" spans="1:18">
      <c r="A12" s="23">
        <v>9</v>
      </c>
      <c r="B12" s="24">
        <v>46243</v>
      </c>
      <c r="C12" s="14"/>
      <c r="D12" s="14"/>
      <c r="E12" s="14"/>
      <c r="F12" s="14"/>
      <c r="G12" s="14">
        <f t="shared" si="0"/>
        <v>0</v>
      </c>
      <c r="H12" s="304"/>
      <c r="I12" s="14"/>
      <c r="J12" s="14">
        <f t="shared" si="1"/>
        <v>0</v>
      </c>
      <c r="K12" s="14">
        <f t="shared" si="2"/>
        <v>0</v>
      </c>
      <c r="L12" s="14"/>
      <c r="M12" s="37">
        <f>M11+K12-L12</f>
        <v>3834148.7102999995</v>
      </c>
      <c r="N12" s="14"/>
    </row>
    <row r="13" spans="1:18">
      <c r="A13" s="23">
        <v>10</v>
      </c>
      <c r="B13" s="24">
        <v>46244</v>
      </c>
      <c r="C13" s="14"/>
      <c r="D13" s="14"/>
      <c r="E13" s="14"/>
      <c r="F13" s="14"/>
      <c r="G13" s="14">
        <f t="shared" si="0"/>
        <v>0</v>
      </c>
      <c r="H13" s="304"/>
      <c r="I13" s="14"/>
      <c r="J13" s="14">
        <f t="shared" si="1"/>
        <v>0</v>
      </c>
      <c r="K13" s="14">
        <f t="shared" si="2"/>
        <v>0</v>
      </c>
      <c r="L13" s="14"/>
      <c r="M13" s="37">
        <f t="shared" ref="M13:M35" si="4">M12+K13-L13</f>
        <v>3834148.7102999995</v>
      </c>
      <c r="N13" s="14"/>
      <c r="P13" s="19"/>
    </row>
    <row r="14" spans="1:18">
      <c r="A14" s="23">
        <v>11</v>
      </c>
      <c r="B14" s="24">
        <v>46245</v>
      </c>
      <c r="C14" s="14"/>
      <c r="D14" s="14"/>
      <c r="E14" s="14"/>
      <c r="F14" s="14"/>
      <c r="G14" s="14">
        <f t="shared" si="0"/>
        <v>0</v>
      </c>
      <c r="H14" s="304"/>
      <c r="I14" s="14"/>
      <c r="J14" s="14">
        <f>H14*I14</f>
        <v>0</v>
      </c>
      <c r="K14" s="14">
        <f t="shared" si="2"/>
        <v>0</v>
      </c>
      <c r="L14" s="14"/>
      <c r="M14" s="37">
        <f t="shared" si="4"/>
        <v>3834148.7102999995</v>
      </c>
      <c r="N14" s="14"/>
    </row>
    <row r="15" spans="1:18">
      <c r="A15" s="23">
        <v>12</v>
      </c>
      <c r="B15" s="24">
        <v>46246</v>
      </c>
      <c r="C15" s="14"/>
      <c r="D15" s="14"/>
      <c r="E15" s="14"/>
      <c r="F15" s="14"/>
      <c r="G15" s="14">
        <f t="shared" si="0"/>
        <v>0</v>
      </c>
      <c r="H15" s="304"/>
      <c r="I15" s="14"/>
      <c r="J15" s="14">
        <f t="shared" si="1"/>
        <v>0</v>
      </c>
      <c r="K15" s="14">
        <f t="shared" si="2"/>
        <v>0</v>
      </c>
      <c r="L15" s="14"/>
      <c r="M15" s="37">
        <f t="shared" si="4"/>
        <v>3834148.7102999995</v>
      </c>
      <c r="N15" s="14"/>
      <c r="R15" s="19"/>
    </row>
    <row r="16" spans="1:18">
      <c r="A16" s="23">
        <v>13</v>
      </c>
      <c r="B16" s="24">
        <v>46247</v>
      </c>
      <c r="C16" s="14"/>
      <c r="D16" s="14"/>
      <c r="E16" s="37">
        <v>2800</v>
      </c>
      <c r="F16" s="37">
        <v>103.8</v>
      </c>
      <c r="G16" s="37">
        <f t="shared" si="0"/>
        <v>290640</v>
      </c>
      <c r="H16" s="387"/>
      <c r="I16" s="37"/>
      <c r="J16" s="14">
        <f t="shared" si="1"/>
        <v>0</v>
      </c>
      <c r="K16" s="14">
        <f>G16+J16</f>
        <v>290640</v>
      </c>
      <c r="L16" s="37">
        <v>3834140</v>
      </c>
      <c r="M16" s="37">
        <f t="shared" si="4"/>
        <v>290648.71029999945</v>
      </c>
      <c r="N16" s="14"/>
    </row>
    <row r="17" spans="1:16">
      <c r="A17" s="23">
        <v>14</v>
      </c>
      <c r="B17" s="24">
        <v>46248</v>
      </c>
      <c r="C17" s="14"/>
      <c r="D17" s="14"/>
      <c r="E17" s="37"/>
      <c r="F17" s="37"/>
      <c r="G17" s="37">
        <f t="shared" si="0"/>
        <v>0</v>
      </c>
      <c r="H17" s="387"/>
      <c r="I17" s="37"/>
      <c r="J17" s="14">
        <f t="shared" si="1"/>
        <v>0</v>
      </c>
      <c r="K17" s="14">
        <f>G17+J17</f>
        <v>0</v>
      </c>
      <c r="L17" s="37"/>
      <c r="M17" s="37">
        <f t="shared" si="4"/>
        <v>290648.71029999945</v>
      </c>
      <c r="N17" s="14"/>
    </row>
    <row r="18" spans="1:16">
      <c r="A18" s="23">
        <v>15</v>
      </c>
      <c r="B18" s="24">
        <v>46249</v>
      </c>
      <c r="C18" s="14"/>
      <c r="D18" s="14"/>
      <c r="E18" s="37">
        <v>2800</v>
      </c>
      <c r="F18" s="37">
        <v>103.8</v>
      </c>
      <c r="G18" s="37">
        <f t="shared" si="0"/>
        <v>290640</v>
      </c>
      <c r="H18" s="387"/>
      <c r="I18" s="37"/>
      <c r="J18" s="14">
        <f t="shared" si="1"/>
        <v>0</v>
      </c>
      <c r="K18" s="14">
        <f>G18+J18</f>
        <v>290640</v>
      </c>
      <c r="L18" s="37"/>
      <c r="M18" s="37">
        <f t="shared" si="4"/>
        <v>581288.71029999945</v>
      </c>
      <c r="N18" s="14"/>
    </row>
    <row r="19" spans="1:16">
      <c r="A19" s="23">
        <v>16</v>
      </c>
      <c r="B19" s="24">
        <v>46250</v>
      </c>
      <c r="C19" s="14"/>
      <c r="D19" s="14"/>
      <c r="E19" s="37">
        <v>2700</v>
      </c>
      <c r="F19" s="37">
        <v>103.8</v>
      </c>
      <c r="G19" s="37">
        <f t="shared" si="0"/>
        <v>280260</v>
      </c>
      <c r="H19" s="387"/>
      <c r="I19" s="37"/>
      <c r="J19" s="14">
        <f t="shared" si="1"/>
        <v>0</v>
      </c>
      <c r="K19" s="323">
        <f>G19+J19</f>
        <v>280260</v>
      </c>
      <c r="L19" s="37"/>
      <c r="M19" s="37">
        <f t="shared" si="4"/>
        <v>861548.71029999945</v>
      </c>
      <c r="N19" s="14"/>
    </row>
    <row r="20" spans="1:16">
      <c r="A20" s="23">
        <v>17</v>
      </c>
      <c r="B20" s="24">
        <v>46251</v>
      </c>
      <c r="C20" s="14"/>
      <c r="D20" s="14"/>
      <c r="E20" s="37">
        <v>4300</v>
      </c>
      <c r="F20" s="37">
        <v>103.8</v>
      </c>
      <c r="G20" s="37">
        <f t="shared" si="0"/>
        <v>446340</v>
      </c>
      <c r="H20" s="387">
        <v>75</v>
      </c>
      <c r="I20" s="37">
        <v>115.69</v>
      </c>
      <c r="J20" s="14">
        <f t="shared" si="1"/>
        <v>8676.75</v>
      </c>
      <c r="K20" s="323">
        <f>G20+J20</f>
        <v>455016.75</v>
      </c>
      <c r="L20" s="37"/>
      <c r="M20" s="37">
        <f t="shared" si="4"/>
        <v>1316565.4602999995</v>
      </c>
      <c r="N20" s="14"/>
    </row>
    <row r="21" spans="1:16">
      <c r="A21" s="23">
        <v>18</v>
      </c>
      <c r="B21" s="24">
        <v>46252</v>
      </c>
      <c r="C21" s="14"/>
      <c r="D21" s="14"/>
      <c r="E21" s="14">
        <v>2800</v>
      </c>
      <c r="F21" s="14">
        <v>103.8</v>
      </c>
      <c r="G21" s="14">
        <f t="shared" si="0"/>
        <v>290640</v>
      </c>
      <c r="H21" s="304"/>
      <c r="I21" s="14"/>
      <c r="J21" s="14">
        <f t="shared" si="1"/>
        <v>0</v>
      </c>
      <c r="K21" s="14">
        <f>G21+J21</f>
        <v>290640</v>
      </c>
      <c r="L21" s="14"/>
      <c r="M21" s="37">
        <f t="shared" si="4"/>
        <v>1607205.4602999995</v>
      </c>
      <c r="N21" s="14"/>
    </row>
    <row r="22" spans="1:16">
      <c r="A22" s="23">
        <v>19</v>
      </c>
      <c r="B22" s="24">
        <v>46253</v>
      </c>
      <c r="C22" s="14"/>
      <c r="D22" s="14"/>
      <c r="E22" s="14">
        <v>1500</v>
      </c>
      <c r="F22" s="14">
        <v>103.8</v>
      </c>
      <c r="G22" s="14">
        <f t="shared" si="0"/>
        <v>155700</v>
      </c>
      <c r="H22" s="304">
        <v>130</v>
      </c>
      <c r="I22" s="37">
        <v>115.69</v>
      </c>
      <c r="J22" s="14">
        <f t="shared" si="1"/>
        <v>15039.699999999999</v>
      </c>
      <c r="K22" s="14">
        <f t="shared" si="2"/>
        <v>170739.7</v>
      </c>
      <c r="L22" s="14"/>
      <c r="M22" s="37">
        <f t="shared" si="4"/>
        <v>1777945.1602999994</v>
      </c>
      <c r="N22" s="14"/>
    </row>
    <row r="23" spans="1:16">
      <c r="A23" s="23">
        <v>20</v>
      </c>
      <c r="B23" s="24">
        <v>46254</v>
      </c>
      <c r="C23" s="14"/>
      <c r="D23" s="14"/>
      <c r="E23" s="14">
        <v>1000</v>
      </c>
      <c r="F23" s="14">
        <v>103.8</v>
      </c>
      <c r="G23" s="14">
        <f t="shared" si="0"/>
        <v>103800</v>
      </c>
      <c r="H23" s="304"/>
      <c r="I23" s="14"/>
      <c r="J23" s="14">
        <f t="shared" si="1"/>
        <v>0</v>
      </c>
      <c r="K23" s="14">
        <f t="shared" si="2"/>
        <v>103800</v>
      </c>
      <c r="L23" s="14"/>
      <c r="M23" s="37">
        <f t="shared" si="4"/>
        <v>1881745.1602999994</v>
      </c>
      <c r="N23" s="14"/>
    </row>
    <row r="24" spans="1:16">
      <c r="A24" s="23">
        <v>21</v>
      </c>
      <c r="B24" s="24">
        <v>46255</v>
      </c>
      <c r="C24" s="14"/>
      <c r="D24" s="14"/>
      <c r="E24" s="14"/>
      <c r="F24" s="14"/>
      <c r="G24" s="14">
        <f t="shared" si="0"/>
        <v>0</v>
      </c>
      <c r="H24" s="304"/>
      <c r="I24" s="14"/>
      <c r="J24" s="14">
        <f t="shared" si="1"/>
        <v>0</v>
      </c>
      <c r="K24" s="14">
        <f t="shared" si="2"/>
        <v>0</v>
      </c>
      <c r="L24" s="14"/>
      <c r="M24" s="37">
        <f t="shared" si="4"/>
        <v>1881745.1602999994</v>
      </c>
      <c r="N24" s="14"/>
    </row>
    <row r="25" spans="1:16">
      <c r="A25" s="23">
        <v>22</v>
      </c>
      <c r="B25" s="24">
        <v>46256</v>
      </c>
      <c r="C25" s="14"/>
      <c r="D25" s="14"/>
      <c r="E25" s="14">
        <v>1200</v>
      </c>
      <c r="F25" s="14">
        <v>103.8</v>
      </c>
      <c r="G25" s="14">
        <f t="shared" si="0"/>
        <v>124560</v>
      </c>
      <c r="H25" s="304"/>
      <c r="I25" s="14"/>
      <c r="J25" s="14">
        <f t="shared" si="1"/>
        <v>0</v>
      </c>
      <c r="K25" s="14">
        <f t="shared" si="2"/>
        <v>124560</v>
      </c>
      <c r="L25" s="14"/>
      <c r="M25" s="37">
        <f t="shared" si="4"/>
        <v>2006305.1602999994</v>
      </c>
      <c r="N25" s="14"/>
    </row>
    <row r="26" spans="1:16">
      <c r="A26" s="23">
        <v>23</v>
      </c>
      <c r="B26" s="24">
        <v>46257</v>
      </c>
      <c r="C26" s="14"/>
      <c r="D26" s="14"/>
      <c r="E26" s="14"/>
      <c r="F26" s="14"/>
      <c r="G26" s="14">
        <f t="shared" si="0"/>
        <v>0</v>
      </c>
      <c r="H26" s="304"/>
      <c r="I26" s="14"/>
      <c r="J26" s="14">
        <f t="shared" si="1"/>
        <v>0</v>
      </c>
      <c r="K26" s="14">
        <f t="shared" si="2"/>
        <v>0</v>
      </c>
      <c r="L26" s="14"/>
      <c r="M26" s="37">
        <f t="shared" si="4"/>
        <v>2006305.1602999994</v>
      </c>
      <c r="N26" s="14"/>
    </row>
    <row r="27" spans="1:16">
      <c r="A27" s="23">
        <v>24</v>
      </c>
      <c r="B27" s="24">
        <v>46258</v>
      </c>
      <c r="C27" s="14"/>
      <c r="D27" s="14"/>
      <c r="E27" s="14"/>
      <c r="F27" s="14"/>
      <c r="G27" s="14">
        <f t="shared" si="0"/>
        <v>0</v>
      </c>
      <c r="H27" s="304"/>
      <c r="I27" s="14"/>
      <c r="J27" s="14">
        <f t="shared" si="1"/>
        <v>0</v>
      </c>
      <c r="K27" s="14">
        <f t="shared" si="2"/>
        <v>0</v>
      </c>
      <c r="L27" s="14"/>
      <c r="M27" s="37">
        <f t="shared" si="4"/>
        <v>2006305.1602999994</v>
      </c>
      <c r="N27" s="14"/>
    </row>
    <row r="28" spans="1:16">
      <c r="A28" s="23">
        <v>25</v>
      </c>
      <c r="B28" s="24">
        <v>46259</v>
      </c>
      <c r="C28" s="14"/>
      <c r="D28" s="14"/>
      <c r="E28" s="14">
        <v>2700</v>
      </c>
      <c r="F28" s="14">
        <v>103.8</v>
      </c>
      <c r="G28" s="14">
        <f t="shared" si="0"/>
        <v>280260</v>
      </c>
      <c r="H28" s="304"/>
      <c r="I28" s="14"/>
      <c r="J28" s="14">
        <f t="shared" si="1"/>
        <v>0</v>
      </c>
      <c r="K28" s="14">
        <f t="shared" si="2"/>
        <v>280260</v>
      </c>
      <c r="L28" s="14"/>
      <c r="M28" s="37">
        <f t="shared" si="4"/>
        <v>2286565.1602999996</v>
      </c>
      <c r="N28" s="14"/>
    </row>
    <row r="29" spans="1:16">
      <c r="A29" s="23">
        <v>26</v>
      </c>
      <c r="B29" s="24">
        <v>46260</v>
      </c>
      <c r="C29" s="14"/>
      <c r="D29" s="14"/>
      <c r="E29" s="14">
        <v>1600</v>
      </c>
      <c r="F29" s="14">
        <v>103.8</v>
      </c>
      <c r="G29" s="14">
        <f t="shared" si="0"/>
        <v>166080</v>
      </c>
      <c r="H29" s="304"/>
      <c r="I29" s="14"/>
      <c r="J29" s="14">
        <f t="shared" si="1"/>
        <v>0</v>
      </c>
      <c r="K29" s="14">
        <f t="shared" si="2"/>
        <v>166080</v>
      </c>
      <c r="L29" s="14"/>
      <c r="M29" s="37">
        <f t="shared" si="4"/>
        <v>2452645.1602999996</v>
      </c>
      <c r="N29" s="14"/>
    </row>
    <row r="30" spans="1:16">
      <c r="A30" s="23">
        <v>27</v>
      </c>
      <c r="B30" s="24">
        <v>46261</v>
      </c>
      <c r="C30" s="14"/>
      <c r="D30" s="14"/>
      <c r="E30" s="14"/>
      <c r="F30" s="14"/>
      <c r="G30" s="14">
        <f t="shared" si="0"/>
        <v>0</v>
      </c>
      <c r="H30" s="304"/>
      <c r="I30" s="14"/>
      <c r="J30" s="14">
        <f t="shared" si="1"/>
        <v>0</v>
      </c>
      <c r="K30" s="14">
        <f t="shared" si="2"/>
        <v>0</v>
      </c>
      <c r="L30" s="14"/>
      <c r="M30" s="37">
        <f t="shared" si="4"/>
        <v>2452645.1602999996</v>
      </c>
      <c r="N30" s="14"/>
      <c r="P30" s="19"/>
    </row>
    <row r="31" spans="1:16">
      <c r="A31" s="23">
        <v>28</v>
      </c>
      <c r="B31" s="24">
        <v>46262</v>
      </c>
      <c r="C31" s="14"/>
      <c r="D31" s="14"/>
      <c r="E31" s="14">
        <v>800</v>
      </c>
      <c r="F31" s="14">
        <v>103.8</v>
      </c>
      <c r="G31" s="14">
        <f t="shared" si="0"/>
        <v>83040</v>
      </c>
      <c r="H31" s="304"/>
      <c r="I31" s="14"/>
      <c r="J31" s="14">
        <f t="shared" si="1"/>
        <v>0</v>
      </c>
      <c r="K31" s="14">
        <f t="shared" si="2"/>
        <v>83040</v>
      </c>
      <c r="L31" s="14"/>
      <c r="M31" s="37">
        <f t="shared" si="4"/>
        <v>2535685.1602999996</v>
      </c>
      <c r="N31" s="14"/>
    </row>
    <row r="32" spans="1:16">
      <c r="A32" s="23">
        <v>29</v>
      </c>
      <c r="B32" s="24">
        <v>46263</v>
      </c>
      <c r="C32" s="14"/>
      <c r="D32" s="14"/>
      <c r="E32" s="14">
        <v>1400</v>
      </c>
      <c r="F32" s="14">
        <v>103.8</v>
      </c>
      <c r="G32" s="14">
        <f t="shared" si="0"/>
        <v>145320</v>
      </c>
      <c r="H32" s="304"/>
      <c r="I32" s="14"/>
      <c r="J32" s="14">
        <f t="shared" si="1"/>
        <v>0</v>
      </c>
      <c r="K32" s="14">
        <f t="shared" si="2"/>
        <v>145320</v>
      </c>
      <c r="L32" s="14"/>
      <c r="M32" s="37">
        <f t="shared" si="4"/>
        <v>2681005.1602999996</v>
      </c>
      <c r="N32" s="14"/>
      <c r="P32" s="19"/>
    </row>
    <row r="33" spans="1:16">
      <c r="A33" s="23">
        <v>30</v>
      </c>
      <c r="B33" s="24">
        <v>46264</v>
      </c>
      <c r="C33" s="14"/>
      <c r="D33" s="14"/>
      <c r="E33" s="14"/>
      <c r="F33" s="14"/>
      <c r="G33" s="14">
        <f t="shared" si="0"/>
        <v>0</v>
      </c>
      <c r="H33" s="304"/>
      <c r="I33" s="14"/>
      <c r="J33" s="14">
        <f t="shared" si="1"/>
        <v>0</v>
      </c>
      <c r="K33" s="14">
        <f t="shared" si="2"/>
        <v>0</v>
      </c>
      <c r="L33" s="14"/>
      <c r="M33" s="37">
        <f t="shared" si="4"/>
        <v>2681005.1602999996</v>
      </c>
      <c r="N33" s="14"/>
    </row>
    <row r="34" spans="1:16">
      <c r="A34" s="23">
        <v>31</v>
      </c>
      <c r="B34" s="24">
        <v>46265</v>
      </c>
      <c r="C34" s="14"/>
      <c r="D34" s="14"/>
      <c r="E34" s="14">
        <v>1200</v>
      </c>
      <c r="F34" s="14">
        <v>103.8</v>
      </c>
      <c r="G34" s="323">
        <f>E34*F34</f>
        <v>124560</v>
      </c>
      <c r="H34" s="304"/>
      <c r="I34" s="14"/>
      <c r="J34" s="14"/>
      <c r="K34" s="14">
        <f t="shared" ref="K5:K37" si="5">G34+J34</f>
        <v>124560</v>
      </c>
      <c r="L34" s="14"/>
      <c r="M34" s="37">
        <f t="shared" si="4"/>
        <v>2805565.1602999996</v>
      </c>
      <c r="N34" s="14"/>
    </row>
    <row r="35" spans="1:16">
      <c r="A35" s="23">
        <v>32</v>
      </c>
      <c r="B35" s="24"/>
      <c r="C35" s="14"/>
      <c r="D35" s="14"/>
      <c r="E35" s="14"/>
      <c r="F35" s="14"/>
      <c r="G35" s="323">
        <f>E35*F35</f>
        <v>0</v>
      </c>
      <c r="H35" s="304"/>
      <c r="I35" s="14"/>
      <c r="J35" s="14">
        <f t="shared" ref="J5:J37" si="6">H35*I35</f>
        <v>0</v>
      </c>
      <c r="K35" s="14">
        <f t="shared" si="5"/>
        <v>0</v>
      </c>
      <c r="L35" s="14"/>
      <c r="M35" s="37">
        <f t="shared" si="4"/>
        <v>2805565.1602999996</v>
      </c>
      <c r="N35" s="14"/>
      <c r="P35" s="19"/>
    </row>
    <row r="36" spans="1:16">
      <c r="A36" s="23">
        <v>33</v>
      </c>
      <c r="B36" s="24"/>
      <c r="C36" s="14"/>
      <c r="D36" s="14"/>
      <c r="E36" s="14"/>
      <c r="F36" s="14"/>
      <c r="G36" s="323">
        <f>E36*F36</f>
        <v>0</v>
      </c>
      <c r="H36" s="304"/>
      <c r="I36" s="14"/>
      <c r="J36" s="14">
        <f t="shared" si="6"/>
        <v>0</v>
      </c>
      <c r="K36" s="14">
        <f t="shared" si="5"/>
        <v>0</v>
      </c>
      <c r="L36" s="14"/>
      <c r="M36" s="14"/>
      <c r="N36" s="14"/>
    </row>
    <row r="37" spans="1:16">
      <c r="A37" s="23">
        <v>34</v>
      </c>
      <c r="B37" s="24"/>
      <c r="C37" s="14"/>
      <c r="D37" s="14"/>
      <c r="E37" s="14"/>
      <c r="F37" s="14"/>
      <c r="G37" s="323">
        <f>E37*F37</f>
        <v>0</v>
      </c>
      <c r="H37" s="304"/>
      <c r="I37" s="14"/>
      <c r="J37" s="14">
        <f t="shared" si="6"/>
        <v>0</v>
      </c>
      <c r="K37" s="14">
        <f t="shared" si="5"/>
        <v>0</v>
      </c>
      <c r="L37" s="14"/>
      <c r="M37" s="14"/>
      <c r="N37" s="14"/>
    </row>
    <row r="38" spans="1:16">
      <c r="A38" s="39"/>
      <c r="B38" s="39"/>
      <c r="C38" s="39"/>
      <c r="D38" s="39"/>
      <c r="E38" s="222">
        <f>SUM(E3:E37)</f>
        <v>26800</v>
      </c>
      <c r="F38" s="222"/>
      <c r="G38" s="222">
        <f>SUM(G3:G37)</f>
        <v>2781840</v>
      </c>
      <c r="H38" s="222">
        <f>SUM(H3:H37)</f>
        <v>205</v>
      </c>
      <c r="I38" s="222"/>
      <c r="J38" s="222">
        <f>SUM(J3:J37)</f>
        <v>23716.449999999997</v>
      </c>
      <c r="K38" s="222">
        <f>SUM(K4:K37)</f>
        <v>2805556.45</v>
      </c>
      <c r="L38" s="222">
        <f>SUM(L3:L37)</f>
        <v>3834140</v>
      </c>
      <c r="M38" s="222"/>
      <c r="N38" s="222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W42"/>
  <sheetViews>
    <sheetView topLeftCell="B1" workbookViewId="0">
      <selection activeCell="M30" sqref="M30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4.7109375" customWidth="1"/>
  </cols>
  <sheetData>
    <row r="1" spans="1:23" ht="15.75">
      <c r="A1" s="571" t="s">
        <v>69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23" ht="30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  <c r="O2" s="305"/>
      <c r="P2" s="19"/>
    </row>
    <row r="3" spans="1:23">
      <c r="A3" s="573" t="s">
        <v>181</v>
      </c>
      <c r="B3" s="574"/>
      <c r="C3" s="574"/>
      <c r="D3" s="574"/>
      <c r="E3" s="574"/>
      <c r="F3" s="574"/>
      <c r="G3" s="574"/>
      <c r="H3" s="574"/>
      <c r="I3" s="574"/>
      <c r="J3" s="574"/>
      <c r="K3" s="306">
        <v>18929637.035429999</v>
      </c>
      <c r="L3" s="221"/>
      <c r="M3">
        <v>18929637.035429999</v>
      </c>
      <c r="N3" s="91"/>
    </row>
    <row r="4" spans="1:23">
      <c r="A4" s="23">
        <v>1</v>
      </c>
      <c r="B4" s="24">
        <v>46235</v>
      </c>
      <c r="C4" s="14"/>
      <c r="D4" s="252"/>
      <c r="E4" s="258">
        <v>5600</v>
      </c>
      <c r="F4" s="303">
        <v>103.82</v>
      </c>
      <c r="G4" s="323">
        <f>E4*F4</f>
        <v>581392</v>
      </c>
      <c r="H4" s="14">
        <v>95</v>
      </c>
      <c r="I4" s="14">
        <v>115.72</v>
      </c>
      <c r="J4" s="14">
        <f>H4*I4</f>
        <v>10993.4</v>
      </c>
      <c r="K4" s="323">
        <f>G4+J4</f>
        <v>592385.4</v>
      </c>
      <c r="L4" s="14">
        <v>250000</v>
      </c>
      <c r="M4" s="37">
        <f>M3+K4-L4</f>
        <v>19272022.435429998</v>
      </c>
      <c r="N4" s="14" t="s">
        <v>185</v>
      </c>
      <c r="O4" s="37">
        <v>40696</v>
      </c>
    </row>
    <row r="5" spans="1:23">
      <c r="A5" s="23">
        <v>2</v>
      </c>
      <c r="B5" s="24">
        <v>46236</v>
      </c>
      <c r="C5" s="14"/>
      <c r="D5" s="252"/>
      <c r="E5" s="258"/>
      <c r="F5" s="303"/>
      <c r="G5" s="323">
        <f t="shared" ref="G5:G36" si="0">E5*F5</f>
        <v>0</v>
      </c>
      <c r="H5" s="14"/>
      <c r="I5" s="14"/>
      <c r="J5" s="14">
        <f t="shared" ref="J5:J35" si="1">H5*I5</f>
        <v>0</v>
      </c>
      <c r="K5" s="323">
        <f t="shared" ref="K5:K36" si="2">G5+J5</f>
        <v>0</v>
      </c>
      <c r="L5" s="14"/>
      <c r="M5" s="37">
        <f t="shared" ref="M5:M19" si="3">M4+K5-L5</f>
        <v>19272022.435429998</v>
      </c>
      <c r="N5" s="14"/>
    </row>
    <row r="6" spans="1:23">
      <c r="A6" s="23">
        <v>3</v>
      </c>
      <c r="B6" s="24">
        <v>46237</v>
      </c>
      <c r="C6" s="14"/>
      <c r="D6" s="252"/>
      <c r="E6" s="258">
        <v>2215.373</v>
      </c>
      <c r="F6" s="303">
        <v>103.82</v>
      </c>
      <c r="G6" s="323">
        <f t="shared" ref="G6:G36" si="4">E6*F6</f>
        <v>230000.02485999998</v>
      </c>
      <c r="H6" s="14"/>
      <c r="I6" s="14"/>
      <c r="J6" s="14">
        <f t="shared" ref="J6:J36" si="5">H6*I6</f>
        <v>0</v>
      </c>
      <c r="K6" s="323">
        <f t="shared" ref="K6:L36" si="6">G6+J6</f>
        <v>230000.02485999998</v>
      </c>
      <c r="L6" s="14"/>
      <c r="M6" s="37">
        <f t="shared" si="3"/>
        <v>19502022.460289996</v>
      </c>
      <c r="N6" s="14" t="s">
        <v>186</v>
      </c>
      <c r="O6" s="14">
        <v>230000</v>
      </c>
    </row>
    <row r="7" spans="1:23">
      <c r="A7" s="23">
        <v>4</v>
      </c>
      <c r="B7" s="24">
        <v>46238</v>
      </c>
      <c r="C7" s="14"/>
      <c r="D7" s="252"/>
      <c r="E7" s="258">
        <v>1300.33</v>
      </c>
      <c r="F7" s="303">
        <v>103.82</v>
      </c>
      <c r="G7" s="323">
        <f t="shared" si="4"/>
        <v>135000.26059999998</v>
      </c>
      <c r="H7" s="14"/>
      <c r="I7" s="14"/>
      <c r="J7" s="14">
        <f t="shared" si="5"/>
        <v>0</v>
      </c>
      <c r="K7" s="323">
        <f t="shared" si="6"/>
        <v>135000.26059999998</v>
      </c>
      <c r="L7" s="323"/>
      <c r="M7" s="37">
        <f t="shared" si="3"/>
        <v>19637022.720889997</v>
      </c>
      <c r="N7" s="14" t="s">
        <v>186</v>
      </c>
      <c r="O7" s="323">
        <v>135000.26059999998</v>
      </c>
    </row>
    <row r="8" spans="1:23">
      <c r="A8" s="23">
        <v>5</v>
      </c>
      <c r="B8" s="24">
        <v>46239</v>
      </c>
      <c r="C8" s="14"/>
      <c r="D8" s="252"/>
      <c r="E8" s="258"/>
      <c r="F8" s="303"/>
      <c r="G8" s="323">
        <f t="shared" si="4"/>
        <v>0</v>
      </c>
      <c r="H8" s="14">
        <v>120</v>
      </c>
      <c r="I8" s="14">
        <v>115.72</v>
      </c>
      <c r="J8" s="14">
        <f t="shared" si="5"/>
        <v>13886.4</v>
      </c>
      <c r="K8" s="323">
        <f t="shared" si="6"/>
        <v>13886.4</v>
      </c>
      <c r="L8" s="14"/>
      <c r="M8" s="37">
        <f t="shared" si="3"/>
        <v>19650909.120889995</v>
      </c>
      <c r="N8" s="14"/>
    </row>
    <row r="9" spans="1:23">
      <c r="A9" s="23">
        <v>6</v>
      </c>
      <c r="B9" s="24">
        <v>46240</v>
      </c>
      <c r="C9" s="14"/>
      <c r="D9" s="252"/>
      <c r="E9" s="258">
        <v>3530</v>
      </c>
      <c r="F9" s="303">
        <v>103.82</v>
      </c>
      <c r="G9" s="323">
        <f t="shared" si="4"/>
        <v>366484.6</v>
      </c>
      <c r="H9" s="14"/>
      <c r="I9" s="14"/>
      <c r="J9" s="14">
        <f t="shared" si="5"/>
        <v>0</v>
      </c>
      <c r="K9" s="323">
        <f t="shared" si="6"/>
        <v>366484.6</v>
      </c>
      <c r="L9" s="14"/>
      <c r="M9" s="37">
        <f t="shared" si="3"/>
        <v>20017393.720889997</v>
      </c>
      <c r="N9" s="223" t="s">
        <v>187</v>
      </c>
      <c r="O9" s="14">
        <v>366485</v>
      </c>
    </row>
    <row r="10" spans="1:23">
      <c r="A10" s="23">
        <v>7</v>
      </c>
      <c r="B10" s="24">
        <v>46241</v>
      </c>
      <c r="C10" s="14"/>
      <c r="D10" s="252"/>
      <c r="E10" s="258">
        <v>2720</v>
      </c>
      <c r="F10" s="303">
        <v>103.82</v>
      </c>
      <c r="G10" s="323">
        <f t="shared" si="4"/>
        <v>282390.39999999997</v>
      </c>
      <c r="H10" s="14"/>
      <c r="I10" s="14"/>
      <c r="J10" s="14">
        <f t="shared" si="5"/>
        <v>0</v>
      </c>
      <c r="K10" s="323">
        <f t="shared" si="6"/>
        <v>282390.39999999997</v>
      </c>
      <c r="L10" s="14"/>
      <c r="M10" s="37">
        <f t="shared" si="3"/>
        <v>20299784.120889995</v>
      </c>
      <c r="N10" s="223" t="s">
        <v>187</v>
      </c>
      <c r="O10" s="14">
        <v>282390.39999999997</v>
      </c>
    </row>
    <row r="11" spans="1:23">
      <c r="A11" s="23">
        <v>8</v>
      </c>
      <c r="B11" s="24">
        <v>46242</v>
      </c>
      <c r="C11" s="14"/>
      <c r="D11" s="252"/>
      <c r="E11" s="258">
        <v>3178.58</v>
      </c>
      <c r="F11" s="303">
        <v>103.82</v>
      </c>
      <c r="G11" s="323">
        <f t="shared" si="4"/>
        <v>330000.17559999996</v>
      </c>
      <c r="H11" s="14">
        <v>95</v>
      </c>
      <c r="I11" s="14">
        <v>115.72</v>
      </c>
      <c r="J11" s="14">
        <f t="shared" si="5"/>
        <v>10993.4</v>
      </c>
      <c r="K11" s="323">
        <f t="shared" si="6"/>
        <v>340993.57559999998</v>
      </c>
      <c r="L11">
        <v>70000</v>
      </c>
      <c r="M11" s="205">
        <f t="shared" si="3"/>
        <v>20570777.696489993</v>
      </c>
      <c r="N11" s="14" t="s">
        <v>188</v>
      </c>
      <c r="O11">
        <v>260000</v>
      </c>
    </row>
    <row r="12" spans="1:23">
      <c r="A12" s="23">
        <v>9</v>
      </c>
      <c r="B12" s="24">
        <v>46243</v>
      </c>
      <c r="C12" s="14"/>
      <c r="D12" s="252"/>
      <c r="E12" s="258"/>
      <c r="F12" s="303"/>
      <c r="G12" s="323">
        <f t="shared" si="4"/>
        <v>0</v>
      </c>
      <c r="H12" s="14"/>
      <c r="I12" s="14"/>
      <c r="J12" s="14">
        <f t="shared" si="5"/>
        <v>0</v>
      </c>
      <c r="K12" s="439">
        <f t="shared" si="6"/>
        <v>0</v>
      </c>
      <c r="L12" s="14"/>
      <c r="M12" s="37">
        <f t="shared" si="3"/>
        <v>20570777.696489993</v>
      </c>
      <c r="N12" s="226"/>
      <c r="O12" s="14"/>
    </row>
    <row r="13" spans="1:23">
      <c r="A13" s="23">
        <v>10</v>
      </c>
      <c r="B13" s="24">
        <v>46244</v>
      </c>
      <c r="C13" s="14"/>
      <c r="D13" s="252"/>
      <c r="E13" s="258">
        <v>722.40499999999997</v>
      </c>
      <c r="F13" s="303">
        <v>103.82</v>
      </c>
      <c r="G13" s="323">
        <f t="shared" si="4"/>
        <v>75000.08709999999</v>
      </c>
      <c r="H13" s="14"/>
      <c r="I13" s="14"/>
      <c r="J13" s="14">
        <f t="shared" si="5"/>
        <v>0</v>
      </c>
      <c r="K13" s="439">
        <f t="shared" si="6"/>
        <v>75000.08709999999</v>
      </c>
      <c r="L13" s="14"/>
      <c r="M13" s="37">
        <f t="shared" si="3"/>
        <v>20645777.783589993</v>
      </c>
      <c r="N13" s="226" t="s">
        <v>186</v>
      </c>
      <c r="O13" s="14">
        <v>75000</v>
      </c>
      <c r="W13">
        <v>250000</v>
      </c>
    </row>
    <row r="14" spans="1:23">
      <c r="A14" s="23">
        <v>11</v>
      </c>
      <c r="B14" s="24">
        <v>46245</v>
      </c>
      <c r="C14" s="14"/>
      <c r="D14" s="252"/>
      <c r="E14" s="258">
        <v>4382.59</v>
      </c>
      <c r="F14" s="303">
        <v>103.82</v>
      </c>
      <c r="G14" s="323">
        <f t="shared" si="4"/>
        <v>455000.4938</v>
      </c>
      <c r="H14" s="14">
        <v>130</v>
      </c>
      <c r="I14" s="14">
        <v>115.72</v>
      </c>
      <c r="J14" s="14">
        <f t="shared" si="5"/>
        <v>15043.6</v>
      </c>
      <c r="K14" s="439">
        <f t="shared" si="6"/>
        <v>470044.09379999997</v>
      </c>
      <c r="L14" s="14">
        <v>300000</v>
      </c>
      <c r="M14" s="37">
        <f t="shared" si="3"/>
        <v>20815821.877389994</v>
      </c>
      <c r="N14" s="226" t="s">
        <v>189</v>
      </c>
      <c r="O14">
        <v>155000</v>
      </c>
      <c r="W14">
        <v>70000</v>
      </c>
    </row>
    <row r="15" spans="1:23">
      <c r="A15" s="23">
        <v>12</v>
      </c>
      <c r="B15" s="24">
        <v>46246</v>
      </c>
      <c r="C15" s="14"/>
      <c r="D15" s="252"/>
      <c r="E15" s="258">
        <v>674.25</v>
      </c>
      <c r="F15" s="303">
        <v>103.82</v>
      </c>
      <c r="G15" s="323">
        <f t="shared" si="4"/>
        <v>70000.634999999995</v>
      </c>
      <c r="H15" s="14"/>
      <c r="I15" s="14"/>
      <c r="J15" s="14">
        <f t="shared" si="5"/>
        <v>0</v>
      </c>
      <c r="K15" s="323">
        <f t="shared" si="6"/>
        <v>70000.634999999995</v>
      </c>
      <c r="L15" s="323"/>
      <c r="M15" s="172">
        <f t="shared" si="3"/>
        <v>20885822.512389995</v>
      </c>
      <c r="N15" s="226" t="s">
        <v>186</v>
      </c>
      <c r="O15">
        <v>70000</v>
      </c>
      <c r="S15">
        <v>5000000</v>
      </c>
      <c r="W15">
        <v>46366</v>
      </c>
    </row>
    <row r="16" spans="1:23">
      <c r="A16" s="23">
        <v>13</v>
      </c>
      <c r="B16" s="24">
        <v>46247</v>
      </c>
      <c r="C16" s="14"/>
      <c r="D16" s="252"/>
      <c r="E16" s="258">
        <v>5400</v>
      </c>
      <c r="F16" s="303">
        <v>103.82</v>
      </c>
      <c r="G16" s="323">
        <f t="shared" si="4"/>
        <v>560628</v>
      </c>
      <c r="H16" s="14"/>
      <c r="I16" s="14"/>
      <c r="J16" s="14">
        <f t="shared" si="5"/>
        <v>0</v>
      </c>
      <c r="K16" s="323">
        <f t="shared" si="6"/>
        <v>560628</v>
      </c>
      <c r="L16" s="14">
        <v>15885822.512389995</v>
      </c>
      <c r="M16" s="37">
        <f t="shared" si="3"/>
        <v>5560628</v>
      </c>
      <c r="N16" s="14"/>
      <c r="O16" s="540">
        <f>SUM(O4:O15)</f>
        <v>1614571.6605999998</v>
      </c>
      <c r="Q16">
        <v>6086287</v>
      </c>
      <c r="S16">
        <v>6086287</v>
      </c>
    </row>
    <row r="17" spans="1:19">
      <c r="A17" s="23">
        <v>14</v>
      </c>
      <c r="B17" s="24">
        <v>46248</v>
      </c>
      <c r="C17" s="14"/>
      <c r="D17" s="252"/>
      <c r="E17" s="258">
        <v>5400</v>
      </c>
      <c r="F17" s="303">
        <v>103.82</v>
      </c>
      <c r="G17" s="323">
        <f t="shared" si="4"/>
        <v>560628</v>
      </c>
      <c r="H17" s="14">
        <v>75</v>
      </c>
      <c r="I17" s="14">
        <v>115.72</v>
      </c>
      <c r="J17" s="14">
        <f t="shared" si="5"/>
        <v>8679</v>
      </c>
      <c r="K17" s="323">
        <f t="shared" si="6"/>
        <v>569307</v>
      </c>
      <c r="L17" s="14"/>
      <c r="M17" s="37">
        <f t="shared" si="3"/>
        <v>6129935</v>
      </c>
      <c r="N17" s="14"/>
      <c r="O17">
        <v>1410932</v>
      </c>
      <c r="S17">
        <f>SUM(S15:S16)</f>
        <v>11086287</v>
      </c>
    </row>
    <row r="18" spans="1:19">
      <c r="A18" s="23">
        <v>15</v>
      </c>
      <c r="B18" s="24">
        <v>46249</v>
      </c>
      <c r="C18" s="14"/>
      <c r="D18" s="252"/>
      <c r="E18" s="258"/>
      <c r="F18" s="303"/>
      <c r="G18" s="323">
        <f t="shared" si="4"/>
        <v>0</v>
      </c>
      <c r="H18" s="14"/>
      <c r="I18" s="14"/>
      <c r="J18" s="14">
        <f t="shared" si="5"/>
        <v>0</v>
      </c>
      <c r="K18" s="323">
        <f t="shared" si="6"/>
        <v>0</v>
      </c>
      <c r="L18" s="14"/>
      <c r="M18" s="37">
        <f t="shared" si="3"/>
        <v>6129935</v>
      </c>
      <c r="N18" s="14"/>
      <c r="O18">
        <v>600000</v>
      </c>
      <c r="S18">
        <v>1162961.45</v>
      </c>
    </row>
    <row r="19" spans="1:19">
      <c r="A19" s="23">
        <v>16</v>
      </c>
      <c r="B19" s="24">
        <v>46250</v>
      </c>
      <c r="C19" s="14"/>
      <c r="D19" s="252"/>
      <c r="E19" s="258"/>
      <c r="F19" s="303"/>
      <c r="G19" s="323">
        <f t="shared" si="4"/>
        <v>0</v>
      </c>
      <c r="H19" s="14"/>
      <c r="I19" s="14"/>
      <c r="J19" s="14">
        <f t="shared" si="5"/>
        <v>0</v>
      </c>
      <c r="K19" s="323">
        <f t="shared" si="6"/>
        <v>0</v>
      </c>
      <c r="L19" s="14"/>
      <c r="M19" s="37">
        <f t="shared" si="3"/>
        <v>6129935</v>
      </c>
      <c r="N19" s="14"/>
      <c r="O19" s="541">
        <f>SUM(O16:O18)</f>
        <v>3625503.6606000001</v>
      </c>
      <c r="S19">
        <f>S17-S18</f>
        <v>9923325.5500000007</v>
      </c>
    </row>
    <row r="20" spans="1:19">
      <c r="A20" s="23">
        <v>17</v>
      </c>
      <c r="B20" s="24">
        <v>46251</v>
      </c>
      <c r="C20" s="14"/>
      <c r="D20" s="252"/>
      <c r="E20" s="258"/>
      <c r="F20" s="303"/>
      <c r="G20" s="323">
        <f t="shared" si="4"/>
        <v>0</v>
      </c>
      <c r="H20" s="14"/>
      <c r="I20" s="14"/>
      <c r="J20" s="14">
        <f t="shared" si="5"/>
        <v>0</v>
      </c>
      <c r="K20" s="323">
        <f t="shared" si="6"/>
        <v>0</v>
      </c>
      <c r="L20" s="14"/>
      <c r="M20" s="37">
        <f t="shared" ref="M19:M36" si="7">M19+K20-L20</f>
        <v>6129935</v>
      </c>
      <c r="N20" s="14"/>
      <c r="S20">
        <v>32869.06</v>
      </c>
    </row>
    <row r="21" spans="1:19">
      <c r="A21" s="23">
        <v>18</v>
      </c>
      <c r="B21" s="24">
        <v>46252</v>
      </c>
      <c r="C21" s="14"/>
      <c r="D21" s="252"/>
      <c r="E21" s="258"/>
      <c r="F21" s="303"/>
      <c r="G21" s="323">
        <f t="shared" si="4"/>
        <v>0</v>
      </c>
      <c r="H21" s="14"/>
      <c r="I21" s="14"/>
      <c r="J21" s="14">
        <f t="shared" si="5"/>
        <v>0</v>
      </c>
      <c r="K21" s="323">
        <f t="shared" si="6"/>
        <v>0</v>
      </c>
      <c r="L21" s="14"/>
      <c r="M21" s="37">
        <f t="shared" si="7"/>
        <v>6129935</v>
      </c>
      <c r="N21" s="14"/>
      <c r="S21">
        <f>S19+S20</f>
        <v>9956194.6100000013</v>
      </c>
    </row>
    <row r="22" spans="1:19">
      <c r="A22" s="23">
        <v>19</v>
      </c>
      <c r="B22" s="24">
        <v>46253</v>
      </c>
      <c r="C22" s="14"/>
      <c r="D22" s="252"/>
      <c r="E22" s="258"/>
      <c r="F22" s="303"/>
      <c r="G22" s="323">
        <f t="shared" si="4"/>
        <v>0</v>
      </c>
      <c r="H22" s="14"/>
      <c r="I22" s="14"/>
      <c r="J22" s="14">
        <f t="shared" si="5"/>
        <v>0</v>
      </c>
      <c r="K22" s="323">
        <f t="shared" si="6"/>
        <v>0</v>
      </c>
      <c r="L22" s="14"/>
      <c r="M22" s="37">
        <f t="shared" si="7"/>
        <v>6129935</v>
      </c>
      <c r="N22" s="14"/>
    </row>
    <row r="23" spans="1:19">
      <c r="A23" s="23">
        <v>20</v>
      </c>
      <c r="B23" s="24">
        <v>46254</v>
      </c>
      <c r="C23" s="14"/>
      <c r="D23" s="252"/>
      <c r="E23" s="258"/>
      <c r="F23" s="303"/>
      <c r="G23" s="323">
        <f t="shared" si="4"/>
        <v>0</v>
      </c>
      <c r="H23" s="14"/>
      <c r="I23" s="14"/>
      <c r="J23" s="14">
        <f t="shared" si="5"/>
        <v>0</v>
      </c>
      <c r="K23" s="323">
        <f t="shared" si="6"/>
        <v>0</v>
      </c>
      <c r="L23" s="14"/>
      <c r="M23" s="37">
        <f t="shared" si="7"/>
        <v>6129935</v>
      </c>
      <c r="N23" s="14"/>
    </row>
    <row r="24" spans="1:19">
      <c r="A24" s="23">
        <v>21</v>
      </c>
      <c r="B24" s="24">
        <v>46255</v>
      </c>
      <c r="C24" s="14"/>
      <c r="D24" s="252"/>
      <c r="E24" s="258"/>
      <c r="F24" s="303"/>
      <c r="G24" s="323">
        <f t="shared" si="4"/>
        <v>0</v>
      </c>
      <c r="H24" s="14"/>
      <c r="I24" s="14"/>
      <c r="J24" s="14">
        <f t="shared" si="5"/>
        <v>0</v>
      </c>
      <c r="K24" s="323">
        <f t="shared" si="6"/>
        <v>0</v>
      </c>
      <c r="L24" s="14"/>
      <c r="M24" s="37">
        <f t="shared" si="7"/>
        <v>6129935</v>
      </c>
      <c r="N24" s="14"/>
    </row>
    <row r="25" spans="1:19">
      <c r="A25" s="23">
        <v>22</v>
      </c>
      <c r="B25" s="24">
        <v>46256</v>
      </c>
      <c r="C25" s="14"/>
      <c r="D25" s="252"/>
      <c r="E25" s="434"/>
      <c r="F25" s="303"/>
      <c r="G25" s="323">
        <f t="shared" si="4"/>
        <v>0</v>
      </c>
      <c r="H25" s="14"/>
      <c r="I25" s="14"/>
      <c r="J25" s="14">
        <f t="shared" si="5"/>
        <v>0</v>
      </c>
      <c r="K25" s="323">
        <f t="shared" si="6"/>
        <v>0</v>
      </c>
      <c r="L25" s="14"/>
      <c r="M25" s="37">
        <f t="shared" si="7"/>
        <v>6129935</v>
      </c>
      <c r="N25" s="14"/>
    </row>
    <row r="26" spans="1:19">
      <c r="A26" s="23">
        <v>23</v>
      </c>
      <c r="B26" s="24">
        <v>46257</v>
      </c>
      <c r="C26" s="14"/>
      <c r="D26" s="252"/>
      <c r="E26" s="434"/>
      <c r="F26" s="303"/>
      <c r="G26" s="323">
        <f t="shared" si="4"/>
        <v>0</v>
      </c>
      <c r="H26" s="14"/>
      <c r="I26" s="14"/>
      <c r="J26" s="14">
        <f t="shared" si="5"/>
        <v>0</v>
      </c>
      <c r="K26" s="323">
        <f t="shared" si="6"/>
        <v>0</v>
      </c>
      <c r="L26" s="14"/>
      <c r="M26" s="37">
        <f t="shared" si="7"/>
        <v>6129935</v>
      </c>
      <c r="N26" s="14"/>
    </row>
    <row r="27" spans="1:19">
      <c r="A27" s="23">
        <v>24</v>
      </c>
      <c r="B27" s="24">
        <v>46258</v>
      </c>
      <c r="C27" s="14"/>
      <c r="D27" s="252"/>
      <c r="E27" s="258"/>
      <c r="F27" s="303"/>
      <c r="G27" s="323">
        <f t="shared" si="4"/>
        <v>0</v>
      </c>
      <c r="H27" s="14"/>
      <c r="I27" s="14"/>
      <c r="J27" s="14">
        <f t="shared" si="5"/>
        <v>0</v>
      </c>
      <c r="K27" s="323">
        <f t="shared" si="6"/>
        <v>0</v>
      </c>
      <c r="L27" s="14"/>
      <c r="M27" s="37">
        <f t="shared" si="7"/>
        <v>6129935</v>
      </c>
      <c r="N27" s="14"/>
    </row>
    <row r="28" spans="1:19">
      <c r="A28" s="23">
        <v>25</v>
      </c>
      <c r="B28" s="24">
        <v>46259</v>
      </c>
      <c r="C28" s="14"/>
      <c r="D28" s="252"/>
      <c r="E28" s="258"/>
      <c r="F28" s="303"/>
      <c r="G28" s="323">
        <f t="shared" si="4"/>
        <v>0</v>
      </c>
      <c r="H28" s="14"/>
      <c r="I28" s="14"/>
      <c r="J28" s="14">
        <f t="shared" si="5"/>
        <v>0</v>
      </c>
      <c r="K28" s="323">
        <f t="shared" si="6"/>
        <v>0</v>
      </c>
      <c r="L28" s="14"/>
      <c r="M28" s="37">
        <f t="shared" si="7"/>
        <v>6129935</v>
      </c>
      <c r="N28" s="14"/>
    </row>
    <row r="29" spans="1:19">
      <c r="A29" s="23">
        <v>26</v>
      </c>
      <c r="B29" s="24">
        <v>46260</v>
      </c>
      <c r="C29" s="14"/>
      <c r="D29" s="252"/>
      <c r="E29" s="258"/>
      <c r="F29" s="303"/>
      <c r="G29" s="323">
        <f t="shared" si="4"/>
        <v>0</v>
      </c>
      <c r="H29" s="14"/>
      <c r="I29" s="14"/>
      <c r="J29" s="14">
        <f t="shared" si="5"/>
        <v>0</v>
      </c>
      <c r="K29" s="323">
        <f t="shared" si="6"/>
        <v>0</v>
      </c>
      <c r="L29" s="14"/>
      <c r="M29" s="37">
        <f t="shared" si="7"/>
        <v>6129935</v>
      </c>
      <c r="N29" s="14"/>
    </row>
    <row r="30" spans="1:19">
      <c r="A30" s="23">
        <v>27</v>
      </c>
      <c r="B30" s="24">
        <v>46261</v>
      </c>
      <c r="C30" s="14"/>
      <c r="D30" s="252"/>
      <c r="E30" s="258"/>
      <c r="F30" s="303"/>
      <c r="G30" s="323">
        <f t="shared" si="4"/>
        <v>0</v>
      </c>
      <c r="H30" s="14"/>
      <c r="I30" s="14"/>
      <c r="J30" s="14">
        <f t="shared" si="5"/>
        <v>0</v>
      </c>
      <c r="K30" s="323">
        <f t="shared" si="6"/>
        <v>0</v>
      </c>
      <c r="L30" s="14"/>
      <c r="M30" s="37">
        <f t="shared" si="7"/>
        <v>6129935</v>
      </c>
      <c r="N30" s="14"/>
    </row>
    <row r="31" spans="1:19">
      <c r="A31" s="23">
        <v>28</v>
      </c>
      <c r="B31" s="24">
        <v>46262</v>
      </c>
      <c r="C31" s="14"/>
      <c r="D31" s="252"/>
      <c r="E31" s="258"/>
      <c r="F31" s="303"/>
      <c r="G31" s="323">
        <f t="shared" si="4"/>
        <v>0</v>
      </c>
      <c r="H31" s="14"/>
      <c r="I31" s="14"/>
      <c r="J31" s="14">
        <f t="shared" si="5"/>
        <v>0</v>
      </c>
      <c r="K31" s="323">
        <f t="shared" si="6"/>
        <v>0</v>
      </c>
      <c r="L31" s="14">
        <v>6129935</v>
      </c>
      <c r="M31" s="37">
        <f t="shared" si="7"/>
        <v>0</v>
      </c>
      <c r="N31" s="14"/>
    </row>
    <row r="32" spans="1:19">
      <c r="A32" s="23">
        <v>29</v>
      </c>
      <c r="B32" s="24">
        <v>46263</v>
      </c>
      <c r="C32" s="14"/>
      <c r="D32" s="252"/>
      <c r="E32" s="258"/>
      <c r="F32" s="303"/>
      <c r="G32" s="323">
        <f t="shared" si="4"/>
        <v>0</v>
      </c>
      <c r="H32" s="14"/>
      <c r="I32" s="14"/>
      <c r="J32" s="14">
        <f t="shared" si="5"/>
        <v>0</v>
      </c>
      <c r="K32" s="323">
        <f t="shared" si="6"/>
        <v>0</v>
      </c>
      <c r="L32" s="14"/>
      <c r="M32" s="37">
        <f t="shared" si="7"/>
        <v>0</v>
      </c>
      <c r="N32" s="14"/>
    </row>
    <row r="33" spans="1:14">
      <c r="A33" s="23">
        <v>30</v>
      </c>
      <c r="B33" s="24">
        <v>46264</v>
      </c>
      <c r="C33" s="14"/>
      <c r="D33" s="252"/>
      <c r="E33" s="258"/>
      <c r="F33" s="303"/>
      <c r="G33" s="323">
        <f t="shared" si="4"/>
        <v>0</v>
      </c>
      <c r="H33" s="14"/>
      <c r="I33" s="14"/>
      <c r="J33" s="14">
        <f t="shared" si="5"/>
        <v>0</v>
      </c>
      <c r="K33" s="323">
        <f t="shared" si="6"/>
        <v>0</v>
      </c>
      <c r="L33" s="14"/>
      <c r="M33" s="37">
        <f t="shared" si="7"/>
        <v>0</v>
      </c>
      <c r="N33" s="14"/>
    </row>
    <row r="34" spans="1:14">
      <c r="A34" s="23">
        <v>31</v>
      </c>
      <c r="B34" s="24">
        <v>46265</v>
      </c>
      <c r="C34" s="14"/>
      <c r="D34" s="252"/>
      <c r="E34" s="258"/>
      <c r="F34" s="303"/>
      <c r="G34" s="323">
        <f t="shared" si="4"/>
        <v>0</v>
      </c>
      <c r="H34" s="14"/>
      <c r="I34" s="14"/>
      <c r="J34" s="14">
        <f t="shared" si="5"/>
        <v>0</v>
      </c>
      <c r="K34" s="323">
        <f t="shared" si="6"/>
        <v>0</v>
      </c>
      <c r="L34" s="14"/>
      <c r="M34" s="37">
        <f t="shared" si="7"/>
        <v>0</v>
      </c>
      <c r="N34" s="14"/>
    </row>
    <row r="35" spans="1:14">
      <c r="A35" s="23">
        <v>32</v>
      </c>
      <c r="B35" s="24"/>
      <c r="C35" s="14"/>
      <c r="D35" s="252"/>
      <c r="E35" s="258"/>
      <c r="F35" s="303"/>
      <c r="G35" s="323">
        <f t="shared" si="4"/>
        <v>0</v>
      </c>
      <c r="H35" s="14"/>
      <c r="I35" s="14"/>
      <c r="J35" s="14">
        <f t="shared" si="5"/>
        <v>0</v>
      </c>
      <c r="K35" s="323">
        <f t="shared" si="6"/>
        <v>0</v>
      </c>
      <c r="L35" s="14"/>
      <c r="M35" s="37">
        <f t="shared" si="7"/>
        <v>0</v>
      </c>
      <c r="N35" s="14"/>
    </row>
    <row r="36" spans="1:14">
      <c r="A36" s="23">
        <v>33</v>
      </c>
      <c r="B36" s="24"/>
      <c r="C36" s="14"/>
      <c r="D36" s="252"/>
      <c r="E36" s="258"/>
      <c r="F36" s="303"/>
      <c r="G36" s="323">
        <f t="shared" si="4"/>
        <v>0</v>
      </c>
      <c r="H36" s="14"/>
      <c r="I36" s="14"/>
      <c r="J36" s="14">
        <f t="shared" si="5"/>
        <v>0</v>
      </c>
      <c r="K36" s="323">
        <f t="shared" si="6"/>
        <v>0</v>
      </c>
      <c r="L36" s="14"/>
      <c r="M36" s="37">
        <f t="shared" si="7"/>
        <v>0</v>
      </c>
      <c r="N36" s="14"/>
    </row>
    <row r="37" spans="1:14">
      <c r="A37" s="23"/>
      <c r="B37" s="24"/>
      <c r="C37" s="14"/>
      <c r="D37" s="252"/>
      <c r="E37" s="258"/>
      <c r="F37" s="303"/>
      <c r="G37" s="323"/>
      <c r="H37" s="14"/>
      <c r="I37" s="14"/>
      <c r="J37" s="14"/>
      <c r="K37" s="14"/>
      <c r="L37" s="14"/>
      <c r="M37" s="37"/>
      <c r="N37" s="14"/>
    </row>
    <row r="38" spans="1:14">
      <c r="A38" s="39"/>
      <c r="B38" s="39"/>
      <c r="C38" s="39"/>
      <c r="D38" s="39"/>
      <c r="E38" s="40">
        <f>SUM(E4:E36)</f>
        <v>35123.527999999998</v>
      </c>
      <c r="F38" s="40"/>
      <c r="G38" s="40">
        <f>SUM(G4:G36)</f>
        <v>3646524.6769599994</v>
      </c>
      <c r="H38" s="40">
        <f>SUM(H4:H36)</f>
        <v>515</v>
      </c>
      <c r="I38" s="40"/>
      <c r="J38" s="40">
        <f>SUM(J4:J36)</f>
        <v>59595.799999999996</v>
      </c>
      <c r="K38" s="40">
        <f>SUM(K4:K36)</f>
        <v>3706120.4769599997</v>
      </c>
      <c r="L38" s="40">
        <f>SUM(L4:L36)</f>
        <v>22635757.512389995</v>
      </c>
      <c r="M38" s="40"/>
      <c r="N38" s="40"/>
    </row>
    <row r="42" spans="1:14">
      <c r="M42" s="19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workbookViewId="0">
      <selection activeCell="L9" sqref="L9"/>
    </sheetView>
  </sheetViews>
  <sheetFormatPr defaultRowHeight="15"/>
  <cols>
    <col min="2" max="2" width="14.140625" customWidth="1"/>
    <col min="5" max="5" width="10.42578125" bestFit="1" customWidth="1"/>
    <col min="6" max="6" width="8.425781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</cols>
  <sheetData>
    <row r="1" spans="1:16" ht="15.75">
      <c r="A1" s="571" t="s">
        <v>190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6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  <c r="O2" s="305"/>
      <c r="P2" s="19"/>
    </row>
    <row r="3" spans="1:16">
      <c r="A3" s="573" t="s">
        <v>181</v>
      </c>
      <c r="B3" s="574"/>
      <c r="C3" s="574"/>
      <c r="D3" s="574"/>
      <c r="E3" s="574"/>
      <c r="F3" s="574"/>
      <c r="G3" s="574"/>
      <c r="H3" s="574"/>
      <c r="I3" s="574"/>
      <c r="J3" s="574"/>
      <c r="K3">
        <v>1510680</v>
      </c>
      <c r="L3" s="221"/>
      <c r="M3">
        <v>1510680</v>
      </c>
      <c r="N3" s="91"/>
    </row>
    <row r="4" spans="1:16">
      <c r="A4" s="23">
        <v>1</v>
      </c>
      <c r="B4" s="24">
        <v>46235</v>
      </c>
      <c r="C4" s="14"/>
      <c r="D4" s="252"/>
      <c r="E4" s="258"/>
      <c r="F4" s="303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7">
        <f>M3+K4-L4</f>
        <v>1510680</v>
      </c>
      <c r="N4" s="14"/>
      <c r="O4" s="37"/>
    </row>
    <row r="5" spans="1:16">
      <c r="A5" s="23">
        <v>2</v>
      </c>
      <c r="B5" s="24">
        <v>46236</v>
      </c>
      <c r="C5" s="14"/>
      <c r="D5" s="252"/>
      <c r="E5" s="258"/>
      <c r="F5" s="303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7">
        <f>M4+K5-L5</f>
        <v>1510680</v>
      </c>
      <c r="N5" s="14"/>
    </row>
    <row r="6" spans="1:16">
      <c r="A6" s="23">
        <v>3</v>
      </c>
      <c r="B6" s="24">
        <v>46237</v>
      </c>
      <c r="C6" s="14"/>
      <c r="D6" s="252"/>
      <c r="E6" s="258"/>
      <c r="F6" s="303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7">
        <f t="shared" ref="M6:M34" si="3">M5+K6-L6</f>
        <v>1510680</v>
      </c>
      <c r="N6" s="14"/>
    </row>
    <row r="7" spans="1:16">
      <c r="A7" s="23">
        <v>4</v>
      </c>
      <c r="B7" s="24">
        <v>46238</v>
      </c>
      <c r="C7" s="14"/>
      <c r="D7" s="252"/>
      <c r="E7" s="258"/>
      <c r="F7" s="303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1510680</v>
      </c>
      <c r="N7" s="14"/>
    </row>
    <row r="8" spans="1:16">
      <c r="A8" s="23">
        <v>5</v>
      </c>
      <c r="B8" s="24">
        <v>46239</v>
      </c>
      <c r="C8" s="14"/>
      <c r="D8" s="252"/>
      <c r="E8" s="258"/>
      <c r="F8" s="303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>
        <v>1200000</v>
      </c>
      <c r="M8" s="37">
        <f t="shared" si="3"/>
        <v>310680</v>
      </c>
      <c r="N8" s="14"/>
    </row>
    <row r="9" spans="1:16">
      <c r="A9" s="23">
        <v>6</v>
      </c>
      <c r="B9" s="24">
        <v>46240</v>
      </c>
      <c r="C9" s="14"/>
      <c r="D9" s="252"/>
      <c r="E9" s="258"/>
      <c r="F9" s="303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>
        <v>310680</v>
      </c>
      <c r="M9" s="37">
        <f t="shared" si="3"/>
        <v>0</v>
      </c>
      <c r="N9" s="223"/>
    </row>
    <row r="10" spans="1:16">
      <c r="A10" s="23">
        <v>7</v>
      </c>
      <c r="B10" s="24">
        <v>46241</v>
      </c>
      <c r="C10" s="14"/>
      <c r="D10" s="252"/>
      <c r="E10" s="258"/>
      <c r="F10" s="303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0</v>
      </c>
      <c r="N10" s="14"/>
    </row>
    <row r="11" spans="1:16">
      <c r="A11" s="23">
        <v>8</v>
      </c>
      <c r="B11" s="24">
        <v>46242</v>
      </c>
      <c r="C11" s="14"/>
      <c r="D11" s="252"/>
      <c r="E11" s="258"/>
      <c r="F11" s="303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7">
        <f t="shared" si="3"/>
        <v>0</v>
      </c>
      <c r="N11" s="14"/>
    </row>
    <row r="12" spans="1:16">
      <c r="A12" s="23">
        <v>9</v>
      </c>
      <c r="B12" s="24">
        <v>46243</v>
      </c>
      <c r="C12" s="14"/>
      <c r="D12" s="252"/>
      <c r="E12" s="258"/>
      <c r="F12" s="303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0</v>
      </c>
      <c r="N12" s="14"/>
    </row>
    <row r="13" spans="1:16">
      <c r="A13" s="23">
        <v>10</v>
      </c>
      <c r="B13" s="24">
        <v>46244</v>
      </c>
      <c r="C13" s="14"/>
      <c r="D13" s="252"/>
      <c r="E13" s="258"/>
      <c r="F13" s="303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7">
        <f t="shared" si="3"/>
        <v>0</v>
      </c>
      <c r="N13" s="14"/>
    </row>
    <row r="14" spans="1:16">
      <c r="A14" s="23">
        <v>11</v>
      </c>
      <c r="B14" s="24">
        <v>46245</v>
      </c>
      <c r="C14" s="14"/>
      <c r="D14" s="252"/>
      <c r="E14" s="258"/>
      <c r="F14" s="303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0</v>
      </c>
      <c r="N14" s="14"/>
    </row>
    <row r="15" spans="1:16">
      <c r="A15" s="23">
        <v>12</v>
      </c>
      <c r="B15" s="24">
        <v>46246</v>
      </c>
      <c r="C15" s="14"/>
      <c r="D15" s="252"/>
      <c r="E15" s="258"/>
      <c r="F15" s="303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0</v>
      </c>
      <c r="N15" s="14"/>
    </row>
    <row r="16" spans="1:16">
      <c r="A16" s="23">
        <v>13</v>
      </c>
      <c r="B16" s="24">
        <v>46247</v>
      </c>
      <c r="C16" s="14"/>
      <c r="D16" s="252"/>
      <c r="E16" s="258"/>
      <c r="F16" s="303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0</v>
      </c>
      <c r="N16" s="14"/>
    </row>
    <row r="17" spans="1:14">
      <c r="A17" s="23">
        <v>14</v>
      </c>
      <c r="B17" s="24">
        <v>46248</v>
      </c>
      <c r="C17" s="14"/>
      <c r="D17" s="252"/>
      <c r="E17" s="258"/>
      <c r="F17" s="303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0</v>
      </c>
      <c r="N17" s="14"/>
    </row>
    <row r="18" spans="1:14">
      <c r="A18" s="23">
        <v>15</v>
      </c>
      <c r="B18" s="24">
        <v>46249</v>
      </c>
      <c r="C18" s="14"/>
      <c r="D18" s="252"/>
      <c r="E18" s="258"/>
      <c r="F18" s="303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7">
        <f t="shared" si="3"/>
        <v>0</v>
      </c>
      <c r="N18" s="14"/>
    </row>
    <row r="19" spans="1:14">
      <c r="A19" s="23">
        <v>16</v>
      </c>
      <c r="B19" s="24">
        <v>46250</v>
      </c>
      <c r="C19" s="14"/>
      <c r="D19" s="252"/>
      <c r="E19" s="258"/>
      <c r="F19" s="303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0</v>
      </c>
      <c r="N19" s="14"/>
    </row>
    <row r="20" spans="1:14">
      <c r="A20" s="23">
        <v>17</v>
      </c>
      <c r="B20" s="24">
        <v>46251</v>
      </c>
      <c r="C20" s="14"/>
      <c r="D20" s="252"/>
      <c r="E20" s="258"/>
      <c r="F20" s="303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7">
        <f t="shared" si="3"/>
        <v>0</v>
      </c>
      <c r="N20" s="14"/>
    </row>
    <row r="21" spans="1:14">
      <c r="A21" s="23">
        <v>18</v>
      </c>
      <c r="B21" s="24">
        <v>46252</v>
      </c>
      <c r="C21" s="14"/>
      <c r="D21" s="252"/>
      <c r="E21" s="258"/>
      <c r="F21" s="303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0</v>
      </c>
      <c r="N21" s="14"/>
    </row>
    <row r="22" spans="1:14">
      <c r="A22" s="23">
        <v>19</v>
      </c>
      <c r="B22" s="24">
        <v>46253</v>
      </c>
      <c r="C22" s="14"/>
      <c r="D22" s="252"/>
      <c r="E22" s="258"/>
      <c r="F22" s="303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7">
        <f t="shared" si="3"/>
        <v>0</v>
      </c>
      <c r="N22" s="14"/>
    </row>
    <row r="23" spans="1:14">
      <c r="A23" s="23">
        <v>20</v>
      </c>
      <c r="B23" s="24">
        <v>46254</v>
      </c>
      <c r="C23" s="14"/>
      <c r="D23" s="252"/>
      <c r="E23" s="258"/>
      <c r="F23" s="303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7">
        <f t="shared" si="3"/>
        <v>0</v>
      </c>
      <c r="N23" s="14"/>
    </row>
    <row r="24" spans="1:14">
      <c r="A24" s="23">
        <v>21</v>
      </c>
      <c r="B24" s="24">
        <v>46255</v>
      </c>
      <c r="C24" s="14"/>
      <c r="D24" s="252"/>
      <c r="E24" s="258"/>
      <c r="F24" s="303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7">
        <f t="shared" si="3"/>
        <v>0</v>
      </c>
      <c r="N24" s="14"/>
    </row>
    <row r="25" spans="1:14">
      <c r="A25" s="23">
        <v>22</v>
      </c>
      <c r="B25" s="24">
        <v>46256</v>
      </c>
      <c r="C25" s="14"/>
      <c r="D25" s="252"/>
      <c r="E25" s="258"/>
      <c r="F25" s="303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7">
        <f t="shared" si="3"/>
        <v>0</v>
      </c>
      <c r="N25" s="14"/>
    </row>
    <row r="26" spans="1:14">
      <c r="A26" s="23">
        <v>23</v>
      </c>
      <c r="B26" s="24">
        <v>46257</v>
      </c>
      <c r="C26" s="14"/>
      <c r="D26" s="252"/>
      <c r="E26" s="258"/>
      <c r="F26" s="303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7">
        <f t="shared" si="3"/>
        <v>0</v>
      </c>
      <c r="N26" s="14"/>
    </row>
    <row r="27" spans="1:14">
      <c r="A27" s="23">
        <v>24</v>
      </c>
      <c r="B27" s="24">
        <v>46258</v>
      </c>
      <c r="C27" s="14"/>
      <c r="D27" s="252"/>
      <c r="E27" s="258"/>
      <c r="F27" s="303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7">
        <f t="shared" si="3"/>
        <v>0</v>
      </c>
      <c r="N27" s="14"/>
    </row>
    <row r="28" spans="1:14">
      <c r="A28" s="23">
        <v>25</v>
      </c>
      <c r="B28" s="24">
        <v>46259</v>
      </c>
      <c r="C28" s="14"/>
      <c r="D28" s="252"/>
      <c r="E28" s="258"/>
      <c r="F28" s="303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7">
        <f t="shared" si="3"/>
        <v>0</v>
      </c>
      <c r="N28" s="14"/>
    </row>
    <row r="29" spans="1:14">
      <c r="A29" s="23">
        <v>26</v>
      </c>
      <c r="B29" s="24">
        <v>46260</v>
      </c>
      <c r="C29" s="14"/>
      <c r="D29" s="252"/>
      <c r="E29" s="258"/>
      <c r="F29" s="303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7">
        <f t="shared" si="3"/>
        <v>0</v>
      </c>
      <c r="N29" s="14"/>
    </row>
    <row r="30" spans="1:14">
      <c r="A30" s="23">
        <v>27</v>
      </c>
      <c r="B30" s="24">
        <v>46261</v>
      </c>
      <c r="C30" s="14"/>
      <c r="D30" s="252"/>
      <c r="E30" s="258"/>
      <c r="F30" s="303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0</v>
      </c>
      <c r="N30" s="14"/>
    </row>
    <row r="31" spans="1:14">
      <c r="A31" s="23">
        <v>28</v>
      </c>
      <c r="B31" s="24">
        <v>46262</v>
      </c>
      <c r="C31" s="14"/>
      <c r="D31" s="252"/>
      <c r="E31" s="258"/>
      <c r="F31" s="303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7">
        <f t="shared" si="3"/>
        <v>0</v>
      </c>
      <c r="N31" s="14"/>
    </row>
    <row r="32" spans="1:14">
      <c r="A32" s="23">
        <v>29</v>
      </c>
      <c r="B32" s="24">
        <v>46263</v>
      </c>
      <c r="C32" s="14"/>
      <c r="D32" s="252"/>
      <c r="E32" s="258"/>
      <c r="F32" s="303"/>
      <c r="G32" s="14">
        <f t="shared" si="0"/>
        <v>0</v>
      </c>
      <c r="H32" s="14"/>
      <c r="I32" s="14"/>
      <c r="J32" s="14">
        <f t="shared" si="1"/>
        <v>0</v>
      </c>
      <c r="K32" s="14">
        <f t="shared" si="2"/>
        <v>0</v>
      </c>
      <c r="L32" s="14"/>
      <c r="M32" s="37">
        <f t="shared" si="3"/>
        <v>0</v>
      </c>
      <c r="N32" s="14"/>
    </row>
    <row r="33" spans="1:14">
      <c r="A33" s="23">
        <v>30</v>
      </c>
      <c r="B33" s="24">
        <v>46264</v>
      </c>
      <c r="C33" s="14"/>
      <c r="D33" s="252"/>
      <c r="E33" s="258"/>
      <c r="F33" s="303"/>
      <c r="G33" s="14">
        <f t="shared" si="0"/>
        <v>0</v>
      </c>
      <c r="H33" s="14"/>
      <c r="I33" s="14"/>
      <c r="J33" s="14">
        <f t="shared" si="1"/>
        <v>0</v>
      </c>
      <c r="K33" s="14">
        <f t="shared" si="2"/>
        <v>0</v>
      </c>
      <c r="L33" s="14"/>
      <c r="M33" s="37">
        <f t="shared" si="3"/>
        <v>0</v>
      </c>
      <c r="N33" s="14"/>
    </row>
    <row r="34" spans="1:14">
      <c r="A34" s="23">
        <v>31</v>
      </c>
      <c r="B34" s="24"/>
      <c r="C34" s="14"/>
      <c r="D34" s="252"/>
      <c r="E34" s="258"/>
      <c r="F34" s="303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7">
        <f t="shared" si="3"/>
        <v>0</v>
      </c>
      <c r="N34" s="14"/>
    </row>
    <row r="35" spans="1:14">
      <c r="A35" s="39"/>
      <c r="B35" s="39"/>
      <c r="C35" s="39"/>
      <c r="D35" s="39"/>
      <c r="E35" s="40">
        <f>SUM(E4:E34)</f>
        <v>0</v>
      </c>
      <c r="F35" s="40"/>
      <c r="G35" s="40">
        <f>SUM(G4:G34)</f>
        <v>0</v>
      </c>
      <c r="H35" s="40">
        <f>SUM(H4:H34)</f>
        <v>0</v>
      </c>
      <c r="I35" s="40"/>
      <c r="J35" s="40">
        <f>SUM(J4:J34)</f>
        <v>0</v>
      </c>
      <c r="K35" s="40">
        <f>SUM(K4:K34)</f>
        <v>0</v>
      </c>
      <c r="L35" s="40">
        <f>SUM(L4:L34)</f>
        <v>1510680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BCDB-BE45-4288-B54E-A7E8EAEDB94B}">
  <sheetPr>
    <tabColor rgb="FF00B050"/>
  </sheetPr>
  <dimension ref="A1:P39"/>
  <sheetViews>
    <sheetView topLeftCell="A14" workbookViewId="0">
      <selection activeCell="M34" sqref="M34"/>
    </sheetView>
  </sheetViews>
  <sheetFormatPr defaultRowHeight="15"/>
  <cols>
    <col min="2" max="2" width="15.42578125" customWidth="1"/>
    <col min="7" max="7" width="19.28515625" customWidth="1"/>
    <col min="10" max="10" width="8.28515625" bestFit="1" customWidth="1"/>
    <col min="11" max="11" width="21.85546875" customWidth="1"/>
    <col min="12" max="12" width="10.85546875" customWidth="1"/>
    <col min="13" max="13" width="11.42578125" bestFit="1" customWidth="1"/>
  </cols>
  <sheetData>
    <row r="1" spans="1:16" ht="15.75">
      <c r="A1" s="571" t="s">
        <v>73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6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  <c r="O2" s="305"/>
      <c r="P2" s="19"/>
    </row>
    <row r="3" spans="1:16">
      <c r="A3" s="573" t="s">
        <v>181</v>
      </c>
      <c r="B3" s="574"/>
      <c r="C3" s="574"/>
      <c r="D3" s="574"/>
      <c r="E3" s="574"/>
      <c r="F3" s="574"/>
      <c r="G3" s="574"/>
      <c r="H3" s="574"/>
      <c r="I3" s="574"/>
      <c r="J3" s="574"/>
      <c r="K3">
        <v>0</v>
      </c>
      <c r="L3" s="221"/>
      <c r="M3">
        <v>0</v>
      </c>
      <c r="N3" s="91"/>
    </row>
    <row r="4" spans="1:16">
      <c r="A4" s="23">
        <v>1</v>
      </c>
      <c r="B4" s="24">
        <v>46235</v>
      </c>
      <c r="C4" s="14"/>
      <c r="D4" s="252"/>
      <c r="E4" s="258"/>
      <c r="F4" s="303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7">
        <f>M3+K4-L4</f>
        <v>0</v>
      </c>
      <c r="N4" s="14"/>
      <c r="O4" s="37"/>
    </row>
    <row r="5" spans="1:16">
      <c r="A5" s="23">
        <v>2</v>
      </c>
      <c r="B5" s="24">
        <v>46236</v>
      </c>
      <c r="C5" s="14"/>
      <c r="D5" s="252"/>
      <c r="E5" s="258"/>
      <c r="F5" s="303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7">
        <f>M4+K5-L5</f>
        <v>0</v>
      </c>
      <c r="N5" s="14"/>
    </row>
    <row r="6" spans="1:16">
      <c r="A6" s="23">
        <v>3</v>
      </c>
      <c r="B6" s="24">
        <v>46237</v>
      </c>
      <c r="C6" s="14"/>
      <c r="D6" s="252"/>
      <c r="E6" s="258"/>
      <c r="F6" s="303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7">
        <f t="shared" ref="M6:M34" si="3">M5+K6-L6</f>
        <v>0</v>
      </c>
      <c r="N6" s="14"/>
    </row>
    <row r="7" spans="1:16">
      <c r="A7" s="23">
        <v>4</v>
      </c>
      <c r="B7" s="24">
        <v>46238</v>
      </c>
      <c r="C7" s="14"/>
      <c r="D7" s="252"/>
      <c r="E7" s="258"/>
      <c r="F7" s="303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0</v>
      </c>
      <c r="N7" s="14"/>
    </row>
    <row r="8" spans="1:16">
      <c r="A8" s="23">
        <v>5</v>
      </c>
      <c r="B8" s="24">
        <v>46239</v>
      </c>
      <c r="C8" s="14"/>
      <c r="D8" s="252"/>
      <c r="E8" s="258"/>
      <c r="F8" s="303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0</v>
      </c>
      <c r="N8" s="14"/>
    </row>
    <row r="9" spans="1:16">
      <c r="A9" s="23">
        <v>6</v>
      </c>
      <c r="B9" s="24">
        <v>46240</v>
      </c>
      <c r="C9" s="14"/>
      <c r="D9" s="252"/>
      <c r="E9" s="258"/>
      <c r="F9" s="303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7">
        <f t="shared" si="3"/>
        <v>0</v>
      </c>
      <c r="N9" s="223"/>
    </row>
    <row r="10" spans="1:16">
      <c r="A10" s="23">
        <v>7</v>
      </c>
      <c r="B10" s="24">
        <v>46241</v>
      </c>
      <c r="C10" s="14"/>
      <c r="D10" s="252"/>
      <c r="E10" s="258"/>
      <c r="F10" s="303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0</v>
      </c>
      <c r="N10" s="14"/>
    </row>
    <row r="11" spans="1:16">
      <c r="A11" s="23">
        <v>8</v>
      </c>
      <c r="B11" s="24">
        <v>46242</v>
      </c>
      <c r="C11" s="14"/>
      <c r="D11" s="252"/>
      <c r="E11" s="258"/>
      <c r="F11" s="303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7">
        <f t="shared" si="3"/>
        <v>0</v>
      </c>
      <c r="N11" s="14"/>
    </row>
    <row r="12" spans="1:16">
      <c r="A12" s="23">
        <v>9</v>
      </c>
      <c r="B12" s="24">
        <v>46243</v>
      </c>
      <c r="C12" s="14"/>
      <c r="D12" s="252"/>
      <c r="E12" s="258"/>
      <c r="F12" s="303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0</v>
      </c>
      <c r="N12" s="14"/>
    </row>
    <row r="13" spans="1:16">
      <c r="A13" s="23">
        <v>10</v>
      </c>
      <c r="B13" s="24">
        <v>46244</v>
      </c>
      <c r="C13" s="14"/>
      <c r="D13" s="252"/>
      <c r="E13" s="258"/>
      <c r="F13" s="303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7">
        <f t="shared" si="3"/>
        <v>0</v>
      </c>
      <c r="N13" s="14"/>
    </row>
    <row r="14" spans="1:16">
      <c r="A14" s="23">
        <v>11</v>
      </c>
      <c r="B14" s="24">
        <v>46245</v>
      </c>
      <c r="C14" s="14"/>
      <c r="D14" s="252"/>
      <c r="E14" s="258"/>
      <c r="F14" s="303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0</v>
      </c>
      <c r="N14" s="14"/>
    </row>
    <row r="15" spans="1:16">
      <c r="A15" s="23">
        <v>12</v>
      </c>
      <c r="B15" s="24">
        <v>46246</v>
      </c>
      <c r="C15" s="14"/>
      <c r="D15" s="252"/>
      <c r="E15" s="258"/>
      <c r="F15" s="303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0</v>
      </c>
      <c r="N15" s="14"/>
    </row>
    <row r="16" spans="1:16">
      <c r="A16" s="23">
        <v>13</v>
      </c>
      <c r="B16" s="24">
        <v>46247</v>
      </c>
      <c r="C16" s="14"/>
      <c r="D16" s="252"/>
      <c r="E16" s="258"/>
      <c r="F16" s="303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0</v>
      </c>
      <c r="N16" s="14"/>
    </row>
    <row r="17" spans="1:14">
      <c r="A17" s="23">
        <v>14</v>
      </c>
      <c r="B17" s="24">
        <v>46248</v>
      </c>
      <c r="C17" s="14"/>
      <c r="D17" s="252"/>
      <c r="E17" s="258"/>
      <c r="F17" s="303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0</v>
      </c>
      <c r="N17" s="14"/>
    </row>
    <row r="18" spans="1:14">
      <c r="A18" s="23">
        <v>15</v>
      </c>
      <c r="B18" s="24">
        <v>46249</v>
      </c>
      <c r="C18" s="14"/>
      <c r="D18" s="252"/>
      <c r="E18" s="258"/>
      <c r="F18" s="303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7">
        <f t="shared" si="3"/>
        <v>0</v>
      </c>
      <c r="N18" s="14"/>
    </row>
    <row r="19" spans="1:14">
      <c r="A19" s="23">
        <v>16</v>
      </c>
      <c r="B19" s="24">
        <v>46250</v>
      </c>
      <c r="C19" s="14"/>
      <c r="D19" s="252"/>
      <c r="E19" s="258"/>
      <c r="F19" s="303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0</v>
      </c>
      <c r="N19" s="14"/>
    </row>
    <row r="20" spans="1:14">
      <c r="A20" s="23">
        <v>17</v>
      </c>
      <c r="B20" s="24">
        <v>46251</v>
      </c>
      <c r="C20" s="14"/>
      <c r="D20" s="252"/>
      <c r="E20" s="258"/>
      <c r="F20" s="303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7">
        <f t="shared" si="3"/>
        <v>0</v>
      </c>
      <c r="N20" s="14"/>
    </row>
    <row r="21" spans="1:14">
      <c r="A21" s="23">
        <v>18</v>
      </c>
      <c r="B21" s="24">
        <v>46252</v>
      </c>
      <c r="C21" s="14"/>
      <c r="D21" s="252"/>
      <c r="E21" s="258"/>
      <c r="F21" s="303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0</v>
      </c>
      <c r="N21" s="14"/>
    </row>
    <row r="22" spans="1:14">
      <c r="A22" s="23">
        <v>19</v>
      </c>
      <c r="B22" s="24">
        <v>46253</v>
      </c>
      <c r="C22" s="14"/>
      <c r="D22" s="252"/>
      <c r="E22" s="258">
        <v>2700</v>
      </c>
      <c r="F22" s="303">
        <v>103.62</v>
      </c>
      <c r="G22" s="14">
        <f t="shared" si="0"/>
        <v>279774</v>
      </c>
      <c r="H22" s="14"/>
      <c r="I22" s="14"/>
      <c r="J22" s="14">
        <f t="shared" si="1"/>
        <v>0</v>
      </c>
      <c r="K22" s="14">
        <f t="shared" si="2"/>
        <v>279774</v>
      </c>
      <c r="L22" s="14"/>
      <c r="M22" s="37">
        <f t="shared" si="3"/>
        <v>279774</v>
      </c>
      <c r="N22" s="14"/>
    </row>
    <row r="23" spans="1:14">
      <c r="A23" s="23">
        <v>20</v>
      </c>
      <c r="B23" s="24">
        <v>46254</v>
      </c>
      <c r="C23" s="14"/>
      <c r="D23" s="252"/>
      <c r="E23" s="258"/>
      <c r="F23" s="303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7">
        <f t="shared" si="3"/>
        <v>279774</v>
      </c>
      <c r="N23" s="14"/>
    </row>
    <row r="24" spans="1:14">
      <c r="A24" s="23">
        <v>21</v>
      </c>
      <c r="B24" s="24">
        <v>46255</v>
      </c>
      <c r="C24" s="14"/>
      <c r="D24" s="252"/>
      <c r="E24" s="258">
        <v>2700</v>
      </c>
      <c r="F24" s="303">
        <v>103.62</v>
      </c>
      <c r="G24" s="14">
        <f t="shared" si="0"/>
        <v>279774</v>
      </c>
      <c r="H24" s="14"/>
      <c r="I24" s="14"/>
      <c r="J24" s="14">
        <f t="shared" si="1"/>
        <v>0</v>
      </c>
      <c r="K24" s="14">
        <f t="shared" si="2"/>
        <v>279774</v>
      </c>
      <c r="L24" s="14"/>
      <c r="M24" s="37">
        <f t="shared" si="3"/>
        <v>559548</v>
      </c>
      <c r="N24" s="14"/>
    </row>
    <row r="25" spans="1:14">
      <c r="A25" s="23">
        <v>22</v>
      </c>
      <c r="B25" s="24">
        <v>46256</v>
      </c>
      <c r="C25" s="14"/>
      <c r="D25" s="252"/>
      <c r="E25" s="258">
        <v>2700</v>
      </c>
      <c r="F25" s="303">
        <v>103.62</v>
      </c>
      <c r="G25" s="14">
        <f t="shared" si="0"/>
        <v>279774</v>
      </c>
      <c r="H25" s="14">
        <v>35</v>
      </c>
      <c r="I25" s="14">
        <v>115.49</v>
      </c>
      <c r="J25" s="14">
        <f t="shared" si="1"/>
        <v>4042.1499999999996</v>
      </c>
      <c r="K25" s="14">
        <f t="shared" si="2"/>
        <v>283816.15000000002</v>
      </c>
      <c r="L25" s="14"/>
      <c r="M25" s="37">
        <f t="shared" si="3"/>
        <v>843364.15</v>
      </c>
      <c r="N25" s="14"/>
    </row>
    <row r="26" spans="1:14">
      <c r="A26" s="23">
        <v>23</v>
      </c>
      <c r="B26" s="24">
        <v>46257</v>
      </c>
      <c r="C26" s="14"/>
      <c r="D26" s="252"/>
      <c r="E26" s="258"/>
      <c r="F26" s="303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7">
        <f t="shared" si="3"/>
        <v>843364.15</v>
      </c>
      <c r="N26" s="14"/>
    </row>
    <row r="27" spans="1:14">
      <c r="A27" s="23">
        <v>24</v>
      </c>
      <c r="B27" s="24">
        <v>46258</v>
      </c>
      <c r="C27" s="14"/>
      <c r="D27" s="252"/>
      <c r="E27" s="258"/>
      <c r="F27" s="303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7">
        <f t="shared" si="3"/>
        <v>843364.15</v>
      </c>
      <c r="N27" s="14"/>
    </row>
    <row r="28" spans="1:14">
      <c r="A28" s="23">
        <v>25</v>
      </c>
      <c r="B28" s="24">
        <v>46259</v>
      </c>
      <c r="C28" s="14"/>
      <c r="D28" s="252"/>
      <c r="E28" s="258">
        <v>2700</v>
      </c>
      <c r="F28" s="303">
        <v>103.62</v>
      </c>
      <c r="G28" s="14">
        <f t="shared" si="0"/>
        <v>279774</v>
      </c>
      <c r="H28" s="14"/>
      <c r="I28" s="14"/>
      <c r="J28" s="14">
        <f t="shared" si="1"/>
        <v>0</v>
      </c>
      <c r="K28" s="14">
        <f t="shared" si="2"/>
        <v>279774</v>
      </c>
      <c r="L28" s="14"/>
      <c r="M28" s="37">
        <f t="shared" si="3"/>
        <v>1123138.1499999999</v>
      </c>
      <c r="N28" s="14"/>
    </row>
    <row r="29" spans="1:14">
      <c r="A29" s="23">
        <v>26</v>
      </c>
      <c r="B29" s="24">
        <v>46260</v>
      </c>
      <c r="C29" s="14"/>
      <c r="D29" s="252"/>
      <c r="E29" s="258"/>
      <c r="F29" s="303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7">
        <f t="shared" si="3"/>
        <v>1123138.1499999999</v>
      </c>
      <c r="N29" s="14"/>
    </row>
    <row r="30" spans="1:14">
      <c r="A30" s="23">
        <v>27</v>
      </c>
      <c r="B30" s="24">
        <v>46261</v>
      </c>
      <c r="C30" s="14"/>
      <c r="D30" s="252"/>
      <c r="E30" s="258"/>
      <c r="F30" s="303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1123138.1499999999</v>
      </c>
      <c r="N30" s="14"/>
    </row>
    <row r="31" spans="1:14">
      <c r="A31" s="23">
        <v>28</v>
      </c>
      <c r="B31" s="24">
        <v>46262</v>
      </c>
      <c r="C31" s="14"/>
      <c r="D31" s="252"/>
      <c r="E31" s="258">
        <v>2700</v>
      </c>
      <c r="F31" s="303">
        <v>103.62</v>
      </c>
      <c r="G31" s="14">
        <f t="shared" si="0"/>
        <v>279774</v>
      </c>
      <c r="H31" s="14">
        <v>35</v>
      </c>
      <c r="I31" s="14">
        <v>115.49</v>
      </c>
      <c r="J31" s="14">
        <f t="shared" si="1"/>
        <v>4042.1499999999996</v>
      </c>
      <c r="K31" s="14">
        <f t="shared" si="2"/>
        <v>283816.15000000002</v>
      </c>
      <c r="L31" s="14">
        <v>1123138</v>
      </c>
      <c r="M31" s="37">
        <f t="shared" si="3"/>
        <v>283816.29999999981</v>
      </c>
      <c r="N31" s="14"/>
    </row>
    <row r="32" spans="1:14">
      <c r="A32" s="23">
        <v>29</v>
      </c>
      <c r="B32" s="24">
        <v>46263</v>
      </c>
      <c r="C32" s="14"/>
      <c r="D32" s="252"/>
      <c r="E32" s="258">
        <v>2700</v>
      </c>
      <c r="F32" s="303">
        <v>103.62</v>
      </c>
      <c r="G32" s="14">
        <f t="shared" si="0"/>
        <v>279774</v>
      </c>
      <c r="H32" s="14"/>
      <c r="I32" s="14"/>
      <c r="J32" s="14">
        <f t="shared" si="1"/>
        <v>0</v>
      </c>
      <c r="K32" s="14">
        <f t="shared" si="2"/>
        <v>279774</v>
      </c>
      <c r="L32" s="14"/>
      <c r="M32" s="37">
        <f t="shared" si="3"/>
        <v>563590.29999999981</v>
      </c>
      <c r="N32" s="14"/>
    </row>
    <row r="33" spans="1:14">
      <c r="A33" s="23">
        <v>30</v>
      </c>
      <c r="B33" s="24">
        <v>46264</v>
      </c>
      <c r="C33" s="14"/>
      <c r="D33" s="252"/>
      <c r="E33" s="258"/>
      <c r="F33" s="303"/>
      <c r="G33" s="14">
        <f t="shared" si="0"/>
        <v>0</v>
      </c>
      <c r="H33" s="14"/>
      <c r="I33" s="14"/>
      <c r="J33" s="14">
        <f t="shared" si="1"/>
        <v>0</v>
      </c>
      <c r="K33" s="14">
        <f t="shared" si="2"/>
        <v>0</v>
      </c>
      <c r="L33" s="14"/>
      <c r="M33" s="37">
        <f t="shared" si="3"/>
        <v>563590.29999999981</v>
      </c>
      <c r="N33" s="14"/>
    </row>
    <row r="34" spans="1:14">
      <c r="A34" s="23">
        <v>31</v>
      </c>
      <c r="B34" s="24">
        <v>46265</v>
      </c>
      <c r="C34" s="14"/>
      <c r="D34" s="252"/>
      <c r="E34" s="258">
        <v>2700</v>
      </c>
      <c r="F34" s="303">
        <v>103.62</v>
      </c>
      <c r="G34" s="14">
        <f t="shared" si="0"/>
        <v>279774</v>
      </c>
      <c r="H34" s="14"/>
      <c r="I34" s="14"/>
      <c r="J34" s="14">
        <f t="shared" si="1"/>
        <v>0</v>
      </c>
      <c r="K34" s="14">
        <f t="shared" si="2"/>
        <v>279774</v>
      </c>
      <c r="L34" s="14"/>
      <c r="M34" s="37">
        <f t="shared" si="3"/>
        <v>843364.29999999981</v>
      </c>
      <c r="N34" s="14"/>
    </row>
    <row r="35" spans="1:14">
      <c r="A35" s="39"/>
      <c r="B35" s="39"/>
      <c r="C35" s="39"/>
      <c r="D35" s="39"/>
      <c r="E35" s="40">
        <f>SUM(E4:E34)</f>
        <v>18900</v>
      </c>
      <c r="F35" s="40"/>
      <c r="G35" s="40">
        <f>SUM(G4:G34)</f>
        <v>1958418</v>
      </c>
      <c r="H35" s="40">
        <f>SUM(H4:H34)</f>
        <v>70</v>
      </c>
      <c r="I35" s="40"/>
      <c r="J35" s="40">
        <f>SUM(J4:J34)</f>
        <v>8084.2999999999993</v>
      </c>
      <c r="K35" s="40">
        <f>SUM(K4:K34)</f>
        <v>1966502.2999999998</v>
      </c>
      <c r="L35" s="40">
        <f>SUM(L4:L34)</f>
        <v>1123138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E37A-4563-4C33-A700-EDC78F1D03A3}">
  <sheetPr>
    <tabColor rgb="FF00B050"/>
  </sheetPr>
  <dimension ref="A1:P39"/>
  <sheetViews>
    <sheetView topLeftCell="A22" workbookViewId="0">
      <selection activeCell="M34" sqref="M34"/>
    </sheetView>
  </sheetViews>
  <sheetFormatPr defaultColWidth="14.28515625" defaultRowHeight="15"/>
  <sheetData>
    <row r="1" spans="1:16" ht="15.75">
      <c r="A1" s="571" t="s">
        <v>191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6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  <c r="O2" s="305"/>
      <c r="P2" s="19"/>
    </row>
    <row r="3" spans="1:16">
      <c r="A3" s="573" t="s">
        <v>181</v>
      </c>
      <c r="B3" s="574"/>
      <c r="C3" s="574"/>
      <c r="D3" s="574"/>
      <c r="E3" s="574"/>
      <c r="F3" s="574"/>
      <c r="G3" s="574"/>
      <c r="H3" s="574"/>
      <c r="I3" s="574"/>
      <c r="J3" s="574"/>
      <c r="K3">
        <v>0</v>
      </c>
      <c r="L3" s="221"/>
      <c r="M3">
        <v>0</v>
      </c>
      <c r="N3" s="91"/>
    </row>
    <row r="4" spans="1:16">
      <c r="A4" s="23">
        <v>1</v>
      </c>
      <c r="B4" s="24">
        <v>46235</v>
      </c>
      <c r="C4" s="14"/>
      <c r="D4" s="252"/>
      <c r="E4" s="258"/>
      <c r="F4" s="303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7">
        <f>M3+K4-L4</f>
        <v>0</v>
      </c>
      <c r="N4" s="14"/>
      <c r="O4" s="37"/>
    </row>
    <row r="5" spans="1:16">
      <c r="A5" s="23">
        <v>2</v>
      </c>
      <c r="B5" s="24">
        <v>46236</v>
      </c>
      <c r="C5" s="14"/>
      <c r="D5" s="252"/>
      <c r="E5" s="258"/>
      <c r="F5" s="303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7">
        <f>M4+K5-L5</f>
        <v>0</v>
      </c>
      <c r="N5" s="14"/>
    </row>
    <row r="6" spans="1:16">
      <c r="A6" s="23">
        <v>3</v>
      </c>
      <c r="B6" s="24">
        <v>46237</v>
      </c>
      <c r="C6" s="14"/>
      <c r="D6" s="252"/>
      <c r="E6" s="258"/>
      <c r="F6" s="303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7">
        <f t="shared" ref="M6:M34" si="3">M5+K6-L6</f>
        <v>0</v>
      </c>
      <c r="N6" s="14"/>
    </row>
    <row r="7" spans="1:16">
      <c r="A7" s="23">
        <v>4</v>
      </c>
      <c r="B7" s="24">
        <v>46238</v>
      </c>
      <c r="C7" s="14"/>
      <c r="D7" s="252"/>
      <c r="E7" s="258"/>
      <c r="F7" s="303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0</v>
      </c>
      <c r="N7" s="14"/>
    </row>
    <row r="8" spans="1:16">
      <c r="A8" s="23">
        <v>5</v>
      </c>
      <c r="B8" s="24">
        <v>46239</v>
      </c>
      <c r="C8" s="14"/>
      <c r="D8" s="252"/>
      <c r="E8" s="258"/>
      <c r="F8" s="303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0</v>
      </c>
      <c r="N8" s="14"/>
    </row>
    <row r="9" spans="1:16">
      <c r="A9" s="23">
        <v>6</v>
      </c>
      <c r="B9" s="24">
        <v>46240</v>
      </c>
      <c r="C9" s="14"/>
      <c r="D9" s="252"/>
      <c r="E9" s="258"/>
      <c r="F9" s="303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7">
        <f t="shared" si="3"/>
        <v>0</v>
      </c>
      <c r="N9" s="223"/>
    </row>
    <row r="10" spans="1:16">
      <c r="A10" s="23">
        <v>7</v>
      </c>
      <c r="B10" s="24">
        <v>46241</v>
      </c>
      <c r="C10" s="14"/>
      <c r="D10" s="252"/>
      <c r="E10" s="258"/>
      <c r="F10" s="303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0</v>
      </c>
      <c r="N10" s="14"/>
    </row>
    <row r="11" spans="1:16">
      <c r="A11" s="23">
        <v>8</v>
      </c>
      <c r="B11" s="24">
        <v>46242</v>
      </c>
      <c r="C11" s="14"/>
      <c r="D11" s="252"/>
      <c r="E11" s="258"/>
      <c r="F11" s="303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7">
        <f t="shared" si="3"/>
        <v>0</v>
      </c>
      <c r="N11" s="14"/>
    </row>
    <row r="12" spans="1:16">
      <c r="A12" s="23">
        <v>9</v>
      </c>
      <c r="B12" s="24">
        <v>46243</v>
      </c>
      <c r="C12" s="14"/>
      <c r="D12" s="252"/>
      <c r="E12" s="258"/>
      <c r="F12" s="303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0</v>
      </c>
      <c r="N12" s="14"/>
    </row>
    <row r="13" spans="1:16">
      <c r="A13" s="23">
        <v>10</v>
      </c>
      <c r="B13" s="24">
        <v>46244</v>
      </c>
      <c r="C13" s="14"/>
      <c r="D13" s="252"/>
      <c r="E13" s="258"/>
      <c r="F13" s="303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7">
        <f t="shared" si="3"/>
        <v>0</v>
      </c>
      <c r="N13" s="14"/>
    </row>
    <row r="14" spans="1:16">
      <c r="A14" s="23">
        <v>11</v>
      </c>
      <c r="B14" s="24">
        <v>46245</v>
      </c>
      <c r="C14" s="14"/>
      <c r="D14" s="252"/>
      <c r="E14" s="258"/>
      <c r="F14" s="303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0</v>
      </c>
      <c r="N14" s="14"/>
    </row>
    <row r="15" spans="1:16">
      <c r="A15" s="23">
        <v>12</v>
      </c>
      <c r="B15" s="24">
        <v>46246</v>
      </c>
      <c r="C15" s="14"/>
      <c r="D15" s="252"/>
      <c r="E15" s="258"/>
      <c r="F15" s="303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0</v>
      </c>
      <c r="N15" s="14"/>
    </row>
    <row r="16" spans="1:16">
      <c r="A16" s="23">
        <v>13</v>
      </c>
      <c r="B16" s="24">
        <v>46247</v>
      </c>
      <c r="C16" s="14"/>
      <c r="D16" s="252"/>
      <c r="E16" s="258"/>
      <c r="F16" s="303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0</v>
      </c>
      <c r="N16" s="14"/>
    </row>
    <row r="17" spans="1:14">
      <c r="A17" s="23">
        <v>14</v>
      </c>
      <c r="B17" s="24">
        <v>46248</v>
      </c>
      <c r="C17" s="14"/>
      <c r="D17" s="252"/>
      <c r="E17" s="258"/>
      <c r="F17" s="303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0</v>
      </c>
      <c r="N17" s="14"/>
    </row>
    <row r="18" spans="1:14">
      <c r="A18" s="23">
        <v>15</v>
      </c>
      <c r="B18" s="24">
        <v>46249</v>
      </c>
      <c r="C18" s="14"/>
      <c r="D18" s="252"/>
      <c r="E18" s="258"/>
      <c r="F18" s="303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7">
        <f t="shared" si="3"/>
        <v>0</v>
      </c>
      <c r="N18" s="14"/>
    </row>
    <row r="19" spans="1:14">
      <c r="A19" s="23">
        <v>16</v>
      </c>
      <c r="B19" s="24">
        <v>46250</v>
      </c>
      <c r="C19" s="14"/>
      <c r="D19" s="252"/>
      <c r="E19" s="258"/>
      <c r="F19" s="303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0</v>
      </c>
      <c r="N19" s="14"/>
    </row>
    <row r="20" spans="1:14">
      <c r="A20" s="23">
        <v>17</v>
      </c>
      <c r="B20" s="24">
        <v>46251</v>
      </c>
      <c r="C20" s="14"/>
      <c r="D20" s="252"/>
      <c r="E20" s="258"/>
      <c r="F20" s="303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7">
        <f t="shared" si="3"/>
        <v>0</v>
      </c>
      <c r="N20" s="14"/>
    </row>
    <row r="21" spans="1:14">
      <c r="A21" s="23">
        <v>18</v>
      </c>
      <c r="B21" s="24">
        <v>46252</v>
      </c>
      <c r="C21" s="14"/>
      <c r="D21" s="252"/>
      <c r="E21" s="258"/>
      <c r="F21" s="303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0</v>
      </c>
      <c r="N21" s="14"/>
    </row>
    <row r="22" spans="1:14">
      <c r="A22" s="23">
        <v>19</v>
      </c>
      <c r="B22" s="24">
        <v>46253</v>
      </c>
      <c r="C22" s="14"/>
      <c r="D22" s="252"/>
      <c r="E22" s="258"/>
      <c r="F22" s="303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7">
        <f t="shared" si="3"/>
        <v>0</v>
      </c>
      <c r="N22" s="14"/>
    </row>
    <row r="23" spans="1:14">
      <c r="A23" s="23">
        <v>20</v>
      </c>
      <c r="B23" s="24">
        <v>46254</v>
      </c>
      <c r="C23" s="14"/>
      <c r="D23" s="252"/>
      <c r="E23" s="258">
        <v>5260</v>
      </c>
      <c r="F23" s="303">
        <v>103.62</v>
      </c>
      <c r="G23" s="14">
        <f t="shared" si="0"/>
        <v>545041.20000000007</v>
      </c>
      <c r="H23" s="14"/>
      <c r="I23" s="14"/>
      <c r="J23" s="14">
        <f t="shared" si="1"/>
        <v>0</v>
      </c>
      <c r="K23" s="14">
        <f t="shared" si="2"/>
        <v>545041.20000000007</v>
      </c>
      <c r="L23" s="14"/>
      <c r="M23" s="37">
        <f t="shared" si="3"/>
        <v>545041.20000000007</v>
      </c>
      <c r="N23" s="14"/>
    </row>
    <row r="24" spans="1:14">
      <c r="A24" s="23">
        <v>21</v>
      </c>
      <c r="B24" s="24">
        <v>46255</v>
      </c>
      <c r="C24" s="14"/>
      <c r="D24" s="252"/>
      <c r="E24" s="258"/>
      <c r="F24" s="303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7">
        <f t="shared" si="3"/>
        <v>545041.20000000007</v>
      </c>
      <c r="N24" s="14"/>
    </row>
    <row r="25" spans="1:14">
      <c r="A25" s="23">
        <v>22</v>
      </c>
      <c r="B25" s="24">
        <v>46256</v>
      </c>
      <c r="C25" s="14"/>
      <c r="D25" s="252"/>
      <c r="E25" s="258">
        <v>2800</v>
      </c>
      <c r="F25" s="303">
        <v>103.62</v>
      </c>
      <c r="G25" s="14">
        <f t="shared" si="0"/>
        <v>290136</v>
      </c>
      <c r="H25" s="14">
        <v>75</v>
      </c>
      <c r="I25" s="14">
        <v>115.49</v>
      </c>
      <c r="J25" s="14">
        <f t="shared" si="1"/>
        <v>8661.75</v>
      </c>
      <c r="K25" s="14">
        <f t="shared" si="2"/>
        <v>298797.75</v>
      </c>
      <c r="L25" s="14"/>
      <c r="M25" s="37">
        <f t="shared" si="3"/>
        <v>843838.95000000007</v>
      </c>
      <c r="N25" s="14"/>
    </row>
    <row r="26" spans="1:14">
      <c r="A26" s="23">
        <v>23</v>
      </c>
      <c r="B26" s="24">
        <v>46257</v>
      </c>
      <c r="C26" s="14"/>
      <c r="D26" s="252"/>
      <c r="E26" s="258"/>
      <c r="F26" s="303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7">
        <f t="shared" si="3"/>
        <v>843838.95000000007</v>
      </c>
      <c r="N26" s="14"/>
    </row>
    <row r="27" spans="1:14">
      <c r="A27" s="23">
        <v>24</v>
      </c>
      <c r="B27" s="24">
        <v>46258</v>
      </c>
      <c r="C27" s="14"/>
      <c r="D27" s="252"/>
      <c r="E27" s="258"/>
      <c r="F27" s="303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7">
        <f t="shared" si="3"/>
        <v>843838.95000000007</v>
      </c>
      <c r="N27" s="14"/>
    </row>
    <row r="28" spans="1:14">
      <c r="A28" s="23">
        <v>25</v>
      </c>
      <c r="B28" s="24">
        <v>46259</v>
      </c>
      <c r="C28" s="14"/>
      <c r="D28" s="252"/>
      <c r="E28" s="258"/>
      <c r="F28" s="303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7">
        <f t="shared" si="3"/>
        <v>843838.95000000007</v>
      </c>
      <c r="N28" s="14"/>
    </row>
    <row r="29" spans="1:14">
      <c r="A29" s="23">
        <v>26</v>
      </c>
      <c r="B29" s="24">
        <v>46260</v>
      </c>
      <c r="C29" s="14"/>
      <c r="D29" s="252"/>
      <c r="E29" s="258">
        <v>2700</v>
      </c>
      <c r="F29" s="303">
        <v>103.62</v>
      </c>
      <c r="G29" s="14">
        <f t="shared" si="0"/>
        <v>279774</v>
      </c>
      <c r="H29" s="14">
        <v>90</v>
      </c>
      <c r="I29" s="14">
        <v>115.49</v>
      </c>
      <c r="J29" s="14">
        <f t="shared" si="1"/>
        <v>10394.1</v>
      </c>
      <c r="K29" s="14">
        <f t="shared" si="2"/>
        <v>290168.09999999998</v>
      </c>
      <c r="L29" s="14"/>
      <c r="M29" s="37">
        <f t="shared" si="3"/>
        <v>1134007.05</v>
      </c>
      <c r="N29" s="14"/>
    </row>
    <row r="30" spans="1:14">
      <c r="A30" s="23">
        <v>27</v>
      </c>
      <c r="B30" s="24">
        <v>46261</v>
      </c>
      <c r="C30" s="14"/>
      <c r="D30" s="252"/>
      <c r="E30" s="258"/>
      <c r="F30" s="303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1134007.05</v>
      </c>
      <c r="N30" s="14"/>
    </row>
    <row r="31" spans="1:14">
      <c r="A31" s="23">
        <v>28</v>
      </c>
      <c r="B31" s="24">
        <v>46262</v>
      </c>
      <c r="C31" s="14"/>
      <c r="D31" s="252"/>
      <c r="E31" s="258"/>
      <c r="F31" s="303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>
        <v>1134007</v>
      </c>
      <c r="M31" s="37">
        <f t="shared" si="3"/>
        <v>5.0000000046566129E-2</v>
      </c>
      <c r="N31" s="14"/>
    </row>
    <row r="32" spans="1:14">
      <c r="A32" s="23">
        <v>29</v>
      </c>
      <c r="B32" s="24">
        <v>46263</v>
      </c>
      <c r="C32" s="14"/>
      <c r="D32" s="252"/>
      <c r="E32" s="434">
        <v>2800</v>
      </c>
      <c r="F32" s="303">
        <v>103.62</v>
      </c>
      <c r="G32" s="14">
        <f t="shared" si="0"/>
        <v>290136</v>
      </c>
      <c r="H32" s="434">
        <v>40</v>
      </c>
      <c r="I32" s="303">
        <v>115.49</v>
      </c>
      <c r="J32" s="14">
        <f t="shared" si="1"/>
        <v>4619.5999999999995</v>
      </c>
      <c r="K32" s="14">
        <f t="shared" si="2"/>
        <v>294755.59999999998</v>
      </c>
      <c r="L32" s="14"/>
      <c r="M32" s="37">
        <f t="shared" si="3"/>
        <v>294755.65000000002</v>
      </c>
      <c r="N32" s="14"/>
    </row>
    <row r="33" spans="1:14">
      <c r="A33" s="23">
        <v>30</v>
      </c>
      <c r="B33" s="24">
        <v>46264</v>
      </c>
      <c r="C33" s="14"/>
      <c r="D33" s="252"/>
      <c r="E33" s="434">
        <v>2700</v>
      </c>
      <c r="F33" s="303">
        <v>103.62</v>
      </c>
      <c r="G33" s="14">
        <f t="shared" si="0"/>
        <v>279774</v>
      </c>
      <c r="H33" s="434">
        <v>35</v>
      </c>
      <c r="I33" s="303">
        <v>115.49</v>
      </c>
      <c r="J33" s="14">
        <f t="shared" si="1"/>
        <v>4042.1499999999996</v>
      </c>
      <c r="K33" s="14">
        <f t="shared" si="2"/>
        <v>283816.15000000002</v>
      </c>
      <c r="L33" s="14"/>
      <c r="M33" s="37">
        <f t="shared" si="3"/>
        <v>578571.80000000005</v>
      </c>
      <c r="N33" s="14"/>
    </row>
    <row r="34" spans="1:14">
      <c r="A34" s="23">
        <v>31</v>
      </c>
      <c r="B34" s="24"/>
      <c r="C34" s="14"/>
      <c r="D34" s="252"/>
      <c r="E34" s="258"/>
      <c r="F34" s="303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7">
        <f t="shared" si="3"/>
        <v>578571.80000000005</v>
      </c>
      <c r="N34" s="14"/>
    </row>
    <row r="35" spans="1:14">
      <c r="A35" s="39"/>
      <c r="B35" s="39"/>
      <c r="C35" s="39"/>
      <c r="D35" s="39"/>
      <c r="E35" s="40">
        <f>SUM(E4:E34)</f>
        <v>16260</v>
      </c>
      <c r="F35" s="40"/>
      <c r="G35" s="40">
        <f>SUM(G4:G34)</f>
        <v>1684861.2000000002</v>
      </c>
      <c r="H35" s="40">
        <f>SUM(H4:H34)</f>
        <v>240</v>
      </c>
      <c r="I35" s="40"/>
      <c r="J35" s="40">
        <f>SUM(J4:J34)</f>
        <v>27717.599999999999</v>
      </c>
      <c r="K35" s="40">
        <f>SUM(K4:K34)</f>
        <v>1712578.7999999998</v>
      </c>
      <c r="L35" s="40">
        <f>SUM(L4:L34)</f>
        <v>1134007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R46"/>
  <sheetViews>
    <sheetView workbookViewId="0">
      <selection activeCell="D12" sqref="D12"/>
    </sheetView>
  </sheetViews>
  <sheetFormatPr defaultRowHeight="15"/>
  <cols>
    <col min="2" max="2" width="16.140625" customWidth="1"/>
    <col min="3" max="3" width="37" bestFit="1" customWidth="1"/>
    <col min="4" max="4" width="20.7109375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5" ht="15.75">
      <c r="A1" s="571" t="s">
        <v>192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</row>
    <row r="2" spans="1:15" ht="30.75">
      <c r="A2" s="120" t="s">
        <v>0</v>
      </c>
      <c r="B2" s="121" t="s">
        <v>170</v>
      </c>
      <c r="C2" s="121"/>
      <c r="D2" s="121" t="s">
        <v>172</v>
      </c>
      <c r="E2" s="121" t="s">
        <v>173</v>
      </c>
      <c r="F2" s="121" t="s">
        <v>174</v>
      </c>
      <c r="G2" s="121" t="s">
        <v>175</v>
      </c>
      <c r="H2" s="121" t="s">
        <v>176</v>
      </c>
      <c r="I2" s="121" t="s">
        <v>174</v>
      </c>
      <c r="J2" s="122" t="s">
        <v>175</v>
      </c>
      <c r="K2" s="120" t="s">
        <v>177</v>
      </c>
      <c r="L2" s="123" t="s">
        <v>178</v>
      </c>
      <c r="M2" s="123" t="s">
        <v>184</v>
      </c>
      <c r="N2" s="121" t="s">
        <v>180</v>
      </c>
    </row>
    <row r="3" spans="1:15">
      <c r="A3" s="572" t="s">
        <v>181</v>
      </c>
      <c r="B3" s="572"/>
      <c r="C3" s="572"/>
      <c r="D3" s="572"/>
      <c r="E3" s="572"/>
      <c r="F3" s="572"/>
      <c r="G3" s="572"/>
      <c r="H3" s="572"/>
      <c r="I3" s="572"/>
      <c r="J3" s="572"/>
      <c r="K3" s="205">
        <v>0</v>
      </c>
      <c r="L3" s="221"/>
      <c r="M3" s="205">
        <v>0</v>
      </c>
      <c r="N3" s="91"/>
    </row>
    <row r="4" spans="1:15">
      <c r="A4" s="23">
        <v>1</v>
      </c>
      <c r="B4" s="24">
        <v>46236</v>
      </c>
      <c r="C4" s="14" t="s">
        <v>193</v>
      </c>
      <c r="D4" s="14"/>
      <c r="E4" s="323">
        <v>1734.104</v>
      </c>
      <c r="F4" s="14">
        <v>103.8</v>
      </c>
      <c r="G4" s="323">
        <f>E4*F4</f>
        <v>179999.9952</v>
      </c>
      <c r="H4" s="304"/>
      <c r="I4" s="14"/>
      <c r="J4" s="14"/>
      <c r="K4" s="323">
        <f>G4+J4</f>
        <v>179999.9952</v>
      </c>
      <c r="L4" s="323">
        <f>H4+K4</f>
        <v>179999.9952</v>
      </c>
      <c r="M4" s="37">
        <f>M3+K4-L4</f>
        <v>0</v>
      </c>
      <c r="N4" s="14"/>
    </row>
    <row r="5" spans="1:15">
      <c r="A5" s="23">
        <v>2</v>
      </c>
      <c r="B5" s="24">
        <v>46238</v>
      </c>
      <c r="C5" s="14" t="s">
        <v>193</v>
      </c>
      <c r="D5" s="14"/>
      <c r="E5" s="435">
        <v>3853.56</v>
      </c>
      <c r="F5" s="303">
        <v>103.8</v>
      </c>
      <c r="G5" s="323">
        <f>E5*F5</f>
        <v>399999.52799999999</v>
      </c>
      <c r="H5" s="304"/>
      <c r="I5" s="14"/>
      <c r="J5" s="14">
        <f>H5*I5</f>
        <v>0</v>
      </c>
      <c r="K5" s="323">
        <f>G5+J5</f>
        <v>399999.52799999999</v>
      </c>
      <c r="L5" s="323">
        <f>H5+K5</f>
        <v>399999.52799999999</v>
      </c>
      <c r="M5" s="37">
        <f>M4+K5-L5</f>
        <v>0</v>
      </c>
      <c r="N5" s="14"/>
    </row>
    <row r="6" spans="1:15">
      <c r="A6" s="23">
        <v>3</v>
      </c>
      <c r="B6" s="24">
        <v>46242</v>
      </c>
      <c r="C6" s="14" t="s">
        <v>193</v>
      </c>
      <c r="D6" s="14"/>
      <c r="E6" s="14">
        <v>1445.0889999999999</v>
      </c>
      <c r="F6" s="14">
        <v>103.8</v>
      </c>
      <c r="G6" s="14">
        <f>E6*F6</f>
        <v>150000.23819999999</v>
      </c>
      <c r="H6" s="304"/>
      <c r="I6" s="14"/>
      <c r="J6" s="14">
        <f>H6*I6</f>
        <v>0</v>
      </c>
      <c r="K6" s="323">
        <f>G6+J6</f>
        <v>150000.23819999999</v>
      </c>
      <c r="L6" s="323">
        <f t="shared" ref="L6:L22" si="0">H6+K6</f>
        <v>150000.23819999999</v>
      </c>
      <c r="M6" s="37">
        <f>M5+K6-L6</f>
        <v>0</v>
      </c>
      <c r="N6" s="14"/>
    </row>
    <row r="7" spans="1:15">
      <c r="A7" s="23">
        <v>4</v>
      </c>
      <c r="B7" s="24"/>
      <c r="C7" s="14"/>
      <c r="D7" s="14"/>
      <c r="E7" s="14"/>
      <c r="F7" s="14"/>
      <c r="G7" s="14">
        <f>E7*F7</f>
        <v>0</v>
      </c>
      <c r="H7" s="304"/>
      <c r="I7" s="14"/>
      <c r="J7" s="14">
        <f>H7*I7</f>
        <v>0</v>
      </c>
      <c r="K7" s="14">
        <f>G7+J7</f>
        <v>0</v>
      </c>
      <c r="L7" s="14">
        <f t="shared" si="0"/>
        <v>0</v>
      </c>
      <c r="M7" s="37">
        <f>M6+K7-L7</f>
        <v>0</v>
      </c>
      <c r="N7" s="14"/>
    </row>
    <row r="8" spans="1:15">
      <c r="A8" s="23">
        <v>5</v>
      </c>
      <c r="B8" s="24"/>
      <c r="C8" s="14"/>
      <c r="D8" s="14"/>
      <c r="E8" s="14"/>
      <c r="F8" s="14"/>
      <c r="G8" s="37">
        <f>E8*F8</f>
        <v>0</v>
      </c>
      <c r="H8" s="304"/>
      <c r="I8" s="14"/>
      <c r="J8" s="14">
        <f>H8*I8</f>
        <v>0</v>
      </c>
      <c r="K8" s="37">
        <f>G8+J8</f>
        <v>0</v>
      </c>
      <c r="L8" s="14">
        <f t="shared" si="0"/>
        <v>0</v>
      </c>
      <c r="M8" s="37">
        <f>M7+K8-L8</f>
        <v>0</v>
      </c>
      <c r="N8" s="14"/>
    </row>
    <row r="9" spans="1:15">
      <c r="A9" s="23">
        <v>6</v>
      </c>
      <c r="B9" s="24"/>
      <c r="C9" s="14"/>
      <c r="D9" s="14"/>
      <c r="E9" s="14"/>
      <c r="F9" s="14"/>
      <c r="G9" s="37">
        <f>E9*F9</f>
        <v>0</v>
      </c>
      <c r="H9" s="304"/>
      <c r="I9" s="14"/>
      <c r="J9" s="14">
        <f>H9*I9</f>
        <v>0</v>
      </c>
      <c r="K9" s="37">
        <f>G9+J9</f>
        <v>0</v>
      </c>
      <c r="L9" s="14">
        <f t="shared" si="0"/>
        <v>0</v>
      </c>
      <c r="M9" s="37">
        <f>M8+K9-L9</f>
        <v>0</v>
      </c>
      <c r="N9" s="14"/>
    </row>
    <row r="10" spans="1:15">
      <c r="A10" s="23">
        <v>7</v>
      </c>
      <c r="B10" s="24"/>
      <c r="C10" s="14"/>
      <c r="D10" s="14"/>
      <c r="E10" s="14"/>
      <c r="F10" s="14"/>
      <c r="G10" s="37">
        <f>E10*F10</f>
        <v>0</v>
      </c>
      <c r="H10" s="304"/>
      <c r="I10" s="14"/>
      <c r="J10" s="14">
        <f>H10*I10</f>
        <v>0</v>
      </c>
      <c r="K10" s="37">
        <f>G10+J10</f>
        <v>0</v>
      </c>
      <c r="L10" s="14">
        <f t="shared" si="0"/>
        <v>0</v>
      </c>
      <c r="M10" s="37">
        <f>M9+K10-L10</f>
        <v>0</v>
      </c>
      <c r="N10" s="14"/>
    </row>
    <row r="11" spans="1:15">
      <c r="A11" s="23">
        <v>8</v>
      </c>
      <c r="B11" s="24"/>
      <c r="C11" s="14"/>
      <c r="D11" s="14"/>
      <c r="E11" s="14"/>
      <c r="F11" s="14"/>
      <c r="G11" s="37">
        <f>E11*F11</f>
        <v>0</v>
      </c>
      <c r="H11" s="304"/>
      <c r="I11" s="14"/>
      <c r="J11" s="14">
        <f>H11*I11</f>
        <v>0</v>
      </c>
      <c r="K11" s="37">
        <f>G11+J11</f>
        <v>0</v>
      </c>
      <c r="L11" s="14">
        <f t="shared" si="0"/>
        <v>0</v>
      </c>
      <c r="M11" s="37">
        <f>M10+K11-L11</f>
        <v>0</v>
      </c>
      <c r="N11" s="14"/>
    </row>
    <row r="12" spans="1:15">
      <c r="A12" s="23">
        <v>9</v>
      </c>
      <c r="B12" s="24"/>
      <c r="C12" s="14"/>
      <c r="D12" s="14"/>
      <c r="E12" s="14"/>
      <c r="F12" s="14"/>
      <c r="G12" s="37">
        <f>E12*F12</f>
        <v>0</v>
      </c>
      <c r="H12" s="304"/>
      <c r="I12" s="14"/>
      <c r="J12" s="14">
        <f>H12*I12</f>
        <v>0</v>
      </c>
      <c r="K12" s="37">
        <f>G12+J12</f>
        <v>0</v>
      </c>
      <c r="L12" s="14">
        <f t="shared" si="0"/>
        <v>0</v>
      </c>
      <c r="M12" s="37">
        <f>M11+K12-L12</f>
        <v>0</v>
      </c>
      <c r="N12" s="14"/>
    </row>
    <row r="13" spans="1:15">
      <c r="A13" s="23">
        <v>10</v>
      </c>
      <c r="B13" s="24"/>
      <c r="C13" s="14"/>
      <c r="D13" s="14"/>
      <c r="E13" s="14"/>
      <c r="F13" s="14"/>
      <c r="G13" s="37">
        <f>E13*F13</f>
        <v>0</v>
      </c>
      <c r="H13" s="304"/>
      <c r="I13" s="14"/>
      <c r="J13" s="14">
        <f>H13*I13</f>
        <v>0</v>
      </c>
      <c r="K13" s="37">
        <f>G13+J13</f>
        <v>0</v>
      </c>
      <c r="L13" s="14">
        <f t="shared" si="0"/>
        <v>0</v>
      </c>
      <c r="M13" s="37">
        <f>M12+K13-L13</f>
        <v>0</v>
      </c>
      <c r="N13" s="14"/>
    </row>
    <row r="14" spans="1:15">
      <c r="A14" s="23">
        <v>11</v>
      </c>
      <c r="B14" s="24"/>
      <c r="C14" s="14"/>
      <c r="D14" s="14"/>
      <c r="E14" s="14"/>
      <c r="F14" s="14"/>
      <c r="G14" s="37">
        <f>E14*F14</f>
        <v>0</v>
      </c>
      <c r="H14" s="304"/>
      <c r="I14" s="14"/>
      <c r="J14" s="14">
        <f>H14*I14</f>
        <v>0</v>
      </c>
      <c r="K14" s="37">
        <f>G14+J14</f>
        <v>0</v>
      </c>
      <c r="L14" s="14">
        <f t="shared" si="0"/>
        <v>0</v>
      </c>
      <c r="M14" s="37">
        <f>M13+K14-L14</f>
        <v>0</v>
      </c>
      <c r="N14" s="14"/>
    </row>
    <row r="15" spans="1:15">
      <c r="A15" s="23">
        <v>12</v>
      </c>
      <c r="B15" s="24"/>
      <c r="C15" s="14"/>
      <c r="D15" s="14"/>
      <c r="E15" s="14"/>
      <c r="F15" s="14"/>
      <c r="G15" s="37">
        <f>E15*F15</f>
        <v>0</v>
      </c>
      <c r="H15" s="304"/>
      <c r="I15" s="14"/>
      <c r="J15" s="14">
        <f>H15*I15</f>
        <v>0</v>
      </c>
      <c r="K15" s="37">
        <f>G15+J15</f>
        <v>0</v>
      </c>
      <c r="L15" s="14">
        <f t="shared" si="0"/>
        <v>0</v>
      </c>
      <c r="M15" s="37">
        <f>M14+K15-L15</f>
        <v>0</v>
      </c>
      <c r="N15" s="14"/>
      <c r="O15" s="19"/>
    </row>
    <row r="16" spans="1:15">
      <c r="A16" s="23">
        <v>13</v>
      </c>
      <c r="B16" s="24"/>
      <c r="C16" s="14"/>
      <c r="D16" s="14"/>
      <c r="E16" s="14"/>
      <c r="F16" s="14"/>
      <c r="G16" s="37">
        <f>E16*F16</f>
        <v>0</v>
      </c>
      <c r="H16" s="304"/>
      <c r="I16" s="14"/>
      <c r="J16" s="14">
        <f>H16*I16</f>
        <v>0</v>
      </c>
      <c r="K16" s="37">
        <f>G16+J16</f>
        <v>0</v>
      </c>
      <c r="L16" s="14">
        <f t="shared" si="0"/>
        <v>0</v>
      </c>
      <c r="M16" s="37">
        <f>M15+K16-L16</f>
        <v>0</v>
      </c>
      <c r="N16" s="14"/>
    </row>
    <row r="17" spans="1:18">
      <c r="A17" s="23">
        <v>14</v>
      </c>
      <c r="B17" s="24"/>
      <c r="C17" s="14"/>
      <c r="D17" s="14"/>
      <c r="E17" s="14"/>
      <c r="F17" s="14"/>
      <c r="G17" s="37">
        <f>E17*F17</f>
        <v>0</v>
      </c>
      <c r="H17" s="304"/>
      <c r="I17" s="14"/>
      <c r="J17" s="14">
        <f>H17*I17</f>
        <v>0</v>
      </c>
      <c r="K17" s="14">
        <f>G17+J17</f>
        <v>0</v>
      </c>
      <c r="L17" s="14">
        <f t="shared" si="0"/>
        <v>0</v>
      </c>
      <c r="M17" s="37">
        <f>M16+K17-L17</f>
        <v>0</v>
      </c>
      <c r="N17" s="14"/>
      <c r="R17" s="364"/>
    </row>
    <row r="18" spans="1:18">
      <c r="A18" s="23">
        <v>15</v>
      </c>
      <c r="B18" s="24"/>
      <c r="C18" s="14"/>
      <c r="D18" s="14"/>
      <c r="E18" s="14"/>
      <c r="F18" s="14"/>
      <c r="G18" s="37">
        <f>E18*F18</f>
        <v>0</v>
      </c>
      <c r="H18" s="304"/>
      <c r="I18" s="14"/>
      <c r="J18" s="14">
        <f>H18*I18</f>
        <v>0</v>
      </c>
      <c r="K18" s="14">
        <f>G18+J18</f>
        <v>0</v>
      </c>
      <c r="L18" s="14">
        <f t="shared" si="0"/>
        <v>0</v>
      </c>
      <c r="M18" s="37">
        <f>M17+K18-L18</f>
        <v>0</v>
      </c>
      <c r="N18" s="14"/>
      <c r="R18" s="364"/>
    </row>
    <row r="19" spans="1:18">
      <c r="A19" s="23">
        <v>16</v>
      </c>
      <c r="B19" s="24"/>
      <c r="C19" s="14"/>
      <c r="D19" s="14"/>
      <c r="E19" s="14"/>
      <c r="F19" s="14"/>
      <c r="G19" s="37">
        <f>E19*F19</f>
        <v>0</v>
      </c>
      <c r="H19" s="304"/>
      <c r="I19" s="14"/>
      <c r="J19" s="14">
        <f>H19*I19</f>
        <v>0</v>
      </c>
      <c r="K19" s="14">
        <f>G19+J19</f>
        <v>0</v>
      </c>
      <c r="L19" s="14">
        <f t="shared" si="0"/>
        <v>0</v>
      </c>
      <c r="M19" s="37">
        <f>M18+K19-L19</f>
        <v>0</v>
      </c>
      <c r="N19" s="14"/>
      <c r="R19" s="364"/>
    </row>
    <row r="20" spans="1:18">
      <c r="A20" s="23">
        <v>17</v>
      </c>
      <c r="B20" s="24"/>
      <c r="C20" s="14"/>
      <c r="D20" s="14"/>
      <c r="E20" s="14"/>
      <c r="F20" s="14"/>
      <c r="G20" s="37">
        <f>E20*F20</f>
        <v>0</v>
      </c>
      <c r="H20" s="304"/>
      <c r="I20" s="14"/>
      <c r="J20" s="14">
        <f>H20*I20</f>
        <v>0</v>
      </c>
      <c r="K20" s="14">
        <f>G20+J20</f>
        <v>0</v>
      </c>
      <c r="L20" s="14">
        <f t="shared" si="0"/>
        <v>0</v>
      </c>
      <c r="M20" s="37">
        <f>M19+K20-L20</f>
        <v>0</v>
      </c>
      <c r="N20" s="14"/>
      <c r="R20" s="364"/>
    </row>
    <row r="21" spans="1:18">
      <c r="A21" s="23">
        <v>18</v>
      </c>
      <c r="B21" s="24"/>
      <c r="C21" s="14"/>
      <c r="D21" s="14"/>
      <c r="E21" s="14"/>
      <c r="F21" s="14"/>
      <c r="G21" s="37">
        <f>E21*F21</f>
        <v>0</v>
      </c>
      <c r="H21" s="304"/>
      <c r="I21" s="14"/>
      <c r="J21" s="14">
        <f>H21*I21</f>
        <v>0</v>
      </c>
      <c r="K21" s="14">
        <f>G21+J21</f>
        <v>0</v>
      </c>
      <c r="L21" s="14">
        <f t="shared" si="0"/>
        <v>0</v>
      </c>
      <c r="M21" s="37">
        <f>M20+K21-L21</f>
        <v>0</v>
      </c>
      <c r="N21" s="14"/>
    </row>
    <row r="22" spans="1:18">
      <c r="A22" s="23">
        <v>19</v>
      </c>
      <c r="B22" s="24"/>
      <c r="C22" s="14"/>
      <c r="D22" s="14"/>
      <c r="E22" s="14"/>
      <c r="F22" s="14"/>
      <c r="G22" s="323">
        <f>E22*F22</f>
        <v>0</v>
      </c>
      <c r="H22" s="304"/>
      <c r="I22" s="14"/>
      <c r="J22" s="14">
        <f>H22*I22</f>
        <v>0</v>
      </c>
      <c r="K22" s="14">
        <f>G22+J22</f>
        <v>0</v>
      </c>
      <c r="L22" s="14">
        <f t="shared" si="0"/>
        <v>0</v>
      </c>
      <c r="M22" s="37">
        <f>M21+K22-L22</f>
        <v>0</v>
      </c>
      <c r="N22" s="14"/>
    </row>
    <row r="23" spans="1:18">
      <c r="A23" s="23">
        <v>20</v>
      </c>
      <c r="B23" s="24"/>
      <c r="C23" s="14"/>
      <c r="D23" s="14"/>
      <c r="E23" s="14"/>
      <c r="F23" s="14"/>
      <c r="G23" s="323">
        <f>E23*F23</f>
        <v>0</v>
      </c>
      <c r="H23" s="304"/>
      <c r="I23" s="14"/>
      <c r="J23" s="14">
        <f>H23*I23</f>
        <v>0</v>
      </c>
      <c r="K23" s="14">
        <f>G23+J23</f>
        <v>0</v>
      </c>
      <c r="L23" s="14">
        <v>0</v>
      </c>
      <c r="M23" s="37">
        <f>M22+K23-L23</f>
        <v>0</v>
      </c>
      <c r="N23" s="14"/>
    </row>
    <row r="24" spans="1:18">
      <c r="A24" s="23">
        <v>21</v>
      </c>
      <c r="B24" s="24"/>
      <c r="C24" s="14"/>
      <c r="D24" s="14"/>
      <c r="E24" s="14"/>
      <c r="F24" s="14"/>
      <c r="G24" s="323">
        <f>E24*F24</f>
        <v>0</v>
      </c>
      <c r="H24" s="304"/>
      <c r="I24" s="14"/>
      <c r="J24" s="14">
        <f>H24*I24</f>
        <v>0</v>
      </c>
      <c r="K24" s="14">
        <f>G24+J24</f>
        <v>0</v>
      </c>
      <c r="L24" s="323">
        <f>H24+K24</f>
        <v>0</v>
      </c>
      <c r="M24" s="37">
        <f>M23+K24-L24</f>
        <v>0</v>
      </c>
      <c r="N24" s="14"/>
    </row>
    <row r="25" spans="1:18">
      <c r="A25" s="23">
        <v>22</v>
      </c>
      <c r="B25" s="24"/>
      <c r="C25" s="14"/>
      <c r="D25" s="14"/>
      <c r="E25" s="177"/>
      <c r="F25" s="177"/>
      <c r="G25" s="323">
        <f>E25*F25</f>
        <v>0</v>
      </c>
      <c r="H25" s="304"/>
      <c r="I25" s="14"/>
      <c r="J25" s="14">
        <f>H25*I25</f>
        <v>0</v>
      </c>
      <c r="K25" s="14">
        <f>G25+J25</f>
        <v>0</v>
      </c>
      <c r="L25" s="14">
        <f>H25+K25</f>
        <v>0</v>
      </c>
      <c r="M25" s="37">
        <f>M24+K25-L25</f>
        <v>0</v>
      </c>
      <c r="N25" s="14"/>
    </row>
    <row r="26" spans="1:18">
      <c r="A26" s="23">
        <v>23</v>
      </c>
      <c r="B26" s="24"/>
      <c r="C26" s="375"/>
      <c r="D26" s="14"/>
      <c r="E26" s="376"/>
      <c r="F26" s="377"/>
      <c r="G26" s="323">
        <f>E26*F26</f>
        <v>0</v>
      </c>
      <c r="H26" s="304"/>
      <c r="I26" s="14"/>
      <c r="J26" s="14">
        <f>H26*I26</f>
        <v>0</v>
      </c>
      <c r="K26" s="14">
        <f>G26+J26</f>
        <v>0</v>
      </c>
      <c r="L26" s="14">
        <f>H26+K26</f>
        <v>0</v>
      </c>
      <c r="M26" s="37">
        <f>M25+K26-L26</f>
        <v>0</v>
      </c>
      <c r="N26" s="14"/>
    </row>
    <row r="27" spans="1:18">
      <c r="A27" s="23">
        <v>24</v>
      </c>
      <c r="B27" s="24"/>
      <c r="C27" s="375"/>
      <c r="D27" s="14"/>
      <c r="E27" s="376"/>
      <c r="F27" s="377"/>
      <c r="G27" s="323">
        <f>E27*F27</f>
        <v>0</v>
      </c>
      <c r="H27" s="304"/>
      <c r="I27" s="14"/>
      <c r="J27" s="14"/>
      <c r="K27" s="14">
        <f>G27+J27</f>
        <v>0</v>
      </c>
      <c r="L27" s="14">
        <f>H27+K27</f>
        <v>0</v>
      </c>
      <c r="M27" s="37">
        <f>M26+K27-L27</f>
        <v>0</v>
      </c>
      <c r="N27" s="14"/>
    </row>
    <row r="28" spans="1:18">
      <c r="A28" s="23">
        <v>25</v>
      </c>
      <c r="B28" s="24"/>
      <c r="C28" s="375"/>
      <c r="D28" s="14"/>
      <c r="E28" s="376"/>
      <c r="F28" s="377"/>
      <c r="G28" s="323">
        <f>E28*F28</f>
        <v>0</v>
      </c>
      <c r="H28" s="304"/>
      <c r="I28" s="14"/>
      <c r="J28" s="14">
        <f>H28*I28</f>
        <v>0</v>
      </c>
      <c r="K28" s="14">
        <f>G28+J28</f>
        <v>0</v>
      </c>
      <c r="L28" s="14">
        <f>H28+K28</f>
        <v>0</v>
      </c>
      <c r="M28" s="37">
        <f>M26+K28-L28</f>
        <v>0</v>
      </c>
      <c r="N28" s="14"/>
    </row>
    <row r="29" spans="1:18">
      <c r="A29" s="23">
        <v>26</v>
      </c>
      <c r="B29" s="24"/>
      <c r="C29" s="375"/>
      <c r="D29" s="14"/>
      <c r="E29" s="376"/>
      <c r="F29" s="377"/>
      <c r="G29" s="323">
        <f>E29*F29</f>
        <v>0</v>
      </c>
      <c r="H29" s="304"/>
      <c r="I29" s="14"/>
      <c r="J29" s="14">
        <f>H29*I29</f>
        <v>0</v>
      </c>
      <c r="K29" s="14">
        <f>G29+J29</f>
        <v>0</v>
      </c>
      <c r="L29" s="14">
        <f>H29+K29</f>
        <v>0</v>
      </c>
      <c r="M29" s="37">
        <f>M28+K29-L29</f>
        <v>0</v>
      </c>
      <c r="N29" s="14"/>
    </row>
    <row r="30" spans="1:18">
      <c r="A30" s="23">
        <v>27</v>
      </c>
      <c r="B30" s="24"/>
      <c r="C30" s="375"/>
      <c r="D30" s="14"/>
      <c r="E30" s="376"/>
      <c r="F30" s="377"/>
      <c r="G30" s="323">
        <f>E30*F30</f>
        <v>0</v>
      </c>
      <c r="H30" s="304"/>
      <c r="I30" s="14"/>
      <c r="J30" s="14">
        <f>H30*I30</f>
        <v>0</v>
      </c>
      <c r="K30" s="14">
        <f>G30+J30</f>
        <v>0</v>
      </c>
      <c r="L30" s="14">
        <f t="shared" ref="L30:L37" si="1">H30+K30</f>
        <v>0</v>
      </c>
      <c r="M30" s="37">
        <f>M29+K30-L30</f>
        <v>0</v>
      </c>
      <c r="N30" s="14"/>
    </row>
    <row r="31" spans="1:18">
      <c r="A31" s="23">
        <v>28</v>
      </c>
      <c r="B31" s="24"/>
      <c r="C31" s="375"/>
      <c r="D31" s="14"/>
      <c r="E31" s="177"/>
      <c r="F31" s="177"/>
      <c r="G31" s="323">
        <f>E31*F31</f>
        <v>0</v>
      </c>
      <c r="H31" s="304"/>
      <c r="I31" s="14"/>
      <c r="J31" s="14">
        <f>H31*I31</f>
        <v>0</v>
      </c>
      <c r="K31" s="14">
        <f>G31+J31</f>
        <v>0</v>
      </c>
      <c r="L31" s="14">
        <f t="shared" si="1"/>
        <v>0</v>
      </c>
      <c r="M31" s="37">
        <f>M30+K31-L31</f>
        <v>0</v>
      </c>
      <c r="N31" s="14"/>
    </row>
    <row r="32" spans="1:18">
      <c r="A32" s="23">
        <v>29</v>
      </c>
      <c r="B32" s="24"/>
      <c r="C32" s="375"/>
      <c r="D32" s="14"/>
      <c r="E32" s="177"/>
      <c r="F32" s="177"/>
      <c r="G32" s="323">
        <f>E32*F32</f>
        <v>0</v>
      </c>
      <c r="H32" s="304"/>
      <c r="I32" s="14"/>
      <c r="J32" s="14">
        <f>H32*I32</f>
        <v>0</v>
      </c>
      <c r="K32" s="14">
        <f>G32+J32</f>
        <v>0</v>
      </c>
      <c r="L32" s="14">
        <f t="shared" si="1"/>
        <v>0</v>
      </c>
      <c r="M32" s="37">
        <f>M31+K32-L32</f>
        <v>0</v>
      </c>
      <c r="N32" s="14"/>
    </row>
    <row r="33" spans="1:14">
      <c r="A33" s="23">
        <v>30</v>
      </c>
      <c r="B33" s="24"/>
      <c r="C33" s="14"/>
      <c r="D33" s="14"/>
      <c r="E33" s="177"/>
      <c r="F33" s="177"/>
      <c r="G33" s="323">
        <f>E33*F33</f>
        <v>0</v>
      </c>
      <c r="H33" s="304"/>
      <c r="I33" s="14"/>
      <c r="J33" s="14">
        <f>H33*I33</f>
        <v>0</v>
      </c>
      <c r="K33" s="14">
        <f>G33+J33</f>
        <v>0</v>
      </c>
      <c r="L33" s="14">
        <f t="shared" si="1"/>
        <v>0</v>
      </c>
      <c r="M33" s="37">
        <f>M32+K33-L33</f>
        <v>0</v>
      </c>
      <c r="N33" s="14"/>
    </row>
    <row r="34" spans="1:14">
      <c r="A34" s="23">
        <v>31</v>
      </c>
      <c r="B34" s="24"/>
      <c r="C34" s="14"/>
      <c r="D34" s="14"/>
      <c r="E34" s="177"/>
      <c r="F34" s="177"/>
      <c r="G34" s="323">
        <f>E34*F34</f>
        <v>0</v>
      </c>
      <c r="H34" s="304"/>
      <c r="I34" s="14"/>
      <c r="J34" s="14">
        <f>H34*I34</f>
        <v>0</v>
      </c>
      <c r="K34" s="14">
        <f>G34+J34</f>
        <v>0</v>
      </c>
      <c r="L34" s="14">
        <f t="shared" si="1"/>
        <v>0</v>
      </c>
      <c r="M34" s="37">
        <f>M33+K34-L34</f>
        <v>0</v>
      </c>
      <c r="N34" s="14"/>
    </row>
    <row r="35" spans="1:14">
      <c r="A35" s="23">
        <v>32</v>
      </c>
      <c r="B35" s="24"/>
      <c r="C35" s="14"/>
      <c r="D35" s="14"/>
      <c r="E35" s="177"/>
      <c r="F35" s="177"/>
      <c r="G35" s="323">
        <f>E35*F35</f>
        <v>0</v>
      </c>
      <c r="H35" s="304"/>
      <c r="I35" s="14"/>
      <c r="J35" s="14"/>
      <c r="K35" s="14">
        <f>G35+J35</f>
        <v>0</v>
      </c>
      <c r="L35" s="14">
        <f t="shared" si="1"/>
        <v>0</v>
      </c>
      <c r="M35" s="37">
        <f>M34+K35-L35</f>
        <v>0</v>
      </c>
      <c r="N35" s="14"/>
    </row>
    <row r="36" spans="1:14">
      <c r="A36" s="23">
        <v>33</v>
      </c>
      <c r="B36" s="24"/>
      <c r="C36" s="14"/>
      <c r="D36" s="14"/>
      <c r="E36" s="177"/>
      <c r="F36" s="177"/>
      <c r="G36" s="323">
        <f>E36*F36</f>
        <v>0</v>
      </c>
      <c r="H36" s="304"/>
      <c r="I36" s="14"/>
      <c r="J36" s="14">
        <f>H36*I36</f>
        <v>0</v>
      </c>
      <c r="K36" s="14">
        <f>G36+J36</f>
        <v>0</v>
      </c>
      <c r="L36" s="14">
        <f t="shared" si="1"/>
        <v>0</v>
      </c>
      <c r="M36" s="37">
        <f>M35+K36-L36</f>
        <v>0</v>
      </c>
      <c r="N36" s="14"/>
    </row>
    <row r="37" spans="1:14">
      <c r="A37" s="23">
        <v>34</v>
      </c>
      <c r="B37" s="24"/>
      <c r="C37" s="14"/>
      <c r="D37" s="14"/>
      <c r="E37" s="14"/>
      <c r="F37" s="14"/>
      <c r="G37" s="323">
        <f>E37*F37</f>
        <v>0</v>
      </c>
      <c r="H37" s="304"/>
      <c r="I37" s="14"/>
      <c r="J37" s="14">
        <f>H37*I37</f>
        <v>0</v>
      </c>
      <c r="K37" s="14">
        <f>G37+J37</f>
        <v>0</v>
      </c>
      <c r="L37" s="14">
        <f t="shared" si="1"/>
        <v>0</v>
      </c>
      <c r="M37" s="37">
        <f t="shared" ref="M37:M41" si="2">M36+K37-L37</f>
        <v>0</v>
      </c>
      <c r="N37" s="14"/>
    </row>
    <row r="38" spans="1:14">
      <c r="A38" s="23"/>
      <c r="B38" s="24"/>
      <c r="C38" s="14"/>
      <c r="D38" s="14"/>
      <c r="E38" s="14"/>
      <c r="F38" s="14"/>
      <c r="G38" s="323">
        <f t="shared" ref="G38:G40" si="3">E38*F38</f>
        <v>0</v>
      </c>
      <c r="H38" s="304"/>
      <c r="I38" s="14"/>
      <c r="J38" s="14"/>
      <c r="K38" s="14">
        <f t="shared" ref="K38:K40" si="4">G38+J38</f>
        <v>0</v>
      </c>
      <c r="L38" s="14">
        <f t="shared" ref="L37:L40" si="5">H38+K38</f>
        <v>0</v>
      </c>
      <c r="M38" s="37">
        <f t="shared" si="2"/>
        <v>0</v>
      </c>
      <c r="N38" s="14"/>
    </row>
    <row r="39" spans="1:14">
      <c r="A39" s="23"/>
      <c r="B39" s="24"/>
      <c r="C39" s="14"/>
      <c r="D39" s="14"/>
      <c r="E39" s="14"/>
      <c r="F39" s="14"/>
      <c r="G39" s="323">
        <f t="shared" si="3"/>
        <v>0</v>
      </c>
      <c r="H39" s="304"/>
      <c r="I39" s="14"/>
      <c r="J39" s="14"/>
      <c r="K39" s="14">
        <f t="shared" si="4"/>
        <v>0</v>
      </c>
      <c r="L39" s="14">
        <f t="shared" si="5"/>
        <v>0</v>
      </c>
      <c r="M39" s="37">
        <f t="shared" si="2"/>
        <v>0</v>
      </c>
      <c r="N39" s="14"/>
    </row>
    <row r="40" spans="1:14">
      <c r="A40" s="23"/>
      <c r="B40" s="24"/>
      <c r="C40" s="14"/>
      <c r="D40" s="14"/>
      <c r="E40" s="14"/>
      <c r="F40" s="14"/>
      <c r="G40" s="323">
        <f t="shared" si="3"/>
        <v>0</v>
      </c>
      <c r="H40" s="304"/>
      <c r="I40" s="14"/>
      <c r="J40" s="14"/>
      <c r="K40" s="14">
        <f t="shared" si="4"/>
        <v>0</v>
      </c>
      <c r="L40" s="14">
        <f t="shared" si="5"/>
        <v>0</v>
      </c>
      <c r="M40" s="37">
        <f t="shared" si="2"/>
        <v>0</v>
      </c>
      <c r="N40" s="14"/>
    </row>
    <row r="41" spans="1:14">
      <c r="A41" s="23"/>
      <c r="B41" s="24"/>
      <c r="C41" s="14"/>
      <c r="D41" s="14"/>
      <c r="E41" s="14"/>
      <c r="F41" s="14"/>
      <c r="G41" s="323"/>
      <c r="H41" s="304"/>
      <c r="I41" s="14"/>
      <c r="J41" s="14"/>
      <c r="K41" s="14"/>
      <c r="L41" s="14"/>
      <c r="M41" s="37">
        <f t="shared" si="2"/>
        <v>0</v>
      </c>
      <c r="N41" s="14"/>
    </row>
    <row r="42" spans="1:14">
      <c r="A42" s="23"/>
      <c r="B42" s="24"/>
      <c r="C42" s="14"/>
      <c r="D42" s="14"/>
      <c r="E42" s="14"/>
      <c r="F42" s="14"/>
      <c r="G42" s="323"/>
      <c r="H42" s="304"/>
      <c r="I42" s="14"/>
      <c r="J42" s="14"/>
      <c r="K42" s="14"/>
      <c r="L42" s="14"/>
      <c r="M42" s="14"/>
      <c r="N42" s="14"/>
    </row>
    <row r="43" spans="1:14">
      <c r="A43" s="23"/>
      <c r="B43" s="24"/>
      <c r="C43" s="14"/>
      <c r="D43" s="14"/>
      <c r="E43" s="14"/>
      <c r="F43" s="14"/>
      <c r="G43" s="323"/>
      <c r="H43" s="304"/>
      <c r="I43" s="14"/>
      <c r="J43" s="14"/>
      <c r="K43" s="14"/>
      <c r="L43" s="14"/>
      <c r="M43" s="14"/>
      <c r="N43" s="14"/>
    </row>
    <row r="44" spans="1:14">
      <c r="A44" s="23"/>
      <c r="B44" s="24"/>
      <c r="C44" s="14"/>
      <c r="D44" s="14"/>
      <c r="E44" s="14"/>
      <c r="F44" s="14"/>
      <c r="G44" s="323"/>
      <c r="H44" s="304"/>
      <c r="I44" s="14"/>
      <c r="J44" s="14"/>
      <c r="K44" s="14"/>
      <c r="L44" s="14"/>
      <c r="M44" s="14"/>
      <c r="N44" s="14"/>
    </row>
    <row r="45" spans="1:14">
      <c r="A45" s="23">
        <v>35</v>
      </c>
      <c r="B45" s="24"/>
      <c r="C45" s="14"/>
      <c r="D45" s="14"/>
      <c r="E45" s="14"/>
      <c r="F45" s="14"/>
      <c r="G45" s="323">
        <f>E45*F45</f>
        <v>0</v>
      </c>
      <c r="H45" s="304"/>
      <c r="I45" s="14"/>
      <c r="J45" s="14">
        <f>H45*I45</f>
        <v>0</v>
      </c>
      <c r="K45" s="14">
        <f>G45+J45</f>
        <v>0</v>
      </c>
      <c r="L45" s="14"/>
      <c r="M45" s="14"/>
      <c r="N45" s="14"/>
    </row>
    <row r="46" spans="1:14">
      <c r="A46" s="39"/>
      <c r="B46" s="39"/>
      <c r="C46" s="39"/>
      <c r="D46" s="39"/>
      <c r="E46" s="222">
        <f>SUM(E3:E45)</f>
        <v>7032.7529999999997</v>
      </c>
      <c r="F46" s="222"/>
      <c r="G46" s="222">
        <f>SUM(G3:G45)</f>
        <v>729999.76139999996</v>
      </c>
      <c r="H46" s="222">
        <f>SUM(H3:H45)</f>
        <v>0</v>
      </c>
      <c r="I46" s="222"/>
      <c r="J46" s="222">
        <f>SUM(J3:J45)</f>
        <v>0</v>
      </c>
      <c r="K46" s="222">
        <f>SUM(K4:K45)</f>
        <v>729999.76139999996</v>
      </c>
      <c r="L46" s="222">
        <f>SUM(L3:L45)</f>
        <v>729999.76139999996</v>
      </c>
      <c r="M46" s="222"/>
      <c r="N46" s="222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selection activeCell="O8" sqref="O8"/>
    </sheetView>
  </sheetViews>
  <sheetFormatPr defaultRowHeight="15"/>
  <cols>
    <col min="2" max="2" width="10.140625" bestFit="1" customWidth="1"/>
    <col min="7" max="7" width="11.85546875" bestFit="1" customWidth="1"/>
    <col min="10" max="11" width="10.85546875" bestFit="1" customWidth="1"/>
    <col min="12" max="12" width="19.5703125" customWidth="1"/>
    <col min="13" max="13" width="10.7109375" customWidth="1"/>
    <col min="14" max="14" width="22" bestFit="1" customWidth="1"/>
  </cols>
  <sheetData>
    <row r="1" spans="1:14" ht="15.75">
      <c r="A1" s="575" t="s">
        <v>78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</row>
    <row r="2" spans="1:14" ht="27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39" t="s">
        <v>177</v>
      </c>
      <c r="L2" s="139" t="s">
        <v>178</v>
      </c>
      <c r="M2" s="139" t="s">
        <v>179</v>
      </c>
      <c r="N2" s="102" t="s">
        <v>180</v>
      </c>
    </row>
    <row r="3" spans="1:1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 s="127"/>
      <c r="L3" s="225"/>
      <c r="M3" s="306">
        <v>50273.68</v>
      </c>
      <c r="N3" s="226"/>
    </row>
    <row r="4" spans="1:14">
      <c r="A4" s="23">
        <v>1</v>
      </c>
      <c r="B4" s="24">
        <v>46235</v>
      </c>
      <c r="C4" s="103"/>
      <c r="D4" s="32"/>
      <c r="E4" s="33"/>
      <c r="F4" s="33"/>
      <c r="G4" s="33">
        <f>E4*F4</f>
        <v>0</v>
      </c>
      <c r="H4" s="312"/>
      <c r="I4" s="312"/>
      <c r="J4" s="33">
        <f>H4*I4</f>
        <v>0</v>
      </c>
      <c r="K4" s="33">
        <f t="shared" ref="K4:K31" si="0">G4+J4</f>
        <v>0</v>
      </c>
      <c r="L4" s="190">
        <v>0</v>
      </c>
      <c r="M4" s="33">
        <f>M3+K4-L4</f>
        <v>50273.68</v>
      </c>
      <c r="N4" s="227"/>
    </row>
    <row r="5" spans="1:14">
      <c r="A5" s="23">
        <v>2</v>
      </c>
      <c r="B5" s="24">
        <v>46236</v>
      </c>
      <c r="C5" s="103"/>
      <c r="D5" s="32"/>
      <c r="E5" s="33"/>
      <c r="F5" s="33"/>
      <c r="G5" s="33">
        <f>E5*F5</f>
        <v>0</v>
      </c>
      <c r="H5" s="33"/>
      <c r="I5" s="33"/>
      <c r="J5" s="33">
        <f t="shared" ref="J5:J32" si="1">H5*I5</f>
        <v>0</v>
      </c>
      <c r="K5" s="33">
        <f t="shared" si="0"/>
        <v>0</v>
      </c>
      <c r="L5" s="190">
        <v>0</v>
      </c>
      <c r="M5" s="33">
        <f t="shared" ref="M5:M31" si="2">M4+K5-L5</f>
        <v>50273.68</v>
      </c>
      <c r="N5" s="228"/>
    </row>
    <row r="6" spans="1:14">
      <c r="A6" s="23">
        <v>3</v>
      </c>
      <c r="B6" s="24">
        <v>46237</v>
      </c>
      <c r="C6" s="103"/>
      <c r="D6" s="32"/>
      <c r="E6" s="33"/>
      <c r="F6" s="33"/>
      <c r="G6" s="33">
        <f t="shared" ref="G6:G31" si="3">E6*F6</f>
        <v>0</v>
      </c>
      <c r="H6" s="312"/>
      <c r="I6" s="312"/>
      <c r="J6" s="33">
        <f t="shared" si="1"/>
        <v>0</v>
      </c>
      <c r="K6" s="33">
        <f t="shared" si="0"/>
        <v>0</v>
      </c>
      <c r="L6" s="190">
        <v>0</v>
      </c>
      <c r="M6" s="33">
        <f t="shared" si="2"/>
        <v>50273.68</v>
      </c>
      <c r="N6" s="229"/>
    </row>
    <row r="7" spans="1:14">
      <c r="A7" s="23">
        <v>4</v>
      </c>
      <c r="B7" s="24">
        <v>46238</v>
      </c>
      <c r="C7" s="103"/>
      <c r="D7" s="32"/>
      <c r="E7" s="33"/>
      <c r="F7" s="33"/>
      <c r="G7" s="33">
        <f t="shared" si="3"/>
        <v>0</v>
      </c>
      <c r="H7" s="312"/>
      <c r="I7" s="312"/>
      <c r="J7" s="33">
        <f t="shared" si="1"/>
        <v>0</v>
      </c>
      <c r="K7" s="33">
        <f t="shared" si="0"/>
        <v>0</v>
      </c>
      <c r="L7" s="190">
        <v>0</v>
      </c>
      <c r="M7" s="33">
        <f>M6+K7-L7</f>
        <v>50273.68</v>
      </c>
      <c r="N7" s="191"/>
    </row>
    <row r="8" spans="1:14">
      <c r="A8" s="23">
        <v>5</v>
      </c>
      <c r="B8" s="24">
        <v>46239</v>
      </c>
      <c r="C8" s="31"/>
      <c r="D8" s="32"/>
      <c r="E8" s="33"/>
      <c r="F8" s="33"/>
      <c r="G8" s="33">
        <f t="shared" si="3"/>
        <v>0</v>
      </c>
      <c r="H8" s="312"/>
      <c r="I8" s="312"/>
      <c r="J8" s="33">
        <f t="shared" si="1"/>
        <v>0</v>
      </c>
      <c r="K8" s="33">
        <f t="shared" si="0"/>
        <v>0</v>
      </c>
      <c r="L8" s="190">
        <v>0</v>
      </c>
      <c r="M8" s="33">
        <f>M7+K8-L8</f>
        <v>50273.68</v>
      </c>
      <c r="N8" s="191"/>
    </row>
    <row r="9" spans="1:14">
      <c r="A9" s="23">
        <v>6</v>
      </c>
      <c r="B9" s="24">
        <v>46240</v>
      </c>
      <c r="C9" s="31"/>
      <c r="D9" s="32"/>
      <c r="E9" s="33"/>
      <c r="F9" s="33"/>
      <c r="G9" s="33">
        <f t="shared" si="3"/>
        <v>0</v>
      </c>
      <c r="H9" s="312"/>
      <c r="I9" s="312"/>
      <c r="J9" s="33">
        <f t="shared" si="1"/>
        <v>0</v>
      </c>
      <c r="K9" s="33">
        <f t="shared" si="0"/>
        <v>0</v>
      </c>
      <c r="L9" s="190">
        <v>0</v>
      </c>
      <c r="M9" s="33">
        <f t="shared" si="2"/>
        <v>50273.68</v>
      </c>
      <c r="N9" s="191"/>
    </row>
    <row r="10" spans="1:14">
      <c r="A10" s="23">
        <v>7</v>
      </c>
      <c r="B10" s="24">
        <v>46241</v>
      </c>
      <c r="C10" s="31"/>
      <c r="D10" s="32"/>
      <c r="E10" s="33"/>
      <c r="F10" s="33"/>
      <c r="G10" s="33">
        <f t="shared" si="3"/>
        <v>0</v>
      </c>
      <c r="H10" s="312"/>
      <c r="I10" s="312"/>
      <c r="J10" s="33">
        <f t="shared" si="1"/>
        <v>0</v>
      </c>
      <c r="K10" s="33">
        <f t="shared" ref="K10:K15" si="4">G10+J10</f>
        <v>0</v>
      </c>
      <c r="L10" s="190">
        <v>0</v>
      </c>
      <c r="M10" s="33">
        <f t="shared" si="2"/>
        <v>50273.68</v>
      </c>
      <c r="N10" s="191"/>
    </row>
    <row r="11" spans="1:14">
      <c r="A11" s="23">
        <v>8</v>
      </c>
      <c r="B11" s="24">
        <v>46242</v>
      </c>
      <c r="C11" s="31"/>
      <c r="D11" s="32"/>
      <c r="E11" s="33"/>
      <c r="F11" s="33"/>
      <c r="G11" s="33">
        <f t="shared" si="3"/>
        <v>0</v>
      </c>
      <c r="H11" s="312"/>
      <c r="I11" s="312"/>
      <c r="J11" s="33">
        <f t="shared" si="1"/>
        <v>0</v>
      </c>
      <c r="K11" s="33">
        <f t="shared" si="4"/>
        <v>0</v>
      </c>
      <c r="L11" s="190">
        <v>0</v>
      </c>
      <c r="M11" s="33">
        <f t="shared" si="2"/>
        <v>50273.68</v>
      </c>
      <c r="N11" s="191"/>
    </row>
    <row r="12" spans="1:14">
      <c r="A12" s="23">
        <v>9</v>
      </c>
      <c r="B12" s="24">
        <v>46243</v>
      </c>
      <c r="C12" s="31"/>
      <c r="D12" s="32"/>
      <c r="E12" s="33"/>
      <c r="F12" s="33"/>
      <c r="G12" s="33">
        <f t="shared" si="3"/>
        <v>0</v>
      </c>
      <c r="H12" s="312"/>
      <c r="I12" s="312"/>
      <c r="J12" s="33">
        <f t="shared" si="1"/>
        <v>0</v>
      </c>
      <c r="K12" s="33">
        <f t="shared" si="4"/>
        <v>0</v>
      </c>
      <c r="L12" s="190">
        <v>0</v>
      </c>
      <c r="M12" s="33">
        <f t="shared" si="2"/>
        <v>50273.68</v>
      </c>
      <c r="N12" s="191"/>
    </row>
    <row r="13" spans="1:14">
      <c r="A13" s="23">
        <v>10</v>
      </c>
      <c r="B13" s="24">
        <v>46244</v>
      </c>
      <c r="C13" s="31"/>
      <c r="D13" s="32"/>
      <c r="E13" s="33"/>
      <c r="F13" s="33"/>
      <c r="G13" s="33">
        <f t="shared" si="3"/>
        <v>0</v>
      </c>
      <c r="H13" s="312"/>
      <c r="I13" s="312"/>
      <c r="J13" s="33">
        <f t="shared" si="1"/>
        <v>0</v>
      </c>
      <c r="K13" s="33">
        <f t="shared" si="4"/>
        <v>0</v>
      </c>
      <c r="L13" s="190">
        <v>0</v>
      </c>
      <c r="M13" s="33">
        <f>M12+K13-L13</f>
        <v>50273.68</v>
      </c>
      <c r="N13" s="191"/>
    </row>
    <row r="14" spans="1:14">
      <c r="A14" s="23">
        <v>11</v>
      </c>
      <c r="B14" s="24">
        <v>46245</v>
      </c>
      <c r="C14" s="31"/>
      <c r="D14" s="32"/>
      <c r="E14" s="33"/>
      <c r="F14" s="33"/>
      <c r="G14" s="33">
        <f t="shared" si="3"/>
        <v>0</v>
      </c>
      <c r="H14" s="312"/>
      <c r="I14" s="312"/>
      <c r="J14" s="33">
        <f t="shared" si="1"/>
        <v>0</v>
      </c>
      <c r="K14" s="33">
        <f t="shared" si="4"/>
        <v>0</v>
      </c>
      <c r="L14" s="190">
        <v>0</v>
      </c>
      <c r="M14" s="33">
        <f>M13+K14-L14</f>
        <v>50273.68</v>
      </c>
      <c r="N14" s="191"/>
    </row>
    <row r="15" spans="1:14">
      <c r="A15" s="23">
        <v>12</v>
      </c>
      <c r="B15" s="24">
        <v>46246</v>
      </c>
      <c r="C15" s="31"/>
      <c r="D15" s="32"/>
      <c r="E15" s="33"/>
      <c r="F15" s="33"/>
      <c r="G15" s="33">
        <f t="shared" si="3"/>
        <v>0</v>
      </c>
      <c r="H15" s="312"/>
      <c r="I15" s="312"/>
      <c r="J15" s="33">
        <f t="shared" si="1"/>
        <v>0</v>
      </c>
      <c r="K15" s="33">
        <f>G15+J15</f>
        <v>0</v>
      </c>
      <c r="L15" s="190">
        <v>0</v>
      </c>
      <c r="M15" s="33">
        <f t="shared" si="2"/>
        <v>50273.68</v>
      </c>
      <c r="N15" s="191"/>
    </row>
    <row r="16" spans="1:14">
      <c r="A16" s="23">
        <v>13</v>
      </c>
      <c r="B16" s="24">
        <v>46247</v>
      </c>
      <c r="C16" s="31"/>
      <c r="D16" s="32"/>
      <c r="E16" s="33"/>
      <c r="F16" s="33"/>
      <c r="G16" s="33">
        <f t="shared" si="3"/>
        <v>0</v>
      </c>
      <c r="H16" s="312"/>
      <c r="I16" s="312"/>
      <c r="J16" s="33">
        <f t="shared" si="1"/>
        <v>0</v>
      </c>
      <c r="K16" s="33">
        <f t="shared" si="0"/>
        <v>0</v>
      </c>
      <c r="L16" s="190">
        <v>0</v>
      </c>
      <c r="M16" s="33">
        <f t="shared" si="2"/>
        <v>50273.68</v>
      </c>
      <c r="N16" s="191"/>
    </row>
    <row r="17" spans="1:14">
      <c r="A17" s="23">
        <v>14</v>
      </c>
      <c r="B17" s="24">
        <v>46248</v>
      </c>
      <c r="C17" s="31"/>
      <c r="D17" s="32"/>
      <c r="E17" s="33"/>
      <c r="F17" s="33"/>
      <c r="G17" s="33">
        <f t="shared" si="3"/>
        <v>0</v>
      </c>
      <c r="H17" s="312">
        <v>20</v>
      </c>
      <c r="I17" s="312">
        <v>116.33</v>
      </c>
      <c r="J17" s="33">
        <f t="shared" si="1"/>
        <v>2326.6</v>
      </c>
      <c r="K17" s="33">
        <f t="shared" si="0"/>
        <v>2326.6</v>
      </c>
      <c r="L17" s="190">
        <v>50000</v>
      </c>
      <c r="M17" s="33">
        <f t="shared" si="2"/>
        <v>2600.2799999999988</v>
      </c>
      <c r="N17" s="191"/>
    </row>
    <row r="18" spans="1:14">
      <c r="A18" s="23">
        <v>15</v>
      </c>
      <c r="B18" s="24">
        <v>46249</v>
      </c>
      <c r="C18" s="161"/>
      <c r="D18" s="32"/>
      <c r="E18" s="33"/>
      <c r="F18" s="33"/>
      <c r="G18" s="33">
        <f t="shared" si="3"/>
        <v>0</v>
      </c>
      <c r="H18" s="312"/>
      <c r="I18" s="312"/>
      <c r="J18" s="33">
        <f t="shared" si="1"/>
        <v>0</v>
      </c>
      <c r="K18" s="33">
        <f t="shared" si="0"/>
        <v>0</v>
      </c>
      <c r="L18" s="190">
        <v>0</v>
      </c>
      <c r="M18" s="33">
        <f t="shared" si="2"/>
        <v>2600.2799999999988</v>
      </c>
      <c r="N18" s="191"/>
    </row>
    <row r="19" spans="1:14">
      <c r="A19" s="23">
        <v>16</v>
      </c>
      <c r="B19" s="24">
        <v>46250</v>
      </c>
      <c r="C19" s="103"/>
      <c r="D19" s="32"/>
      <c r="E19" s="33"/>
      <c r="F19" s="33"/>
      <c r="G19" s="33">
        <v>0</v>
      </c>
      <c r="H19" s="312"/>
      <c r="I19" s="312"/>
      <c r="J19" s="33">
        <v>0</v>
      </c>
      <c r="K19" s="33">
        <v>0</v>
      </c>
      <c r="L19" s="190">
        <v>0</v>
      </c>
      <c r="M19" s="33">
        <f t="shared" si="2"/>
        <v>2600.2799999999988</v>
      </c>
      <c r="N19" s="191"/>
    </row>
    <row r="20" spans="1:14" ht="15" customHeight="1">
      <c r="A20" s="23">
        <v>17</v>
      </c>
      <c r="B20" s="24">
        <v>46251</v>
      </c>
      <c r="C20" s="173"/>
      <c r="D20" s="32"/>
      <c r="E20" s="33"/>
      <c r="F20" s="33"/>
      <c r="G20" s="33">
        <f t="shared" si="3"/>
        <v>0</v>
      </c>
      <c r="H20" s="312"/>
      <c r="I20" s="312"/>
      <c r="J20" s="33">
        <f t="shared" si="1"/>
        <v>0</v>
      </c>
      <c r="K20" s="33">
        <f t="shared" si="0"/>
        <v>0</v>
      </c>
      <c r="L20" s="190">
        <v>0</v>
      </c>
      <c r="M20" s="33">
        <f t="shared" si="2"/>
        <v>2600.2799999999988</v>
      </c>
      <c r="N20" s="191"/>
    </row>
    <row r="21" spans="1:14">
      <c r="A21" s="23">
        <v>18</v>
      </c>
      <c r="B21" s="24">
        <v>46252</v>
      </c>
      <c r="C21" s="173"/>
      <c r="D21" s="32"/>
      <c r="E21" s="249"/>
      <c r="F21" s="249"/>
      <c r="G21" s="8">
        <f t="shared" si="3"/>
        <v>0</v>
      </c>
      <c r="H21" s="62"/>
      <c r="I21" s="63"/>
      <c r="J21" s="8">
        <f t="shared" si="1"/>
        <v>0</v>
      </c>
      <c r="K21" s="8">
        <f t="shared" si="0"/>
        <v>0</v>
      </c>
      <c r="L21" s="190">
        <v>0</v>
      </c>
      <c r="M21" s="33">
        <f t="shared" si="2"/>
        <v>2600.2799999999988</v>
      </c>
      <c r="N21" s="191"/>
    </row>
    <row r="22" spans="1:14">
      <c r="A22" s="23">
        <v>19</v>
      </c>
      <c r="B22" s="24">
        <v>46253</v>
      </c>
      <c r="C22" s="103"/>
      <c r="D22" s="32"/>
      <c r="E22" s="249"/>
      <c r="F22" s="249"/>
      <c r="G22" s="8">
        <f t="shared" si="3"/>
        <v>0</v>
      </c>
      <c r="H22" s="62"/>
      <c r="I22" s="63"/>
      <c r="J22" s="8">
        <f t="shared" si="1"/>
        <v>0</v>
      </c>
      <c r="K22" s="8">
        <f t="shared" si="0"/>
        <v>0</v>
      </c>
      <c r="L22" s="190">
        <v>0</v>
      </c>
      <c r="M22" s="33">
        <f t="shared" si="2"/>
        <v>2600.2799999999988</v>
      </c>
      <c r="N22" s="191"/>
    </row>
    <row r="23" spans="1:14">
      <c r="A23" s="23">
        <v>20</v>
      </c>
      <c r="B23" s="24">
        <v>46254</v>
      </c>
      <c r="C23" s="103"/>
      <c r="D23" s="32"/>
      <c r="E23" s="249"/>
      <c r="F23" s="249"/>
      <c r="G23" s="8">
        <f t="shared" si="3"/>
        <v>0</v>
      </c>
      <c r="H23" s="62"/>
      <c r="I23" s="63"/>
      <c r="J23" s="8">
        <f t="shared" si="1"/>
        <v>0</v>
      </c>
      <c r="K23" s="8">
        <f t="shared" si="0"/>
        <v>0</v>
      </c>
      <c r="L23" s="190">
        <v>0</v>
      </c>
      <c r="M23" s="33">
        <f t="shared" si="2"/>
        <v>2600.2799999999988</v>
      </c>
      <c r="N23" s="191"/>
    </row>
    <row r="24" spans="1:14">
      <c r="A24" s="23">
        <v>21</v>
      </c>
      <c r="B24" s="24">
        <v>46255</v>
      </c>
      <c r="C24" s="103"/>
      <c r="D24" s="32"/>
      <c r="E24" s="249"/>
      <c r="F24" s="249"/>
      <c r="G24" s="8">
        <f t="shared" si="3"/>
        <v>0</v>
      </c>
      <c r="H24" s="62"/>
      <c r="I24" s="63"/>
      <c r="J24" s="8">
        <f t="shared" si="1"/>
        <v>0</v>
      </c>
      <c r="K24" s="8">
        <f t="shared" si="0"/>
        <v>0</v>
      </c>
      <c r="L24" s="190">
        <v>0</v>
      </c>
      <c r="M24" s="33">
        <f t="shared" si="2"/>
        <v>2600.2799999999988</v>
      </c>
      <c r="N24" s="191"/>
    </row>
    <row r="25" spans="1:14">
      <c r="A25" s="23">
        <v>22</v>
      </c>
      <c r="B25" s="24">
        <v>46256</v>
      </c>
      <c r="C25" s="103"/>
      <c r="D25" s="32"/>
      <c r="E25" s="249"/>
      <c r="F25" s="249"/>
      <c r="G25" s="8">
        <f t="shared" si="3"/>
        <v>0</v>
      </c>
      <c r="H25" s="62"/>
      <c r="I25" s="63"/>
      <c r="J25" s="8">
        <f t="shared" si="1"/>
        <v>0</v>
      </c>
      <c r="K25" s="8">
        <f t="shared" si="0"/>
        <v>0</v>
      </c>
      <c r="L25" s="190">
        <v>0</v>
      </c>
      <c r="M25" s="33">
        <f t="shared" si="2"/>
        <v>2600.2799999999988</v>
      </c>
      <c r="N25" s="191"/>
    </row>
    <row r="26" spans="1:14">
      <c r="A26" s="23">
        <v>23</v>
      </c>
      <c r="B26" s="24">
        <v>46257</v>
      </c>
      <c r="C26" s="103"/>
      <c r="D26" s="32"/>
      <c r="E26" s="249"/>
      <c r="F26" s="249"/>
      <c r="G26" s="8">
        <f t="shared" si="3"/>
        <v>0</v>
      </c>
      <c r="H26" s="62"/>
      <c r="I26" s="63"/>
      <c r="J26" s="8">
        <f t="shared" si="1"/>
        <v>0</v>
      </c>
      <c r="K26" s="8">
        <f t="shared" si="0"/>
        <v>0</v>
      </c>
      <c r="L26" s="190">
        <v>0</v>
      </c>
      <c r="M26" s="33">
        <f t="shared" si="2"/>
        <v>2600.2799999999988</v>
      </c>
      <c r="N26" s="191"/>
    </row>
    <row r="27" spans="1:14">
      <c r="A27" s="23">
        <v>24</v>
      </c>
      <c r="B27" s="24">
        <v>46258</v>
      </c>
      <c r="C27" s="103"/>
      <c r="D27" s="32"/>
      <c r="E27" s="249"/>
      <c r="F27" s="249"/>
      <c r="G27" s="8">
        <f t="shared" si="3"/>
        <v>0</v>
      </c>
      <c r="H27" s="62"/>
      <c r="I27" s="63"/>
      <c r="J27" s="8">
        <f t="shared" si="1"/>
        <v>0</v>
      </c>
      <c r="K27" s="8">
        <f t="shared" si="0"/>
        <v>0</v>
      </c>
      <c r="L27" s="190">
        <v>0</v>
      </c>
      <c r="M27" s="33">
        <f t="shared" si="2"/>
        <v>2600.2799999999988</v>
      </c>
      <c r="N27" s="191"/>
    </row>
    <row r="28" spans="1:14">
      <c r="A28" s="23">
        <v>25</v>
      </c>
      <c r="B28" s="24">
        <v>46259</v>
      </c>
      <c r="C28" s="103"/>
      <c r="D28" s="32"/>
      <c r="E28" s="33"/>
      <c r="F28" s="33"/>
      <c r="G28" s="33">
        <f t="shared" si="3"/>
        <v>0</v>
      </c>
      <c r="H28" s="312"/>
      <c r="I28" s="33"/>
      <c r="J28" s="8">
        <f t="shared" si="1"/>
        <v>0</v>
      </c>
      <c r="K28" s="33">
        <f t="shared" si="0"/>
        <v>0</v>
      </c>
      <c r="L28" s="190">
        <v>0</v>
      </c>
      <c r="M28" s="33">
        <f t="shared" si="2"/>
        <v>2600.2799999999988</v>
      </c>
      <c r="N28" s="191"/>
    </row>
    <row r="29" spans="1:14">
      <c r="A29" s="23">
        <v>26</v>
      </c>
      <c r="B29" s="24">
        <v>46260</v>
      </c>
      <c r="C29" s="103"/>
      <c r="D29" s="32"/>
      <c r="E29" s="33"/>
      <c r="F29" s="33"/>
      <c r="G29" s="33">
        <f t="shared" si="3"/>
        <v>0</v>
      </c>
      <c r="H29" s="312"/>
      <c r="I29" s="312"/>
      <c r="J29" s="33">
        <f t="shared" si="1"/>
        <v>0</v>
      </c>
      <c r="K29" s="33">
        <f t="shared" si="0"/>
        <v>0</v>
      </c>
      <c r="L29" s="190">
        <v>0</v>
      </c>
      <c r="M29" s="33">
        <f t="shared" si="2"/>
        <v>2600.2799999999988</v>
      </c>
      <c r="N29" s="191"/>
    </row>
    <row r="30" spans="1:14">
      <c r="A30" s="23">
        <v>27</v>
      </c>
      <c r="B30" s="24">
        <v>46261</v>
      </c>
      <c r="C30" s="103"/>
      <c r="D30" s="32"/>
      <c r="E30" s="33"/>
      <c r="F30" s="33"/>
      <c r="G30" s="33">
        <f t="shared" si="3"/>
        <v>0</v>
      </c>
      <c r="H30" s="312"/>
      <c r="I30" s="312"/>
      <c r="J30" s="33">
        <f t="shared" si="1"/>
        <v>0</v>
      </c>
      <c r="K30" s="33">
        <f t="shared" si="0"/>
        <v>0</v>
      </c>
      <c r="L30" s="190">
        <v>0</v>
      </c>
      <c r="M30" s="33">
        <f>M29+K30-L30</f>
        <v>2600.2799999999988</v>
      </c>
      <c r="N30" s="191"/>
    </row>
    <row r="31" spans="1:14">
      <c r="A31" s="23">
        <v>28</v>
      </c>
      <c r="B31" s="24">
        <v>46262</v>
      </c>
      <c r="C31" s="103"/>
      <c r="D31" s="32"/>
      <c r="E31" s="33"/>
      <c r="F31" s="33"/>
      <c r="G31" s="33">
        <f t="shared" si="3"/>
        <v>0</v>
      </c>
      <c r="H31" s="312"/>
      <c r="I31" s="312"/>
      <c r="J31" s="33">
        <f t="shared" si="1"/>
        <v>0</v>
      </c>
      <c r="K31" s="33">
        <f t="shared" si="0"/>
        <v>0</v>
      </c>
      <c r="L31" s="190">
        <v>0</v>
      </c>
      <c r="M31" s="33">
        <f t="shared" si="2"/>
        <v>2600.2799999999988</v>
      </c>
      <c r="N31" s="191"/>
    </row>
    <row r="32" spans="1:14">
      <c r="A32" s="23">
        <v>29</v>
      </c>
      <c r="B32" s="24">
        <v>46263</v>
      </c>
      <c r="C32" s="103"/>
      <c r="D32" s="32"/>
      <c r="E32" s="33"/>
      <c r="F32" s="33"/>
      <c r="G32" s="33">
        <f t="shared" ref="G32:G34" si="5">E32*F32</f>
        <v>0</v>
      </c>
      <c r="H32" s="312"/>
      <c r="I32" s="312"/>
      <c r="J32" s="33">
        <f t="shared" si="1"/>
        <v>0</v>
      </c>
      <c r="K32" s="33">
        <f t="shared" ref="K32:K34" si="6">G32+J32</f>
        <v>0</v>
      </c>
      <c r="L32" s="190">
        <v>0</v>
      </c>
      <c r="M32" s="33">
        <f t="shared" ref="M32:M34" si="7">M31+K32-L32</f>
        <v>2600.2799999999988</v>
      </c>
      <c r="N32" s="191"/>
    </row>
    <row r="33" spans="1:14">
      <c r="A33" s="23">
        <v>30</v>
      </c>
      <c r="B33" s="24">
        <v>46264</v>
      </c>
      <c r="C33" s="103"/>
      <c r="D33" s="32"/>
      <c r="E33" s="33"/>
      <c r="F33" s="33"/>
      <c r="G33" s="33">
        <f t="shared" si="5"/>
        <v>0</v>
      </c>
      <c r="H33" s="312"/>
      <c r="I33" s="312"/>
      <c r="J33" s="33">
        <f t="shared" ref="J16:J33" si="8">H33*I33</f>
        <v>0</v>
      </c>
      <c r="K33" s="33">
        <f t="shared" si="6"/>
        <v>0</v>
      </c>
      <c r="L33" s="190">
        <v>0</v>
      </c>
      <c r="M33" s="33">
        <f t="shared" si="7"/>
        <v>2600.2799999999988</v>
      </c>
      <c r="N33" s="191"/>
    </row>
    <row r="34" spans="1:14">
      <c r="A34" s="23">
        <v>31</v>
      </c>
      <c r="B34" s="24"/>
      <c r="C34" s="103"/>
      <c r="D34" s="32"/>
      <c r="E34" s="33"/>
      <c r="F34" s="33"/>
      <c r="G34" s="33">
        <f t="shared" si="5"/>
        <v>0</v>
      </c>
      <c r="H34" s="312"/>
      <c r="I34" s="312"/>
      <c r="J34" s="33">
        <f t="shared" ref="J32:J34" si="9">H34*I34</f>
        <v>0</v>
      </c>
      <c r="K34" s="33">
        <f t="shared" si="6"/>
        <v>0</v>
      </c>
      <c r="L34" s="190"/>
      <c r="M34" s="33">
        <f t="shared" si="7"/>
        <v>2600.2799999999988</v>
      </c>
      <c r="N34" s="191"/>
    </row>
    <row r="35" spans="1:14">
      <c r="A35" s="59"/>
      <c r="B35" s="59"/>
      <c r="C35" s="59"/>
      <c r="D35" s="59"/>
      <c r="E35" s="250">
        <f>SUM(E4:E34)</f>
        <v>0</v>
      </c>
      <c r="F35" s="250"/>
      <c r="G35" s="60">
        <f>SUM(G4:G34)</f>
        <v>0</v>
      </c>
      <c r="H35" s="60">
        <f>SUM(H4:H34)</f>
        <v>20</v>
      </c>
      <c r="I35" s="60"/>
      <c r="J35" s="60">
        <f>SUM(J4:J34)</f>
        <v>2326.6</v>
      </c>
      <c r="K35" s="60">
        <f>SUM(K4:K34)</f>
        <v>2326.6</v>
      </c>
      <c r="L35" s="60">
        <f>SUM(L4:L34)</f>
        <v>50000</v>
      </c>
      <c r="M35" s="60"/>
      <c r="N35" s="60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Q35"/>
  <sheetViews>
    <sheetView workbookViewId="0">
      <selection activeCell="V12" sqref="V12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140625" customWidth="1"/>
    <col min="13" max="13" width="11.85546875" bestFit="1" customWidth="1"/>
  </cols>
  <sheetData>
    <row r="1" spans="1:14" ht="15.75">
      <c r="A1" s="567" t="s">
        <v>80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4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1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52609.144999999975</v>
      </c>
      <c r="N3" s="149"/>
    </row>
    <row r="4" spans="1:14">
      <c r="A4" s="189">
        <v>1</v>
      </c>
      <c r="B4" s="212">
        <v>45870</v>
      </c>
      <c r="C4" s="64"/>
      <c r="D4" s="152"/>
      <c r="E4" s="249"/>
      <c r="F4" s="249"/>
      <c r="G4" s="8">
        <f t="shared" ref="G4:G34" si="0">E4*F4</f>
        <v>0</v>
      </c>
      <c r="H4" s="257">
        <v>10</v>
      </c>
      <c r="I4" s="63">
        <v>116.54</v>
      </c>
      <c r="J4" s="8">
        <f>H4*I4</f>
        <v>1165.4000000000001</v>
      </c>
      <c r="K4" s="8">
        <f>G4+J4</f>
        <v>1165.4000000000001</v>
      </c>
      <c r="L4" s="65"/>
      <c r="M4" s="37">
        <f t="shared" ref="M4:M34" si="1">M3+K4-L4</f>
        <v>53774.544999999976</v>
      </c>
      <c r="N4" s="8"/>
    </row>
    <row r="5" spans="1:14">
      <c r="A5" s="43">
        <v>2</v>
      </c>
      <c r="B5" s="212">
        <v>45871</v>
      </c>
      <c r="C5" s="64"/>
      <c r="D5" s="152"/>
      <c r="E5" s="249">
        <v>38.25</v>
      </c>
      <c r="F5" s="249">
        <v>104.56</v>
      </c>
      <c r="G5" s="8">
        <f t="shared" ref="G5:G34" si="2">E5*F5</f>
        <v>3999.42</v>
      </c>
      <c r="H5" s="257">
        <v>5</v>
      </c>
      <c r="I5" s="63">
        <v>116.54</v>
      </c>
      <c r="J5" s="8">
        <f t="shared" ref="J5:J34" si="3">H5*I5</f>
        <v>582.70000000000005</v>
      </c>
      <c r="K5" s="8">
        <f t="shared" ref="K5:L34" si="4">G5+J5</f>
        <v>4582.12</v>
      </c>
      <c r="L5" s="65"/>
      <c r="M5" s="37">
        <f t="shared" si="1"/>
        <v>58356.664999999979</v>
      </c>
      <c r="N5" s="8"/>
    </row>
    <row r="6" spans="1:14">
      <c r="A6" s="43">
        <v>3</v>
      </c>
      <c r="B6" s="212">
        <v>45872</v>
      </c>
      <c r="C6" s="64"/>
      <c r="D6" s="152"/>
      <c r="E6" s="249"/>
      <c r="F6" s="249"/>
      <c r="G6" s="8">
        <f t="shared" si="2"/>
        <v>0</v>
      </c>
      <c r="H6" s="257">
        <v>5</v>
      </c>
      <c r="I6" s="63">
        <v>116.54</v>
      </c>
      <c r="J6" s="8">
        <f t="shared" si="3"/>
        <v>582.70000000000005</v>
      </c>
      <c r="K6" s="8">
        <f t="shared" si="4"/>
        <v>582.70000000000005</v>
      </c>
      <c r="L6" s="65"/>
      <c r="M6" s="37">
        <f t="shared" si="1"/>
        <v>58939.364999999976</v>
      </c>
      <c r="N6" s="8"/>
    </row>
    <row r="7" spans="1:14">
      <c r="A7" s="43">
        <v>4</v>
      </c>
      <c r="B7" s="212">
        <v>45873</v>
      </c>
      <c r="C7" s="64"/>
      <c r="D7" s="152"/>
      <c r="E7" s="249"/>
      <c r="F7" s="249"/>
      <c r="G7" s="8">
        <f t="shared" si="2"/>
        <v>0</v>
      </c>
      <c r="H7" s="62"/>
      <c r="I7" s="63"/>
      <c r="J7" s="8">
        <f t="shared" si="3"/>
        <v>0</v>
      </c>
      <c r="K7" s="8">
        <f t="shared" si="4"/>
        <v>0</v>
      </c>
      <c r="L7" s="65"/>
      <c r="M7" s="37">
        <f t="shared" si="1"/>
        <v>58939.364999999976</v>
      </c>
      <c r="N7" s="8"/>
    </row>
    <row r="8" spans="1:14">
      <c r="A8" s="43">
        <v>5</v>
      </c>
      <c r="B8" s="212">
        <v>45874</v>
      </c>
      <c r="C8" s="64"/>
      <c r="D8" s="152"/>
      <c r="E8" s="249"/>
      <c r="F8" s="249"/>
      <c r="G8" s="8">
        <f t="shared" si="2"/>
        <v>0</v>
      </c>
      <c r="H8" s="62"/>
      <c r="I8" s="63"/>
      <c r="J8" s="8">
        <f t="shared" si="3"/>
        <v>0</v>
      </c>
      <c r="K8" s="8">
        <f t="shared" si="4"/>
        <v>0</v>
      </c>
      <c r="L8" s="65"/>
      <c r="M8" s="37">
        <f t="shared" si="1"/>
        <v>58939.364999999976</v>
      </c>
      <c r="N8" s="8"/>
    </row>
    <row r="9" spans="1:14">
      <c r="A9" s="43">
        <v>6</v>
      </c>
      <c r="B9" s="212">
        <v>45875</v>
      </c>
      <c r="C9" s="64"/>
      <c r="D9" s="152"/>
      <c r="E9" s="249"/>
      <c r="F9" s="249"/>
      <c r="G9" s="8">
        <f t="shared" si="2"/>
        <v>0</v>
      </c>
      <c r="H9" s="62"/>
      <c r="I9" s="63"/>
      <c r="J9" s="8">
        <f t="shared" si="3"/>
        <v>0</v>
      </c>
      <c r="K9" s="8">
        <f t="shared" si="4"/>
        <v>0</v>
      </c>
      <c r="L9" s="65"/>
      <c r="M9" s="37">
        <f t="shared" si="1"/>
        <v>58939.364999999976</v>
      </c>
      <c r="N9" s="8"/>
    </row>
    <row r="10" spans="1:14">
      <c r="A10" s="43">
        <v>7</v>
      </c>
      <c r="B10" s="212">
        <v>45876</v>
      </c>
      <c r="C10" s="64"/>
      <c r="D10" s="152"/>
      <c r="E10" s="249"/>
      <c r="F10" s="249"/>
      <c r="G10" s="8">
        <f t="shared" si="2"/>
        <v>0</v>
      </c>
      <c r="H10" s="62"/>
      <c r="I10" s="63"/>
      <c r="J10" s="8">
        <f t="shared" si="3"/>
        <v>0</v>
      </c>
      <c r="K10" s="8">
        <f t="shared" si="4"/>
        <v>0</v>
      </c>
      <c r="L10" s="65"/>
      <c r="M10" s="37">
        <f t="shared" si="1"/>
        <v>58939.364999999976</v>
      </c>
      <c r="N10" s="8"/>
    </row>
    <row r="11" spans="1:14">
      <c r="A11" s="43">
        <v>8</v>
      </c>
      <c r="B11" s="212">
        <v>45877</v>
      </c>
      <c r="C11" s="64"/>
      <c r="D11" s="152"/>
      <c r="E11" s="249"/>
      <c r="F11" s="249"/>
      <c r="G11" s="8">
        <f t="shared" si="2"/>
        <v>0</v>
      </c>
      <c r="H11" s="62"/>
      <c r="I11" s="63"/>
      <c r="J11" s="8">
        <f t="shared" si="3"/>
        <v>0</v>
      </c>
      <c r="K11" s="8">
        <f t="shared" si="4"/>
        <v>0</v>
      </c>
      <c r="L11" s="65"/>
      <c r="M11" s="37">
        <f>M10+K11-L11</f>
        <v>58939.364999999976</v>
      </c>
      <c r="N11" s="8"/>
    </row>
    <row r="12" spans="1:14">
      <c r="A12" s="43">
        <v>9</v>
      </c>
      <c r="B12" s="212">
        <v>45878</v>
      </c>
      <c r="C12" s="64"/>
      <c r="D12" s="152"/>
      <c r="E12" s="249"/>
      <c r="F12" s="249"/>
      <c r="G12" s="8">
        <f t="shared" si="2"/>
        <v>0</v>
      </c>
      <c r="H12" s="62"/>
      <c r="I12" s="63"/>
      <c r="J12" s="8">
        <f t="shared" si="3"/>
        <v>0</v>
      </c>
      <c r="K12" s="8">
        <f t="shared" si="4"/>
        <v>0</v>
      </c>
      <c r="L12" s="65"/>
      <c r="M12" s="37">
        <f t="shared" si="1"/>
        <v>58939.364999999976</v>
      </c>
      <c r="N12" s="8"/>
    </row>
    <row r="13" spans="1:14">
      <c r="A13" s="43">
        <v>10</v>
      </c>
      <c r="B13" s="212">
        <v>45879</v>
      </c>
      <c r="C13" s="64"/>
      <c r="D13" s="152"/>
      <c r="E13" s="249"/>
      <c r="F13" s="249"/>
      <c r="G13" s="8">
        <f t="shared" si="2"/>
        <v>0</v>
      </c>
      <c r="H13" s="62"/>
      <c r="I13" s="63"/>
      <c r="J13" s="8">
        <f t="shared" si="3"/>
        <v>0</v>
      </c>
      <c r="K13" s="8">
        <f t="shared" si="4"/>
        <v>0</v>
      </c>
      <c r="L13" s="65"/>
      <c r="M13" s="37">
        <f t="shared" si="1"/>
        <v>58939.364999999976</v>
      </c>
      <c r="N13" s="8"/>
    </row>
    <row r="14" spans="1:14">
      <c r="A14" s="43">
        <v>11</v>
      </c>
      <c r="B14" s="212">
        <v>45880</v>
      </c>
      <c r="C14" s="64"/>
      <c r="D14" s="152"/>
      <c r="E14" s="249"/>
      <c r="F14" s="249"/>
      <c r="G14" s="8">
        <f t="shared" si="2"/>
        <v>0</v>
      </c>
      <c r="H14" s="62"/>
      <c r="I14" s="63"/>
      <c r="J14" s="8">
        <f t="shared" si="3"/>
        <v>0</v>
      </c>
      <c r="K14" s="8">
        <f t="shared" si="4"/>
        <v>0</v>
      </c>
      <c r="L14" s="65"/>
      <c r="M14" s="37">
        <f t="shared" si="1"/>
        <v>58939.364999999976</v>
      </c>
      <c r="N14" s="8"/>
    </row>
    <row r="15" spans="1:14">
      <c r="A15" s="43">
        <v>12</v>
      </c>
      <c r="B15" s="212">
        <v>45881</v>
      </c>
      <c r="C15" s="64"/>
      <c r="D15" s="152"/>
      <c r="E15" s="249"/>
      <c r="F15" s="249"/>
      <c r="G15" s="8">
        <f t="shared" si="2"/>
        <v>0</v>
      </c>
      <c r="H15" s="62"/>
      <c r="I15" s="63"/>
      <c r="J15" s="8">
        <f t="shared" si="3"/>
        <v>0</v>
      </c>
      <c r="K15" s="8">
        <f t="shared" si="4"/>
        <v>0</v>
      </c>
      <c r="L15" s="65"/>
      <c r="M15" s="37">
        <f t="shared" si="1"/>
        <v>58939.364999999976</v>
      </c>
      <c r="N15" s="8"/>
    </row>
    <row r="16" spans="1:14">
      <c r="A16" s="43">
        <v>13</v>
      </c>
      <c r="B16" s="212">
        <v>45882</v>
      </c>
      <c r="C16" s="64"/>
      <c r="D16" s="152"/>
      <c r="E16" s="249"/>
      <c r="F16" s="249"/>
      <c r="G16" s="8">
        <f t="shared" si="2"/>
        <v>0</v>
      </c>
      <c r="H16" s="62"/>
      <c r="I16" s="63"/>
      <c r="J16" s="8">
        <f t="shared" si="3"/>
        <v>0</v>
      </c>
      <c r="K16" s="8">
        <f t="shared" si="4"/>
        <v>0</v>
      </c>
      <c r="L16" s="65"/>
      <c r="M16" s="37">
        <f t="shared" si="1"/>
        <v>58939.364999999976</v>
      </c>
      <c r="N16" s="8"/>
    </row>
    <row r="17" spans="1:17">
      <c r="A17" s="43">
        <v>14</v>
      </c>
      <c r="B17" s="212">
        <v>45883</v>
      </c>
      <c r="C17" s="64"/>
      <c r="D17" s="152"/>
      <c r="E17" s="249"/>
      <c r="F17" s="249"/>
      <c r="G17" s="8">
        <f t="shared" si="2"/>
        <v>0</v>
      </c>
      <c r="H17" s="62"/>
      <c r="I17" s="63"/>
      <c r="J17" s="8">
        <f t="shared" si="3"/>
        <v>0</v>
      </c>
      <c r="K17" s="8">
        <f t="shared" si="4"/>
        <v>0</v>
      </c>
      <c r="L17" s="65"/>
      <c r="M17" s="37">
        <f t="shared" si="1"/>
        <v>58939.364999999976</v>
      </c>
      <c r="N17" s="8"/>
    </row>
    <row r="18" spans="1:17">
      <c r="A18" s="43">
        <v>15</v>
      </c>
      <c r="B18" s="212">
        <v>45884</v>
      </c>
      <c r="C18" s="64"/>
      <c r="D18" s="152"/>
      <c r="E18" s="374"/>
      <c r="F18" s="249"/>
      <c r="G18" s="8">
        <f t="shared" si="2"/>
        <v>0</v>
      </c>
      <c r="H18" s="62"/>
      <c r="I18" s="63"/>
      <c r="J18" s="8">
        <f t="shared" si="3"/>
        <v>0</v>
      </c>
      <c r="K18" s="8">
        <f t="shared" si="4"/>
        <v>0</v>
      </c>
      <c r="L18" s="65"/>
      <c r="M18" s="37">
        <f t="shared" si="1"/>
        <v>58939.364999999976</v>
      </c>
      <c r="N18" s="8"/>
    </row>
    <row r="19" spans="1:17">
      <c r="A19" s="43">
        <v>16</v>
      </c>
      <c r="B19" s="212">
        <v>45885</v>
      </c>
      <c r="C19" s="64"/>
      <c r="D19" s="152"/>
      <c r="E19" s="249"/>
      <c r="F19" s="249"/>
      <c r="G19" s="8">
        <f t="shared" si="2"/>
        <v>0</v>
      </c>
      <c r="H19" s="62"/>
      <c r="I19" s="63"/>
      <c r="J19" s="8">
        <f t="shared" si="3"/>
        <v>0</v>
      </c>
      <c r="K19" s="8">
        <f t="shared" si="4"/>
        <v>0</v>
      </c>
      <c r="L19" s="65"/>
      <c r="M19" s="37">
        <f t="shared" si="1"/>
        <v>58939.364999999976</v>
      </c>
      <c r="N19" s="8"/>
    </row>
    <row r="20" spans="1:17">
      <c r="A20" s="43">
        <v>17</v>
      </c>
      <c r="B20" s="212">
        <v>45886</v>
      </c>
      <c r="C20" s="64"/>
      <c r="D20" s="152"/>
      <c r="E20" s="249"/>
      <c r="F20" s="249"/>
      <c r="G20" s="8">
        <f t="shared" si="2"/>
        <v>0</v>
      </c>
      <c r="H20" s="62"/>
      <c r="I20" s="63"/>
      <c r="J20" s="8">
        <f t="shared" si="3"/>
        <v>0</v>
      </c>
      <c r="K20" s="8">
        <f t="shared" si="4"/>
        <v>0</v>
      </c>
      <c r="L20" s="65"/>
      <c r="M20" s="37">
        <f t="shared" si="1"/>
        <v>58939.364999999976</v>
      </c>
      <c r="N20" s="8"/>
    </row>
    <row r="21" spans="1:17">
      <c r="A21" s="43">
        <v>18</v>
      </c>
      <c r="B21" s="212">
        <v>45887</v>
      </c>
      <c r="C21" s="64"/>
      <c r="D21" s="152"/>
      <c r="E21" s="374"/>
      <c r="F21" s="249"/>
      <c r="G21" s="8">
        <f t="shared" si="2"/>
        <v>0</v>
      </c>
      <c r="H21" s="62"/>
      <c r="I21" s="63"/>
      <c r="J21" s="8">
        <f t="shared" si="3"/>
        <v>0</v>
      </c>
      <c r="K21" s="8">
        <f t="shared" si="4"/>
        <v>0</v>
      </c>
      <c r="L21" s="65"/>
      <c r="M21" s="37">
        <f>M20+K21-L21</f>
        <v>58939.364999999976</v>
      </c>
      <c r="N21" s="8"/>
    </row>
    <row r="22" spans="1:17">
      <c r="A22" s="43">
        <v>19</v>
      </c>
      <c r="B22" s="212">
        <v>45888</v>
      </c>
      <c r="C22" s="64"/>
      <c r="D22" s="152"/>
      <c r="E22" s="62"/>
      <c r="F22" s="249"/>
      <c r="G22" s="8">
        <f t="shared" si="2"/>
        <v>0</v>
      </c>
      <c r="H22" s="62"/>
      <c r="I22" s="63"/>
      <c r="J22" s="8">
        <f t="shared" si="3"/>
        <v>0</v>
      </c>
      <c r="K22" s="8">
        <f t="shared" si="4"/>
        <v>0</v>
      </c>
      <c r="L22" s="65"/>
      <c r="M22" s="37">
        <f t="shared" si="1"/>
        <v>58939.364999999976</v>
      </c>
      <c r="N22" s="8"/>
    </row>
    <row r="23" spans="1:17">
      <c r="A23" s="43">
        <v>20</v>
      </c>
      <c r="B23" s="212">
        <v>45889</v>
      </c>
      <c r="C23" s="64"/>
      <c r="D23" s="152"/>
      <c r="E23" s="249"/>
      <c r="F23" s="249"/>
      <c r="G23" s="8">
        <f t="shared" si="2"/>
        <v>0</v>
      </c>
      <c r="H23" s="62"/>
      <c r="I23" s="63"/>
      <c r="J23" s="8">
        <f t="shared" si="3"/>
        <v>0</v>
      </c>
      <c r="K23" s="8">
        <f t="shared" si="4"/>
        <v>0</v>
      </c>
      <c r="L23" s="65">
        <v>58939.364999999976</v>
      </c>
      <c r="M23" s="37">
        <f t="shared" si="1"/>
        <v>0</v>
      </c>
      <c r="N23" s="8"/>
      <c r="Q23">
        <v>96.44</v>
      </c>
    </row>
    <row r="24" spans="1:17">
      <c r="A24" s="43">
        <v>21</v>
      </c>
      <c r="B24" s="212">
        <v>45890</v>
      </c>
      <c r="C24" s="64"/>
      <c r="D24" s="152"/>
      <c r="E24" s="249"/>
      <c r="F24" s="249"/>
      <c r="G24" s="8">
        <f t="shared" si="2"/>
        <v>0</v>
      </c>
      <c r="H24" s="62"/>
      <c r="I24" s="63"/>
      <c r="J24" s="8">
        <f t="shared" si="3"/>
        <v>0</v>
      </c>
      <c r="K24" s="8">
        <f t="shared" si="4"/>
        <v>0</v>
      </c>
      <c r="L24" s="65"/>
      <c r="M24" s="37">
        <f t="shared" si="1"/>
        <v>0</v>
      </c>
      <c r="N24" s="8"/>
    </row>
    <row r="25" spans="1:17">
      <c r="A25" s="43">
        <v>22</v>
      </c>
      <c r="B25" s="212">
        <v>45891</v>
      </c>
      <c r="C25" s="64"/>
      <c r="D25" s="152"/>
      <c r="E25" s="249"/>
      <c r="F25" s="249"/>
      <c r="G25" s="8">
        <f t="shared" si="2"/>
        <v>0</v>
      </c>
      <c r="H25" s="62"/>
      <c r="I25" s="63"/>
      <c r="J25" s="8">
        <f t="shared" si="3"/>
        <v>0</v>
      </c>
      <c r="K25" s="8">
        <f t="shared" si="4"/>
        <v>0</v>
      </c>
      <c r="L25" s="65"/>
      <c r="M25" s="37">
        <f t="shared" si="1"/>
        <v>0</v>
      </c>
      <c r="N25" s="8"/>
    </row>
    <row r="26" spans="1:17">
      <c r="A26" s="43">
        <v>23</v>
      </c>
      <c r="B26" s="212">
        <v>45892</v>
      </c>
      <c r="C26" s="64"/>
      <c r="D26" s="152"/>
      <c r="E26" s="249"/>
      <c r="F26" s="249"/>
      <c r="G26" s="8">
        <f t="shared" si="2"/>
        <v>0</v>
      </c>
      <c r="H26" s="62"/>
      <c r="I26" s="63"/>
      <c r="J26" s="8">
        <f t="shared" si="3"/>
        <v>0</v>
      </c>
      <c r="K26" s="8">
        <f t="shared" si="4"/>
        <v>0</v>
      </c>
      <c r="L26" s="65"/>
      <c r="M26" s="37">
        <f t="shared" si="1"/>
        <v>0</v>
      </c>
      <c r="N26" s="8"/>
    </row>
    <row r="27" spans="1:17">
      <c r="A27" s="43">
        <v>24</v>
      </c>
      <c r="B27" s="212">
        <v>45893</v>
      </c>
      <c r="C27" s="64"/>
      <c r="D27" s="152"/>
      <c r="E27" s="249"/>
      <c r="F27" s="249"/>
      <c r="G27" s="8">
        <f t="shared" si="2"/>
        <v>0</v>
      </c>
      <c r="H27" s="62"/>
      <c r="I27" s="63"/>
      <c r="J27" s="8">
        <f t="shared" si="3"/>
        <v>0</v>
      </c>
      <c r="K27" s="8">
        <f t="shared" si="4"/>
        <v>0</v>
      </c>
      <c r="L27" s="65"/>
      <c r="M27" s="37">
        <f t="shared" si="1"/>
        <v>0</v>
      </c>
      <c r="N27" s="8"/>
    </row>
    <row r="28" spans="1:17">
      <c r="A28" s="214">
        <v>25</v>
      </c>
      <c r="B28" s="212">
        <v>45894</v>
      </c>
      <c r="C28" s="64"/>
      <c r="D28" s="152"/>
      <c r="E28" s="249"/>
      <c r="F28" s="249"/>
      <c r="G28" s="8">
        <f t="shared" si="2"/>
        <v>0</v>
      </c>
      <c r="H28" s="62"/>
      <c r="I28" s="520"/>
      <c r="J28" s="8">
        <f t="shared" si="3"/>
        <v>0</v>
      </c>
      <c r="K28" s="8">
        <f t="shared" si="4"/>
        <v>0</v>
      </c>
      <c r="L28" s="65"/>
      <c r="M28" s="37">
        <f>M27+K28-L28</f>
        <v>0</v>
      </c>
      <c r="N28" s="8"/>
    </row>
    <row r="29" spans="1:17">
      <c r="A29" s="214">
        <v>26</v>
      </c>
      <c r="B29" s="212">
        <v>45895</v>
      </c>
      <c r="C29" s="64"/>
      <c r="D29" s="152"/>
      <c r="E29" s="249"/>
      <c r="F29" s="249"/>
      <c r="G29" s="8">
        <f t="shared" si="2"/>
        <v>0</v>
      </c>
      <c r="H29" s="62"/>
      <c r="I29" s="520"/>
      <c r="J29" s="8">
        <f t="shared" si="3"/>
        <v>0</v>
      </c>
      <c r="K29" s="8">
        <f t="shared" si="4"/>
        <v>0</v>
      </c>
      <c r="L29" s="65"/>
      <c r="M29" s="37">
        <f t="shared" si="1"/>
        <v>0</v>
      </c>
      <c r="N29" s="8"/>
    </row>
    <row r="30" spans="1:17">
      <c r="A30" s="214">
        <v>27</v>
      </c>
      <c r="B30" s="212">
        <v>45896</v>
      </c>
      <c r="C30" s="64"/>
      <c r="D30" s="152"/>
      <c r="E30" s="249"/>
      <c r="F30" s="249"/>
      <c r="G30" s="8">
        <f t="shared" si="2"/>
        <v>0</v>
      </c>
      <c r="H30" s="62"/>
      <c r="I30" s="63"/>
      <c r="J30" s="8">
        <f t="shared" si="3"/>
        <v>0</v>
      </c>
      <c r="K30" s="8">
        <f t="shared" si="4"/>
        <v>0</v>
      </c>
      <c r="L30" s="65"/>
      <c r="M30" s="37">
        <f t="shared" si="1"/>
        <v>0</v>
      </c>
      <c r="N30" s="8"/>
    </row>
    <row r="31" spans="1:17">
      <c r="A31" s="214">
        <v>28</v>
      </c>
      <c r="B31" s="212">
        <v>45897</v>
      </c>
      <c r="C31" s="64"/>
      <c r="D31" s="152"/>
      <c r="E31" s="249"/>
      <c r="F31" s="249"/>
      <c r="G31" s="8">
        <f t="shared" si="2"/>
        <v>0</v>
      </c>
      <c r="H31" s="62"/>
      <c r="I31" s="63"/>
      <c r="J31" s="8">
        <f t="shared" si="3"/>
        <v>0</v>
      </c>
      <c r="K31" s="8">
        <f t="shared" si="4"/>
        <v>0</v>
      </c>
      <c r="L31" s="65"/>
      <c r="M31" s="37">
        <f t="shared" si="1"/>
        <v>0</v>
      </c>
      <c r="N31" s="8"/>
    </row>
    <row r="32" spans="1:17">
      <c r="A32" s="215">
        <v>29</v>
      </c>
      <c r="B32" s="212">
        <v>45898</v>
      </c>
      <c r="C32" s="64"/>
      <c r="D32" s="152"/>
      <c r="E32" s="249"/>
      <c r="F32" s="249"/>
      <c r="G32" s="8">
        <f t="shared" si="2"/>
        <v>0</v>
      </c>
      <c r="H32" s="62"/>
      <c r="I32" s="63"/>
      <c r="J32" s="8">
        <f t="shared" si="3"/>
        <v>0</v>
      </c>
      <c r="K32" s="8">
        <f t="shared" si="4"/>
        <v>0</v>
      </c>
      <c r="L32" s="65"/>
      <c r="M32" s="37">
        <f t="shared" si="1"/>
        <v>0</v>
      </c>
      <c r="N32" s="8"/>
    </row>
    <row r="33" spans="1:14">
      <c r="A33" s="215">
        <v>30</v>
      </c>
      <c r="B33" s="212">
        <v>45899</v>
      </c>
      <c r="C33" s="64"/>
      <c r="D33" s="152"/>
      <c r="E33" s="249"/>
      <c r="F33" s="249"/>
      <c r="G33" s="8">
        <f t="shared" si="2"/>
        <v>0</v>
      </c>
      <c r="H33" s="62"/>
      <c r="I33" s="63"/>
      <c r="J33" s="8">
        <f t="shared" si="3"/>
        <v>0</v>
      </c>
      <c r="K33" s="8">
        <f t="shared" si="4"/>
        <v>0</v>
      </c>
      <c r="L33" s="65">
        <v>0</v>
      </c>
      <c r="M33" s="37">
        <f t="shared" si="1"/>
        <v>0</v>
      </c>
      <c r="N33" s="8"/>
    </row>
    <row r="34" spans="1:14">
      <c r="A34" s="215">
        <v>31</v>
      </c>
      <c r="B34" s="212"/>
      <c r="C34" s="64"/>
      <c r="D34" s="152"/>
      <c r="E34" s="249"/>
      <c r="F34" s="249"/>
      <c r="G34" s="8">
        <f t="shared" si="2"/>
        <v>0</v>
      </c>
      <c r="H34" s="62"/>
      <c r="I34" s="63"/>
      <c r="J34" s="8">
        <f t="shared" si="3"/>
        <v>0</v>
      </c>
      <c r="K34" s="8">
        <f t="shared" si="4"/>
        <v>0</v>
      </c>
      <c r="L34" s="65">
        <v>0</v>
      </c>
      <c r="M34" s="37">
        <f t="shared" si="1"/>
        <v>0</v>
      </c>
      <c r="N34" s="8"/>
    </row>
    <row r="35" spans="1:14">
      <c r="A35" s="59"/>
      <c r="B35" s="59"/>
      <c r="C35" s="59"/>
      <c r="D35" s="59"/>
      <c r="E35" s="250">
        <f>SUM(E4:E34)</f>
        <v>38.25</v>
      </c>
      <c r="F35" s="250"/>
      <c r="G35" s="60">
        <f>SUM(G4:G34)</f>
        <v>3999.42</v>
      </c>
      <c r="H35" s="60">
        <f>SUM(H4:H34)</f>
        <v>20</v>
      </c>
      <c r="I35" s="60"/>
      <c r="J35" s="60">
        <f>SUM(J4:J34)</f>
        <v>2330.8000000000002</v>
      </c>
      <c r="K35" s="60">
        <f>SUM(K4:K34)</f>
        <v>6330.22</v>
      </c>
      <c r="L35" s="60">
        <f>SUM(L4:L34)</f>
        <v>58939.364999999976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6"/>
  <sheetViews>
    <sheetView topLeftCell="A13" workbookViewId="0">
      <selection activeCell="I38" sqref="I38"/>
    </sheetView>
  </sheetViews>
  <sheetFormatPr defaultRowHeight="15"/>
  <cols>
    <col min="2" max="2" width="11.42578125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567" t="s">
        <v>196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4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1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754936.41289999988</v>
      </c>
      <c r="N3" s="149"/>
    </row>
    <row r="4" spans="1:14">
      <c r="A4" s="189">
        <v>1</v>
      </c>
      <c r="B4" s="212">
        <v>45870</v>
      </c>
      <c r="C4" s="64"/>
      <c r="D4" s="152"/>
      <c r="E4" s="257">
        <v>600</v>
      </c>
      <c r="F4" s="529">
        <v>104.35</v>
      </c>
      <c r="G4" s="8">
        <f t="shared" ref="G4:G35" si="0">E4*F4</f>
        <v>62610</v>
      </c>
      <c r="H4" s="257"/>
      <c r="I4" s="285"/>
      <c r="J4" s="8">
        <f>H4*I4</f>
        <v>0</v>
      </c>
      <c r="K4" s="8">
        <f>G4+J4</f>
        <v>62610</v>
      </c>
      <c r="L4" s="65"/>
      <c r="M4" s="37">
        <f>M3+K4-L4</f>
        <v>817546.41289999988</v>
      </c>
      <c r="N4" s="8"/>
    </row>
    <row r="5" spans="1:14">
      <c r="A5" s="43">
        <v>2</v>
      </c>
      <c r="B5" s="212">
        <v>45871</v>
      </c>
      <c r="C5" s="64"/>
      <c r="D5" s="152"/>
      <c r="E5" s="257">
        <v>690</v>
      </c>
      <c r="F5" s="529">
        <v>104.35</v>
      </c>
      <c r="G5" s="8">
        <f t="shared" si="0"/>
        <v>72001.5</v>
      </c>
      <c r="H5" s="257"/>
      <c r="I5" s="285"/>
      <c r="J5" s="8">
        <f t="shared" ref="J5:J35" si="1">H5*I5</f>
        <v>0</v>
      </c>
      <c r="K5" s="8">
        <f t="shared" ref="K5:K35" si="2">G5+J5</f>
        <v>72001.5</v>
      </c>
      <c r="L5" s="65"/>
      <c r="M5" s="37">
        <f t="shared" ref="M5:M35" si="3">M4+K5-L5</f>
        <v>889547.91289999988</v>
      </c>
      <c r="N5" s="8"/>
    </row>
    <row r="6" spans="1:14">
      <c r="A6" s="43">
        <v>3</v>
      </c>
      <c r="B6" s="212">
        <v>45872</v>
      </c>
      <c r="C6" s="64"/>
      <c r="D6" s="152"/>
      <c r="E6" s="257"/>
      <c r="F6" s="363"/>
      <c r="G6" s="8">
        <f t="shared" si="0"/>
        <v>0</v>
      </c>
      <c r="H6" s="257"/>
      <c r="I6" s="285"/>
      <c r="J6" s="8">
        <f t="shared" si="1"/>
        <v>0</v>
      </c>
      <c r="K6" s="8">
        <f t="shared" si="2"/>
        <v>0</v>
      </c>
      <c r="L6" s="65"/>
      <c r="M6" s="37">
        <f t="shared" si="3"/>
        <v>889547.91289999988</v>
      </c>
      <c r="N6" s="8"/>
    </row>
    <row r="7" spans="1:14">
      <c r="A7" s="43">
        <v>4</v>
      </c>
      <c r="B7" s="212">
        <v>45873</v>
      </c>
      <c r="C7" s="64"/>
      <c r="D7" s="152"/>
      <c r="E7" s="257"/>
      <c r="F7" s="363"/>
      <c r="G7" s="8">
        <f t="shared" si="0"/>
        <v>0</v>
      </c>
      <c r="H7" s="257"/>
      <c r="I7" s="285"/>
      <c r="J7" s="8">
        <f t="shared" si="1"/>
        <v>0</v>
      </c>
      <c r="K7" s="8">
        <f t="shared" si="2"/>
        <v>0</v>
      </c>
      <c r="L7" s="65"/>
      <c r="M7" s="37">
        <f t="shared" si="3"/>
        <v>889547.91289999988</v>
      </c>
      <c r="N7" s="8"/>
    </row>
    <row r="8" spans="1:14">
      <c r="A8" s="43">
        <v>5</v>
      </c>
      <c r="B8" s="212">
        <v>45874</v>
      </c>
      <c r="C8" s="64"/>
      <c r="D8" s="152"/>
      <c r="E8" s="257"/>
      <c r="F8" s="363"/>
      <c r="G8" s="8">
        <f t="shared" si="0"/>
        <v>0</v>
      </c>
      <c r="H8" s="257"/>
      <c r="I8" s="285"/>
      <c r="J8" s="8">
        <f t="shared" si="1"/>
        <v>0</v>
      </c>
      <c r="K8" s="8">
        <f t="shared" si="2"/>
        <v>0</v>
      </c>
      <c r="L8" s="65"/>
      <c r="M8" s="37">
        <f t="shared" si="3"/>
        <v>889547.91289999988</v>
      </c>
      <c r="N8" s="8"/>
    </row>
    <row r="9" spans="1:14">
      <c r="A9" s="189">
        <v>6</v>
      </c>
      <c r="B9" s="212">
        <v>45875</v>
      </c>
      <c r="C9" s="64"/>
      <c r="D9" s="152"/>
      <c r="E9" s="257">
        <v>600</v>
      </c>
      <c r="F9" s="363">
        <v>104.35</v>
      </c>
      <c r="G9" s="8">
        <f t="shared" si="0"/>
        <v>62610</v>
      </c>
      <c r="H9" s="257"/>
      <c r="I9" s="285"/>
      <c r="J9" s="8">
        <f t="shared" si="1"/>
        <v>0</v>
      </c>
      <c r="K9" s="8">
        <f t="shared" si="2"/>
        <v>62610</v>
      </c>
      <c r="L9" s="65"/>
      <c r="M9" s="37">
        <f t="shared" si="3"/>
        <v>952157.91289999988</v>
      </c>
      <c r="N9" s="8"/>
    </row>
    <row r="10" spans="1:14">
      <c r="A10" s="43">
        <v>7</v>
      </c>
      <c r="B10" s="212">
        <v>45876</v>
      </c>
      <c r="C10" s="64"/>
      <c r="D10" s="152"/>
      <c r="E10" s="257">
        <v>690</v>
      </c>
      <c r="F10" s="363">
        <v>104.35</v>
      </c>
      <c r="G10" s="8">
        <f t="shared" si="0"/>
        <v>72001.5</v>
      </c>
      <c r="H10" s="257">
        <v>6</v>
      </c>
      <c r="I10" s="285">
        <v>116.25</v>
      </c>
      <c r="J10" s="8">
        <f t="shared" si="1"/>
        <v>697.5</v>
      </c>
      <c r="K10" s="8">
        <f t="shared" si="2"/>
        <v>72699</v>
      </c>
      <c r="L10" s="65"/>
      <c r="M10" s="37">
        <f t="shared" si="3"/>
        <v>1024856.9128999999</v>
      </c>
      <c r="N10" s="8"/>
    </row>
    <row r="11" spans="1:14">
      <c r="A11" s="43">
        <v>8</v>
      </c>
      <c r="B11" s="212">
        <v>45877</v>
      </c>
      <c r="C11" s="64"/>
      <c r="D11" s="152"/>
      <c r="E11" s="257"/>
      <c r="F11" s="363"/>
      <c r="G11" s="8">
        <f t="shared" si="0"/>
        <v>0</v>
      </c>
      <c r="H11" s="257"/>
      <c r="I11" s="285"/>
      <c r="J11" s="8">
        <f t="shared" si="1"/>
        <v>0</v>
      </c>
      <c r="K11" s="8">
        <f t="shared" si="2"/>
        <v>0</v>
      </c>
      <c r="L11" s="65"/>
      <c r="M11" s="37">
        <f t="shared" si="3"/>
        <v>1024856.9128999999</v>
      </c>
      <c r="N11" s="8"/>
    </row>
    <row r="12" spans="1:14">
      <c r="A12" s="43">
        <v>9</v>
      </c>
      <c r="B12" s="212">
        <v>45878</v>
      </c>
      <c r="C12" s="64"/>
      <c r="D12" s="152"/>
      <c r="E12" s="257"/>
      <c r="F12" s="363"/>
      <c r="G12" s="8">
        <f t="shared" si="0"/>
        <v>0</v>
      </c>
      <c r="H12" s="257"/>
      <c r="I12" s="285"/>
      <c r="J12" s="8">
        <f t="shared" si="1"/>
        <v>0</v>
      </c>
      <c r="K12" s="8">
        <f t="shared" si="2"/>
        <v>0</v>
      </c>
      <c r="L12" s="65"/>
      <c r="M12" s="37">
        <f t="shared" si="3"/>
        <v>1024856.9128999999</v>
      </c>
      <c r="N12" s="8"/>
    </row>
    <row r="13" spans="1:14">
      <c r="A13" s="43">
        <v>10</v>
      </c>
      <c r="B13" s="212">
        <v>45879</v>
      </c>
      <c r="C13" s="64"/>
      <c r="D13" s="152"/>
      <c r="E13" s="257">
        <v>690</v>
      </c>
      <c r="F13" s="363">
        <v>104.35</v>
      </c>
      <c r="G13" s="8">
        <f t="shared" si="0"/>
        <v>72001.5</v>
      </c>
      <c r="H13" s="257">
        <v>12</v>
      </c>
      <c r="I13" s="285">
        <v>116.25</v>
      </c>
      <c r="J13" s="8">
        <f t="shared" si="1"/>
        <v>1395</v>
      </c>
      <c r="K13" s="8">
        <f t="shared" si="2"/>
        <v>73396.5</v>
      </c>
      <c r="L13" s="65"/>
      <c r="M13" s="37">
        <f t="shared" si="3"/>
        <v>1098253.4128999999</v>
      </c>
      <c r="N13" s="8"/>
    </row>
    <row r="14" spans="1:14">
      <c r="A14" s="189">
        <v>11</v>
      </c>
      <c r="B14" s="212">
        <v>45880</v>
      </c>
      <c r="C14" s="64"/>
      <c r="D14" s="152"/>
      <c r="E14" s="257">
        <v>690</v>
      </c>
      <c r="F14" s="363">
        <v>104.35</v>
      </c>
      <c r="G14" s="8">
        <f t="shared" si="0"/>
        <v>72001.5</v>
      </c>
      <c r="H14" s="257">
        <v>6</v>
      </c>
      <c r="I14" s="285">
        <v>116.25</v>
      </c>
      <c r="J14" s="8">
        <f t="shared" si="1"/>
        <v>697.5</v>
      </c>
      <c r="K14" s="8">
        <f t="shared" si="2"/>
        <v>72699</v>
      </c>
      <c r="L14" s="65"/>
      <c r="M14" s="37">
        <f t="shared" si="3"/>
        <v>1170952.4128999999</v>
      </c>
      <c r="N14" s="8"/>
    </row>
    <row r="15" spans="1:14">
      <c r="A15" s="43">
        <v>12</v>
      </c>
      <c r="B15" s="212">
        <v>45881</v>
      </c>
      <c r="C15" s="64"/>
      <c r="D15" s="152"/>
      <c r="E15" s="257"/>
      <c r="F15" s="363"/>
      <c r="G15" s="8">
        <f t="shared" si="0"/>
        <v>0</v>
      </c>
      <c r="H15" s="257"/>
      <c r="I15" s="285"/>
      <c r="J15" s="8"/>
      <c r="K15" s="8">
        <f t="shared" si="2"/>
        <v>0</v>
      </c>
      <c r="L15" s="65"/>
      <c r="M15" s="37">
        <f t="shared" si="3"/>
        <v>1170952.4128999999</v>
      </c>
      <c r="N15" s="8"/>
    </row>
    <row r="16" spans="1:14">
      <c r="A16" s="43">
        <v>13</v>
      </c>
      <c r="B16" s="212">
        <v>45882</v>
      </c>
      <c r="C16" s="64"/>
      <c r="D16" s="152"/>
      <c r="E16" s="257">
        <v>734</v>
      </c>
      <c r="F16" s="363">
        <v>104.35</v>
      </c>
      <c r="G16" s="8">
        <f t="shared" si="0"/>
        <v>76592.899999999994</v>
      </c>
      <c r="H16" s="257"/>
      <c r="I16" s="285"/>
      <c r="J16" s="8">
        <f t="shared" si="1"/>
        <v>0</v>
      </c>
      <c r="K16" s="8">
        <f t="shared" si="2"/>
        <v>76592.899999999994</v>
      </c>
      <c r="L16" s="65"/>
      <c r="M16" s="37">
        <f t="shared" si="3"/>
        <v>1247545.3128999998</v>
      </c>
      <c r="N16" s="8"/>
    </row>
    <row r="17" spans="1:14">
      <c r="A17" s="43">
        <v>14</v>
      </c>
      <c r="B17" s="212">
        <v>45883</v>
      </c>
      <c r="C17" s="64"/>
      <c r="D17" s="152"/>
      <c r="E17" s="257">
        <v>690</v>
      </c>
      <c r="F17" s="363">
        <v>104.35</v>
      </c>
      <c r="G17" s="8">
        <f t="shared" si="0"/>
        <v>72001.5</v>
      </c>
      <c r="H17" s="257">
        <v>6</v>
      </c>
      <c r="I17" s="285">
        <v>116.25</v>
      </c>
      <c r="J17" s="8">
        <f t="shared" si="1"/>
        <v>697.5</v>
      </c>
      <c r="K17" s="8">
        <f t="shared" si="2"/>
        <v>72699</v>
      </c>
      <c r="L17" s="65"/>
      <c r="M17" s="37">
        <f t="shared" si="3"/>
        <v>1320244.3128999998</v>
      </c>
      <c r="N17" s="8"/>
    </row>
    <row r="18" spans="1:14">
      <c r="A18" s="43">
        <v>15</v>
      </c>
      <c r="B18" s="212">
        <v>45884</v>
      </c>
      <c r="C18" s="64"/>
      <c r="D18" s="152"/>
      <c r="E18" s="257"/>
      <c r="F18" s="363"/>
      <c r="G18" s="8">
        <f t="shared" si="0"/>
        <v>0</v>
      </c>
      <c r="H18" s="257"/>
      <c r="I18" s="285"/>
      <c r="J18" s="8">
        <f t="shared" si="1"/>
        <v>0</v>
      </c>
      <c r="K18" s="8">
        <f t="shared" si="2"/>
        <v>0</v>
      </c>
      <c r="L18" s="65"/>
      <c r="M18" s="37">
        <f t="shared" si="3"/>
        <v>1320244.3128999998</v>
      </c>
      <c r="N18" s="8"/>
    </row>
    <row r="19" spans="1:14">
      <c r="A19" s="189">
        <v>16</v>
      </c>
      <c r="B19" s="212">
        <v>45885</v>
      </c>
      <c r="C19" s="64"/>
      <c r="D19" s="152"/>
      <c r="E19" s="257"/>
      <c r="F19" s="363"/>
      <c r="G19" s="8">
        <f t="shared" si="0"/>
        <v>0</v>
      </c>
      <c r="H19" s="257">
        <v>18</v>
      </c>
      <c r="I19" s="285">
        <v>116.25</v>
      </c>
      <c r="J19" s="8">
        <f t="shared" si="1"/>
        <v>2092.5</v>
      </c>
      <c r="K19" s="8">
        <f t="shared" si="2"/>
        <v>2092.5</v>
      </c>
      <c r="L19" s="65"/>
      <c r="M19" s="37">
        <f t="shared" si="3"/>
        <v>1322336.8128999998</v>
      </c>
      <c r="N19" s="8"/>
    </row>
    <row r="20" spans="1:14">
      <c r="A20" s="43">
        <v>17</v>
      </c>
      <c r="B20" s="212">
        <v>45886</v>
      </c>
      <c r="C20" s="64"/>
      <c r="D20" s="152"/>
      <c r="E20" s="257">
        <v>690</v>
      </c>
      <c r="F20" s="363">
        <v>104.35</v>
      </c>
      <c r="G20" s="8">
        <f t="shared" si="0"/>
        <v>72001.5</v>
      </c>
      <c r="H20" s="257"/>
      <c r="I20" s="285"/>
      <c r="J20" s="8">
        <f t="shared" si="1"/>
        <v>0</v>
      </c>
      <c r="K20" s="8">
        <f t="shared" si="2"/>
        <v>72001.5</v>
      </c>
      <c r="L20" s="65"/>
      <c r="M20" s="37">
        <f t="shared" si="3"/>
        <v>1394338.3128999998</v>
      </c>
      <c r="N20" s="8"/>
    </row>
    <row r="21" spans="1:14">
      <c r="A21" s="43">
        <v>18</v>
      </c>
      <c r="B21" s="212">
        <v>45887</v>
      </c>
      <c r="C21" s="64"/>
      <c r="D21" s="152"/>
      <c r="E21" s="257"/>
      <c r="F21" s="363"/>
      <c r="G21" s="8">
        <f t="shared" si="0"/>
        <v>0</v>
      </c>
      <c r="H21" s="257">
        <v>6</v>
      </c>
      <c r="I21" s="285">
        <v>116.25</v>
      </c>
      <c r="J21" s="8">
        <f t="shared" si="1"/>
        <v>697.5</v>
      </c>
      <c r="K21" s="8">
        <f t="shared" si="2"/>
        <v>697.5</v>
      </c>
      <c r="L21" s="65"/>
      <c r="M21" s="37">
        <f t="shared" si="3"/>
        <v>1395035.8128999998</v>
      </c>
      <c r="N21" s="8"/>
    </row>
    <row r="22" spans="1:14">
      <c r="A22" s="43">
        <v>19</v>
      </c>
      <c r="B22" s="212">
        <v>45888</v>
      </c>
      <c r="C22" s="64"/>
      <c r="D22" s="152"/>
      <c r="E22" s="257">
        <v>690</v>
      </c>
      <c r="F22" s="363">
        <v>104.35</v>
      </c>
      <c r="G22" s="8">
        <f t="shared" si="0"/>
        <v>72001.5</v>
      </c>
      <c r="H22" s="257"/>
      <c r="I22" s="285"/>
      <c r="J22" s="8">
        <f t="shared" si="1"/>
        <v>0</v>
      </c>
      <c r="K22" s="8">
        <f t="shared" si="2"/>
        <v>72001.5</v>
      </c>
      <c r="L22" s="65"/>
      <c r="M22" s="37">
        <f t="shared" si="3"/>
        <v>1467037.3128999998</v>
      </c>
      <c r="N22" s="8"/>
    </row>
    <row r="23" spans="1:14">
      <c r="A23" s="43">
        <v>20</v>
      </c>
      <c r="B23" s="212">
        <v>45889</v>
      </c>
      <c r="C23" s="64"/>
      <c r="D23" s="152"/>
      <c r="E23" s="257"/>
      <c r="F23" s="363"/>
      <c r="G23" s="8">
        <f t="shared" si="0"/>
        <v>0</v>
      </c>
      <c r="H23" s="257"/>
      <c r="I23" s="285"/>
      <c r="J23" s="8">
        <f t="shared" si="1"/>
        <v>0</v>
      </c>
      <c r="K23" s="8">
        <f t="shared" si="2"/>
        <v>0</v>
      </c>
      <c r="L23" s="65">
        <v>800000</v>
      </c>
      <c r="M23" s="37">
        <f t="shared" si="3"/>
        <v>667037.31289999979</v>
      </c>
      <c r="N23" s="8"/>
    </row>
    <row r="24" spans="1:14">
      <c r="A24" s="189">
        <v>21</v>
      </c>
      <c r="B24" s="212">
        <v>45890</v>
      </c>
      <c r="C24" s="64"/>
      <c r="D24" s="152"/>
      <c r="E24" s="257">
        <v>730</v>
      </c>
      <c r="F24" s="363">
        <v>104.35</v>
      </c>
      <c r="G24" s="8">
        <f t="shared" si="0"/>
        <v>76175.5</v>
      </c>
      <c r="H24" s="257"/>
      <c r="I24" s="285"/>
      <c r="J24" s="8">
        <f t="shared" si="1"/>
        <v>0</v>
      </c>
      <c r="K24" s="8">
        <f t="shared" si="2"/>
        <v>76175.5</v>
      </c>
      <c r="L24" s="65"/>
      <c r="M24" s="37">
        <f t="shared" si="3"/>
        <v>743212.81289999979</v>
      </c>
      <c r="N24" s="8"/>
    </row>
    <row r="25" spans="1:14">
      <c r="A25" s="43">
        <v>22</v>
      </c>
      <c r="B25" s="212">
        <v>45891</v>
      </c>
      <c r="C25" s="64"/>
      <c r="D25" s="152"/>
      <c r="E25" s="257">
        <v>600</v>
      </c>
      <c r="F25" s="363">
        <v>104.35</v>
      </c>
      <c r="G25" s="8">
        <f t="shared" si="0"/>
        <v>62610</v>
      </c>
      <c r="H25" s="257"/>
      <c r="I25" s="285"/>
      <c r="J25" s="8">
        <f t="shared" si="1"/>
        <v>0</v>
      </c>
      <c r="K25" s="8">
        <f t="shared" si="2"/>
        <v>62610</v>
      </c>
      <c r="L25" s="65"/>
      <c r="M25" s="37">
        <f t="shared" si="3"/>
        <v>805822.81289999979</v>
      </c>
      <c r="N25" s="8"/>
    </row>
    <row r="26" spans="1:14">
      <c r="A26" s="43">
        <v>23</v>
      </c>
      <c r="B26" s="212">
        <v>45892</v>
      </c>
      <c r="C26" s="64"/>
      <c r="D26" s="152"/>
      <c r="E26" s="257"/>
      <c r="F26" s="363"/>
      <c r="G26" s="8">
        <f t="shared" si="0"/>
        <v>0</v>
      </c>
      <c r="H26" s="257"/>
      <c r="I26" s="285"/>
      <c r="J26" s="8">
        <f t="shared" si="1"/>
        <v>0</v>
      </c>
      <c r="K26" s="8">
        <f t="shared" si="2"/>
        <v>0</v>
      </c>
      <c r="L26" s="65"/>
      <c r="M26" s="37">
        <f t="shared" si="3"/>
        <v>805822.81289999979</v>
      </c>
      <c r="N26" s="8"/>
    </row>
    <row r="27" spans="1:14">
      <c r="A27" s="43">
        <v>24</v>
      </c>
      <c r="B27" s="212">
        <v>45893</v>
      </c>
      <c r="C27" s="64"/>
      <c r="D27" s="152"/>
      <c r="E27" s="257"/>
      <c r="F27" s="363"/>
      <c r="G27" s="8">
        <f t="shared" si="0"/>
        <v>0</v>
      </c>
      <c r="H27" s="257"/>
      <c r="I27" s="285"/>
      <c r="J27" s="8">
        <f t="shared" si="1"/>
        <v>0</v>
      </c>
      <c r="K27" s="8">
        <f t="shared" si="2"/>
        <v>0</v>
      </c>
      <c r="L27" s="65"/>
      <c r="M27" s="37">
        <f t="shared" si="3"/>
        <v>805822.81289999979</v>
      </c>
      <c r="N27" s="8"/>
    </row>
    <row r="28" spans="1:14">
      <c r="A28" s="43">
        <v>25</v>
      </c>
      <c r="B28" s="212">
        <v>45894</v>
      </c>
      <c r="C28" s="64"/>
      <c r="D28" s="152"/>
      <c r="E28" s="257"/>
      <c r="F28" s="363"/>
      <c r="G28" s="8">
        <f t="shared" si="0"/>
        <v>0</v>
      </c>
      <c r="H28" s="257">
        <v>12</v>
      </c>
      <c r="I28" s="285">
        <v>116.25</v>
      </c>
      <c r="J28" s="8">
        <f t="shared" si="1"/>
        <v>1395</v>
      </c>
      <c r="K28" s="8">
        <f t="shared" si="2"/>
        <v>1395</v>
      </c>
      <c r="L28" s="65"/>
      <c r="M28" s="37">
        <f t="shared" si="3"/>
        <v>807217.81289999979</v>
      </c>
      <c r="N28" s="8"/>
    </row>
    <row r="29" spans="1:14">
      <c r="A29" s="189">
        <v>26</v>
      </c>
      <c r="B29" s="212">
        <v>45895</v>
      </c>
      <c r="C29" s="64"/>
      <c r="D29" s="152"/>
      <c r="E29" s="257"/>
      <c r="F29" s="363"/>
      <c r="G29" s="8">
        <f t="shared" si="0"/>
        <v>0</v>
      </c>
      <c r="H29" s="257"/>
      <c r="I29" s="285"/>
      <c r="J29" s="8">
        <f t="shared" si="1"/>
        <v>0</v>
      </c>
      <c r="K29" s="8">
        <f t="shared" si="2"/>
        <v>0</v>
      </c>
      <c r="L29" s="65"/>
      <c r="M29" s="37">
        <f t="shared" si="3"/>
        <v>807217.81289999979</v>
      </c>
      <c r="N29" s="8"/>
    </row>
    <row r="30" spans="1:14">
      <c r="A30" s="43">
        <v>27</v>
      </c>
      <c r="B30" s="212">
        <v>45896</v>
      </c>
      <c r="C30" s="64"/>
      <c r="D30" s="152"/>
      <c r="E30" s="257"/>
      <c r="F30" s="363"/>
      <c r="G30" s="8">
        <f t="shared" si="0"/>
        <v>0</v>
      </c>
      <c r="H30" s="62"/>
      <c r="I30" s="63"/>
      <c r="J30" s="8">
        <f t="shared" si="1"/>
        <v>0</v>
      </c>
      <c r="K30" s="8">
        <f t="shared" si="2"/>
        <v>0</v>
      </c>
      <c r="L30" s="65"/>
      <c r="M30" s="37">
        <f t="shared" si="3"/>
        <v>807217.81289999979</v>
      </c>
      <c r="N30" s="8"/>
    </row>
    <row r="31" spans="1:14">
      <c r="A31" s="43">
        <v>28</v>
      </c>
      <c r="B31" s="212">
        <v>45897</v>
      </c>
      <c r="C31" s="64"/>
      <c r="D31" s="152"/>
      <c r="E31" s="257"/>
      <c r="F31" s="363"/>
      <c r="G31" s="8">
        <f t="shared" si="0"/>
        <v>0</v>
      </c>
      <c r="H31" s="62">
        <v>6</v>
      </c>
      <c r="I31" s="63">
        <v>126.03</v>
      </c>
      <c r="J31" s="8">
        <f t="shared" si="1"/>
        <v>756.18000000000006</v>
      </c>
      <c r="K31" s="8">
        <f t="shared" si="2"/>
        <v>756.18000000000006</v>
      </c>
      <c r="L31" s="65">
        <v>807217</v>
      </c>
      <c r="M31" s="37">
        <f t="shared" si="3"/>
        <v>756.99289999983739</v>
      </c>
      <c r="N31" s="8"/>
    </row>
    <row r="32" spans="1:14">
      <c r="A32" s="43">
        <v>29</v>
      </c>
      <c r="B32" s="212">
        <v>45898</v>
      </c>
      <c r="C32" s="64"/>
      <c r="D32" s="152"/>
      <c r="E32" s="257">
        <v>690</v>
      </c>
      <c r="F32" s="363">
        <v>104.35</v>
      </c>
      <c r="G32" s="8">
        <f t="shared" si="0"/>
        <v>72001.5</v>
      </c>
      <c r="H32" s="62">
        <v>6</v>
      </c>
      <c r="I32" s="63">
        <v>116.25</v>
      </c>
      <c r="J32" s="8">
        <f t="shared" si="1"/>
        <v>697.5</v>
      </c>
      <c r="K32" s="8">
        <f t="shared" si="2"/>
        <v>72699</v>
      </c>
      <c r="L32" s="65"/>
      <c r="M32" s="37">
        <f t="shared" si="3"/>
        <v>73455.992899999837</v>
      </c>
      <c r="N32" s="8"/>
    </row>
    <row r="33" spans="1:14">
      <c r="A33" s="43">
        <v>30</v>
      </c>
      <c r="B33" s="212">
        <v>45899</v>
      </c>
      <c r="C33" s="64"/>
      <c r="D33" s="152"/>
      <c r="E33" s="257"/>
      <c r="F33" s="363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/>
      <c r="M33" s="37">
        <f t="shared" si="3"/>
        <v>73455.992899999837</v>
      </c>
      <c r="N33" s="8"/>
    </row>
    <row r="34" spans="1:14">
      <c r="A34" s="189">
        <v>31</v>
      </c>
      <c r="B34" s="212">
        <v>45900</v>
      </c>
      <c r="C34" s="64"/>
      <c r="D34" s="152"/>
      <c r="E34" s="257">
        <v>690</v>
      </c>
      <c r="F34" s="422">
        <v>104.35</v>
      </c>
      <c r="G34" s="8">
        <f t="shared" si="0"/>
        <v>72001.5</v>
      </c>
      <c r="H34" s="62">
        <v>6</v>
      </c>
      <c r="I34" s="63">
        <v>116.25</v>
      </c>
      <c r="J34" s="8">
        <f t="shared" si="1"/>
        <v>697.5</v>
      </c>
      <c r="K34" s="8">
        <f t="shared" si="2"/>
        <v>72699</v>
      </c>
      <c r="L34" s="65"/>
      <c r="M34" s="37">
        <f t="shared" si="3"/>
        <v>146154.99289999984</v>
      </c>
      <c r="N34" s="8"/>
    </row>
    <row r="35" spans="1:14">
      <c r="A35" s="43">
        <v>32</v>
      </c>
      <c r="B35" s="212"/>
      <c r="C35" s="64"/>
      <c r="D35" s="152"/>
      <c r="E35" s="423"/>
      <c r="F35" s="422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/>
      <c r="M35" s="37">
        <f t="shared" si="3"/>
        <v>146154.99289999984</v>
      </c>
      <c r="N35" s="8"/>
    </row>
    <row r="36" spans="1:14">
      <c r="A36" s="59"/>
      <c r="B36" s="59"/>
      <c r="C36" s="59"/>
      <c r="D36" s="59"/>
      <c r="E36" s="250">
        <f>SUM(E4:E35)</f>
        <v>9474</v>
      </c>
      <c r="F36" s="250"/>
      <c r="G36" s="60">
        <f>SUM(G4:G35)</f>
        <v>988611.9</v>
      </c>
      <c r="H36" s="60">
        <f>SUM(H4:H35)</f>
        <v>84</v>
      </c>
      <c r="I36" s="60"/>
      <c r="J36" s="60">
        <f>SUM(J4:J35)</f>
        <v>9823.68</v>
      </c>
      <c r="K36" s="60">
        <f>SUM(K4:K35)</f>
        <v>998435.58000000007</v>
      </c>
      <c r="L36" s="60">
        <f>SUM(L4:L35)</f>
        <v>1607217</v>
      </c>
      <c r="M36" s="60"/>
      <c r="N36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U35"/>
  <sheetViews>
    <sheetView topLeftCell="A21" workbookViewId="0">
      <selection activeCell="Q30" sqref="Q30"/>
    </sheetView>
  </sheetViews>
  <sheetFormatPr defaultRowHeight="15"/>
  <cols>
    <col min="2" max="2" width="15" customWidth="1"/>
    <col min="4" max="4" width="13.28515625" bestFit="1" customWidth="1"/>
    <col min="6" max="6" width="9.7109375" bestFit="1" customWidth="1"/>
    <col min="7" max="7" width="11.85546875" bestFit="1" customWidth="1"/>
    <col min="11" max="12" width="13.5703125" bestFit="1" customWidth="1"/>
    <col min="14" max="14" width="11" bestFit="1" customWidth="1"/>
    <col min="21" max="21" width="15" bestFit="1" customWidth="1"/>
  </cols>
  <sheetData>
    <row r="1" spans="1:20" ht="15.75">
      <c r="A1" s="567" t="s">
        <v>197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20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20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</row>
    <row r="4" spans="1:20">
      <c r="A4" s="189">
        <v>1</v>
      </c>
      <c r="B4" s="212">
        <v>45870</v>
      </c>
      <c r="C4" s="64"/>
      <c r="D4" s="152"/>
      <c r="E4" s="152"/>
      <c r="F4" s="363"/>
      <c r="G4" s="8">
        <f t="shared" ref="G4:G34" si="0">E4*F4</f>
        <v>0</v>
      </c>
      <c r="H4" s="257"/>
      <c r="I4" s="285"/>
      <c r="J4" s="8">
        <f>H4*I4</f>
        <v>0</v>
      </c>
      <c r="K4" s="8">
        <f>G4+J4</f>
        <v>0</v>
      </c>
      <c r="L4" s="8">
        <f>H4+K4</f>
        <v>0</v>
      </c>
      <c r="M4" s="37">
        <f>M3+K4-L4</f>
        <v>0</v>
      </c>
      <c r="N4" s="8"/>
    </row>
    <row r="5" spans="1:20">
      <c r="A5" s="43">
        <v>2</v>
      </c>
      <c r="B5" s="212">
        <v>45871</v>
      </c>
      <c r="C5" s="64"/>
      <c r="D5" s="152"/>
      <c r="E5" s="257"/>
      <c r="F5" s="363"/>
      <c r="G5" s="8">
        <f t="shared" si="0"/>
        <v>0</v>
      </c>
      <c r="H5" s="257"/>
      <c r="I5" s="285"/>
      <c r="J5" s="8">
        <f t="shared" ref="J5:J34" si="1">H5*I5</f>
        <v>0</v>
      </c>
      <c r="K5" s="8">
        <f t="shared" ref="K5:L34" si="2">G5+J5</f>
        <v>0</v>
      </c>
      <c r="L5" s="465">
        <f t="shared" si="2"/>
        <v>0</v>
      </c>
      <c r="M5" s="37">
        <f t="shared" ref="M5:M33" si="3">M4+K5-L5</f>
        <v>0</v>
      </c>
      <c r="N5" s="8"/>
      <c r="S5">
        <v>185.65</v>
      </c>
    </row>
    <row r="6" spans="1:20">
      <c r="A6" s="43">
        <v>3</v>
      </c>
      <c r="B6" s="212">
        <v>45872</v>
      </c>
      <c r="C6" s="64"/>
      <c r="D6" s="152"/>
      <c r="E6" s="257"/>
      <c r="F6" s="363"/>
      <c r="G6" s="8">
        <f t="shared" si="0"/>
        <v>0</v>
      </c>
      <c r="H6" s="257"/>
      <c r="I6" s="285"/>
      <c r="J6" s="8">
        <f t="shared" si="1"/>
        <v>0</v>
      </c>
      <c r="K6" s="8">
        <f t="shared" si="2"/>
        <v>0</v>
      </c>
      <c r="L6" s="8">
        <f t="shared" si="2"/>
        <v>0</v>
      </c>
      <c r="M6" s="37">
        <f t="shared" si="3"/>
        <v>0</v>
      </c>
      <c r="N6" s="8"/>
      <c r="S6">
        <v>5</v>
      </c>
    </row>
    <row r="7" spans="1:20">
      <c r="A7" s="43">
        <v>4</v>
      </c>
      <c r="B7" s="212">
        <v>45873</v>
      </c>
      <c r="C7" s="64"/>
      <c r="D7" s="152"/>
      <c r="E7" s="257"/>
      <c r="F7" s="363"/>
      <c r="G7" s="8">
        <f t="shared" si="0"/>
        <v>0</v>
      </c>
      <c r="H7" s="257"/>
      <c r="I7" s="285"/>
      <c r="J7" s="8">
        <f t="shared" si="1"/>
        <v>0</v>
      </c>
      <c r="K7" s="8">
        <f t="shared" si="2"/>
        <v>0</v>
      </c>
      <c r="L7" s="8">
        <f t="shared" si="2"/>
        <v>0</v>
      </c>
      <c r="M7" s="37">
        <f t="shared" si="3"/>
        <v>0</v>
      </c>
      <c r="N7" s="8"/>
      <c r="S7">
        <v>95.33</v>
      </c>
    </row>
    <row r="8" spans="1:20">
      <c r="A8" s="43">
        <v>5</v>
      </c>
      <c r="B8" s="212">
        <v>45874</v>
      </c>
      <c r="C8" s="64"/>
      <c r="D8" s="152"/>
      <c r="E8" s="257"/>
      <c r="F8" s="363"/>
      <c r="G8" s="8">
        <f t="shared" si="0"/>
        <v>0</v>
      </c>
      <c r="H8" s="257"/>
      <c r="I8" s="285"/>
      <c r="J8" s="8">
        <f t="shared" si="1"/>
        <v>0</v>
      </c>
      <c r="K8" s="8">
        <f t="shared" si="2"/>
        <v>0</v>
      </c>
      <c r="L8" s="8">
        <f t="shared" si="2"/>
        <v>0</v>
      </c>
      <c r="M8" s="37">
        <f t="shared" si="3"/>
        <v>0</v>
      </c>
      <c r="N8" s="8"/>
    </row>
    <row r="9" spans="1:20">
      <c r="A9" s="43">
        <v>6</v>
      </c>
      <c r="B9" s="212">
        <v>45875</v>
      </c>
      <c r="C9" s="64"/>
      <c r="D9" s="152"/>
      <c r="E9" s="257"/>
      <c r="F9" s="363"/>
      <c r="G9" s="8">
        <f t="shared" si="0"/>
        <v>0</v>
      </c>
      <c r="H9" s="257"/>
      <c r="I9" s="285"/>
      <c r="J9" s="8">
        <f t="shared" si="1"/>
        <v>0</v>
      </c>
      <c r="K9" s="8">
        <f t="shared" si="2"/>
        <v>0</v>
      </c>
      <c r="L9" s="65">
        <v>0</v>
      </c>
      <c r="M9" s="37">
        <f t="shared" si="3"/>
        <v>0</v>
      </c>
      <c r="N9" s="8"/>
      <c r="T9" s="19"/>
    </row>
    <row r="10" spans="1:20">
      <c r="A10" s="43">
        <v>7</v>
      </c>
      <c r="B10" s="212">
        <v>45876</v>
      </c>
      <c r="C10" s="64"/>
      <c r="D10" s="152"/>
      <c r="E10" s="257"/>
      <c r="F10" s="363"/>
      <c r="G10" s="8">
        <f t="shared" si="0"/>
        <v>0</v>
      </c>
      <c r="H10" s="257"/>
      <c r="I10" s="285"/>
      <c r="J10" s="8">
        <f t="shared" si="1"/>
        <v>0</v>
      </c>
      <c r="K10" s="8">
        <f t="shared" si="2"/>
        <v>0</v>
      </c>
      <c r="L10" s="65">
        <v>0</v>
      </c>
      <c r="M10" s="37">
        <f t="shared" si="3"/>
        <v>0</v>
      </c>
      <c r="N10" s="8"/>
    </row>
    <row r="11" spans="1:20">
      <c r="A11" s="43">
        <v>8</v>
      </c>
      <c r="B11" s="212">
        <v>45877</v>
      </c>
      <c r="C11" s="64"/>
      <c r="D11" s="152"/>
      <c r="E11" s="257"/>
      <c r="F11" s="363"/>
      <c r="G11" s="465">
        <f t="shared" si="0"/>
        <v>0</v>
      </c>
      <c r="H11" s="257"/>
      <c r="I11" s="285"/>
      <c r="J11" s="8">
        <f t="shared" si="1"/>
        <v>0</v>
      </c>
      <c r="K11" s="465">
        <f t="shared" si="2"/>
        <v>0</v>
      </c>
      <c r="L11" s="465">
        <f t="shared" si="2"/>
        <v>0</v>
      </c>
      <c r="M11" s="37">
        <f t="shared" si="3"/>
        <v>0</v>
      </c>
      <c r="N11" s="8"/>
    </row>
    <row r="12" spans="1:20">
      <c r="A12" s="43">
        <v>9</v>
      </c>
      <c r="B12" s="212">
        <v>45878</v>
      </c>
      <c r="C12" s="64"/>
      <c r="D12" s="152"/>
      <c r="E12" s="257"/>
      <c r="F12" s="363"/>
      <c r="G12" s="8">
        <f t="shared" si="0"/>
        <v>0</v>
      </c>
      <c r="H12" s="257"/>
      <c r="I12" s="285"/>
      <c r="J12" s="8">
        <f t="shared" si="1"/>
        <v>0</v>
      </c>
      <c r="K12" s="8">
        <f t="shared" si="2"/>
        <v>0</v>
      </c>
      <c r="L12" s="65">
        <v>0</v>
      </c>
      <c r="M12" s="37">
        <f t="shared" si="3"/>
        <v>0</v>
      </c>
      <c r="N12" s="8"/>
    </row>
    <row r="13" spans="1:20">
      <c r="A13" s="43">
        <v>10</v>
      </c>
      <c r="B13" s="212">
        <v>45879</v>
      </c>
      <c r="C13" s="64"/>
      <c r="D13" s="152"/>
      <c r="E13" s="257"/>
      <c r="F13" s="363"/>
      <c r="G13" s="465">
        <f t="shared" si="0"/>
        <v>0</v>
      </c>
      <c r="H13" s="257"/>
      <c r="I13" s="285"/>
      <c r="J13" s="8">
        <f t="shared" si="1"/>
        <v>0</v>
      </c>
      <c r="K13" s="465">
        <f t="shared" si="2"/>
        <v>0</v>
      </c>
      <c r="L13" s="465">
        <f t="shared" si="2"/>
        <v>0</v>
      </c>
      <c r="M13" s="37">
        <f t="shared" si="3"/>
        <v>0</v>
      </c>
      <c r="N13" s="8"/>
    </row>
    <row r="14" spans="1:20">
      <c r="A14" s="43">
        <v>11</v>
      </c>
      <c r="B14" s="212">
        <v>45880</v>
      </c>
      <c r="C14" s="64"/>
      <c r="D14" s="152"/>
      <c r="E14" s="257"/>
      <c r="F14" s="363"/>
      <c r="G14" s="8">
        <f t="shared" si="0"/>
        <v>0</v>
      </c>
      <c r="H14" s="257"/>
      <c r="I14" s="285"/>
      <c r="J14" s="8">
        <f t="shared" si="1"/>
        <v>0</v>
      </c>
      <c r="K14" s="8">
        <f t="shared" si="2"/>
        <v>0</v>
      </c>
      <c r="L14" s="8">
        <f t="shared" si="2"/>
        <v>0</v>
      </c>
      <c r="M14" s="37">
        <f t="shared" si="3"/>
        <v>0</v>
      </c>
      <c r="N14" s="8"/>
    </row>
    <row r="15" spans="1:20">
      <c r="A15" s="43">
        <v>12</v>
      </c>
      <c r="B15" s="212">
        <v>45881</v>
      </c>
      <c r="C15" s="64"/>
      <c r="D15" s="152"/>
      <c r="E15" s="257"/>
      <c r="F15" s="363"/>
      <c r="G15" s="465">
        <f t="shared" si="0"/>
        <v>0</v>
      </c>
      <c r="H15" s="257"/>
      <c r="I15" s="285"/>
      <c r="J15" s="8">
        <f t="shared" si="1"/>
        <v>0</v>
      </c>
      <c r="K15" s="465">
        <f t="shared" si="2"/>
        <v>0</v>
      </c>
      <c r="L15" s="465">
        <f t="shared" si="2"/>
        <v>0</v>
      </c>
      <c r="M15" s="37">
        <f t="shared" si="3"/>
        <v>0</v>
      </c>
      <c r="N15" s="8"/>
    </row>
    <row r="16" spans="1:20">
      <c r="A16" s="43">
        <v>13</v>
      </c>
      <c r="B16" s="212">
        <v>45882</v>
      </c>
      <c r="C16" s="64"/>
      <c r="D16" s="152"/>
      <c r="E16" s="257"/>
      <c r="F16" s="363"/>
      <c r="G16" s="8">
        <f t="shared" si="0"/>
        <v>0</v>
      </c>
      <c r="H16" s="257"/>
      <c r="I16" s="285"/>
      <c r="J16" s="8">
        <f t="shared" si="1"/>
        <v>0</v>
      </c>
      <c r="K16" s="8">
        <f t="shared" si="2"/>
        <v>0</v>
      </c>
      <c r="L16" s="8">
        <f t="shared" si="2"/>
        <v>0</v>
      </c>
      <c r="M16" s="37">
        <f t="shared" si="3"/>
        <v>0</v>
      </c>
      <c r="N16" s="8"/>
    </row>
    <row r="17" spans="1:21">
      <c r="A17" s="43">
        <v>14</v>
      </c>
      <c r="B17" s="212">
        <v>45883</v>
      </c>
      <c r="C17" s="64"/>
      <c r="D17" s="152"/>
      <c r="E17" s="257">
        <v>285.39</v>
      </c>
      <c r="F17" s="363">
        <v>105.12</v>
      </c>
      <c r="G17" s="8">
        <f t="shared" si="0"/>
        <v>30000.196800000002</v>
      </c>
      <c r="H17" s="257"/>
      <c r="I17" s="285"/>
      <c r="J17" s="8">
        <f t="shared" si="1"/>
        <v>0</v>
      </c>
      <c r="K17" s="8">
        <f t="shared" si="2"/>
        <v>30000.196800000002</v>
      </c>
      <c r="L17" s="8">
        <f t="shared" si="2"/>
        <v>30000.196800000002</v>
      </c>
      <c r="M17" s="37">
        <f t="shared" si="3"/>
        <v>0</v>
      </c>
      <c r="N17" s="8" t="s">
        <v>198</v>
      </c>
      <c r="U17" s="19"/>
    </row>
    <row r="18" spans="1:21">
      <c r="A18" s="43">
        <v>15</v>
      </c>
      <c r="B18" s="212">
        <v>45884</v>
      </c>
      <c r="C18" s="64"/>
      <c r="D18" s="152"/>
      <c r="E18" s="257"/>
      <c r="F18" s="363"/>
      <c r="G18" s="8">
        <f t="shared" si="0"/>
        <v>0</v>
      </c>
      <c r="H18" s="257"/>
      <c r="I18" s="285"/>
      <c r="J18" s="8">
        <f t="shared" si="1"/>
        <v>0</v>
      </c>
      <c r="K18" s="465">
        <f t="shared" si="2"/>
        <v>0</v>
      </c>
      <c r="L18" s="465">
        <f t="shared" si="2"/>
        <v>0</v>
      </c>
      <c r="M18" s="37">
        <f t="shared" si="3"/>
        <v>0</v>
      </c>
      <c r="N18" s="8"/>
    </row>
    <row r="19" spans="1:21">
      <c r="A19" s="43">
        <v>16</v>
      </c>
      <c r="B19" s="212">
        <v>45885</v>
      </c>
      <c r="C19" s="64"/>
      <c r="D19" s="152"/>
      <c r="E19" s="257"/>
      <c r="F19" s="363"/>
      <c r="G19" s="8">
        <f t="shared" ref="G19" si="4">E19*F19</f>
        <v>0</v>
      </c>
      <c r="H19" s="257"/>
      <c r="I19" s="285"/>
      <c r="J19" s="8">
        <f t="shared" si="1"/>
        <v>0</v>
      </c>
      <c r="K19" s="465">
        <f t="shared" ref="K19" si="5">G19+J19</f>
        <v>0</v>
      </c>
      <c r="L19" s="465">
        <f t="shared" ref="L19" si="6">H19+K19</f>
        <v>0</v>
      </c>
      <c r="M19" s="37">
        <f t="shared" si="3"/>
        <v>0</v>
      </c>
      <c r="N19" s="8"/>
    </row>
    <row r="20" spans="1:21">
      <c r="A20" s="43">
        <v>17</v>
      </c>
      <c r="B20" s="212">
        <v>45886</v>
      </c>
      <c r="C20" s="64"/>
      <c r="D20" s="152"/>
      <c r="E20" s="257">
        <v>285.39</v>
      </c>
      <c r="F20" s="363">
        <v>105.12</v>
      </c>
      <c r="G20" s="8">
        <f t="shared" si="0"/>
        <v>30000.196800000002</v>
      </c>
      <c r="H20" s="257"/>
      <c r="I20" s="285"/>
      <c r="J20" s="8">
        <f t="shared" si="1"/>
        <v>0</v>
      </c>
      <c r="K20" s="465">
        <f t="shared" si="2"/>
        <v>30000.196800000002</v>
      </c>
      <c r="L20" s="465">
        <f t="shared" si="2"/>
        <v>30000.196800000002</v>
      </c>
      <c r="M20" s="37">
        <f t="shared" si="3"/>
        <v>0</v>
      </c>
      <c r="N20" s="8" t="s">
        <v>198</v>
      </c>
    </row>
    <row r="21" spans="1:21">
      <c r="A21" s="43">
        <v>18</v>
      </c>
      <c r="B21" s="212">
        <v>45887</v>
      </c>
      <c r="C21" s="64"/>
      <c r="D21" s="152"/>
      <c r="E21" s="257"/>
      <c r="F21" s="363"/>
      <c r="G21" s="8">
        <f t="shared" si="0"/>
        <v>0</v>
      </c>
      <c r="H21" s="257"/>
      <c r="I21" s="285"/>
      <c r="J21" s="8">
        <f t="shared" si="1"/>
        <v>0</v>
      </c>
      <c r="K21" s="8">
        <f t="shared" si="2"/>
        <v>0</v>
      </c>
      <c r="L21" s="8">
        <f t="shared" si="2"/>
        <v>0</v>
      </c>
      <c r="M21" s="37">
        <f t="shared" si="3"/>
        <v>0</v>
      </c>
      <c r="N21" s="8"/>
    </row>
    <row r="22" spans="1:21">
      <c r="A22" s="43">
        <v>19</v>
      </c>
      <c r="B22" s="212">
        <v>45888</v>
      </c>
      <c r="C22" s="64"/>
      <c r="D22" s="152"/>
      <c r="E22" s="257"/>
      <c r="F22" s="363"/>
      <c r="G22" s="8">
        <f t="shared" si="0"/>
        <v>0</v>
      </c>
      <c r="H22" s="257"/>
      <c r="I22" s="285"/>
      <c r="J22" s="8">
        <f t="shared" si="1"/>
        <v>0</v>
      </c>
      <c r="K22" s="8">
        <f t="shared" si="2"/>
        <v>0</v>
      </c>
      <c r="L22" s="8">
        <f t="shared" si="2"/>
        <v>0</v>
      </c>
      <c r="M22" s="37">
        <f t="shared" si="3"/>
        <v>0</v>
      </c>
      <c r="N22" s="8"/>
    </row>
    <row r="23" spans="1:21">
      <c r="A23" s="43">
        <v>20</v>
      </c>
      <c r="B23" s="212">
        <v>45889</v>
      </c>
      <c r="C23" s="64"/>
      <c r="D23" s="152"/>
      <c r="E23" s="257">
        <v>285.39</v>
      </c>
      <c r="F23" s="363">
        <v>105.12</v>
      </c>
      <c r="G23" s="8">
        <f t="shared" si="0"/>
        <v>30000.196800000002</v>
      </c>
      <c r="H23" s="257"/>
      <c r="I23" s="285"/>
      <c r="J23" s="8">
        <f t="shared" si="1"/>
        <v>0</v>
      </c>
      <c r="K23" s="8">
        <f t="shared" si="2"/>
        <v>30000.196800000002</v>
      </c>
      <c r="L23" s="8">
        <f t="shared" si="2"/>
        <v>30000.196800000002</v>
      </c>
      <c r="M23" s="37">
        <f t="shared" si="3"/>
        <v>0</v>
      </c>
      <c r="N23" s="8" t="s">
        <v>198</v>
      </c>
    </row>
    <row r="24" spans="1:21">
      <c r="A24" s="43">
        <v>21</v>
      </c>
      <c r="B24" s="212">
        <v>45890</v>
      </c>
      <c r="C24" s="64"/>
      <c r="D24" s="152"/>
      <c r="E24" s="257"/>
      <c r="F24" s="363"/>
      <c r="G24" s="8">
        <f t="shared" si="0"/>
        <v>0</v>
      </c>
      <c r="H24" s="257"/>
      <c r="I24" s="285"/>
      <c r="J24" s="8">
        <f t="shared" si="1"/>
        <v>0</v>
      </c>
      <c r="K24" s="8">
        <f t="shared" si="2"/>
        <v>0</v>
      </c>
      <c r="L24" s="8">
        <f t="shared" si="2"/>
        <v>0</v>
      </c>
      <c r="M24" s="37">
        <f t="shared" si="3"/>
        <v>0</v>
      </c>
      <c r="N24" s="8"/>
    </row>
    <row r="25" spans="1:21">
      <c r="A25" s="43">
        <v>22</v>
      </c>
      <c r="B25" s="212">
        <v>45891</v>
      </c>
      <c r="C25" s="64"/>
      <c r="D25" s="152"/>
      <c r="E25" s="257"/>
      <c r="F25" s="363"/>
      <c r="G25" s="8">
        <f t="shared" si="0"/>
        <v>0</v>
      </c>
      <c r="H25" s="257"/>
      <c r="I25" s="285"/>
      <c r="J25" s="8">
        <f t="shared" si="1"/>
        <v>0</v>
      </c>
      <c r="K25" s="8">
        <f t="shared" si="2"/>
        <v>0</v>
      </c>
      <c r="L25" s="8">
        <f t="shared" si="2"/>
        <v>0</v>
      </c>
      <c r="M25" s="37">
        <f t="shared" si="3"/>
        <v>0</v>
      </c>
      <c r="N25" s="8"/>
    </row>
    <row r="26" spans="1:21">
      <c r="A26" s="43">
        <v>23</v>
      </c>
      <c r="B26" s="212">
        <v>45892</v>
      </c>
      <c r="C26" s="64"/>
      <c r="D26" s="152"/>
      <c r="E26" s="423"/>
      <c r="F26" s="363"/>
      <c r="G26" s="8">
        <f t="shared" si="0"/>
        <v>0</v>
      </c>
      <c r="H26" s="257"/>
      <c r="I26" s="285"/>
      <c r="J26" s="8">
        <f t="shared" si="1"/>
        <v>0</v>
      </c>
      <c r="K26" s="8">
        <f t="shared" si="2"/>
        <v>0</v>
      </c>
      <c r="L26" s="65">
        <f t="shared" ref="L18:L35" si="7">+K26</f>
        <v>0</v>
      </c>
      <c r="M26" s="37">
        <f t="shared" si="3"/>
        <v>0</v>
      </c>
      <c r="N26" s="8"/>
    </row>
    <row r="27" spans="1:21">
      <c r="A27" s="43">
        <v>24</v>
      </c>
      <c r="B27" s="212">
        <v>45893</v>
      </c>
      <c r="C27" s="64"/>
      <c r="D27" s="309"/>
      <c r="E27" s="257"/>
      <c r="F27" s="551"/>
      <c r="G27" s="8">
        <f t="shared" si="0"/>
        <v>0</v>
      </c>
      <c r="H27" s="257"/>
      <c r="I27" s="285"/>
      <c r="J27" s="8">
        <f t="shared" si="1"/>
        <v>0</v>
      </c>
      <c r="K27" s="8">
        <f t="shared" si="2"/>
        <v>0</v>
      </c>
      <c r="L27" s="65">
        <f t="shared" si="7"/>
        <v>0</v>
      </c>
      <c r="M27" s="37">
        <f t="shared" si="3"/>
        <v>0</v>
      </c>
      <c r="N27" s="8"/>
    </row>
    <row r="28" spans="1:21">
      <c r="A28" s="214">
        <v>25</v>
      </c>
      <c r="B28" s="212">
        <v>45894</v>
      </c>
      <c r="C28" s="64"/>
      <c r="D28" s="309"/>
      <c r="E28" s="14"/>
      <c r="F28" s="551"/>
      <c r="G28" s="8">
        <f t="shared" si="0"/>
        <v>0</v>
      </c>
      <c r="H28" s="257"/>
      <c r="I28" s="285"/>
      <c r="J28" s="8">
        <f t="shared" si="1"/>
        <v>0</v>
      </c>
      <c r="K28" s="8">
        <f t="shared" si="2"/>
        <v>0</v>
      </c>
      <c r="L28" s="65">
        <f t="shared" si="7"/>
        <v>0</v>
      </c>
      <c r="M28" s="37">
        <f t="shared" si="3"/>
        <v>0</v>
      </c>
      <c r="N28" s="8"/>
    </row>
    <row r="29" spans="1:21">
      <c r="A29" s="214">
        <v>26</v>
      </c>
      <c r="B29" s="212">
        <v>45895</v>
      </c>
      <c r="C29" s="64"/>
      <c r="D29" s="309"/>
      <c r="E29" s="14"/>
      <c r="F29" s="551"/>
      <c r="G29" s="8">
        <f t="shared" si="0"/>
        <v>0</v>
      </c>
      <c r="H29" s="62"/>
      <c r="I29" s="63"/>
      <c r="J29" s="8">
        <f t="shared" si="1"/>
        <v>0</v>
      </c>
      <c r="K29" s="8">
        <f t="shared" si="2"/>
        <v>0</v>
      </c>
      <c r="L29" s="65">
        <f t="shared" si="7"/>
        <v>0</v>
      </c>
      <c r="M29" s="37">
        <f t="shared" si="3"/>
        <v>0</v>
      </c>
      <c r="N29" s="8"/>
      <c r="U29" s="19">
        <f>50000/104.9</f>
        <v>476.64442326024783</v>
      </c>
    </row>
    <row r="30" spans="1:21">
      <c r="A30" s="214">
        <v>27</v>
      </c>
      <c r="B30" s="212">
        <v>45896</v>
      </c>
      <c r="C30" s="64"/>
      <c r="D30" s="309"/>
      <c r="E30" s="249"/>
      <c r="F30" s="552"/>
      <c r="G30" s="8">
        <f t="shared" si="0"/>
        <v>0</v>
      </c>
      <c r="H30" s="62"/>
      <c r="I30" s="63"/>
      <c r="J30" s="8">
        <f t="shared" si="1"/>
        <v>0</v>
      </c>
      <c r="K30" s="8">
        <f t="shared" si="2"/>
        <v>0</v>
      </c>
      <c r="L30" s="65">
        <f t="shared" si="7"/>
        <v>0</v>
      </c>
      <c r="M30" s="37">
        <f t="shared" si="3"/>
        <v>0</v>
      </c>
      <c r="N30" s="8"/>
    </row>
    <row r="31" spans="1:21">
      <c r="A31" s="214">
        <v>28</v>
      </c>
      <c r="B31" s="212">
        <v>45897</v>
      </c>
      <c r="C31" s="64"/>
      <c r="D31" s="152"/>
      <c r="E31" s="553"/>
      <c r="F31" s="249"/>
      <c r="G31" s="8">
        <f t="shared" si="0"/>
        <v>0</v>
      </c>
      <c r="H31" s="62"/>
      <c r="I31" s="63"/>
      <c r="J31" s="8">
        <f t="shared" si="1"/>
        <v>0</v>
      </c>
      <c r="K31" s="8">
        <f t="shared" si="2"/>
        <v>0</v>
      </c>
      <c r="L31" s="65">
        <f t="shared" si="7"/>
        <v>0</v>
      </c>
      <c r="M31" s="37">
        <f t="shared" si="3"/>
        <v>0</v>
      </c>
      <c r="N31" s="8"/>
    </row>
    <row r="32" spans="1:21">
      <c r="A32" s="215">
        <v>29</v>
      </c>
      <c r="B32" s="212">
        <v>45898</v>
      </c>
      <c r="C32" s="64"/>
      <c r="D32" s="152"/>
      <c r="E32" s="249"/>
      <c r="F32" s="249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7"/>
        <v>0</v>
      </c>
      <c r="M32" s="37">
        <f t="shared" si="3"/>
        <v>0</v>
      </c>
      <c r="N32" s="8"/>
    </row>
    <row r="33" spans="1:14">
      <c r="A33" s="215">
        <v>30</v>
      </c>
      <c r="B33" s="212">
        <v>45899</v>
      </c>
      <c r="C33" s="64"/>
      <c r="D33" s="152"/>
      <c r="E33" s="249"/>
      <c r="F33" s="249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>
        <f t="shared" si="7"/>
        <v>0</v>
      </c>
      <c r="M33" s="37">
        <f t="shared" si="3"/>
        <v>0</v>
      </c>
      <c r="N33" s="8"/>
    </row>
    <row r="34" spans="1:14">
      <c r="A34" s="215">
        <v>31</v>
      </c>
      <c r="B34" s="212">
        <v>45900</v>
      </c>
      <c r="C34" s="64"/>
      <c r="D34" s="152"/>
      <c r="E34" s="249">
        <v>476.64442326024783</v>
      </c>
      <c r="F34" s="249">
        <v>104.9</v>
      </c>
      <c r="G34" s="8">
        <f t="shared" si="0"/>
        <v>50000</v>
      </c>
      <c r="H34" s="62"/>
      <c r="I34" s="63"/>
      <c r="J34" s="8">
        <f t="shared" si="1"/>
        <v>0</v>
      </c>
      <c r="K34" s="8">
        <f t="shared" si="2"/>
        <v>50000</v>
      </c>
      <c r="L34" s="65">
        <f t="shared" si="7"/>
        <v>50000</v>
      </c>
      <c r="M34" s="65">
        <v>0</v>
      </c>
      <c r="N34" s="8" t="s">
        <v>198</v>
      </c>
    </row>
    <row r="35" spans="1:14">
      <c r="A35" s="59"/>
      <c r="B35" s="59"/>
      <c r="C35" s="59"/>
      <c r="D35" s="59"/>
      <c r="E35" s="250">
        <f>SUM(E4:E34)</f>
        <v>1332.8144232602478</v>
      </c>
      <c r="F35" s="250"/>
      <c r="G35" s="60">
        <f>SUM(G4:G34)</f>
        <v>140000.59039999999</v>
      </c>
      <c r="H35" s="60">
        <f>SUM(H4:H34)</f>
        <v>0</v>
      </c>
      <c r="I35" s="60"/>
      <c r="J35" s="60">
        <f>SUM(J4:J34)</f>
        <v>0</v>
      </c>
      <c r="K35" s="60">
        <f>SUM(K4:K34)</f>
        <v>140000.59039999999</v>
      </c>
      <c r="L35" s="60">
        <f>SUM(L4:L34)</f>
        <v>140000.59039999999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R14" sqref="R14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16.42578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67" t="s">
        <v>86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  <c r="O3" s="56"/>
    </row>
    <row r="4" spans="1:18">
      <c r="A4" s="189">
        <v>1</v>
      </c>
      <c r="B4" s="212">
        <v>45870</v>
      </c>
      <c r="C4" s="64"/>
      <c r="D4" s="152"/>
      <c r="E4" s="249"/>
      <c r="F4" s="249"/>
      <c r="G4" s="8">
        <f t="shared" ref="G4" si="0">E4*F4</f>
        <v>0</v>
      </c>
      <c r="H4" s="62">
        <v>0</v>
      </c>
      <c r="I4" s="63">
        <v>0</v>
      </c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8">
      <c r="A5" s="43">
        <v>2</v>
      </c>
      <c r="B5" s="212">
        <v>45871</v>
      </c>
      <c r="C5" s="64"/>
      <c r="D5" s="152"/>
      <c r="E5" s="249"/>
      <c r="F5" s="249"/>
      <c r="G5" s="8">
        <f t="shared" ref="G5:G33" si="1">E5*F5</f>
        <v>0</v>
      </c>
      <c r="H5" s="62">
        <v>0</v>
      </c>
      <c r="I5" s="63">
        <v>0</v>
      </c>
      <c r="J5" s="8">
        <f t="shared" ref="J5:J33" si="2">H5*I5</f>
        <v>0</v>
      </c>
      <c r="K5" s="8">
        <f t="shared" ref="K5:K33" si="3">G5+J5</f>
        <v>0</v>
      </c>
      <c r="L5" s="65">
        <f t="shared" ref="L5:L33" si="4">+K5</f>
        <v>0</v>
      </c>
      <c r="M5" s="65">
        <v>0</v>
      </c>
      <c r="N5" s="8"/>
    </row>
    <row r="6" spans="1:18">
      <c r="A6" s="43">
        <v>3</v>
      </c>
      <c r="B6" s="212">
        <v>45872</v>
      </c>
      <c r="C6" s="64"/>
      <c r="D6" s="152"/>
      <c r="E6" s="249"/>
      <c r="F6" s="249"/>
      <c r="G6" s="8">
        <f t="shared" si="1"/>
        <v>0</v>
      </c>
      <c r="H6" s="62">
        <v>0</v>
      </c>
      <c r="I6" s="63">
        <v>0</v>
      </c>
      <c r="J6" s="8">
        <f t="shared" si="2"/>
        <v>0</v>
      </c>
      <c r="K6" s="8">
        <f t="shared" si="3"/>
        <v>0</v>
      </c>
      <c r="L6" s="65">
        <f t="shared" si="4"/>
        <v>0</v>
      </c>
      <c r="M6" s="65">
        <v>0</v>
      </c>
      <c r="N6" s="8"/>
    </row>
    <row r="7" spans="1:18">
      <c r="A7" s="43">
        <v>4</v>
      </c>
      <c r="B7" s="212">
        <v>45873</v>
      </c>
      <c r="C7" s="64"/>
      <c r="D7" s="152"/>
      <c r="E7" s="249"/>
      <c r="F7" s="249"/>
      <c r="G7" s="8">
        <f t="shared" si="1"/>
        <v>0</v>
      </c>
      <c r="H7" s="62">
        <v>0</v>
      </c>
      <c r="I7" s="63">
        <v>0</v>
      </c>
      <c r="J7" s="8">
        <f t="shared" si="2"/>
        <v>0</v>
      </c>
      <c r="K7" s="8">
        <f t="shared" si="3"/>
        <v>0</v>
      </c>
      <c r="L7" s="65">
        <f t="shared" si="4"/>
        <v>0</v>
      </c>
      <c r="M7" s="65">
        <v>0</v>
      </c>
      <c r="N7" s="8"/>
    </row>
    <row r="8" spans="1:18">
      <c r="A8" s="43">
        <v>5</v>
      </c>
      <c r="B8" s="212">
        <v>45874</v>
      </c>
      <c r="C8" s="64"/>
      <c r="D8" s="152"/>
      <c r="E8" s="249"/>
      <c r="F8" s="249"/>
      <c r="G8" s="8">
        <f t="shared" si="1"/>
        <v>0</v>
      </c>
      <c r="H8" s="62">
        <v>0</v>
      </c>
      <c r="I8" s="63">
        <v>0</v>
      </c>
      <c r="J8" s="8">
        <f t="shared" si="2"/>
        <v>0</v>
      </c>
      <c r="K8" s="8">
        <f t="shared" si="3"/>
        <v>0</v>
      </c>
      <c r="L8" s="65">
        <f t="shared" si="4"/>
        <v>0</v>
      </c>
      <c r="M8" s="65">
        <v>0</v>
      </c>
      <c r="N8" s="8"/>
      <c r="O8" s="66"/>
      <c r="R8" s="218"/>
    </row>
    <row r="9" spans="1:18">
      <c r="A9" s="43">
        <v>6</v>
      </c>
      <c r="B9" s="212">
        <v>45875</v>
      </c>
      <c r="C9" s="64"/>
      <c r="D9" s="152"/>
      <c r="E9" s="249"/>
      <c r="F9" s="249"/>
      <c r="G9" s="8">
        <f t="shared" si="1"/>
        <v>0</v>
      </c>
      <c r="H9" s="62">
        <v>0</v>
      </c>
      <c r="I9" s="63">
        <v>0</v>
      </c>
      <c r="J9" s="8">
        <f t="shared" si="2"/>
        <v>0</v>
      </c>
      <c r="K9" s="8">
        <f t="shared" si="3"/>
        <v>0</v>
      </c>
      <c r="L9" s="65">
        <f t="shared" si="4"/>
        <v>0</v>
      </c>
      <c r="M9" s="65">
        <v>0</v>
      </c>
      <c r="N9" s="8"/>
      <c r="O9" s="66"/>
    </row>
    <row r="10" spans="1:18">
      <c r="A10" s="43">
        <v>7</v>
      </c>
      <c r="B10" s="212">
        <v>45876</v>
      </c>
      <c r="C10" s="64"/>
      <c r="D10" s="152"/>
      <c r="E10" s="249"/>
      <c r="F10" s="249"/>
      <c r="G10" s="8">
        <f t="shared" si="1"/>
        <v>0</v>
      </c>
      <c r="H10" s="62">
        <v>0</v>
      </c>
      <c r="I10" s="63">
        <v>0</v>
      </c>
      <c r="J10" s="8">
        <f t="shared" si="2"/>
        <v>0</v>
      </c>
      <c r="K10" s="8">
        <f t="shared" si="3"/>
        <v>0</v>
      </c>
      <c r="L10" s="65">
        <f t="shared" si="4"/>
        <v>0</v>
      </c>
      <c r="M10" s="65">
        <v>0</v>
      </c>
      <c r="N10" s="8"/>
      <c r="O10" s="66"/>
    </row>
    <row r="11" spans="1:18">
      <c r="A11" s="43">
        <v>8</v>
      </c>
      <c r="B11" s="212">
        <v>45877</v>
      </c>
      <c r="C11" s="64"/>
      <c r="D11" s="152"/>
      <c r="E11" s="249"/>
      <c r="F11" s="249"/>
      <c r="G11" s="8">
        <f t="shared" si="1"/>
        <v>0</v>
      </c>
      <c r="H11" s="62">
        <v>0</v>
      </c>
      <c r="I11" s="63">
        <v>0</v>
      </c>
      <c r="J11" s="8">
        <f t="shared" si="2"/>
        <v>0</v>
      </c>
      <c r="K11" s="8">
        <f t="shared" si="3"/>
        <v>0</v>
      </c>
      <c r="L11" s="65">
        <f t="shared" si="4"/>
        <v>0</v>
      </c>
      <c r="M11" s="65">
        <v>0</v>
      </c>
      <c r="N11" s="8"/>
      <c r="O11" s="66"/>
    </row>
    <row r="12" spans="1:18">
      <c r="A12" s="43">
        <v>9</v>
      </c>
      <c r="B12" s="212">
        <v>45878</v>
      </c>
      <c r="C12" s="64"/>
      <c r="D12" s="152"/>
      <c r="E12" s="249"/>
      <c r="F12" s="249"/>
      <c r="G12" s="8">
        <f t="shared" si="1"/>
        <v>0</v>
      </c>
      <c r="H12" s="62">
        <v>0</v>
      </c>
      <c r="I12" s="63">
        <v>0</v>
      </c>
      <c r="J12" s="8">
        <f t="shared" si="2"/>
        <v>0</v>
      </c>
      <c r="K12" s="8">
        <f t="shared" ref="K12:K18" si="5">G12+J12</f>
        <v>0</v>
      </c>
      <c r="L12" s="65">
        <f t="shared" ref="L12:L18" si="6">+K12</f>
        <v>0</v>
      </c>
      <c r="M12" s="65">
        <v>0</v>
      </c>
      <c r="N12" s="8"/>
      <c r="O12" s="66"/>
    </row>
    <row r="13" spans="1:18">
      <c r="A13" s="43">
        <v>10</v>
      </c>
      <c r="B13" s="212">
        <v>45879</v>
      </c>
      <c r="C13" s="64"/>
      <c r="D13" s="152"/>
      <c r="E13" s="249"/>
      <c r="F13" s="249"/>
      <c r="G13" s="8">
        <f t="shared" si="1"/>
        <v>0</v>
      </c>
      <c r="H13" s="62">
        <v>0</v>
      </c>
      <c r="I13" s="63">
        <v>0</v>
      </c>
      <c r="J13" s="8">
        <f t="shared" si="2"/>
        <v>0</v>
      </c>
      <c r="K13" s="8">
        <f t="shared" si="5"/>
        <v>0</v>
      </c>
      <c r="L13" s="65">
        <f t="shared" si="6"/>
        <v>0</v>
      </c>
      <c r="M13" s="65">
        <v>0</v>
      </c>
      <c r="N13" s="8"/>
      <c r="O13" s="66"/>
    </row>
    <row r="14" spans="1:18">
      <c r="A14" s="43">
        <v>11</v>
      </c>
      <c r="B14" s="212">
        <v>45880</v>
      </c>
      <c r="C14" s="64"/>
      <c r="D14" s="152"/>
      <c r="E14" s="249"/>
      <c r="F14" s="249"/>
      <c r="G14" s="8">
        <f t="shared" si="1"/>
        <v>0</v>
      </c>
      <c r="H14" s="62">
        <v>0</v>
      </c>
      <c r="I14" s="63">
        <v>0</v>
      </c>
      <c r="J14" s="8">
        <f t="shared" si="2"/>
        <v>0</v>
      </c>
      <c r="K14" s="8">
        <f t="shared" si="5"/>
        <v>0</v>
      </c>
      <c r="L14" s="65">
        <f t="shared" si="6"/>
        <v>0</v>
      </c>
      <c r="M14" s="65">
        <v>0</v>
      </c>
      <c r="N14" s="8"/>
      <c r="O14" s="66"/>
    </row>
    <row r="15" spans="1:18">
      <c r="A15" s="43">
        <v>12</v>
      </c>
      <c r="B15" s="212">
        <v>45881</v>
      </c>
      <c r="C15" s="64"/>
      <c r="D15" s="152"/>
      <c r="E15" s="249"/>
      <c r="F15" s="249"/>
      <c r="G15" s="8">
        <f t="shared" si="1"/>
        <v>0</v>
      </c>
      <c r="H15" s="62">
        <v>0</v>
      </c>
      <c r="I15" s="63">
        <v>0</v>
      </c>
      <c r="J15" s="8">
        <f t="shared" si="2"/>
        <v>0</v>
      </c>
      <c r="K15" s="8">
        <f t="shared" si="5"/>
        <v>0</v>
      </c>
      <c r="L15" s="65">
        <f t="shared" si="6"/>
        <v>0</v>
      </c>
      <c r="M15" s="65">
        <v>0</v>
      </c>
      <c r="N15" s="8"/>
      <c r="O15" s="66"/>
    </row>
    <row r="16" spans="1:18">
      <c r="A16" s="43">
        <v>13</v>
      </c>
      <c r="B16" s="212">
        <v>45882</v>
      </c>
      <c r="C16" s="64"/>
      <c r="D16" s="152"/>
      <c r="E16" s="249"/>
      <c r="F16" s="249"/>
      <c r="G16" s="8">
        <f t="shared" si="1"/>
        <v>0</v>
      </c>
      <c r="H16" s="62">
        <v>0</v>
      </c>
      <c r="I16" s="63">
        <v>0</v>
      </c>
      <c r="J16" s="8">
        <f t="shared" si="2"/>
        <v>0</v>
      </c>
      <c r="K16" s="8">
        <f t="shared" si="5"/>
        <v>0</v>
      </c>
      <c r="L16" s="65">
        <f t="shared" si="6"/>
        <v>0</v>
      </c>
      <c r="M16" s="65">
        <v>0</v>
      </c>
      <c r="N16" s="8"/>
      <c r="O16" s="66"/>
    </row>
    <row r="17" spans="1:15">
      <c r="A17" s="43">
        <v>14</v>
      </c>
      <c r="B17" s="212">
        <v>45883</v>
      </c>
      <c r="C17" s="64"/>
      <c r="D17" s="152"/>
      <c r="E17" s="249"/>
      <c r="F17" s="249"/>
      <c r="G17" s="8">
        <f t="shared" si="1"/>
        <v>0</v>
      </c>
      <c r="H17" s="62">
        <v>0</v>
      </c>
      <c r="I17" s="63">
        <v>0</v>
      </c>
      <c r="J17" s="8">
        <f t="shared" si="2"/>
        <v>0</v>
      </c>
      <c r="K17" s="8">
        <f t="shared" si="5"/>
        <v>0</v>
      </c>
      <c r="L17" s="65">
        <f t="shared" si="6"/>
        <v>0</v>
      </c>
      <c r="M17" s="65">
        <v>0</v>
      </c>
      <c r="N17" s="8"/>
      <c r="O17" s="66"/>
    </row>
    <row r="18" spans="1:15">
      <c r="A18" s="43">
        <v>15</v>
      </c>
      <c r="B18" s="212">
        <v>45884</v>
      </c>
      <c r="C18" s="64"/>
      <c r="D18" s="152"/>
      <c r="E18" s="249"/>
      <c r="F18" s="249"/>
      <c r="G18" s="8">
        <f t="shared" si="1"/>
        <v>0</v>
      </c>
      <c r="H18" s="62">
        <v>0</v>
      </c>
      <c r="I18" s="63">
        <v>0</v>
      </c>
      <c r="J18" s="8">
        <f t="shared" si="2"/>
        <v>0</v>
      </c>
      <c r="K18" s="8">
        <f t="shared" si="5"/>
        <v>0</v>
      </c>
      <c r="L18" s="65">
        <f t="shared" si="6"/>
        <v>0</v>
      </c>
      <c r="M18" s="65">
        <v>0</v>
      </c>
      <c r="N18" s="8"/>
      <c r="O18" s="66"/>
    </row>
    <row r="19" spans="1:15">
      <c r="A19" s="43">
        <v>16</v>
      </c>
      <c r="B19" s="212">
        <v>45885</v>
      </c>
      <c r="C19" s="64"/>
      <c r="D19" s="152"/>
      <c r="E19" s="249"/>
      <c r="F19" s="249"/>
      <c r="G19" s="8">
        <f t="shared" si="1"/>
        <v>0</v>
      </c>
      <c r="H19" s="62">
        <v>0</v>
      </c>
      <c r="I19" s="63">
        <v>0</v>
      </c>
      <c r="J19" s="8">
        <f t="shared" si="2"/>
        <v>0</v>
      </c>
      <c r="K19" s="8">
        <f t="shared" si="3"/>
        <v>0</v>
      </c>
      <c r="L19" s="65">
        <f t="shared" si="4"/>
        <v>0</v>
      </c>
      <c r="M19" s="65">
        <v>0</v>
      </c>
      <c r="N19" s="8"/>
      <c r="O19" s="66"/>
    </row>
    <row r="20" spans="1:15">
      <c r="A20" s="43">
        <v>17</v>
      </c>
      <c r="B20" s="212">
        <v>45886</v>
      </c>
      <c r="C20" s="64"/>
      <c r="D20" s="152"/>
      <c r="E20" s="249"/>
      <c r="F20" s="249"/>
      <c r="G20" s="8">
        <f t="shared" si="1"/>
        <v>0</v>
      </c>
      <c r="H20" s="62">
        <v>0</v>
      </c>
      <c r="I20" s="63">
        <v>0</v>
      </c>
      <c r="J20" s="8">
        <f t="shared" si="2"/>
        <v>0</v>
      </c>
      <c r="K20" s="8">
        <f t="shared" si="3"/>
        <v>0</v>
      </c>
      <c r="L20" s="65">
        <f t="shared" si="4"/>
        <v>0</v>
      </c>
      <c r="M20" s="65">
        <v>0</v>
      </c>
      <c r="N20" s="8"/>
      <c r="O20" s="66"/>
    </row>
    <row r="21" spans="1:15">
      <c r="A21" s="43">
        <v>18</v>
      </c>
      <c r="B21" s="212">
        <v>45887</v>
      </c>
      <c r="C21" s="64"/>
      <c r="D21" s="152"/>
      <c r="E21" s="249"/>
      <c r="F21" s="249"/>
      <c r="G21" s="8">
        <f t="shared" si="1"/>
        <v>0</v>
      </c>
      <c r="H21" s="62">
        <v>0</v>
      </c>
      <c r="I21" s="63">
        <v>0</v>
      </c>
      <c r="J21" s="8">
        <f t="shared" si="2"/>
        <v>0</v>
      </c>
      <c r="K21" s="8">
        <f t="shared" si="3"/>
        <v>0</v>
      </c>
      <c r="L21" s="65">
        <f t="shared" si="4"/>
        <v>0</v>
      </c>
      <c r="M21" s="65">
        <v>0</v>
      </c>
      <c r="N21" s="8"/>
      <c r="O21" s="66"/>
    </row>
    <row r="22" spans="1:15">
      <c r="A22" s="43">
        <v>19</v>
      </c>
      <c r="B22" s="212">
        <v>45888</v>
      </c>
      <c r="C22" s="64"/>
      <c r="D22" s="152"/>
      <c r="E22" s="249"/>
      <c r="F22" s="249"/>
      <c r="G22" s="8">
        <f t="shared" si="1"/>
        <v>0</v>
      </c>
      <c r="H22" s="62">
        <v>0</v>
      </c>
      <c r="I22" s="63">
        <v>0</v>
      </c>
      <c r="J22" s="8">
        <f t="shared" si="2"/>
        <v>0</v>
      </c>
      <c r="K22" s="8">
        <f t="shared" si="3"/>
        <v>0</v>
      </c>
      <c r="L22" s="65">
        <f t="shared" si="4"/>
        <v>0</v>
      </c>
      <c r="M22" s="65">
        <v>0</v>
      </c>
      <c r="N22" s="8"/>
      <c r="O22" s="66"/>
    </row>
    <row r="23" spans="1:15">
      <c r="A23" s="43">
        <v>20</v>
      </c>
      <c r="B23" s="212">
        <v>45889</v>
      </c>
      <c r="C23" s="64"/>
      <c r="D23" s="152"/>
      <c r="E23" s="249"/>
      <c r="F23" s="249"/>
      <c r="G23" s="8">
        <f t="shared" si="1"/>
        <v>0</v>
      </c>
      <c r="H23" s="62">
        <v>0</v>
      </c>
      <c r="I23" s="63">
        <v>0</v>
      </c>
      <c r="J23" s="8">
        <f t="shared" si="2"/>
        <v>0</v>
      </c>
      <c r="K23" s="8">
        <f t="shared" si="3"/>
        <v>0</v>
      </c>
      <c r="L23" s="65">
        <f t="shared" si="4"/>
        <v>0</v>
      </c>
      <c r="M23" s="65">
        <v>0</v>
      </c>
      <c r="N23" s="8"/>
      <c r="O23" s="66"/>
    </row>
    <row r="24" spans="1:15">
      <c r="A24" s="43">
        <v>21</v>
      </c>
      <c r="B24" s="212">
        <v>45890</v>
      </c>
      <c r="C24" s="64"/>
      <c r="D24" s="152"/>
      <c r="E24" s="249"/>
      <c r="F24" s="249"/>
      <c r="G24" s="8">
        <f t="shared" si="1"/>
        <v>0</v>
      </c>
      <c r="H24" s="62">
        <v>0</v>
      </c>
      <c r="I24" s="63">
        <v>0</v>
      </c>
      <c r="J24" s="8">
        <f t="shared" si="2"/>
        <v>0</v>
      </c>
      <c r="K24" s="8">
        <f t="shared" si="3"/>
        <v>0</v>
      </c>
      <c r="L24" s="65">
        <f t="shared" si="4"/>
        <v>0</v>
      </c>
      <c r="M24" s="65">
        <v>0</v>
      </c>
      <c r="N24" s="8"/>
      <c r="O24" s="66"/>
    </row>
    <row r="25" spans="1:15">
      <c r="A25" s="43">
        <v>22</v>
      </c>
      <c r="B25" s="212">
        <v>45891</v>
      </c>
      <c r="C25" s="64"/>
      <c r="D25" s="152"/>
      <c r="E25" s="249"/>
      <c r="F25" s="249"/>
      <c r="G25" s="8">
        <f t="shared" si="1"/>
        <v>0</v>
      </c>
      <c r="H25" s="62">
        <v>0</v>
      </c>
      <c r="I25" s="63">
        <v>0</v>
      </c>
      <c r="J25" s="8">
        <f t="shared" si="2"/>
        <v>0</v>
      </c>
      <c r="K25" s="8">
        <f t="shared" si="3"/>
        <v>0</v>
      </c>
      <c r="L25" s="65">
        <f t="shared" si="4"/>
        <v>0</v>
      </c>
      <c r="M25" s="65">
        <v>0</v>
      </c>
      <c r="N25" s="8"/>
      <c r="O25" s="66"/>
    </row>
    <row r="26" spans="1:15">
      <c r="A26" s="43">
        <v>23</v>
      </c>
      <c r="B26" s="212">
        <v>45892</v>
      </c>
      <c r="C26" s="64"/>
      <c r="D26" s="152"/>
      <c r="E26" s="249"/>
      <c r="F26" s="249"/>
      <c r="G26" s="8">
        <f t="shared" si="1"/>
        <v>0</v>
      </c>
      <c r="H26" s="62">
        <v>0</v>
      </c>
      <c r="I26" s="63">
        <v>0</v>
      </c>
      <c r="J26" s="8">
        <f t="shared" si="2"/>
        <v>0</v>
      </c>
      <c r="K26" s="8">
        <f t="shared" si="3"/>
        <v>0</v>
      </c>
      <c r="L26" s="65">
        <f t="shared" si="4"/>
        <v>0</v>
      </c>
      <c r="M26" s="65">
        <v>0</v>
      </c>
      <c r="N26" s="8"/>
      <c r="O26" s="66"/>
    </row>
    <row r="27" spans="1:15">
      <c r="A27" s="43">
        <v>24</v>
      </c>
      <c r="B27" s="212">
        <v>45893</v>
      </c>
      <c r="C27" s="64"/>
      <c r="D27" s="152"/>
      <c r="E27" s="249"/>
      <c r="F27" s="249"/>
      <c r="G27" s="8">
        <f t="shared" si="1"/>
        <v>0</v>
      </c>
      <c r="H27" s="62">
        <v>0</v>
      </c>
      <c r="I27" s="63">
        <v>0</v>
      </c>
      <c r="J27" s="8">
        <f t="shared" si="2"/>
        <v>0</v>
      </c>
      <c r="K27" s="8">
        <f t="shared" si="3"/>
        <v>0</v>
      </c>
      <c r="L27" s="65">
        <f t="shared" si="4"/>
        <v>0</v>
      </c>
      <c r="M27" s="65">
        <v>0</v>
      </c>
      <c r="N27" s="8"/>
      <c r="O27" s="66"/>
    </row>
    <row r="28" spans="1:15">
      <c r="A28" s="214">
        <v>25</v>
      </c>
      <c r="B28" s="212">
        <v>45894</v>
      </c>
      <c r="C28" s="64"/>
      <c r="D28" s="152"/>
      <c r="E28" s="249">
        <v>33.78</v>
      </c>
      <c r="F28" s="249">
        <v>104.95</v>
      </c>
      <c r="G28" s="8">
        <f t="shared" si="1"/>
        <v>3545.2110000000002</v>
      </c>
      <c r="H28" s="62">
        <v>0</v>
      </c>
      <c r="I28" s="63">
        <v>0</v>
      </c>
      <c r="J28" s="8">
        <f t="shared" si="2"/>
        <v>0</v>
      </c>
      <c r="K28" s="8">
        <f t="shared" si="3"/>
        <v>3545.2110000000002</v>
      </c>
      <c r="L28" s="65">
        <f t="shared" si="4"/>
        <v>3545.2110000000002</v>
      </c>
      <c r="M28" s="65">
        <v>0</v>
      </c>
      <c r="N28" s="8"/>
      <c r="O28" s="66"/>
    </row>
    <row r="29" spans="1:15">
      <c r="A29" s="214">
        <v>26</v>
      </c>
      <c r="B29" s="212">
        <v>45895</v>
      </c>
      <c r="C29" s="64"/>
      <c r="D29" s="152"/>
      <c r="E29" s="249"/>
      <c r="F29" s="249"/>
      <c r="G29" s="8">
        <f t="shared" si="1"/>
        <v>0</v>
      </c>
      <c r="H29" s="62">
        <v>0</v>
      </c>
      <c r="I29" s="63">
        <v>0</v>
      </c>
      <c r="J29" s="8">
        <f t="shared" si="2"/>
        <v>0</v>
      </c>
      <c r="K29" s="8">
        <f t="shared" si="3"/>
        <v>0</v>
      </c>
      <c r="L29" s="65">
        <f t="shared" si="4"/>
        <v>0</v>
      </c>
      <c r="M29" s="65">
        <v>0</v>
      </c>
      <c r="N29" s="8"/>
      <c r="O29" s="66"/>
    </row>
    <row r="30" spans="1:15">
      <c r="A30" s="214">
        <v>27</v>
      </c>
      <c r="B30" s="212">
        <v>45896</v>
      </c>
      <c r="C30" s="64"/>
      <c r="D30" s="152"/>
      <c r="E30" s="249"/>
      <c r="F30" s="249"/>
      <c r="G30" s="8">
        <f t="shared" si="1"/>
        <v>0</v>
      </c>
      <c r="H30" s="62">
        <v>0</v>
      </c>
      <c r="I30" s="63">
        <v>0</v>
      </c>
      <c r="J30" s="8">
        <f t="shared" si="2"/>
        <v>0</v>
      </c>
      <c r="K30" s="8">
        <f t="shared" si="3"/>
        <v>0</v>
      </c>
      <c r="L30" s="65">
        <f t="shared" si="4"/>
        <v>0</v>
      </c>
      <c r="M30" s="65">
        <v>0</v>
      </c>
      <c r="N30" s="8"/>
      <c r="O30" s="66"/>
    </row>
    <row r="31" spans="1:15">
      <c r="A31" s="214">
        <v>28</v>
      </c>
      <c r="B31" s="212">
        <v>45897</v>
      </c>
      <c r="C31" s="64"/>
      <c r="D31" s="152"/>
      <c r="E31" s="249"/>
      <c r="F31" s="249"/>
      <c r="G31" s="8">
        <f t="shared" si="1"/>
        <v>0</v>
      </c>
      <c r="H31" s="62">
        <v>0</v>
      </c>
      <c r="I31" s="63">
        <v>0</v>
      </c>
      <c r="J31" s="8">
        <f t="shared" si="2"/>
        <v>0</v>
      </c>
      <c r="K31" s="8">
        <f t="shared" si="3"/>
        <v>0</v>
      </c>
      <c r="L31" s="65">
        <f t="shared" si="4"/>
        <v>0</v>
      </c>
      <c r="M31" s="65">
        <v>0</v>
      </c>
      <c r="N31" s="8"/>
      <c r="O31" s="66"/>
    </row>
    <row r="32" spans="1:15">
      <c r="A32" s="215">
        <v>29</v>
      </c>
      <c r="B32" s="212">
        <v>45898</v>
      </c>
      <c r="C32" s="64"/>
      <c r="D32" s="152"/>
      <c r="E32" s="249"/>
      <c r="F32" s="249"/>
      <c r="G32" s="8">
        <f t="shared" si="1"/>
        <v>0</v>
      </c>
      <c r="H32" s="62">
        <v>0</v>
      </c>
      <c r="I32" s="63">
        <v>0</v>
      </c>
      <c r="J32" s="8">
        <f t="shared" si="2"/>
        <v>0</v>
      </c>
      <c r="K32" s="8">
        <f t="shared" si="3"/>
        <v>0</v>
      </c>
      <c r="L32" s="65">
        <f t="shared" si="4"/>
        <v>0</v>
      </c>
      <c r="M32" s="65">
        <v>0</v>
      </c>
      <c r="N32" s="8"/>
      <c r="O32" s="66"/>
    </row>
    <row r="33" spans="1:15">
      <c r="A33" s="215">
        <v>30</v>
      </c>
      <c r="B33" s="212">
        <v>45899</v>
      </c>
      <c r="C33" s="64"/>
      <c r="D33" s="152"/>
      <c r="E33" s="249"/>
      <c r="F33" s="249"/>
      <c r="G33" s="8">
        <f t="shared" ref="G33" si="7">E33*F33</f>
        <v>0</v>
      </c>
      <c r="H33" s="62">
        <v>0</v>
      </c>
      <c r="I33" s="63">
        <v>0</v>
      </c>
      <c r="J33" s="8">
        <f t="shared" si="2"/>
        <v>0</v>
      </c>
      <c r="K33" s="8">
        <f t="shared" si="3"/>
        <v>0</v>
      </c>
      <c r="L33" s="65">
        <f t="shared" si="4"/>
        <v>0</v>
      </c>
      <c r="M33" s="65">
        <v>0</v>
      </c>
      <c r="N33" s="8"/>
      <c r="O33" s="66"/>
    </row>
    <row r="34" spans="1:15">
      <c r="A34" s="215">
        <v>31</v>
      </c>
      <c r="B34" s="212"/>
      <c r="C34" s="64"/>
      <c r="D34" s="152"/>
      <c r="E34" s="249"/>
      <c r="F34" s="249"/>
      <c r="G34" s="8">
        <f t="shared" ref="G34" si="8">E34*F34</f>
        <v>0</v>
      </c>
      <c r="H34" s="62">
        <v>0</v>
      </c>
      <c r="I34" s="63">
        <v>0</v>
      </c>
      <c r="J34" s="8">
        <f t="shared" ref="J34" si="9">H34*I34</f>
        <v>0</v>
      </c>
      <c r="K34" s="8">
        <f t="shared" ref="K34" si="10">G34+J34</f>
        <v>0</v>
      </c>
      <c r="L34" s="65">
        <f t="shared" ref="L34" si="11">+K34</f>
        <v>0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250">
        <f>SUM(E4:E34)</f>
        <v>33.78</v>
      </c>
      <c r="F35" s="250"/>
      <c r="G35" s="60">
        <f>SUM(G4:G34)</f>
        <v>3545.2110000000002</v>
      </c>
      <c r="H35" s="60">
        <f>SUM(H4:H34)</f>
        <v>0</v>
      </c>
      <c r="I35" s="60"/>
      <c r="J35" s="60">
        <f>SUM(J4:J34)</f>
        <v>0</v>
      </c>
      <c r="K35" s="60">
        <f>SUM(K4:K34)</f>
        <v>3545.2110000000002</v>
      </c>
      <c r="L35" s="60">
        <f>SUM(L4:L34)</f>
        <v>3545.2110000000002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76"/>
      <c r="C43" s="576"/>
      <c r="D43" s="576"/>
      <c r="E43" s="576"/>
      <c r="F43" s="66"/>
      <c r="G43" s="66"/>
      <c r="H43" s="66"/>
      <c r="I43" s="576"/>
      <c r="J43" s="576"/>
      <c r="K43" s="576"/>
      <c r="L43" s="576"/>
      <c r="M43" s="576"/>
      <c r="N43" s="576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sheetPr>
    <tabColor theme="7" tint="0.39997558519241921"/>
  </sheetPr>
  <dimension ref="A1:O289"/>
  <sheetViews>
    <sheetView topLeftCell="L64" workbookViewId="0">
      <selection activeCell="L49" sqref="L49"/>
    </sheetView>
  </sheetViews>
  <sheetFormatPr defaultColWidth="18.28515625" defaultRowHeight="15"/>
  <cols>
    <col min="1" max="1" width="13.42578125" customWidth="1"/>
    <col min="2" max="2" width="12.28515625" bestFit="1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10" customWidth="1"/>
    <col min="10" max="10" width="16.5703125" customWidth="1"/>
  </cols>
  <sheetData>
    <row r="1" spans="1:14" ht="15.75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4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14">
      <c r="A3" s="568" t="s">
        <v>181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7"/>
      <c r="M3" s="366">
        <v>0</v>
      </c>
      <c r="N3" s="208"/>
    </row>
    <row r="4" spans="1:14">
      <c r="A4" s="215">
        <v>1</v>
      </c>
      <c r="B4" s="533">
        <v>46235</v>
      </c>
      <c r="C4" s="492" t="s">
        <v>199</v>
      </c>
      <c r="D4" s="487" t="s">
        <v>200</v>
      </c>
      <c r="E4" s="489">
        <v>30</v>
      </c>
      <c r="F4" s="489">
        <f>G4/E4</f>
        <v>104.67</v>
      </c>
      <c r="G4" s="534">
        <v>3140.1</v>
      </c>
      <c r="H4" s="488"/>
      <c r="I4" s="488"/>
      <c r="J4" s="534">
        <f t="shared" ref="J4:J67" si="0">H4*I4</f>
        <v>0</v>
      </c>
      <c r="K4" s="509">
        <f>G4+J4</f>
        <v>3140.1</v>
      </c>
      <c r="L4" s="539">
        <f>+K4</f>
        <v>3140.1</v>
      </c>
      <c r="M4" s="509">
        <v>0</v>
      </c>
      <c r="N4" s="535">
        <v>0</v>
      </c>
    </row>
    <row r="5" spans="1:14">
      <c r="A5" s="214">
        <v>2</v>
      </c>
      <c r="B5" s="533">
        <v>46235</v>
      </c>
      <c r="C5" s="486" t="s">
        <v>201</v>
      </c>
      <c r="D5" s="487" t="s">
        <v>202</v>
      </c>
      <c r="E5" s="489"/>
      <c r="F5" s="489"/>
      <c r="G5" s="534">
        <v>0</v>
      </c>
      <c r="H5" s="488">
        <v>10</v>
      </c>
      <c r="I5" s="488">
        <f>J5/H5</f>
        <v>116.99000000000001</v>
      </c>
      <c r="J5" s="534">
        <v>1169.9000000000001</v>
      </c>
      <c r="K5" s="509">
        <f t="shared" ref="K5:K68" si="1">G5+J5</f>
        <v>1169.9000000000001</v>
      </c>
      <c r="L5" s="539">
        <f t="shared" ref="L5:L68" si="2">+K5</f>
        <v>1169.9000000000001</v>
      </c>
      <c r="M5" s="509">
        <v>0</v>
      </c>
      <c r="N5" s="535">
        <v>0</v>
      </c>
    </row>
    <row r="6" spans="1:14">
      <c r="A6" s="214">
        <v>3</v>
      </c>
      <c r="B6" s="533">
        <v>46235</v>
      </c>
      <c r="C6" s="492" t="s">
        <v>203</v>
      </c>
      <c r="D6" s="487" t="s">
        <v>204</v>
      </c>
      <c r="E6" s="489"/>
      <c r="F6" s="489"/>
      <c r="G6" s="534">
        <v>0</v>
      </c>
      <c r="H6" s="488">
        <v>8.57</v>
      </c>
      <c r="I6" s="488">
        <f>J6/H6</f>
        <v>117.6196032672112</v>
      </c>
      <c r="J6" s="534">
        <v>1008</v>
      </c>
      <c r="K6" s="509">
        <f t="shared" si="1"/>
        <v>1008</v>
      </c>
      <c r="L6" s="539">
        <f t="shared" si="2"/>
        <v>1008</v>
      </c>
      <c r="M6" s="509">
        <v>0</v>
      </c>
      <c r="N6" s="535">
        <v>0</v>
      </c>
    </row>
    <row r="7" spans="1:14">
      <c r="A7" s="215">
        <v>4</v>
      </c>
      <c r="B7" s="533">
        <v>46235</v>
      </c>
      <c r="C7" s="486" t="s">
        <v>201</v>
      </c>
      <c r="D7" s="487" t="s">
        <v>202</v>
      </c>
      <c r="E7" s="489">
        <v>5.76</v>
      </c>
      <c r="F7" s="488">
        <f>G7/E7</f>
        <v>104.69965277777779</v>
      </c>
      <c r="G7" s="534">
        <v>603.07000000000005</v>
      </c>
      <c r="H7" s="488"/>
      <c r="I7" s="488"/>
      <c r="J7" s="534">
        <f t="shared" si="0"/>
        <v>0</v>
      </c>
      <c r="K7" s="509">
        <f t="shared" si="1"/>
        <v>603.07000000000005</v>
      </c>
      <c r="L7" s="539">
        <f t="shared" si="2"/>
        <v>603.07000000000005</v>
      </c>
      <c r="M7" s="509">
        <v>0</v>
      </c>
      <c r="N7" s="535">
        <v>0</v>
      </c>
    </row>
    <row r="8" spans="1:14">
      <c r="A8" s="214">
        <v>5</v>
      </c>
      <c r="B8" s="533">
        <v>46235</v>
      </c>
      <c r="C8" s="492" t="s">
        <v>205</v>
      </c>
      <c r="D8" s="487" t="s">
        <v>202</v>
      </c>
      <c r="E8" s="489">
        <v>50</v>
      </c>
      <c r="F8" s="488">
        <f>G8/E8</f>
        <v>104.7</v>
      </c>
      <c r="G8" s="534">
        <v>5235</v>
      </c>
      <c r="H8" s="488"/>
      <c r="I8" s="488"/>
      <c r="J8" s="534">
        <f t="shared" si="0"/>
        <v>0</v>
      </c>
      <c r="K8" s="509">
        <f t="shared" si="1"/>
        <v>5235</v>
      </c>
      <c r="L8" s="539">
        <f t="shared" si="2"/>
        <v>5235</v>
      </c>
      <c r="M8" s="509">
        <v>0</v>
      </c>
      <c r="N8" s="535">
        <v>0</v>
      </c>
    </row>
    <row r="9" spans="1:14">
      <c r="A9" s="214">
        <v>6</v>
      </c>
      <c r="B9" s="533">
        <v>46236</v>
      </c>
      <c r="C9" s="486" t="s">
        <v>201</v>
      </c>
      <c r="D9" s="487" t="s">
        <v>202</v>
      </c>
      <c r="E9" s="489">
        <v>10</v>
      </c>
      <c r="F9" s="488">
        <f>G9/E9</f>
        <v>104.7</v>
      </c>
      <c r="G9" s="534">
        <v>1047</v>
      </c>
      <c r="H9" s="488"/>
      <c r="I9" s="488"/>
      <c r="J9" s="534">
        <f t="shared" si="0"/>
        <v>0</v>
      </c>
      <c r="K9" s="509">
        <f t="shared" si="1"/>
        <v>1047</v>
      </c>
      <c r="L9" s="539">
        <f t="shared" si="2"/>
        <v>1047</v>
      </c>
      <c r="M9" s="509">
        <v>0</v>
      </c>
      <c r="N9" s="535">
        <v>0</v>
      </c>
    </row>
    <row r="10" spans="1:14">
      <c r="A10" s="215">
        <v>7</v>
      </c>
      <c r="B10" s="533">
        <v>46236</v>
      </c>
      <c r="C10" s="492" t="s">
        <v>203</v>
      </c>
      <c r="D10" s="487" t="s">
        <v>204</v>
      </c>
      <c r="E10" s="489"/>
      <c r="F10" s="489"/>
      <c r="G10" s="534">
        <v>0</v>
      </c>
      <c r="H10" s="488">
        <v>5</v>
      </c>
      <c r="I10" s="488">
        <f>J10/H10</f>
        <v>117.62</v>
      </c>
      <c r="J10" s="534">
        <v>588.1</v>
      </c>
      <c r="K10" s="509">
        <f t="shared" si="1"/>
        <v>588.1</v>
      </c>
      <c r="L10" s="539">
        <f t="shared" si="2"/>
        <v>588.1</v>
      </c>
      <c r="M10" s="509">
        <v>0</v>
      </c>
      <c r="N10" s="535">
        <v>0</v>
      </c>
    </row>
    <row r="11" spans="1:14">
      <c r="A11" s="214">
        <v>8</v>
      </c>
      <c r="B11" s="533">
        <v>46237</v>
      </c>
      <c r="C11" s="481" t="s">
        <v>203</v>
      </c>
      <c r="D11" s="487" t="s">
        <v>204</v>
      </c>
      <c r="E11" s="483">
        <v>44.13</v>
      </c>
      <c r="F11" s="488">
        <f>G11/E11</f>
        <v>105.29005211874008</v>
      </c>
      <c r="G11" s="522">
        <v>4646.45</v>
      </c>
      <c r="H11" s="484"/>
      <c r="I11" s="484"/>
      <c r="J11" s="522">
        <f t="shared" si="0"/>
        <v>0</v>
      </c>
      <c r="K11" s="485">
        <f t="shared" si="1"/>
        <v>4646.45</v>
      </c>
      <c r="L11" s="539">
        <f t="shared" si="2"/>
        <v>4646.45</v>
      </c>
      <c r="M11" s="485">
        <v>0</v>
      </c>
      <c r="N11" s="536">
        <v>0</v>
      </c>
    </row>
    <row r="12" spans="1:14">
      <c r="A12" s="214">
        <v>9</v>
      </c>
      <c r="B12" s="533">
        <v>46237</v>
      </c>
      <c r="C12" s="486" t="s">
        <v>201</v>
      </c>
      <c r="D12" s="487" t="s">
        <v>202</v>
      </c>
      <c r="E12" s="483"/>
      <c r="F12" s="483"/>
      <c r="G12" s="522">
        <v>0</v>
      </c>
      <c r="H12" s="484">
        <v>8</v>
      </c>
      <c r="I12" s="488">
        <f>J12/H12</f>
        <v>116.99</v>
      </c>
      <c r="J12" s="522">
        <v>935.92</v>
      </c>
      <c r="K12" s="485">
        <f t="shared" si="1"/>
        <v>935.92</v>
      </c>
      <c r="L12" s="539">
        <f t="shared" si="2"/>
        <v>935.92</v>
      </c>
      <c r="M12" s="485">
        <v>0</v>
      </c>
      <c r="N12" s="536">
        <v>0</v>
      </c>
    </row>
    <row r="13" spans="1:14">
      <c r="A13" s="215">
        <v>10</v>
      </c>
      <c r="B13" s="533">
        <v>46237</v>
      </c>
      <c r="C13" s="486" t="s">
        <v>206</v>
      </c>
      <c r="D13" s="487" t="s">
        <v>207</v>
      </c>
      <c r="E13" s="489">
        <v>30</v>
      </c>
      <c r="F13" s="488">
        <f>G13/E13</f>
        <v>105.4</v>
      </c>
      <c r="G13" s="522">
        <v>3162</v>
      </c>
      <c r="H13" s="484"/>
      <c r="I13" s="484"/>
      <c r="J13" s="522">
        <f t="shared" si="0"/>
        <v>0</v>
      </c>
      <c r="K13" s="485">
        <f t="shared" si="1"/>
        <v>3162</v>
      </c>
      <c r="L13" s="539">
        <f t="shared" si="2"/>
        <v>3162</v>
      </c>
      <c r="M13" s="485">
        <v>0</v>
      </c>
      <c r="N13" s="536">
        <v>0</v>
      </c>
    </row>
    <row r="14" spans="1:14">
      <c r="A14" s="214">
        <v>11</v>
      </c>
      <c r="B14" s="533">
        <v>46237</v>
      </c>
      <c r="C14" s="481" t="s">
        <v>208</v>
      </c>
      <c r="D14" s="482" t="s">
        <v>209</v>
      </c>
      <c r="E14" s="489">
        <v>28.7</v>
      </c>
      <c r="F14" s="488">
        <f>G14/E14</f>
        <v>104.52961672473867</v>
      </c>
      <c r="G14" s="522">
        <v>3000</v>
      </c>
      <c r="H14" s="484"/>
      <c r="I14" s="484"/>
      <c r="J14" s="522">
        <f t="shared" si="0"/>
        <v>0</v>
      </c>
      <c r="K14" s="485">
        <f t="shared" si="1"/>
        <v>3000</v>
      </c>
      <c r="L14" s="539">
        <f t="shared" si="2"/>
        <v>3000</v>
      </c>
      <c r="M14" s="485">
        <v>0</v>
      </c>
      <c r="N14" s="536">
        <v>0</v>
      </c>
    </row>
    <row r="15" spans="1:14">
      <c r="A15" s="214">
        <v>12</v>
      </c>
      <c r="B15" s="533">
        <v>46237</v>
      </c>
      <c r="C15" s="486" t="s">
        <v>210</v>
      </c>
      <c r="D15" s="482" t="s">
        <v>209</v>
      </c>
      <c r="E15" s="489"/>
      <c r="F15" s="488"/>
      <c r="G15" s="522">
        <v>0</v>
      </c>
      <c r="H15" s="488">
        <v>30.01</v>
      </c>
      <c r="I15" s="488">
        <f>J15/H15</f>
        <v>116.90003332222592</v>
      </c>
      <c r="J15" s="522">
        <v>3508.17</v>
      </c>
      <c r="K15" s="485">
        <f t="shared" si="1"/>
        <v>3508.17</v>
      </c>
      <c r="L15" s="539">
        <f t="shared" si="2"/>
        <v>3508.17</v>
      </c>
      <c r="M15" s="485">
        <v>0</v>
      </c>
      <c r="N15" s="536">
        <v>0</v>
      </c>
    </row>
    <row r="16" spans="1:14">
      <c r="A16" s="215">
        <v>13</v>
      </c>
      <c r="B16" s="533">
        <v>46238</v>
      </c>
      <c r="C16" s="486" t="s">
        <v>211</v>
      </c>
      <c r="D16" s="482" t="s">
        <v>212</v>
      </c>
      <c r="E16" s="489"/>
      <c r="F16" s="483"/>
      <c r="G16" s="522">
        <v>0</v>
      </c>
      <c r="H16" s="488">
        <v>4.71</v>
      </c>
      <c r="I16" s="488">
        <f>J16/H16</f>
        <v>117.97876857749468</v>
      </c>
      <c r="J16" s="522">
        <v>555.67999999999995</v>
      </c>
      <c r="K16" s="485">
        <f t="shared" si="1"/>
        <v>555.67999999999995</v>
      </c>
      <c r="L16" s="539">
        <f t="shared" si="2"/>
        <v>555.67999999999995</v>
      </c>
      <c r="M16" s="485">
        <v>0</v>
      </c>
      <c r="N16" s="536">
        <v>0</v>
      </c>
    </row>
    <row r="17" spans="1:14">
      <c r="A17" s="214">
        <v>14</v>
      </c>
      <c r="B17" s="533">
        <v>46238</v>
      </c>
      <c r="C17" s="486" t="s">
        <v>213</v>
      </c>
      <c r="D17" s="482" t="s">
        <v>214</v>
      </c>
      <c r="E17" s="489"/>
      <c r="F17" s="483"/>
      <c r="G17" s="522">
        <v>0</v>
      </c>
      <c r="H17" s="488">
        <v>5</v>
      </c>
      <c r="I17" s="488">
        <f>J17/H17</f>
        <v>117.32000000000001</v>
      </c>
      <c r="J17" s="522">
        <v>586.6</v>
      </c>
      <c r="K17" s="485">
        <f t="shared" si="1"/>
        <v>586.6</v>
      </c>
      <c r="L17" s="539">
        <f t="shared" si="2"/>
        <v>586.6</v>
      </c>
      <c r="M17" s="485">
        <v>0</v>
      </c>
      <c r="N17" s="536">
        <v>0</v>
      </c>
    </row>
    <row r="18" spans="1:14">
      <c r="A18" s="214">
        <v>15</v>
      </c>
      <c r="B18" s="533">
        <v>46238</v>
      </c>
      <c r="C18" s="486" t="s">
        <v>215</v>
      </c>
      <c r="D18" s="482" t="s">
        <v>216</v>
      </c>
      <c r="E18" s="489">
        <v>130</v>
      </c>
      <c r="F18" s="488">
        <f>G18/E18</f>
        <v>105.35</v>
      </c>
      <c r="G18" s="522">
        <v>13695.5</v>
      </c>
      <c r="H18" s="488"/>
      <c r="I18" s="484"/>
      <c r="J18" s="522">
        <f t="shared" si="0"/>
        <v>0</v>
      </c>
      <c r="K18" s="485">
        <f t="shared" si="1"/>
        <v>13695.5</v>
      </c>
      <c r="L18" s="539">
        <f t="shared" si="2"/>
        <v>13695.5</v>
      </c>
      <c r="M18" s="485">
        <v>0</v>
      </c>
      <c r="N18" s="536">
        <v>0</v>
      </c>
    </row>
    <row r="19" spans="1:14">
      <c r="A19" s="215">
        <v>16</v>
      </c>
      <c r="B19" s="533">
        <v>46238</v>
      </c>
      <c r="C19" s="486" t="s">
        <v>213</v>
      </c>
      <c r="D19" s="482" t="s">
        <v>214</v>
      </c>
      <c r="E19" s="489">
        <v>50</v>
      </c>
      <c r="F19" s="488">
        <f>G19/E19</f>
        <v>105.01</v>
      </c>
      <c r="G19" s="522">
        <v>5250.5</v>
      </c>
      <c r="H19" s="488"/>
      <c r="I19" s="484"/>
      <c r="J19" s="522">
        <f t="shared" si="0"/>
        <v>0</v>
      </c>
      <c r="K19" s="485">
        <f t="shared" si="1"/>
        <v>5250.5</v>
      </c>
      <c r="L19" s="539">
        <f t="shared" si="2"/>
        <v>5250.5</v>
      </c>
      <c r="M19" s="485">
        <v>0</v>
      </c>
      <c r="N19" s="536">
        <v>0</v>
      </c>
    </row>
    <row r="20" spans="1:14">
      <c r="A20" s="214">
        <v>17</v>
      </c>
      <c r="B20" s="533">
        <v>46238</v>
      </c>
      <c r="C20" s="486" t="s">
        <v>211</v>
      </c>
      <c r="D20" s="482" t="s">
        <v>212</v>
      </c>
      <c r="E20" s="489">
        <v>36.65</v>
      </c>
      <c r="F20" s="488">
        <f>G20/E20</f>
        <v>105.58990450204638</v>
      </c>
      <c r="G20" s="522">
        <v>3869.87</v>
      </c>
      <c r="H20" s="484"/>
      <c r="I20" s="484"/>
      <c r="J20" s="522">
        <f t="shared" si="0"/>
        <v>0</v>
      </c>
      <c r="K20" s="485">
        <f t="shared" si="1"/>
        <v>3869.87</v>
      </c>
      <c r="L20" s="539">
        <f t="shared" si="2"/>
        <v>3869.87</v>
      </c>
      <c r="M20" s="485">
        <v>0</v>
      </c>
      <c r="N20" s="536">
        <v>0</v>
      </c>
    </row>
    <row r="21" spans="1:14">
      <c r="A21" s="214">
        <v>18</v>
      </c>
      <c r="B21" s="533">
        <v>46238</v>
      </c>
      <c r="C21" s="481" t="s">
        <v>217</v>
      </c>
      <c r="D21" s="482"/>
      <c r="E21" s="483">
        <v>30</v>
      </c>
      <c r="F21" s="488">
        <f>G21/E21</f>
        <v>105.33</v>
      </c>
      <c r="G21" s="522">
        <v>3159.9</v>
      </c>
      <c r="H21" s="484"/>
      <c r="I21" s="484"/>
      <c r="J21" s="522">
        <f t="shared" si="0"/>
        <v>0</v>
      </c>
      <c r="K21" s="485">
        <f t="shared" si="1"/>
        <v>3159.9</v>
      </c>
      <c r="L21" s="539">
        <f t="shared" si="2"/>
        <v>3159.9</v>
      </c>
      <c r="M21" s="485">
        <v>0</v>
      </c>
      <c r="N21" s="536">
        <v>0</v>
      </c>
    </row>
    <row r="22" spans="1:14">
      <c r="A22" s="215">
        <v>19</v>
      </c>
      <c r="B22" s="533">
        <v>46238</v>
      </c>
      <c r="C22" s="481" t="s">
        <v>206</v>
      </c>
      <c r="D22" s="482" t="s">
        <v>207</v>
      </c>
      <c r="E22" s="483">
        <v>70</v>
      </c>
      <c r="F22" s="483">
        <v>105.4</v>
      </c>
      <c r="G22" s="522">
        <v>7378</v>
      </c>
      <c r="H22" s="484"/>
      <c r="I22" s="484"/>
      <c r="J22" s="522">
        <f t="shared" si="0"/>
        <v>0</v>
      </c>
      <c r="K22" s="485">
        <f t="shared" si="1"/>
        <v>7378</v>
      </c>
      <c r="L22" s="539">
        <f t="shared" si="2"/>
        <v>7378</v>
      </c>
      <c r="M22" s="485">
        <v>0</v>
      </c>
      <c r="N22" s="536">
        <v>0</v>
      </c>
    </row>
    <row r="23" spans="1:14">
      <c r="A23" s="214">
        <v>20</v>
      </c>
      <c r="B23" s="533">
        <v>46239</v>
      </c>
      <c r="C23" s="481" t="s">
        <v>211</v>
      </c>
      <c r="D23" s="482" t="s">
        <v>212</v>
      </c>
      <c r="E23" s="483">
        <v>28.41</v>
      </c>
      <c r="F23" s="483">
        <v>105.4</v>
      </c>
      <c r="G23" s="522">
        <v>3000</v>
      </c>
      <c r="H23" s="484"/>
      <c r="I23" s="484"/>
      <c r="J23" s="522">
        <f t="shared" si="0"/>
        <v>0</v>
      </c>
      <c r="K23" s="485">
        <f t="shared" si="1"/>
        <v>3000</v>
      </c>
      <c r="L23" s="539">
        <f t="shared" si="2"/>
        <v>3000</v>
      </c>
      <c r="M23" s="485">
        <v>0</v>
      </c>
      <c r="N23" s="536">
        <v>0</v>
      </c>
    </row>
    <row r="24" spans="1:14">
      <c r="A24" s="214">
        <v>21</v>
      </c>
      <c r="B24" s="533">
        <v>46239</v>
      </c>
      <c r="C24" s="486" t="s">
        <v>213</v>
      </c>
      <c r="D24" s="482" t="s">
        <v>214</v>
      </c>
      <c r="E24" s="483">
        <v>38.090000000000003</v>
      </c>
      <c r="F24" s="483">
        <v>105.4</v>
      </c>
      <c r="G24" s="522">
        <v>4000</v>
      </c>
      <c r="H24" s="484"/>
      <c r="I24" s="484"/>
      <c r="J24" s="522">
        <f t="shared" si="0"/>
        <v>0</v>
      </c>
      <c r="K24" s="485">
        <f t="shared" si="1"/>
        <v>4000</v>
      </c>
      <c r="L24" s="539">
        <f t="shared" si="2"/>
        <v>4000</v>
      </c>
      <c r="M24" s="485">
        <v>0</v>
      </c>
      <c r="N24" s="536">
        <v>0</v>
      </c>
    </row>
    <row r="25" spans="1:14">
      <c r="A25" s="215">
        <v>22</v>
      </c>
      <c r="B25" s="533">
        <v>46239</v>
      </c>
      <c r="C25" s="481" t="s">
        <v>203</v>
      </c>
      <c r="D25" s="482" t="s">
        <v>204</v>
      </c>
      <c r="E25" s="483"/>
      <c r="F25" s="483"/>
      <c r="G25" s="522">
        <v>0</v>
      </c>
      <c r="H25" s="484">
        <v>4</v>
      </c>
      <c r="I25" s="488">
        <f>J25/H25</f>
        <v>117.62</v>
      </c>
      <c r="J25" s="522">
        <v>470.48</v>
      </c>
      <c r="K25" s="485">
        <f t="shared" si="1"/>
        <v>470.48</v>
      </c>
      <c r="L25" s="539">
        <f t="shared" si="2"/>
        <v>470.48</v>
      </c>
      <c r="M25" s="485">
        <v>0</v>
      </c>
      <c r="N25" s="536">
        <v>0</v>
      </c>
    </row>
    <row r="26" spans="1:14">
      <c r="A26" s="214">
        <v>23</v>
      </c>
      <c r="B26" s="537">
        <v>46240</v>
      </c>
      <c r="C26" s="490" t="s">
        <v>211</v>
      </c>
      <c r="D26" s="482" t="s">
        <v>212</v>
      </c>
      <c r="E26" s="483">
        <v>45.01</v>
      </c>
      <c r="F26" s="483">
        <f>G26/E26</f>
        <v>105.5900910908687</v>
      </c>
      <c r="G26" s="538">
        <v>4752.6099999999997</v>
      </c>
      <c r="H26" s="484"/>
      <c r="I26" s="484"/>
      <c r="J26" s="538">
        <f t="shared" si="0"/>
        <v>0</v>
      </c>
      <c r="K26" s="516">
        <f t="shared" si="1"/>
        <v>4752.6099999999997</v>
      </c>
      <c r="L26" s="539">
        <f t="shared" si="2"/>
        <v>4752.6099999999997</v>
      </c>
      <c r="M26" s="516">
        <v>0</v>
      </c>
      <c r="N26" s="536">
        <v>0</v>
      </c>
    </row>
    <row r="27" spans="1:14">
      <c r="A27" s="214">
        <v>24</v>
      </c>
      <c r="B27" s="537">
        <v>46240</v>
      </c>
      <c r="C27" s="481" t="s">
        <v>206</v>
      </c>
      <c r="D27" s="482" t="s">
        <v>207</v>
      </c>
      <c r="E27" s="483">
        <v>80</v>
      </c>
      <c r="F27" s="483">
        <f>G27/E27</f>
        <v>105.4</v>
      </c>
      <c r="G27" s="538">
        <v>8432</v>
      </c>
      <c r="H27" s="484"/>
      <c r="I27" s="484"/>
      <c r="J27" s="538">
        <f t="shared" si="0"/>
        <v>0</v>
      </c>
      <c r="K27" s="516">
        <f t="shared" si="1"/>
        <v>8432</v>
      </c>
      <c r="L27" s="539">
        <f t="shared" si="2"/>
        <v>8432</v>
      </c>
      <c r="M27" s="516">
        <v>0</v>
      </c>
      <c r="N27" s="536">
        <v>0</v>
      </c>
    </row>
    <row r="28" spans="1:14">
      <c r="A28" s="215">
        <v>25</v>
      </c>
      <c r="B28" s="537">
        <v>46240</v>
      </c>
      <c r="C28" s="490" t="s">
        <v>201</v>
      </c>
      <c r="D28" s="482" t="s">
        <v>202</v>
      </c>
      <c r="E28" s="483">
        <v>44.35</v>
      </c>
      <c r="F28" s="483">
        <f>G28/E28</f>
        <v>104.70011273957158</v>
      </c>
      <c r="G28" s="538">
        <v>4643.45</v>
      </c>
      <c r="H28" s="484"/>
      <c r="I28" s="484"/>
      <c r="J28" s="538">
        <f t="shared" si="0"/>
        <v>0</v>
      </c>
      <c r="K28" s="516">
        <f t="shared" si="1"/>
        <v>4643.45</v>
      </c>
      <c r="L28" s="539">
        <f t="shared" si="2"/>
        <v>4643.45</v>
      </c>
      <c r="M28" s="516">
        <v>0</v>
      </c>
      <c r="N28" s="536">
        <v>0</v>
      </c>
    </row>
    <row r="29" spans="1:14">
      <c r="A29" s="214">
        <v>26</v>
      </c>
      <c r="B29" s="537">
        <v>46240</v>
      </c>
      <c r="C29" s="490" t="s">
        <v>201</v>
      </c>
      <c r="D29" s="482" t="s">
        <v>202</v>
      </c>
      <c r="E29" s="483"/>
      <c r="F29" s="483"/>
      <c r="G29" s="538">
        <v>0</v>
      </c>
      <c r="H29" s="484">
        <v>5</v>
      </c>
      <c r="I29" s="484">
        <f>J29/H29</f>
        <v>116.99000000000001</v>
      </c>
      <c r="J29" s="538">
        <v>584.95000000000005</v>
      </c>
      <c r="K29" s="516">
        <f t="shared" si="1"/>
        <v>584.95000000000005</v>
      </c>
      <c r="L29" s="539">
        <f t="shared" si="2"/>
        <v>584.95000000000005</v>
      </c>
      <c r="M29" s="516">
        <v>0</v>
      </c>
      <c r="N29" s="536">
        <v>0</v>
      </c>
    </row>
    <row r="30" spans="1:14">
      <c r="A30" s="214">
        <v>27</v>
      </c>
      <c r="B30" s="537">
        <v>46240</v>
      </c>
      <c r="C30" s="490" t="s">
        <v>211</v>
      </c>
      <c r="D30" s="482" t="s">
        <v>212</v>
      </c>
      <c r="E30" s="483"/>
      <c r="F30" s="483"/>
      <c r="G30" s="538">
        <v>0</v>
      </c>
      <c r="H30" s="484">
        <v>3</v>
      </c>
      <c r="I30" s="484">
        <f>J30/H30</f>
        <v>117.98</v>
      </c>
      <c r="J30" s="538">
        <v>353.94</v>
      </c>
      <c r="K30" s="516">
        <f t="shared" si="1"/>
        <v>353.94</v>
      </c>
      <c r="L30" s="539">
        <f t="shared" si="2"/>
        <v>353.94</v>
      </c>
      <c r="M30" s="516">
        <v>0</v>
      </c>
      <c r="N30" s="536">
        <v>0</v>
      </c>
    </row>
    <row r="31" spans="1:14">
      <c r="A31" s="215">
        <v>28</v>
      </c>
      <c r="B31" s="537">
        <v>46240</v>
      </c>
      <c r="C31" s="490" t="s">
        <v>211</v>
      </c>
      <c r="D31" s="482" t="s">
        <v>212</v>
      </c>
      <c r="E31" s="483">
        <v>50</v>
      </c>
      <c r="F31" s="483">
        <f>G31/E31</f>
        <v>105.59</v>
      </c>
      <c r="G31" s="538">
        <v>5279.5</v>
      </c>
      <c r="H31" s="484"/>
      <c r="I31" s="484"/>
      <c r="J31" s="538">
        <f t="shared" si="0"/>
        <v>0</v>
      </c>
      <c r="K31" s="516">
        <f t="shared" si="1"/>
        <v>5279.5</v>
      </c>
      <c r="L31" s="539">
        <f t="shared" si="2"/>
        <v>5279.5</v>
      </c>
      <c r="M31" s="516">
        <v>0</v>
      </c>
      <c r="N31" s="536">
        <v>0</v>
      </c>
    </row>
    <row r="32" spans="1:14">
      <c r="A32" s="214">
        <v>29</v>
      </c>
      <c r="B32" s="537">
        <v>46240</v>
      </c>
      <c r="C32" s="481" t="s">
        <v>218</v>
      </c>
      <c r="D32" s="482" t="s">
        <v>209</v>
      </c>
      <c r="E32" s="483">
        <v>30</v>
      </c>
      <c r="F32" s="483">
        <f>G32/E32</f>
        <v>104.61999999999999</v>
      </c>
      <c r="G32" s="538">
        <v>3138.6</v>
      </c>
      <c r="H32" s="484"/>
      <c r="I32" s="484"/>
      <c r="J32" s="538">
        <f t="shared" si="0"/>
        <v>0</v>
      </c>
      <c r="K32" s="516">
        <f t="shared" si="1"/>
        <v>3138.6</v>
      </c>
      <c r="L32" s="539">
        <f t="shared" si="2"/>
        <v>3138.6</v>
      </c>
      <c r="M32" s="516">
        <v>0</v>
      </c>
      <c r="N32" s="536">
        <v>0</v>
      </c>
    </row>
    <row r="33" spans="1:14">
      <c r="A33" s="214">
        <v>30</v>
      </c>
      <c r="B33" s="537">
        <v>46240</v>
      </c>
      <c r="C33" s="481" t="s">
        <v>206</v>
      </c>
      <c r="D33" s="482" t="s">
        <v>207</v>
      </c>
      <c r="E33" s="483"/>
      <c r="F33" s="483"/>
      <c r="G33" s="538">
        <v>0</v>
      </c>
      <c r="H33" s="484">
        <v>5.01</v>
      </c>
      <c r="I33" s="484">
        <f>J33/H33</f>
        <v>117.76447105788424</v>
      </c>
      <c r="J33" s="538">
        <v>590</v>
      </c>
      <c r="K33" s="516">
        <f t="shared" si="1"/>
        <v>590</v>
      </c>
      <c r="L33" s="539">
        <f t="shared" si="2"/>
        <v>590</v>
      </c>
      <c r="M33" s="516">
        <v>0</v>
      </c>
      <c r="N33" s="536">
        <v>0</v>
      </c>
    </row>
    <row r="34" spans="1:14">
      <c r="A34" s="215">
        <v>31</v>
      </c>
      <c r="B34" s="537">
        <v>46240</v>
      </c>
      <c r="C34" s="481" t="s">
        <v>206</v>
      </c>
      <c r="D34" s="482" t="s">
        <v>207</v>
      </c>
      <c r="E34" s="483">
        <v>50</v>
      </c>
      <c r="F34" s="483">
        <f>G34/E34</f>
        <v>105.4</v>
      </c>
      <c r="G34" s="538">
        <v>5270</v>
      </c>
      <c r="H34" s="484"/>
      <c r="I34" s="484"/>
      <c r="J34" s="538">
        <f t="shared" si="0"/>
        <v>0</v>
      </c>
      <c r="K34" s="516">
        <f t="shared" si="1"/>
        <v>5270</v>
      </c>
      <c r="L34" s="539">
        <f t="shared" si="2"/>
        <v>5270</v>
      </c>
      <c r="M34" s="516">
        <v>0</v>
      </c>
      <c r="N34" s="536">
        <v>0</v>
      </c>
    </row>
    <row r="35" spans="1:14">
      <c r="A35" s="214">
        <v>32</v>
      </c>
      <c r="B35" s="537">
        <v>46241</v>
      </c>
      <c r="C35" s="486" t="s">
        <v>213</v>
      </c>
      <c r="D35" s="482" t="s">
        <v>214</v>
      </c>
      <c r="E35" s="489">
        <v>80</v>
      </c>
      <c r="F35" s="483">
        <f>G35/E35</f>
        <v>105.00999999999999</v>
      </c>
      <c r="G35" s="522">
        <v>8400.7999999999993</v>
      </c>
      <c r="H35" s="488"/>
      <c r="I35" s="484"/>
      <c r="J35" s="522">
        <f t="shared" si="0"/>
        <v>0</v>
      </c>
      <c r="K35" s="485">
        <f t="shared" si="1"/>
        <v>8400.7999999999993</v>
      </c>
      <c r="L35" s="539">
        <f t="shared" si="2"/>
        <v>8400.7999999999993</v>
      </c>
      <c r="M35" s="485">
        <v>0</v>
      </c>
      <c r="N35" s="536">
        <v>0</v>
      </c>
    </row>
    <row r="36" spans="1:14">
      <c r="A36" s="214">
        <v>33</v>
      </c>
      <c r="B36" s="537">
        <v>46241</v>
      </c>
      <c r="C36" s="490" t="s">
        <v>211</v>
      </c>
      <c r="D36" s="482" t="s">
        <v>212</v>
      </c>
      <c r="E36" s="489"/>
      <c r="F36" s="523"/>
      <c r="G36" s="522">
        <v>0</v>
      </c>
      <c r="H36" s="488">
        <v>5</v>
      </c>
      <c r="I36" s="484">
        <f>J36/H36</f>
        <v>117.97999999999999</v>
      </c>
      <c r="J36" s="522">
        <v>589.9</v>
      </c>
      <c r="K36" s="485">
        <f t="shared" si="1"/>
        <v>589.9</v>
      </c>
      <c r="L36" s="539">
        <f t="shared" si="2"/>
        <v>589.9</v>
      </c>
      <c r="M36" s="485">
        <v>0</v>
      </c>
      <c r="N36" s="536">
        <v>0</v>
      </c>
    </row>
    <row r="37" spans="1:14">
      <c r="A37" s="215">
        <v>34</v>
      </c>
      <c r="B37" s="537">
        <v>46241</v>
      </c>
      <c r="C37" s="486" t="s">
        <v>213</v>
      </c>
      <c r="D37" s="482" t="s">
        <v>214</v>
      </c>
      <c r="E37" s="489"/>
      <c r="F37" s="483"/>
      <c r="G37" s="522">
        <v>0</v>
      </c>
      <c r="H37" s="488">
        <v>5</v>
      </c>
      <c r="I37" s="484">
        <f>J37/H37</f>
        <v>117.32000000000001</v>
      </c>
      <c r="J37" s="522">
        <v>586.6</v>
      </c>
      <c r="K37" s="485">
        <f t="shared" si="1"/>
        <v>586.6</v>
      </c>
      <c r="L37" s="539">
        <f t="shared" si="2"/>
        <v>586.6</v>
      </c>
      <c r="M37" s="485">
        <v>0</v>
      </c>
      <c r="N37" s="536">
        <v>0</v>
      </c>
    </row>
    <row r="38" spans="1:14">
      <c r="A38" s="214">
        <v>35</v>
      </c>
      <c r="B38" s="537">
        <v>46242</v>
      </c>
      <c r="C38" s="481" t="s">
        <v>211</v>
      </c>
      <c r="D38" s="482" t="s">
        <v>212</v>
      </c>
      <c r="E38" s="483"/>
      <c r="F38" s="483"/>
      <c r="G38" s="538">
        <v>0</v>
      </c>
      <c r="H38" s="484">
        <v>5</v>
      </c>
      <c r="I38" s="484">
        <f>J38/H38</f>
        <v>117.97999999999999</v>
      </c>
      <c r="J38" s="522">
        <v>589.9</v>
      </c>
      <c r="K38" s="485">
        <f t="shared" si="1"/>
        <v>589.9</v>
      </c>
      <c r="L38" s="539">
        <f t="shared" si="2"/>
        <v>589.9</v>
      </c>
      <c r="M38" s="485">
        <v>0</v>
      </c>
      <c r="N38" s="536">
        <v>0</v>
      </c>
    </row>
    <row r="39" spans="1:14">
      <c r="A39" s="214">
        <v>36</v>
      </c>
      <c r="B39" s="537">
        <v>46242</v>
      </c>
      <c r="C39" s="481" t="s">
        <v>201</v>
      </c>
      <c r="D39" s="482" t="s">
        <v>202</v>
      </c>
      <c r="E39" s="483">
        <v>4.78</v>
      </c>
      <c r="F39" s="483">
        <f>G39/E39</f>
        <v>104.60251046025104</v>
      </c>
      <c r="G39" s="538">
        <v>500</v>
      </c>
      <c r="H39" s="484"/>
      <c r="I39" s="484"/>
      <c r="J39" s="522">
        <f t="shared" si="0"/>
        <v>0</v>
      </c>
      <c r="K39" s="485">
        <f t="shared" si="1"/>
        <v>500</v>
      </c>
      <c r="L39" s="539">
        <f t="shared" si="2"/>
        <v>500</v>
      </c>
      <c r="M39" s="485">
        <v>0</v>
      </c>
      <c r="N39" s="536">
        <v>0</v>
      </c>
    </row>
    <row r="40" spans="1:14">
      <c r="A40" s="215">
        <v>37</v>
      </c>
      <c r="B40" s="537">
        <v>46242</v>
      </c>
      <c r="C40" s="481" t="s">
        <v>201</v>
      </c>
      <c r="D40" s="482" t="s">
        <v>202</v>
      </c>
      <c r="E40" s="483"/>
      <c r="F40" s="483"/>
      <c r="G40" s="538">
        <v>0</v>
      </c>
      <c r="H40" s="484">
        <v>5</v>
      </c>
      <c r="I40" s="484">
        <f>J40/H40</f>
        <v>116.99000000000001</v>
      </c>
      <c r="J40" s="522">
        <v>584.95000000000005</v>
      </c>
      <c r="K40" s="485">
        <f t="shared" si="1"/>
        <v>584.95000000000005</v>
      </c>
      <c r="L40" s="539">
        <f t="shared" si="2"/>
        <v>584.95000000000005</v>
      </c>
      <c r="M40" s="485">
        <v>0</v>
      </c>
      <c r="N40" s="536">
        <v>0</v>
      </c>
    </row>
    <row r="41" spans="1:14">
      <c r="A41" s="214">
        <v>38</v>
      </c>
      <c r="B41" s="537">
        <v>46242</v>
      </c>
      <c r="C41" s="486" t="s">
        <v>211</v>
      </c>
      <c r="D41" s="482" t="s">
        <v>212</v>
      </c>
      <c r="E41" s="483"/>
      <c r="F41" s="483"/>
      <c r="G41" s="538">
        <v>0</v>
      </c>
      <c r="H41" s="484">
        <v>4</v>
      </c>
      <c r="I41" s="484">
        <f>J41/H41</f>
        <v>117.98</v>
      </c>
      <c r="J41" s="522">
        <v>471.92</v>
      </c>
      <c r="K41" s="485">
        <f t="shared" si="1"/>
        <v>471.92</v>
      </c>
      <c r="L41" s="539">
        <f t="shared" si="2"/>
        <v>471.92</v>
      </c>
      <c r="M41" s="485">
        <v>0</v>
      </c>
      <c r="N41" s="536">
        <v>0</v>
      </c>
    </row>
    <row r="42" spans="1:14">
      <c r="A42" s="214">
        <v>39</v>
      </c>
      <c r="B42" s="537">
        <v>46242</v>
      </c>
      <c r="C42" s="486" t="s">
        <v>206</v>
      </c>
      <c r="D42" s="482" t="s">
        <v>207</v>
      </c>
      <c r="E42" s="483">
        <v>15</v>
      </c>
      <c r="F42" s="483">
        <f>G42/E42</f>
        <v>105.4</v>
      </c>
      <c r="G42" s="538">
        <v>1581</v>
      </c>
      <c r="H42" s="484"/>
      <c r="I42" s="484"/>
      <c r="J42" s="522">
        <f t="shared" si="0"/>
        <v>0</v>
      </c>
      <c r="K42" s="485">
        <f t="shared" si="1"/>
        <v>1581</v>
      </c>
      <c r="L42" s="539">
        <f t="shared" si="2"/>
        <v>1581</v>
      </c>
      <c r="M42" s="485">
        <v>0</v>
      </c>
      <c r="N42" s="536">
        <v>0</v>
      </c>
    </row>
    <row r="43" spans="1:14">
      <c r="A43" s="215">
        <v>40</v>
      </c>
      <c r="B43" s="537">
        <v>46242</v>
      </c>
      <c r="C43" s="486" t="s">
        <v>219</v>
      </c>
      <c r="D43" s="482" t="s">
        <v>220</v>
      </c>
      <c r="E43" s="483">
        <v>150.01</v>
      </c>
      <c r="F43" s="483">
        <f>G43/E43</f>
        <v>104.93000466635557</v>
      </c>
      <c r="G43" s="538">
        <v>15740.55</v>
      </c>
      <c r="H43" s="484"/>
      <c r="I43" s="484"/>
      <c r="J43" s="522">
        <f t="shared" si="0"/>
        <v>0</v>
      </c>
      <c r="K43" s="485">
        <f t="shared" si="1"/>
        <v>15740.55</v>
      </c>
      <c r="L43" s="539">
        <f t="shared" si="2"/>
        <v>15740.55</v>
      </c>
      <c r="M43" s="485">
        <v>0</v>
      </c>
      <c r="N43" s="536">
        <v>0</v>
      </c>
    </row>
    <row r="44" spans="1:14">
      <c r="A44" s="214">
        <v>41</v>
      </c>
      <c r="B44" s="537">
        <v>46243</v>
      </c>
      <c r="C44" s="481" t="s">
        <v>211</v>
      </c>
      <c r="D44" s="482" t="s">
        <v>212</v>
      </c>
      <c r="E44" s="483"/>
      <c r="F44" s="483"/>
      <c r="G44" s="538"/>
      <c r="H44" s="484">
        <v>2</v>
      </c>
      <c r="I44" s="484">
        <f>J44/H44</f>
        <v>117.98</v>
      </c>
      <c r="J44" s="538">
        <v>235.96</v>
      </c>
      <c r="K44" s="516">
        <f t="shared" si="1"/>
        <v>235.96</v>
      </c>
      <c r="L44" s="539">
        <f t="shared" si="2"/>
        <v>235.96</v>
      </c>
      <c r="M44" s="516">
        <v>0</v>
      </c>
      <c r="N44" s="536">
        <v>0</v>
      </c>
    </row>
    <row r="45" spans="1:14">
      <c r="A45" s="214">
        <v>42</v>
      </c>
      <c r="B45" s="537">
        <v>46244</v>
      </c>
      <c r="C45" s="481" t="s">
        <v>218</v>
      </c>
      <c r="D45" s="482" t="s">
        <v>209</v>
      </c>
      <c r="E45" s="483">
        <v>19.12</v>
      </c>
      <c r="F45" s="483">
        <f>G45/E45</f>
        <v>104.60251046025104</v>
      </c>
      <c r="G45" s="522">
        <v>2000</v>
      </c>
      <c r="H45" s="484"/>
      <c r="I45" s="484"/>
      <c r="J45" s="522">
        <f t="shared" si="0"/>
        <v>0</v>
      </c>
      <c r="K45" s="485">
        <f t="shared" si="1"/>
        <v>2000</v>
      </c>
      <c r="L45" s="539">
        <f t="shared" si="2"/>
        <v>2000</v>
      </c>
      <c r="M45" s="485">
        <v>0</v>
      </c>
      <c r="N45" s="536">
        <v>0</v>
      </c>
    </row>
    <row r="46" spans="1:14">
      <c r="A46" s="215">
        <v>43</v>
      </c>
      <c r="B46" s="537">
        <v>46245</v>
      </c>
      <c r="C46" s="481" t="s">
        <v>211</v>
      </c>
      <c r="D46" s="482" t="s">
        <v>212</v>
      </c>
      <c r="E46" s="483">
        <v>18.940000000000001</v>
      </c>
      <c r="F46" s="483">
        <f>G46/E46</f>
        <v>105.5897571277719</v>
      </c>
      <c r="G46" s="522">
        <v>1999.87</v>
      </c>
      <c r="H46" s="484"/>
      <c r="I46" s="484"/>
      <c r="J46" s="522">
        <f t="shared" si="0"/>
        <v>0</v>
      </c>
      <c r="K46" s="485">
        <f t="shared" si="1"/>
        <v>1999.87</v>
      </c>
      <c r="L46" s="539">
        <f t="shared" si="2"/>
        <v>1999.87</v>
      </c>
      <c r="M46" s="485">
        <v>0</v>
      </c>
      <c r="N46" s="536">
        <v>0</v>
      </c>
    </row>
    <row r="47" spans="1:14">
      <c r="A47" s="214">
        <v>44</v>
      </c>
      <c r="B47" s="537">
        <v>46245</v>
      </c>
      <c r="C47" s="481" t="s">
        <v>211</v>
      </c>
      <c r="D47" s="482" t="s">
        <v>212</v>
      </c>
      <c r="E47" s="489">
        <v>9.4700000000000006</v>
      </c>
      <c r="F47" s="483">
        <f>G47/E47</f>
        <v>105.59662090813093</v>
      </c>
      <c r="G47" s="522">
        <v>1000</v>
      </c>
      <c r="H47" s="484"/>
      <c r="I47" s="484"/>
      <c r="J47" s="522">
        <f t="shared" si="0"/>
        <v>0</v>
      </c>
      <c r="K47" s="485">
        <f t="shared" si="1"/>
        <v>1000</v>
      </c>
      <c r="L47" s="539">
        <f t="shared" si="2"/>
        <v>1000</v>
      </c>
      <c r="M47" s="485">
        <v>0</v>
      </c>
      <c r="N47" s="536">
        <v>0</v>
      </c>
    </row>
    <row r="48" spans="1:14">
      <c r="A48" s="214">
        <v>45</v>
      </c>
      <c r="B48" s="537">
        <v>46245</v>
      </c>
      <c r="C48" s="481" t="s">
        <v>211</v>
      </c>
      <c r="D48" s="482" t="s">
        <v>212</v>
      </c>
      <c r="E48" s="489"/>
      <c r="F48" s="483"/>
      <c r="G48" s="522">
        <v>0</v>
      </c>
      <c r="H48" s="484">
        <v>2</v>
      </c>
      <c r="I48" s="484">
        <f>J48/H48</f>
        <v>117.98</v>
      </c>
      <c r="J48" s="522">
        <v>235.96</v>
      </c>
      <c r="K48" s="485">
        <f t="shared" si="1"/>
        <v>235.96</v>
      </c>
      <c r="L48" s="539">
        <f t="shared" si="2"/>
        <v>235.96</v>
      </c>
      <c r="M48" s="485">
        <v>0</v>
      </c>
      <c r="N48" s="536">
        <v>0</v>
      </c>
    </row>
    <row r="49" spans="1:15">
      <c r="A49" s="215">
        <v>46</v>
      </c>
      <c r="B49" s="537">
        <v>46245</v>
      </c>
      <c r="C49" s="481" t="s">
        <v>201</v>
      </c>
      <c r="D49" s="482" t="s">
        <v>202</v>
      </c>
      <c r="E49" s="489">
        <v>35</v>
      </c>
      <c r="F49" s="483">
        <f>G49/E49</f>
        <v>104.7</v>
      </c>
      <c r="G49" s="522">
        <v>3664.5</v>
      </c>
      <c r="H49" s="484"/>
      <c r="I49" s="484"/>
      <c r="J49" s="522">
        <f t="shared" si="0"/>
        <v>0</v>
      </c>
      <c r="K49" s="485">
        <f t="shared" si="1"/>
        <v>3664.5</v>
      </c>
      <c r="L49" s="539">
        <f t="shared" si="2"/>
        <v>3664.5</v>
      </c>
      <c r="M49" s="485">
        <v>0</v>
      </c>
      <c r="N49" s="536">
        <v>0</v>
      </c>
    </row>
    <row r="50" spans="1:15">
      <c r="A50" s="214">
        <v>47</v>
      </c>
      <c r="B50" s="537">
        <v>46246</v>
      </c>
      <c r="C50" s="481" t="s">
        <v>221</v>
      </c>
      <c r="D50" s="482" t="s">
        <v>209</v>
      </c>
      <c r="E50" s="489">
        <v>9.57</v>
      </c>
      <c r="F50" s="483">
        <f>G50/E50</f>
        <v>104.4932079414838</v>
      </c>
      <c r="G50" s="522">
        <v>1000</v>
      </c>
      <c r="H50" s="484"/>
      <c r="I50" s="484"/>
      <c r="J50" s="522">
        <f t="shared" si="0"/>
        <v>0</v>
      </c>
      <c r="K50" s="485">
        <f t="shared" si="1"/>
        <v>1000</v>
      </c>
      <c r="L50" s="539">
        <f t="shared" si="2"/>
        <v>1000</v>
      </c>
      <c r="M50" s="485">
        <v>0</v>
      </c>
      <c r="N50" s="536">
        <v>0</v>
      </c>
      <c r="O50" s="485">
        <f t="shared" ref="O50:O78" si="3">+K50+M50-N50</f>
        <v>1000</v>
      </c>
    </row>
    <row r="51" spans="1:15">
      <c r="A51" s="214">
        <v>48</v>
      </c>
      <c r="B51" s="537">
        <v>46246</v>
      </c>
      <c r="C51" s="481" t="s">
        <v>211</v>
      </c>
      <c r="D51" s="482" t="s">
        <v>212</v>
      </c>
      <c r="E51" s="489"/>
      <c r="F51" s="483"/>
      <c r="G51" s="522"/>
      <c r="H51" s="484">
        <v>3</v>
      </c>
      <c r="I51" s="484">
        <f>J51/H51</f>
        <v>117.98</v>
      </c>
      <c r="J51" s="522">
        <v>353.94</v>
      </c>
      <c r="K51" s="485">
        <f t="shared" si="1"/>
        <v>353.94</v>
      </c>
      <c r="L51" s="539">
        <f t="shared" si="2"/>
        <v>353.94</v>
      </c>
      <c r="M51" s="485">
        <v>0</v>
      </c>
      <c r="N51" s="536">
        <v>0</v>
      </c>
      <c r="O51" s="485">
        <f t="shared" si="3"/>
        <v>353.94</v>
      </c>
    </row>
    <row r="52" spans="1:15">
      <c r="A52" s="215">
        <v>49</v>
      </c>
      <c r="B52" s="537">
        <v>46246</v>
      </c>
      <c r="C52" s="481" t="s">
        <v>201</v>
      </c>
      <c r="D52" s="482" t="s">
        <v>202</v>
      </c>
      <c r="E52" s="489">
        <v>30</v>
      </c>
      <c r="F52" s="483">
        <f>G52/E52</f>
        <v>104.7</v>
      </c>
      <c r="G52" s="522">
        <v>3141</v>
      </c>
      <c r="H52" s="484"/>
      <c r="I52" s="484"/>
      <c r="J52" s="522">
        <f t="shared" si="0"/>
        <v>0</v>
      </c>
      <c r="K52" s="485">
        <f t="shared" si="1"/>
        <v>3141</v>
      </c>
      <c r="L52" s="539">
        <f t="shared" si="2"/>
        <v>3141</v>
      </c>
      <c r="M52" s="485">
        <v>0</v>
      </c>
      <c r="N52" s="536">
        <v>0</v>
      </c>
      <c r="O52" s="485">
        <f t="shared" si="3"/>
        <v>3141</v>
      </c>
    </row>
    <row r="53" spans="1:15">
      <c r="A53" s="214">
        <v>50</v>
      </c>
      <c r="B53" s="537">
        <v>46246</v>
      </c>
      <c r="C53" s="486" t="s">
        <v>213</v>
      </c>
      <c r="D53" s="482" t="s">
        <v>214</v>
      </c>
      <c r="E53" s="483"/>
      <c r="F53" s="483"/>
      <c r="G53" s="522"/>
      <c r="H53" s="484">
        <v>5</v>
      </c>
      <c r="I53" s="484">
        <f>J53/H53</f>
        <v>117.32000000000001</v>
      </c>
      <c r="J53" s="522">
        <v>586.6</v>
      </c>
      <c r="K53" s="485">
        <f t="shared" si="1"/>
        <v>586.6</v>
      </c>
      <c r="L53" s="539">
        <f t="shared" si="2"/>
        <v>586.6</v>
      </c>
      <c r="M53" s="485">
        <v>0</v>
      </c>
      <c r="N53" s="536">
        <v>0</v>
      </c>
      <c r="O53" s="485">
        <f t="shared" si="3"/>
        <v>586.6</v>
      </c>
    </row>
    <row r="54" spans="1:15">
      <c r="A54" s="214">
        <v>51</v>
      </c>
      <c r="B54" s="537">
        <v>46247</v>
      </c>
      <c r="C54" s="481" t="s">
        <v>211</v>
      </c>
      <c r="D54" s="482" t="s">
        <v>212</v>
      </c>
      <c r="E54" s="483"/>
      <c r="F54" s="483"/>
      <c r="G54" s="522"/>
      <c r="H54" s="484">
        <v>5</v>
      </c>
      <c r="I54" s="484">
        <f>J54/H54</f>
        <v>117.97999999999999</v>
      </c>
      <c r="J54" s="522">
        <v>589.9</v>
      </c>
      <c r="K54" s="485">
        <f t="shared" si="1"/>
        <v>589.9</v>
      </c>
      <c r="L54" s="539">
        <f t="shared" si="2"/>
        <v>589.9</v>
      </c>
      <c r="M54" s="485">
        <v>0</v>
      </c>
      <c r="N54" s="536">
        <v>0</v>
      </c>
      <c r="O54" s="485">
        <f t="shared" si="3"/>
        <v>589.9</v>
      </c>
    </row>
    <row r="55" spans="1:15">
      <c r="A55" s="215">
        <v>52</v>
      </c>
      <c r="B55" s="537">
        <v>46247</v>
      </c>
      <c r="C55" s="481" t="s">
        <v>211</v>
      </c>
      <c r="D55" s="482" t="s">
        <v>212</v>
      </c>
      <c r="E55" s="483">
        <v>40</v>
      </c>
      <c r="F55" s="483">
        <f>G55/E55</f>
        <v>105.59</v>
      </c>
      <c r="G55" s="522">
        <v>4223.6000000000004</v>
      </c>
      <c r="H55" s="484"/>
      <c r="I55" s="484"/>
      <c r="J55" s="522">
        <f t="shared" si="0"/>
        <v>0</v>
      </c>
      <c r="K55" s="485">
        <f t="shared" si="1"/>
        <v>4223.6000000000004</v>
      </c>
      <c r="L55" s="539">
        <f t="shared" si="2"/>
        <v>4223.6000000000004</v>
      </c>
      <c r="M55" s="485">
        <v>0</v>
      </c>
      <c r="N55" s="536">
        <v>0</v>
      </c>
      <c r="O55" s="485">
        <f t="shared" si="3"/>
        <v>4223.6000000000004</v>
      </c>
    </row>
    <row r="56" spans="1:15">
      <c r="A56" s="214">
        <v>53</v>
      </c>
      <c r="B56" s="537">
        <v>46248</v>
      </c>
      <c r="C56" s="481" t="s">
        <v>211</v>
      </c>
      <c r="D56" s="482" t="s">
        <v>212</v>
      </c>
      <c r="E56" s="483">
        <v>30</v>
      </c>
      <c r="F56" s="483">
        <f>G56/E56</f>
        <v>105.58999999999999</v>
      </c>
      <c r="G56" s="522">
        <v>3167.7</v>
      </c>
      <c r="H56" s="484"/>
      <c r="I56" s="484"/>
      <c r="J56" s="522">
        <f t="shared" si="0"/>
        <v>0</v>
      </c>
      <c r="K56" s="485">
        <f t="shared" si="1"/>
        <v>3167.7</v>
      </c>
      <c r="L56" s="539">
        <f t="shared" si="2"/>
        <v>3167.7</v>
      </c>
      <c r="M56" s="485">
        <v>0</v>
      </c>
      <c r="N56" s="536">
        <v>0</v>
      </c>
      <c r="O56" s="485">
        <f t="shared" si="3"/>
        <v>3167.7</v>
      </c>
    </row>
    <row r="57" spans="1:15">
      <c r="A57" s="214">
        <v>54</v>
      </c>
      <c r="B57" s="537">
        <v>46248</v>
      </c>
      <c r="C57" s="481" t="s">
        <v>222</v>
      </c>
      <c r="D57" s="482"/>
      <c r="E57" s="483">
        <v>30</v>
      </c>
      <c r="F57" s="483">
        <f>G57/E57</f>
        <v>104.98</v>
      </c>
      <c r="G57" s="522">
        <v>3149.4</v>
      </c>
      <c r="H57" s="484"/>
      <c r="I57" s="484"/>
      <c r="J57" s="522">
        <f t="shared" si="0"/>
        <v>0</v>
      </c>
      <c r="K57" s="485">
        <f t="shared" si="1"/>
        <v>3149.4</v>
      </c>
      <c r="L57" s="539">
        <f t="shared" si="2"/>
        <v>3149.4</v>
      </c>
      <c r="M57" s="485">
        <v>0</v>
      </c>
      <c r="N57" s="536">
        <v>0</v>
      </c>
      <c r="O57" s="485">
        <f t="shared" si="3"/>
        <v>3149.4</v>
      </c>
    </row>
    <row r="58" spans="1:15">
      <c r="A58" s="215">
        <v>55</v>
      </c>
      <c r="B58" s="537">
        <v>46250</v>
      </c>
      <c r="C58" s="486" t="s">
        <v>210</v>
      </c>
      <c r="D58" s="487" t="s">
        <v>209</v>
      </c>
      <c r="E58" s="483">
        <v>14.34</v>
      </c>
      <c r="F58" s="483">
        <f>G58/E58</f>
        <v>104.60251046025105</v>
      </c>
      <c r="G58" s="522">
        <v>1500</v>
      </c>
      <c r="H58" s="484"/>
      <c r="I58" s="484"/>
      <c r="J58" s="522">
        <f t="shared" si="0"/>
        <v>0</v>
      </c>
      <c r="K58" s="485">
        <f t="shared" si="1"/>
        <v>1500</v>
      </c>
      <c r="L58" s="539">
        <f t="shared" si="2"/>
        <v>1500</v>
      </c>
      <c r="M58" s="485">
        <v>0</v>
      </c>
      <c r="N58" s="536">
        <v>0</v>
      </c>
      <c r="O58" s="485">
        <f t="shared" si="3"/>
        <v>1500</v>
      </c>
    </row>
    <row r="59" spans="1:15">
      <c r="A59" s="214">
        <v>56</v>
      </c>
      <c r="B59" s="537">
        <v>46250</v>
      </c>
      <c r="C59" s="486" t="s">
        <v>210</v>
      </c>
      <c r="D59" s="482" t="s">
        <v>212</v>
      </c>
      <c r="E59" s="483"/>
      <c r="F59" s="483"/>
      <c r="G59" s="522"/>
      <c r="H59" s="484">
        <v>2</v>
      </c>
      <c r="I59" s="484">
        <v>117.98</v>
      </c>
      <c r="J59" s="522">
        <f t="shared" si="0"/>
        <v>235.96</v>
      </c>
      <c r="K59" s="485">
        <f t="shared" si="1"/>
        <v>235.96</v>
      </c>
      <c r="L59" s="539">
        <f t="shared" si="2"/>
        <v>235.96</v>
      </c>
      <c r="M59" s="485">
        <v>0</v>
      </c>
      <c r="N59" s="536">
        <v>0</v>
      </c>
      <c r="O59" s="485">
        <f t="shared" si="3"/>
        <v>235.96</v>
      </c>
    </row>
    <row r="60" spans="1:15">
      <c r="A60" s="214">
        <v>57</v>
      </c>
      <c r="B60" s="537">
        <v>46250</v>
      </c>
      <c r="C60" s="486" t="s">
        <v>210</v>
      </c>
      <c r="D60" s="482" t="s">
        <v>212</v>
      </c>
      <c r="E60" s="483"/>
      <c r="F60" s="483"/>
      <c r="G60" s="522"/>
      <c r="H60" s="484">
        <v>2</v>
      </c>
      <c r="I60" s="484">
        <v>117.98</v>
      </c>
      <c r="J60" s="522">
        <f t="shared" si="0"/>
        <v>235.96</v>
      </c>
      <c r="K60" s="485">
        <f t="shared" si="1"/>
        <v>235.96</v>
      </c>
      <c r="L60" s="539">
        <f t="shared" si="2"/>
        <v>235.96</v>
      </c>
      <c r="M60" s="485">
        <v>0</v>
      </c>
      <c r="N60" s="536">
        <v>0</v>
      </c>
      <c r="O60" s="485">
        <f t="shared" si="3"/>
        <v>235.96</v>
      </c>
    </row>
    <row r="61" spans="1:15">
      <c r="A61" s="215">
        <v>58</v>
      </c>
      <c r="B61" s="537">
        <v>46251</v>
      </c>
      <c r="C61" s="481" t="s">
        <v>211</v>
      </c>
      <c r="D61" s="482" t="s">
        <v>212</v>
      </c>
      <c r="E61" s="483">
        <v>14.21</v>
      </c>
      <c r="F61" s="483">
        <f>G61/E61</f>
        <v>105.55946516537649</v>
      </c>
      <c r="G61" s="522">
        <v>1500</v>
      </c>
      <c r="H61" s="488"/>
      <c r="I61" s="484"/>
      <c r="J61" s="522">
        <f t="shared" si="0"/>
        <v>0</v>
      </c>
      <c r="K61" s="485">
        <f t="shared" si="1"/>
        <v>1500</v>
      </c>
      <c r="L61" s="539">
        <f t="shared" si="2"/>
        <v>1500</v>
      </c>
      <c r="M61" s="485">
        <v>0</v>
      </c>
      <c r="N61" s="536">
        <v>0</v>
      </c>
      <c r="O61" s="485">
        <f t="shared" si="3"/>
        <v>1500</v>
      </c>
    </row>
    <row r="62" spans="1:15">
      <c r="A62" s="214">
        <v>59</v>
      </c>
      <c r="B62" s="537">
        <v>46252</v>
      </c>
      <c r="C62" s="481" t="s">
        <v>211</v>
      </c>
      <c r="D62" s="482" t="s">
        <v>212</v>
      </c>
      <c r="E62" s="483">
        <v>47.35</v>
      </c>
      <c r="F62" s="483">
        <v>105.59</v>
      </c>
      <c r="G62" s="538">
        <v>5000</v>
      </c>
      <c r="H62" s="484"/>
      <c r="I62" s="484"/>
      <c r="J62" s="538">
        <f t="shared" si="0"/>
        <v>0</v>
      </c>
      <c r="K62" s="516">
        <f t="shared" si="1"/>
        <v>5000</v>
      </c>
      <c r="L62" s="539">
        <f t="shared" si="2"/>
        <v>5000</v>
      </c>
      <c r="M62" s="516">
        <v>0</v>
      </c>
      <c r="N62" s="536">
        <v>0</v>
      </c>
      <c r="O62" s="516">
        <f t="shared" si="3"/>
        <v>5000</v>
      </c>
    </row>
    <row r="63" spans="1:15">
      <c r="A63" s="214">
        <v>60</v>
      </c>
      <c r="B63" s="537">
        <v>46252</v>
      </c>
      <c r="C63" s="490" t="s">
        <v>213</v>
      </c>
      <c r="D63" s="482" t="s">
        <v>214</v>
      </c>
      <c r="E63" s="483"/>
      <c r="F63" s="483"/>
      <c r="G63" s="538"/>
      <c r="H63" s="484">
        <v>5</v>
      </c>
      <c r="I63" s="484">
        <v>117.32</v>
      </c>
      <c r="J63" s="538">
        <f t="shared" si="0"/>
        <v>586.59999999999991</v>
      </c>
      <c r="K63" s="516">
        <f t="shared" si="1"/>
        <v>586.59999999999991</v>
      </c>
      <c r="L63" s="539">
        <f t="shared" si="2"/>
        <v>586.59999999999991</v>
      </c>
      <c r="M63" s="516">
        <v>0</v>
      </c>
      <c r="N63" s="536">
        <v>0</v>
      </c>
      <c r="O63" s="516">
        <f t="shared" si="3"/>
        <v>586.59999999999991</v>
      </c>
    </row>
    <row r="64" spans="1:15">
      <c r="A64" s="215">
        <v>61</v>
      </c>
      <c r="B64" s="537">
        <v>46252</v>
      </c>
      <c r="C64" s="481" t="s">
        <v>211</v>
      </c>
      <c r="D64" s="482" t="s">
        <v>212</v>
      </c>
      <c r="E64" s="483"/>
      <c r="F64" s="483"/>
      <c r="G64" s="538"/>
      <c r="H64" s="484">
        <v>4.7300000000000004</v>
      </c>
      <c r="I64" s="484">
        <v>117.98</v>
      </c>
      <c r="J64" s="538">
        <f t="shared" si="0"/>
        <v>558.04540000000009</v>
      </c>
      <c r="K64" s="516">
        <f t="shared" si="1"/>
        <v>558.04540000000009</v>
      </c>
      <c r="L64" s="539">
        <f t="shared" si="2"/>
        <v>558.04540000000009</v>
      </c>
      <c r="M64" s="516">
        <v>0</v>
      </c>
      <c r="N64" s="536">
        <v>0</v>
      </c>
      <c r="O64" s="516">
        <f t="shared" si="3"/>
        <v>558.04540000000009</v>
      </c>
    </row>
    <row r="65" spans="1:15">
      <c r="A65" s="214">
        <v>62</v>
      </c>
      <c r="B65" s="537">
        <v>46252</v>
      </c>
      <c r="C65" s="481" t="s">
        <v>211</v>
      </c>
      <c r="D65" s="482" t="s">
        <v>212</v>
      </c>
      <c r="E65" s="483"/>
      <c r="F65" s="483"/>
      <c r="G65" s="538"/>
      <c r="H65" s="484">
        <v>5</v>
      </c>
      <c r="I65" s="484">
        <v>117.98</v>
      </c>
      <c r="J65" s="538">
        <f t="shared" si="0"/>
        <v>589.9</v>
      </c>
      <c r="K65" s="516">
        <f t="shared" si="1"/>
        <v>589.9</v>
      </c>
      <c r="L65" s="539">
        <f t="shared" si="2"/>
        <v>589.9</v>
      </c>
      <c r="M65" s="516">
        <v>0</v>
      </c>
      <c r="N65" s="536">
        <v>0</v>
      </c>
      <c r="O65" s="516">
        <f t="shared" si="3"/>
        <v>589.9</v>
      </c>
    </row>
    <row r="66" spans="1:15">
      <c r="A66" s="214">
        <v>63</v>
      </c>
      <c r="B66" s="537">
        <v>46253</v>
      </c>
      <c r="C66" s="481" t="s">
        <v>223</v>
      </c>
      <c r="D66" s="482" t="s">
        <v>224</v>
      </c>
      <c r="E66" s="489">
        <v>38.14</v>
      </c>
      <c r="F66" s="483">
        <v>104.88</v>
      </c>
      <c r="G66" s="522">
        <v>4000</v>
      </c>
      <c r="H66" s="488"/>
      <c r="I66" s="484"/>
      <c r="J66" s="522">
        <f t="shared" si="0"/>
        <v>0</v>
      </c>
      <c r="K66" s="485">
        <f t="shared" si="1"/>
        <v>4000</v>
      </c>
      <c r="L66" s="539">
        <f t="shared" si="2"/>
        <v>4000</v>
      </c>
      <c r="M66" s="485">
        <v>0</v>
      </c>
      <c r="N66" s="536">
        <v>0</v>
      </c>
      <c r="O66" s="485">
        <f t="shared" si="3"/>
        <v>4000</v>
      </c>
    </row>
    <row r="67" spans="1:15">
      <c r="A67" s="215">
        <v>64</v>
      </c>
      <c r="B67" s="537">
        <v>46255</v>
      </c>
      <c r="C67" s="481" t="s">
        <v>211</v>
      </c>
      <c r="D67" s="482" t="s">
        <v>212</v>
      </c>
      <c r="E67" s="489"/>
      <c r="F67" s="483"/>
      <c r="G67" s="522"/>
      <c r="H67" s="488">
        <v>3</v>
      </c>
      <c r="I67" s="484">
        <v>117.98</v>
      </c>
      <c r="J67" s="522">
        <f t="shared" si="0"/>
        <v>353.94</v>
      </c>
      <c r="K67" s="485">
        <f t="shared" si="1"/>
        <v>353.94</v>
      </c>
      <c r="L67" s="539">
        <f t="shared" si="2"/>
        <v>353.94</v>
      </c>
      <c r="M67" s="485">
        <v>0</v>
      </c>
      <c r="N67" s="536">
        <v>0</v>
      </c>
      <c r="O67" s="485">
        <f t="shared" si="3"/>
        <v>353.94</v>
      </c>
    </row>
    <row r="68" spans="1:15">
      <c r="A68" s="214">
        <v>65</v>
      </c>
      <c r="B68" s="537">
        <v>46255</v>
      </c>
      <c r="C68" s="490" t="s">
        <v>213</v>
      </c>
      <c r="D68" s="482" t="s">
        <v>214</v>
      </c>
      <c r="E68" s="489"/>
      <c r="F68" s="483"/>
      <c r="G68" s="522"/>
      <c r="H68" s="484">
        <v>5</v>
      </c>
      <c r="I68" s="484">
        <v>117.32</v>
      </c>
      <c r="J68" s="522">
        <f t="shared" ref="J68:J78" si="4">H68*I68</f>
        <v>586.59999999999991</v>
      </c>
      <c r="K68" s="485">
        <f t="shared" si="1"/>
        <v>586.59999999999991</v>
      </c>
      <c r="L68" s="539">
        <f t="shared" si="2"/>
        <v>586.59999999999991</v>
      </c>
      <c r="M68" s="485">
        <v>0</v>
      </c>
      <c r="N68" s="536">
        <v>0</v>
      </c>
      <c r="O68" s="485">
        <f t="shared" si="3"/>
        <v>586.59999999999991</v>
      </c>
    </row>
    <row r="69" spans="1:15">
      <c r="A69" s="214">
        <v>66</v>
      </c>
      <c r="B69" s="537">
        <v>46258</v>
      </c>
      <c r="C69" s="481" t="s">
        <v>211</v>
      </c>
      <c r="D69" s="482" t="s">
        <v>212</v>
      </c>
      <c r="E69" s="489"/>
      <c r="F69" s="483"/>
      <c r="G69" s="522"/>
      <c r="H69" s="484">
        <v>5</v>
      </c>
      <c r="I69" s="484">
        <v>117.98</v>
      </c>
      <c r="J69" s="522">
        <f t="shared" si="4"/>
        <v>589.9</v>
      </c>
      <c r="K69" s="485">
        <f t="shared" ref="K69:K78" si="5">G69+J69</f>
        <v>589.9</v>
      </c>
      <c r="L69" s="539">
        <f t="shared" ref="L69:L76" si="6">+K69</f>
        <v>589.9</v>
      </c>
      <c r="M69" s="485">
        <v>0</v>
      </c>
      <c r="N69" s="536">
        <v>0</v>
      </c>
      <c r="O69" s="485">
        <f t="shared" si="3"/>
        <v>589.9</v>
      </c>
    </row>
    <row r="70" spans="1:15">
      <c r="A70" s="215">
        <v>67</v>
      </c>
      <c r="B70" s="537">
        <v>46259</v>
      </c>
      <c r="C70" s="490" t="s">
        <v>213</v>
      </c>
      <c r="D70" s="482" t="s">
        <v>214</v>
      </c>
      <c r="E70" s="489"/>
      <c r="F70" s="483"/>
      <c r="G70" s="522"/>
      <c r="H70" s="484">
        <v>5</v>
      </c>
      <c r="I70" s="484">
        <v>117.32</v>
      </c>
      <c r="J70" s="522">
        <f t="shared" si="4"/>
        <v>586.59999999999991</v>
      </c>
      <c r="K70" s="485">
        <f t="shared" si="5"/>
        <v>586.59999999999991</v>
      </c>
      <c r="L70" s="539">
        <f t="shared" si="6"/>
        <v>586.59999999999991</v>
      </c>
      <c r="M70" s="485">
        <v>0</v>
      </c>
      <c r="N70" s="536">
        <v>0</v>
      </c>
      <c r="O70" s="485">
        <f t="shared" si="3"/>
        <v>586.59999999999991</v>
      </c>
    </row>
    <row r="71" spans="1:15">
      <c r="A71" s="214">
        <v>68</v>
      </c>
      <c r="B71" s="537">
        <v>46260</v>
      </c>
      <c r="C71" s="481" t="s">
        <v>211</v>
      </c>
      <c r="D71" s="482" t="s">
        <v>212</v>
      </c>
      <c r="E71" s="489"/>
      <c r="F71" s="483"/>
      <c r="G71" s="522"/>
      <c r="H71" s="484">
        <v>4.07</v>
      </c>
      <c r="I71" s="484">
        <v>117.98</v>
      </c>
      <c r="J71" s="522">
        <f t="shared" si="4"/>
        <v>480.17860000000007</v>
      </c>
      <c r="K71" s="485">
        <f t="shared" si="5"/>
        <v>480.17860000000007</v>
      </c>
      <c r="L71" s="539">
        <f t="shared" si="6"/>
        <v>480.17860000000007</v>
      </c>
      <c r="M71" s="485">
        <v>0</v>
      </c>
      <c r="N71" s="536">
        <v>0</v>
      </c>
      <c r="O71" s="485">
        <f t="shared" si="3"/>
        <v>480.17860000000007</v>
      </c>
    </row>
    <row r="72" spans="1:15">
      <c r="A72" s="214">
        <v>69</v>
      </c>
      <c r="B72" s="537">
        <v>46261</v>
      </c>
      <c r="C72" s="481" t="s">
        <v>225</v>
      </c>
      <c r="D72" s="482" t="s">
        <v>209</v>
      </c>
      <c r="E72" s="489">
        <v>28.7</v>
      </c>
      <c r="F72" s="483">
        <v>104.54</v>
      </c>
      <c r="G72" s="522">
        <v>3000</v>
      </c>
      <c r="H72" s="484"/>
      <c r="I72" s="484"/>
      <c r="J72" s="522">
        <f t="shared" si="4"/>
        <v>0</v>
      </c>
      <c r="K72" s="485">
        <f t="shared" si="5"/>
        <v>3000</v>
      </c>
      <c r="L72" s="539">
        <f t="shared" si="6"/>
        <v>3000</v>
      </c>
      <c r="M72" s="485">
        <v>0</v>
      </c>
      <c r="N72" s="536">
        <v>0</v>
      </c>
      <c r="O72" s="485">
        <f t="shared" si="3"/>
        <v>3000</v>
      </c>
    </row>
    <row r="73" spans="1:15">
      <c r="A73" s="215">
        <v>70</v>
      </c>
      <c r="B73" s="537">
        <v>46263</v>
      </c>
      <c r="C73" s="490" t="s">
        <v>213</v>
      </c>
      <c r="D73" s="482" t="s">
        <v>214</v>
      </c>
      <c r="E73" s="489"/>
      <c r="F73" s="483"/>
      <c r="G73" s="522"/>
      <c r="H73" s="484">
        <v>5</v>
      </c>
      <c r="I73" s="484">
        <v>117.32</v>
      </c>
      <c r="J73" s="522">
        <f t="shared" si="4"/>
        <v>586.59999999999991</v>
      </c>
      <c r="K73" s="485">
        <f t="shared" si="5"/>
        <v>586.59999999999991</v>
      </c>
      <c r="L73" s="539">
        <f t="shared" si="6"/>
        <v>586.59999999999991</v>
      </c>
      <c r="M73" s="485">
        <v>0</v>
      </c>
      <c r="N73" s="536">
        <v>0</v>
      </c>
      <c r="O73" s="485">
        <f t="shared" si="3"/>
        <v>586.59999999999991</v>
      </c>
    </row>
    <row r="74" spans="1:15">
      <c r="A74" s="214">
        <v>71</v>
      </c>
      <c r="B74" s="537">
        <v>46263</v>
      </c>
      <c r="C74" s="481" t="s">
        <v>211</v>
      </c>
      <c r="D74" s="482" t="s">
        <v>212</v>
      </c>
      <c r="E74" s="489"/>
      <c r="F74" s="483"/>
      <c r="G74" s="522"/>
      <c r="H74" s="488">
        <v>5</v>
      </c>
      <c r="I74" s="484">
        <v>117.98</v>
      </c>
      <c r="J74" s="522">
        <f t="shared" si="4"/>
        <v>589.9</v>
      </c>
      <c r="K74" s="485">
        <f t="shared" si="5"/>
        <v>589.9</v>
      </c>
      <c r="L74" s="539">
        <f t="shared" si="6"/>
        <v>589.9</v>
      </c>
      <c r="M74" s="485">
        <v>0</v>
      </c>
      <c r="N74" s="536">
        <v>0</v>
      </c>
      <c r="O74" s="485">
        <f t="shared" si="3"/>
        <v>589.9</v>
      </c>
    </row>
    <row r="75" spans="1:15">
      <c r="A75" s="214">
        <v>72</v>
      </c>
      <c r="B75" s="537">
        <v>46264</v>
      </c>
      <c r="C75" s="481" t="s">
        <v>211</v>
      </c>
      <c r="D75" s="482" t="s">
        <v>212</v>
      </c>
      <c r="E75" s="489"/>
      <c r="F75" s="483"/>
      <c r="G75" s="522"/>
      <c r="H75" s="488">
        <v>4.4800000000000004</v>
      </c>
      <c r="I75" s="484">
        <v>117.98</v>
      </c>
      <c r="J75" s="522">
        <f t="shared" si="4"/>
        <v>528.55040000000008</v>
      </c>
      <c r="K75" s="485">
        <f t="shared" si="5"/>
        <v>528.55040000000008</v>
      </c>
      <c r="L75" s="539">
        <f t="shared" si="6"/>
        <v>528.55040000000008</v>
      </c>
      <c r="M75" s="485">
        <v>0</v>
      </c>
      <c r="N75" s="536">
        <v>0</v>
      </c>
      <c r="O75" s="485">
        <f t="shared" si="3"/>
        <v>528.55040000000008</v>
      </c>
    </row>
    <row r="76" spans="1:15">
      <c r="A76" s="215">
        <v>73</v>
      </c>
      <c r="B76" s="537">
        <v>46265</v>
      </c>
      <c r="C76" s="481" t="s">
        <v>211</v>
      </c>
      <c r="D76" s="482" t="s">
        <v>212</v>
      </c>
      <c r="E76" s="483">
        <v>40</v>
      </c>
      <c r="F76" s="483">
        <v>105.59</v>
      </c>
      <c r="G76" s="522">
        <v>4223.6000000000004</v>
      </c>
      <c r="H76" s="488"/>
      <c r="I76" s="484"/>
      <c r="J76" s="522">
        <f t="shared" si="4"/>
        <v>0</v>
      </c>
      <c r="K76" s="485">
        <f t="shared" si="5"/>
        <v>4223.6000000000004</v>
      </c>
      <c r="L76" s="539">
        <f t="shared" si="6"/>
        <v>4223.6000000000004</v>
      </c>
      <c r="M76" s="485">
        <v>0</v>
      </c>
      <c r="N76" s="536">
        <v>0</v>
      </c>
      <c r="O76" s="485">
        <f t="shared" si="3"/>
        <v>4223.6000000000004</v>
      </c>
    </row>
    <row r="77" spans="1:15">
      <c r="A77" s="214">
        <v>74</v>
      </c>
      <c r="B77" s="480"/>
      <c r="C77" s="481"/>
      <c r="D77" s="482"/>
      <c r="E77" s="483"/>
      <c r="F77" s="483"/>
      <c r="G77" s="522"/>
      <c r="H77" s="488"/>
      <c r="I77" s="484"/>
      <c r="J77" s="522">
        <f t="shared" si="4"/>
        <v>0</v>
      </c>
      <c r="K77" s="485">
        <f t="shared" si="5"/>
        <v>0</v>
      </c>
      <c r="L77" s="482" t="s">
        <v>226</v>
      </c>
      <c r="M77" s="485">
        <v>0</v>
      </c>
      <c r="N77" s="536">
        <v>0</v>
      </c>
      <c r="O77" s="485">
        <f t="shared" si="3"/>
        <v>0</v>
      </c>
    </row>
    <row r="78" spans="1:15">
      <c r="A78" s="214">
        <v>75</v>
      </c>
      <c r="B78" s="480"/>
      <c r="C78" s="481"/>
      <c r="D78" s="482"/>
      <c r="E78" s="483"/>
      <c r="F78" s="483"/>
      <c r="G78" s="522"/>
      <c r="H78" s="488"/>
      <c r="I78" s="484"/>
      <c r="J78" s="522">
        <f t="shared" si="4"/>
        <v>0</v>
      </c>
      <c r="K78" s="485">
        <f t="shared" si="5"/>
        <v>0</v>
      </c>
      <c r="L78" s="482" t="s">
        <v>226</v>
      </c>
      <c r="M78" s="485">
        <v>0</v>
      </c>
      <c r="N78" s="536">
        <v>0</v>
      </c>
      <c r="O78" s="485">
        <f t="shared" si="3"/>
        <v>0</v>
      </c>
    </row>
    <row r="79" spans="1:15">
      <c r="A79" s="215">
        <v>76</v>
      </c>
      <c r="B79" s="480"/>
      <c r="C79" s="481"/>
      <c r="D79" s="482"/>
      <c r="E79" s="483"/>
      <c r="F79" s="483"/>
      <c r="G79" s="522"/>
      <c r="H79" s="488"/>
      <c r="I79" s="484"/>
      <c r="J79" s="522"/>
      <c r="K79" s="485"/>
      <c r="L79" s="368">
        <f t="shared" ref="L69:L132" si="7">+K79</f>
        <v>0</v>
      </c>
      <c r="M79" s="65"/>
      <c r="N79" s="8"/>
    </row>
    <row r="80" spans="1:15">
      <c r="A80" s="214">
        <v>77</v>
      </c>
      <c r="B80" s="480"/>
      <c r="C80" s="486"/>
      <c r="D80" s="487"/>
      <c r="E80" s="483"/>
      <c r="F80" s="483"/>
      <c r="G80" s="522"/>
      <c r="H80" s="488"/>
      <c r="I80" s="484"/>
      <c r="J80" s="522"/>
      <c r="K80" s="485"/>
      <c r="L80" s="368">
        <f t="shared" si="7"/>
        <v>0</v>
      </c>
      <c r="M80" s="65"/>
      <c r="N80" s="8"/>
    </row>
    <row r="81" spans="1:14">
      <c r="A81" s="214">
        <v>78</v>
      </c>
      <c r="B81" s="480"/>
      <c r="C81" s="481"/>
      <c r="D81" s="482"/>
      <c r="E81" s="483"/>
      <c r="F81" s="483"/>
      <c r="G81" s="522"/>
      <c r="H81" s="488"/>
      <c r="I81" s="484"/>
      <c r="J81" s="522"/>
      <c r="K81" s="485"/>
      <c r="L81" s="368">
        <f t="shared" si="7"/>
        <v>0</v>
      </c>
      <c r="M81" s="65"/>
      <c r="N81" s="8"/>
    </row>
    <row r="82" spans="1:14">
      <c r="A82" s="215">
        <v>79</v>
      </c>
      <c r="B82" s="480"/>
      <c r="C82" s="481"/>
      <c r="D82" s="482"/>
      <c r="E82" s="483"/>
      <c r="F82" s="483"/>
      <c r="G82" s="522"/>
      <c r="H82" s="488"/>
      <c r="I82" s="484"/>
      <c r="J82" s="522"/>
      <c r="K82" s="485"/>
      <c r="L82" s="368">
        <f t="shared" si="7"/>
        <v>0</v>
      </c>
      <c r="M82" s="65"/>
      <c r="N82" s="8"/>
    </row>
    <row r="83" spans="1:14">
      <c r="A83" s="214">
        <v>80</v>
      </c>
      <c r="B83" s="480"/>
      <c r="C83" s="481"/>
      <c r="D83" s="482"/>
      <c r="E83" s="483"/>
      <c r="F83" s="483"/>
      <c r="G83" s="522"/>
      <c r="H83" s="488"/>
      <c r="I83" s="484"/>
      <c r="J83" s="522"/>
      <c r="K83" s="485"/>
      <c r="L83" s="368">
        <f t="shared" si="7"/>
        <v>0</v>
      </c>
      <c r="M83" s="65"/>
      <c r="N83" s="8"/>
    </row>
    <row r="84" spans="1:14">
      <c r="A84" s="214">
        <v>81</v>
      </c>
      <c r="B84" s="480"/>
      <c r="C84" s="481"/>
      <c r="D84" s="482"/>
      <c r="E84" s="483"/>
      <c r="F84" s="483"/>
      <c r="G84" s="522"/>
      <c r="H84" s="488"/>
      <c r="I84" s="484"/>
      <c r="J84" s="522"/>
      <c r="K84" s="485"/>
      <c r="L84" s="368">
        <f t="shared" si="7"/>
        <v>0</v>
      </c>
      <c r="M84" s="65"/>
      <c r="N84" s="8"/>
    </row>
    <row r="85" spans="1:14">
      <c r="A85" s="215">
        <v>82</v>
      </c>
      <c r="B85" s="480"/>
      <c r="C85" s="486"/>
      <c r="D85" s="482"/>
      <c r="E85" s="483"/>
      <c r="F85" s="483"/>
      <c r="G85" s="522"/>
      <c r="H85" s="488"/>
      <c r="I85" s="484"/>
      <c r="J85" s="522"/>
      <c r="K85" s="485"/>
      <c r="L85" s="368">
        <f t="shared" si="7"/>
        <v>0</v>
      </c>
      <c r="M85" s="65"/>
      <c r="N85" s="8"/>
    </row>
    <row r="86" spans="1:14">
      <c r="A86" s="214">
        <v>83</v>
      </c>
      <c r="B86" s="480"/>
      <c r="C86" s="486"/>
      <c r="D86" s="482"/>
      <c r="E86" s="483"/>
      <c r="F86" s="483"/>
      <c r="G86" s="522"/>
      <c r="H86" s="484"/>
      <c r="I86" s="484"/>
      <c r="J86" s="522"/>
      <c r="K86" s="485"/>
      <c r="L86" s="368">
        <f t="shared" si="7"/>
        <v>0</v>
      </c>
      <c r="M86" s="65"/>
      <c r="N86" s="8"/>
    </row>
    <row r="87" spans="1:14">
      <c r="A87" s="214">
        <v>84</v>
      </c>
      <c r="B87" s="480"/>
      <c r="C87" s="486"/>
      <c r="D87" s="482"/>
      <c r="E87" s="483"/>
      <c r="F87" s="483"/>
      <c r="G87" s="522"/>
      <c r="H87" s="484"/>
      <c r="I87" s="484"/>
      <c r="J87" s="522"/>
      <c r="K87" s="485"/>
      <c r="L87" s="368">
        <f t="shared" si="7"/>
        <v>0</v>
      </c>
      <c r="M87" s="65"/>
      <c r="N87" s="8"/>
    </row>
    <row r="88" spans="1:14">
      <c r="A88" s="215">
        <v>85</v>
      </c>
      <c r="B88" s="480"/>
      <c r="C88" s="486"/>
      <c r="D88" s="482"/>
      <c r="E88" s="483"/>
      <c r="F88" s="483"/>
      <c r="G88" s="522"/>
      <c r="H88" s="484"/>
      <c r="I88" s="484"/>
      <c r="J88" s="522"/>
      <c r="K88" s="485"/>
      <c r="L88" s="368">
        <f t="shared" si="7"/>
        <v>0</v>
      </c>
      <c r="M88" s="65"/>
      <c r="N88" s="8"/>
    </row>
    <row r="89" spans="1:14">
      <c r="A89" s="214">
        <v>86</v>
      </c>
      <c r="B89" s="480"/>
      <c r="C89" s="486"/>
      <c r="D89" s="482"/>
      <c r="E89" s="483"/>
      <c r="F89" s="483"/>
      <c r="G89" s="522"/>
      <c r="H89" s="484"/>
      <c r="I89" s="484"/>
      <c r="J89" s="522"/>
      <c r="K89" s="485"/>
      <c r="L89" s="368">
        <f t="shared" si="7"/>
        <v>0</v>
      </c>
      <c r="M89" s="65"/>
      <c r="N89" s="8"/>
    </row>
    <row r="90" spans="1:14">
      <c r="A90" s="214">
        <v>87</v>
      </c>
      <c r="B90" s="480"/>
      <c r="C90" s="486"/>
      <c r="D90" s="482"/>
      <c r="E90" s="483"/>
      <c r="F90" s="483"/>
      <c r="G90" s="522"/>
      <c r="H90" s="484"/>
      <c r="I90" s="484"/>
      <c r="J90" s="522"/>
      <c r="K90" s="485"/>
      <c r="L90" s="368">
        <f t="shared" si="7"/>
        <v>0</v>
      </c>
      <c r="M90" s="65"/>
      <c r="N90" s="8"/>
    </row>
    <row r="91" spans="1:14">
      <c r="A91" s="215">
        <v>88</v>
      </c>
      <c r="B91" s="480"/>
      <c r="C91" s="486"/>
      <c r="D91" s="482"/>
      <c r="E91" s="483"/>
      <c r="F91" s="483"/>
      <c r="G91" s="522"/>
      <c r="H91" s="484"/>
      <c r="I91" s="484"/>
      <c r="J91" s="522"/>
      <c r="K91" s="485"/>
      <c r="L91" s="368">
        <f t="shared" si="7"/>
        <v>0</v>
      </c>
      <c r="M91" s="65"/>
      <c r="N91" s="8"/>
    </row>
    <row r="92" spans="1:14">
      <c r="A92" s="214">
        <v>89</v>
      </c>
      <c r="B92" s="480"/>
      <c r="C92" s="490"/>
      <c r="D92" s="482"/>
      <c r="E92" s="491"/>
      <c r="F92" s="483"/>
      <c r="G92" s="522"/>
      <c r="H92" s="484"/>
      <c r="I92" s="484"/>
      <c r="J92" s="522"/>
      <c r="K92" s="485"/>
      <c r="L92" s="368">
        <f t="shared" si="7"/>
        <v>0</v>
      </c>
      <c r="M92" s="65"/>
      <c r="N92" s="8"/>
    </row>
    <row r="93" spans="1:14">
      <c r="A93" s="214">
        <v>90</v>
      </c>
      <c r="B93" s="480"/>
      <c r="C93" s="490"/>
      <c r="D93" s="482"/>
      <c r="E93" s="491"/>
      <c r="F93" s="483"/>
      <c r="G93" s="522"/>
      <c r="H93" s="484"/>
      <c r="I93" s="484"/>
      <c r="J93" s="522"/>
      <c r="K93" s="485"/>
      <c r="L93" s="368">
        <f t="shared" si="7"/>
        <v>0</v>
      </c>
      <c r="M93" s="65"/>
      <c r="N93" s="8"/>
    </row>
    <row r="94" spans="1:14">
      <c r="A94" s="215">
        <v>91</v>
      </c>
      <c r="B94" s="480"/>
      <c r="C94" s="490"/>
      <c r="D94" s="482"/>
      <c r="E94" s="491"/>
      <c r="F94" s="483"/>
      <c r="G94" s="522"/>
      <c r="H94" s="484"/>
      <c r="I94" s="484"/>
      <c r="J94" s="522"/>
      <c r="K94" s="485"/>
      <c r="L94" s="368">
        <f t="shared" si="7"/>
        <v>0</v>
      </c>
      <c r="M94" s="65"/>
      <c r="N94" s="8"/>
    </row>
    <row r="95" spans="1:14">
      <c r="A95" s="214">
        <v>92</v>
      </c>
      <c r="B95" s="480"/>
      <c r="C95" s="490"/>
      <c r="D95" s="482"/>
      <c r="E95" s="491"/>
      <c r="F95" s="483"/>
      <c r="G95" s="522"/>
      <c r="H95" s="484"/>
      <c r="I95" s="484"/>
      <c r="J95" s="522"/>
      <c r="K95" s="485"/>
      <c r="L95" s="368">
        <f t="shared" si="7"/>
        <v>0</v>
      </c>
      <c r="M95" s="65"/>
      <c r="N95" s="8"/>
    </row>
    <row r="96" spans="1:14">
      <c r="A96" s="214">
        <v>93</v>
      </c>
      <c r="B96" s="480"/>
      <c r="C96" s="490"/>
      <c r="D96" s="482"/>
      <c r="E96" s="491"/>
      <c r="F96" s="483"/>
      <c r="G96" s="522"/>
      <c r="H96" s="484"/>
      <c r="I96" s="484"/>
      <c r="J96" s="522"/>
      <c r="K96" s="485"/>
      <c r="L96" s="368">
        <f t="shared" si="7"/>
        <v>0</v>
      </c>
      <c r="M96" s="65"/>
      <c r="N96" s="8"/>
    </row>
    <row r="97" spans="1:14">
      <c r="A97" s="215">
        <v>94</v>
      </c>
      <c r="B97" s="480"/>
      <c r="C97" s="490"/>
      <c r="D97" s="482"/>
      <c r="E97" s="491"/>
      <c r="F97" s="483"/>
      <c r="G97" s="522"/>
      <c r="H97" s="484"/>
      <c r="I97" s="484"/>
      <c r="J97" s="522"/>
      <c r="K97" s="485"/>
      <c r="L97" s="368">
        <f t="shared" si="7"/>
        <v>0</v>
      </c>
      <c r="M97" s="65"/>
      <c r="N97" s="8"/>
    </row>
    <row r="98" spans="1:14">
      <c r="A98" s="214">
        <v>95</v>
      </c>
      <c r="B98" s="480"/>
      <c r="C98" s="490"/>
      <c r="D98" s="482"/>
      <c r="E98" s="491"/>
      <c r="F98" s="483"/>
      <c r="G98" s="522"/>
      <c r="H98" s="484"/>
      <c r="I98" s="484"/>
      <c r="J98" s="522"/>
      <c r="K98" s="485"/>
      <c r="L98" s="368">
        <f t="shared" si="7"/>
        <v>0</v>
      </c>
      <c r="M98" s="65"/>
      <c r="N98" s="8"/>
    </row>
    <row r="99" spans="1:14">
      <c r="A99" s="214">
        <v>96</v>
      </c>
      <c r="B99" s="480"/>
      <c r="C99" s="490"/>
      <c r="D99" s="482"/>
      <c r="E99" s="491"/>
      <c r="F99" s="483"/>
      <c r="G99" s="522"/>
      <c r="H99" s="484"/>
      <c r="I99" s="484"/>
      <c r="J99" s="522"/>
      <c r="K99" s="485"/>
      <c r="L99" s="368">
        <f t="shared" si="7"/>
        <v>0</v>
      </c>
      <c r="M99" s="65"/>
      <c r="N99" s="8"/>
    </row>
    <row r="100" spans="1:14">
      <c r="A100" s="215">
        <v>97</v>
      </c>
      <c r="B100" s="480"/>
      <c r="C100" s="490"/>
      <c r="D100" s="482"/>
      <c r="E100" s="483"/>
      <c r="F100" s="489"/>
      <c r="G100" s="522"/>
      <c r="H100" s="484"/>
      <c r="I100" s="484"/>
      <c r="J100" s="522"/>
      <c r="K100" s="485"/>
      <c r="L100" s="368">
        <f t="shared" si="7"/>
        <v>0</v>
      </c>
      <c r="M100" s="65"/>
      <c r="N100" s="8"/>
    </row>
    <row r="101" spans="1:14">
      <c r="A101" s="214">
        <v>98</v>
      </c>
      <c r="B101" s="480"/>
      <c r="C101" s="490"/>
      <c r="D101" s="482"/>
      <c r="E101" s="483"/>
      <c r="F101" s="489"/>
      <c r="G101" s="522"/>
      <c r="H101" s="484"/>
      <c r="I101" s="484"/>
      <c r="J101" s="522"/>
      <c r="K101" s="485"/>
      <c r="L101" s="368">
        <f t="shared" si="7"/>
        <v>0</v>
      </c>
      <c r="M101" s="65"/>
      <c r="N101" s="8"/>
    </row>
    <row r="102" spans="1:14">
      <c r="A102" s="214">
        <v>99</v>
      </c>
      <c r="B102" s="480"/>
      <c r="C102" s="490"/>
      <c r="D102" s="482"/>
      <c r="E102" s="483"/>
      <c r="F102" s="489"/>
      <c r="G102" s="522"/>
      <c r="H102" s="484"/>
      <c r="I102" s="484"/>
      <c r="J102" s="522"/>
      <c r="K102" s="485"/>
      <c r="L102" s="368">
        <f t="shared" si="7"/>
        <v>0</v>
      </c>
      <c r="M102" s="65"/>
      <c r="N102" s="8"/>
    </row>
    <row r="103" spans="1:14">
      <c r="A103" s="215">
        <v>100</v>
      </c>
      <c r="B103" s="480"/>
      <c r="C103" s="490"/>
      <c r="D103" s="482"/>
      <c r="E103" s="491"/>
      <c r="F103" s="489"/>
      <c r="G103" s="522"/>
      <c r="H103" s="484"/>
      <c r="I103" s="484"/>
      <c r="J103" s="522"/>
      <c r="K103" s="485"/>
      <c r="L103" s="368">
        <f t="shared" si="7"/>
        <v>0</v>
      </c>
      <c r="M103" s="65"/>
      <c r="N103" s="8"/>
    </row>
    <row r="104" spans="1:14">
      <c r="A104" s="214">
        <v>101</v>
      </c>
      <c r="B104" s="480"/>
      <c r="C104" s="492"/>
      <c r="D104" s="487"/>
      <c r="E104" s="483"/>
      <c r="F104" s="489"/>
      <c r="G104" s="522"/>
      <c r="H104" s="484"/>
      <c r="I104" s="484"/>
      <c r="J104" s="522"/>
      <c r="K104" s="485"/>
      <c r="L104" s="368">
        <f t="shared" si="7"/>
        <v>0</v>
      </c>
      <c r="M104" s="65"/>
      <c r="N104" s="8"/>
    </row>
    <row r="105" spans="1:14">
      <c r="A105" s="214">
        <v>102</v>
      </c>
      <c r="B105" s="480"/>
      <c r="C105" s="492"/>
      <c r="D105" s="487"/>
      <c r="E105" s="483"/>
      <c r="F105" s="489"/>
      <c r="G105" s="522"/>
      <c r="H105" s="484"/>
      <c r="I105" s="484"/>
      <c r="J105" s="522"/>
      <c r="K105" s="485"/>
      <c r="L105" s="368">
        <f t="shared" si="7"/>
        <v>0</v>
      </c>
      <c r="M105" s="65"/>
      <c r="N105" s="8"/>
    </row>
    <row r="106" spans="1:14">
      <c r="A106" s="215">
        <v>103</v>
      </c>
      <c r="B106" s="480"/>
      <c r="C106" s="492"/>
      <c r="D106" s="487"/>
      <c r="E106" s="483"/>
      <c r="F106" s="489"/>
      <c r="G106" s="522"/>
      <c r="H106" s="484"/>
      <c r="I106" s="484"/>
      <c r="J106" s="522"/>
      <c r="K106" s="485"/>
      <c r="L106" s="368">
        <f t="shared" si="7"/>
        <v>0</v>
      </c>
      <c r="M106" s="65"/>
      <c r="N106" s="8"/>
    </row>
    <row r="107" spans="1:14">
      <c r="A107" s="214">
        <v>104</v>
      </c>
      <c r="B107" s="480"/>
      <c r="C107" s="492"/>
      <c r="D107" s="482"/>
      <c r="E107" s="483"/>
      <c r="F107" s="489"/>
      <c r="G107" s="522"/>
      <c r="H107" s="484"/>
      <c r="I107" s="484"/>
      <c r="J107" s="522"/>
      <c r="K107" s="485"/>
      <c r="L107" s="368">
        <f t="shared" si="7"/>
        <v>0</v>
      </c>
      <c r="M107" s="65"/>
      <c r="N107" s="8"/>
    </row>
    <row r="108" spans="1:14">
      <c r="A108" s="214">
        <v>105</v>
      </c>
      <c r="B108" s="480"/>
      <c r="C108" s="492"/>
      <c r="D108" s="482"/>
      <c r="E108" s="483"/>
      <c r="F108" s="489"/>
      <c r="G108" s="522"/>
      <c r="H108" s="484"/>
      <c r="I108" s="484"/>
      <c r="J108" s="522"/>
      <c r="K108" s="485"/>
      <c r="L108" s="368">
        <f t="shared" si="7"/>
        <v>0</v>
      </c>
      <c r="M108" s="65"/>
      <c r="N108" s="8"/>
    </row>
    <row r="109" spans="1:14">
      <c r="A109" s="215">
        <v>106</v>
      </c>
      <c r="B109" s="480"/>
      <c r="C109" s="492"/>
      <c r="D109" s="482"/>
      <c r="E109" s="483"/>
      <c r="F109" s="489"/>
      <c r="G109" s="522"/>
      <c r="H109" s="484"/>
      <c r="I109" s="484"/>
      <c r="J109" s="522"/>
      <c r="K109" s="485"/>
      <c r="L109" s="368">
        <f t="shared" si="7"/>
        <v>0</v>
      </c>
      <c r="M109" s="65"/>
      <c r="N109" s="8"/>
    </row>
    <row r="110" spans="1:14">
      <c r="A110" s="214">
        <v>107</v>
      </c>
      <c r="B110" s="480"/>
      <c r="C110" s="486"/>
      <c r="D110" s="487"/>
      <c r="E110" s="483"/>
      <c r="F110" s="489"/>
      <c r="G110" s="522"/>
      <c r="H110" s="484"/>
      <c r="I110" s="484"/>
      <c r="J110" s="522"/>
      <c r="K110" s="485"/>
      <c r="L110" s="368">
        <f t="shared" si="7"/>
        <v>0</v>
      </c>
      <c r="M110" s="65"/>
      <c r="N110" s="8"/>
    </row>
    <row r="111" spans="1:14">
      <c r="A111" s="214">
        <v>108</v>
      </c>
      <c r="B111" s="480"/>
      <c r="C111" s="493"/>
      <c r="D111" s="487"/>
      <c r="E111" s="483"/>
      <c r="F111" s="489"/>
      <c r="G111" s="522"/>
      <c r="H111" s="484"/>
      <c r="I111" s="484"/>
      <c r="J111" s="522"/>
      <c r="K111" s="485"/>
      <c r="L111" s="368">
        <f t="shared" si="7"/>
        <v>0</v>
      </c>
      <c r="M111" s="65"/>
      <c r="N111" s="8"/>
    </row>
    <row r="112" spans="1:14">
      <c r="A112" s="215">
        <v>109</v>
      </c>
      <c r="B112" s="480"/>
      <c r="C112" s="493"/>
      <c r="D112" s="487"/>
      <c r="E112" s="483"/>
      <c r="F112" s="489"/>
      <c r="G112" s="522"/>
      <c r="H112" s="484"/>
      <c r="I112" s="484"/>
      <c r="J112" s="522"/>
      <c r="K112" s="485"/>
      <c r="L112" s="368">
        <f t="shared" si="7"/>
        <v>0</v>
      </c>
      <c r="M112" s="65"/>
      <c r="N112" s="8"/>
    </row>
    <row r="113" spans="1:14">
      <c r="A113" s="214">
        <v>110</v>
      </c>
      <c r="B113" s="480"/>
      <c r="C113" s="493"/>
      <c r="D113" s="487"/>
      <c r="E113" s="483"/>
      <c r="F113" s="489"/>
      <c r="G113" s="522"/>
      <c r="H113" s="484"/>
      <c r="I113" s="488"/>
      <c r="J113" s="522"/>
      <c r="K113" s="485"/>
      <c r="L113" s="368">
        <f t="shared" si="7"/>
        <v>0</v>
      </c>
      <c r="M113" s="65"/>
      <c r="N113" s="8"/>
    </row>
    <row r="114" spans="1:14">
      <c r="A114" s="214">
        <v>111</v>
      </c>
      <c r="B114" s="480"/>
      <c r="C114" s="493"/>
      <c r="D114" s="487"/>
      <c r="E114" s="483"/>
      <c r="F114" s="489"/>
      <c r="G114" s="522"/>
      <c r="H114" s="484"/>
      <c r="I114" s="484"/>
      <c r="J114" s="522"/>
      <c r="K114" s="485"/>
      <c r="L114" s="368">
        <f t="shared" si="7"/>
        <v>0</v>
      </c>
      <c r="M114" s="65"/>
      <c r="N114" s="8"/>
    </row>
    <row r="115" spans="1:14">
      <c r="A115" s="215">
        <v>112</v>
      </c>
      <c r="B115" s="480"/>
      <c r="C115" s="493"/>
      <c r="D115" s="487"/>
      <c r="E115" s="483"/>
      <c r="F115" s="489"/>
      <c r="G115" s="522"/>
      <c r="H115" s="484"/>
      <c r="I115" s="484"/>
      <c r="J115" s="522"/>
      <c r="K115" s="485"/>
      <c r="L115" s="368">
        <f t="shared" si="7"/>
        <v>0</v>
      </c>
      <c r="M115" s="65"/>
      <c r="N115" s="8"/>
    </row>
    <row r="116" spans="1:14">
      <c r="A116" s="214">
        <v>113</v>
      </c>
      <c r="B116" s="480"/>
      <c r="C116" s="493"/>
      <c r="D116" s="487"/>
      <c r="E116" s="483"/>
      <c r="F116" s="489"/>
      <c r="G116" s="522"/>
      <c r="H116" s="484"/>
      <c r="I116" s="484"/>
      <c r="J116" s="522"/>
      <c r="K116" s="485"/>
      <c r="L116" s="368">
        <f t="shared" si="7"/>
        <v>0</v>
      </c>
      <c r="M116" s="65"/>
      <c r="N116" s="8"/>
    </row>
    <row r="117" spans="1:14">
      <c r="A117" s="214">
        <v>114</v>
      </c>
      <c r="B117" s="480"/>
      <c r="C117" s="486"/>
      <c r="D117" s="487"/>
      <c r="E117" s="483"/>
      <c r="F117" s="489"/>
      <c r="G117" s="522"/>
      <c r="H117" s="484"/>
      <c r="I117" s="484"/>
      <c r="J117" s="522"/>
      <c r="K117" s="485"/>
      <c r="L117" s="368">
        <f t="shared" si="7"/>
        <v>0</v>
      </c>
      <c r="M117" s="65"/>
      <c r="N117" s="8"/>
    </row>
    <row r="118" spans="1:14">
      <c r="A118" s="215">
        <v>115</v>
      </c>
      <c r="B118" s="480"/>
      <c r="C118" s="486"/>
      <c r="D118" s="487"/>
      <c r="E118" s="483"/>
      <c r="F118" s="489"/>
      <c r="G118" s="522"/>
      <c r="H118" s="484"/>
      <c r="I118" s="484"/>
      <c r="J118" s="522"/>
      <c r="K118" s="485"/>
      <c r="L118" s="368">
        <f t="shared" si="7"/>
        <v>0</v>
      </c>
      <c r="M118" s="65"/>
      <c r="N118" s="8"/>
    </row>
    <row r="119" spans="1:14">
      <c r="A119" s="214">
        <v>116</v>
      </c>
      <c r="B119" s="480"/>
      <c r="C119" s="486"/>
      <c r="D119" s="487"/>
      <c r="E119" s="483"/>
      <c r="F119" s="489"/>
      <c r="G119" s="522"/>
      <c r="H119" s="484"/>
      <c r="I119" s="484"/>
      <c r="J119" s="522"/>
      <c r="K119" s="485"/>
      <c r="L119" s="368">
        <f t="shared" si="7"/>
        <v>0</v>
      </c>
      <c r="M119" s="65"/>
      <c r="N119" s="8"/>
    </row>
    <row r="120" spans="1:14">
      <c r="A120" s="214">
        <v>117</v>
      </c>
      <c r="B120" s="480"/>
      <c r="C120" s="486"/>
      <c r="D120" s="487"/>
      <c r="E120" s="483"/>
      <c r="F120" s="489"/>
      <c r="G120" s="522"/>
      <c r="H120" s="484"/>
      <c r="I120" s="484"/>
      <c r="J120" s="522"/>
      <c r="K120" s="485"/>
      <c r="L120" s="368">
        <f t="shared" si="7"/>
        <v>0</v>
      </c>
      <c r="M120" s="65"/>
      <c r="N120" s="8"/>
    </row>
    <row r="121" spans="1:14">
      <c r="A121" s="215">
        <v>118</v>
      </c>
      <c r="B121" s="480"/>
      <c r="C121" s="486"/>
      <c r="D121" s="482"/>
      <c r="E121" s="483"/>
      <c r="F121" s="489"/>
      <c r="G121" s="522"/>
      <c r="H121" s="484"/>
      <c r="I121" s="484"/>
      <c r="J121" s="522"/>
      <c r="K121" s="485"/>
      <c r="L121" s="368">
        <f t="shared" si="7"/>
        <v>0</v>
      </c>
      <c r="M121" s="65"/>
      <c r="N121" s="8"/>
    </row>
    <row r="122" spans="1:14">
      <c r="A122" s="214">
        <v>119</v>
      </c>
      <c r="B122" s="480"/>
      <c r="C122" s="486"/>
      <c r="D122" s="494"/>
      <c r="E122" s="495"/>
      <c r="F122" s="495"/>
      <c r="G122" s="521"/>
      <c r="H122" s="484"/>
      <c r="I122" s="484"/>
      <c r="J122" s="521"/>
      <c r="K122" s="485"/>
      <c r="L122" s="368">
        <f t="shared" si="7"/>
        <v>0</v>
      </c>
      <c r="M122" s="65"/>
      <c r="N122" s="8"/>
    </row>
    <row r="123" spans="1:14">
      <c r="A123" s="214">
        <v>120</v>
      </c>
      <c r="B123" s="480"/>
      <c r="C123" s="486"/>
      <c r="D123" s="494"/>
      <c r="E123" s="495"/>
      <c r="F123" s="489"/>
      <c r="G123" s="521"/>
      <c r="H123" s="484"/>
      <c r="I123" s="496"/>
      <c r="J123" s="521"/>
      <c r="K123" s="485"/>
      <c r="L123" s="368">
        <f t="shared" si="7"/>
        <v>0</v>
      </c>
      <c r="M123" s="65"/>
      <c r="N123" s="8"/>
    </row>
    <row r="124" spans="1:14">
      <c r="A124" s="215">
        <v>121</v>
      </c>
      <c r="B124" s="480"/>
      <c r="C124" s="486"/>
      <c r="D124" s="487"/>
      <c r="E124" s="497"/>
      <c r="F124" s="489"/>
      <c r="G124" s="521"/>
      <c r="H124" s="496"/>
      <c r="I124" s="496"/>
      <c r="J124" s="521"/>
      <c r="K124" s="485"/>
      <c r="L124" s="368">
        <f t="shared" si="7"/>
        <v>0</v>
      </c>
      <c r="M124" s="65"/>
      <c r="N124" s="8"/>
    </row>
    <row r="125" spans="1:14">
      <c r="A125" s="214">
        <v>122</v>
      </c>
      <c r="B125" s="480"/>
      <c r="C125" s="486"/>
      <c r="D125" s="487"/>
      <c r="E125" s="495"/>
      <c r="F125" s="489"/>
      <c r="G125" s="521"/>
      <c r="H125" s="496"/>
      <c r="I125" s="496"/>
      <c r="J125" s="521"/>
      <c r="K125" s="485"/>
      <c r="L125" s="368">
        <f t="shared" si="7"/>
        <v>0</v>
      </c>
      <c r="M125" s="65"/>
      <c r="N125" s="8"/>
    </row>
    <row r="126" spans="1:14">
      <c r="A126" s="214">
        <v>123</v>
      </c>
      <c r="B126" s="480"/>
      <c r="C126" s="486"/>
      <c r="D126" s="494"/>
      <c r="E126" s="495"/>
      <c r="F126" s="489"/>
      <c r="G126" s="521"/>
      <c r="H126" s="496"/>
      <c r="I126" s="496"/>
      <c r="J126" s="521"/>
      <c r="K126" s="485"/>
      <c r="L126" s="368">
        <f t="shared" si="7"/>
        <v>0</v>
      </c>
      <c r="M126" s="65"/>
      <c r="N126" s="8"/>
    </row>
    <row r="127" spans="1:14">
      <c r="A127" s="215">
        <v>124</v>
      </c>
      <c r="B127" s="480"/>
      <c r="C127" s="486"/>
      <c r="D127" s="494"/>
      <c r="E127" s="495"/>
      <c r="F127" s="489"/>
      <c r="G127" s="521"/>
      <c r="H127" s="496"/>
      <c r="I127" s="496"/>
      <c r="J127" s="521"/>
      <c r="K127" s="485"/>
      <c r="L127" s="368">
        <f t="shared" si="7"/>
        <v>0</v>
      </c>
      <c r="M127" s="65"/>
      <c r="N127" s="8"/>
    </row>
    <row r="128" spans="1:14">
      <c r="A128" s="214">
        <v>125</v>
      </c>
      <c r="B128" s="480"/>
      <c r="C128" s="486"/>
      <c r="D128" s="482"/>
      <c r="E128" s="495"/>
      <c r="F128" s="489"/>
      <c r="G128" s="521"/>
      <c r="H128" s="496"/>
      <c r="I128" s="496"/>
      <c r="J128" s="521"/>
      <c r="K128" s="485"/>
      <c r="L128" s="368">
        <f t="shared" si="7"/>
        <v>0</v>
      </c>
      <c r="M128" s="65"/>
      <c r="N128" s="8"/>
    </row>
    <row r="129" spans="1:14">
      <c r="A129" s="214">
        <v>126</v>
      </c>
      <c r="B129" s="480"/>
      <c r="C129" s="486"/>
      <c r="D129" s="482"/>
      <c r="E129" s="495"/>
      <c r="F129" s="489"/>
      <c r="G129" s="521"/>
      <c r="H129" s="496"/>
      <c r="I129" s="496"/>
      <c r="J129" s="521"/>
      <c r="K129" s="485"/>
      <c r="L129" s="368">
        <f t="shared" si="7"/>
        <v>0</v>
      </c>
      <c r="M129" s="65"/>
      <c r="N129" s="8"/>
    </row>
    <row r="130" spans="1:14">
      <c r="A130" s="215">
        <v>127</v>
      </c>
      <c r="B130" s="480"/>
      <c r="C130" s="493"/>
      <c r="D130" s="487"/>
      <c r="E130" s="495"/>
      <c r="F130" s="489"/>
      <c r="G130" s="521"/>
      <c r="H130" s="496"/>
      <c r="I130" s="496"/>
      <c r="J130" s="521"/>
      <c r="K130" s="485"/>
      <c r="L130" s="368">
        <f t="shared" si="7"/>
        <v>0</v>
      </c>
      <c r="M130" s="65"/>
      <c r="N130" s="8"/>
    </row>
    <row r="131" spans="1:14">
      <c r="A131" s="214">
        <v>128</v>
      </c>
      <c r="B131" s="480"/>
      <c r="C131" s="493"/>
      <c r="D131" s="482"/>
      <c r="E131" s="495"/>
      <c r="F131" s="495"/>
      <c r="G131" s="521"/>
      <c r="H131" s="496"/>
      <c r="I131" s="496"/>
      <c r="J131" s="521"/>
      <c r="K131" s="485"/>
      <c r="L131" s="368">
        <f t="shared" si="7"/>
        <v>0</v>
      </c>
      <c r="M131" s="65"/>
      <c r="N131" s="8"/>
    </row>
    <row r="132" spans="1:14">
      <c r="A132" s="214">
        <v>129</v>
      </c>
      <c r="B132" s="480"/>
      <c r="C132" s="493"/>
      <c r="D132" s="482"/>
      <c r="E132" s="495"/>
      <c r="F132" s="489"/>
      <c r="G132" s="521"/>
      <c r="H132" s="496"/>
      <c r="I132" s="496"/>
      <c r="J132" s="521"/>
      <c r="K132" s="485"/>
      <c r="L132" s="368">
        <f t="shared" si="7"/>
        <v>0</v>
      </c>
      <c r="M132" s="65"/>
      <c r="N132" s="8"/>
    </row>
    <row r="133" spans="1:14">
      <c r="A133" s="215">
        <v>130</v>
      </c>
      <c r="B133" s="480"/>
      <c r="C133" s="493"/>
      <c r="D133" s="482"/>
      <c r="E133" s="498"/>
      <c r="F133" s="495"/>
      <c r="G133" s="521"/>
      <c r="H133" s="496"/>
      <c r="I133" s="496"/>
      <c r="J133" s="521"/>
      <c r="K133" s="485"/>
      <c r="L133" s="368">
        <f t="shared" ref="L133:L196" si="8">+K133</f>
        <v>0</v>
      </c>
      <c r="M133" s="65"/>
      <c r="N133" s="8"/>
    </row>
    <row r="134" spans="1:14">
      <c r="A134" s="214">
        <v>131</v>
      </c>
      <c r="B134" s="480"/>
      <c r="C134" s="493"/>
      <c r="D134" s="487"/>
      <c r="E134" s="495"/>
      <c r="F134" s="495"/>
      <c r="G134" s="521"/>
      <c r="H134" s="496"/>
      <c r="I134" s="496"/>
      <c r="J134" s="521"/>
      <c r="K134" s="485"/>
      <c r="L134" s="368">
        <f t="shared" si="8"/>
        <v>0</v>
      </c>
      <c r="M134" s="65"/>
      <c r="N134" s="8"/>
    </row>
    <row r="135" spans="1:14">
      <c r="A135" s="214">
        <v>132</v>
      </c>
      <c r="B135" s="480"/>
      <c r="C135" s="493"/>
      <c r="D135" s="487"/>
      <c r="E135" s="495"/>
      <c r="F135" s="495"/>
      <c r="G135" s="521"/>
      <c r="H135" s="496"/>
      <c r="I135" s="496"/>
      <c r="J135" s="521"/>
      <c r="K135" s="485"/>
      <c r="L135" s="368">
        <f t="shared" si="8"/>
        <v>0</v>
      </c>
      <c r="M135" s="65"/>
      <c r="N135" s="8"/>
    </row>
    <row r="136" spans="1:14">
      <c r="A136" s="215">
        <v>133</v>
      </c>
      <c r="B136" s="480"/>
      <c r="C136" s="486"/>
      <c r="D136" s="487"/>
      <c r="E136" s="495"/>
      <c r="F136" s="483"/>
      <c r="G136" s="521"/>
      <c r="H136" s="496"/>
      <c r="I136" s="496"/>
      <c r="J136" s="521"/>
      <c r="K136" s="485"/>
      <c r="L136" s="368">
        <f t="shared" si="8"/>
        <v>0</v>
      </c>
      <c r="M136" s="65"/>
      <c r="N136" s="8"/>
    </row>
    <row r="137" spans="1:14">
      <c r="A137" s="214">
        <v>134</v>
      </c>
      <c r="B137" s="480"/>
      <c r="C137" s="486"/>
      <c r="D137" s="487"/>
      <c r="E137" s="495"/>
      <c r="F137" s="483"/>
      <c r="G137" s="521"/>
      <c r="H137" s="496"/>
      <c r="I137" s="496"/>
      <c r="J137" s="521"/>
      <c r="K137" s="485"/>
      <c r="L137" s="368">
        <f t="shared" si="8"/>
        <v>0</v>
      </c>
      <c r="M137" s="65"/>
      <c r="N137" s="8"/>
    </row>
    <row r="138" spans="1:14">
      <c r="A138" s="214">
        <v>135</v>
      </c>
      <c r="B138" s="480"/>
      <c r="C138" s="486"/>
      <c r="D138" s="494"/>
      <c r="E138" s="495"/>
      <c r="F138" s="483"/>
      <c r="G138" s="521"/>
      <c r="H138" s="496"/>
      <c r="I138" s="496"/>
      <c r="J138" s="521"/>
      <c r="K138" s="485"/>
      <c r="L138" s="368">
        <f t="shared" si="8"/>
        <v>0</v>
      </c>
      <c r="M138" s="65"/>
      <c r="N138" s="8"/>
    </row>
    <row r="139" spans="1:14">
      <c r="A139" s="215">
        <v>136</v>
      </c>
      <c r="B139" s="480"/>
      <c r="C139" s="486"/>
      <c r="D139" s="494"/>
      <c r="E139" s="495"/>
      <c r="F139" s="495"/>
      <c r="G139" s="521"/>
      <c r="H139" s="496"/>
      <c r="I139" s="496"/>
      <c r="J139" s="521"/>
      <c r="K139" s="485"/>
      <c r="L139" s="368">
        <f t="shared" si="8"/>
        <v>0</v>
      </c>
      <c r="M139" s="65"/>
      <c r="N139" s="8"/>
    </row>
    <row r="140" spans="1:14">
      <c r="A140" s="214">
        <v>137</v>
      </c>
      <c r="B140" s="480"/>
      <c r="C140" s="499"/>
      <c r="D140" s="494"/>
      <c r="E140" s="500"/>
      <c r="F140" s="501"/>
      <c r="G140" s="521"/>
      <c r="H140" s="496"/>
      <c r="I140" s="496"/>
      <c r="J140" s="521"/>
      <c r="K140" s="485"/>
      <c r="L140" s="368">
        <f t="shared" si="8"/>
        <v>0</v>
      </c>
      <c r="M140" s="65"/>
      <c r="N140" s="8"/>
    </row>
    <row r="141" spans="1:14">
      <c r="A141" s="214">
        <v>138</v>
      </c>
      <c r="B141" s="480"/>
      <c r="C141" s="486"/>
      <c r="D141" s="482"/>
      <c r="E141" s="500"/>
      <c r="F141" s="483"/>
      <c r="G141" s="521"/>
      <c r="H141" s="496"/>
      <c r="I141" s="496"/>
      <c r="J141" s="521"/>
      <c r="K141" s="485"/>
      <c r="L141" s="368">
        <f t="shared" si="8"/>
        <v>0</v>
      </c>
      <c r="M141" s="65"/>
      <c r="N141" s="8"/>
    </row>
    <row r="142" spans="1:14">
      <c r="A142" s="215">
        <v>139</v>
      </c>
      <c r="B142" s="480"/>
      <c r="C142" s="486"/>
      <c r="D142" s="482"/>
      <c r="E142" s="500"/>
      <c r="F142" s="483"/>
      <c r="G142" s="521"/>
      <c r="H142" s="496"/>
      <c r="I142" s="496"/>
      <c r="J142" s="521"/>
      <c r="K142" s="485"/>
      <c r="L142" s="368">
        <f t="shared" si="8"/>
        <v>0</v>
      </c>
      <c r="M142" s="65"/>
      <c r="N142" s="8"/>
    </row>
    <row r="143" spans="1:14">
      <c r="A143" s="214">
        <v>140</v>
      </c>
      <c r="B143" s="480"/>
      <c r="C143" s="486"/>
      <c r="D143" s="494"/>
      <c r="E143" s="500"/>
      <c r="F143" s="501"/>
      <c r="G143" s="521"/>
      <c r="H143" s="496"/>
      <c r="I143" s="496"/>
      <c r="J143" s="521"/>
      <c r="K143" s="485"/>
      <c r="L143" s="368">
        <f t="shared" si="8"/>
        <v>0</v>
      </c>
      <c r="M143" s="65"/>
      <c r="N143" s="8"/>
    </row>
    <row r="144" spans="1:14">
      <c r="A144" s="214">
        <v>141</v>
      </c>
      <c r="B144" s="480"/>
      <c r="C144" s="486"/>
      <c r="D144" s="494"/>
      <c r="E144" s="500"/>
      <c r="F144" s="501"/>
      <c r="G144" s="521"/>
      <c r="H144" s="496"/>
      <c r="I144" s="496"/>
      <c r="J144" s="521"/>
      <c r="K144" s="485"/>
      <c r="L144" s="368">
        <f t="shared" si="8"/>
        <v>0</v>
      </c>
      <c r="M144" s="65"/>
      <c r="N144" s="8"/>
    </row>
    <row r="145" spans="1:14">
      <c r="A145" s="215">
        <v>142</v>
      </c>
      <c r="B145" s="480"/>
      <c r="C145" s="486"/>
      <c r="D145" s="494"/>
      <c r="E145" s="500"/>
      <c r="F145" s="501"/>
      <c r="G145" s="521"/>
      <c r="H145" s="496"/>
      <c r="I145" s="496"/>
      <c r="J145" s="521"/>
      <c r="K145" s="485"/>
      <c r="L145" s="368">
        <f t="shared" si="8"/>
        <v>0</v>
      </c>
      <c r="M145" s="65"/>
      <c r="N145" s="8"/>
    </row>
    <row r="146" spans="1:14">
      <c r="A146" s="214">
        <v>143</v>
      </c>
      <c r="B146" s="480"/>
      <c r="C146" s="486"/>
      <c r="D146" s="494"/>
      <c r="E146" s="500"/>
      <c r="F146" s="483"/>
      <c r="G146" s="521"/>
      <c r="H146" s="496"/>
      <c r="I146" s="496"/>
      <c r="J146" s="521"/>
      <c r="K146" s="485"/>
      <c r="L146" s="368">
        <f t="shared" si="8"/>
        <v>0</v>
      </c>
      <c r="M146" s="65"/>
      <c r="N146" s="8"/>
    </row>
    <row r="147" spans="1:14">
      <c r="A147" s="214">
        <v>144</v>
      </c>
      <c r="B147" s="480"/>
      <c r="C147" s="486"/>
      <c r="D147" s="502"/>
      <c r="E147" s="503"/>
      <c r="F147" s="483"/>
      <c r="G147" s="521"/>
      <c r="H147" s="496"/>
      <c r="I147" s="496"/>
      <c r="J147" s="521"/>
      <c r="K147" s="485"/>
      <c r="L147" s="368">
        <f t="shared" si="8"/>
        <v>0</v>
      </c>
      <c r="M147" s="65"/>
      <c r="N147" s="8"/>
    </row>
    <row r="148" spans="1:14">
      <c r="A148" s="215">
        <v>145</v>
      </c>
      <c r="B148" s="480"/>
      <c r="C148" s="486"/>
      <c r="D148" s="502"/>
      <c r="E148" s="503"/>
      <c r="F148" s="483"/>
      <c r="G148" s="521"/>
      <c r="H148" s="496"/>
      <c r="I148" s="496"/>
      <c r="J148" s="521"/>
      <c r="K148" s="485"/>
      <c r="L148" s="368">
        <f t="shared" si="8"/>
        <v>0</v>
      </c>
      <c r="M148" s="65"/>
      <c r="N148" s="8"/>
    </row>
    <row r="149" spans="1:14">
      <c r="A149" s="214">
        <v>146</v>
      </c>
      <c r="B149" s="480"/>
      <c r="C149" s="486"/>
      <c r="D149" s="502"/>
      <c r="E149" s="503"/>
      <c r="F149" s="483"/>
      <c r="G149" s="521"/>
      <c r="H149" s="496"/>
      <c r="I149" s="496"/>
      <c r="J149" s="521"/>
      <c r="K149" s="485"/>
      <c r="L149" s="368">
        <f t="shared" si="8"/>
        <v>0</v>
      </c>
      <c r="M149" s="65"/>
      <c r="N149" s="8"/>
    </row>
    <row r="150" spans="1:14">
      <c r="A150" s="214">
        <v>147</v>
      </c>
      <c r="B150" s="480"/>
      <c r="C150" s="486"/>
      <c r="D150" s="502"/>
      <c r="E150" s="503"/>
      <c r="F150" s="504"/>
      <c r="G150" s="521"/>
      <c r="H150" s="496"/>
      <c r="I150" s="496"/>
      <c r="J150" s="521"/>
      <c r="K150" s="485"/>
      <c r="L150" s="368">
        <f t="shared" si="8"/>
        <v>0</v>
      </c>
      <c r="M150" s="65"/>
      <c r="N150" s="8"/>
    </row>
    <row r="151" spans="1:14">
      <c r="A151" s="215">
        <v>148</v>
      </c>
      <c r="B151" s="480"/>
      <c r="C151" s="486"/>
      <c r="D151" s="502"/>
      <c r="E151" s="503"/>
      <c r="F151" s="483"/>
      <c r="G151" s="521"/>
      <c r="H151" s="496"/>
      <c r="I151" s="496"/>
      <c r="J151" s="521"/>
      <c r="K151" s="485"/>
      <c r="L151" s="368">
        <f t="shared" si="8"/>
        <v>0</v>
      </c>
      <c r="M151" s="65"/>
      <c r="N151" s="8"/>
    </row>
    <row r="152" spans="1:14">
      <c r="A152" s="214">
        <v>149</v>
      </c>
      <c r="B152" s="480"/>
      <c r="C152" s="486"/>
      <c r="D152" s="502"/>
      <c r="E152" s="495"/>
      <c r="F152" s="483"/>
      <c r="G152" s="521"/>
      <c r="H152" s="496"/>
      <c r="I152" s="496"/>
      <c r="J152" s="521"/>
      <c r="K152" s="485"/>
      <c r="L152" s="368">
        <f t="shared" si="8"/>
        <v>0</v>
      </c>
      <c r="M152" s="65"/>
      <c r="N152" s="8"/>
    </row>
    <row r="153" spans="1:14">
      <c r="A153" s="214">
        <v>150</v>
      </c>
      <c r="B153" s="480"/>
      <c r="C153" s="486"/>
      <c r="D153" s="502"/>
      <c r="E153" s="503"/>
      <c r="F153" s="483"/>
      <c r="G153" s="521"/>
      <c r="H153" s="505"/>
      <c r="I153" s="505"/>
      <c r="J153" s="521"/>
      <c r="K153" s="485"/>
      <c r="L153" s="368">
        <f t="shared" si="8"/>
        <v>0</v>
      </c>
      <c r="M153" s="65"/>
      <c r="N153" s="8"/>
    </row>
    <row r="154" spans="1:14">
      <c r="A154" s="215">
        <v>151</v>
      </c>
      <c r="B154" s="480"/>
      <c r="C154" s="486"/>
      <c r="D154" s="502"/>
      <c r="E154" s="503"/>
      <c r="F154" s="504"/>
      <c r="G154" s="521"/>
      <c r="H154" s="505"/>
      <c r="I154" s="496"/>
      <c r="J154" s="521"/>
      <c r="K154" s="485"/>
      <c r="L154" s="368">
        <f t="shared" si="8"/>
        <v>0</v>
      </c>
      <c r="M154" s="65"/>
      <c r="N154" s="8"/>
    </row>
    <row r="155" spans="1:14">
      <c r="A155" s="214">
        <v>152</v>
      </c>
      <c r="B155" s="480"/>
      <c r="C155" s="486"/>
      <c r="D155" s="502"/>
      <c r="E155" s="495"/>
      <c r="F155" s="483"/>
      <c r="G155" s="521"/>
      <c r="H155" s="496"/>
      <c r="I155" s="496"/>
      <c r="J155" s="521"/>
      <c r="K155" s="485"/>
      <c r="L155" s="368">
        <f t="shared" si="8"/>
        <v>0</v>
      </c>
      <c r="M155" s="65"/>
      <c r="N155" s="8"/>
    </row>
    <row r="156" spans="1:14">
      <c r="A156" s="214">
        <v>153</v>
      </c>
      <c r="B156" s="480"/>
      <c r="C156" s="486"/>
      <c r="D156" s="502"/>
      <c r="E156" s="503"/>
      <c r="F156" s="504"/>
      <c r="G156" s="521"/>
      <c r="H156" s="505"/>
      <c r="I156" s="496"/>
      <c r="J156" s="521"/>
      <c r="K156" s="485"/>
      <c r="L156" s="368">
        <f t="shared" si="8"/>
        <v>0</v>
      </c>
      <c r="M156" s="65"/>
      <c r="N156" s="8"/>
    </row>
    <row r="157" spans="1:14">
      <c r="A157" s="215">
        <v>154</v>
      </c>
      <c r="B157" s="480"/>
      <c r="C157" s="486"/>
      <c r="D157" s="502"/>
      <c r="E157" s="503"/>
      <c r="F157" s="483"/>
      <c r="G157" s="521"/>
      <c r="H157" s="505"/>
      <c r="I157" s="505"/>
      <c r="J157" s="521"/>
      <c r="K157" s="485"/>
      <c r="L157" s="368">
        <f t="shared" si="8"/>
        <v>0</v>
      </c>
      <c r="M157" s="65"/>
      <c r="N157" s="8"/>
    </row>
    <row r="158" spans="1:14">
      <c r="A158" s="214">
        <v>155</v>
      </c>
      <c r="B158" s="480"/>
      <c r="C158" s="486"/>
      <c r="D158" s="502"/>
      <c r="E158" s="495"/>
      <c r="F158" s="506"/>
      <c r="G158" s="521"/>
      <c r="H158" s="496"/>
      <c r="I158" s="496"/>
      <c r="J158" s="521"/>
      <c r="K158" s="485"/>
      <c r="L158" s="368">
        <f t="shared" si="8"/>
        <v>0</v>
      </c>
      <c r="M158" s="65"/>
      <c r="N158" s="8"/>
    </row>
    <row r="159" spans="1:14">
      <c r="A159" s="214">
        <v>156</v>
      </c>
      <c r="B159" s="480"/>
      <c r="C159" s="486"/>
      <c r="D159" s="502"/>
      <c r="E159" s="495"/>
      <c r="F159" s="506"/>
      <c r="G159" s="521"/>
      <c r="H159" s="496"/>
      <c r="I159" s="496"/>
      <c r="J159" s="521"/>
      <c r="K159" s="485"/>
      <c r="L159" s="368">
        <f t="shared" si="8"/>
        <v>0</v>
      </c>
      <c r="M159" s="65"/>
      <c r="N159" s="8"/>
    </row>
    <row r="160" spans="1:14">
      <c r="A160" s="215">
        <v>157</v>
      </c>
      <c r="B160" s="480"/>
      <c r="C160" s="486"/>
      <c r="D160" s="502"/>
      <c r="E160" s="495"/>
      <c r="F160" s="483"/>
      <c r="G160" s="521"/>
      <c r="H160" s="496"/>
      <c r="I160" s="496"/>
      <c r="J160" s="521"/>
      <c r="K160" s="485"/>
      <c r="L160" s="368">
        <f t="shared" si="8"/>
        <v>0</v>
      </c>
      <c r="M160" s="65"/>
      <c r="N160" s="8"/>
    </row>
    <row r="161" spans="1:14">
      <c r="A161" s="214">
        <v>158</v>
      </c>
      <c r="B161" s="507"/>
      <c r="C161" s="486"/>
      <c r="D161" s="487"/>
      <c r="E161" s="498"/>
      <c r="F161" s="498"/>
      <c r="G161" s="524"/>
      <c r="H161" s="508"/>
      <c r="I161" s="508"/>
      <c r="J161" s="524"/>
      <c r="K161" s="509"/>
      <c r="L161" s="368">
        <f t="shared" si="8"/>
        <v>0</v>
      </c>
      <c r="M161" s="65"/>
      <c r="N161" s="8"/>
    </row>
    <row r="162" spans="1:14">
      <c r="A162" s="214">
        <v>159</v>
      </c>
      <c r="B162" s="480"/>
      <c r="C162" s="486"/>
      <c r="D162" s="487"/>
      <c r="E162" s="498"/>
      <c r="F162" s="489"/>
      <c r="G162" s="524"/>
      <c r="H162" s="508"/>
      <c r="I162" s="508"/>
      <c r="J162" s="524"/>
      <c r="K162" s="509"/>
      <c r="L162" s="368">
        <f t="shared" si="8"/>
        <v>0</v>
      </c>
      <c r="M162" s="65"/>
      <c r="N162" s="8"/>
    </row>
    <row r="163" spans="1:14">
      <c r="A163" s="215">
        <v>160</v>
      </c>
      <c r="B163" s="480"/>
      <c r="C163" s="486"/>
      <c r="D163" s="502"/>
      <c r="E163" s="498"/>
      <c r="F163" s="498"/>
      <c r="G163" s="524"/>
      <c r="H163" s="508"/>
      <c r="I163" s="508"/>
      <c r="J163" s="524"/>
      <c r="K163" s="509"/>
      <c r="L163" s="368">
        <f t="shared" si="8"/>
        <v>0</v>
      </c>
      <c r="M163" s="65"/>
      <c r="N163" s="8"/>
    </row>
    <row r="164" spans="1:14">
      <c r="A164" s="214">
        <v>161</v>
      </c>
      <c r="B164" s="480"/>
      <c r="C164" s="486"/>
      <c r="D164" s="502"/>
      <c r="E164" s="498"/>
      <c r="F164" s="489"/>
      <c r="G164" s="524"/>
      <c r="H164" s="508"/>
      <c r="I164" s="508"/>
      <c r="J164" s="524"/>
      <c r="K164" s="509"/>
      <c r="L164" s="368">
        <f t="shared" si="8"/>
        <v>0</v>
      </c>
      <c r="M164" s="65"/>
      <c r="N164" s="8"/>
    </row>
    <row r="165" spans="1:14">
      <c r="A165" s="214">
        <v>162</v>
      </c>
      <c r="B165" s="480"/>
      <c r="C165" s="486"/>
      <c r="D165" s="502"/>
      <c r="E165" s="498"/>
      <c r="F165" s="489"/>
      <c r="G165" s="524"/>
      <c r="H165" s="508"/>
      <c r="I165" s="508"/>
      <c r="J165" s="524"/>
      <c r="K165" s="509"/>
      <c r="L165" s="368">
        <f t="shared" si="8"/>
        <v>0</v>
      </c>
      <c r="M165" s="65"/>
      <c r="N165" s="8"/>
    </row>
    <row r="166" spans="1:14">
      <c r="A166" s="215">
        <v>163</v>
      </c>
      <c r="B166" s="480"/>
      <c r="C166" s="486"/>
      <c r="D166" s="502"/>
      <c r="E166" s="498"/>
      <c r="F166" s="489"/>
      <c r="G166" s="524"/>
      <c r="H166" s="508"/>
      <c r="I166" s="508"/>
      <c r="J166" s="524"/>
      <c r="K166" s="509"/>
      <c r="L166" s="368">
        <f t="shared" si="8"/>
        <v>0</v>
      </c>
      <c r="M166" s="65"/>
      <c r="N166" s="8"/>
    </row>
    <row r="167" spans="1:14">
      <c r="A167" s="214">
        <v>164</v>
      </c>
      <c r="B167" s="480"/>
      <c r="C167" s="486"/>
      <c r="D167" s="502"/>
      <c r="E167" s="498"/>
      <c r="F167" s="489"/>
      <c r="G167" s="524"/>
      <c r="H167" s="508"/>
      <c r="I167" s="508"/>
      <c r="J167" s="524"/>
      <c r="K167" s="509"/>
      <c r="L167" s="368">
        <f t="shared" si="8"/>
        <v>0</v>
      </c>
      <c r="M167" s="65"/>
      <c r="N167" s="8"/>
    </row>
    <row r="168" spans="1:14">
      <c r="A168" s="214">
        <v>165</v>
      </c>
      <c r="B168" s="480"/>
      <c r="C168" s="486"/>
      <c r="D168" s="502"/>
      <c r="E168" s="498"/>
      <c r="F168" s="489"/>
      <c r="G168" s="524"/>
      <c r="H168" s="508"/>
      <c r="I168" s="508"/>
      <c r="J168" s="524"/>
      <c r="K168" s="509"/>
      <c r="L168" s="368">
        <f t="shared" si="8"/>
        <v>0</v>
      </c>
      <c r="M168" s="65"/>
      <c r="N168" s="8"/>
    </row>
    <row r="169" spans="1:14">
      <c r="A169" s="215">
        <v>166</v>
      </c>
      <c r="B169" s="480"/>
      <c r="C169" s="486"/>
      <c r="D169" s="502"/>
      <c r="E169" s="498"/>
      <c r="F169" s="489"/>
      <c r="G169" s="524"/>
      <c r="H169" s="508"/>
      <c r="I169" s="508"/>
      <c r="J169" s="524"/>
      <c r="K169" s="509"/>
      <c r="L169" s="368">
        <f t="shared" si="8"/>
        <v>0</v>
      </c>
      <c r="M169" s="65"/>
      <c r="N169" s="8"/>
    </row>
    <row r="170" spans="1:14">
      <c r="A170" s="214">
        <v>167</v>
      </c>
      <c r="B170" s="480"/>
      <c r="C170" s="486"/>
      <c r="D170" s="487"/>
      <c r="E170" s="498"/>
      <c r="F170" s="489"/>
      <c r="G170" s="524"/>
      <c r="H170" s="508"/>
      <c r="I170" s="508"/>
      <c r="J170" s="524"/>
      <c r="K170" s="509"/>
      <c r="L170" s="368">
        <f t="shared" si="8"/>
        <v>0</v>
      </c>
      <c r="M170" s="65"/>
      <c r="N170" s="8"/>
    </row>
    <row r="171" spans="1:14">
      <c r="A171" s="214">
        <v>168</v>
      </c>
      <c r="B171" s="510"/>
      <c r="C171" s="511"/>
      <c r="D171" s="512"/>
      <c r="E171" s="513"/>
      <c r="F171" s="513"/>
      <c r="G171" s="525"/>
      <c r="H171" s="514"/>
      <c r="I171" s="514"/>
      <c r="J171" s="525"/>
      <c r="K171" s="515"/>
      <c r="L171" s="368">
        <f t="shared" si="8"/>
        <v>0</v>
      </c>
      <c r="M171" s="65"/>
      <c r="N171" s="8"/>
    </row>
    <row r="172" spans="1:14">
      <c r="A172" s="215">
        <v>169</v>
      </c>
      <c r="B172" s="480"/>
      <c r="C172" s="486"/>
      <c r="D172" s="502"/>
      <c r="E172" s="495"/>
      <c r="F172" s="495"/>
      <c r="G172" s="521"/>
      <c r="H172" s="496"/>
      <c r="I172" s="508"/>
      <c r="J172" s="521"/>
      <c r="K172" s="485"/>
      <c r="L172" s="368">
        <f t="shared" si="8"/>
        <v>0</v>
      </c>
      <c r="M172" s="65"/>
      <c r="N172" s="8"/>
    </row>
    <row r="173" spans="1:14">
      <c r="A173" s="214">
        <v>170</v>
      </c>
      <c r="B173" s="480"/>
      <c r="C173" s="486"/>
      <c r="D173" s="502"/>
      <c r="E173" s="495"/>
      <c r="F173" s="483"/>
      <c r="G173" s="521"/>
      <c r="H173" s="496"/>
      <c r="I173" s="496"/>
      <c r="J173" s="521"/>
      <c r="K173" s="485"/>
      <c r="L173" s="368">
        <f t="shared" si="8"/>
        <v>0</v>
      </c>
      <c r="M173" s="65"/>
      <c r="N173" s="8"/>
    </row>
    <row r="174" spans="1:14">
      <c r="A174" s="214">
        <v>171</v>
      </c>
      <c r="B174" s="480"/>
      <c r="C174" s="486"/>
      <c r="D174" s="502"/>
      <c r="E174" s="495"/>
      <c r="F174" s="483"/>
      <c r="G174" s="521"/>
      <c r="H174" s="496"/>
      <c r="I174" s="496"/>
      <c r="J174" s="521"/>
      <c r="K174" s="485"/>
      <c r="L174" s="368">
        <f t="shared" si="8"/>
        <v>0</v>
      </c>
      <c r="M174" s="65"/>
      <c r="N174" s="8"/>
    </row>
    <row r="175" spans="1:14">
      <c r="A175" s="215">
        <v>172</v>
      </c>
      <c r="B175" s="480"/>
      <c r="C175" s="486"/>
      <c r="D175" s="502"/>
      <c r="E175" s="497"/>
      <c r="F175" s="495"/>
      <c r="G175" s="521"/>
      <c r="H175" s="496"/>
      <c r="I175" s="508"/>
      <c r="J175" s="521"/>
      <c r="K175" s="485"/>
      <c r="L175" s="368">
        <f t="shared" si="8"/>
        <v>0</v>
      </c>
      <c r="M175" s="65"/>
      <c r="N175" s="8"/>
    </row>
    <row r="176" spans="1:14">
      <c r="A176" s="214">
        <v>173</v>
      </c>
      <c r="B176" s="480"/>
      <c r="C176" s="486"/>
      <c r="D176" s="502"/>
      <c r="E176" s="495"/>
      <c r="F176" s="483"/>
      <c r="G176" s="521"/>
      <c r="H176" s="496"/>
      <c r="I176" s="496"/>
      <c r="J176" s="521"/>
      <c r="K176" s="485"/>
      <c r="L176" s="368">
        <f t="shared" si="8"/>
        <v>0</v>
      </c>
      <c r="M176" s="65"/>
      <c r="N176" s="8"/>
    </row>
    <row r="177" spans="1:14">
      <c r="A177" s="214">
        <v>174</v>
      </c>
      <c r="B177" s="480"/>
      <c r="C177" s="486"/>
      <c r="D177" s="482"/>
      <c r="E177" s="495"/>
      <c r="F177" s="495"/>
      <c r="G177" s="521"/>
      <c r="H177" s="496"/>
      <c r="I177" s="508"/>
      <c r="J177" s="521"/>
      <c r="K177" s="485"/>
      <c r="L177" s="368">
        <f t="shared" si="8"/>
        <v>0</v>
      </c>
      <c r="M177" s="65"/>
      <c r="N177" s="8"/>
    </row>
    <row r="178" spans="1:14">
      <c r="A178" s="215">
        <v>175</v>
      </c>
      <c r="B178" s="480"/>
      <c r="C178" s="486"/>
      <c r="D178" s="482"/>
      <c r="E178" s="495"/>
      <c r="F178" s="483"/>
      <c r="G178" s="521"/>
      <c r="H178" s="496"/>
      <c r="I178" s="496"/>
      <c r="J178" s="521"/>
      <c r="K178" s="485"/>
      <c r="L178" s="368">
        <f t="shared" si="8"/>
        <v>0</v>
      </c>
      <c r="M178" s="65"/>
      <c r="N178" s="8"/>
    </row>
    <row r="179" spans="1:14">
      <c r="A179" s="214">
        <v>176</v>
      </c>
      <c r="B179" s="480"/>
      <c r="C179" s="486"/>
      <c r="D179" s="502"/>
      <c r="E179" s="495"/>
      <c r="F179" s="495"/>
      <c r="G179" s="521"/>
      <c r="H179" s="496"/>
      <c r="I179" s="508"/>
      <c r="J179" s="521"/>
      <c r="K179" s="485"/>
      <c r="L179" s="368">
        <f t="shared" si="8"/>
        <v>0</v>
      </c>
      <c r="M179" s="65"/>
      <c r="N179" s="8"/>
    </row>
    <row r="180" spans="1:14">
      <c r="A180" s="214">
        <v>177</v>
      </c>
      <c r="B180" s="480"/>
      <c r="C180" s="486"/>
      <c r="D180" s="502"/>
      <c r="E180" s="495"/>
      <c r="F180" s="483"/>
      <c r="G180" s="521"/>
      <c r="H180" s="496"/>
      <c r="I180" s="496"/>
      <c r="J180" s="521"/>
      <c r="K180" s="485"/>
      <c r="L180" s="368">
        <f t="shared" si="8"/>
        <v>0</v>
      </c>
      <c r="M180" s="65"/>
      <c r="N180" s="8"/>
    </row>
    <row r="181" spans="1:14">
      <c r="A181" s="215">
        <v>178</v>
      </c>
      <c r="B181" s="480"/>
      <c r="C181" s="486"/>
      <c r="D181" s="482"/>
      <c r="E181" s="495"/>
      <c r="F181" s="483"/>
      <c r="G181" s="521"/>
      <c r="H181" s="496"/>
      <c r="I181" s="496"/>
      <c r="J181" s="521"/>
      <c r="K181" s="485"/>
      <c r="L181" s="368">
        <f t="shared" si="8"/>
        <v>0</v>
      </c>
      <c r="M181" s="65"/>
      <c r="N181" s="8"/>
    </row>
    <row r="182" spans="1:14">
      <c r="A182" s="214">
        <v>179</v>
      </c>
      <c r="B182" s="480"/>
      <c r="C182" s="486"/>
      <c r="D182" s="502"/>
      <c r="E182" s="495"/>
      <c r="F182" s="483"/>
      <c r="G182" s="521"/>
      <c r="H182" s="496"/>
      <c r="I182" s="496"/>
      <c r="J182" s="521"/>
      <c r="K182" s="485"/>
      <c r="L182" s="368">
        <f t="shared" si="8"/>
        <v>0</v>
      </c>
      <c r="M182" s="65"/>
      <c r="N182" s="8"/>
    </row>
    <row r="183" spans="1:14">
      <c r="A183" s="214">
        <v>180</v>
      </c>
      <c r="B183" s="480"/>
      <c r="C183" s="486"/>
      <c r="D183" s="502"/>
      <c r="E183" s="495"/>
      <c r="F183" s="483"/>
      <c r="G183" s="521"/>
      <c r="H183" s="496"/>
      <c r="I183" s="496"/>
      <c r="J183" s="521"/>
      <c r="K183" s="485"/>
      <c r="L183" s="368">
        <f t="shared" si="8"/>
        <v>0</v>
      </c>
      <c r="M183" s="65"/>
      <c r="N183" s="8"/>
    </row>
    <row r="184" spans="1:14">
      <c r="A184" s="215">
        <v>181</v>
      </c>
      <c r="B184" s="480"/>
      <c r="C184" s="486"/>
      <c r="D184" s="502"/>
      <c r="E184" s="495"/>
      <c r="F184" s="483"/>
      <c r="G184" s="521"/>
      <c r="H184" s="496"/>
      <c r="I184" s="508"/>
      <c r="J184" s="521"/>
      <c r="K184" s="485"/>
      <c r="L184" s="368">
        <f t="shared" si="8"/>
        <v>0</v>
      </c>
      <c r="M184" s="65"/>
      <c r="N184" s="8"/>
    </row>
    <row r="185" spans="1:14">
      <c r="A185" s="214">
        <v>182</v>
      </c>
      <c r="B185" s="480"/>
      <c r="C185" s="486"/>
      <c r="D185" s="502"/>
      <c r="E185" s="495"/>
      <c r="F185" s="483"/>
      <c r="G185" s="521"/>
      <c r="H185" s="496"/>
      <c r="I185" s="496"/>
      <c r="J185" s="521"/>
      <c r="K185" s="485"/>
      <c r="L185" s="368">
        <f t="shared" si="8"/>
        <v>0</v>
      </c>
      <c r="M185" s="65"/>
      <c r="N185" s="8"/>
    </row>
    <row r="186" spans="1:14">
      <c r="A186" s="214">
        <v>183</v>
      </c>
      <c r="B186" s="480"/>
      <c r="C186" s="486"/>
      <c r="D186" s="502"/>
      <c r="E186" s="495"/>
      <c r="F186" s="483"/>
      <c r="G186" s="521"/>
      <c r="H186" s="496"/>
      <c r="I186" s="496"/>
      <c r="J186" s="521"/>
      <c r="K186" s="485"/>
      <c r="L186" s="368">
        <f t="shared" si="8"/>
        <v>0</v>
      </c>
      <c r="M186" s="65"/>
      <c r="N186" s="8"/>
    </row>
    <row r="187" spans="1:14">
      <c r="A187" s="215">
        <v>184</v>
      </c>
      <c r="B187" s="480"/>
      <c r="C187" s="486"/>
      <c r="D187" s="482"/>
      <c r="E187" s="495"/>
      <c r="F187" s="495"/>
      <c r="G187" s="521"/>
      <c r="H187" s="496"/>
      <c r="I187" s="496"/>
      <c r="J187" s="521"/>
      <c r="K187" s="485"/>
      <c r="L187" s="368">
        <f t="shared" si="8"/>
        <v>0</v>
      </c>
      <c r="M187" s="65"/>
      <c r="N187" s="8"/>
    </row>
    <row r="188" spans="1:14">
      <c r="A188" s="214">
        <v>185</v>
      </c>
      <c r="B188" s="480"/>
      <c r="C188" s="486"/>
      <c r="D188" s="482"/>
      <c r="E188" s="495"/>
      <c r="F188" s="483"/>
      <c r="G188" s="521"/>
      <c r="H188" s="496"/>
      <c r="I188" s="496"/>
      <c r="J188" s="521"/>
      <c r="K188" s="485"/>
      <c r="L188" s="368">
        <f t="shared" si="8"/>
        <v>0</v>
      </c>
      <c r="M188" s="65"/>
      <c r="N188" s="8"/>
    </row>
    <row r="189" spans="1:14">
      <c r="A189" s="214">
        <v>186</v>
      </c>
      <c r="B189" s="480"/>
      <c r="C189" s="486"/>
      <c r="D189" s="502"/>
      <c r="E189" s="495"/>
      <c r="F189" s="483"/>
      <c r="G189" s="521"/>
      <c r="H189" s="496"/>
      <c r="I189" s="496"/>
      <c r="J189" s="521"/>
      <c r="K189" s="485"/>
      <c r="L189" s="368">
        <f t="shared" si="8"/>
        <v>0</v>
      </c>
      <c r="M189" s="65"/>
      <c r="N189" s="8"/>
    </row>
    <row r="190" spans="1:14">
      <c r="A190" s="215">
        <v>187</v>
      </c>
      <c r="B190" s="480"/>
      <c r="C190" s="486"/>
      <c r="D190" s="502"/>
      <c r="E190" s="495"/>
      <c r="F190" s="483"/>
      <c r="G190" s="521"/>
      <c r="H190" s="508"/>
      <c r="I190" s="496"/>
      <c r="J190" s="521"/>
      <c r="K190" s="485"/>
      <c r="L190" s="368">
        <f t="shared" si="8"/>
        <v>0</v>
      </c>
      <c r="M190" s="65"/>
      <c r="N190" s="8"/>
    </row>
    <row r="191" spans="1:14">
      <c r="A191" s="214">
        <v>188</v>
      </c>
      <c r="B191" s="480"/>
      <c r="C191" s="486"/>
      <c r="D191" s="502"/>
      <c r="E191" s="495"/>
      <c r="F191" s="483"/>
      <c r="G191" s="521"/>
      <c r="H191" s="508"/>
      <c r="I191" s="496"/>
      <c r="J191" s="521"/>
      <c r="K191" s="485"/>
      <c r="L191" s="368">
        <f t="shared" si="8"/>
        <v>0</v>
      </c>
      <c r="M191" s="65"/>
      <c r="N191" s="8"/>
    </row>
    <row r="192" spans="1:14">
      <c r="A192" s="214">
        <v>189</v>
      </c>
      <c r="B192" s="480"/>
      <c r="C192" s="486"/>
      <c r="D192" s="502"/>
      <c r="E192" s="495"/>
      <c r="F192" s="495"/>
      <c r="G192" s="521"/>
      <c r="H192" s="496"/>
      <c r="I192" s="496"/>
      <c r="J192" s="521"/>
      <c r="K192" s="485"/>
      <c r="L192" s="368">
        <f t="shared" si="8"/>
        <v>0</v>
      </c>
      <c r="M192" s="65"/>
      <c r="N192" s="8"/>
    </row>
    <row r="193" spans="1:14">
      <c r="A193" s="215">
        <v>190</v>
      </c>
      <c r="B193" s="480"/>
      <c r="C193" s="486"/>
      <c r="D193" s="502"/>
      <c r="E193" s="495"/>
      <c r="F193" s="483"/>
      <c r="G193" s="521"/>
      <c r="H193" s="496"/>
      <c r="I193" s="496"/>
      <c r="J193" s="521"/>
      <c r="K193" s="485"/>
      <c r="L193" s="368">
        <f t="shared" si="8"/>
        <v>0</v>
      </c>
      <c r="M193" s="65"/>
      <c r="N193" s="8"/>
    </row>
    <row r="194" spans="1:14">
      <c r="A194" s="214">
        <v>191</v>
      </c>
      <c r="B194" s="480"/>
      <c r="C194" s="486"/>
      <c r="D194" s="502"/>
      <c r="E194" s="495"/>
      <c r="F194" s="483"/>
      <c r="G194" s="521"/>
      <c r="H194" s="496"/>
      <c r="I194" s="496"/>
      <c r="J194" s="521"/>
      <c r="K194" s="485"/>
      <c r="L194" s="368">
        <f t="shared" si="8"/>
        <v>0</v>
      </c>
      <c r="M194" s="65"/>
      <c r="N194" s="8"/>
    </row>
    <row r="195" spans="1:14">
      <c r="A195" s="214">
        <v>192</v>
      </c>
      <c r="B195" s="480"/>
      <c r="C195" s="486"/>
      <c r="D195" s="502"/>
      <c r="E195" s="495"/>
      <c r="F195" s="495"/>
      <c r="G195" s="521"/>
      <c r="H195" s="496"/>
      <c r="I195" s="496"/>
      <c r="J195" s="521"/>
      <c r="K195" s="485"/>
      <c r="L195" s="368">
        <f t="shared" si="8"/>
        <v>0</v>
      </c>
      <c r="M195" s="65"/>
      <c r="N195" s="8"/>
    </row>
    <row r="196" spans="1:14">
      <c r="A196" s="215">
        <v>193</v>
      </c>
      <c r="B196" s="480"/>
      <c r="C196" s="486"/>
      <c r="D196" s="502"/>
      <c r="E196" s="495"/>
      <c r="F196" s="483"/>
      <c r="G196" s="521"/>
      <c r="H196" s="496"/>
      <c r="I196" s="496"/>
      <c r="J196" s="521"/>
      <c r="K196" s="485"/>
      <c r="L196" s="368">
        <f t="shared" si="8"/>
        <v>0</v>
      </c>
      <c r="M196" s="65"/>
      <c r="N196" s="8"/>
    </row>
    <row r="197" spans="1:14">
      <c r="A197" s="214">
        <v>194</v>
      </c>
      <c r="B197" s="480"/>
      <c r="C197" s="486"/>
      <c r="D197" s="502"/>
      <c r="E197" s="495"/>
      <c r="F197" s="495"/>
      <c r="G197" s="521"/>
      <c r="H197" s="496"/>
      <c r="I197" s="496"/>
      <c r="J197" s="521"/>
      <c r="K197" s="485"/>
      <c r="L197" s="368">
        <f t="shared" ref="L197:L260" si="9">+K197</f>
        <v>0</v>
      </c>
      <c r="M197" s="65"/>
      <c r="N197" s="8"/>
    </row>
    <row r="198" spans="1:14">
      <c r="A198" s="214">
        <v>195</v>
      </c>
      <c r="B198" s="480"/>
      <c r="C198" s="486"/>
      <c r="D198" s="502"/>
      <c r="E198" s="495"/>
      <c r="F198" s="483"/>
      <c r="G198" s="521"/>
      <c r="H198" s="496"/>
      <c r="I198" s="496"/>
      <c r="J198" s="521"/>
      <c r="K198" s="485"/>
      <c r="L198" s="368">
        <f t="shared" si="9"/>
        <v>0</v>
      </c>
      <c r="M198" s="65"/>
      <c r="N198" s="8"/>
    </row>
    <row r="199" spans="1:14">
      <c r="A199" s="215">
        <v>196</v>
      </c>
      <c r="B199" s="480"/>
      <c r="C199" s="486"/>
      <c r="D199" s="502"/>
      <c r="E199" s="495"/>
      <c r="F199" s="483"/>
      <c r="G199" s="521"/>
      <c r="H199" s="508"/>
      <c r="I199" s="496"/>
      <c r="J199" s="521"/>
      <c r="K199" s="485"/>
      <c r="L199" s="368">
        <f t="shared" si="9"/>
        <v>0</v>
      </c>
      <c r="M199" s="65"/>
      <c r="N199" s="8"/>
    </row>
    <row r="200" spans="1:14">
      <c r="A200" s="214">
        <v>197</v>
      </c>
      <c r="B200" s="480"/>
      <c r="C200" s="486"/>
      <c r="D200" s="502"/>
      <c r="E200" s="495"/>
      <c r="F200" s="483"/>
      <c r="G200" s="521"/>
      <c r="H200" s="496"/>
      <c r="I200" s="496"/>
      <c r="J200" s="521"/>
      <c r="K200" s="485"/>
      <c r="L200" s="368">
        <f t="shared" si="9"/>
        <v>0</v>
      </c>
      <c r="M200" s="65"/>
      <c r="N200" s="8"/>
    </row>
    <row r="201" spans="1:14">
      <c r="A201" s="214">
        <v>198</v>
      </c>
      <c r="B201" s="480"/>
      <c r="C201" s="486"/>
      <c r="D201" s="502"/>
      <c r="E201" s="495"/>
      <c r="F201" s="483"/>
      <c r="G201" s="521"/>
      <c r="H201" s="496"/>
      <c r="I201" s="496"/>
      <c r="J201" s="521"/>
      <c r="K201" s="485"/>
      <c r="L201" s="368">
        <f t="shared" si="9"/>
        <v>0</v>
      </c>
      <c r="M201" s="65"/>
      <c r="N201" s="8"/>
    </row>
    <row r="202" spans="1:14">
      <c r="A202" s="215">
        <v>199</v>
      </c>
      <c r="B202" s="480"/>
      <c r="C202" s="490"/>
      <c r="D202" s="494"/>
      <c r="E202" s="495"/>
      <c r="F202" s="483"/>
      <c r="G202" s="521"/>
      <c r="H202" s="496"/>
      <c r="I202" s="496"/>
      <c r="J202" s="521"/>
      <c r="K202" s="516"/>
      <c r="L202" s="368">
        <f t="shared" si="9"/>
        <v>0</v>
      </c>
      <c r="M202" s="65"/>
      <c r="N202" s="8"/>
    </row>
    <row r="203" spans="1:14">
      <c r="A203" s="214">
        <v>200</v>
      </c>
      <c r="B203" s="480"/>
      <c r="C203" s="490"/>
      <c r="D203" s="494"/>
      <c r="E203" s="495"/>
      <c r="F203" s="495"/>
      <c r="G203" s="521"/>
      <c r="H203" s="496"/>
      <c r="I203" s="496"/>
      <c r="J203" s="521"/>
      <c r="K203" s="516"/>
      <c r="L203" s="368">
        <f t="shared" si="9"/>
        <v>0</v>
      </c>
      <c r="M203" s="65"/>
      <c r="N203" s="8"/>
    </row>
    <row r="204" spans="1:14">
      <c r="A204" s="214">
        <v>201</v>
      </c>
      <c r="B204" s="480"/>
      <c r="C204" s="490"/>
      <c r="D204" s="494"/>
      <c r="E204" s="495"/>
      <c r="F204" s="495"/>
      <c r="G204" s="521"/>
      <c r="H204" s="496"/>
      <c r="I204" s="496"/>
      <c r="J204" s="521"/>
      <c r="K204" s="516"/>
      <c r="L204" s="368">
        <f t="shared" si="9"/>
        <v>0</v>
      </c>
      <c r="M204" s="65"/>
      <c r="N204" s="8"/>
    </row>
    <row r="205" spans="1:14">
      <c r="A205" s="215">
        <v>202</v>
      </c>
      <c r="B205" s="480"/>
      <c r="C205" s="490"/>
      <c r="D205" s="494"/>
      <c r="E205" s="495"/>
      <c r="F205" s="495"/>
      <c r="G205" s="521"/>
      <c r="H205" s="496"/>
      <c r="I205" s="496"/>
      <c r="J205" s="521"/>
      <c r="K205" s="516"/>
      <c r="L205" s="368">
        <f t="shared" si="9"/>
        <v>0</v>
      </c>
      <c r="M205" s="65"/>
      <c r="N205" s="8"/>
    </row>
    <row r="206" spans="1:14">
      <c r="A206" s="214">
        <v>203</v>
      </c>
      <c r="B206" s="480"/>
      <c r="C206" s="490"/>
      <c r="D206" s="494"/>
      <c r="E206" s="495"/>
      <c r="F206" s="495"/>
      <c r="G206" s="521"/>
      <c r="H206" s="496"/>
      <c r="I206" s="496"/>
      <c r="J206" s="521"/>
      <c r="K206" s="516"/>
      <c r="L206" s="368">
        <f t="shared" si="9"/>
        <v>0</v>
      </c>
      <c r="M206" s="65"/>
      <c r="N206" s="8"/>
    </row>
    <row r="207" spans="1:14">
      <c r="A207" s="214">
        <v>204</v>
      </c>
      <c r="B207" s="480"/>
      <c r="C207" s="490"/>
      <c r="D207" s="494"/>
      <c r="E207" s="495"/>
      <c r="F207" s="495"/>
      <c r="G207" s="521"/>
      <c r="H207" s="496"/>
      <c r="I207" s="496"/>
      <c r="J207" s="521"/>
      <c r="K207" s="516"/>
      <c r="L207" s="368">
        <f t="shared" si="9"/>
        <v>0</v>
      </c>
      <c r="M207" s="65"/>
      <c r="N207" s="8"/>
    </row>
    <row r="208" spans="1:14">
      <c r="A208" s="215">
        <v>205</v>
      </c>
      <c r="B208" s="480"/>
      <c r="C208" s="490"/>
      <c r="D208" s="494"/>
      <c r="E208" s="495"/>
      <c r="F208" s="483"/>
      <c r="G208" s="521"/>
      <c r="H208" s="496"/>
      <c r="I208" s="496"/>
      <c r="J208" s="521"/>
      <c r="K208" s="516"/>
      <c r="L208" s="368">
        <f t="shared" si="9"/>
        <v>0</v>
      </c>
      <c r="M208" s="65"/>
      <c r="N208" s="8"/>
    </row>
    <row r="209" spans="1:14">
      <c r="A209" s="214">
        <v>206</v>
      </c>
      <c r="B209" s="480"/>
      <c r="C209" s="490"/>
      <c r="D209" s="494"/>
      <c r="E209" s="495"/>
      <c r="F209" s="483"/>
      <c r="G209" s="521"/>
      <c r="H209" s="496"/>
      <c r="I209" s="496"/>
      <c r="J209" s="521"/>
      <c r="K209" s="516"/>
      <c r="L209" s="368">
        <f t="shared" si="9"/>
        <v>0</v>
      </c>
      <c r="M209" s="65"/>
      <c r="N209" s="8"/>
    </row>
    <row r="210" spans="1:14">
      <c r="A210" s="214">
        <v>207</v>
      </c>
      <c r="B210" s="480"/>
      <c r="C210" s="490"/>
      <c r="D210" s="494"/>
      <c r="E210" s="495"/>
      <c r="F210" s="483"/>
      <c r="G210" s="521"/>
      <c r="H210" s="496"/>
      <c r="I210" s="496"/>
      <c r="J210" s="521"/>
      <c r="K210" s="516"/>
      <c r="L210" s="438">
        <f t="shared" si="9"/>
        <v>0</v>
      </c>
      <c r="M210" s="65"/>
      <c r="N210" s="8"/>
    </row>
    <row r="211" spans="1:14">
      <c r="A211" s="215">
        <v>208</v>
      </c>
      <c r="B211" s="480"/>
      <c r="C211" s="490"/>
      <c r="D211" s="494"/>
      <c r="E211" s="495"/>
      <c r="F211" s="495"/>
      <c r="G211" s="521"/>
      <c r="H211" s="496"/>
      <c r="I211" s="496"/>
      <c r="J211" s="521"/>
      <c r="K211" s="516"/>
      <c r="L211" s="437">
        <f t="shared" si="9"/>
        <v>0</v>
      </c>
      <c r="M211" s="65"/>
      <c r="N211" s="8"/>
    </row>
    <row r="212" spans="1:14">
      <c r="A212" s="214">
        <v>209</v>
      </c>
      <c r="B212" s="480"/>
      <c r="C212" s="490"/>
      <c r="D212" s="494"/>
      <c r="E212" s="495"/>
      <c r="F212" s="483"/>
      <c r="G212" s="521"/>
      <c r="H212" s="496"/>
      <c r="I212" s="496"/>
      <c r="J212" s="521"/>
      <c r="K212" s="516"/>
      <c r="L212" s="437">
        <f t="shared" si="9"/>
        <v>0</v>
      </c>
      <c r="M212" s="65"/>
      <c r="N212" s="8"/>
    </row>
    <row r="213" spans="1:14">
      <c r="A213" s="214">
        <v>210</v>
      </c>
      <c r="B213" s="480"/>
      <c r="C213" s="490"/>
      <c r="D213" s="494"/>
      <c r="E213" s="495"/>
      <c r="F213" s="495"/>
      <c r="G213" s="521"/>
      <c r="H213" s="496"/>
      <c r="I213" s="496"/>
      <c r="J213" s="521"/>
      <c r="K213" s="516"/>
      <c r="L213" s="437">
        <f t="shared" si="9"/>
        <v>0</v>
      </c>
      <c r="M213" s="65"/>
      <c r="N213" s="8"/>
    </row>
    <row r="214" spans="1:14">
      <c r="A214" s="215">
        <v>211</v>
      </c>
      <c r="B214" s="480"/>
      <c r="C214" s="490"/>
      <c r="D214" s="494"/>
      <c r="E214" s="495"/>
      <c r="F214" s="495"/>
      <c r="G214" s="521"/>
      <c r="H214" s="496"/>
      <c r="I214" s="496"/>
      <c r="J214" s="521"/>
      <c r="K214" s="516"/>
      <c r="L214" s="437">
        <f t="shared" si="9"/>
        <v>0</v>
      </c>
      <c r="M214" s="65"/>
      <c r="N214" s="8"/>
    </row>
    <row r="215" spans="1:14">
      <c r="A215" s="214">
        <v>212</v>
      </c>
      <c r="B215" s="480"/>
      <c r="C215" s="490"/>
      <c r="D215" s="494"/>
      <c r="E215" s="495"/>
      <c r="F215" s="495"/>
      <c r="G215" s="521"/>
      <c r="H215" s="496"/>
      <c r="I215" s="496"/>
      <c r="J215" s="521"/>
      <c r="K215" s="516"/>
      <c r="L215" s="437">
        <f t="shared" si="9"/>
        <v>0</v>
      </c>
      <c r="M215" s="65"/>
      <c r="N215" s="8"/>
    </row>
    <row r="216" spans="1:14">
      <c r="A216" s="214">
        <v>213</v>
      </c>
      <c r="B216" s="480"/>
      <c r="C216" s="490"/>
      <c r="D216" s="494"/>
      <c r="E216" s="495"/>
      <c r="F216" s="495"/>
      <c r="G216" s="521"/>
      <c r="H216" s="496"/>
      <c r="I216" s="496"/>
      <c r="J216" s="521"/>
      <c r="K216" s="516"/>
      <c r="L216" s="437">
        <f t="shared" si="9"/>
        <v>0</v>
      </c>
      <c r="M216" s="65"/>
      <c r="N216" s="8"/>
    </row>
    <row r="217" spans="1:14">
      <c r="A217" s="215">
        <v>214</v>
      </c>
      <c r="B217" s="480"/>
      <c r="C217" s="490"/>
      <c r="D217" s="494"/>
      <c r="E217" s="495"/>
      <c r="F217" s="495"/>
      <c r="G217" s="521"/>
      <c r="H217" s="496"/>
      <c r="I217" s="496"/>
      <c r="J217" s="521"/>
      <c r="K217" s="516"/>
      <c r="L217" s="437">
        <f t="shared" si="9"/>
        <v>0</v>
      </c>
      <c r="M217" s="65"/>
      <c r="N217" s="8"/>
    </row>
    <row r="218" spans="1:14">
      <c r="A218" s="214">
        <v>215</v>
      </c>
      <c r="B218" s="480"/>
      <c r="C218" s="490"/>
      <c r="D218" s="494"/>
      <c r="E218" s="495"/>
      <c r="F218" s="495"/>
      <c r="G218" s="521"/>
      <c r="H218" s="496"/>
      <c r="I218" s="496"/>
      <c r="J218" s="521"/>
      <c r="K218" s="516"/>
      <c r="L218" s="437">
        <f t="shared" si="9"/>
        <v>0</v>
      </c>
      <c r="M218" s="65"/>
      <c r="N218" s="8"/>
    </row>
    <row r="219" spans="1:14">
      <c r="A219" s="214">
        <v>216</v>
      </c>
      <c r="B219" s="480"/>
      <c r="C219" s="490"/>
      <c r="D219" s="494"/>
      <c r="E219" s="495"/>
      <c r="F219" s="495"/>
      <c r="G219" s="521"/>
      <c r="H219" s="496"/>
      <c r="I219" s="496"/>
      <c r="J219" s="521"/>
      <c r="K219" s="516"/>
      <c r="L219" s="437">
        <f t="shared" si="9"/>
        <v>0</v>
      </c>
      <c r="M219" s="65"/>
      <c r="N219" s="8"/>
    </row>
    <row r="220" spans="1:14">
      <c r="A220" s="215">
        <v>217</v>
      </c>
      <c r="B220" s="480"/>
      <c r="C220" s="490"/>
      <c r="D220" s="494"/>
      <c r="E220" s="495"/>
      <c r="F220" s="495"/>
      <c r="G220" s="521"/>
      <c r="H220" s="496"/>
      <c r="I220" s="496"/>
      <c r="J220" s="521"/>
      <c r="K220" s="516"/>
      <c r="L220" s="437">
        <f t="shared" si="9"/>
        <v>0</v>
      </c>
      <c r="M220" s="65"/>
      <c r="N220" s="8"/>
    </row>
    <row r="221" spans="1:14">
      <c r="A221" s="214">
        <v>218</v>
      </c>
      <c r="B221" s="480"/>
      <c r="C221" s="490"/>
      <c r="D221" s="494"/>
      <c r="E221" s="495"/>
      <c r="F221" s="495"/>
      <c r="G221" s="521"/>
      <c r="H221" s="496"/>
      <c r="I221" s="496"/>
      <c r="J221" s="521"/>
      <c r="K221" s="516"/>
      <c r="L221" s="437">
        <f t="shared" si="9"/>
        <v>0</v>
      </c>
      <c r="M221" s="65"/>
      <c r="N221" s="8"/>
    </row>
    <row r="222" spans="1:14">
      <c r="A222" s="214">
        <v>219</v>
      </c>
      <c r="B222" s="480"/>
      <c r="C222" s="490"/>
      <c r="D222" s="494"/>
      <c r="E222" s="495"/>
      <c r="F222" s="495"/>
      <c r="G222" s="521"/>
      <c r="H222" s="496"/>
      <c r="I222" s="496"/>
      <c r="J222" s="521"/>
      <c r="K222" s="516"/>
      <c r="L222" s="368">
        <f t="shared" si="9"/>
        <v>0</v>
      </c>
      <c r="M222" s="65"/>
      <c r="N222" s="8"/>
    </row>
    <row r="223" spans="1:14">
      <c r="B223" s="480"/>
      <c r="C223" s="490"/>
      <c r="D223" s="494"/>
      <c r="E223" s="495"/>
      <c r="F223" s="495"/>
      <c r="G223" s="521"/>
      <c r="H223" s="496"/>
      <c r="I223" s="496"/>
      <c r="J223" s="521"/>
      <c r="K223" s="516"/>
      <c r="L223" s="368">
        <f t="shared" si="9"/>
        <v>0</v>
      </c>
      <c r="M223" s="65"/>
      <c r="N223" s="8"/>
    </row>
    <row r="224" spans="1:14">
      <c r="B224" s="480"/>
      <c r="C224" s="490"/>
      <c r="D224" s="494"/>
      <c r="E224" s="495"/>
      <c r="F224" s="495"/>
      <c r="G224" s="521"/>
      <c r="H224" s="496"/>
      <c r="I224" s="496"/>
      <c r="J224" s="521"/>
      <c r="K224" s="516"/>
      <c r="L224" s="368">
        <f t="shared" si="9"/>
        <v>0</v>
      </c>
      <c r="M224" s="65"/>
      <c r="N224" s="8"/>
    </row>
    <row r="225" spans="2:14">
      <c r="B225" s="480"/>
      <c r="C225" s="490"/>
      <c r="D225" s="494"/>
      <c r="E225" s="495"/>
      <c r="F225" s="495"/>
      <c r="G225" s="521"/>
      <c r="H225" s="496"/>
      <c r="I225" s="496"/>
      <c r="J225" s="521"/>
      <c r="K225" s="516"/>
      <c r="L225" s="368">
        <f t="shared" si="9"/>
        <v>0</v>
      </c>
      <c r="M225" s="65"/>
      <c r="N225" s="8"/>
    </row>
    <row r="226" spans="2:14">
      <c r="B226" s="480"/>
      <c r="C226" s="490"/>
      <c r="D226" s="494"/>
      <c r="E226" s="495"/>
      <c r="F226" s="495"/>
      <c r="G226" s="521"/>
      <c r="H226" s="496"/>
      <c r="I226" s="496"/>
      <c r="J226" s="521"/>
      <c r="K226" s="516"/>
      <c r="L226" s="368">
        <f t="shared" si="9"/>
        <v>0</v>
      </c>
      <c r="M226" s="65"/>
      <c r="N226" s="8"/>
    </row>
    <row r="227" spans="2:14">
      <c r="B227" s="480"/>
      <c r="C227" s="490"/>
      <c r="D227" s="494"/>
      <c r="E227" s="495"/>
      <c r="F227" s="495"/>
      <c r="G227" s="521"/>
      <c r="H227" s="496"/>
      <c r="I227" s="496"/>
      <c r="J227" s="521"/>
      <c r="K227" s="516"/>
      <c r="L227" s="368">
        <f t="shared" si="9"/>
        <v>0</v>
      </c>
      <c r="M227" s="65"/>
      <c r="N227" s="8"/>
    </row>
    <row r="228" spans="2:14">
      <c r="B228" s="480"/>
      <c r="C228" s="490"/>
      <c r="D228" s="494"/>
      <c r="E228" s="495"/>
      <c r="F228" s="495"/>
      <c r="G228" s="521"/>
      <c r="H228" s="496"/>
      <c r="I228" s="496"/>
      <c r="J228" s="521"/>
      <c r="K228" s="516"/>
      <c r="L228" s="368">
        <f t="shared" si="9"/>
        <v>0</v>
      </c>
      <c r="M228" s="65"/>
      <c r="N228" s="8"/>
    </row>
    <row r="229" spans="2:14">
      <c r="B229" s="480"/>
      <c r="C229" s="490"/>
      <c r="D229" s="494"/>
      <c r="E229" s="495"/>
      <c r="F229" s="495"/>
      <c r="G229" s="521"/>
      <c r="H229" s="496"/>
      <c r="I229" s="496"/>
      <c r="J229" s="521"/>
      <c r="K229" s="516"/>
      <c r="L229" s="368">
        <f t="shared" si="9"/>
        <v>0</v>
      </c>
      <c r="M229" s="65"/>
      <c r="N229" s="8"/>
    </row>
    <row r="230" spans="2:14">
      <c r="B230" s="480"/>
      <c r="C230" s="490"/>
      <c r="D230" s="494"/>
      <c r="E230" s="495"/>
      <c r="F230" s="495"/>
      <c r="G230" s="521"/>
      <c r="H230" s="496"/>
      <c r="I230" s="496"/>
      <c r="J230" s="521"/>
      <c r="K230" s="516"/>
      <c r="L230" s="368">
        <f t="shared" si="9"/>
        <v>0</v>
      </c>
      <c r="M230" s="65"/>
      <c r="N230" s="8"/>
    </row>
    <row r="231" spans="2:14">
      <c r="B231" s="480"/>
      <c r="C231" s="490"/>
      <c r="D231" s="494"/>
      <c r="E231" s="495"/>
      <c r="F231" s="495"/>
      <c r="G231" s="521"/>
      <c r="H231" s="496"/>
      <c r="I231" s="496"/>
      <c r="J231" s="521"/>
      <c r="K231" s="516"/>
      <c r="L231" s="368">
        <f t="shared" si="9"/>
        <v>0</v>
      </c>
      <c r="M231" s="65"/>
      <c r="N231" s="8"/>
    </row>
    <row r="232" spans="2:14">
      <c r="B232" s="480"/>
      <c r="C232" s="490"/>
      <c r="D232" s="494"/>
      <c r="E232" s="495"/>
      <c r="F232" s="495"/>
      <c r="G232" s="521"/>
      <c r="H232" s="496"/>
      <c r="I232" s="496"/>
      <c r="J232" s="521"/>
      <c r="K232" s="516"/>
      <c r="L232" s="368">
        <f t="shared" si="9"/>
        <v>0</v>
      </c>
      <c r="M232" s="65"/>
      <c r="N232" s="8"/>
    </row>
    <row r="233" spans="2:14">
      <c r="B233" s="480"/>
      <c r="C233" s="490"/>
      <c r="D233" s="494"/>
      <c r="E233" s="495"/>
      <c r="F233" s="495"/>
      <c r="G233" s="521"/>
      <c r="H233" s="496"/>
      <c r="I233" s="496"/>
      <c r="J233" s="521"/>
      <c r="K233" s="516"/>
      <c r="L233" s="368">
        <f t="shared" si="9"/>
        <v>0</v>
      </c>
      <c r="M233" s="65"/>
      <c r="N233" s="8"/>
    </row>
    <row r="234" spans="2:14">
      <c r="B234" s="480"/>
      <c r="C234" s="490"/>
      <c r="D234" s="494"/>
      <c r="E234" s="495"/>
      <c r="F234" s="495"/>
      <c r="G234" s="521"/>
      <c r="H234" s="496"/>
      <c r="I234" s="496"/>
      <c r="J234" s="521"/>
      <c r="K234" s="516"/>
      <c r="L234" s="368">
        <f t="shared" si="9"/>
        <v>0</v>
      </c>
      <c r="M234" s="65"/>
      <c r="N234" s="8"/>
    </row>
    <row r="235" spans="2:14">
      <c r="B235" s="480"/>
      <c r="C235" s="490"/>
      <c r="D235" s="494"/>
      <c r="E235" s="495"/>
      <c r="F235" s="495"/>
      <c r="G235" s="521"/>
      <c r="H235" s="496"/>
      <c r="I235" s="496"/>
      <c r="J235" s="521"/>
      <c r="K235" s="516"/>
      <c r="L235" s="368">
        <f t="shared" si="9"/>
        <v>0</v>
      </c>
      <c r="M235" s="65"/>
      <c r="N235" s="8"/>
    </row>
    <row r="236" spans="2:14">
      <c r="B236" s="480"/>
      <c r="C236" s="490"/>
      <c r="D236" s="494"/>
      <c r="E236" s="495"/>
      <c r="F236" s="495"/>
      <c r="G236" s="521"/>
      <c r="H236" s="496"/>
      <c r="I236" s="496"/>
      <c r="J236" s="521"/>
      <c r="K236" s="516"/>
      <c r="L236" s="368">
        <f t="shared" si="9"/>
        <v>0</v>
      </c>
      <c r="M236" s="65"/>
      <c r="N236" s="8"/>
    </row>
    <row r="237" spans="2:14">
      <c r="B237" s="480"/>
      <c r="C237" s="490"/>
      <c r="D237" s="494"/>
      <c r="E237" s="495"/>
      <c r="F237" s="495"/>
      <c r="G237" s="521"/>
      <c r="H237" s="496"/>
      <c r="I237" s="496"/>
      <c r="J237" s="521"/>
      <c r="K237" s="516"/>
      <c r="L237" s="368">
        <f t="shared" si="9"/>
        <v>0</v>
      </c>
      <c r="M237" s="65"/>
      <c r="N237" s="8"/>
    </row>
    <row r="238" spans="2:14">
      <c r="B238" s="480"/>
      <c r="C238" s="490"/>
      <c r="D238" s="494"/>
      <c r="E238" s="495"/>
      <c r="F238" s="495"/>
      <c r="G238" s="521"/>
      <c r="H238" s="496"/>
      <c r="I238" s="496"/>
      <c r="J238" s="521"/>
      <c r="K238" s="516"/>
      <c r="L238" s="368">
        <f t="shared" si="9"/>
        <v>0</v>
      </c>
      <c r="M238" s="65"/>
      <c r="N238" s="8"/>
    </row>
    <row r="239" spans="2:14">
      <c r="B239" s="480"/>
      <c r="C239" s="490"/>
      <c r="D239" s="494"/>
      <c r="E239" s="495"/>
      <c r="F239" s="495"/>
      <c r="G239" s="521"/>
      <c r="H239" s="496"/>
      <c r="I239" s="496"/>
      <c r="J239" s="521"/>
      <c r="K239" s="516"/>
      <c r="L239" s="368">
        <f t="shared" si="9"/>
        <v>0</v>
      </c>
      <c r="M239" s="65"/>
      <c r="N239" s="8"/>
    </row>
    <row r="240" spans="2:14">
      <c r="B240" s="480"/>
      <c r="C240" s="490"/>
      <c r="D240" s="494"/>
      <c r="E240" s="495"/>
      <c r="F240" s="495"/>
      <c r="G240" s="521"/>
      <c r="H240" s="496"/>
      <c r="I240" s="496"/>
      <c r="J240" s="521"/>
      <c r="K240" s="516"/>
      <c r="L240" s="368">
        <f t="shared" si="9"/>
        <v>0</v>
      </c>
      <c r="M240" s="65"/>
      <c r="N240" s="8"/>
    </row>
    <row r="241" spans="2:14">
      <c r="B241" s="480"/>
      <c r="C241" s="490"/>
      <c r="D241" s="494"/>
      <c r="E241" s="495"/>
      <c r="F241" s="495"/>
      <c r="G241" s="521"/>
      <c r="H241" s="496"/>
      <c r="I241" s="496"/>
      <c r="J241" s="521"/>
      <c r="K241" s="516"/>
      <c r="L241" s="368">
        <f t="shared" si="9"/>
        <v>0</v>
      </c>
      <c r="M241" s="65"/>
      <c r="N241" s="8"/>
    </row>
    <row r="242" spans="2:14">
      <c r="B242" s="480"/>
      <c r="C242" s="490"/>
      <c r="D242" s="494"/>
      <c r="E242" s="495"/>
      <c r="F242" s="495"/>
      <c r="G242" s="521"/>
      <c r="H242" s="496"/>
      <c r="I242" s="496"/>
      <c r="J242" s="521"/>
      <c r="K242" s="516"/>
      <c r="L242" s="368">
        <f t="shared" si="9"/>
        <v>0</v>
      </c>
      <c r="M242" s="65"/>
      <c r="N242" s="8"/>
    </row>
    <row r="243" spans="2:14">
      <c r="B243" s="480"/>
      <c r="C243" s="490"/>
      <c r="D243" s="494"/>
      <c r="E243" s="495"/>
      <c r="F243" s="495"/>
      <c r="G243" s="521"/>
      <c r="H243" s="496"/>
      <c r="I243" s="496"/>
      <c r="J243" s="521"/>
      <c r="K243" s="516"/>
      <c r="L243" s="368">
        <f t="shared" si="9"/>
        <v>0</v>
      </c>
      <c r="M243" s="65"/>
      <c r="N243" s="8"/>
    </row>
    <row r="244" spans="2:14">
      <c r="B244" s="480"/>
      <c r="C244" s="490"/>
      <c r="D244" s="494"/>
      <c r="E244" s="495"/>
      <c r="F244" s="495"/>
      <c r="G244" s="521"/>
      <c r="H244" s="496"/>
      <c r="I244" s="496"/>
      <c r="J244" s="521"/>
      <c r="K244" s="516"/>
      <c r="L244" s="368">
        <f t="shared" si="9"/>
        <v>0</v>
      </c>
      <c r="M244" s="65"/>
      <c r="N244" s="8"/>
    </row>
    <row r="245" spans="2:14">
      <c r="B245" s="480"/>
      <c r="C245" s="490"/>
      <c r="D245" s="494"/>
      <c r="E245" s="495"/>
      <c r="F245" s="495"/>
      <c r="G245" s="521"/>
      <c r="H245" s="496"/>
      <c r="I245" s="496"/>
      <c r="J245" s="521"/>
      <c r="K245" s="516"/>
      <c r="L245" s="368">
        <f t="shared" si="9"/>
        <v>0</v>
      </c>
      <c r="M245" s="65"/>
      <c r="N245" s="8"/>
    </row>
    <row r="246" spans="2:14">
      <c r="B246" s="480"/>
      <c r="C246" s="490"/>
      <c r="D246" s="494"/>
      <c r="E246" s="495"/>
      <c r="F246" s="495"/>
      <c r="G246" s="521"/>
      <c r="H246" s="496"/>
      <c r="I246" s="496"/>
      <c r="J246" s="521"/>
      <c r="K246" s="516"/>
      <c r="L246" s="368">
        <f t="shared" si="9"/>
        <v>0</v>
      </c>
      <c r="M246" s="65"/>
      <c r="N246" s="8"/>
    </row>
    <row r="247" spans="2:14">
      <c r="B247" s="480"/>
      <c r="C247" s="490"/>
      <c r="D247" s="494"/>
      <c r="E247" s="495"/>
      <c r="F247" s="495"/>
      <c r="G247" s="521"/>
      <c r="H247" s="496"/>
      <c r="I247" s="496"/>
      <c r="J247" s="521"/>
      <c r="K247" s="516"/>
      <c r="L247" s="368">
        <f t="shared" si="9"/>
        <v>0</v>
      </c>
      <c r="M247" s="65"/>
      <c r="N247" s="8"/>
    </row>
    <row r="248" spans="2:14">
      <c r="B248" s="480"/>
      <c r="C248" s="490"/>
      <c r="D248" s="494"/>
      <c r="E248" s="495"/>
      <c r="F248" s="495"/>
      <c r="G248" s="521"/>
      <c r="H248" s="496"/>
      <c r="I248" s="496"/>
      <c r="J248" s="521"/>
      <c r="K248" s="516"/>
      <c r="L248" s="368">
        <f t="shared" si="9"/>
        <v>0</v>
      </c>
      <c r="M248" s="65"/>
      <c r="N248" s="8"/>
    </row>
    <row r="249" spans="2:14">
      <c r="B249" s="480"/>
      <c r="C249" s="490"/>
      <c r="D249" s="494"/>
      <c r="E249" s="495"/>
      <c r="F249" s="495"/>
      <c r="G249" s="521"/>
      <c r="H249" s="496"/>
      <c r="I249" s="496"/>
      <c r="J249" s="521"/>
      <c r="K249" s="516"/>
      <c r="L249" s="368">
        <f t="shared" si="9"/>
        <v>0</v>
      </c>
      <c r="M249" s="65"/>
      <c r="N249" s="8"/>
    </row>
    <row r="250" spans="2:14">
      <c r="B250" s="480"/>
      <c r="C250" s="490"/>
      <c r="D250" s="494"/>
      <c r="E250" s="495"/>
      <c r="F250" s="495"/>
      <c r="G250" s="521"/>
      <c r="H250" s="496"/>
      <c r="I250" s="496"/>
      <c r="J250" s="521"/>
      <c r="K250" s="516"/>
      <c r="L250" s="368">
        <f t="shared" si="9"/>
        <v>0</v>
      </c>
      <c r="M250" s="65"/>
      <c r="N250" s="8"/>
    </row>
    <row r="251" spans="2:14">
      <c r="B251" s="480"/>
      <c r="C251" s="490"/>
      <c r="D251" s="494"/>
      <c r="E251" s="495"/>
      <c r="F251" s="495"/>
      <c r="G251" s="521"/>
      <c r="H251" s="496"/>
      <c r="I251" s="496"/>
      <c r="J251" s="521"/>
      <c r="K251" s="516"/>
      <c r="L251" s="368">
        <f t="shared" si="9"/>
        <v>0</v>
      </c>
      <c r="M251" s="65"/>
      <c r="N251" s="8"/>
    </row>
    <row r="252" spans="2:14">
      <c r="B252" s="480"/>
      <c r="C252" s="490"/>
      <c r="D252" s="494"/>
      <c r="E252" s="495"/>
      <c r="F252" s="495"/>
      <c r="G252" s="521"/>
      <c r="H252" s="496"/>
      <c r="I252" s="496"/>
      <c r="J252" s="521"/>
      <c r="K252" s="516"/>
      <c r="L252" s="368">
        <f t="shared" si="9"/>
        <v>0</v>
      </c>
      <c r="M252" s="65"/>
      <c r="N252" s="8"/>
    </row>
    <row r="253" spans="2:14">
      <c r="B253" s="480"/>
      <c r="C253" s="490"/>
      <c r="D253" s="494"/>
      <c r="E253" s="495"/>
      <c r="F253" s="495"/>
      <c r="G253" s="521"/>
      <c r="H253" s="496"/>
      <c r="I253" s="496"/>
      <c r="J253" s="521"/>
      <c r="K253" s="516"/>
      <c r="L253" s="368">
        <f t="shared" si="9"/>
        <v>0</v>
      </c>
      <c r="M253" s="65"/>
      <c r="N253" s="8"/>
    </row>
    <row r="254" spans="2:14">
      <c r="B254" s="480"/>
      <c r="C254" s="490"/>
      <c r="D254" s="494"/>
      <c r="E254" s="495"/>
      <c r="F254" s="495"/>
      <c r="G254" s="521"/>
      <c r="H254" s="496"/>
      <c r="I254" s="496"/>
      <c r="J254" s="521"/>
      <c r="K254" s="516"/>
      <c r="L254" s="368">
        <f t="shared" si="9"/>
        <v>0</v>
      </c>
      <c r="M254" s="65"/>
      <c r="N254" s="8"/>
    </row>
    <row r="255" spans="2:14">
      <c r="B255" s="480"/>
      <c r="C255" s="490"/>
      <c r="D255" s="494"/>
      <c r="E255" s="495"/>
      <c r="F255" s="495"/>
      <c r="G255" s="521"/>
      <c r="H255" s="496"/>
      <c r="I255" s="496"/>
      <c r="J255" s="521"/>
      <c r="K255" s="516"/>
      <c r="L255" s="368">
        <f t="shared" si="9"/>
        <v>0</v>
      </c>
      <c r="M255" s="65"/>
      <c r="N255" s="8"/>
    </row>
    <row r="256" spans="2:14">
      <c r="B256" s="480"/>
      <c r="C256" s="490"/>
      <c r="D256" s="494"/>
      <c r="E256" s="495"/>
      <c r="F256" s="495"/>
      <c r="G256" s="521"/>
      <c r="H256" s="496"/>
      <c r="I256" s="496"/>
      <c r="J256" s="521"/>
      <c r="K256" s="516"/>
      <c r="L256" s="368">
        <f t="shared" si="9"/>
        <v>0</v>
      </c>
      <c r="M256" s="65"/>
      <c r="N256" s="8"/>
    </row>
    <row r="257" spans="2:14">
      <c r="B257" s="480"/>
      <c r="C257" s="490"/>
      <c r="D257" s="494"/>
      <c r="E257" s="495"/>
      <c r="F257" s="495"/>
      <c r="G257" s="521"/>
      <c r="H257" s="496"/>
      <c r="I257" s="496"/>
      <c r="J257" s="521"/>
      <c r="K257" s="516"/>
      <c r="L257" s="368">
        <f t="shared" si="9"/>
        <v>0</v>
      </c>
      <c r="M257" s="65"/>
      <c r="N257" s="8"/>
    </row>
    <row r="258" spans="2:14">
      <c r="B258" s="480"/>
      <c r="C258" s="490"/>
      <c r="D258" s="494"/>
      <c r="E258" s="495"/>
      <c r="F258" s="495"/>
      <c r="G258" s="521"/>
      <c r="H258" s="496"/>
      <c r="I258" s="496"/>
      <c r="J258" s="521"/>
      <c r="K258" s="516"/>
      <c r="L258" s="368">
        <f t="shared" si="9"/>
        <v>0</v>
      </c>
      <c r="M258" s="65"/>
      <c r="N258" s="8"/>
    </row>
    <row r="259" spans="2:14">
      <c r="B259" s="480"/>
      <c r="C259" s="490"/>
      <c r="D259" s="494"/>
      <c r="E259" s="495"/>
      <c r="F259" s="495"/>
      <c r="G259" s="521"/>
      <c r="H259" s="496"/>
      <c r="I259" s="496"/>
      <c r="J259" s="521"/>
      <c r="K259" s="516"/>
      <c r="L259" s="368">
        <f t="shared" si="9"/>
        <v>0</v>
      </c>
      <c r="M259" s="65"/>
      <c r="N259" s="8"/>
    </row>
    <row r="260" spans="2:14">
      <c r="B260" s="517"/>
      <c r="C260" s="490"/>
      <c r="D260" s="494"/>
      <c r="E260" s="495"/>
      <c r="F260" s="495"/>
      <c r="G260" s="521"/>
      <c r="H260" s="496"/>
      <c r="I260" s="496"/>
      <c r="J260" s="521"/>
      <c r="K260" s="516"/>
      <c r="L260" s="368">
        <f t="shared" si="9"/>
        <v>0</v>
      </c>
      <c r="M260" s="65"/>
      <c r="N260" s="8"/>
    </row>
    <row r="261" spans="2:14">
      <c r="B261" s="480"/>
      <c r="C261" s="490"/>
      <c r="D261" s="494"/>
      <c r="E261" s="495"/>
      <c r="F261" s="495"/>
      <c r="G261" s="521"/>
      <c r="H261" s="496"/>
      <c r="I261" s="496"/>
      <c r="J261" s="521"/>
      <c r="K261" s="516"/>
      <c r="L261" s="368">
        <f t="shared" ref="L261:L288" si="10">+K261</f>
        <v>0</v>
      </c>
      <c r="M261" s="65"/>
      <c r="N261" s="8"/>
    </row>
    <row r="262" spans="2:14">
      <c r="B262" s="517"/>
      <c r="C262" s="490"/>
      <c r="D262" s="494"/>
      <c r="E262" s="495"/>
      <c r="F262" s="495"/>
      <c r="G262" s="521"/>
      <c r="H262" s="496"/>
      <c r="I262" s="496"/>
      <c r="J262" s="521"/>
      <c r="K262" s="516"/>
      <c r="L262" s="368">
        <f t="shared" si="10"/>
        <v>0</v>
      </c>
      <c r="M262" s="65"/>
      <c r="N262" s="8"/>
    </row>
    <row r="263" spans="2:14">
      <c r="B263" s="517"/>
      <c r="C263" s="490"/>
      <c r="D263" s="494"/>
      <c r="E263" s="495"/>
      <c r="F263" s="495"/>
      <c r="G263" s="521"/>
      <c r="H263" s="496"/>
      <c r="I263" s="496"/>
      <c r="J263" s="521"/>
      <c r="K263" s="516"/>
      <c r="L263" s="368">
        <f t="shared" si="10"/>
        <v>0</v>
      </c>
      <c r="M263" s="65"/>
      <c r="N263" s="8"/>
    </row>
    <row r="264" spans="2:14">
      <c r="B264" s="517"/>
      <c r="C264" s="490"/>
      <c r="D264" s="494"/>
      <c r="E264" s="495"/>
      <c r="F264" s="495"/>
      <c r="G264" s="521"/>
      <c r="H264" s="496"/>
      <c r="I264" s="496"/>
      <c r="J264" s="521"/>
      <c r="K264" s="516"/>
      <c r="L264" s="368">
        <f t="shared" si="10"/>
        <v>0</v>
      </c>
      <c r="M264" s="65"/>
      <c r="N264" s="8"/>
    </row>
    <row r="265" spans="2:14">
      <c r="B265" s="517"/>
      <c r="C265" s="490"/>
      <c r="D265" s="494"/>
      <c r="E265" s="495"/>
      <c r="F265" s="495"/>
      <c r="G265" s="521"/>
      <c r="H265" s="496"/>
      <c r="I265" s="496"/>
      <c r="J265" s="521"/>
      <c r="K265" s="516"/>
      <c r="L265" s="368">
        <f t="shared" si="10"/>
        <v>0</v>
      </c>
      <c r="M265" s="65"/>
      <c r="N265" s="8"/>
    </row>
    <row r="266" spans="2:14">
      <c r="B266" s="517"/>
      <c r="C266" s="490"/>
      <c r="D266" s="494"/>
      <c r="E266" s="495"/>
      <c r="F266" s="495"/>
      <c r="G266" s="521"/>
      <c r="H266" s="495"/>
      <c r="I266" s="496"/>
      <c r="J266" s="521"/>
      <c r="K266" s="516"/>
      <c r="L266" s="368">
        <f t="shared" si="10"/>
        <v>0</v>
      </c>
      <c r="M266" s="65"/>
      <c r="N266" s="8"/>
    </row>
    <row r="267" spans="2:14">
      <c r="B267" s="517"/>
      <c r="C267" s="490"/>
      <c r="D267" s="494"/>
      <c r="E267" s="495"/>
      <c r="F267" s="495"/>
      <c r="G267" s="521"/>
      <c r="H267" s="496"/>
      <c r="I267" s="496"/>
      <c r="J267" s="521"/>
      <c r="K267" s="516"/>
      <c r="L267" s="368">
        <f t="shared" si="10"/>
        <v>0</v>
      </c>
      <c r="M267" s="65"/>
      <c r="N267" s="8"/>
    </row>
    <row r="268" spans="2:14">
      <c r="B268" s="517"/>
      <c r="C268" s="490"/>
      <c r="D268" s="494"/>
      <c r="E268" s="495"/>
      <c r="F268" s="495"/>
      <c r="G268" s="521"/>
      <c r="H268" s="496"/>
      <c r="I268" s="496"/>
      <c r="J268" s="521"/>
      <c r="K268" s="516"/>
      <c r="L268" s="368">
        <f t="shared" si="10"/>
        <v>0</v>
      </c>
      <c r="M268" s="65"/>
      <c r="N268" s="8"/>
    </row>
    <row r="269" spans="2:14">
      <c r="B269" s="517"/>
      <c r="C269" s="490"/>
      <c r="D269" s="494"/>
      <c r="E269" s="495"/>
      <c r="F269" s="495"/>
      <c r="G269" s="521"/>
      <c r="H269" s="496"/>
      <c r="I269" s="496"/>
      <c r="J269" s="521"/>
      <c r="K269" s="516"/>
      <c r="L269" s="368">
        <f t="shared" si="10"/>
        <v>0</v>
      </c>
      <c r="M269" s="65"/>
      <c r="N269" s="8"/>
    </row>
    <row r="270" spans="2:14">
      <c r="B270" s="517"/>
      <c r="C270" s="490"/>
      <c r="D270" s="494"/>
      <c r="E270" s="495"/>
      <c r="F270" s="495"/>
      <c r="G270" s="521"/>
      <c r="H270" s="496"/>
      <c r="I270" s="496"/>
      <c r="J270" s="521"/>
      <c r="K270" s="516"/>
      <c r="L270" s="368">
        <f t="shared" si="10"/>
        <v>0</v>
      </c>
      <c r="M270" s="65"/>
      <c r="N270" s="8"/>
    </row>
    <row r="271" spans="2:14">
      <c r="B271" s="517"/>
      <c r="C271" s="490"/>
      <c r="D271" s="494"/>
      <c r="E271" s="495"/>
      <c r="F271" s="495"/>
      <c r="G271" s="521"/>
      <c r="H271" s="496"/>
      <c r="I271" s="496"/>
      <c r="J271" s="521"/>
      <c r="K271" s="516"/>
      <c r="L271" s="368">
        <f t="shared" si="10"/>
        <v>0</v>
      </c>
      <c r="M271" s="65"/>
      <c r="N271" s="8"/>
    </row>
    <row r="272" spans="2:14">
      <c r="B272" s="517"/>
      <c r="C272" s="490"/>
      <c r="D272" s="494"/>
      <c r="E272" s="495"/>
      <c r="F272" s="495"/>
      <c r="G272" s="521"/>
      <c r="H272" s="496"/>
      <c r="I272" s="496"/>
      <c r="J272" s="521"/>
      <c r="K272" s="516"/>
      <c r="L272" s="368">
        <f t="shared" si="10"/>
        <v>0</v>
      </c>
      <c r="M272" s="65"/>
      <c r="N272" s="8"/>
    </row>
    <row r="273" spans="2:14">
      <c r="B273" s="517"/>
      <c r="C273" s="490"/>
      <c r="D273" s="494"/>
      <c r="E273" s="495"/>
      <c r="F273" s="495"/>
      <c r="G273" s="521"/>
      <c r="H273" s="496"/>
      <c r="I273" s="496"/>
      <c r="J273" s="521"/>
      <c r="K273" s="516"/>
      <c r="L273" s="368">
        <f t="shared" si="10"/>
        <v>0</v>
      </c>
      <c r="M273" s="65"/>
      <c r="N273" s="8"/>
    </row>
    <row r="274" spans="2:14">
      <c r="B274" s="517"/>
      <c r="C274" s="490"/>
      <c r="D274" s="494"/>
      <c r="E274" s="495"/>
      <c r="F274" s="495"/>
      <c r="G274" s="521"/>
      <c r="H274" s="496"/>
      <c r="I274" s="496"/>
      <c r="J274" s="521"/>
      <c r="K274" s="516"/>
      <c r="L274" s="368">
        <f t="shared" si="10"/>
        <v>0</v>
      </c>
      <c r="M274" s="65"/>
      <c r="N274" s="8"/>
    </row>
    <row r="275" spans="2:14">
      <c r="B275" s="517"/>
      <c r="C275" s="490"/>
      <c r="D275" s="494"/>
      <c r="E275" s="495"/>
      <c r="F275" s="495"/>
      <c r="G275" s="521"/>
      <c r="H275" s="496"/>
      <c r="I275" s="496"/>
      <c r="J275" s="521"/>
      <c r="K275" s="516"/>
      <c r="L275" s="368">
        <f t="shared" si="10"/>
        <v>0</v>
      </c>
      <c r="M275" s="65"/>
      <c r="N275" s="8"/>
    </row>
    <row r="276" spans="2:14">
      <c r="B276" s="517"/>
      <c r="C276" s="490"/>
      <c r="D276" s="494"/>
      <c r="E276" s="495"/>
      <c r="F276" s="495"/>
      <c r="G276" s="521"/>
      <c r="H276" s="496"/>
      <c r="I276" s="496"/>
      <c r="J276" s="521"/>
      <c r="K276" s="516"/>
      <c r="L276" s="368">
        <f t="shared" si="10"/>
        <v>0</v>
      </c>
      <c r="M276" s="65"/>
      <c r="N276" s="8"/>
    </row>
    <row r="277" spans="2:14">
      <c r="B277" s="517"/>
      <c r="C277" s="490"/>
      <c r="D277" s="494"/>
      <c r="E277" s="495"/>
      <c r="F277" s="495"/>
      <c r="G277" s="521"/>
      <c r="H277" s="496"/>
      <c r="I277" s="496"/>
      <c r="J277" s="521"/>
      <c r="K277" s="516"/>
      <c r="L277" s="368">
        <f t="shared" si="10"/>
        <v>0</v>
      </c>
      <c r="M277" s="65"/>
      <c r="N277" s="8"/>
    </row>
    <row r="278" spans="2:14">
      <c r="B278" s="517"/>
      <c r="C278" s="490"/>
      <c r="D278" s="494"/>
      <c r="E278" s="495"/>
      <c r="F278" s="495"/>
      <c r="G278" s="521"/>
      <c r="H278" s="496"/>
      <c r="I278" s="496"/>
      <c r="J278" s="521"/>
      <c r="K278" s="516"/>
      <c r="L278" s="368">
        <f t="shared" si="10"/>
        <v>0</v>
      </c>
      <c r="M278" s="65"/>
      <c r="N278" s="8"/>
    </row>
    <row r="279" spans="2:14">
      <c r="B279" s="517"/>
      <c r="C279" s="490"/>
      <c r="D279" s="494"/>
      <c r="E279" s="495"/>
      <c r="F279" s="495"/>
      <c r="G279" s="521"/>
      <c r="H279" s="496"/>
      <c r="I279" s="496"/>
      <c r="J279" s="521"/>
      <c r="K279" s="516"/>
      <c r="L279" s="368">
        <f t="shared" si="10"/>
        <v>0</v>
      </c>
      <c r="M279" s="65"/>
      <c r="N279" s="8"/>
    </row>
    <row r="280" spans="2:14">
      <c r="B280" s="517"/>
      <c r="C280" s="490"/>
      <c r="D280" s="494"/>
      <c r="E280" s="495"/>
      <c r="F280" s="495"/>
      <c r="G280" s="521"/>
      <c r="H280" s="496"/>
      <c r="I280" s="496"/>
      <c r="J280" s="521"/>
      <c r="K280" s="516"/>
      <c r="L280" s="368">
        <f t="shared" si="10"/>
        <v>0</v>
      </c>
      <c r="M280" s="65"/>
      <c r="N280" s="8"/>
    </row>
    <row r="281" spans="2:14">
      <c r="B281" s="517"/>
      <c r="C281" s="490"/>
      <c r="D281" s="494"/>
      <c r="E281" s="495"/>
      <c r="F281" s="495"/>
      <c r="G281" s="521"/>
      <c r="H281" s="496"/>
      <c r="I281" s="496"/>
      <c r="J281" s="521"/>
      <c r="K281" s="516"/>
      <c r="L281" s="368">
        <f t="shared" si="10"/>
        <v>0</v>
      </c>
      <c r="M281" s="65"/>
      <c r="N281" s="8"/>
    </row>
    <row r="282" spans="2:14">
      <c r="B282" s="517"/>
      <c r="C282" s="490"/>
      <c r="D282" s="494"/>
      <c r="E282" s="495"/>
      <c r="F282" s="495"/>
      <c r="G282" s="521"/>
      <c r="H282" s="496"/>
      <c r="I282" s="496"/>
      <c r="J282" s="521"/>
      <c r="K282" s="516"/>
      <c r="L282" s="368">
        <f t="shared" si="10"/>
        <v>0</v>
      </c>
      <c r="M282" s="65"/>
      <c r="N282" s="8"/>
    </row>
    <row r="283" spans="2:14">
      <c r="B283" s="517"/>
      <c r="C283" s="490"/>
      <c r="D283" s="494"/>
      <c r="E283" s="495"/>
      <c r="F283" s="495"/>
      <c r="G283" s="521"/>
      <c r="H283" s="496"/>
      <c r="I283" s="496"/>
      <c r="J283" s="521"/>
      <c r="K283" s="516"/>
      <c r="L283" s="368">
        <f t="shared" si="10"/>
        <v>0</v>
      </c>
      <c r="M283" s="65"/>
      <c r="N283" s="8"/>
    </row>
    <row r="284" spans="2:14">
      <c r="B284" s="517"/>
      <c r="C284" s="490"/>
      <c r="D284" s="494"/>
      <c r="E284" s="495"/>
      <c r="F284" s="495"/>
      <c r="G284" s="521"/>
      <c r="H284" s="496"/>
      <c r="I284" s="496"/>
      <c r="J284" s="521"/>
      <c r="K284" s="516"/>
      <c r="L284" s="368">
        <f t="shared" si="10"/>
        <v>0</v>
      </c>
      <c r="M284" s="65"/>
      <c r="N284" s="8"/>
    </row>
    <row r="285" spans="2:14">
      <c r="B285" s="517"/>
      <c r="C285" s="490"/>
      <c r="D285" s="494"/>
      <c r="E285" s="495"/>
      <c r="F285" s="495"/>
      <c r="G285" s="521"/>
      <c r="H285" s="496"/>
      <c r="I285" s="496"/>
      <c r="J285" s="521"/>
      <c r="K285" s="516"/>
      <c r="L285" s="368">
        <f t="shared" si="10"/>
        <v>0</v>
      </c>
      <c r="M285" s="65"/>
      <c r="N285" s="8"/>
    </row>
    <row r="286" spans="2:14">
      <c r="B286" s="517"/>
      <c r="C286" s="490"/>
      <c r="D286" s="494"/>
      <c r="E286" s="495"/>
      <c r="F286" s="495"/>
      <c r="G286" s="521"/>
      <c r="H286" s="496"/>
      <c r="I286" s="496"/>
      <c r="J286" s="521"/>
      <c r="K286" s="516"/>
      <c r="L286" s="368">
        <f t="shared" si="10"/>
        <v>0</v>
      </c>
      <c r="M286" s="65"/>
      <c r="N286" s="8"/>
    </row>
    <row r="287" spans="2:14">
      <c r="B287" s="517"/>
      <c r="C287" s="490"/>
      <c r="D287" s="494"/>
      <c r="E287" s="495"/>
      <c r="F287" s="495"/>
      <c r="G287" s="521"/>
      <c r="H287" s="496"/>
      <c r="I287" s="496"/>
      <c r="J287" s="521"/>
      <c r="K287" s="516"/>
      <c r="L287" s="368">
        <f t="shared" si="10"/>
        <v>0</v>
      </c>
      <c r="M287" s="65"/>
      <c r="N287" s="8"/>
    </row>
    <row r="288" spans="2:14">
      <c r="B288" s="517"/>
      <c r="C288" s="490"/>
      <c r="D288" s="494"/>
      <c r="E288" s="495"/>
      <c r="F288" s="495"/>
      <c r="G288" s="521"/>
      <c r="H288" s="496"/>
      <c r="I288" s="496"/>
      <c r="J288" s="521"/>
      <c r="K288" s="516"/>
      <c r="L288" s="368">
        <f t="shared" si="10"/>
        <v>0</v>
      </c>
      <c r="M288" s="65"/>
      <c r="N288" s="8"/>
    </row>
    <row r="289" spans="2:14">
      <c r="B289" s="59"/>
      <c r="C289" s="59"/>
      <c r="D289" s="59"/>
      <c r="E289" s="59">
        <f>SUM(E4:E288)</f>
        <v>1535.7299999999998</v>
      </c>
      <c r="F289" s="59"/>
      <c r="G289" s="59">
        <f>SUM(G4:G288)</f>
        <v>161495.57000000004</v>
      </c>
      <c r="H289" s="59">
        <f>SUM(H4:H288)</f>
        <v>184.57999999999998</v>
      </c>
      <c r="I289" s="59"/>
      <c r="J289" s="59">
        <f>SUM(J4:J288)</f>
        <v>21686.104399999997</v>
      </c>
      <c r="K289" s="59">
        <f>SUM(K4:K288)</f>
        <v>183181.67440000002</v>
      </c>
      <c r="L289" s="59">
        <f>SUM(L4:L288)</f>
        <v>183181.67440000002</v>
      </c>
      <c r="M289" s="60">
        <f>SUM(M258:M288)</f>
        <v>0</v>
      </c>
      <c r="N289" s="60"/>
    </row>
  </sheetData>
  <mergeCells count="1">
    <mergeCell ref="A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9A6A-79F9-4FB1-82F0-A26938E2E479}">
  <sheetPr>
    <tabColor theme="7" tint="0.39997558519241921"/>
  </sheetPr>
  <dimension ref="A1:R46"/>
  <sheetViews>
    <sheetView topLeftCell="A19" workbookViewId="0">
      <selection activeCell="M34" sqref="M34"/>
    </sheetView>
  </sheetViews>
  <sheetFormatPr defaultRowHeight="15"/>
  <cols>
    <col min="4" max="4" width="16.42578125" customWidth="1"/>
    <col min="7" max="7" width="15.42578125" customWidth="1"/>
    <col min="11" max="11" width="15.28515625" customWidth="1"/>
    <col min="12" max="12" width="16.5703125" customWidth="1"/>
    <col min="13" max="13" width="15.42578125" customWidth="1"/>
    <col min="14" max="14" width="11" customWidth="1"/>
  </cols>
  <sheetData>
    <row r="1" spans="1:18" ht="15.75">
      <c r="A1" s="567" t="s">
        <v>227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92349.157300000021</v>
      </c>
      <c r="N3" s="149"/>
      <c r="O3" s="56"/>
    </row>
    <row r="4" spans="1:18">
      <c r="A4" s="189">
        <v>1</v>
      </c>
      <c r="B4" s="212">
        <v>46235</v>
      </c>
      <c r="C4" s="64"/>
      <c r="D4" s="152"/>
      <c r="E4" s="249">
        <v>124.36</v>
      </c>
      <c r="F4" s="249">
        <v>105.21</v>
      </c>
      <c r="G4" s="8">
        <f t="shared" ref="G4:G36" si="0">E4*F4</f>
        <v>13083.915599999998</v>
      </c>
      <c r="H4" s="530">
        <v>5</v>
      </c>
      <c r="I4" s="530">
        <v>117.58</v>
      </c>
      <c r="J4" s="8">
        <f>H4*I4</f>
        <v>587.9</v>
      </c>
      <c r="K4" s="8">
        <f>G4+J4</f>
        <v>13671.815599999998</v>
      </c>
      <c r="L4" s="65"/>
      <c r="M4" s="65">
        <f>M3+K4-L4</f>
        <v>106020.97290000002</v>
      </c>
      <c r="N4" s="149"/>
    </row>
    <row r="5" spans="1:18">
      <c r="A5" s="189"/>
      <c r="B5" s="212">
        <v>46236</v>
      </c>
      <c r="C5" s="64"/>
      <c r="D5" s="73"/>
      <c r="E5" s="249">
        <v>20</v>
      </c>
      <c r="F5" s="249">
        <v>105.21</v>
      </c>
      <c r="G5" s="8">
        <f t="shared" si="0"/>
        <v>2104.1999999999998</v>
      </c>
      <c r="H5" s="530">
        <v>5</v>
      </c>
      <c r="I5" s="530">
        <v>117.58</v>
      </c>
      <c r="J5" s="8">
        <f>H5*I5</f>
        <v>587.9</v>
      </c>
      <c r="K5" s="8">
        <f>G5+J5</f>
        <v>2692.1</v>
      </c>
      <c r="L5" s="65"/>
      <c r="M5" s="65">
        <f t="shared" ref="M5:M36" si="1">M4+K5-L5</f>
        <v>108713.07290000003</v>
      </c>
      <c r="N5" s="149"/>
    </row>
    <row r="6" spans="1:18">
      <c r="A6" s="43">
        <v>2</v>
      </c>
      <c r="B6" s="212">
        <v>46237</v>
      </c>
      <c r="C6" s="64"/>
      <c r="E6" s="249">
        <v>195.01</v>
      </c>
      <c r="F6" s="249">
        <v>105.21</v>
      </c>
      <c r="G6" s="8">
        <f t="shared" si="0"/>
        <v>20517.002099999998</v>
      </c>
      <c r="H6" s="530">
        <v>5</v>
      </c>
      <c r="I6" s="530">
        <v>117.58</v>
      </c>
      <c r="J6" s="8">
        <f t="shared" ref="J6:J36" si="2">H6*I6</f>
        <v>587.9</v>
      </c>
      <c r="K6" s="8">
        <f t="shared" ref="K6:K36" si="3">G6+J6</f>
        <v>21104.902099999999</v>
      </c>
      <c r="L6" s="65"/>
      <c r="M6" s="65">
        <f t="shared" si="1"/>
        <v>129817.97500000003</v>
      </c>
      <c r="N6" s="149"/>
    </row>
    <row r="7" spans="1:18">
      <c r="A7" s="43">
        <v>3</v>
      </c>
      <c r="B7" s="212">
        <v>46238</v>
      </c>
      <c r="C7" s="64"/>
      <c r="D7" s="152"/>
      <c r="E7" s="249">
        <v>65</v>
      </c>
      <c r="F7" s="249">
        <v>105.21</v>
      </c>
      <c r="G7" s="8">
        <f t="shared" si="0"/>
        <v>6838.65</v>
      </c>
      <c r="H7" s="62">
        <v>0</v>
      </c>
      <c r="I7" s="63"/>
      <c r="J7" s="8">
        <f t="shared" si="2"/>
        <v>0</v>
      </c>
      <c r="K7" s="8">
        <f t="shared" si="3"/>
        <v>6838.65</v>
      </c>
      <c r="L7" s="65"/>
      <c r="M7" s="65">
        <f t="shared" si="1"/>
        <v>136656.62500000003</v>
      </c>
      <c r="N7" s="149"/>
    </row>
    <row r="8" spans="1:18">
      <c r="A8" s="43">
        <v>4</v>
      </c>
      <c r="B8" s="212">
        <v>46239</v>
      </c>
      <c r="C8" s="64"/>
      <c r="D8" s="152"/>
      <c r="E8" s="249">
        <v>489.5</v>
      </c>
      <c r="F8" s="249">
        <v>105.21</v>
      </c>
      <c r="G8" s="8">
        <f t="shared" si="0"/>
        <v>51500.294999999998</v>
      </c>
      <c r="H8" s="62">
        <v>0</v>
      </c>
      <c r="I8" s="63"/>
      <c r="J8" s="8">
        <f t="shared" si="2"/>
        <v>0</v>
      </c>
      <c r="K8" s="8">
        <f t="shared" si="3"/>
        <v>51500.294999999998</v>
      </c>
      <c r="L8" s="65">
        <v>100000</v>
      </c>
      <c r="M8" s="65">
        <f t="shared" si="1"/>
        <v>88156.920000000042</v>
      </c>
      <c r="N8" s="149"/>
    </row>
    <row r="9" spans="1:18">
      <c r="A9" s="43">
        <v>5</v>
      </c>
      <c r="B9" s="212">
        <v>46240</v>
      </c>
      <c r="C9" s="64"/>
      <c r="D9" s="152"/>
      <c r="E9" s="249">
        <v>154.69999999999999</v>
      </c>
      <c r="F9" s="249">
        <v>105.21</v>
      </c>
      <c r="G9" s="8">
        <f t="shared" si="0"/>
        <v>16275.986999999997</v>
      </c>
      <c r="H9" s="62">
        <v>10</v>
      </c>
      <c r="I9" s="63">
        <v>117.58</v>
      </c>
      <c r="J9" s="8">
        <f t="shared" si="2"/>
        <v>1175.8</v>
      </c>
      <c r="K9" s="8">
        <f>G9+J9</f>
        <v>17451.786999999997</v>
      </c>
      <c r="L9" s="65"/>
      <c r="M9" s="65">
        <f t="shared" si="1"/>
        <v>105608.70700000004</v>
      </c>
      <c r="N9" s="149"/>
      <c r="O9" s="66"/>
      <c r="R9" s="218"/>
    </row>
    <row r="10" spans="1:18">
      <c r="A10" s="43">
        <v>6</v>
      </c>
      <c r="B10" s="212">
        <v>46241</v>
      </c>
      <c r="C10" s="64"/>
      <c r="D10" s="152"/>
      <c r="E10" s="249">
        <v>197.19</v>
      </c>
      <c r="F10" s="249">
        <v>105.21</v>
      </c>
      <c r="G10" s="8">
        <f t="shared" si="0"/>
        <v>20746.359899999999</v>
      </c>
      <c r="H10" s="62"/>
      <c r="I10" s="63"/>
      <c r="J10" s="8">
        <f t="shared" si="2"/>
        <v>0</v>
      </c>
      <c r="K10" s="8">
        <f t="shared" si="3"/>
        <v>20746.359899999999</v>
      </c>
      <c r="L10" s="65"/>
      <c r="M10" s="65">
        <f t="shared" si="1"/>
        <v>126355.06690000003</v>
      </c>
      <c r="N10" s="149"/>
      <c r="O10" s="66"/>
    </row>
    <row r="11" spans="1:18">
      <c r="A11" s="43">
        <v>7</v>
      </c>
      <c r="B11" s="212">
        <v>46242</v>
      </c>
      <c r="C11" s="64"/>
      <c r="D11" s="152"/>
      <c r="E11" s="249"/>
      <c r="F11" s="249"/>
      <c r="G11" s="8">
        <f t="shared" si="0"/>
        <v>0</v>
      </c>
      <c r="H11" s="62">
        <v>5</v>
      </c>
      <c r="I11" s="63">
        <v>117.58</v>
      </c>
      <c r="J11" s="8">
        <f t="shared" si="2"/>
        <v>587.9</v>
      </c>
      <c r="K11" s="8">
        <f t="shared" si="3"/>
        <v>587.9</v>
      </c>
      <c r="L11" s="65"/>
      <c r="M11" s="65">
        <f t="shared" si="1"/>
        <v>126942.96690000003</v>
      </c>
      <c r="N11" s="149"/>
      <c r="O11" s="66"/>
    </row>
    <row r="12" spans="1:18">
      <c r="A12" s="43">
        <v>8</v>
      </c>
      <c r="B12" s="212">
        <v>46243</v>
      </c>
      <c r="C12" s="64"/>
      <c r="D12" s="152"/>
      <c r="E12" s="249">
        <v>195</v>
      </c>
      <c r="F12" s="249">
        <v>105.21</v>
      </c>
      <c r="G12" s="8">
        <f t="shared" si="0"/>
        <v>20515.949999999997</v>
      </c>
      <c r="H12" s="62">
        <v>10</v>
      </c>
      <c r="I12" s="63">
        <v>117.58</v>
      </c>
      <c r="J12" s="8">
        <f t="shared" si="2"/>
        <v>1175.8</v>
      </c>
      <c r="K12" s="8">
        <f t="shared" si="3"/>
        <v>21691.749999999996</v>
      </c>
      <c r="L12" s="65"/>
      <c r="M12" s="65">
        <f t="shared" si="1"/>
        <v>148634.71690000003</v>
      </c>
      <c r="N12" s="149"/>
      <c r="O12" s="66"/>
    </row>
    <row r="13" spans="1:18">
      <c r="A13" s="43">
        <v>9</v>
      </c>
      <c r="B13" s="212">
        <v>46244</v>
      </c>
      <c r="C13" s="64"/>
      <c r="D13" s="152"/>
      <c r="E13" s="249">
        <v>212.37</v>
      </c>
      <c r="F13" s="249">
        <v>105.21</v>
      </c>
      <c r="G13" s="8">
        <f t="shared" si="0"/>
        <v>22343.447700000001</v>
      </c>
      <c r="H13" s="62">
        <v>5</v>
      </c>
      <c r="I13" s="63">
        <v>117.58</v>
      </c>
      <c r="J13" s="8">
        <f t="shared" si="2"/>
        <v>587.9</v>
      </c>
      <c r="K13" s="8">
        <f t="shared" si="3"/>
        <v>22931.347700000002</v>
      </c>
      <c r="L13" s="65"/>
      <c r="M13" s="65">
        <f t="shared" si="1"/>
        <v>171566.06460000004</v>
      </c>
      <c r="N13" s="149"/>
      <c r="O13" s="66"/>
    </row>
    <row r="14" spans="1:18">
      <c r="A14" s="43">
        <v>10</v>
      </c>
      <c r="B14" s="212">
        <v>46245</v>
      </c>
      <c r="C14" s="64"/>
      <c r="D14" s="152"/>
      <c r="E14" s="249">
        <v>217</v>
      </c>
      <c r="F14" s="249">
        <v>105.21</v>
      </c>
      <c r="G14" s="8">
        <f t="shared" si="0"/>
        <v>22830.57</v>
      </c>
      <c r="H14" s="62">
        <v>5</v>
      </c>
      <c r="I14" s="63">
        <v>117.58</v>
      </c>
      <c r="J14" s="8">
        <f t="shared" si="2"/>
        <v>587.9</v>
      </c>
      <c r="K14" s="8">
        <f t="shared" si="3"/>
        <v>23418.47</v>
      </c>
      <c r="L14" s="65">
        <v>100000</v>
      </c>
      <c r="M14" s="65">
        <f t="shared" si="1"/>
        <v>94984.534600000043</v>
      </c>
      <c r="N14" s="149"/>
      <c r="O14" s="66"/>
    </row>
    <row r="15" spans="1:18">
      <c r="A15" s="43">
        <v>11</v>
      </c>
      <c r="B15" s="212">
        <v>46246</v>
      </c>
      <c r="C15" s="64"/>
      <c r="D15" s="152"/>
      <c r="E15" s="249">
        <v>180</v>
      </c>
      <c r="F15" s="249">
        <v>105.21</v>
      </c>
      <c r="G15" s="8">
        <f t="shared" si="0"/>
        <v>18937.8</v>
      </c>
      <c r="H15" s="62">
        <v>5</v>
      </c>
      <c r="I15" s="63">
        <v>117.58</v>
      </c>
      <c r="J15" s="8">
        <f t="shared" si="2"/>
        <v>587.9</v>
      </c>
      <c r="K15" s="8">
        <f>G15+J15</f>
        <v>19525.7</v>
      </c>
      <c r="L15" s="65"/>
      <c r="M15" s="65">
        <f t="shared" si="1"/>
        <v>114510.23460000004</v>
      </c>
      <c r="N15" s="149"/>
      <c r="O15" s="66"/>
    </row>
    <row r="16" spans="1:18">
      <c r="A16" s="43">
        <v>12</v>
      </c>
      <c r="B16" s="212">
        <v>46247</v>
      </c>
      <c r="C16" s="64"/>
      <c r="D16" s="152"/>
      <c r="E16" s="249">
        <v>142.61000000000001</v>
      </c>
      <c r="F16" s="249">
        <v>105.21</v>
      </c>
      <c r="G16" s="8">
        <f t="shared" si="0"/>
        <v>15003.998100000001</v>
      </c>
      <c r="H16" s="62"/>
      <c r="I16" s="63"/>
      <c r="J16" s="8">
        <f t="shared" si="2"/>
        <v>0</v>
      </c>
      <c r="K16" s="8">
        <f t="shared" si="3"/>
        <v>15003.998100000001</v>
      </c>
      <c r="L16" s="65"/>
      <c r="M16" s="65">
        <f t="shared" si="1"/>
        <v>129514.23270000004</v>
      </c>
      <c r="N16" s="8"/>
      <c r="O16" s="66"/>
    </row>
    <row r="17" spans="1:15">
      <c r="A17" s="43">
        <v>13</v>
      </c>
      <c r="B17" s="212">
        <v>46248</v>
      </c>
      <c r="C17" s="64"/>
      <c r="D17" s="152"/>
      <c r="E17" s="249">
        <v>204.04</v>
      </c>
      <c r="F17" s="249">
        <v>105.21</v>
      </c>
      <c r="G17" s="8">
        <f t="shared" si="0"/>
        <v>21467.0484</v>
      </c>
      <c r="H17" s="62">
        <v>12</v>
      </c>
      <c r="I17" s="63">
        <v>117.58</v>
      </c>
      <c r="J17" s="8">
        <f t="shared" si="2"/>
        <v>1410.96</v>
      </c>
      <c r="K17" s="8">
        <f t="shared" si="3"/>
        <v>22878.008399999999</v>
      </c>
      <c r="L17" s="65"/>
      <c r="M17" s="65">
        <f t="shared" si="1"/>
        <v>152392.24110000004</v>
      </c>
      <c r="N17" s="8"/>
      <c r="O17" s="66"/>
    </row>
    <row r="18" spans="1:15">
      <c r="A18" s="43">
        <v>14</v>
      </c>
      <c r="B18" s="212">
        <v>46249</v>
      </c>
      <c r="C18" s="64"/>
      <c r="D18" s="152"/>
      <c r="E18" s="249">
        <v>46</v>
      </c>
      <c r="F18" s="249">
        <v>105.21</v>
      </c>
      <c r="G18" s="8">
        <f t="shared" si="0"/>
        <v>4839.66</v>
      </c>
      <c r="H18" s="62">
        <v>5</v>
      </c>
      <c r="I18" s="63">
        <v>117.58</v>
      </c>
      <c r="J18" s="8">
        <f t="shared" si="2"/>
        <v>587.9</v>
      </c>
      <c r="K18" s="8">
        <f t="shared" si="3"/>
        <v>5427.5599999999995</v>
      </c>
      <c r="L18" s="65"/>
      <c r="M18" s="65">
        <f t="shared" si="1"/>
        <v>157819.80110000004</v>
      </c>
      <c r="N18" s="8"/>
      <c r="O18" s="66"/>
    </row>
    <row r="19" spans="1:15">
      <c r="A19" s="43">
        <v>15</v>
      </c>
      <c r="B19" s="212">
        <v>46250</v>
      </c>
      <c r="C19" s="64"/>
      <c r="D19" s="152"/>
      <c r="E19" s="310">
        <v>20</v>
      </c>
      <c r="F19" s="310">
        <v>105.21</v>
      </c>
      <c r="G19" s="175">
        <f t="shared" si="0"/>
        <v>2104.1999999999998</v>
      </c>
      <c r="H19" s="62"/>
      <c r="I19" s="63"/>
      <c r="J19" s="175">
        <f t="shared" si="2"/>
        <v>0</v>
      </c>
      <c r="K19" s="175">
        <f t="shared" si="3"/>
        <v>2104.1999999999998</v>
      </c>
      <c r="L19" s="65"/>
      <c r="M19" s="65">
        <f t="shared" si="1"/>
        <v>159924.00110000005</v>
      </c>
      <c r="N19" s="8"/>
      <c r="O19" s="66"/>
    </row>
    <row r="20" spans="1:15">
      <c r="A20" s="43">
        <v>16</v>
      </c>
      <c r="B20" s="212">
        <v>46251</v>
      </c>
      <c r="C20" s="64"/>
      <c r="D20" s="309"/>
      <c r="E20" s="249">
        <v>250.92</v>
      </c>
      <c r="F20" s="249">
        <v>105.21</v>
      </c>
      <c r="G20" s="8">
        <f t="shared" si="0"/>
        <v>26399.293199999996</v>
      </c>
      <c r="H20" s="62">
        <v>15</v>
      </c>
      <c r="I20" s="63">
        <v>117.58</v>
      </c>
      <c r="J20" s="8">
        <f t="shared" si="2"/>
        <v>1763.7</v>
      </c>
      <c r="K20" s="8">
        <f t="shared" si="3"/>
        <v>28162.993199999997</v>
      </c>
      <c r="L20" s="65"/>
      <c r="M20" s="65">
        <f t="shared" si="1"/>
        <v>188086.99430000005</v>
      </c>
      <c r="N20" s="186"/>
      <c r="O20" s="66"/>
    </row>
    <row r="21" spans="1:15">
      <c r="A21" s="43">
        <v>17</v>
      </c>
      <c r="B21" s="212">
        <v>46252</v>
      </c>
      <c r="C21" s="64"/>
      <c r="D21" s="309"/>
      <c r="E21" s="249">
        <v>200</v>
      </c>
      <c r="F21" s="249">
        <v>105.21</v>
      </c>
      <c r="G21" s="8">
        <f t="shared" si="0"/>
        <v>21042</v>
      </c>
      <c r="H21" s="62"/>
      <c r="I21" s="63"/>
      <c r="J21" s="8">
        <f t="shared" si="2"/>
        <v>0</v>
      </c>
      <c r="K21" s="8">
        <f t="shared" si="3"/>
        <v>21042</v>
      </c>
      <c r="L21" s="65"/>
      <c r="M21" s="65">
        <f t="shared" si="1"/>
        <v>209128.99430000005</v>
      </c>
      <c r="N21" s="186"/>
      <c r="O21" s="66"/>
    </row>
    <row r="22" spans="1:15">
      <c r="A22" s="43">
        <v>18</v>
      </c>
      <c r="B22" s="212">
        <v>46253</v>
      </c>
      <c r="C22" s="64"/>
      <c r="D22" s="309"/>
      <c r="E22" s="14">
        <v>5</v>
      </c>
      <c r="F22" s="14">
        <v>105.21</v>
      </c>
      <c r="G22" s="8">
        <f t="shared" si="0"/>
        <v>526.04999999999995</v>
      </c>
      <c r="H22" s="62">
        <v>11</v>
      </c>
      <c r="I22" s="63">
        <v>117.58</v>
      </c>
      <c r="J22" s="8">
        <f t="shared" si="2"/>
        <v>1293.3799999999999</v>
      </c>
      <c r="K22" s="8">
        <f t="shared" si="3"/>
        <v>1819.4299999999998</v>
      </c>
      <c r="L22" s="65"/>
      <c r="M22" s="65">
        <f t="shared" si="1"/>
        <v>210948.42430000004</v>
      </c>
      <c r="N22" s="186"/>
      <c r="O22" s="66"/>
    </row>
    <row r="23" spans="1:15">
      <c r="A23" s="43">
        <v>19</v>
      </c>
      <c r="B23" s="212">
        <v>46254</v>
      </c>
      <c r="C23" s="64"/>
      <c r="D23" s="309"/>
      <c r="E23" s="14">
        <v>244.62</v>
      </c>
      <c r="F23" s="14">
        <v>105.21</v>
      </c>
      <c r="G23" s="8">
        <f t="shared" si="0"/>
        <v>25736.4702</v>
      </c>
      <c r="H23" s="62">
        <v>10</v>
      </c>
      <c r="I23" s="63">
        <v>117.58</v>
      </c>
      <c r="J23" s="8">
        <f t="shared" si="2"/>
        <v>1175.8</v>
      </c>
      <c r="K23" s="8">
        <f t="shared" si="3"/>
        <v>26912.270199999999</v>
      </c>
      <c r="L23" s="65">
        <v>213661</v>
      </c>
      <c r="M23" s="65">
        <f t="shared" si="1"/>
        <v>24199.694500000041</v>
      </c>
      <c r="N23" s="186"/>
      <c r="O23" s="66"/>
    </row>
    <row r="24" spans="1:15">
      <c r="A24" s="43">
        <v>20</v>
      </c>
      <c r="B24" s="212">
        <v>46255</v>
      </c>
      <c r="C24" s="64"/>
      <c r="D24" s="309"/>
      <c r="E24" s="14">
        <v>260</v>
      </c>
      <c r="F24" s="14">
        <v>105.21</v>
      </c>
      <c r="G24" s="8">
        <f t="shared" si="0"/>
        <v>27354.6</v>
      </c>
      <c r="H24" s="62">
        <v>15</v>
      </c>
      <c r="I24" s="63">
        <v>117.58</v>
      </c>
      <c r="J24" s="8">
        <f t="shared" si="2"/>
        <v>1763.7</v>
      </c>
      <c r="K24" s="8">
        <f t="shared" si="3"/>
        <v>29118.3</v>
      </c>
      <c r="L24" s="65"/>
      <c r="M24" s="65">
        <f>M23+K24-L24</f>
        <v>53317.994500000044</v>
      </c>
      <c r="N24" s="186"/>
      <c r="O24" s="66"/>
    </row>
    <row r="25" spans="1:15">
      <c r="A25" s="43">
        <v>21</v>
      </c>
      <c r="B25" s="212">
        <v>46256</v>
      </c>
      <c r="C25" s="64"/>
      <c r="D25" s="309"/>
      <c r="E25" s="14">
        <v>97.37</v>
      </c>
      <c r="F25" s="14">
        <v>105.21</v>
      </c>
      <c r="G25" s="8">
        <f t="shared" si="0"/>
        <v>10244.297699999999</v>
      </c>
      <c r="H25" s="62">
        <v>10</v>
      </c>
      <c r="I25" s="63">
        <v>117.58</v>
      </c>
      <c r="J25" s="8">
        <f t="shared" si="2"/>
        <v>1175.8</v>
      </c>
      <c r="K25" s="8">
        <f t="shared" si="3"/>
        <v>11420.097699999998</v>
      </c>
      <c r="L25" s="65"/>
      <c r="M25" s="65">
        <f t="shared" si="1"/>
        <v>64738.092200000043</v>
      </c>
      <c r="N25" s="186"/>
      <c r="O25" s="66"/>
    </row>
    <row r="26" spans="1:15">
      <c r="A26" s="43">
        <v>22</v>
      </c>
      <c r="B26" s="212">
        <v>46257</v>
      </c>
      <c r="C26" s="64"/>
      <c r="D26" s="309"/>
      <c r="E26" s="14">
        <v>50</v>
      </c>
      <c r="F26" s="14">
        <v>105.21</v>
      </c>
      <c r="G26" s="8">
        <f t="shared" si="0"/>
        <v>5260.5</v>
      </c>
      <c r="H26" s="62">
        <v>10</v>
      </c>
      <c r="I26" s="63">
        <v>117.58</v>
      </c>
      <c r="J26" s="8">
        <f t="shared" si="2"/>
        <v>1175.8</v>
      </c>
      <c r="K26" s="8">
        <f t="shared" si="3"/>
        <v>6436.3</v>
      </c>
      <c r="L26" s="65"/>
      <c r="M26" s="65">
        <f t="shared" si="1"/>
        <v>71174.392200000046</v>
      </c>
      <c r="N26" s="186"/>
      <c r="O26" s="66"/>
    </row>
    <row r="27" spans="1:15">
      <c r="A27" s="43">
        <v>23</v>
      </c>
      <c r="B27" s="212">
        <v>46258</v>
      </c>
      <c r="C27" s="64"/>
      <c r="D27" s="309"/>
      <c r="E27" s="14">
        <v>415.63</v>
      </c>
      <c r="F27" s="14">
        <v>105.21</v>
      </c>
      <c r="G27" s="8">
        <f t="shared" si="0"/>
        <v>43728.4323</v>
      </c>
      <c r="H27" s="62">
        <v>5</v>
      </c>
      <c r="I27" s="63">
        <v>117.58</v>
      </c>
      <c r="J27" s="8">
        <f t="shared" si="2"/>
        <v>587.9</v>
      </c>
      <c r="K27" s="8">
        <f t="shared" si="3"/>
        <v>44316.332300000002</v>
      </c>
      <c r="L27" s="65"/>
      <c r="M27" s="65">
        <f t="shared" si="1"/>
        <v>115490.72450000004</v>
      </c>
      <c r="N27" s="186"/>
      <c r="O27" s="66"/>
    </row>
    <row r="28" spans="1:15">
      <c r="A28" s="43">
        <v>24</v>
      </c>
      <c r="B28" s="212">
        <v>46259</v>
      </c>
      <c r="C28" s="64"/>
      <c r="D28" s="309"/>
      <c r="E28" s="14">
        <v>333.41</v>
      </c>
      <c r="F28" s="14">
        <v>105.21</v>
      </c>
      <c r="G28" s="8">
        <f t="shared" si="0"/>
        <v>35078.066100000004</v>
      </c>
      <c r="H28" s="62"/>
      <c r="I28" s="63"/>
      <c r="J28" s="8">
        <f t="shared" si="2"/>
        <v>0</v>
      </c>
      <c r="K28" s="8">
        <f t="shared" si="3"/>
        <v>35078.066100000004</v>
      </c>
      <c r="L28" s="65"/>
      <c r="M28" s="65">
        <f t="shared" si="1"/>
        <v>150568.79060000004</v>
      </c>
      <c r="N28" s="186"/>
      <c r="O28" s="66"/>
    </row>
    <row r="29" spans="1:15">
      <c r="A29" s="214">
        <v>25</v>
      </c>
      <c r="B29" s="212">
        <v>46260</v>
      </c>
      <c r="C29" s="64"/>
      <c r="D29" s="309"/>
      <c r="E29" s="14">
        <v>113.53</v>
      </c>
      <c r="F29" s="14">
        <v>105.21</v>
      </c>
      <c r="G29" s="8">
        <f t="shared" si="0"/>
        <v>11944.4913</v>
      </c>
      <c r="H29" s="62">
        <v>15</v>
      </c>
      <c r="I29" s="63">
        <v>117.58</v>
      </c>
      <c r="J29" s="8">
        <f t="shared" si="2"/>
        <v>1763.7</v>
      </c>
      <c r="K29" s="8">
        <f t="shared" si="3"/>
        <v>13708.1913</v>
      </c>
      <c r="L29" s="65"/>
      <c r="M29" s="65">
        <f t="shared" si="1"/>
        <v>164276.98190000004</v>
      </c>
      <c r="N29" s="186"/>
      <c r="O29" s="66"/>
    </row>
    <row r="30" spans="1:15">
      <c r="A30" s="214"/>
      <c r="B30" s="212">
        <v>46261</v>
      </c>
      <c r="C30" s="64"/>
      <c r="D30" s="309"/>
      <c r="E30" s="14"/>
      <c r="F30" s="14"/>
      <c r="G30" s="8">
        <f t="shared" si="0"/>
        <v>0</v>
      </c>
      <c r="H30" s="62">
        <v>5</v>
      </c>
      <c r="I30" s="63">
        <v>117.58</v>
      </c>
      <c r="J30" s="8">
        <f t="shared" si="2"/>
        <v>587.9</v>
      </c>
      <c r="K30" s="8">
        <f t="shared" si="3"/>
        <v>587.9</v>
      </c>
      <c r="L30" s="65"/>
      <c r="M30" s="65">
        <f t="shared" si="1"/>
        <v>164864.88190000004</v>
      </c>
      <c r="N30" s="186"/>
      <c r="O30" s="66"/>
    </row>
    <row r="31" spans="1:15">
      <c r="A31" s="214">
        <v>26</v>
      </c>
      <c r="B31" s="212">
        <v>46262</v>
      </c>
      <c r="C31" s="64"/>
      <c r="D31" s="152"/>
      <c r="E31" s="14">
        <v>167.92</v>
      </c>
      <c r="F31" s="14">
        <v>105.21</v>
      </c>
      <c r="G31" s="16">
        <f t="shared" si="0"/>
        <v>17666.863199999996</v>
      </c>
      <c r="H31" s="62">
        <v>10</v>
      </c>
      <c r="I31" s="63">
        <v>117.58</v>
      </c>
      <c r="J31" s="16">
        <f t="shared" si="2"/>
        <v>1175.8</v>
      </c>
      <c r="K31" s="16">
        <f t="shared" si="3"/>
        <v>18842.663199999995</v>
      </c>
      <c r="L31" s="65">
        <v>164864</v>
      </c>
      <c r="M31" s="65">
        <f t="shared" si="1"/>
        <v>18843.545100000047</v>
      </c>
      <c r="N31" s="8"/>
      <c r="O31" s="66"/>
    </row>
    <row r="32" spans="1:15">
      <c r="A32" s="214">
        <v>27</v>
      </c>
      <c r="B32" s="212">
        <v>46263</v>
      </c>
      <c r="C32" s="64"/>
      <c r="D32" s="152"/>
      <c r="E32" s="14">
        <v>240</v>
      </c>
      <c r="F32" s="14">
        <v>105.21</v>
      </c>
      <c r="G32" s="8">
        <f t="shared" si="0"/>
        <v>25250.399999999998</v>
      </c>
      <c r="H32" s="62"/>
      <c r="I32" s="63"/>
      <c r="J32" s="8">
        <f t="shared" si="2"/>
        <v>0</v>
      </c>
      <c r="K32" s="8">
        <f t="shared" si="3"/>
        <v>25250.399999999998</v>
      </c>
      <c r="L32" s="65"/>
      <c r="M32" s="65">
        <f t="shared" si="1"/>
        <v>44093.945100000041</v>
      </c>
      <c r="N32" s="8"/>
      <c r="O32" s="66"/>
    </row>
    <row r="33" spans="1:15">
      <c r="A33" s="214">
        <v>28</v>
      </c>
      <c r="B33" s="212">
        <v>46264</v>
      </c>
      <c r="C33" s="64"/>
      <c r="D33" s="152"/>
      <c r="E33" s="152">
        <v>343.48</v>
      </c>
      <c r="F33" s="14">
        <v>105.21</v>
      </c>
      <c r="G33" s="8">
        <f t="shared" si="0"/>
        <v>36137.5308</v>
      </c>
      <c r="H33" s="62">
        <v>10</v>
      </c>
      <c r="I33" s="63">
        <v>117.58</v>
      </c>
      <c r="J33" s="8">
        <f t="shared" si="2"/>
        <v>1175.8</v>
      </c>
      <c r="K33" s="8">
        <f t="shared" si="3"/>
        <v>37313.330800000003</v>
      </c>
      <c r="L33" s="65"/>
      <c r="M33" s="65">
        <f t="shared" si="1"/>
        <v>81407.275900000037</v>
      </c>
      <c r="N33" s="8"/>
      <c r="O33" s="66"/>
    </row>
    <row r="34" spans="1:15">
      <c r="A34" s="215">
        <v>29</v>
      </c>
      <c r="B34" s="212">
        <v>46265</v>
      </c>
      <c r="C34" s="64"/>
      <c r="D34" s="152"/>
      <c r="E34" s="14">
        <v>408.2</v>
      </c>
      <c r="F34" s="14">
        <v>105.21</v>
      </c>
      <c r="G34" s="8">
        <f t="shared" si="0"/>
        <v>42946.721999999994</v>
      </c>
      <c r="H34" s="62"/>
      <c r="I34" s="63"/>
      <c r="J34" s="8">
        <f t="shared" si="2"/>
        <v>0</v>
      </c>
      <c r="K34" s="8">
        <f t="shared" si="3"/>
        <v>42946.721999999994</v>
      </c>
      <c r="L34" s="65"/>
      <c r="M34" s="65">
        <f t="shared" si="1"/>
        <v>124353.99790000003</v>
      </c>
      <c r="N34" s="8"/>
      <c r="O34" s="66"/>
    </row>
    <row r="35" spans="1:15">
      <c r="A35" s="215">
        <v>30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/>
      <c r="M35" s="65">
        <f t="shared" si="1"/>
        <v>124353.99790000003</v>
      </c>
      <c r="N35" s="8"/>
      <c r="O35" s="66"/>
    </row>
    <row r="36" spans="1:15">
      <c r="A36" s="215">
        <v>31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/>
      <c r="M36" s="65">
        <f t="shared" si="1"/>
        <v>124353.99790000003</v>
      </c>
      <c r="N36" s="8"/>
      <c r="O36" s="66"/>
    </row>
    <row r="37" spans="1:15">
      <c r="A37" s="59"/>
      <c r="B37" s="59"/>
      <c r="C37" s="59"/>
      <c r="D37" s="59"/>
      <c r="E37" s="250">
        <f>SUM(E4:E36)</f>
        <v>5592.86</v>
      </c>
      <c r="F37" s="250"/>
      <c r="G37" s="60">
        <f>SUM(G4:G36)</f>
        <v>588424.80059999984</v>
      </c>
      <c r="H37" s="60">
        <f>SUM(H4:H36)</f>
        <v>188</v>
      </c>
      <c r="I37" s="60"/>
      <c r="J37" s="60">
        <f>SUM(J4:J36)</f>
        <v>22105.040000000001</v>
      </c>
      <c r="K37" s="60">
        <f>SUM(K4:K36)</f>
        <v>610529.8406</v>
      </c>
      <c r="L37" s="60">
        <f>SUM(L4:L36)</f>
        <v>578525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AD2-7836-4B7B-A3FA-065AF83176ED}">
  <sheetPr>
    <tabColor theme="7" tint="0.39997558519241921"/>
  </sheetPr>
  <dimension ref="A1:R46"/>
  <sheetViews>
    <sheetView topLeftCell="A14" workbookViewId="0">
      <selection activeCell="M35" sqref="M35"/>
    </sheetView>
  </sheetViews>
  <sheetFormatPr defaultRowHeight="15"/>
  <cols>
    <col min="4" max="4" width="12.7109375" customWidth="1"/>
    <col min="7" max="7" width="14.42578125" customWidth="1"/>
    <col min="11" max="11" width="13.5703125" bestFit="1" customWidth="1"/>
    <col min="12" max="12" width="20" customWidth="1"/>
    <col min="13" max="13" width="11.5703125" bestFit="1" customWidth="1"/>
  </cols>
  <sheetData>
    <row r="1" spans="1:18" ht="15.75">
      <c r="A1" s="567" t="s">
        <v>228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19106.599999999999</v>
      </c>
      <c r="N3" s="149"/>
      <c r="O3" s="56"/>
    </row>
    <row r="4" spans="1:18">
      <c r="A4" s="189">
        <v>1</v>
      </c>
      <c r="B4" s="212">
        <v>46235</v>
      </c>
      <c r="C4" s="64"/>
      <c r="D4" s="152"/>
      <c r="E4" s="249">
        <v>30</v>
      </c>
      <c r="F4" s="249">
        <v>105.46</v>
      </c>
      <c r="G4" s="8">
        <f t="shared" ref="G4:G36" si="0">E4*F4</f>
        <v>3163.7999999999997</v>
      </c>
      <c r="H4" s="62">
        <v>5</v>
      </c>
      <c r="I4" s="63">
        <v>117.84</v>
      </c>
      <c r="J4" s="8">
        <f>H4*I4</f>
        <v>589.20000000000005</v>
      </c>
      <c r="K4" s="8">
        <f>G4+J4</f>
        <v>3753</v>
      </c>
      <c r="L4" s="65">
        <v>0</v>
      </c>
      <c r="M4" s="65">
        <f>M3+K4-L4</f>
        <v>22859.599999999999</v>
      </c>
      <c r="N4" s="149"/>
    </row>
    <row r="5" spans="1:18">
      <c r="A5" s="189">
        <v>2</v>
      </c>
      <c r="B5" s="212">
        <v>46236</v>
      </c>
      <c r="C5" s="64"/>
      <c r="D5" s="73"/>
      <c r="E5" s="249">
        <v>20</v>
      </c>
      <c r="F5" s="249">
        <v>105.46</v>
      </c>
      <c r="G5" s="8">
        <f t="shared" si="0"/>
        <v>2109.1999999999998</v>
      </c>
      <c r="H5" s="62"/>
      <c r="I5" s="63"/>
      <c r="J5" s="8">
        <f>H5*I5</f>
        <v>0</v>
      </c>
      <c r="K5" s="8">
        <f>G5+J5</f>
        <v>2109.1999999999998</v>
      </c>
      <c r="L5" s="65">
        <v>0</v>
      </c>
      <c r="M5" s="65">
        <f t="shared" ref="M5:M36" si="1">M4+K5-L5</f>
        <v>24968.799999999999</v>
      </c>
      <c r="N5" s="149"/>
    </row>
    <row r="6" spans="1:18">
      <c r="A6" s="43">
        <v>3</v>
      </c>
      <c r="B6" s="212">
        <v>46237</v>
      </c>
      <c r="C6" s="64"/>
      <c r="E6" s="249"/>
      <c r="F6" s="249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>
        <v>0</v>
      </c>
      <c r="M6" s="65">
        <f t="shared" si="1"/>
        <v>24968.799999999999</v>
      </c>
      <c r="N6" s="149"/>
    </row>
    <row r="7" spans="1:18">
      <c r="A7" s="189">
        <v>4</v>
      </c>
      <c r="B7" s="212">
        <v>46238</v>
      </c>
      <c r="C7" s="64"/>
      <c r="D7" s="152"/>
      <c r="E7" s="249"/>
      <c r="F7" s="249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>
        <f t="shared" ref="L6:L36" si="4">+K7</f>
        <v>0</v>
      </c>
      <c r="M7" s="65">
        <f t="shared" si="1"/>
        <v>24968.799999999999</v>
      </c>
      <c r="N7" s="149"/>
    </row>
    <row r="8" spans="1:18">
      <c r="A8" s="189">
        <v>5</v>
      </c>
      <c r="B8" s="212">
        <v>46239</v>
      </c>
      <c r="C8" s="64"/>
      <c r="D8" s="152"/>
      <c r="E8" s="249">
        <v>40</v>
      </c>
      <c r="F8" s="249">
        <v>105.46</v>
      </c>
      <c r="G8" s="8">
        <f t="shared" si="0"/>
        <v>4218.3999999999996</v>
      </c>
      <c r="H8" s="62"/>
      <c r="I8" s="63"/>
      <c r="J8" s="8">
        <f t="shared" si="2"/>
        <v>0</v>
      </c>
      <c r="K8" s="8">
        <f t="shared" si="3"/>
        <v>4218.3999999999996</v>
      </c>
      <c r="L8" s="65">
        <v>24000</v>
      </c>
      <c r="M8" s="65">
        <f t="shared" si="1"/>
        <v>5187.1999999999971</v>
      </c>
      <c r="N8" s="149"/>
    </row>
    <row r="9" spans="1:18">
      <c r="A9" s="43">
        <v>6</v>
      </c>
      <c r="B9" s="212">
        <v>46240</v>
      </c>
      <c r="C9" s="64"/>
      <c r="D9" s="152"/>
      <c r="E9" s="249"/>
      <c r="F9" s="249"/>
      <c r="G9" s="8">
        <f t="shared" si="0"/>
        <v>0</v>
      </c>
      <c r="H9" s="62">
        <v>5</v>
      </c>
      <c r="I9" s="63">
        <v>117.84</v>
      </c>
      <c r="J9" s="8">
        <f t="shared" si="2"/>
        <v>589.20000000000005</v>
      </c>
      <c r="K9" s="8">
        <f t="shared" si="3"/>
        <v>589.20000000000005</v>
      </c>
      <c r="L9" s="65"/>
      <c r="M9" s="65">
        <f t="shared" si="1"/>
        <v>5776.3999999999969</v>
      </c>
      <c r="N9" s="149"/>
      <c r="O9" s="66"/>
      <c r="R9" s="218"/>
    </row>
    <row r="10" spans="1:18">
      <c r="A10" s="189">
        <v>7</v>
      </c>
      <c r="B10" s="212">
        <v>46241</v>
      </c>
      <c r="C10" s="64"/>
      <c r="D10" s="152"/>
      <c r="E10" s="249">
        <v>10</v>
      </c>
      <c r="F10" s="249">
        <v>105.46</v>
      </c>
      <c r="G10" s="8">
        <f t="shared" si="0"/>
        <v>1054.5999999999999</v>
      </c>
      <c r="H10" s="62"/>
      <c r="I10" s="63"/>
      <c r="J10" s="8">
        <f t="shared" si="2"/>
        <v>0</v>
      </c>
      <c r="K10" s="8">
        <f t="shared" si="3"/>
        <v>1054.5999999999999</v>
      </c>
      <c r="L10" s="65"/>
      <c r="M10" s="65">
        <f t="shared" si="1"/>
        <v>6830.9999999999964</v>
      </c>
      <c r="N10" s="149"/>
      <c r="O10" s="66"/>
    </row>
    <row r="11" spans="1:18">
      <c r="A11" s="189">
        <v>8</v>
      </c>
      <c r="B11" s="212">
        <v>46242</v>
      </c>
      <c r="C11" s="64"/>
      <c r="D11" s="152"/>
      <c r="E11" s="249"/>
      <c r="F11" s="249"/>
      <c r="G11" s="8">
        <f t="shared" si="0"/>
        <v>0</v>
      </c>
      <c r="H11" s="62"/>
      <c r="I11" s="63"/>
      <c r="J11" s="8">
        <f t="shared" si="2"/>
        <v>0</v>
      </c>
      <c r="K11" s="8">
        <f t="shared" si="3"/>
        <v>0</v>
      </c>
      <c r="L11" s="65">
        <f t="shared" si="4"/>
        <v>0</v>
      </c>
      <c r="M11" s="65">
        <f t="shared" si="1"/>
        <v>6830.9999999999964</v>
      </c>
      <c r="N11" s="149"/>
      <c r="O11" s="66"/>
    </row>
    <row r="12" spans="1:18">
      <c r="A12" s="43">
        <v>9</v>
      </c>
      <c r="B12" s="212">
        <v>46243</v>
      </c>
      <c r="C12" s="64"/>
      <c r="D12" s="152"/>
      <c r="E12" s="249">
        <v>30</v>
      </c>
      <c r="F12" s="249">
        <v>105.46</v>
      </c>
      <c r="G12" s="8">
        <f t="shared" si="0"/>
        <v>3163.7999999999997</v>
      </c>
      <c r="H12" s="62"/>
      <c r="I12" s="63"/>
      <c r="J12" s="8">
        <f t="shared" si="2"/>
        <v>0</v>
      </c>
      <c r="K12" s="8">
        <f t="shared" si="3"/>
        <v>3163.7999999999997</v>
      </c>
      <c r="L12" s="65">
        <v>0</v>
      </c>
      <c r="M12" s="65">
        <f t="shared" si="1"/>
        <v>9994.7999999999956</v>
      </c>
      <c r="N12" s="149"/>
      <c r="O12" s="66"/>
    </row>
    <row r="13" spans="1:18">
      <c r="A13" s="189">
        <v>10</v>
      </c>
      <c r="B13" s="212">
        <v>46244</v>
      </c>
      <c r="C13" s="64"/>
      <c r="D13" s="152"/>
      <c r="E13" s="249"/>
      <c r="F13" s="249"/>
      <c r="G13" s="8">
        <f t="shared" si="0"/>
        <v>0</v>
      </c>
      <c r="H13" s="62"/>
      <c r="I13" s="63"/>
      <c r="J13" s="8">
        <f t="shared" si="2"/>
        <v>0</v>
      </c>
      <c r="K13" s="8">
        <f t="shared" si="3"/>
        <v>0</v>
      </c>
      <c r="L13" s="65"/>
      <c r="M13" s="65">
        <f t="shared" si="1"/>
        <v>9994.7999999999956</v>
      </c>
      <c r="N13" s="149"/>
      <c r="O13" s="66"/>
    </row>
    <row r="14" spans="1:18">
      <c r="A14" s="189">
        <v>11</v>
      </c>
      <c r="B14" s="212">
        <v>46245</v>
      </c>
      <c r="C14" s="64"/>
      <c r="D14" s="152"/>
      <c r="E14" s="249"/>
      <c r="F14" s="249"/>
      <c r="G14" s="8">
        <f t="shared" si="0"/>
        <v>0</v>
      </c>
      <c r="H14" s="62">
        <v>5</v>
      </c>
      <c r="I14" s="63">
        <v>117.84</v>
      </c>
      <c r="J14" s="8">
        <f t="shared" si="2"/>
        <v>589.20000000000005</v>
      </c>
      <c r="K14" s="8">
        <f t="shared" si="3"/>
        <v>589.20000000000005</v>
      </c>
      <c r="L14" s="65"/>
      <c r="M14" s="65">
        <f t="shared" si="1"/>
        <v>10583.999999999996</v>
      </c>
      <c r="N14" s="149"/>
      <c r="O14" s="66"/>
    </row>
    <row r="15" spans="1:18">
      <c r="A15" s="43">
        <v>12</v>
      </c>
      <c r="B15" s="212">
        <v>46246</v>
      </c>
      <c r="C15" s="64"/>
      <c r="D15" s="152"/>
      <c r="E15" s="249">
        <v>140</v>
      </c>
      <c r="F15" s="249">
        <v>105.46</v>
      </c>
      <c r="G15" s="8">
        <f t="shared" si="0"/>
        <v>14764.4</v>
      </c>
      <c r="H15" s="62"/>
      <c r="I15" s="63"/>
      <c r="J15" s="8">
        <f t="shared" si="2"/>
        <v>0</v>
      </c>
      <c r="K15" s="8">
        <f>G15+J15</f>
        <v>14764.4</v>
      </c>
      <c r="L15" s="65"/>
      <c r="M15" s="65">
        <f t="shared" si="1"/>
        <v>25348.399999999994</v>
      </c>
      <c r="N15" s="149"/>
      <c r="O15" s="66"/>
    </row>
    <row r="16" spans="1:18">
      <c r="A16" s="189">
        <v>13</v>
      </c>
      <c r="B16" s="212">
        <v>46247</v>
      </c>
      <c r="C16" s="64"/>
      <c r="D16" s="152"/>
      <c r="E16" s="249"/>
      <c r="F16" s="249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65">
        <f t="shared" si="4"/>
        <v>0</v>
      </c>
      <c r="M16" s="65">
        <f t="shared" si="1"/>
        <v>25348.399999999994</v>
      </c>
      <c r="N16" s="8"/>
      <c r="O16" s="66"/>
    </row>
    <row r="17" spans="1:15">
      <c r="A17" s="189">
        <v>14</v>
      </c>
      <c r="B17" s="212">
        <v>46248</v>
      </c>
      <c r="C17" s="64"/>
      <c r="D17" s="152"/>
      <c r="E17" s="249">
        <v>47.7</v>
      </c>
      <c r="F17" s="249">
        <v>105.46</v>
      </c>
      <c r="G17" s="8">
        <f t="shared" si="0"/>
        <v>5030.442</v>
      </c>
      <c r="H17" s="62"/>
      <c r="I17" s="63"/>
      <c r="J17" s="8">
        <f t="shared" si="2"/>
        <v>0</v>
      </c>
      <c r="K17" s="8">
        <f t="shared" si="3"/>
        <v>5030.442</v>
      </c>
      <c r="L17" s="65"/>
      <c r="M17" s="65">
        <f t="shared" si="1"/>
        <v>30378.841999999993</v>
      </c>
      <c r="N17" s="8"/>
      <c r="O17" s="66"/>
    </row>
    <row r="18" spans="1:15">
      <c r="A18" s="43">
        <v>15</v>
      </c>
      <c r="B18" s="212">
        <v>46249</v>
      </c>
      <c r="C18" s="64"/>
      <c r="D18" s="152"/>
      <c r="E18" s="249"/>
      <c r="F18" s="249"/>
      <c r="G18" s="8">
        <f t="shared" si="0"/>
        <v>0</v>
      </c>
      <c r="H18" s="62"/>
      <c r="I18" s="63"/>
      <c r="J18" s="8">
        <f t="shared" si="2"/>
        <v>0</v>
      </c>
      <c r="K18" s="8">
        <f t="shared" si="3"/>
        <v>0</v>
      </c>
      <c r="L18" s="65"/>
      <c r="M18" s="65">
        <f t="shared" si="1"/>
        <v>30378.841999999993</v>
      </c>
      <c r="N18" s="8"/>
      <c r="O18" s="66"/>
    </row>
    <row r="19" spans="1:15">
      <c r="A19" s="189">
        <v>16</v>
      </c>
      <c r="B19" s="212">
        <v>46250</v>
      </c>
      <c r="C19" s="64"/>
      <c r="D19" s="152"/>
      <c r="E19" s="310">
        <v>45</v>
      </c>
      <c r="F19" s="310">
        <v>105.46</v>
      </c>
      <c r="G19" s="175">
        <f t="shared" si="0"/>
        <v>4745.7</v>
      </c>
      <c r="H19" s="62">
        <v>5</v>
      </c>
      <c r="I19" s="63">
        <v>117.84</v>
      </c>
      <c r="J19" s="175">
        <f t="shared" si="2"/>
        <v>589.20000000000005</v>
      </c>
      <c r="K19" s="175">
        <f t="shared" si="3"/>
        <v>5334.9</v>
      </c>
      <c r="L19" s="311"/>
      <c r="M19" s="65">
        <f t="shared" si="1"/>
        <v>35713.741999999991</v>
      </c>
      <c r="N19" s="8"/>
      <c r="O19" s="66"/>
    </row>
    <row r="20" spans="1:15">
      <c r="A20" s="189">
        <v>17</v>
      </c>
      <c r="B20" s="212">
        <v>46251</v>
      </c>
      <c r="C20" s="64"/>
      <c r="D20" s="309"/>
      <c r="E20" s="249">
        <v>60</v>
      </c>
      <c r="F20" s="310">
        <v>105.46</v>
      </c>
      <c r="G20" s="8">
        <f t="shared" si="0"/>
        <v>6327.5999999999995</v>
      </c>
      <c r="H20" s="62"/>
      <c r="I20" s="63"/>
      <c r="J20" s="8">
        <f t="shared" si="2"/>
        <v>0</v>
      </c>
      <c r="K20" s="8">
        <f t="shared" si="3"/>
        <v>6327.5999999999995</v>
      </c>
      <c r="L20" s="65"/>
      <c r="M20" s="65">
        <f t="shared" si="1"/>
        <v>42041.34199999999</v>
      </c>
      <c r="N20" s="186"/>
      <c r="O20" s="66"/>
    </row>
    <row r="21" spans="1:15">
      <c r="A21" s="43">
        <v>18</v>
      </c>
      <c r="B21" s="212">
        <v>46252</v>
      </c>
      <c r="C21" s="64"/>
      <c r="D21" s="309"/>
      <c r="E21" s="249">
        <v>100</v>
      </c>
      <c r="F21" s="249">
        <v>105.46</v>
      </c>
      <c r="G21" s="8">
        <f t="shared" si="0"/>
        <v>10546</v>
      </c>
      <c r="H21" s="62"/>
      <c r="I21" s="63"/>
      <c r="J21" s="8">
        <f t="shared" si="2"/>
        <v>0</v>
      </c>
      <c r="K21" s="8">
        <f t="shared" si="3"/>
        <v>10546</v>
      </c>
      <c r="L21" s="65"/>
      <c r="M21" s="65">
        <f t="shared" si="1"/>
        <v>52587.34199999999</v>
      </c>
      <c r="N21" s="186"/>
      <c r="O21" s="66"/>
    </row>
    <row r="22" spans="1:15">
      <c r="A22" s="189">
        <v>19</v>
      </c>
      <c r="B22" s="212">
        <v>46253</v>
      </c>
      <c r="C22" s="64"/>
      <c r="D22" s="309"/>
      <c r="E22" s="14"/>
      <c r="F22" s="14"/>
      <c r="G22" s="8">
        <f t="shared" si="0"/>
        <v>0</v>
      </c>
      <c r="H22" s="62"/>
      <c r="I22" s="63"/>
      <c r="J22" s="8">
        <f t="shared" si="2"/>
        <v>0</v>
      </c>
      <c r="K22" s="8">
        <f t="shared" si="3"/>
        <v>0</v>
      </c>
      <c r="L22" s="65"/>
      <c r="M22" s="65">
        <f t="shared" si="1"/>
        <v>52587.34199999999</v>
      </c>
      <c r="N22" s="186"/>
      <c r="O22" s="66"/>
    </row>
    <row r="23" spans="1:15">
      <c r="A23" s="189">
        <v>20</v>
      </c>
      <c r="B23" s="212">
        <v>46254</v>
      </c>
      <c r="C23" s="64"/>
      <c r="D23" s="309"/>
      <c r="E23" s="14">
        <v>40</v>
      </c>
      <c r="F23" s="14">
        <v>105.46</v>
      </c>
      <c r="G23" s="8">
        <f t="shared" si="0"/>
        <v>4218.3999999999996</v>
      </c>
      <c r="H23" s="62">
        <v>5</v>
      </c>
      <c r="I23" s="63">
        <v>117.84</v>
      </c>
      <c r="J23" s="8">
        <f t="shared" si="2"/>
        <v>589.20000000000005</v>
      </c>
      <c r="K23" s="8">
        <f t="shared" si="3"/>
        <v>4807.5999999999995</v>
      </c>
      <c r="L23" s="65"/>
      <c r="M23" s="65">
        <f t="shared" si="1"/>
        <v>57394.941999999988</v>
      </c>
      <c r="N23" s="186"/>
      <c r="O23" s="66"/>
    </row>
    <row r="24" spans="1:15">
      <c r="A24" s="43">
        <v>21</v>
      </c>
      <c r="B24" s="212">
        <v>46255</v>
      </c>
      <c r="C24" s="64"/>
      <c r="D24" s="309"/>
      <c r="E24" s="14"/>
      <c r="F24" s="14"/>
      <c r="G24" s="8">
        <f t="shared" si="0"/>
        <v>0</v>
      </c>
      <c r="H24" s="62"/>
      <c r="I24" s="63"/>
      <c r="J24" s="8">
        <f t="shared" si="2"/>
        <v>0</v>
      </c>
      <c r="K24" s="8">
        <f t="shared" si="3"/>
        <v>0</v>
      </c>
      <c r="L24" s="65">
        <v>0</v>
      </c>
      <c r="M24" s="65">
        <f t="shared" si="1"/>
        <v>57394.941999999988</v>
      </c>
      <c r="N24" s="186"/>
      <c r="O24" s="66"/>
    </row>
    <row r="25" spans="1:15">
      <c r="A25" s="189">
        <v>22</v>
      </c>
      <c r="B25" s="212">
        <v>46256</v>
      </c>
      <c r="C25" s="64"/>
      <c r="D25" s="309"/>
      <c r="E25" s="14">
        <v>60</v>
      </c>
      <c r="F25" s="14">
        <v>105.46</v>
      </c>
      <c r="G25" s="8">
        <f t="shared" si="0"/>
        <v>6327.5999999999995</v>
      </c>
      <c r="H25" s="62"/>
      <c r="I25" s="63"/>
      <c r="J25" s="8">
        <f t="shared" si="2"/>
        <v>0</v>
      </c>
      <c r="K25" s="8">
        <f t="shared" si="3"/>
        <v>6327.5999999999995</v>
      </c>
      <c r="L25" s="65">
        <v>0</v>
      </c>
      <c r="M25" s="65">
        <f t="shared" si="1"/>
        <v>63722.541999999987</v>
      </c>
      <c r="N25" s="186"/>
      <c r="O25" s="66"/>
    </row>
    <row r="26" spans="1:15">
      <c r="A26" s="189">
        <v>23</v>
      </c>
      <c r="B26" s="212">
        <v>46257</v>
      </c>
      <c r="C26" s="64"/>
      <c r="D26" s="309"/>
      <c r="E26" s="14"/>
      <c r="F26" s="14"/>
      <c r="G26" s="8">
        <f t="shared" si="0"/>
        <v>0</v>
      </c>
      <c r="H26" s="62"/>
      <c r="I26" s="63"/>
      <c r="J26" s="8">
        <f t="shared" si="2"/>
        <v>0</v>
      </c>
      <c r="K26" s="8">
        <f t="shared" si="3"/>
        <v>0</v>
      </c>
      <c r="L26" s="65">
        <v>0</v>
      </c>
      <c r="M26" s="65">
        <f t="shared" si="1"/>
        <v>63722.541999999987</v>
      </c>
      <c r="N26" s="186"/>
      <c r="O26" s="66"/>
    </row>
    <row r="27" spans="1:15">
      <c r="A27" s="43">
        <v>24</v>
      </c>
      <c r="B27" s="212">
        <v>46258</v>
      </c>
      <c r="C27" s="64"/>
      <c r="D27" s="309"/>
      <c r="E27" s="14">
        <v>30</v>
      </c>
      <c r="F27" s="14">
        <v>105.46</v>
      </c>
      <c r="G27" s="8">
        <f t="shared" si="0"/>
        <v>3163.7999999999997</v>
      </c>
      <c r="H27" s="62"/>
      <c r="I27" s="63"/>
      <c r="J27" s="8">
        <f t="shared" si="2"/>
        <v>0</v>
      </c>
      <c r="K27" s="8">
        <f t="shared" si="3"/>
        <v>3163.7999999999997</v>
      </c>
      <c r="L27" s="65">
        <v>0</v>
      </c>
      <c r="M27" s="65">
        <f t="shared" si="1"/>
        <v>66886.34199999999</v>
      </c>
      <c r="N27" s="186"/>
      <c r="O27" s="66"/>
    </row>
    <row r="28" spans="1:15">
      <c r="A28" s="189">
        <v>25</v>
      </c>
      <c r="B28" s="212">
        <v>46259</v>
      </c>
      <c r="C28" s="64"/>
      <c r="D28" s="309"/>
      <c r="E28" s="14">
        <v>30</v>
      </c>
      <c r="F28" s="14">
        <v>105.46</v>
      </c>
      <c r="G28" s="8">
        <f t="shared" si="0"/>
        <v>3163.7999999999997</v>
      </c>
      <c r="H28" s="62"/>
      <c r="I28" s="63"/>
      <c r="J28" s="8">
        <f t="shared" si="2"/>
        <v>0</v>
      </c>
      <c r="K28" s="8">
        <f t="shared" si="3"/>
        <v>3163.7999999999997</v>
      </c>
      <c r="L28" s="65">
        <v>0</v>
      </c>
      <c r="M28" s="65">
        <f t="shared" si="1"/>
        <v>70050.141999999993</v>
      </c>
      <c r="N28" s="186"/>
      <c r="O28" s="66"/>
    </row>
    <row r="29" spans="1:15">
      <c r="A29" s="189">
        <v>26</v>
      </c>
      <c r="B29" s="212">
        <v>46260</v>
      </c>
      <c r="C29" s="64"/>
      <c r="D29" s="309"/>
      <c r="E29" s="14">
        <v>196.46</v>
      </c>
      <c r="F29" s="14">
        <v>105.46</v>
      </c>
      <c r="G29" s="8">
        <f t="shared" si="0"/>
        <v>20718.671599999998</v>
      </c>
      <c r="H29" s="62">
        <v>5</v>
      </c>
      <c r="I29" s="63">
        <v>117.84</v>
      </c>
      <c r="J29" s="8">
        <f t="shared" si="2"/>
        <v>589.20000000000005</v>
      </c>
      <c r="K29" s="8">
        <f t="shared" si="3"/>
        <v>21307.871599999999</v>
      </c>
      <c r="L29" s="65">
        <v>0</v>
      </c>
      <c r="M29" s="65">
        <f t="shared" si="1"/>
        <v>91358.013599999991</v>
      </c>
      <c r="N29" s="186"/>
      <c r="O29" s="66"/>
    </row>
    <row r="30" spans="1:15">
      <c r="A30" s="43">
        <v>27</v>
      </c>
      <c r="B30" s="212">
        <v>46261</v>
      </c>
      <c r="C30" s="64"/>
      <c r="D30" s="309"/>
      <c r="E30" s="14"/>
      <c r="F30" s="14"/>
      <c r="G30" s="16"/>
      <c r="H30" s="62"/>
      <c r="I30" s="63"/>
      <c r="J30" s="8">
        <f t="shared" si="2"/>
        <v>0</v>
      </c>
      <c r="K30" s="8">
        <f t="shared" si="3"/>
        <v>0</v>
      </c>
      <c r="L30" s="65">
        <v>0</v>
      </c>
      <c r="M30" s="65">
        <f t="shared" si="1"/>
        <v>91358.013599999991</v>
      </c>
      <c r="N30" s="186"/>
      <c r="O30" s="66"/>
    </row>
    <row r="31" spans="1:15">
      <c r="A31" s="189">
        <v>28</v>
      </c>
      <c r="B31" s="212">
        <v>46262</v>
      </c>
      <c r="C31" s="64"/>
      <c r="D31" s="152"/>
      <c r="E31" s="14">
        <v>40</v>
      </c>
      <c r="F31" s="14">
        <v>105.46</v>
      </c>
      <c r="G31" s="16">
        <f t="shared" si="0"/>
        <v>4218.3999999999996</v>
      </c>
      <c r="H31" s="62"/>
      <c r="I31" s="63"/>
      <c r="J31" s="16">
        <f t="shared" si="2"/>
        <v>0</v>
      </c>
      <c r="K31" s="16">
        <f t="shared" si="3"/>
        <v>4218.3999999999996</v>
      </c>
      <c r="L31" s="126">
        <v>91358</v>
      </c>
      <c r="M31" s="65">
        <f t="shared" si="1"/>
        <v>4218.4135999999853</v>
      </c>
      <c r="N31" s="8"/>
      <c r="O31" s="66"/>
    </row>
    <row r="32" spans="1:15">
      <c r="A32" s="189">
        <v>29</v>
      </c>
      <c r="B32" s="212">
        <v>46263</v>
      </c>
      <c r="C32" s="64"/>
      <c r="D32" s="152"/>
      <c r="E32" s="14"/>
      <c r="F32" s="14"/>
      <c r="G32" s="8">
        <f t="shared" si="0"/>
        <v>0</v>
      </c>
      <c r="H32" s="62"/>
      <c r="I32" s="63"/>
      <c r="J32" s="8">
        <f t="shared" si="2"/>
        <v>0</v>
      </c>
      <c r="K32" s="8">
        <f t="shared" si="3"/>
        <v>0</v>
      </c>
      <c r="L32" s="65"/>
      <c r="M32" s="65">
        <f t="shared" si="1"/>
        <v>4218.4135999999853</v>
      </c>
      <c r="N32" s="8"/>
      <c r="O32" s="66"/>
    </row>
    <row r="33" spans="1:15">
      <c r="A33" s="43">
        <v>30</v>
      </c>
      <c r="B33" s="212">
        <v>46264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2"/>
        <v>0</v>
      </c>
      <c r="K33" s="8">
        <f t="shared" si="3"/>
        <v>0</v>
      </c>
      <c r="L33" s="65">
        <v>0</v>
      </c>
      <c r="M33" s="65">
        <f t="shared" si="1"/>
        <v>4218.4135999999853</v>
      </c>
      <c r="N33" s="8"/>
      <c r="O33" s="66"/>
    </row>
    <row r="34" spans="1:15">
      <c r="A34" s="189">
        <v>31</v>
      </c>
      <c r="B34" s="212">
        <v>46265</v>
      </c>
      <c r="C34" s="64"/>
      <c r="D34" s="152"/>
      <c r="E34" s="14">
        <v>35</v>
      </c>
      <c r="F34" s="14">
        <v>105.46</v>
      </c>
      <c r="G34" s="8">
        <f t="shared" si="0"/>
        <v>3691.1</v>
      </c>
      <c r="H34" s="62">
        <v>5</v>
      </c>
      <c r="I34" s="63">
        <v>117.84</v>
      </c>
      <c r="J34" s="8">
        <f t="shared" si="2"/>
        <v>589.20000000000005</v>
      </c>
      <c r="K34" s="8">
        <f t="shared" si="3"/>
        <v>4280.3</v>
      </c>
      <c r="L34" s="65">
        <v>0</v>
      </c>
      <c r="M34" s="65">
        <f t="shared" si="1"/>
        <v>8498.7135999999846</v>
      </c>
      <c r="N34" s="8"/>
      <c r="O34" s="66"/>
    </row>
    <row r="35" spans="1:15">
      <c r="A35" s="189">
        <v>32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>
        <f t="shared" si="4"/>
        <v>0</v>
      </c>
      <c r="M35" s="65">
        <f t="shared" si="1"/>
        <v>8498.7135999999846</v>
      </c>
      <c r="N35" s="8"/>
      <c r="O35" s="66"/>
    </row>
    <row r="36" spans="1:15">
      <c r="A36" s="43">
        <v>33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>
        <f t="shared" si="4"/>
        <v>0</v>
      </c>
      <c r="M36" s="65">
        <f t="shared" si="1"/>
        <v>8498.7135999999846</v>
      </c>
      <c r="N36" s="8"/>
      <c r="O36" s="66"/>
    </row>
    <row r="37" spans="1:15">
      <c r="A37" s="59"/>
      <c r="B37" s="59"/>
      <c r="C37" s="59"/>
      <c r="D37" s="59"/>
      <c r="E37" s="250">
        <f>SUM(E4:E36)</f>
        <v>954.16000000000008</v>
      </c>
      <c r="F37" s="250"/>
      <c r="G37" s="60">
        <f>SUM(G4:G36)</f>
        <v>100625.7136</v>
      </c>
      <c r="H37" s="60">
        <f>SUM(H4:H36)</f>
        <v>35</v>
      </c>
      <c r="I37" s="60"/>
      <c r="J37" s="60">
        <f>SUM(J4:J36)</f>
        <v>4124.3999999999996</v>
      </c>
      <c r="K37" s="60">
        <f>SUM(K4:K36)</f>
        <v>104750.1136</v>
      </c>
      <c r="L37" s="60">
        <f>SUM(L4:L36)</f>
        <v>115358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8046-1CAF-4759-A03B-C51E0353CEB0}">
  <sheetPr>
    <tabColor theme="7" tint="0.39997558519241921"/>
  </sheetPr>
  <dimension ref="A1:R46"/>
  <sheetViews>
    <sheetView tabSelected="1" topLeftCell="A19" workbookViewId="0">
      <selection activeCell="H34" sqref="H34"/>
    </sheetView>
  </sheetViews>
  <sheetFormatPr defaultRowHeight="15"/>
  <cols>
    <col min="4" max="4" width="9.28515625" customWidth="1"/>
    <col min="7" max="7" width="12.5703125" customWidth="1"/>
    <col min="10" max="10" width="16.85546875" customWidth="1"/>
    <col min="11" max="11" width="13.5703125" bestFit="1" customWidth="1"/>
    <col min="12" max="12" width="18" customWidth="1"/>
    <col min="13" max="13" width="20" customWidth="1"/>
  </cols>
  <sheetData>
    <row r="1" spans="1:18" ht="15.75">
      <c r="A1" s="567" t="s">
        <v>229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  <c r="O3" s="56"/>
    </row>
    <row r="4" spans="1:18">
      <c r="A4" s="189">
        <v>1</v>
      </c>
      <c r="B4" s="212">
        <v>46235</v>
      </c>
      <c r="C4" s="64"/>
      <c r="D4" s="152"/>
      <c r="E4" s="249"/>
      <c r="F4" s="249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v>0</v>
      </c>
      <c r="M4" s="65">
        <f>M3+K4-L4</f>
        <v>0</v>
      </c>
      <c r="N4" s="149"/>
    </row>
    <row r="5" spans="1:18">
      <c r="A5" s="189">
        <v>2</v>
      </c>
      <c r="B5" s="212">
        <v>46236</v>
      </c>
      <c r="C5" s="64"/>
      <c r="D5" s="73"/>
      <c r="E5" s="249"/>
      <c r="F5" s="249"/>
      <c r="G5" s="8">
        <f t="shared" si="0"/>
        <v>0</v>
      </c>
      <c r="H5" s="62"/>
      <c r="I5" s="63"/>
      <c r="J5" s="8">
        <f>H5*I5</f>
        <v>0</v>
      </c>
      <c r="K5" s="8">
        <f>G5+J5</f>
        <v>0</v>
      </c>
      <c r="L5" s="65"/>
      <c r="M5" s="65">
        <f t="shared" ref="M5:M36" si="1">M4+K5-L5</f>
        <v>0</v>
      </c>
      <c r="N5" s="149"/>
    </row>
    <row r="6" spans="1:18">
      <c r="A6" s="43">
        <v>3</v>
      </c>
      <c r="B6" s="212">
        <v>46237</v>
      </c>
      <c r="C6" s="64"/>
      <c r="E6" s="249"/>
      <c r="F6" s="249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/>
      <c r="M6" s="65">
        <f t="shared" si="1"/>
        <v>0</v>
      </c>
      <c r="N6" s="149"/>
    </row>
    <row r="7" spans="1:18">
      <c r="A7" s="189">
        <v>4</v>
      </c>
      <c r="B7" s="212">
        <v>46238</v>
      </c>
      <c r="C7" s="64"/>
      <c r="D7" s="152"/>
      <c r="E7" s="249"/>
      <c r="F7" s="249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/>
      <c r="M7" s="65">
        <f t="shared" si="1"/>
        <v>0</v>
      </c>
      <c r="N7" s="149"/>
    </row>
    <row r="8" spans="1:18">
      <c r="A8" s="189">
        <v>5</v>
      </c>
      <c r="B8" s="212">
        <v>46239</v>
      </c>
      <c r="C8" s="64"/>
      <c r="D8" s="152"/>
      <c r="E8" s="249">
        <v>230</v>
      </c>
      <c r="F8" s="249">
        <v>105.25</v>
      </c>
      <c r="G8" s="8">
        <f t="shared" si="0"/>
        <v>24207.5</v>
      </c>
      <c r="H8" s="531">
        <v>5</v>
      </c>
      <c r="I8" s="531">
        <v>117.58</v>
      </c>
      <c r="J8" s="8">
        <f t="shared" si="2"/>
        <v>587.9</v>
      </c>
      <c r="K8" s="8">
        <f t="shared" si="3"/>
        <v>24795.4</v>
      </c>
      <c r="L8" s="65"/>
      <c r="M8" s="65">
        <f t="shared" si="1"/>
        <v>24795.4</v>
      </c>
      <c r="N8" s="149"/>
    </row>
    <row r="9" spans="1:18">
      <c r="A9" s="43">
        <v>6</v>
      </c>
      <c r="B9" s="212">
        <v>46240</v>
      </c>
      <c r="C9" s="64"/>
      <c r="D9" s="152"/>
      <c r="E9" s="249">
        <v>452</v>
      </c>
      <c r="F9" s="249">
        <v>105.25</v>
      </c>
      <c r="G9" s="8">
        <f t="shared" si="0"/>
        <v>47573</v>
      </c>
      <c r="H9" s="532">
        <v>5</v>
      </c>
      <c r="I9" s="532">
        <v>117.58</v>
      </c>
      <c r="J9" s="8">
        <f t="shared" si="2"/>
        <v>587.9</v>
      </c>
      <c r="K9" s="8">
        <f t="shared" si="3"/>
        <v>48160.9</v>
      </c>
      <c r="L9" s="65"/>
      <c r="M9" s="65">
        <f t="shared" si="1"/>
        <v>72956.3</v>
      </c>
      <c r="N9" s="149"/>
      <c r="O9" s="66"/>
      <c r="R9" s="218"/>
    </row>
    <row r="10" spans="1:18">
      <c r="A10" s="189">
        <v>7</v>
      </c>
      <c r="B10" s="212">
        <v>46241</v>
      </c>
      <c r="C10" s="64"/>
      <c r="D10" s="152"/>
      <c r="E10" s="249"/>
      <c r="F10" s="249"/>
      <c r="G10" s="8">
        <f t="shared" si="0"/>
        <v>0</v>
      </c>
      <c r="H10" s="374">
        <v>5</v>
      </c>
      <c r="I10" s="155">
        <v>117.58</v>
      </c>
      <c r="J10" s="8">
        <f t="shared" si="2"/>
        <v>587.9</v>
      </c>
      <c r="K10" s="8">
        <f t="shared" si="3"/>
        <v>587.9</v>
      </c>
      <c r="L10" s="65"/>
      <c r="M10" s="65">
        <f t="shared" si="1"/>
        <v>73544.2</v>
      </c>
      <c r="N10" s="149"/>
      <c r="O10" s="66"/>
    </row>
    <row r="11" spans="1:18">
      <c r="A11" s="189">
        <v>8</v>
      </c>
      <c r="B11" s="212">
        <v>46242</v>
      </c>
      <c r="C11" s="64"/>
      <c r="D11" s="152"/>
      <c r="E11" s="249">
        <v>240</v>
      </c>
      <c r="F11" s="249">
        <v>105.28</v>
      </c>
      <c r="G11" s="8">
        <f t="shared" si="0"/>
        <v>25267.200000000001</v>
      </c>
      <c r="H11" s="374">
        <v>3</v>
      </c>
      <c r="I11" s="155">
        <v>117.58</v>
      </c>
      <c r="J11" s="8">
        <f t="shared" si="2"/>
        <v>352.74</v>
      </c>
      <c r="K11" s="8">
        <f t="shared" si="3"/>
        <v>25619.940000000002</v>
      </c>
      <c r="L11" s="65"/>
      <c r="M11" s="65">
        <f t="shared" si="1"/>
        <v>99164.14</v>
      </c>
      <c r="N11" s="149"/>
      <c r="O11" s="66"/>
    </row>
    <row r="12" spans="1:18">
      <c r="A12" s="43">
        <v>9</v>
      </c>
      <c r="B12" s="212">
        <v>46243</v>
      </c>
      <c r="C12" s="64"/>
      <c r="D12" s="152"/>
      <c r="E12" s="249">
        <v>230</v>
      </c>
      <c r="F12" s="249">
        <v>105.25</v>
      </c>
      <c r="G12" s="8">
        <f t="shared" si="0"/>
        <v>24207.5</v>
      </c>
      <c r="H12" s="374"/>
      <c r="I12" s="155"/>
      <c r="J12" s="8">
        <f t="shared" si="2"/>
        <v>0</v>
      </c>
      <c r="K12" s="8">
        <f t="shared" si="3"/>
        <v>24207.5</v>
      </c>
      <c r="L12" s="65"/>
      <c r="M12" s="65">
        <f t="shared" si="1"/>
        <v>123371.64</v>
      </c>
      <c r="N12" s="149"/>
      <c r="O12" s="66"/>
    </row>
    <row r="13" spans="1:18">
      <c r="A13" s="189">
        <v>10</v>
      </c>
      <c r="B13" s="212">
        <v>46244</v>
      </c>
      <c r="C13" s="64"/>
      <c r="D13" s="152"/>
      <c r="E13" s="249">
        <v>520</v>
      </c>
      <c r="F13" s="249">
        <v>105.25</v>
      </c>
      <c r="G13" s="8">
        <f t="shared" si="0"/>
        <v>54730</v>
      </c>
      <c r="H13" s="374">
        <v>5</v>
      </c>
      <c r="I13" s="155">
        <v>117.58</v>
      </c>
      <c r="J13" s="8">
        <f t="shared" si="2"/>
        <v>587.9</v>
      </c>
      <c r="K13" s="8">
        <f t="shared" si="3"/>
        <v>55317.9</v>
      </c>
      <c r="L13" s="65"/>
      <c r="M13" s="65">
        <f t="shared" si="1"/>
        <v>178689.54</v>
      </c>
      <c r="N13" s="149"/>
      <c r="O13" s="66"/>
    </row>
    <row r="14" spans="1:18">
      <c r="A14" s="189">
        <v>11</v>
      </c>
      <c r="B14" s="212">
        <v>46245</v>
      </c>
      <c r="C14" s="64"/>
      <c r="D14" s="152"/>
      <c r="E14" s="249">
        <v>165.05</v>
      </c>
      <c r="F14" s="249">
        <v>105.25</v>
      </c>
      <c r="G14" s="8">
        <f t="shared" si="0"/>
        <v>17371.512500000001</v>
      </c>
      <c r="H14" s="62">
        <v>10</v>
      </c>
      <c r="I14" s="155">
        <v>117.58</v>
      </c>
      <c r="J14" s="8">
        <f t="shared" si="2"/>
        <v>1175.8</v>
      </c>
      <c r="K14" s="8">
        <f t="shared" si="3"/>
        <v>18547.3125</v>
      </c>
      <c r="L14" s="65">
        <v>0</v>
      </c>
      <c r="M14" s="65">
        <f t="shared" si="1"/>
        <v>197236.85250000001</v>
      </c>
      <c r="N14" s="149"/>
      <c r="O14" s="66"/>
    </row>
    <row r="15" spans="1:18">
      <c r="A15" s="43">
        <v>12</v>
      </c>
      <c r="B15" s="212">
        <v>46246</v>
      </c>
      <c r="C15" s="64"/>
      <c r="D15" s="152"/>
      <c r="E15" s="249"/>
      <c r="F15" s="249"/>
      <c r="G15" s="8">
        <f t="shared" si="0"/>
        <v>0</v>
      </c>
      <c r="H15" s="62"/>
      <c r="I15" s="63"/>
      <c r="J15" s="8">
        <f t="shared" si="2"/>
        <v>0</v>
      </c>
      <c r="K15" s="8">
        <f>G15+J15</f>
        <v>0</v>
      </c>
      <c r="L15" s="65">
        <v>178689</v>
      </c>
      <c r="M15" s="65">
        <f t="shared" si="1"/>
        <v>18547.852500000008</v>
      </c>
      <c r="N15" s="149"/>
      <c r="O15" s="66"/>
    </row>
    <row r="16" spans="1:18">
      <c r="A16" s="189">
        <v>13</v>
      </c>
      <c r="B16" s="212">
        <v>46247</v>
      </c>
      <c r="C16" s="64"/>
      <c r="D16" s="152"/>
      <c r="E16" s="249">
        <v>775</v>
      </c>
      <c r="F16" s="249">
        <v>105.25</v>
      </c>
      <c r="G16" s="8">
        <f t="shared" si="0"/>
        <v>81568.75</v>
      </c>
      <c r="H16" s="62"/>
      <c r="I16" s="63"/>
      <c r="J16" s="8">
        <f t="shared" si="2"/>
        <v>0</v>
      </c>
      <c r="K16" s="8">
        <f t="shared" si="3"/>
        <v>81568.75</v>
      </c>
      <c r="L16" s="65">
        <v>18547</v>
      </c>
      <c r="M16" s="65">
        <f t="shared" si="1"/>
        <v>81569.602500000008</v>
      </c>
      <c r="N16" s="8"/>
      <c r="O16" s="66"/>
    </row>
    <row r="17" spans="1:15">
      <c r="A17" s="189">
        <v>14</v>
      </c>
      <c r="B17" s="212">
        <v>46248</v>
      </c>
      <c r="C17" s="64"/>
      <c r="D17" s="152"/>
      <c r="E17" s="249">
        <v>37.74</v>
      </c>
      <c r="F17" s="249">
        <v>105.25</v>
      </c>
      <c r="G17" s="8">
        <f t="shared" si="0"/>
        <v>3972.1350000000002</v>
      </c>
      <c r="H17" s="62">
        <v>5</v>
      </c>
      <c r="I17" s="63">
        <v>117.58</v>
      </c>
      <c r="J17" s="8">
        <f t="shared" si="2"/>
        <v>587.9</v>
      </c>
      <c r="K17" s="8">
        <f t="shared" si="3"/>
        <v>4560.0349999999999</v>
      </c>
      <c r="L17" s="65"/>
      <c r="M17" s="65">
        <f t="shared" si="1"/>
        <v>86129.637500000012</v>
      </c>
      <c r="N17" s="8"/>
      <c r="O17" s="66"/>
    </row>
    <row r="18" spans="1:15">
      <c r="A18" s="43">
        <v>15</v>
      </c>
      <c r="B18" s="212">
        <v>46249</v>
      </c>
      <c r="C18" s="64"/>
      <c r="D18" s="152"/>
      <c r="E18" s="249"/>
      <c r="F18" s="249"/>
      <c r="G18" s="8">
        <f t="shared" si="0"/>
        <v>0</v>
      </c>
      <c r="H18" s="62"/>
      <c r="I18" s="63"/>
      <c r="J18" s="8">
        <f t="shared" si="2"/>
        <v>0</v>
      </c>
      <c r="K18" s="8">
        <f t="shared" si="3"/>
        <v>0</v>
      </c>
      <c r="L18" s="65"/>
      <c r="M18" s="65">
        <f t="shared" si="1"/>
        <v>86129.637500000012</v>
      </c>
      <c r="N18" s="8"/>
      <c r="O18" s="66"/>
    </row>
    <row r="19" spans="1:15">
      <c r="A19" s="189">
        <v>16</v>
      </c>
      <c r="B19" s="212">
        <v>46250</v>
      </c>
      <c r="C19" s="64"/>
      <c r="D19" s="152"/>
      <c r="E19" s="310">
        <v>530</v>
      </c>
      <c r="F19" s="310">
        <v>105.25</v>
      </c>
      <c r="G19" s="175">
        <f t="shared" si="0"/>
        <v>55782.5</v>
      </c>
      <c r="H19" s="62">
        <v>5</v>
      </c>
      <c r="I19" s="63">
        <v>117.58</v>
      </c>
      <c r="J19" s="175">
        <f t="shared" si="2"/>
        <v>587.9</v>
      </c>
      <c r="K19" s="175">
        <f t="shared" si="3"/>
        <v>56370.400000000001</v>
      </c>
      <c r="L19" s="311"/>
      <c r="M19" s="65">
        <f t="shared" si="1"/>
        <v>142500.03750000001</v>
      </c>
      <c r="N19" s="8"/>
      <c r="O19" s="66"/>
    </row>
    <row r="20" spans="1:15">
      <c r="A20" s="189">
        <v>17</v>
      </c>
      <c r="B20" s="212">
        <v>46251</v>
      </c>
      <c r="C20" s="64"/>
      <c r="D20" s="309"/>
      <c r="E20" s="249"/>
      <c r="F20" s="249"/>
      <c r="G20" s="8">
        <f t="shared" si="0"/>
        <v>0</v>
      </c>
      <c r="H20" s="62">
        <v>5</v>
      </c>
      <c r="I20" s="63">
        <v>117.58</v>
      </c>
      <c r="J20" s="8">
        <f t="shared" si="2"/>
        <v>587.9</v>
      </c>
      <c r="K20" s="8">
        <f t="shared" si="3"/>
        <v>587.9</v>
      </c>
      <c r="L20" s="65"/>
      <c r="M20" s="65">
        <f t="shared" si="1"/>
        <v>143087.9375</v>
      </c>
      <c r="N20" s="186"/>
      <c r="O20" s="66"/>
    </row>
    <row r="21" spans="1:15">
      <c r="A21" s="43">
        <v>18</v>
      </c>
      <c r="B21" s="212">
        <v>46252</v>
      </c>
      <c r="C21" s="64"/>
      <c r="D21" s="309"/>
      <c r="E21" s="249">
        <v>265</v>
      </c>
      <c r="F21" s="310">
        <v>105.25</v>
      </c>
      <c r="G21" s="8">
        <f t="shared" si="0"/>
        <v>27891.25</v>
      </c>
      <c r="H21" s="62"/>
      <c r="I21" s="63"/>
      <c r="J21" s="8">
        <f t="shared" si="2"/>
        <v>0</v>
      </c>
      <c r="K21" s="8">
        <f t="shared" si="3"/>
        <v>27891.25</v>
      </c>
      <c r="L21" s="65"/>
      <c r="M21" s="65">
        <f t="shared" si="1"/>
        <v>170979.1875</v>
      </c>
      <c r="N21" s="186"/>
      <c r="O21" s="66"/>
    </row>
    <row r="22" spans="1:15">
      <c r="A22" s="189">
        <v>19</v>
      </c>
      <c r="B22" s="212">
        <v>46253</v>
      </c>
      <c r="C22" s="64"/>
      <c r="D22" s="309"/>
      <c r="E22" s="14">
        <v>440</v>
      </c>
      <c r="F22" s="14">
        <v>105.25</v>
      </c>
      <c r="G22" s="8">
        <f t="shared" si="0"/>
        <v>46310</v>
      </c>
      <c r="H22" s="62">
        <v>11</v>
      </c>
      <c r="I22" s="63">
        <v>117.58</v>
      </c>
      <c r="J22" s="8">
        <f t="shared" si="2"/>
        <v>1293.3799999999999</v>
      </c>
      <c r="K22" s="8">
        <f t="shared" si="3"/>
        <v>47603.38</v>
      </c>
      <c r="L22" s="65"/>
      <c r="M22" s="65">
        <f t="shared" si="1"/>
        <v>218582.5675</v>
      </c>
      <c r="N22" s="186"/>
      <c r="O22" s="66"/>
    </row>
    <row r="23" spans="1:15">
      <c r="A23" s="189">
        <v>20</v>
      </c>
      <c r="B23" s="212">
        <v>46254</v>
      </c>
      <c r="C23" s="64"/>
      <c r="D23" s="309"/>
      <c r="E23" s="14">
        <v>90.24</v>
      </c>
      <c r="F23" s="14">
        <v>105.25</v>
      </c>
      <c r="G23" s="8">
        <f t="shared" si="0"/>
        <v>9497.76</v>
      </c>
      <c r="H23" s="62">
        <v>37</v>
      </c>
      <c r="I23" s="63">
        <v>117.58</v>
      </c>
      <c r="J23" s="8">
        <f t="shared" si="2"/>
        <v>4350.46</v>
      </c>
      <c r="K23" s="8">
        <f t="shared" si="3"/>
        <v>13848.220000000001</v>
      </c>
      <c r="L23" s="65"/>
      <c r="M23" s="65">
        <f t="shared" si="1"/>
        <v>232430.78750000001</v>
      </c>
      <c r="N23" s="186"/>
      <c r="O23" s="66"/>
    </row>
    <row r="24" spans="1:15">
      <c r="A24" s="43">
        <v>21</v>
      </c>
      <c r="B24" s="212">
        <v>46255</v>
      </c>
      <c r="C24" s="64"/>
      <c r="D24" s="309"/>
      <c r="E24" s="14">
        <v>440</v>
      </c>
      <c r="F24" s="14">
        <v>105.25</v>
      </c>
      <c r="G24" s="8">
        <f t="shared" si="0"/>
        <v>46310</v>
      </c>
      <c r="H24" s="62"/>
      <c r="I24" s="63"/>
      <c r="J24" s="8">
        <f t="shared" si="2"/>
        <v>0</v>
      </c>
      <c r="K24" s="8">
        <f t="shared" si="3"/>
        <v>46310</v>
      </c>
      <c r="L24" s="65">
        <v>0</v>
      </c>
      <c r="M24" s="65">
        <f t="shared" si="1"/>
        <v>278740.78749999998</v>
      </c>
      <c r="N24" s="186"/>
      <c r="O24" s="66"/>
    </row>
    <row r="25" spans="1:15">
      <c r="A25" s="189">
        <v>22</v>
      </c>
      <c r="B25" s="212">
        <v>46256</v>
      </c>
      <c r="C25" s="64"/>
      <c r="D25" s="309"/>
      <c r="E25" s="14"/>
      <c r="F25" s="14"/>
      <c r="G25" s="8">
        <f t="shared" si="0"/>
        <v>0</v>
      </c>
      <c r="H25" s="530">
        <v>5</v>
      </c>
      <c r="I25" s="530">
        <v>117.58</v>
      </c>
      <c r="J25" s="8">
        <f t="shared" si="2"/>
        <v>587.9</v>
      </c>
      <c r="K25" s="8">
        <f t="shared" si="3"/>
        <v>587.9</v>
      </c>
      <c r="L25" s="65">
        <v>0</v>
      </c>
      <c r="M25" s="65">
        <f t="shared" si="1"/>
        <v>279328.6875</v>
      </c>
      <c r="N25" s="186"/>
      <c r="O25" s="66"/>
    </row>
    <row r="26" spans="1:15">
      <c r="A26" s="189">
        <v>23</v>
      </c>
      <c r="B26" s="212">
        <v>46257</v>
      </c>
      <c r="C26" s="64"/>
      <c r="D26" s="309"/>
      <c r="E26" s="14">
        <v>826</v>
      </c>
      <c r="F26" s="14">
        <v>105.25</v>
      </c>
      <c r="G26" s="8">
        <f t="shared" si="0"/>
        <v>86936.5</v>
      </c>
      <c r="H26" s="530">
        <v>11</v>
      </c>
      <c r="I26" s="530">
        <v>117.58</v>
      </c>
      <c r="J26" s="8">
        <f t="shared" si="2"/>
        <v>1293.3799999999999</v>
      </c>
      <c r="K26" s="8">
        <f t="shared" si="3"/>
        <v>88229.88</v>
      </c>
      <c r="L26" s="65">
        <v>0</v>
      </c>
      <c r="M26" s="65">
        <f t="shared" si="1"/>
        <v>367558.5675</v>
      </c>
      <c r="N26" s="186"/>
      <c r="O26" s="66"/>
    </row>
    <row r="27" spans="1:15">
      <c r="A27" s="43">
        <v>24</v>
      </c>
      <c r="B27" s="212">
        <v>46258</v>
      </c>
      <c r="C27" s="64"/>
      <c r="D27" s="309"/>
      <c r="E27" s="14"/>
      <c r="F27" s="14"/>
      <c r="G27" s="8">
        <f t="shared" si="0"/>
        <v>0</v>
      </c>
      <c r="H27" s="62"/>
      <c r="I27" s="63"/>
      <c r="J27" s="8">
        <f t="shared" si="2"/>
        <v>0</v>
      </c>
      <c r="K27" s="8">
        <f t="shared" si="3"/>
        <v>0</v>
      </c>
      <c r="L27" s="65">
        <v>0</v>
      </c>
      <c r="M27" s="65">
        <f t="shared" si="1"/>
        <v>367558.5675</v>
      </c>
      <c r="N27" s="186"/>
      <c r="O27" s="66"/>
    </row>
    <row r="28" spans="1:15">
      <c r="A28" s="189">
        <v>25</v>
      </c>
      <c r="B28" s="212">
        <v>46259</v>
      </c>
      <c r="C28" s="64"/>
      <c r="D28" s="309"/>
      <c r="E28" s="14">
        <v>650</v>
      </c>
      <c r="F28" s="14">
        <v>105.25</v>
      </c>
      <c r="G28" s="8">
        <f t="shared" si="0"/>
        <v>68412.5</v>
      </c>
      <c r="H28" s="62"/>
      <c r="I28" s="63"/>
      <c r="J28" s="8">
        <f t="shared" si="2"/>
        <v>0</v>
      </c>
      <c r="K28" s="8">
        <f t="shared" si="3"/>
        <v>68412.5</v>
      </c>
      <c r="L28" s="65">
        <v>0</v>
      </c>
      <c r="M28" s="65">
        <f t="shared" si="1"/>
        <v>435971.0675</v>
      </c>
      <c r="N28" s="186"/>
      <c r="O28" s="66"/>
    </row>
    <row r="29" spans="1:15">
      <c r="A29" s="189">
        <v>26</v>
      </c>
      <c r="B29" s="212">
        <v>46260</v>
      </c>
      <c r="C29" s="64"/>
      <c r="D29" s="309"/>
      <c r="E29" s="14">
        <v>200</v>
      </c>
      <c r="F29" s="14">
        <v>105.25</v>
      </c>
      <c r="G29" s="8">
        <f t="shared" ref="G29" si="4">E29*F29</f>
        <v>21050</v>
      </c>
      <c r="H29" s="62">
        <v>10</v>
      </c>
      <c r="I29" s="63">
        <v>117.58</v>
      </c>
      <c r="J29" s="8">
        <f t="shared" ref="J29" si="5">H29*I29</f>
        <v>1175.8</v>
      </c>
      <c r="K29" s="8">
        <f t="shared" si="3"/>
        <v>22225.8</v>
      </c>
      <c r="L29" s="65">
        <v>200000</v>
      </c>
      <c r="M29" s="65">
        <f t="shared" si="1"/>
        <v>258196.86749999999</v>
      </c>
      <c r="N29" s="186"/>
      <c r="O29" s="66"/>
    </row>
    <row r="30" spans="1:15">
      <c r="A30" s="43">
        <v>27</v>
      </c>
      <c r="B30" s="212">
        <v>46261</v>
      </c>
      <c r="C30" s="64"/>
      <c r="D30" s="309"/>
      <c r="E30" s="14">
        <v>870</v>
      </c>
      <c r="F30" s="14">
        <v>105.25</v>
      </c>
      <c r="G30" s="8">
        <f t="shared" si="0"/>
        <v>91567.5</v>
      </c>
      <c r="H30" s="62">
        <v>11</v>
      </c>
      <c r="I30" s="63">
        <v>117.58</v>
      </c>
      <c r="J30" s="8">
        <f t="shared" si="2"/>
        <v>1293.3799999999999</v>
      </c>
      <c r="K30" s="8">
        <f t="shared" si="3"/>
        <v>92860.88</v>
      </c>
      <c r="L30" s="65">
        <v>33020</v>
      </c>
      <c r="M30" s="65">
        <f t="shared" si="1"/>
        <v>318037.7475</v>
      </c>
      <c r="N30" s="186"/>
      <c r="O30" s="66"/>
    </row>
    <row r="31" spans="1:15">
      <c r="A31" s="189">
        <v>28</v>
      </c>
      <c r="B31" s="212">
        <v>46262</v>
      </c>
      <c r="C31" s="64"/>
      <c r="D31" s="152"/>
      <c r="E31" s="14">
        <v>35</v>
      </c>
      <c r="F31" s="14">
        <v>105.25</v>
      </c>
      <c r="G31" s="16">
        <f t="shared" si="0"/>
        <v>3683.75</v>
      </c>
      <c r="H31" s="62"/>
      <c r="I31" s="63"/>
      <c r="J31" s="16">
        <f t="shared" si="2"/>
        <v>0</v>
      </c>
      <c r="K31" s="16">
        <f t="shared" si="3"/>
        <v>3683.75</v>
      </c>
      <c r="L31" s="126"/>
      <c r="M31" s="65">
        <f t="shared" si="1"/>
        <v>321721.4975</v>
      </c>
      <c r="N31" s="8"/>
      <c r="O31" s="66"/>
    </row>
    <row r="32" spans="1:15">
      <c r="A32" s="189">
        <v>29</v>
      </c>
      <c r="B32" s="212">
        <v>46263</v>
      </c>
      <c r="C32" s="64"/>
      <c r="D32" s="152"/>
      <c r="E32" s="152">
        <v>400</v>
      </c>
      <c r="F32" s="14">
        <v>105.25</v>
      </c>
      <c r="G32" s="8">
        <f t="shared" si="0"/>
        <v>42100</v>
      </c>
      <c r="H32" s="62"/>
      <c r="I32" s="63"/>
      <c r="J32" s="8">
        <f t="shared" si="2"/>
        <v>0</v>
      </c>
      <c r="K32" s="8">
        <f t="shared" si="3"/>
        <v>42100</v>
      </c>
      <c r="L32" s="65"/>
      <c r="M32" s="65">
        <f t="shared" si="1"/>
        <v>363821.4975</v>
      </c>
      <c r="N32" s="8"/>
      <c r="O32" s="66"/>
    </row>
    <row r="33" spans="1:15">
      <c r="A33" s="43">
        <v>30</v>
      </c>
      <c r="B33" s="212">
        <v>46264</v>
      </c>
      <c r="C33" s="64"/>
      <c r="D33" s="152"/>
      <c r="E33" s="152"/>
      <c r="F33" s="14">
        <v>105.25</v>
      </c>
      <c r="G33" s="8">
        <f t="shared" si="0"/>
        <v>0</v>
      </c>
      <c r="H33" s="62"/>
      <c r="I33" s="63"/>
      <c r="J33" s="8">
        <f t="shared" si="2"/>
        <v>0</v>
      </c>
      <c r="K33" s="8">
        <f t="shared" si="3"/>
        <v>0</v>
      </c>
      <c r="L33" s="65"/>
      <c r="M33" s="65">
        <f t="shared" si="1"/>
        <v>363821.4975</v>
      </c>
      <c r="N33" s="8"/>
      <c r="O33" s="66"/>
    </row>
    <row r="34" spans="1:15">
      <c r="A34" s="189">
        <v>31</v>
      </c>
      <c r="B34" s="212">
        <v>46265</v>
      </c>
      <c r="C34" s="64"/>
      <c r="D34" s="152"/>
      <c r="E34" s="14">
        <v>590</v>
      </c>
      <c r="F34" s="14">
        <v>105.25</v>
      </c>
      <c r="G34" s="8">
        <f t="shared" si="0"/>
        <v>62097.5</v>
      </c>
      <c r="H34" s="62">
        <v>8</v>
      </c>
      <c r="I34" s="63">
        <v>117.58</v>
      </c>
      <c r="J34" s="8">
        <f t="shared" si="2"/>
        <v>940.64</v>
      </c>
      <c r="K34" s="8">
        <f t="shared" si="3"/>
        <v>63038.14</v>
      </c>
      <c r="L34" s="65"/>
      <c r="M34" s="65">
        <f t="shared" si="1"/>
        <v>426859.63750000001</v>
      </c>
      <c r="N34" s="8"/>
      <c r="O34" s="66"/>
    </row>
    <row r="35" spans="1:15">
      <c r="A35" s="189">
        <v>32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>
        <f t="shared" ref="L16:L36" si="6">+K35</f>
        <v>0</v>
      </c>
      <c r="M35" s="65">
        <f t="shared" si="1"/>
        <v>426859.63750000001</v>
      </c>
      <c r="N35" s="8"/>
      <c r="O35" s="66"/>
    </row>
    <row r="36" spans="1:15">
      <c r="A36" s="43">
        <v>33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>
        <f t="shared" si="6"/>
        <v>0</v>
      </c>
      <c r="M36" s="65">
        <f t="shared" si="1"/>
        <v>426859.63750000001</v>
      </c>
      <c r="N36" s="8"/>
      <c r="O36" s="66"/>
    </row>
    <row r="37" spans="1:15">
      <c r="A37" s="59"/>
      <c r="B37" s="59"/>
      <c r="C37" s="59"/>
      <c r="D37" s="59"/>
      <c r="E37" s="250">
        <f>SUM(E4:E36)</f>
        <v>7986.03</v>
      </c>
      <c r="F37" s="250"/>
      <c r="G37" s="60">
        <f>SUM(G4:G36)</f>
        <v>840536.85750000004</v>
      </c>
      <c r="H37" s="60">
        <f>SUM(H4:H36)</f>
        <v>141</v>
      </c>
      <c r="I37" s="60"/>
      <c r="J37" s="60">
        <f>SUM(J4:J36)</f>
        <v>16578.779999999995</v>
      </c>
      <c r="K37" s="60">
        <f>SUM(K4:K36)</f>
        <v>857115.63750000019</v>
      </c>
      <c r="L37" s="60">
        <f>SUM(L4:L36)</f>
        <v>430256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8EC8-CB56-4E93-A7E2-0DB29CC799CC}">
  <sheetPr>
    <tabColor theme="7" tint="0.39997558519241921"/>
  </sheetPr>
  <dimension ref="A1:R46"/>
  <sheetViews>
    <sheetView topLeftCell="A53" workbookViewId="0">
      <selection activeCell="E34" sqref="E34"/>
    </sheetView>
  </sheetViews>
  <sheetFormatPr defaultRowHeight="15"/>
  <cols>
    <col min="7" max="7" width="14.28515625" customWidth="1"/>
    <col min="9" max="9" width="8.140625" bestFit="1" customWidth="1"/>
    <col min="11" max="12" width="13.5703125" bestFit="1" customWidth="1"/>
    <col min="13" max="13" width="11.85546875" bestFit="1" customWidth="1"/>
    <col min="14" max="14" width="9.42578125" customWidth="1"/>
  </cols>
  <sheetData>
    <row r="1" spans="1:18" ht="15.75">
      <c r="A1" s="567" t="s">
        <v>206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  <c r="O3" s="56"/>
    </row>
    <row r="4" spans="1:18">
      <c r="A4" s="189">
        <v>1</v>
      </c>
      <c r="B4" s="212">
        <v>46235</v>
      </c>
      <c r="C4" s="64"/>
      <c r="D4" s="152"/>
      <c r="E4" s="249"/>
      <c r="F4" s="249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v>0</v>
      </c>
      <c r="M4" s="65">
        <f>M3+K4-L4</f>
        <v>0</v>
      </c>
      <c r="N4" s="149"/>
    </row>
    <row r="5" spans="1:18">
      <c r="A5" s="189">
        <v>2</v>
      </c>
      <c r="B5" s="212">
        <v>46236</v>
      </c>
      <c r="C5" s="64"/>
      <c r="D5" s="73"/>
      <c r="E5" s="249"/>
      <c r="F5" s="249"/>
      <c r="G5" s="8">
        <f t="shared" si="0"/>
        <v>0</v>
      </c>
      <c r="H5" s="62"/>
      <c r="I5" s="63"/>
      <c r="J5" s="8">
        <f>H5*I5</f>
        <v>0</v>
      </c>
      <c r="K5" s="8">
        <f>G5+J5</f>
        <v>0</v>
      </c>
      <c r="L5" s="65"/>
      <c r="M5" s="65">
        <f t="shared" ref="M5:M36" si="1">M4+K5-L5</f>
        <v>0</v>
      </c>
      <c r="N5" s="149"/>
    </row>
    <row r="6" spans="1:18">
      <c r="A6" s="43">
        <v>3</v>
      </c>
      <c r="B6" s="212">
        <v>46237</v>
      </c>
      <c r="C6" s="64"/>
      <c r="E6" s="249"/>
      <c r="F6" s="249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/>
      <c r="M6" s="65">
        <f t="shared" si="1"/>
        <v>0</v>
      </c>
      <c r="N6" s="149"/>
    </row>
    <row r="7" spans="1:18">
      <c r="A7" s="189">
        <v>4</v>
      </c>
      <c r="B7" s="212">
        <v>46238</v>
      </c>
      <c r="C7" s="64"/>
      <c r="D7" s="152"/>
      <c r="E7" s="249"/>
      <c r="F7" s="249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/>
      <c r="M7" s="65">
        <f t="shared" si="1"/>
        <v>0</v>
      </c>
      <c r="N7" s="149"/>
    </row>
    <row r="8" spans="1:18">
      <c r="A8" s="189">
        <v>5</v>
      </c>
      <c r="B8" s="212">
        <v>46239</v>
      </c>
      <c r="C8" s="64"/>
      <c r="D8" s="152"/>
      <c r="E8" s="249"/>
      <c r="F8" s="249"/>
      <c r="G8" s="8">
        <f t="shared" si="0"/>
        <v>0</v>
      </c>
      <c r="H8" s="531"/>
      <c r="I8" s="531"/>
      <c r="J8" s="8">
        <f t="shared" si="2"/>
        <v>0</v>
      </c>
      <c r="K8" s="8">
        <f t="shared" si="3"/>
        <v>0</v>
      </c>
      <c r="L8" s="65"/>
      <c r="M8" s="65">
        <f t="shared" si="1"/>
        <v>0</v>
      </c>
      <c r="N8" s="149"/>
    </row>
    <row r="9" spans="1:18">
      <c r="A9" s="43">
        <v>6</v>
      </c>
      <c r="B9" s="212">
        <v>46240</v>
      </c>
      <c r="C9" s="64"/>
      <c r="D9" s="152"/>
      <c r="E9" s="249"/>
      <c r="F9" s="249"/>
      <c r="G9" s="8">
        <f t="shared" si="0"/>
        <v>0</v>
      </c>
      <c r="H9" s="532"/>
      <c r="I9" s="532"/>
      <c r="J9" s="8">
        <f t="shared" si="2"/>
        <v>0</v>
      </c>
      <c r="K9" s="8">
        <f t="shared" si="3"/>
        <v>0</v>
      </c>
      <c r="L9" s="65"/>
      <c r="M9" s="65">
        <f t="shared" si="1"/>
        <v>0</v>
      </c>
      <c r="N9" s="149"/>
      <c r="O9" s="66"/>
      <c r="R9" s="218"/>
    </row>
    <row r="10" spans="1:18">
      <c r="A10" s="189">
        <v>7</v>
      </c>
      <c r="B10" s="212">
        <v>46241</v>
      </c>
      <c r="C10" s="64"/>
      <c r="D10" s="152"/>
      <c r="E10" s="249"/>
      <c r="F10" s="249"/>
      <c r="G10" s="8">
        <f t="shared" si="0"/>
        <v>0</v>
      </c>
      <c r="H10" s="374"/>
      <c r="I10" s="155"/>
      <c r="J10" s="8">
        <f t="shared" si="2"/>
        <v>0</v>
      </c>
      <c r="K10" s="8">
        <f t="shared" si="3"/>
        <v>0</v>
      </c>
      <c r="L10" s="65"/>
      <c r="M10" s="65">
        <f t="shared" si="1"/>
        <v>0</v>
      </c>
      <c r="N10" s="149"/>
      <c r="O10" s="66"/>
    </row>
    <row r="11" spans="1:18">
      <c r="A11" s="189">
        <v>8</v>
      </c>
      <c r="B11" s="212">
        <v>46242</v>
      </c>
      <c r="C11" s="64"/>
      <c r="D11" s="152"/>
      <c r="E11" s="249"/>
      <c r="F11" s="249"/>
      <c r="G11" s="8">
        <f t="shared" si="0"/>
        <v>0</v>
      </c>
      <c r="H11" s="374"/>
      <c r="I11" s="155"/>
      <c r="J11" s="8">
        <f t="shared" si="2"/>
        <v>0</v>
      </c>
      <c r="K11" s="8">
        <f t="shared" si="3"/>
        <v>0</v>
      </c>
      <c r="L11" s="65"/>
      <c r="M11" s="65">
        <f t="shared" si="1"/>
        <v>0</v>
      </c>
      <c r="N11" s="149"/>
      <c r="O11" s="66"/>
    </row>
    <row r="12" spans="1:18">
      <c r="A12" s="43">
        <v>9</v>
      </c>
      <c r="B12" s="212">
        <v>46243</v>
      </c>
      <c r="C12" s="64"/>
      <c r="D12" s="152"/>
      <c r="E12" s="249"/>
      <c r="F12" s="249"/>
      <c r="G12" s="8">
        <f t="shared" si="0"/>
        <v>0</v>
      </c>
      <c r="H12" s="374"/>
      <c r="I12" s="155"/>
      <c r="J12" s="8">
        <f t="shared" si="2"/>
        <v>0</v>
      </c>
      <c r="K12" s="8">
        <f t="shared" si="3"/>
        <v>0</v>
      </c>
      <c r="L12" s="65"/>
      <c r="M12" s="65">
        <f t="shared" si="1"/>
        <v>0</v>
      </c>
      <c r="N12" s="149"/>
      <c r="O12" s="66"/>
    </row>
    <row r="13" spans="1:18">
      <c r="A13" s="189">
        <v>10</v>
      </c>
      <c r="B13" s="212">
        <v>46244</v>
      </c>
      <c r="C13" s="64"/>
      <c r="D13" s="152"/>
      <c r="E13" s="249">
        <v>240.12</v>
      </c>
      <c r="F13" s="249">
        <v>105.4</v>
      </c>
      <c r="G13" s="8">
        <f t="shared" si="0"/>
        <v>25308.648000000001</v>
      </c>
      <c r="H13" s="374"/>
      <c r="I13" s="155"/>
      <c r="J13" s="8">
        <f t="shared" si="2"/>
        <v>0</v>
      </c>
      <c r="K13" s="8">
        <f t="shared" si="3"/>
        <v>25308.648000000001</v>
      </c>
      <c r="L13" s="65"/>
      <c r="M13" s="65">
        <f t="shared" si="1"/>
        <v>25308.648000000001</v>
      </c>
      <c r="N13" s="149"/>
      <c r="O13" s="66"/>
    </row>
    <row r="14" spans="1:18">
      <c r="A14" s="189">
        <v>11</v>
      </c>
      <c r="B14" s="212">
        <v>46245</v>
      </c>
      <c r="C14" s="64"/>
      <c r="D14" s="152"/>
      <c r="E14" s="249">
        <v>92.37</v>
      </c>
      <c r="F14" s="249">
        <v>105.4</v>
      </c>
      <c r="G14" s="8">
        <f t="shared" si="0"/>
        <v>9735.7980000000007</v>
      </c>
      <c r="H14" s="62"/>
      <c r="I14" s="155"/>
      <c r="J14" s="8">
        <f t="shared" si="2"/>
        <v>0</v>
      </c>
      <c r="K14" s="8">
        <f t="shared" si="3"/>
        <v>9735.7980000000007</v>
      </c>
      <c r="L14" s="65"/>
      <c r="M14" s="65">
        <f t="shared" si="1"/>
        <v>35044.446000000004</v>
      </c>
      <c r="N14" s="149"/>
      <c r="O14" s="66"/>
    </row>
    <row r="15" spans="1:18">
      <c r="A15" s="43">
        <v>12</v>
      </c>
      <c r="B15" s="212">
        <v>46246</v>
      </c>
      <c r="C15" s="64"/>
      <c r="D15" s="152"/>
      <c r="E15" s="249"/>
      <c r="F15" s="249"/>
      <c r="G15" s="8">
        <f t="shared" si="0"/>
        <v>0</v>
      </c>
      <c r="H15" s="62">
        <v>5.01</v>
      </c>
      <c r="I15" s="63">
        <v>117.74</v>
      </c>
      <c r="J15" s="8">
        <f t="shared" si="2"/>
        <v>589.87739999999997</v>
      </c>
      <c r="K15" s="8">
        <f>G15+J15</f>
        <v>589.87739999999997</v>
      </c>
      <c r="L15" s="65"/>
      <c r="M15" s="65">
        <f t="shared" si="1"/>
        <v>35634.323400000001</v>
      </c>
      <c r="N15" s="149"/>
      <c r="O15" s="66"/>
    </row>
    <row r="16" spans="1:18">
      <c r="A16" s="189">
        <v>13</v>
      </c>
      <c r="B16" s="212">
        <v>46247</v>
      </c>
      <c r="C16" s="64"/>
      <c r="D16" s="152"/>
      <c r="E16" s="249"/>
      <c r="F16" s="249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65"/>
      <c r="M16" s="65">
        <f t="shared" si="1"/>
        <v>35634.323400000001</v>
      </c>
      <c r="N16" s="8"/>
      <c r="O16" s="66"/>
    </row>
    <row r="17" spans="1:15">
      <c r="A17" s="189">
        <v>14</v>
      </c>
      <c r="B17" s="212">
        <v>46248</v>
      </c>
      <c r="C17" s="64"/>
      <c r="D17" s="152"/>
      <c r="E17" s="249">
        <v>95.18</v>
      </c>
      <c r="F17" s="249">
        <v>105.4</v>
      </c>
      <c r="G17" s="8">
        <f t="shared" si="0"/>
        <v>10031.972000000002</v>
      </c>
      <c r="H17" s="62">
        <v>5</v>
      </c>
      <c r="I17" s="63">
        <v>117.74</v>
      </c>
      <c r="J17" s="8">
        <f t="shared" si="2"/>
        <v>588.69999999999993</v>
      </c>
      <c r="K17" s="8">
        <f t="shared" si="3"/>
        <v>10620.672000000002</v>
      </c>
      <c r="L17" s="65"/>
      <c r="M17" s="65">
        <f t="shared" si="1"/>
        <v>46254.9954</v>
      </c>
      <c r="N17" s="8"/>
      <c r="O17" s="66"/>
    </row>
    <row r="18" spans="1:15">
      <c r="A18" s="43">
        <v>15</v>
      </c>
      <c r="B18" s="212">
        <v>46249</v>
      </c>
      <c r="C18" s="64"/>
      <c r="D18" s="152"/>
      <c r="E18" s="249"/>
      <c r="F18" s="249"/>
      <c r="G18" s="8">
        <f t="shared" si="0"/>
        <v>0</v>
      </c>
      <c r="H18" s="62"/>
      <c r="I18" s="63"/>
      <c r="J18" s="8">
        <f t="shared" si="2"/>
        <v>0</v>
      </c>
      <c r="K18" s="8">
        <f t="shared" si="3"/>
        <v>0</v>
      </c>
      <c r="L18" s="65"/>
      <c r="M18" s="65">
        <f t="shared" si="1"/>
        <v>46254.9954</v>
      </c>
      <c r="N18" s="8"/>
      <c r="O18" s="66"/>
    </row>
    <row r="19" spans="1:15">
      <c r="A19" s="189">
        <v>16</v>
      </c>
      <c r="B19" s="212">
        <v>46250</v>
      </c>
      <c r="C19" s="64"/>
      <c r="D19" s="152"/>
      <c r="E19" s="310">
        <v>100</v>
      </c>
      <c r="F19" s="310">
        <v>105.4</v>
      </c>
      <c r="G19" s="175">
        <f t="shared" si="0"/>
        <v>10540</v>
      </c>
      <c r="H19" s="62"/>
      <c r="I19" s="63"/>
      <c r="J19" s="175">
        <f t="shared" si="2"/>
        <v>0</v>
      </c>
      <c r="K19" s="175">
        <f t="shared" si="3"/>
        <v>10540</v>
      </c>
      <c r="L19" s="65"/>
      <c r="M19" s="65">
        <f t="shared" si="1"/>
        <v>56794.9954</v>
      </c>
      <c r="N19" s="8"/>
      <c r="O19" s="66"/>
    </row>
    <row r="20" spans="1:15">
      <c r="A20" s="189">
        <v>17</v>
      </c>
      <c r="B20" s="212">
        <v>46251</v>
      </c>
      <c r="C20" s="64"/>
      <c r="D20" s="309"/>
      <c r="E20" s="249"/>
      <c r="F20" s="249"/>
      <c r="G20" s="8">
        <f t="shared" si="0"/>
        <v>0</v>
      </c>
      <c r="H20" s="62"/>
      <c r="I20" s="63"/>
      <c r="J20" s="8">
        <f t="shared" si="2"/>
        <v>0</v>
      </c>
      <c r="K20" s="8">
        <f t="shared" si="3"/>
        <v>0</v>
      </c>
      <c r="L20" s="65"/>
      <c r="M20" s="65">
        <f t="shared" si="1"/>
        <v>56794.9954</v>
      </c>
      <c r="N20" s="186"/>
      <c r="O20" s="66"/>
    </row>
    <row r="21" spans="1:15">
      <c r="A21" s="43">
        <v>18</v>
      </c>
      <c r="B21" s="212">
        <v>46252</v>
      </c>
      <c r="C21" s="64"/>
      <c r="D21" s="309"/>
      <c r="E21" s="249">
        <v>86.81</v>
      </c>
      <c r="F21" s="310">
        <v>105.4</v>
      </c>
      <c r="G21" s="8">
        <f t="shared" si="0"/>
        <v>9149.7740000000013</v>
      </c>
      <c r="H21" s="62"/>
      <c r="I21" s="63"/>
      <c r="J21" s="8">
        <f t="shared" si="2"/>
        <v>0</v>
      </c>
      <c r="K21" s="8">
        <f t="shared" si="3"/>
        <v>9149.7740000000013</v>
      </c>
      <c r="L21" s="65"/>
      <c r="M21" s="65">
        <f t="shared" si="1"/>
        <v>65944.769400000005</v>
      </c>
      <c r="N21" s="186"/>
      <c r="O21" s="66"/>
    </row>
    <row r="22" spans="1:15">
      <c r="A22" s="189">
        <v>19</v>
      </c>
      <c r="B22" s="212">
        <v>46253</v>
      </c>
      <c r="C22" s="64"/>
      <c r="D22" s="309"/>
      <c r="E22" s="14">
        <v>130.22999999999999</v>
      </c>
      <c r="F22" s="14">
        <v>105.4</v>
      </c>
      <c r="G22" s="8">
        <f t="shared" si="0"/>
        <v>13726.242</v>
      </c>
      <c r="H22" s="62"/>
      <c r="I22" s="63"/>
      <c r="J22" s="8">
        <f t="shared" si="2"/>
        <v>0</v>
      </c>
      <c r="K22" s="8">
        <f t="shared" si="3"/>
        <v>13726.242</v>
      </c>
      <c r="L22" s="65"/>
      <c r="M22" s="65">
        <f t="shared" si="1"/>
        <v>79671.011400000003</v>
      </c>
      <c r="N22" s="186"/>
      <c r="O22" s="66"/>
    </row>
    <row r="23" spans="1:15">
      <c r="A23" s="189">
        <v>20</v>
      </c>
      <c r="B23" s="212">
        <v>46254</v>
      </c>
      <c r="C23" s="64"/>
      <c r="D23" s="309"/>
      <c r="E23" s="14">
        <v>140</v>
      </c>
      <c r="F23" s="14">
        <v>105.4</v>
      </c>
      <c r="G23" s="8">
        <f t="shared" si="0"/>
        <v>14756</v>
      </c>
      <c r="H23" s="62">
        <v>10</v>
      </c>
      <c r="I23" s="63">
        <v>117.74</v>
      </c>
      <c r="J23" s="8">
        <f t="shared" si="2"/>
        <v>1177.3999999999999</v>
      </c>
      <c r="K23" s="8">
        <f t="shared" si="3"/>
        <v>15933.4</v>
      </c>
      <c r="L23" s="65">
        <v>79000</v>
      </c>
      <c r="M23" s="65">
        <f t="shared" si="1"/>
        <v>16604.411399999997</v>
      </c>
      <c r="N23" s="186"/>
      <c r="O23" s="66"/>
    </row>
    <row r="24" spans="1:15">
      <c r="A24" s="43">
        <v>21</v>
      </c>
      <c r="B24" s="212">
        <v>46255</v>
      </c>
      <c r="C24" s="64"/>
      <c r="D24" s="309"/>
      <c r="E24" s="14">
        <v>224.66</v>
      </c>
      <c r="F24" s="14">
        <v>105.4</v>
      </c>
      <c r="G24" s="8">
        <f t="shared" si="0"/>
        <v>23679.164000000001</v>
      </c>
      <c r="H24" s="62"/>
      <c r="I24" s="63"/>
      <c r="J24" s="8">
        <f t="shared" si="2"/>
        <v>0</v>
      </c>
      <c r="K24" s="8">
        <f t="shared" si="3"/>
        <v>23679.164000000001</v>
      </c>
      <c r="L24" s="65">
        <v>0</v>
      </c>
      <c r="M24" s="65">
        <f t="shared" si="1"/>
        <v>40283.575400000002</v>
      </c>
      <c r="N24" s="186"/>
      <c r="O24" s="66"/>
    </row>
    <row r="25" spans="1:15">
      <c r="A25" s="189">
        <v>22</v>
      </c>
      <c r="B25" s="212">
        <v>46256</v>
      </c>
      <c r="C25" s="64"/>
      <c r="D25" s="309"/>
      <c r="E25" s="14">
        <v>61.51</v>
      </c>
      <c r="F25" s="14">
        <v>105.4</v>
      </c>
      <c r="G25" s="8">
        <f t="shared" si="0"/>
        <v>6483.1540000000005</v>
      </c>
      <c r="H25" s="62"/>
      <c r="I25" s="63"/>
      <c r="J25" s="8">
        <f t="shared" si="2"/>
        <v>0</v>
      </c>
      <c r="K25" s="8">
        <f t="shared" si="3"/>
        <v>6483.1540000000005</v>
      </c>
      <c r="L25" s="65">
        <v>0</v>
      </c>
      <c r="M25" s="65">
        <f t="shared" si="1"/>
        <v>46766.729400000004</v>
      </c>
      <c r="N25" s="186"/>
      <c r="O25" s="66"/>
    </row>
    <row r="26" spans="1:15">
      <c r="A26" s="189">
        <v>23</v>
      </c>
      <c r="B26" s="212">
        <v>46257</v>
      </c>
      <c r="C26" s="64"/>
      <c r="D26" s="309"/>
      <c r="E26" s="14">
        <v>160</v>
      </c>
      <c r="F26" s="14">
        <v>105.4</v>
      </c>
      <c r="G26" s="8">
        <f t="shared" si="0"/>
        <v>16864</v>
      </c>
      <c r="H26" s="62"/>
      <c r="I26" s="63"/>
      <c r="J26" s="8">
        <f t="shared" si="2"/>
        <v>0</v>
      </c>
      <c r="K26" s="8">
        <f t="shared" si="3"/>
        <v>16864</v>
      </c>
      <c r="L26" s="65">
        <v>0</v>
      </c>
      <c r="M26" s="65">
        <f t="shared" si="1"/>
        <v>63630.729400000004</v>
      </c>
      <c r="N26" s="186"/>
      <c r="O26" s="66"/>
    </row>
    <row r="27" spans="1:15">
      <c r="A27" s="43">
        <v>24</v>
      </c>
      <c r="B27" s="212">
        <v>46258</v>
      </c>
      <c r="C27" s="64"/>
      <c r="D27" s="309"/>
      <c r="E27" s="14">
        <v>176.85</v>
      </c>
      <c r="F27" s="14">
        <v>105.4</v>
      </c>
      <c r="G27" s="8">
        <f t="shared" si="0"/>
        <v>18639.990000000002</v>
      </c>
      <c r="H27" s="62"/>
      <c r="I27" s="63"/>
      <c r="J27" s="8">
        <f t="shared" si="2"/>
        <v>0</v>
      </c>
      <c r="K27" s="8">
        <f t="shared" si="3"/>
        <v>18639.990000000002</v>
      </c>
      <c r="L27" s="65">
        <v>0</v>
      </c>
      <c r="M27" s="65">
        <f t="shared" si="1"/>
        <v>82270.719400000002</v>
      </c>
      <c r="N27" s="186"/>
      <c r="O27" s="66"/>
    </row>
    <row r="28" spans="1:15">
      <c r="A28" s="189">
        <v>25</v>
      </c>
      <c r="B28" s="212">
        <v>46259</v>
      </c>
      <c r="C28" s="64"/>
      <c r="D28" s="309"/>
      <c r="E28" s="14">
        <v>35.369999999999997</v>
      </c>
      <c r="F28" s="14">
        <v>105.4</v>
      </c>
      <c r="G28" s="8">
        <f t="shared" si="0"/>
        <v>3727.998</v>
      </c>
      <c r="H28" s="62"/>
      <c r="I28" s="63"/>
      <c r="J28" s="8">
        <f t="shared" si="2"/>
        <v>0</v>
      </c>
      <c r="K28" s="8">
        <f t="shared" si="3"/>
        <v>3727.998</v>
      </c>
      <c r="L28" s="65">
        <v>0</v>
      </c>
      <c r="M28" s="65">
        <f t="shared" si="1"/>
        <v>85998.717400000009</v>
      </c>
      <c r="N28" s="186"/>
      <c r="O28" s="66"/>
    </row>
    <row r="29" spans="1:15">
      <c r="A29" s="189">
        <v>26</v>
      </c>
      <c r="B29" s="212">
        <v>46260</v>
      </c>
      <c r="C29" s="64"/>
      <c r="D29" s="309"/>
      <c r="E29" s="14"/>
      <c r="F29" s="14"/>
      <c r="G29" s="8">
        <f t="shared" si="0"/>
        <v>0</v>
      </c>
      <c r="H29" s="62"/>
      <c r="I29" s="63"/>
      <c r="J29" s="8">
        <f t="shared" si="2"/>
        <v>0</v>
      </c>
      <c r="K29" s="8">
        <f t="shared" si="3"/>
        <v>0</v>
      </c>
      <c r="L29" s="65">
        <v>0</v>
      </c>
      <c r="M29" s="65">
        <f t="shared" si="1"/>
        <v>85998.717400000009</v>
      </c>
      <c r="N29" s="186"/>
      <c r="O29" s="66"/>
    </row>
    <row r="30" spans="1:15">
      <c r="A30" s="43">
        <v>27</v>
      </c>
      <c r="B30" s="212">
        <v>46261</v>
      </c>
      <c r="C30" s="64"/>
      <c r="D30" s="309"/>
      <c r="E30" s="14">
        <v>200</v>
      </c>
      <c r="F30" s="14">
        <v>105.4</v>
      </c>
      <c r="G30" s="8">
        <f t="shared" si="0"/>
        <v>21080</v>
      </c>
      <c r="H30" s="62">
        <v>5</v>
      </c>
      <c r="I30" s="63">
        <v>117.74</v>
      </c>
      <c r="J30" s="8">
        <f t="shared" si="2"/>
        <v>588.69999999999993</v>
      </c>
      <c r="K30" s="8">
        <f t="shared" si="3"/>
        <v>21668.7</v>
      </c>
      <c r="L30" s="65">
        <v>0</v>
      </c>
      <c r="M30" s="65">
        <f t="shared" si="1"/>
        <v>107667.41740000001</v>
      </c>
      <c r="N30" s="186"/>
      <c r="O30" s="66"/>
    </row>
    <row r="31" spans="1:15">
      <c r="A31" s="189">
        <v>28</v>
      </c>
      <c r="B31" s="212">
        <v>46262</v>
      </c>
      <c r="C31" s="64"/>
      <c r="D31" s="152"/>
      <c r="E31" s="14">
        <v>92</v>
      </c>
      <c r="F31" s="14">
        <v>105.4</v>
      </c>
      <c r="G31" s="16">
        <f t="shared" si="0"/>
        <v>9696.8000000000011</v>
      </c>
      <c r="H31" s="62"/>
      <c r="I31" s="63"/>
      <c r="J31" s="16">
        <f t="shared" si="2"/>
        <v>0</v>
      </c>
      <c r="K31" s="16">
        <f t="shared" si="3"/>
        <v>9696.8000000000011</v>
      </c>
      <c r="L31" s="126">
        <v>107667</v>
      </c>
      <c r="M31" s="65">
        <f t="shared" si="1"/>
        <v>9697.2174000000086</v>
      </c>
      <c r="N31" s="8"/>
      <c r="O31" s="66"/>
    </row>
    <row r="32" spans="1:15">
      <c r="A32" s="189">
        <v>29</v>
      </c>
      <c r="B32" s="212">
        <v>46263</v>
      </c>
      <c r="C32" s="64"/>
      <c r="D32" s="152"/>
      <c r="E32" s="14">
        <v>144.36000000000001</v>
      </c>
      <c r="F32" s="14">
        <v>105.4</v>
      </c>
      <c r="G32" s="8">
        <f t="shared" si="0"/>
        <v>15215.544000000002</v>
      </c>
      <c r="H32" s="62"/>
      <c r="I32" s="63"/>
      <c r="J32" s="8">
        <f t="shared" si="2"/>
        <v>0</v>
      </c>
      <c r="K32" s="8">
        <f t="shared" si="3"/>
        <v>15215.544000000002</v>
      </c>
      <c r="L32" s="65"/>
      <c r="M32" s="65">
        <f t="shared" si="1"/>
        <v>24912.76140000001</v>
      </c>
      <c r="N32" s="8"/>
      <c r="O32" s="66"/>
    </row>
    <row r="33" spans="1:15">
      <c r="A33" s="43">
        <v>30</v>
      </c>
      <c r="B33" s="212">
        <v>46264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2"/>
        <v>0</v>
      </c>
      <c r="K33" s="8">
        <f t="shared" si="3"/>
        <v>0</v>
      </c>
      <c r="L33" s="65">
        <v>0</v>
      </c>
      <c r="M33" s="65">
        <f t="shared" si="1"/>
        <v>24912.76140000001</v>
      </c>
      <c r="N33" s="8"/>
      <c r="O33" s="66"/>
    </row>
    <row r="34" spans="1:15">
      <c r="A34" s="189">
        <v>31</v>
      </c>
      <c r="B34" s="212">
        <v>46265</v>
      </c>
      <c r="C34" s="64"/>
      <c r="D34" s="152"/>
      <c r="E34" s="14">
        <v>203.51</v>
      </c>
      <c r="F34" s="14">
        <v>105.4</v>
      </c>
      <c r="G34" s="8">
        <f t="shared" si="0"/>
        <v>21449.954000000002</v>
      </c>
      <c r="H34" s="62"/>
      <c r="I34" s="63"/>
      <c r="J34" s="8">
        <f t="shared" si="2"/>
        <v>0</v>
      </c>
      <c r="K34" s="8">
        <f t="shared" si="3"/>
        <v>21449.954000000002</v>
      </c>
      <c r="L34" s="65">
        <v>0</v>
      </c>
      <c r="M34" s="65">
        <f t="shared" si="1"/>
        <v>46362.715400000016</v>
      </c>
      <c r="N34" s="8"/>
      <c r="O34" s="66"/>
    </row>
    <row r="35" spans="1:15">
      <c r="A35" s="189">
        <v>32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>
        <v>0</v>
      </c>
      <c r="M35" s="65">
        <f t="shared" si="1"/>
        <v>46362.715400000016</v>
      </c>
      <c r="N35" s="8"/>
      <c r="O35" s="66"/>
    </row>
    <row r="36" spans="1:15">
      <c r="A36" s="43">
        <v>33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>
        <f t="shared" ref="L16:L36" si="4">+K36</f>
        <v>0</v>
      </c>
      <c r="M36" s="65">
        <f t="shared" si="1"/>
        <v>46362.715400000016</v>
      </c>
      <c r="N36" s="8"/>
      <c r="O36" s="66"/>
    </row>
    <row r="37" spans="1:15">
      <c r="A37" s="59"/>
      <c r="B37" s="59"/>
      <c r="C37" s="59"/>
      <c r="D37" s="59"/>
      <c r="E37" s="250">
        <f>SUM(E4:E36)</f>
        <v>2182.9700000000003</v>
      </c>
      <c r="F37" s="250"/>
      <c r="G37" s="60">
        <f>SUM(G4:G36)</f>
        <v>230085.03799999997</v>
      </c>
      <c r="H37" s="60">
        <f>SUM(H4:H36)</f>
        <v>25.009999999999998</v>
      </c>
      <c r="I37" s="60"/>
      <c r="J37" s="60">
        <f>SUM(J4:J36)</f>
        <v>2944.6773999999996</v>
      </c>
      <c r="K37" s="60">
        <f>SUM(K4:K36)</f>
        <v>233029.71539999999</v>
      </c>
      <c r="L37" s="60">
        <f>SUM(L4:L36)</f>
        <v>186667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3470-408F-4CE1-88D9-EA4E7C7D01D3}">
  <sheetPr>
    <tabColor rgb="FFFFC000"/>
  </sheetPr>
  <dimension ref="A1:N37"/>
  <sheetViews>
    <sheetView topLeftCell="A7" workbookViewId="0">
      <selection activeCell="L32" sqref="L32"/>
    </sheetView>
  </sheetViews>
  <sheetFormatPr defaultRowHeight="15"/>
  <cols>
    <col min="7" max="7" width="16.140625" customWidth="1"/>
    <col min="11" max="11" width="24.140625" customWidth="1"/>
    <col min="12" max="12" width="20.7109375" customWidth="1"/>
    <col min="13" max="13" width="11.5703125" bestFit="1" customWidth="1"/>
  </cols>
  <sheetData>
    <row r="1" spans="1:14" ht="15.75">
      <c r="A1" s="567" t="s">
        <v>90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4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1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</row>
    <row r="4" spans="1:14">
      <c r="A4" s="189">
        <v>1</v>
      </c>
      <c r="B4" s="212">
        <v>46235</v>
      </c>
      <c r="C4" s="64"/>
      <c r="D4" s="152"/>
      <c r="E4" s="249"/>
      <c r="F4" s="249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v>0</v>
      </c>
      <c r="M4" s="65">
        <f>M3+K4-L4</f>
        <v>0</v>
      </c>
      <c r="N4" s="149"/>
    </row>
    <row r="5" spans="1:14">
      <c r="A5" s="189">
        <v>2</v>
      </c>
      <c r="B5" s="212">
        <v>46236</v>
      </c>
      <c r="C5" s="64"/>
      <c r="D5" s="73"/>
      <c r="E5" s="249"/>
      <c r="F5" s="249"/>
      <c r="G5" s="8">
        <f t="shared" si="0"/>
        <v>0</v>
      </c>
      <c r="H5" s="62"/>
      <c r="I5" s="63"/>
      <c r="J5" s="8">
        <f>H5*I5</f>
        <v>0</v>
      </c>
      <c r="K5" s="8">
        <f>G5+J5</f>
        <v>0</v>
      </c>
      <c r="L5" s="65"/>
      <c r="M5" s="65">
        <f t="shared" ref="M5:M36" si="1">M4+K5-L5</f>
        <v>0</v>
      </c>
      <c r="N5" s="149"/>
    </row>
    <row r="6" spans="1:14">
      <c r="A6" s="43">
        <v>3</v>
      </c>
      <c r="B6" s="212">
        <v>46237</v>
      </c>
      <c r="C6" s="64"/>
      <c r="E6" s="249"/>
      <c r="F6" s="249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/>
      <c r="M6" s="65">
        <f t="shared" si="1"/>
        <v>0</v>
      </c>
      <c r="N6" s="149"/>
    </row>
    <row r="7" spans="1:14">
      <c r="A7" s="189">
        <v>4</v>
      </c>
      <c r="B7" s="212">
        <v>46238</v>
      </c>
      <c r="C7" s="64"/>
      <c r="D7" s="152"/>
      <c r="E7" s="249"/>
      <c r="F7" s="249"/>
      <c r="G7" s="8">
        <f t="shared" si="0"/>
        <v>0</v>
      </c>
      <c r="H7" s="62"/>
      <c r="I7" s="63"/>
      <c r="J7" s="8">
        <f t="shared" si="2"/>
        <v>0</v>
      </c>
      <c r="K7" s="8">
        <f t="shared" si="3"/>
        <v>0</v>
      </c>
      <c r="L7" s="65"/>
      <c r="M7" s="65">
        <f t="shared" si="1"/>
        <v>0</v>
      </c>
      <c r="N7" s="149"/>
    </row>
    <row r="8" spans="1:14">
      <c r="A8" s="189">
        <v>5</v>
      </c>
      <c r="B8" s="212">
        <v>46239</v>
      </c>
      <c r="C8" s="64"/>
      <c r="D8" s="152"/>
      <c r="E8" s="249"/>
      <c r="F8" s="249"/>
      <c r="G8" s="8">
        <f t="shared" si="0"/>
        <v>0</v>
      </c>
      <c r="H8" s="531"/>
      <c r="I8" s="531"/>
      <c r="J8" s="8">
        <f t="shared" si="2"/>
        <v>0</v>
      </c>
      <c r="K8" s="8">
        <f t="shared" si="3"/>
        <v>0</v>
      </c>
      <c r="L8" s="65"/>
      <c r="M8" s="65">
        <f t="shared" si="1"/>
        <v>0</v>
      </c>
      <c r="N8" s="149"/>
    </row>
    <row r="9" spans="1:14">
      <c r="A9" s="43">
        <v>6</v>
      </c>
      <c r="B9" s="212">
        <v>46240</v>
      </c>
      <c r="C9" s="64"/>
      <c r="D9" s="152"/>
      <c r="E9" s="249"/>
      <c r="F9" s="249"/>
      <c r="G9" s="8">
        <f t="shared" si="0"/>
        <v>0</v>
      </c>
      <c r="H9" s="532"/>
      <c r="I9" s="532"/>
      <c r="J9" s="8">
        <f t="shared" si="2"/>
        <v>0</v>
      </c>
      <c r="K9" s="8">
        <f t="shared" si="3"/>
        <v>0</v>
      </c>
      <c r="L9" s="65"/>
      <c r="M9" s="65">
        <f t="shared" si="1"/>
        <v>0</v>
      </c>
      <c r="N9" s="149"/>
    </row>
    <row r="10" spans="1:14">
      <c r="A10" s="189">
        <v>7</v>
      </c>
      <c r="B10" s="212">
        <v>46241</v>
      </c>
      <c r="C10" s="64"/>
      <c r="D10" s="152"/>
      <c r="E10" s="249"/>
      <c r="F10" s="249"/>
      <c r="G10" s="8">
        <f t="shared" si="0"/>
        <v>0</v>
      </c>
      <c r="H10" s="374"/>
      <c r="I10" s="155"/>
      <c r="J10" s="8">
        <f t="shared" si="2"/>
        <v>0</v>
      </c>
      <c r="K10" s="8">
        <f t="shared" si="3"/>
        <v>0</v>
      </c>
      <c r="L10" s="65"/>
      <c r="M10" s="65">
        <f t="shared" si="1"/>
        <v>0</v>
      </c>
      <c r="N10" s="149"/>
    </row>
    <row r="11" spans="1:14">
      <c r="A11" s="189">
        <v>8</v>
      </c>
      <c r="B11" s="212">
        <v>46242</v>
      </c>
      <c r="C11" s="64"/>
      <c r="D11" s="152"/>
      <c r="E11" s="249"/>
      <c r="F11" s="249"/>
      <c r="G11" s="8">
        <f t="shared" si="0"/>
        <v>0</v>
      </c>
      <c r="H11" s="374"/>
      <c r="I11" s="155"/>
      <c r="J11" s="8">
        <f t="shared" si="2"/>
        <v>0</v>
      </c>
      <c r="K11" s="8">
        <f t="shared" si="3"/>
        <v>0</v>
      </c>
      <c r="L11" s="65"/>
      <c r="M11" s="65">
        <f t="shared" si="1"/>
        <v>0</v>
      </c>
      <c r="N11" s="149"/>
    </row>
    <row r="12" spans="1:14">
      <c r="A12" s="43">
        <v>9</v>
      </c>
      <c r="B12" s="212">
        <v>46243</v>
      </c>
      <c r="C12" s="64"/>
      <c r="D12" s="152"/>
      <c r="E12" s="249"/>
      <c r="F12" s="249"/>
      <c r="G12" s="8">
        <f t="shared" si="0"/>
        <v>0</v>
      </c>
      <c r="H12" s="374"/>
      <c r="I12" s="155"/>
      <c r="J12" s="8">
        <f t="shared" si="2"/>
        <v>0</v>
      </c>
      <c r="K12" s="8">
        <f t="shared" si="3"/>
        <v>0</v>
      </c>
      <c r="L12" s="65"/>
      <c r="M12" s="65">
        <f t="shared" si="1"/>
        <v>0</v>
      </c>
      <c r="N12" s="149"/>
    </row>
    <row r="13" spans="1:14">
      <c r="A13" s="189">
        <v>10</v>
      </c>
      <c r="B13" s="212">
        <v>46244</v>
      </c>
      <c r="C13" s="64"/>
      <c r="D13" s="152"/>
      <c r="E13" s="249"/>
      <c r="F13" s="249"/>
      <c r="G13" s="8">
        <f t="shared" si="0"/>
        <v>0</v>
      </c>
      <c r="H13" s="374"/>
      <c r="I13" s="155"/>
      <c r="J13" s="8">
        <f t="shared" si="2"/>
        <v>0</v>
      </c>
      <c r="K13" s="8">
        <f t="shared" si="3"/>
        <v>0</v>
      </c>
      <c r="L13" s="65"/>
      <c r="M13" s="65">
        <f t="shared" si="1"/>
        <v>0</v>
      </c>
      <c r="N13" s="149"/>
    </row>
    <row r="14" spans="1:14">
      <c r="A14" s="189">
        <v>11</v>
      </c>
      <c r="B14" s="212">
        <v>46245</v>
      </c>
      <c r="C14" s="64"/>
      <c r="D14" s="152"/>
      <c r="E14" s="249"/>
      <c r="F14" s="249"/>
      <c r="G14" s="8">
        <f t="shared" si="0"/>
        <v>0</v>
      </c>
      <c r="H14" s="374"/>
      <c r="I14" s="155"/>
      <c r="J14" s="8">
        <f t="shared" si="2"/>
        <v>0</v>
      </c>
      <c r="K14" s="8">
        <f t="shared" si="3"/>
        <v>0</v>
      </c>
      <c r="L14" s="65"/>
      <c r="M14" s="65">
        <f t="shared" si="1"/>
        <v>0</v>
      </c>
      <c r="N14" s="149"/>
    </row>
    <row r="15" spans="1:14">
      <c r="A15" s="43">
        <v>12</v>
      </c>
      <c r="B15" s="212">
        <v>46246</v>
      </c>
      <c r="C15" s="64"/>
      <c r="D15" s="152"/>
      <c r="E15" s="249"/>
      <c r="F15" s="249"/>
      <c r="G15" s="8">
        <f t="shared" si="0"/>
        <v>0</v>
      </c>
      <c r="H15" s="374"/>
      <c r="I15" s="155"/>
      <c r="J15" s="8">
        <f t="shared" si="2"/>
        <v>0</v>
      </c>
      <c r="K15" s="8">
        <f>G15+J15</f>
        <v>0</v>
      </c>
      <c r="L15" s="65"/>
      <c r="M15" s="65">
        <f t="shared" si="1"/>
        <v>0</v>
      </c>
      <c r="N15" s="149"/>
    </row>
    <row r="16" spans="1:14">
      <c r="A16" s="189">
        <v>13</v>
      </c>
      <c r="B16" s="212">
        <v>46247</v>
      </c>
      <c r="C16" s="64"/>
      <c r="D16" s="152"/>
      <c r="E16" s="249">
        <v>100</v>
      </c>
      <c r="F16" s="249">
        <v>104.68</v>
      </c>
      <c r="G16" s="8">
        <f t="shared" si="0"/>
        <v>10468</v>
      </c>
      <c r="H16" s="374">
        <v>5</v>
      </c>
      <c r="I16" s="155">
        <v>116.96</v>
      </c>
      <c r="J16" s="8">
        <f t="shared" si="2"/>
        <v>584.79999999999995</v>
      </c>
      <c r="K16" s="8">
        <f t="shared" si="3"/>
        <v>11052.8</v>
      </c>
      <c r="L16" s="65"/>
      <c r="M16" s="65">
        <f t="shared" si="1"/>
        <v>11052.8</v>
      </c>
      <c r="N16" s="8"/>
    </row>
    <row r="17" spans="1:14">
      <c r="A17" s="189">
        <v>14</v>
      </c>
      <c r="B17" s="212">
        <v>46248</v>
      </c>
      <c r="C17" s="64"/>
      <c r="D17" s="152"/>
      <c r="E17" s="249"/>
      <c r="F17" s="249"/>
      <c r="G17" s="8">
        <f t="shared" si="0"/>
        <v>0</v>
      </c>
      <c r="H17" s="374"/>
      <c r="I17" s="155"/>
      <c r="J17" s="8">
        <f t="shared" si="2"/>
        <v>0</v>
      </c>
      <c r="K17" s="8">
        <f t="shared" si="3"/>
        <v>0</v>
      </c>
      <c r="L17" s="65"/>
      <c r="M17" s="65">
        <f t="shared" si="1"/>
        <v>11052.8</v>
      </c>
      <c r="N17" s="8"/>
    </row>
    <row r="18" spans="1:14">
      <c r="A18" s="43">
        <v>15</v>
      </c>
      <c r="B18" s="212">
        <v>46249</v>
      </c>
      <c r="C18" s="64"/>
      <c r="D18" s="152"/>
      <c r="E18" s="249"/>
      <c r="F18" s="249"/>
      <c r="G18" s="8">
        <f t="shared" si="0"/>
        <v>0</v>
      </c>
      <c r="H18" s="374"/>
      <c r="I18" s="155"/>
      <c r="J18" s="8">
        <f t="shared" si="2"/>
        <v>0</v>
      </c>
      <c r="K18" s="8">
        <f t="shared" si="3"/>
        <v>0</v>
      </c>
      <c r="L18" s="65"/>
      <c r="M18" s="65">
        <f t="shared" si="1"/>
        <v>11052.8</v>
      </c>
      <c r="N18" s="8"/>
    </row>
    <row r="19" spans="1:14">
      <c r="A19" s="189">
        <v>16</v>
      </c>
      <c r="B19" s="212">
        <v>46250</v>
      </c>
      <c r="C19" s="64"/>
      <c r="D19" s="152"/>
      <c r="E19" s="310">
        <v>5</v>
      </c>
      <c r="F19" s="310">
        <v>104.68</v>
      </c>
      <c r="G19" s="175">
        <f t="shared" si="0"/>
        <v>523.40000000000009</v>
      </c>
      <c r="H19" s="374">
        <v>5</v>
      </c>
      <c r="I19" s="155">
        <v>116.96</v>
      </c>
      <c r="J19" s="175">
        <f t="shared" si="2"/>
        <v>584.79999999999995</v>
      </c>
      <c r="K19" s="175">
        <f t="shared" si="3"/>
        <v>1108.2</v>
      </c>
      <c r="L19" s="65"/>
      <c r="M19" s="65">
        <f t="shared" si="1"/>
        <v>12161</v>
      </c>
      <c r="N19" s="8"/>
    </row>
    <row r="20" spans="1:14">
      <c r="A20" s="189">
        <v>17</v>
      </c>
      <c r="B20" s="212">
        <v>46251</v>
      </c>
      <c r="C20" s="64"/>
      <c r="D20" s="309"/>
      <c r="E20" s="249">
        <v>51</v>
      </c>
      <c r="F20" s="249">
        <v>104.68</v>
      </c>
      <c r="G20" s="8">
        <f t="shared" si="0"/>
        <v>5338.68</v>
      </c>
      <c r="H20" s="374"/>
      <c r="I20" s="155"/>
      <c r="J20" s="8">
        <f t="shared" si="2"/>
        <v>0</v>
      </c>
      <c r="K20" s="8">
        <f t="shared" si="3"/>
        <v>5338.68</v>
      </c>
      <c r="L20" s="65"/>
      <c r="M20" s="65">
        <f t="shared" si="1"/>
        <v>17499.68</v>
      </c>
      <c r="N20" s="186"/>
    </row>
    <row r="21" spans="1:14">
      <c r="A21" s="43">
        <v>18</v>
      </c>
      <c r="B21" s="212">
        <v>46252</v>
      </c>
      <c r="C21" s="64"/>
      <c r="D21" s="309"/>
      <c r="E21" s="249">
        <v>117</v>
      </c>
      <c r="F21" s="249">
        <v>104.68</v>
      </c>
      <c r="G21" s="8">
        <f t="shared" si="0"/>
        <v>12247.560000000001</v>
      </c>
      <c r="H21" s="374">
        <v>5</v>
      </c>
      <c r="I21" s="155">
        <v>116.96</v>
      </c>
      <c r="J21" s="8">
        <f t="shared" si="2"/>
        <v>584.79999999999995</v>
      </c>
      <c r="K21" s="8">
        <f t="shared" si="3"/>
        <v>12832.36</v>
      </c>
      <c r="L21" s="65"/>
      <c r="M21" s="65">
        <f t="shared" si="1"/>
        <v>30332.04</v>
      </c>
      <c r="N21" s="186"/>
    </row>
    <row r="22" spans="1:14">
      <c r="A22" s="189">
        <v>19</v>
      </c>
      <c r="B22" s="212">
        <v>46253</v>
      </c>
      <c r="C22" s="64"/>
      <c r="D22" s="309"/>
      <c r="E22" s="14">
        <v>28</v>
      </c>
      <c r="F22" s="14">
        <v>104.68</v>
      </c>
      <c r="G22" s="8">
        <f t="shared" si="0"/>
        <v>2931.04</v>
      </c>
      <c r="H22" s="374"/>
      <c r="I22" s="155"/>
      <c r="J22" s="8">
        <f t="shared" si="2"/>
        <v>0</v>
      </c>
      <c r="K22" s="8">
        <f t="shared" si="3"/>
        <v>2931.04</v>
      </c>
      <c r="L22" s="65"/>
      <c r="M22" s="65">
        <f t="shared" si="1"/>
        <v>33263.08</v>
      </c>
      <c r="N22" s="186"/>
    </row>
    <row r="23" spans="1:14">
      <c r="A23" s="189">
        <v>20</v>
      </c>
      <c r="B23" s="212">
        <v>46254</v>
      </c>
      <c r="C23" s="64"/>
      <c r="D23" s="309"/>
      <c r="E23" s="14"/>
      <c r="F23" s="14"/>
      <c r="G23" s="8">
        <f t="shared" si="0"/>
        <v>0</v>
      </c>
      <c r="H23" s="62">
        <v>5</v>
      </c>
      <c r="I23" s="63">
        <v>116.96</v>
      </c>
      <c r="J23" s="8">
        <f t="shared" si="2"/>
        <v>584.79999999999995</v>
      </c>
      <c r="K23" s="8">
        <f t="shared" si="3"/>
        <v>584.79999999999995</v>
      </c>
      <c r="L23" s="65">
        <v>33000</v>
      </c>
      <c r="M23" s="65">
        <f t="shared" si="1"/>
        <v>847.88000000000466</v>
      </c>
      <c r="N23" s="186"/>
    </row>
    <row r="24" spans="1:14">
      <c r="A24" s="43">
        <v>21</v>
      </c>
      <c r="B24" s="212">
        <v>46255</v>
      </c>
      <c r="C24" s="64"/>
      <c r="D24" s="309"/>
      <c r="E24" s="14"/>
      <c r="F24" s="14"/>
      <c r="G24" s="8">
        <f t="shared" si="0"/>
        <v>0</v>
      </c>
      <c r="H24" s="62"/>
      <c r="I24" s="63"/>
      <c r="J24" s="8">
        <f t="shared" si="2"/>
        <v>0</v>
      </c>
      <c r="K24" s="8">
        <f t="shared" si="3"/>
        <v>0</v>
      </c>
      <c r="L24" s="65">
        <v>0</v>
      </c>
      <c r="M24" s="65">
        <f t="shared" si="1"/>
        <v>847.88000000000466</v>
      </c>
      <c r="N24" s="186"/>
    </row>
    <row r="25" spans="1:14">
      <c r="A25" s="189">
        <v>22</v>
      </c>
      <c r="B25" s="212">
        <v>46256</v>
      </c>
      <c r="C25" s="64"/>
      <c r="D25" s="309"/>
      <c r="E25" s="14">
        <v>71.84</v>
      </c>
      <c r="F25" s="14">
        <v>104.68</v>
      </c>
      <c r="G25" s="8">
        <f t="shared" si="0"/>
        <v>7520.2112000000006</v>
      </c>
      <c r="H25" s="62">
        <v>25</v>
      </c>
      <c r="I25" s="63">
        <v>116.96</v>
      </c>
      <c r="J25" s="8">
        <f t="shared" si="2"/>
        <v>2924</v>
      </c>
      <c r="K25" s="8">
        <f t="shared" si="3"/>
        <v>10444.211200000002</v>
      </c>
      <c r="L25" s="65">
        <v>0</v>
      </c>
      <c r="M25" s="65">
        <f t="shared" si="1"/>
        <v>11292.091200000006</v>
      </c>
      <c r="N25" s="186"/>
    </row>
    <row r="26" spans="1:14">
      <c r="A26" s="189">
        <v>23</v>
      </c>
      <c r="B26" s="212">
        <v>46257</v>
      </c>
      <c r="C26" s="64"/>
      <c r="D26" s="309"/>
      <c r="E26" s="14"/>
      <c r="F26" s="14"/>
      <c r="G26" s="8">
        <f t="shared" si="0"/>
        <v>0</v>
      </c>
      <c r="H26" s="62"/>
      <c r="I26" s="63"/>
      <c r="J26" s="8">
        <f t="shared" si="2"/>
        <v>0</v>
      </c>
      <c r="K26" s="8">
        <f t="shared" si="3"/>
        <v>0</v>
      </c>
      <c r="L26" s="65">
        <v>0</v>
      </c>
      <c r="M26" s="65">
        <f t="shared" si="1"/>
        <v>11292.091200000006</v>
      </c>
      <c r="N26" s="186"/>
    </row>
    <row r="27" spans="1:14">
      <c r="A27" s="43">
        <v>24</v>
      </c>
      <c r="B27" s="212">
        <v>46258</v>
      </c>
      <c r="C27" s="64"/>
      <c r="D27" s="309"/>
      <c r="E27" s="14">
        <v>41</v>
      </c>
      <c r="F27" s="14">
        <v>104.68</v>
      </c>
      <c r="G27" s="8">
        <f t="shared" si="0"/>
        <v>4291.88</v>
      </c>
      <c r="H27" s="62">
        <v>10</v>
      </c>
      <c r="I27" s="63">
        <v>116.96</v>
      </c>
      <c r="J27" s="8">
        <f t="shared" si="2"/>
        <v>1169.5999999999999</v>
      </c>
      <c r="K27" s="8">
        <f t="shared" si="3"/>
        <v>5461.48</v>
      </c>
      <c r="L27" s="65">
        <v>0</v>
      </c>
      <c r="M27" s="65">
        <f t="shared" si="1"/>
        <v>16753.571200000006</v>
      </c>
      <c r="N27" s="186"/>
    </row>
    <row r="28" spans="1:14">
      <c r="A28" s="189">
        <v>25</v>
      </c>
      <c r="B28" s="212">
        <v>46259</v>
      </c>
      <c r="C28" s="64"/>
      <c r="D28" s="309"/>
      <c r="E28" s="14">
        <v>98.8</v>
      </c>
      <c r="F28" s="14">
        <v>104.68</v>
      </c>
      <c r="G28" s="8">
        <f t="shared" si="0"/>
        <v>10342.384</v>
      </c>
      <c r="H28" s="62"/>
      <c r="I28" s="63"/>
      <c r="J28" s="8">
        <f t="shared" si="2"/>
        <v>0</v>
      </c>
      <c r="K28" s="8">
        <f t="shared" si="3"/>
        <v>10342.384</v>
      </c>
      <c r="L28" s="65">
        <v>0</v>
      </c>
      <c r="M28" s="65">
        <f t="shared" si="1"/>
        <v>27095.955200000004</v>
      </c>
      <c r="N28" s="186"/>
    </row>
    <row r="29" spans="1:14">
      <c r="A29" s="189">
        <v>26</v>
      </c>
      <c r="B29" s="212">
        <v>46260</v>
      </c>
      <c r="C29" s="64"/>
      <c r="D29" s="309"/>
      <c r="E29" s="14">
        <v>91</v>
      </c>
      <c r="F29" s="14">
        <v>104.68</v>
      </c>
      <c r="G29" s="8">
        <f t="shared" si="0"/>
        <v>9525.880000000001</v>
      </c>
      <c r="H29" s="62"/>
      <c r="I29" s="63"/>
      <c r="J29" s="8">
        <f t="shared" si="2"/>
        <v>0</v>
      </c>
      <c r="K29" s="8">
        <f t="shared" si="3"/>
        <v>9525.880000000001</v>
      </c>
      <c r="L29" s="65">
        <v>0</v>
      </c>
      <c r="M29" s="65">
        <f t="shared" si="1"/>
        <v>36621.835200000001</v>
      </c>
      <c r="N29" s="186"/>
    </row>
    <row r="30" spans="1:14">
      <c r="A30" s="43">
        <v>27</v>
      </c>
      <c r="B30" s="212">
        <v>46261</v>
      </c>
      <c r="C30" s="64"/>
      <c r="D30" s="309"/>
      <c r="E30" s="14">
        <v>130</v>
      </c>
      <c r="F30" s="14">
        <v>104.68</v>
      </c>
      <c r="G30" s="8">
        <f t="shared" si="0"/>
        <v>13608.400000000001</v>
      </c>
      <c r="H30" s="62"/>
      <c r="I30" s="63"/>
      <c r="J30" s="8">
        <f t="shared" si="2"/>
        <v>0</v>
      </c>
      <c r="K30" s="8">
        <f t="shared" si="3"/>
        <v>13608.400000000001</v>
      </c>
      <c r="L30" s="65">
        <v>0</v>
      </c>
      <c r="M30" s="65">
        <f t="shared" si="1"/>
        <v>50230.235200000003</v>
      </c>
      <c r="N30" s="186"/>
    </row>
    <row r="31" spans="1:14">
      <c r="A31" s="189">
        <v>28</v>
      </c>
      <c r="B31" s="212">
        <v>46262</v>
      </c>
      <c r="C31" s="64"/>
      <c r="D31" s="152"/>
      <c r="E31" s="14">
        <v>146</v>
      </c>
      <c r="F31" s="14">
        <v>104.68</v>
      </c>
      <c r="G31" s="16">
        <f t="shared" si="0"/>
        <v>15283.28</v>
      </c>
      <c r="H31" s="62">
        <v>10</v>
      </c>
      <c r="I31" s="63">
        <v>116.96</v>
      </c>
      <c r="J31" s="16">
        <f t="shared" si="2"/>
        <v>1169.5999999999999</v>
      </c>
      <c r="K31" s="16">
        <f t="shared" si="3"/>
        <v>16452.88</v>
      </c>
      <c r="L31" s="126">
        <v>50230</v>
      </c>
      <c r="M31" s="65">
        <f t="shared" si="1"/>
        <v>16453.1152</v>
      </c>
      <c r="N31" s="8"/>
    </row>
    <row r="32" spans="1:14">
      <c r="A32" s="189">
        <v>29</v>
      </c>
      <c r="B32" s="212">
        <v>46263</v>
      </c>
      <c r="C32" s="64"/>
      <c r="D32" s="152"/>
      <c r="E32" s="14"/>
      <c r="F32" s="14"/>
      <c r="G32" s="8">
        <f t="shared" si="0"/>
        <v>0</v>
      </c>
      <c r="H32" s="62">
        <v>5</v>
      </c>
      <c r="I32" s="63">
        <v>116.96</v>
      </c>
      <c r="J32" s="8">
        <f t="shared" si="2"/>
        <v>584.79999999999995</v>
      </c>
      <c r="K32" s="8">
        <f t="shared" si="3"/>
        <v>584.79999999999995</v>
      </c>
      <c r="L32" s="65"/>
      <c r="M32" s="65">
        <f t="shared" si="1"/>
        <v>17037.915199999999</v>
      </c>
      <c r="N32" s="8"/>
    </row>
    <row r="33" spans="1:14">
      <c r="A33" s="43">
        <v>30</v>
      </c>
      <c r="B33" s="212">
        <v>46264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2"/>
        <v>0</v>
      </c>
      <c r="K33" s="8">
        <f t="shared" si="3"/>
        <v>0</v>
      </c>
      <c r="L33" s="65">
        <v>0</v>
      </c>
      <c r="M33" s="65">
        <f t="shared" si="1"/>
        <v>17037.915199999999</v>
      </c>
      <c r="N33" s="8"/>
    </row>
    <row r="34" spans="1:14">
      <c r="A34" s="189">
        <v>31</v>
      </c>
      <c r="B34" s="212">
        <v>46265</v>
      </c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2"/>
        <v>0</v>
      </c>
      <c r="K34" s="8">
        <f t="shared" si="3"/>
        <v>0</v>
      </c>
      <c r="L34" s="65">
        <f t="shared" ref="L22:L37" si="4">+K34</f>
        <v>0</v>
      </c>
      <c r="M34" s="65">
        <f t="shared" si="1"/>
        <v>17037.915199999999</v>
      </c>
      <c r="N34" s="8"/>
    </row>
    <row r="35" spans="1:14">
      <c r="A35" s="189">
        <v>32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>
        <f t="shared" si="4"/>
        <v>0</v>
      </c>
      <c r="M35" s="65">
        <f t="shared" si="1"/>
        <v>17037.915199999999</v>
      </c>
      <c r="N35" s="8"/>
    </row>
    <row r="36" spans="1:14">
      <c r="A36" s="43">
        <v>33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>
        <f t="shared" si="4"/>
        <v>0</v>
      </c>
      <c r="M36" s="65">
        <f t="shared" si="1"/>
        <v>17037.915199999999</v>
      </c>
      <c r="N36" s="8"/>
    </row>
    <row r="37" spans="1:14">
      <c r="A37" s="59"/>
      <c r="B37" s="59"/>
      <c r="C37" s="59"/>
      <c r="D37" s="59"/>
      <c r="E37" s="250">
        <f>SUM(E4:E36)</f>
        <v>879.64</v>
      </c>
      <c r="F37" s="250"/>
      <c r="G37" s="60">
        <f>SUM(G4:G36)</f>
        <v>92080.715200000006</v>
      </c>
      <c r="H37" s="60">
        <f>SUM(H4:H36)</f>
        <v>70</v>
      </c>
      <c r="I37" s="60"/>
      <c r="J37" s="60">
        <f>SUM(J4:J36)</f>
        <v>8187.2</v>
      </c>
      <c r="K37" s="60">
        <f>SUM(K4:K36)</f>
        <v>100267.9152</v>
      </c>
      <c r="L37" s="60">
        <f>SUM(L4:L36)</f>
        <v>83230</v>
      </c>
      <c r="M37" s="60"/>
      <c r="N37" s="60"/>
    </row>
  </sheetData>
  <mergeCells count="2">
    <mergeCell ref="A1:N1"/>
    <mergeCell ref="A3:L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6"/>
  <sheetViews>
    <sheetView topLeftCell="A6" workbookViewId="0"/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67" t="s">
        <v>197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248" t="s">
        <v>173</v>
      </c>
      <c r="F2" s="248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  <c r="O3" s="56"/>
    </row>
    <row r="4" spans="1:18">
      <c r="A4" s="189">
        <v>1</v>
      </c>
      <c r="B4" s="212">
        <v>46204</v>
      </c>
      <c r="C4" s="64"/>
      <c r="D4" s="152"/>
      <c r="E4" s="249"/>
      <c r="F4" s="249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8">
      <c r="A5" s="189"/>
      <c r="B5" s="212">
        <v>46205</v>
      </c>
      <c r="C5" s="64"/>
      <c r="D5" s="73"/>
      <c r="E5" s="249"/>
      <c r="F5" s="249"/>
      <c r="G5" s="8"/>
      <c r="H5" s="62"/>
      <c r="I5" s="63"/>
      <c r="J5" s="8">
        <f>H5*I5</f>
        <v>0</v>
      </c>
      <c r="K5" s="8">
        <f>G5+J5</f>
        <v>0</v>
      </c>
      <c r="L5" s="65">
        <f>+K5</f>
        <v>0</v>
      </c>
      <c r="M5" s="65"/>
      <c r="N5" s="175"/>
    </row>
    <row r="6" spans="1:18">
      <c r="A6" s="43">
        <v>2</v>
      </c>
      <c r="B6" s="212">
        <v>46206</v>
      </c>
      <c r="C6" s="64"/>
      <c r="E6" s="249"/>
      <c r="F6" s="249"/>
      <c r="G6" s="8">
        <f t="shared" si="0"/>
        <v>0</v>
      </c>
      <c r="H6" s="62"/>
      <c r="I6" s="63"/>
      <c r="J6" s="8">
        <f t="shared" ref="J6:J36" si="1">H6*I6</f>
        <v>0</v>
      </c>
      <c r="K6" s="8">
        <f t="shared" ref="K6:K36" si="2">G6+J6</f>
        <v>0</v>
      </c>
      <c r="L6" s="65">
        <f t="shared" ref="L6:L36" si="3">+K6</f>
        <v>0</v>
      </c>
      <c r="M6" s="65">
        <v>0</v>
      </c>
      <c r="N6" s="175" t="s">
        <v>230</v>
      </c>
    </row>
    <row r="7" spans="1:18">
      <c r="A7" s="43">
        <v>3</v>
      </c>
      <c r="B7" s="212">
        <v>46207</v>
      </c>
      <c r="C7" s="64"/>
      <c r="D7" s="152"/>
      <c r="E7" s="249"/>
      <c r="F7" s="249"/>
      <c r="G7" s="8">
        <f t="shared" si="0"/>
        <v>0</v>
      </c>
      <c r="H7" s="62"/>
      <c r="I7" s="63"/>
      <c r="J7" s="8">
        <f t="shared" si="1"/>
        <v>0</v>
      </c>
      <c r="K7" s="8">
        <f t="shared" si="2"/>
        <v>0</v>
      </c>
      <c r="L7" s="65">
        <f t="shared" si="3"/>
        <v>0</v>
      </c>
      <c r="M7" s="361">
        <v>0</v>
      </c>
      <c r="N7" s="14"/>
    </row>
    <row r="8" spans="1:18">
      <c r="A8" s="43">
        <v>4</v>
      </c>
      <c r="B8" s="212">
        <v>46208</v>
      </c>
      <c r="C8" s="64"/>
      <c r="D8" s="152"/>
      <c r="E8" s="249"/>
      <c r="F8" s="249"/>
      <c r="G8" s="8">
        <f t="shared" si="0"/>
        <v>0</v>
      </c>
      <c r="H8" s="62"/>
      <c r="I8" s="63"/>
      <c r="J8" s="8">
        <f t="shared" si="1"/>
        <v>0</v>
      </c>
      <c r="K8" s="8">
        <f t="shared" si="2"/>
        <v>0</v>
      </c>
      <c r="L8" s="65">
        <f t="shared" si="3"/>
        <v>0</v>
      </c>
      <c r="M8" s="361">
        <v>0</v>
      </c>
      <c r="N8" s="8"/>
    </row>
    <row r="9" spans="1:18">
      <c r="A9" s="43">
        <v>5</v>
      </c>
      <c r="B9" s="212">
        <v>46209</v>
      </c>
      <c r="C9" s="64"/>
      <c r="D9" s="152"/>
      <c r="E9" s="249"/>
      <c r="F9" s="249"/>
      <c r="G9" s="8">
        <f t="shared" si="0"/>
        <v>0</v>
      </c>
      <c r="H9" s="62"/>
      <c r="I9" s="63"/>
      <c r="J9" s="8">
        <f t="shared" si="1"/>
        <v>0</v>
      </c>
      <c r="K9" s="8">
        <f t="shared" si="2"/>
        <v>0</v>
      </c>
      <c r="L9" s="65">
        <f t="shared" si="3"/>
        <v>0</v>
      </c>
      <c r="M9" s="361">
        <v>0</v>
      </c>
      <c r="N9" s="8"/>
      <c r="O9" s="66"/>
      <c r="R9" s="218"/>
    </row>
    <row r="10" spans="1:18">
      <c r="A10" s="43">
        <v>6</v>
      </c>
      <c r="B10" s="212">
        <v>46210</v>
      </c>
      <c r="C10" s="64"/>
      <c r="D10" s="152"/>
      <c r="E10" s="249"/>
      <c r="F10" s="249"/>
      <c r="G10" s="8">
        <f t="shared" si="0"/>
        <v>0</v>
      </c>
      <c r="H10" s="62"/>
      <c r="I10" s="63"/>
      <c r="J10" s="8">
        <f t="shared" si="1"/>
        <v>0</v>
      </c>
      <c r="K10" s="8">
        <f t="shared" si="2"/>
        <v>0</v>
      </c>
      <c r="L10" s="65">
        <f t="shared" si="3"/>
        <v>0</v>
      </c>
      <c r="M10" s="65">
        <v>0</v>
      </c>
      <c r="N10" s="16" t="s">
        <v>231</v>
      </c>
      <c r="O10" s="66"/>
    </row>
    <row r="11" spans="1:18">
      <c r="A11" s="43">
        <v>7</v>
      </c>
      <c r="B11" s="212">
        <v>46211</v>
      </c>
      <c r="C11" s="64"/>
      <c r="D11" s="152"/>
      <c r="E11" s="249"/>
      <c r="F11" s="249"/>
      <c r="G11" s="8">
        <f t="shared" si="0"/>
        <v>0</v>
      </c>
      <c r="H11" s="62"/>
      <c r="I11" s="63"/>
      <c r="J11" s="8">
        <f t="shared" si="1"/>
        <v>0</v>
      </c>
      <c r="K11" s="8">
        <f t="shared" si="2"/>
        <v>0</v>
      </c>
      <c r="L11" s="65">
        <f t="shared" si="3"/>
        <v>0</v>
      </c>
      <c r="M11" s="65">
        <v>0</v>
      </c>
      <c r="N11" s="8"/>
      <c r="O11" s="66">
        <v>169.99</v>
      </c>
    </row>
    <row r="12" spans="1:18">
      <c r="A12" s="43">
        <v>8</v>
      </c>
      <c r="B12" s="212">
        <v>46212</v>
      </c>
      <c r="C12" s="64"/>
      <c r="D12" s="152"/>
      <c r="E12" s="249"/>
      <c r="F12" s="249"/>
      <c r="G12" s="8">
        <f t="shared" si="0"/>
        <v>0</v>
      </c>
      <c r="H12" s="62"/>
      <c r="I12" s="63"/>
      <c r="J12" s="8">
        <f t="shared" si="1"/>
        <v>0</v>
      </c>
      <c r="K12" s="8">
        <f t="shared" si="2"/>
        <v>0</v>
      </c>
      <c r="L12" s="65">
        <f t="shared" si="3"/>
        <v>0</v>
      </c>
      <c r="M12" s="65">
        <v>0</v>
      </c>
      <c r="N12" s="8"/>
      <c r="O12" s="66">
        <v>80</v>
      </c>
    </row>
    <row r="13" spans="1:18">
      <c r="A13" s="43">
        <v>9</v>
      </c>
      <c r="B13" s="212">
        <v>46213</v>
      </c>
      <c r="C13" s="64"/>
      <c r="D13" s="152"/>
      <c r="E13" s="249"/>
      <c r="F13" s="249"/>
      <c r="G13" s="8">
        <f t="shared" si="0"/>
        <v>0</v>
      </c>
      <c r="H13" s="62"/>
      <c r="I13" s="63"/>
      <c r="J13" s="8">
        <f t="shared" si="1"/>
        <v>0</v>
      </c>
      <c r="K13" s="8">
        <f t="shared" si="2"/>
        <v>0</v>
      </c>
      <c r="L13" s="65">
        <f t="shared" si="3"/>
        <v>0</v>
      </c>
      <c r="M13" s="65">
        <v>0</v>
      </c>
      <c r="N13" s="8"/>
      <c r="O13" s="66">
        <f>SUM(O11:O12)</f>
        <v>249.99</v>
      </c>
      <c r="P13">
        <v>97.76</v>
      </c>
      <c r="Q13">
        <f>O13*P13</f>
        <v>24439.022400000002</v>
      </c>
    </row>
    <row r="14" spans="1:18">
      <c r="A14" s="43">
        <v>10</v>
      </c>
      <c r="B14" s="212">
        <v>46214</v>
      </c>
      <c r="C14" s="64"/>
      <c r="D14" s="152"/>
      <c r="E14" s="249"/>
      <c r="F14" s="249"/>
      <c r="G14" s="8">
        <f t="shared" si="0"/>
        <v>0</v>
      </c>
      <c r="H14" s="62"/>
      <c r="I14" s="63"/>
      <c r="J14" s="8">
        <f t="shared" si="1"/>
        <v>0</v>
      </c>
      <c r="K14" s="8">
        <f t="shared" si="2"/>
        <v>0</v>
      </c>
      <c r="L14" s="65">
        <f t="shared" si="3"/>
        <v>0</v>
      </c>
      <c r="M14" s="65">
        <v>0</v>
      </c>
      <c r="N14" s="8"/>
      <c r="O14" s="66"/>
    </row>
    <row r="15" spans="1:18">
      <c r="A15" s="43">
        <v>11</v>
      </c>
      <c r="B15" s="212">
        <v>46215</v>
      </c>
      <c r="C15" s="64"/>
      <c r="D15" s="152"/>
      <c r="E15" s="249"/>
      <c r="F15" s="249"/>
      <c r="G15" s="8">
        <f t="shared" si="0"/>
        <v>0</v>
      </c>
      <c r="H15" s="62"/>
      <c r="I15" s="63"/>
      <c r="J15" s="8">
        <f t="shared" si="1"/>
        <v>0</v>
      </c>
      <c r="K15" s="8">
        <f>G15+J15</f>
        <v>0</v>
      </c>
      <c r="L15" s="65">
        <f>+K15</f>
        <v>0</v>
      </c>
      <c r="M15" s="65">
        <v>0</v>
      </c>
      <c r="N15" s="8"/>
      <c r="O15" s="66"/>
    </row>
    <row r="16" spans="1:18">
      <c r="A16" s="43">
        <v>12</v>
      </c>
      <c r="B16" s="212">
        <v>46216</v>
      </c>
      <c r="C16" s="64"/>
      <c r="D16" s="152"/>
      <c r="E16" s="249"/>
      <c r="F16" s="249"/>
      <c r="G16" s="8">
        <f t="shared" si="0"/>
        <v>0</v>
      </c>
      <c r="H16" s="62"/>
      <c r="I16" s="63"/>
      <c r="J16" s="8">
        <f t="shared" si="1"/>
        <v>0</v>
      </c>
      <c r="K16" s="8">
        <f t="shared" si="2"/>
        <v>0</v>
      </c>
      <c r="L16" s="65">
        <f t="shared" si="3"/>
        <v>0</v>
      </c>
      <c r="M16" s="65">
        <v>0</v>
      </c>
      <c r="N16" s="8"/>
      <c r="O16" s="66"/>
      <c r="P16">
        <v>7820.8</v>
      </c>
    </row>
    <row r="17" spans="1:16">
      <c r="A17" s="43">
        <v>13</v>
      </c>
      <c r="B17" s="212">
        <v>46217</v>
      </c>
      <c r="C17" s="64"/>
      <c r="D17" s="152"/>
      <c r="E17" s="249"/>
      <c r="F17" s="249"/>
      <c r="G17" s="8">
        <f t="shared" si="0"/>
        <v>0</v>
      </c>
      <c r="H17" s="62">
        <v>3.4</v>
      </c>
      <c r="I17" s="63">
        <v>117.46</v>
      </c>
      <c r="J17" s="8">
        <f t="shared" si="1"/>
        <v>399.36399999999998</v>
      </c>
      <c r="K17" s="8">
        <f t="shared" si="2"/>
        <v>399.36399999999998</v>
      </c>
      <c r="L17" s="65">
        <f t="shared" si="3"/>
        <v>399.36399999999998</v>
      </c>
      <c r="M17" s="65">
        <v>0</v>
      </c>
      <c r="N17" s="8"/>
      <c r="O17" s="66"/>
      <c r="P17">
        <v>16619.2</v>
      </c>
    </row>
    <row r="18" spans="1:16">
      <c r="A18" s="43">
        <v>14</v>
      </c>
      <c r="B18" s="212">
        <v>46218</v>
      </c>
      <c r="C18" s="64"/>
      <c r="D18" s="152"/>
      <c r="E18" s="249"/>
      <c r="F18" s="249"/>
      <c r="G18" s="8">
        <f t="shared" si="0"/>
        <v>0</v>
      </c>
      <c r="H18" s="62"/>
      <c r="I18" s="63"/>
      <c r="J18" s="8">
        <f t="shared" si="1"/>
        <v>0</v>
      </c>
      <c r="K18" s="8">
        <f t="shared" si="2"/>
        <v>0</v>
      </c>
      <c r="L18" s="65">
        <f t="shared" si="3"/>
        <v>0</v>
      </c>
      <c r="M18" s="65">
        <v>0</v>
      </c>
      <c r="N18" s="8"/>
      <c r="O18" s="66"/>
      <c r="P18">
        <f>SUM(P16:P17)</f>
        <v>24440</v>
      </c>
    </row>
    <row r="19" spans="1:16">
      <c r="A19" s="43">
        <v>15</v>
      </c>
      <c r="B19" s="212">
        <v>46219</v>
      </c>
      <c r="C19" s="64"/>
      <c r="D19" s="152"/>
      <c r="E19" s="310"/>
      <c r="F19" s="310"/>
      <c r="G19" s="175">
        <f t="shared" si="0"/>
        <v>0</v>
      </c>
      <c r="H19" s="62"/>
      <c r="I19" s="63"/>
      <c r="J19" s="175">
        <f t="shared" si="1"/>
        <v>0</v>
      </c>
      <c r="K19" s="175">
        <f t="shared" si="2"/>
        <v>0</v>
      </c>
      <c r="L19" s="311">
        <f t="shared" si="3"/>
        <v>0</v>
      </c>
      <c r="M19" s="311">
        <v>0</v>
      </c>
      <c r="N19" s="8"/>
      <c r="O19" s="66"/>
    </row>
    <row r="20" spans="1:16">
      <c r="A20" s="43">
        <v>16</v>
      </c>
      <c r="B20" s="212">
        <v>46220</v>
      </c>
      <c r="C20" s="64"/>
      <c r="D20" s="309"/>
      <c r="E20" s="249"/>
      <c r="F20" s="249"/>
      <c r="G20" s="8">
        <f t="shared" si="0"/>
        <v>0</v>
      </c>
      <c r="H20" s="62"/>
      <c r="I20" s="63"/>
      <c r="J20" s="8">
        <f t="shared" si="1"/>
        <v>0</v>
      </c>
      <c r="K20" s="8">
        <f t="shared" si="2"/>
        <v>0</v>
      </c>
      <c r="L20" s="65">
        <f>+K20</f>
        <v>0</v>
      </c>
      <c r="M20" s="65">
        <v>0</v>
      </c>
      <c r="N20" s="186"/>
      <c r="O20" s="66"/>
    </row>
    <row r="21" spans="1:16">
      <c r="A21" s="43">
        <v>17</v>
      </c>
      <c r="B21" s="212">
        <v>46221</v>
      </c>
      <c r="C21" s="64"/>
      <c r="D21" s="309"/>
      <c r="E21" s="249"/>
      <c r="F21" s="249"/>
      <c r="G21" s="8">
        <f t="shared" si="0"/>
        <v>0</v>
      </c>
      <c r="H21" s="62"/>
      <c r="I21" s="63"/>
      <c r="J21" s="8">
        <f t="shared" si="1"/>
        <v>0</v>
      </c>
      <c r="K21" s="8">
        <f t="shared" si="2"/>
        <v>0</v>
      </c>
      <c r="L21" s="65">
        <f t="shared" si="3"/>
        <v>0</v>
      </c>
      <c r="M21" s="65">
        <v>0</v>
      </c>
      <c r="N21" s="186"/>
      <c r="O21" s="66"/>
    </row>
    <row r="22" spans="1:16">
      <c r="A22" s="43">
        <v>18</v>
      </c>
      <c r="B22" s="212">
        <v>46222</v>
      </c>
      <c r="C22" s="64"/>
      <c r="D22" s="309"/>
      <c r="E22" s="14"/>
      <c r="F22" s="14"/>
      <c r="G22" s="8">
        <f t="shared" si="0"/>
        <v>0</v>
      </c>
      <c r="H22" s="62"/>
      <c r="I22" s="63"/>
      <c r="J22" s="8">
        <f t="shared" si="1"/>
        <v>0</v>
      </c>
      <c r="K22" s="8">
        <f t="shared" si="2"/>
        <v>0</v>
      </c>
      <c r="L22" s="65">
        <f t="shared" si="3"/>
        <v>0</v>
      </c>
      <c r="M22" s="65">
        <v>0</v>
      </c>
      <c r="N22" s="186"/>
      <c r="O22" s="66"/>
    </row>
    <row r="23" spans="1:16">
      <c r="A23" s="43">
        <v>19</v>
      </c>
      <c r="B23" s="212">
        <v>46223</v>
      </c>
      <c r="C23" s="64"/>
      <c r="D23" s="309"/>
      <c r="E23" s="14"/>
      <c r="F23" s="14"/>
      <c r="G23" s="8">
        <f t="shared" si="0"/>
        <v>0</v>
      </c>
      <c r="H23" s="62"/>
      <c r="I23" s="63"/>
      <c r="J23" s="8">
        <f t="shared" si="1"/>
        <v>0</v>
      </c>
      <c r="K23" s="8">
        <f t="shared" si="2"/>
        <v>0</v>
      </c>
      <c r="L23" s="65">
        <f t="shared" si="3"/>
        <v>0</v>
      </c>
      <c r="M23" s="65">
        <v>0</v>
      </c>
      <c r="N23" s="186"/>
      <c r="O23" s="66"/>
    </row>
    <row r="24" spans="1:16">
      <c r="A24" s="43">
        <v>20</v>
      </c>
      <c r="B24" s="212">
        <v>46224</v>
      </c>
      <c r="C24" s="64"/>
      <c r="D24" s="309"/>
      <c r="E24" s="14"/>
      <c r="F24" s="14"/>
      <c r="G24" s="8">
        <f t="shared" si="0"/>
        <v>0</v>
      </c>
      <c r="H24" s="62"/>
      <c r="I24" s="63"/>
      <c r="J24" s="8">
        <f t="shared" si="1"/>
        <v>0</v>
      </c>
      <c r="K24" s="8">
        <f t="shared" si="2"/>
        <v>0</v>
      </c>
      <c r="L24" s="65">
        <f t="shared" si="3"/>
        <v>0</v>
      </c>
      <c r="M24" s="65">
        <v>0</v>
      </c>
      <c r="N24" s="186"/>
      <c r="O24" s="66"/>
    </row>
    <row r="25" spans="1:16">
      <c r="A25" s="43">
        <v>21</v>
      </c>
      <c r="B25" s="212">
        <v>46225</v>
      </c>
      <c r="C25" s="64"/>
      <c r="D25" s="309"/>
      <c r="E25" s="14"/>
      <c r="F25" s="14"/>
      <c r="G25" s="8">
        <f t="shared" si="0"/>
        <v>0</v>
      </c>
      <c r="H25" s="62"/>
      <c r="I25" s="63"/>
      <c r="J25" s="8">
        <f t="shared" si="1"/>
        <v>0</v>
      </c>
      <c r="K25" s="8">
        <f t="shared" si="2"/>
        <v>0</v>
      </c>
      <c r="L25" s="65">
        <f t="shared" si="3"/>
        <v>0</v>
      </c>
      <c r="M25" s="65">
        <v>0</v>
      </c>
      <c r="N25" s="186"/>
      <c r="O25" s="66"/>
    </row>
    <row r="26" spans="1:16">
      <c r="A26" s="43">
        <v>22</v>
      </c>
      <c r="B26" s="212">
        <v>46226</v>
      </c>
      <c r="C26" s="64"/>
      <c r="D26" s="309"/>
      <c r="E26" s="14"/>
      <c r="F26" s="14"/>
      <c r="G26" s="8">
        <f t="shared" si="0"/>
        <v>0</v>
      </c>
      <c r="H26" s="62"/>
      <c r="I26" s="63"/>
      <c r="J26" s="8">
        <f t="shared" si="1"/>
        <v>0</v>
      </c>
      <c r="K26" s="8">
        <f t="shared" si="2"/>
        <v>0</v>
      </c>
      <c r="L26" s="65">
        <f t="shared" si="3"/>
        <v>0</v>
      </c>
      <c r="M26" s="65">
        <v>0</v>
      </c>
      <c r="N26" s="186"/>
      <c r="O26" s="66"/>
    </row>
    <row r="27" spans="1:16">
      <c r="A27" s="43">
        <v>23</v>
      </c>
      <c r="B27" s="212">
        <v>46227</v>
      </c>
      <c r="C27" s="64"/>
      <c r="D27" s="309"/>
      <c r="E27" s="14"/>
      <c r="F27" s="14"/>
      <c r="G27" s="8">
        <f t="shared" si="0"/>
        <v>0</v>
      </c>
      <c r="H27" s="62"/>
      <c r="I27" s="63"/>
      <c r="J27" s="8">
        <f t="shared" si="1"/>
        <v>0</v>
      </c>
      <c r="K27" s="8">
        <f t="shared" si="2"/>
        <v>0</v>
      </c>
      <c r="L27" s="65">
        <f t="shared" si="3"/>
        <v>0</v>
      </c>
      <c r="M27" s="65">
        <v>0</v>
      </c>
      <c r="N27" s="186"/>
      <c r="O27" s="66"/>
    </row>
    <row r="28" spans="1:16">
      <c r="A28" s="43">
        <v>24</v>
      </c>
      <c r="B28" s="212">
        <v>46228</v>
      </c>
      <c r="C28" s="64"/>
      <c r="D28" s="309"/>
      <c r="E28" s="14"/>
      <c r="F28" s="14"/>
      <c r="G28" s="8">
        <f t="shared" si="0"/>
        <v>0</v>
      </c>
      <c r="H28" s="62"/>
      <c r="I28" s="63"/>
      <c r="J28" s="8">
        <f t="shared" si="1"/>
        <v>0</v>
      </c>
      <c r="K28" s="8">
        <f t="shared" si="2"/>
        <v>0</v>
      </c>
      <c r="L28" s="65">
        <f t="shared" si="3"/>
        <v>0</v>
      </c>
      <c r="M28" s="65">
        <v>0</v>
      </c>
      <c r="N28" s="186"/>
      <c r="O28" s="66"/>
    </row>
    <row r="29" spans="1:16">
      <c r="A29" s="214">
        <v>25</v>
      </c>
      <c r="B29" s="212">
        <v>46229</v>
      </c>
      <c r="C29" s="64"/>
      <c r="D29" s="309"/>
      <c r="E29" s="14"/>
      <c r="F29" s="14"/>
      <c r="G29" s="8">
        <f t="shared" si="0"/>
        <v>0</v>
      </c>
      <c r="H29" s="62"/>
      <c r="I29" s="63"/>
      <c r="J29" s="8">
        <f t="shared" si="1"/>
        <v>0</v>
      </c>
      <c r="K29" s="8">
        <f t="shared" si="2"/>
        <v>0</v>
      </c>
      <c r="L29" s="65">
        <f t="shared" si="3"/>
        <v>0</v>
      </c>
      <c r="M29" s="65">
        <v>0</v>
      </c>
      <c r="N29" s="186"/>
      <c r="O29" s="66"/>
    </row>
    <row r="30" spans="1:16">
      <c r="A30" s="214"/>
      <c r="B30" s="212">
        <v>46230</v>
      </c>
      <c r="C30" s="64"/>
      <c r="D30" s="309"/>
      <c r="E30" s="14"/>
      <c r="F30" s="14"/>
      <c r="G30" s="16"/>
      <c r="H30" s="62"/>
      <c r="I30" s="63"/>
      <c r="J30" s="8">
        <f t="shared" si="1"/>
        <v>0</v>
      </c>
      <c r="K30" s="8">
        <f t="shared" si="2"/>
        <v>0</v>
      </c>
      <c r="L30" s="65">
        <f t="shared" si="3"/>
        <v>0</v>
      </c>
      <c r="M30" s="126"/>
      <c r="N30" s="186"/>
      <c r="O30" s="66"/>
    </row>
    <row r="31" spans="1:16">
      <c r="A31" s="214">
        <v>26</v>
      </c>
      <c r="B31" s="212">
        <v>46231</v>
      </c>
      <c r="C31" s="64"/>
      <c r="D31" s="152"/>
      <c r="E31" s="14"/>
      <c r="F31" s="14"/>
      <c r="G31" s="16">
        <f t="shared" si="0"/>
        <v>0</v>
      </c>
      <c r="H31" s="62"/>
      <c r="I31" s="63"/>
      <c r="J31" s="16">
        <f t="shared" si="1"/>
        <v>0</v>
      </c>
      <c r="K31" s="16">
        <f t="shared" si="2"/>
        <v>0</v>
      </c>
      <c r="L31" s="126">
        <f t="shared" si="3"/>
        <v>0</v>
      </c>
      <c r="M31" s="126">
        <v>0</v>
      </c>
      <c r="N31" s="8"/>
      <c r="O31" s="66"/>
    </row>
    <row r="32" spans="1:16">
      <c r="A32" s="214">
        <v>27</v>
      </c>
      <c r="B32" s="212">
        <v>46232</v>
      </c>
      <c r="C32" s="64"/>
      <c r="D32" s="152"/>
      <c r="E32" s="14"/>
      <c r="F32" s="14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4">
        <v>28</v>
      </c>
      <c r="B33" s="212">
        <v>46233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5">
        <v>29</v>
      </c>
      <c r="B34" s="212">
        <v>46234</v>
      </c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f t="shared" si="3"/>
        <v>0</v>
      </c>
      <c r="M34" s="65">
        <v>0</v>
      </c>
      <c r="N34" s="8"/>
      <c r="O34" s="66"/>
    </row>
    <row r="35" spans="1:15">
      <c r="A35" s="215">
        <v>30</v>
      </c>
      <c r="B35" s="212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>
        <f t="shared" si="3"/>
        <v>0</v>
      </c>
      <c r="M35" s="65">
        <v>0</v>
      </c>
      <c r="N35" s="8"/>
      <c r="O35" s="66"/>
    </row>
    <row r="36" spans="1:15">
      <c r="A36" s="215">
        <v>31</v>
      </c>
      <c r="B36" s="212"/>
      <c r="C36" s="64"/>
      <c r="D36" s="152"/>
      <c r="E36" s="249"/>
      <c r="F36" s="14"/>
      <c r="G36" s="8">
        <f t="shared" si="0"/>
        <v>0</v>
      </c>
      <c r="H36" s="62"/>
      <c r="I36" s="63"/>
      <c r="J36" s="8">
        <f t="shared" si="1"/>
        <v>0</v>
      </c>
      <c r="K36" s="8">
        <f t="shared" si="2"/>
        <v>0</v>
      </c>
      <c r="L36" s="65">
        <f t="shared" si="3"/>
        <v>0</v>
      </c>
      <c r="M36" s="65">
        <v>0</v>
      </c>
      <c r="N36" s="8"/>
      <c r="O36" s="66"/>
    </row>
    <row r="37" spans="1:15">
      <c r="A37" s="59"/>
      <c r="B37" s="59"/>
      <c r="C37" s="59"/>
      <c r="D37" s="59"/>
      <c r="E37" s="250">
        <f>SUM(E4:E36)</f>
        <v>0</v>
      </c>
      <c r="F37" s="250"/>
      <c r="G37" s="60">
        <f>SUM(G4:G36)</f>
        <v>0</v>
      </c>
      <c r="H37" s="60">
        <f>SUM(H4:H36)</f>
        <v>3.4</v>
      </c>
      <c r="I37" s="60"/>
      <c r="J37" s="60">
        <f>SUM(J4:J36)</f>
        <v>399.36399999999998</v>
      </c>
      <c r="K37" s="60">
        <f>SUM(K4:K36)</f>
        <v>399.36399999999998</v>
      </c>
      <c r="L37" s="60">
        <f>SUM(L4:L36)</f>
        <v>399.36399999999998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3" activePane="bottomLeft" state="frozen"/>
      <selection pane="bottomLeft" activeCell="Q33" sqref="Q33"/>
    </sheetView>
  </sheetViews>
  <sheetFormatPr defaultColWidth="12.28515625" defaultRowHeight="12.75"/>
  <cols>
    <col min="1" max="1" width="8.42578125" style="58" customWidth="1"/>
    <col min="2" max="3" width="12.28515625" style="58"/>
    <col min="4" max="4" width="13.5703125" style="58" customWidth="1"/>
    <col min="5" max="5" width="12.28515625" style="58"/>
    <col min="6" max="6" width="13.7109375" style="58" bestFit="1" customWidth="1"/>
    <col min="7" max="16384" width="12.28515625" style="58"/>
  </cols>
  <sheetData>
    <row r="1" spans="1:15" ht="15.75" customHeight="1">
      <c r="A1" s="555" t="s">
        <v>109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7"/>
    </row>
    <row r="2" spans="1:15" ht="15.75" customHeight="1">
      <c r="A2" s="84" t="s">
        <v>0</v>
      </c>
      <c r="B2" s="85" t="s">
        <v>170</v>
      </c>
      <c r="C2" s="85" t="s">
        <v>171</v>
      </c>
      <c r="D2" s="85" t="s">
        <v>172</v>
      </c>
      <c r="E2" s="85" t="s">
        <v>173</v>
      </c>
      <c r="F2" s="85" t="s">
        <v>174</v>
      </c>
      <c r="G2" s="85" t="s">
        <v>175</v>
      </c>
      <c r="H2" s="85" t="s">
        <v>176</v>
      </c>
      <c r="I2" s="85" t="s">
        <v>174</v>
      </c>
      <c r="J2" s="108" t="s">
        <v>175</v>
      </c>
      <c r="K2" s="110" t="s">
        <v>177</v>
      </c>
      <c r="L2" s="111" t="s">
        <v>178</v>
      </c>
      <c r="M2" s="112" t="s">
        <v>195</v>
      </c>
      <c r="N2" s="86" t="s">
        <v>180</v>
      </c>
      <c r="O2" s="30"/>
    </row>
    <row r="3" spans="1:15" ht="15.75" customHeight="1">
      <c r="A3" s="568" t="s">
        <v>181</v>
      </c>
      <c r="B3" s="569"/>
      <c r="C3" s="574"/>
      <c r="D3" s="574"/>
      <c r="E3" s="574"/>
      <c r="F3" s="574"/>
      <c r="G3" s="574"/>
      <c r="H3" s="574"/>
      <c r="I3" s="574"/>
      <c r="J3" s="577"/>
      <c r="K3" s="193">
        <v>673026.9</v>
      </c>
      <c r="L3" s="196">
        <v>0</v>
      </c>
      <c r="M3" s="193">
        <v>673026.9</v>
      </c>
      <c r="N3" s="196"/>
      <c r="O3" s="30">
        <v>207239.43099999998</v>
      </c>
    </row>
    <row r="4" spans="1:15" ht="15">
      <c r="A4" s="23">
        <v>1</v>
      </c>
      <c r="B4" s="24">
        <v>45870</v>
      </c>
      <c r="C4" s="103"/>
      <c r="D4" s="103"/>
      <c r="E4" s="33"/>
      <c r="F4" s="33"/>
      <c r="G4" s="33">
        <f>E4*F4</f>
        <v>0</v>
      </c>
      <c r="H4" s="192"/>
      <c r="I4" s="192"/>
      <c r="J4" s="33">
        <f>H4*I4</f>
        <v>0</v>
      </c>
      <c r="K4" s="33">
        <f>G4+J4</f>
        <v>0</v>
      </c>
      <c r="L4" s="196"/>
      <c r="M4" s="193">
        <f>M3+K4-L4</f>
        <v>673026.9</v>
      </c>
      <c r="N4" s="33"/>
      <c r="O4" s="25"/>
    </row>
    <row r="5" spans="1:15" ht="15">
      <c r="A5" s="23">
        <v>2</v>
      </c>
      <c r="B5" s="24">
        <v>45871</v>
      </c>
      <c r="C5" s="103"/>
      <c r="D5" s="103"/>
      <c r="E5" s="33"/>
      <c r="F5" s="33"/>
      <c r="G5" s="33">
        <f t="shared" ref="G5:G33" si="0">E5*F5</f>
        <v>0</v>
      </c>
      <c r="H5" s="192"/>
      <c r="I5" s="192"/>
      <c r="J5" s="33">
        <f t="shared" ref="J5:J33" si="1">H5*I5</f>
        <v>0</v>
      </c>
      <c r="K5" s="33">
        <f t="shared" ref="K5:K33" si="2">G5+J5</f>
        <v>0</v>
      </c>
      <c r="L5" s="196"/>
      <c r="M5" s="193">
        <f>M4+K5-L5</f>
        <v>673026.9</v>
      </c>
      <c r="N5" s="33"/>
      <c r="O5" s="25"/>
    </row>
    <row r="6" spans="1:15" ht="15">
      <c r="A6" s="23">
        <v>3</v>
      </c>
      <c r="B6" s="24">
        <v>45872</v>
      </c>
      <c r="C6" s="103"/>
      <c r="D6" s="103"/>
      <c r="E6" s="33"/>
      <c r="F6" s="33"/>
      <c r="G6" s="33">
        <f t="shared" si="0"/>
        <v>0</v>
      </c>
      <c r="H6" s="192"/>
      <c r="I6" s="192"/>
      <c r="J6" s="33">
        <f t="shared" si="1"/>
        <v>0</v>
      </c>
      <c r="K6" s="33">
        <f t="shared" si="2"/>
        <v>0</v>
      </c>
      <c r="L6" s="196"/>
      <c r="M6" s="193">
        <f>M5+K6-L6</f>
        <v>673026.9</v>
      </c>
      <c r="N6" s="33"/>
      <c r="O6" s="25"/>
    </row>
    <row r="7" spans="1:15" ht="15">
      <c r="A7" s="23">
        <v>4</v>
      </c>
      <c r="B7" s="24">
        <v>45873</v>
      </c>
      <c r="C7" s="103"/>
      <c r="D7" s="103"/>
      <c r="E7" s="33"/>
      <c r="F7" s="33"/>
      <c r="G7" s="33">
        <f t="shared" si="0"/>
        <v>0</v>
      </c>
      <c r="H7" s="192"/>
      <c r="I7" s="192"/>
      <c r="J7" s="33">
        <f t="shared" si="1"/>
        <v>0</v>
      </c>
      <c r="K7" s="33">
        <f t="shared" si="2"/>
        <v>0</v>
      </c>
      <c r="L7" s="196"/>
      <c r="M7" s="193">
        <f>M6+K7-L7</f>
        <v>673026.9</v>
      </c>
      <c r="N7" s="33"/>
      <c r="O7" s="25"/>
    </row>
    <row r="8" spans="1:15" ht="15">
      <c r="A8" s="23">
        <v>5</v>
      </c>
      <c r="B8" s="24">
        <v>45874</v>
      </c>
      <c r="C8" s="103"/>
      <c r="D8" s="103"/>
      <c r="E8" s="33"/>
      <c r="F8" s="33"/>
      <c r="G8" s="33">
        <f t="shared" si="0"/>
        <v>0</v>
      </c>
      <c r="H8" s="192"/>
      <c r="I8" s="192"/>
      <c r="J8" s="33">
        <f t="shared" si="1"/>
        <v>0</v>
      </c>
      <c r="K8" s="33">
        <f t="shared" si="2"/>
        <v>0</v>
      </c>
      <c r="L8" s="196"/>
      <c r="M8" s="193">
        <f>M7+K8-L8</f>
        <v>673026.9</v>
      </c>
      <c r="N8" s="33"/>
      <c r="O8" s="25"/>
    </row>
    <row r="9" spans="1:15" ht="15">
      <c r="A9" s="23">
        <v>6</v>
      </c>
      <c r="B9" s="24">
        <v>45875</v>
      </c>
      <c r="C9" s="103"/>
      <c r="D9" s="103"/>
      <c r="E9" s="33"/>
      <c r="F9" s="33"/>
      <c r="G9" s="33">
        <f t="shared" ref="G9:G18" si="3">E9*F9</f>
        <v>0</v>
      </c>
      <c r="H9" s="192"/>
      <c r="I9" s="192"/>
      <c r="J9" s="33">
        <f t="shared" si="1"/>
        <v>0</v>
      </c>
      <c r="K9" s="33">
        <f t="shared" si="2"/>
        <v>0</v>
      </c>
      <c r="L9" s="196"/>
      <c r="M9" s="193">
        <f t="shared" ref="M9:M33" si="4">M8+K9-L9</f>
        <v>673026.9</v>
      </c>
      <c r="N9" s="33"/>
      <c r="O9" s="25"/>
    </row>
    <row r="10" spans="1:15" ht="15">
      <c r="A10" s="23">
        <v>7</v>
      </c>
      <c r="B10" s="24">
        <v>45876</v>
      </c>
      <c r="C10" s="103"/>
      <c r="D10" s="103"/>
      <c r="E10" s="33"/>
      <c r="F10" s="33"/>
      <c r="G10" s="33">
        <f t="shared" si="3"/>
        <v>0</v>
      </c>
      <c r="H10" s="192"/>
      <c r="I10" s="192"/>
      <c r="J10" s="33">
        <f t="shared" ref="J10:J17" si="5">H10*I10</f>
        <v>0</v>
      </c>
      <c r="K10" s="33">
        <f t="shared" ref="K10:K17" si="6">G10+J10</f>
        <v>0</v>
      </c>
      <c r="L10" s="196"/>
      <c r="M10" s="193">
        <f t="shared" si="4"/>
        <v>673026.9</v>
      </c>
      <c r="N10" s="33"/>
      <c r="O10" s="25"/>
    </row>
    <row r="11" spans="1:15" ht="15">
      <c r="A11" s="23">
        <v>8</v>
      </c>
      <c r="B11" s="24">
        <v>45877</v>
      </c>
      <c r="C11" s="103"/>
      <c r="D11" s="103"/>
      <c r="E11" s="33"/>
      <c r="F11" s="33"/>
      <c r="G11" s="33">
        <f t="shared" si="3"/>
        <v>0</v>
      </c>
      <c r="H11" s="192"/>
      <c r="I11" s="192"/>
      <c r="J11" s="33">
        <f t="shared" si="5"/>
        <v>0</v>
      </c>
      <c r="K11" s="33">
        <f t="shared" si="6"/>
        <v>0</v>
      </c>
      <c r="L11" s="196"/>
      <c r="M11" s="193">
        <f t="shared" si="4"/>
        <v>673026.9</v>
      </c>
      <c r="N11" s="33"/>
      <c r="O11" s="25"/>
    </row>
    <row r="12" spans="1:15" ht="15">
      <c r="A12" s="23">
        <v>9</v>
      </c>
      <c r="B12" s="24">
        <v>45878</v>
      </c>
      <c r="C12" s="103"/>
      <c r="D12" s="103"/>
      <c r="E12" s="33"/>
      <c r="F12" s="33"/>
      <c r="G12" s="33">
        <f t="shared" si="3"/>
        <v>0</v>
      </c>
      <c r="H12" s="192"/>
      <c r="I12" s="192"/>
      <c r="J12" s="33">
        <f t="shared" si="5"/>
        <v>0</v>
      </c>
      <c r="K12" s="33">
        <f t="shared" si="6"/>
        <v>0</v>
      </c>
      <c r="L12" s="196"/>
      <c r="M12" s="193">
        <f t="shared" si="4"/>
        <v>673026.9</v>
      </c>
      <c r="N12" s="33"/>
      <c r="O12" s="25"/>
    </row>
    <row r="13" spans="1:15" ht="15">
      <c r="A13" s="23">
        <v>10</v>
      </c>
      <c r="B13" s="24">
        <v>45879</v>
      </c>
      <c r="C13" s="103"/>
      <c r="D13" s="103"/>
      <c r="E13" s="33"/>
      <c r="F13" s="33"/>
      <c r="G13" s="33">
        <f t="shared" si="3"/>
        <v>0</v>
      </c>
      <c r="H13" s="192"/>
      <c r="I13" s="192"/>
      <c r="J13" s="33">
        <f t="shared" si="5"/>
        <v>0</v>
      </c>
      <c r="K13" s="33">
        <f t="shared" si="6"/>
        <v>0</v>
      </c>
      <c r="L13" s="196"/>
      <c r="M13" s="193">
        <f t="shared" si="4"/>
        <v>673026.9</v>
      </c>
      <c r="N13" s="33"/>
      <c r="O13" s="25"/>
    </row>
    <row r="14" spans="1:15" ht="15">
      <c r="A14" s="23">
        <v>11</v>
      </c>
      <c r="B14" s="24">
        <v>45880</v>
      </c>
      <c r="C14" s="103"/>
      <c r="D14" s="103"/>
      <c r="E14" s="33"/>
      <c r="F14" s="33"/>
      <c r="G14" s="33">
        <f t="shared" si="3"/>
        <v>0</v>
      </c>
      <c r="H14" s="192"/>
      <c r="I14" s="192"/>
      <c r="J14" s="33">
        <f t="shared" si="5"/>
        <v>0</v>
      </c>
      <c r="K14" s="33">
        <f t="shared" si="6"/>
        <v>0</v>
      </c>
      <c r="L14" s="196"/>
      <c r="M14" s="193">
        <f t="shared" si="4"/>
        <v>673026.9</v>
      </c>
      <c r="N14" s="33"/>
      <c r="O14" s="25"/>
    </row>
    <row r="15" spans="1:15" ht="15">
      <c r="A15" s="23">
        <v>12</v>
      </c>
      <c r="B15" s="24">
        <v>45881</v>
      </c>
      <c r="C15" s="103"/>
      <c r="D15" s="103"/>
      <c r="E15" s="33"/>
      <c r="F15" s="33"/>
      <c r="G15" s="33">
        <f t="shared" si="3"/>
        <v>0</v>
      </c>
      <c r="H15" s="192"/>
      <c r="I15" s="192"/>
      <c r="J15" s="33">
        <f t="shared" si="5"/>
        <v>0</v>
      </c>
      <c r="K15" s="33">
        <f t="shared" si="6"/>
        <v>0</v>
      </c>
      <c r="L15" s="196"/>
      <c r="M15" s="193">
        <f t="shared" si="4"/>
        <v>673026.9</v>
      </c>
      <c r="N15" s="33"/>
      <c r="O15" s="25"/>
    </row>
    <row r="16" spans="1:15" ht="15">
      <c r="A16" s="23">
        <v>13</v>
      </c>
      <c r="B16" s="24">
        <v>45882</v>
      </c>
      <c r="C16" s="103"/>
      <c r="D16" s="103"/>
      <c r="E16" s="33"/>
      <c r="F16" s="33"/>
      <c r="G16" s="33">
        <f t="shared" si="3"/>
        <v>0</v>
      </c>
      <c r="H16" s="192"/>
      <c r="I16" s="192"/>
      <c r="J16" s="33">
        <f t="shared" si="5"/>
        <v>0</v>
      </c>
      <c r="K16" s="33">
        <f t="shared" si="6"/>
        <v>0</v>
      </c>
      <c r="L16" s="196"/>
      <c r="M16" s="193">
        <f t="shared" si="4"/>
        <v>673026.9</v>
      </c>
      <c r="N16" s="33"/>
      <c r="O16" s="25"/>
    </row>
    <row r="17" spans="1:15" ht="15">
      <c r="A17" s="23">
        <v>14</v>
      </c>
      <c r="B17" s="24">
        <v>45883</v>
      </c>
      <c r="C17" s="103"/>
      <c r="D17" s="103"/>
      <c r="E17" s="33"/>
      <c r="F17" s="33"/>
      <c r="G17" s="33">
        <f t="shared" si="3"/>
        <v>0</v>
      </c>
      <c r="H17" s="192"/>
      <c r="I17" s="192"/>
      <c r="J17" s="33">
        <f t="shared" si="5"/>
        <v>0</v>
      </c>
      <c r="K17" s="33">
        <f t="shared" si="6"/>
        <v>0</v>
      </c>
      <c r="L17" s="196"/>
      <c r="M17" s="193">
        <f t="shared" si="4"/>
        <v>673026.9</v>
      </c>
      <c r="N17" s="33"/>
      <c r="O17" s="25"/>
    </row>
    <row r="18" spans="1:15" ht="15">
      <c r="A18" s="23">
        <v>15</v>
      </c>
      <c r="B18" s="24">
        <v>45884</v>
      </c>
      <c r="C18" s="103"/>
      <c r="D18" s="103"/>
      <c r="E18" s="33"/>
      <c r="F18" s="33"/>
      <c r="G18" s="33">
        <f t="shared" si="3"/>
        <v>0</v>
      </c>
      <c r="H18" s="192"/>
      <c r="I18" s="192"/>
      <c r="J18" s="33">
        <f t="shared" si="1"/>
        <v>0</v>
      </c>
      <c r="K18" s="33">
        <f t="shared" si="2"/>
        <v>0</v>
      </c>
      <c r="L18" s="196"/>
      <c r="M18" s="193">
        <f t="shared" si="4"/>
        <v>673026.9</v>
      </c>
      <c r="N18" s="33"/>
      <c r="O18" s="25"/>
    </row>
    <row r="19" spans="1:15" ht="15">
      <c r="A19" s="23">
        <v>16</v>
      </c>
      <c r="B19" s="24">
        <v>45885</v>
      </c>
      <c r="C19" s="103"/>
      <c r="D19" s="103"/>
      <c r="E19" s="33"/>
      <c r="F19" s="33"/>
      <c r="G19" s="33">
        <f t="shared" si="0"/>
        <v>0</v>
      </c>
      <c r="H19" s="192"/>
      <c r="I19" s="192"/>
      <c r="J19" s="33">
        <f t="shared" si="1"/>
        <v>0</v>
      </c>
      <c r="K19" s="33">
        <f t="shared" si="2"/>
        <v>0</v>
      </c>
      <c r="L19" s="196"/>
      <c r="M19" s="193">
        <f t="shared" si="4"/>
        <v>673026.9</v>
      </c>
      <c r="N19" s="33"/>
      <c r="O19" s="25"/>
    </row>
    <row r="20" spans="1:15" ht="15">
      <c r="A20" s="23">
        <v>17</v>
      </c>
      <c r="B20" s="24">
        <v>45886</v>
      </c>
      <c r="C20" s="103"/>
      <c r="D20" s="103"/>
      <c r="E20" s="33"/>
      <c r="F20" s="33"/>
      <c r="G20" s="33">
        <f t="shared" si="0"/>
        <v>0</v>
      </c>
      <c r="H20" s="192"/>
      <c r="I20" s="192"/>
      <c r="J20" s="33">
        <f t="shared" si="1"/>
        <v>0</v>
      </c>
      <c r="K20" s="33">
        <f t="shared" si="2"/>
        <v>0</v>
      </c>
      <c r="L20" s="196"/>
      <c r="M20" s="193">
        <f t="shared" si="4"/>
        <v>673026.9</v>
      </c>
      <c r="N20" s="33"/>
      <c r="O20" s="25"/>
    </row>
    <row r="21" spans="1:15" ht="15">
      <c r="A21" s="23">
        <v>18</v>
      </c>
      <c r="B21" s="24">
        <v>45887</v>
      </c>
      <c r="C21" s="103"/>
      <c r="D21" s="103"/>
      <c r="E21" s="33"/>
      <c r="F21" s="33"/>
      <c r="G21" s="33">
        <f t="shared" si="0"/>
        <v>0</v>
      </c>
      <c r="H21" s="192"/>
      <c r="I21" s="192"/>
      <c r="J21" s="33">
        <f t="shared" si="1"/>
        <v>0</v>
      </c>
      <c r="K21" s="33">
        <f t="shared" si="2"/>
        <v>0</v>
      </c>
      <c r="L21" s="196"/>
      <c r="M21" s="193">
        <f t="shared" si="4"/>
        <v>673026.9</v>
      </c>
      <c r="N21" s="33"/>
      <c r="O21" s="25"/>
    </row>
    <row r="22" spans="1:15" ht="15">
      <c r="A22" s="23">
        <v>19</v>
      </c>
      <c r="B22" s="24">
        <v>45888</v>
      </c>
      <c r="C22" s="103"/>
      <c r="D22" s="103"/>
      <c r="E22" s="33"/>
      <c r="F22" s="33"/>
      <c r="G22" s="33"/>
      <c r="H22" s="192">
        <v>0</v>
      </c>
      <c r="I22" s="192">
        <v>0</v>
      </c>
      <c r="J22" s="33">
        <f t="shared" si="1"/>
        <v>0</v>
      </c>
      <c r="K22" s="33">
        <f t="shared" si="2"/>
        <v>0</v>
      </c>
      <c r="L22" s="196"/>
      <c r="M22" s="193">
        <f t="shared" si="4"/>
        <v>673026.9</v>
      </c>
      <c r="N22" s="33"/>
      <c r="O22" s="25"/>
    </row>
    <row r="23" spans="1:15" ht="15">
      <c r="A23" s="23">
        <v>20</v>
      </c>
      <c r="B23" s="24">
        <v>45889</v>
      </c>
      <c r="C23" s="103"/>
      <c r="D23" s="103"/>
      <c r="E23" s="33"/>
      <c r="F23" s="33"/>
      <c r="G23" s="33"/>
      <c r="H23" s="192">
        <v>0</v>
      </c>
      <c r="I23" s="192">
        <v>0</v>
      </c>
      <c r="J23" s="33">
        <f t="shared" ref="J23:J32" si="7">H23*I23</f>
        <v>0</v>
      </c>
      <c r="K23" s="33">
        <f t="shared" ref="K23:K32" si="8">G23+J23</f>
        <v>0</v>
      </c>
      <c r="L23" s="196"/>
      <c r="M23" s="193">
        <f t="shared" si="4"/>
        <v>673026.9</v>
      </c>
      <c r="N23" s="33"/>
      <c r="O23" s="25"/>
    </row>
    <row r="24" spans="1:15" ht="15">
      <c r="A24" s="23">
        <v>21</v>
      </c>
      <c r="B24" s="24">
        <v>45890</v>
      </c>
      <c r="C24" s="103"/>
      <c r="D24" s="103"/>
      <c r="E24" s="33"/>
      <c r="F24" s="33"/>
      <c r="G24" s="33"/>
      <c r="H24" s="192"/>
      <c r="I24" s="192"/>
      <c r="J24" s="33">
        <f t="shared" si="7"/>
        <v>0</v>
      </c>
      <c r="K24" s="33">
        <f t="shared" si="8"/>
        <v>0</v>
      </c>
      <c r="L24" s="196"/>
      <c r="M24" s="193">
        <f t="shared" si="4"/>
        <v>673026.9</v>
      </c>
      <c r="N24" s="33"/>
      <c r="O24" s="25"/>
    </row>
    <row r="25" spans="1:15" ht="15">
      <c r="A25" s="23">
        <v>22</v>
      </c>
      <c r="B25" s="24">
        <v>45891</v>
      </c>
      <c r="C25" s="103"/>
      <c r="D25" s="103"/>
      <c r="E25" s="33"/>
      <c r="F25" s="33"/>
      <c r="G25" s="33"/>
      <c r="H25" s="192"/>
      <c r="I25" s="192"/>
      <c r="J25" s="33">
        <f t="shared" si="7"/>
        <v>0</v>
      </c>
      <c r="K25" s="33">
        <f t="shared" si="8"/>
        <v>0</v>
      </c>
      <c r="L25" s="196"/>
      <c r="M25" s="193">
        <f t="shared" si="4"/>
        <v>673026.9</v>
      </c>
      <c r="N25" s="33"/>
      <c r="O25" s="25"/>
    </row>
    <row r="26" spans="1:15" ht="15">
      <c r="A26" s="23">
        <v>23</v>
      </c>
      <c r="B26" s="24">
        <v>45892</v>
      </c>
      <c r="C26" s="103"/>
      <c r="D26" s="103"/>
      <c r="E26" s="33"/>
      <c r="F26" s="33"/>
      <c r="G26" s="33"/>
      <c r="H26" s="192"/>
      <c r="I26" s="192"/>
      <c r="J26" s="33">
        <f t="shared" si="7"/>
        <v>0</v>
      </c>
      <c r="K26" s="33">
        <f t="shared" si="8"/>
        <v>0</v>
      </c>
      <c r="L26" s="196"/>
      <c r="M26" s="193">
        <f t="shared" si="4"/>
        <v>673026.9</v>
      </c>
      <c r="N26" s="33"/>
      <c r="O26" s="25"/>
    </row>
    <row r="27" spans="1:15" ht="15">
      <c r="A27" s="23">
        <v>24</v>
      </c>
      <c r="B27" s="24">
        <v>45893</v>
      </c>
      <c r="C27" s="103"/>
      <c r="D27" s="103"/>
      <c r="E27" s="33"/>
      <c r="F27" s="33"/>
      <c r="G27" s="33"/>
      <c r="H27" s="192"/>
      <c r="I27" s="192"/>
      <c r="J27" s="33">
        <f t="shared" si="7"/>
        <v>0</v>
      </c>
      <c r="K27" s="33">
        <f t="shared" si="8"/>
        <v>0</v>
      </c>
      <c r="L27" s="196"/>
      <c r="M27" s="193">
        <f t="shared" si="4"/>
        <v>673026.9</v>
      </c>
      <c r="N27" s="33"/>
      <c r="O27" s="25"/>
    </row>
    <row r="28" spans="1:15" ht="15">
      <c r="A28" s="23">
        <v>25</v>
      </c>
      <c r="B28" s="24">
        <v>45894</v>
      </c>
      <c r="C28" s="103"/>
      <c r="D28" s="103"/>
      <c r="E28" s="33"/>
      <c r="F28" s="33"/>
      <c r="G28" s="33"/>
      <c r="H28" s="192"/>
      <c r="I28" s="192"/>
      <c r="J28" s="33">
        <f t="shared" si="7"/>
        <v>0</v>
      </c>
      <c r="K28" s="33">
        <f t="shared" si="8"/>
        <v>0</v>
      </c>
      <c r="L28" s="196"/>
      <c r="M28" s="193">
        <f>M27+K28-L28</f>
        <v>673026.9</v>
      </c>
      <c r="N28" s="33"/>
      <c r="O28" s="25"/>
    </row>
    <row r="29" spans="1:15" ht="15">
      <c r="A29" s="23">
        <v>26</v>
      </c>
      <c r="B29" s="24">
        <v>45895</v>
      </c>
      <c r="C29" s="103"/>
      <c r="D29" s="103"/>
      <c r="E29" s="33"/>
      <c r="F29" s="33"/>
      <c r="G29" s="33"/>
      <c r="H29" s="192"/>
      <c r="I29" s="192"/>
      <c r="J29" s="33">
        <f t="shared" si="7"/>
        <v>0</v>
      </c>
      <c r="K29" s="33">
        <f t="shared" si="8"/>
        <v>0</v>
      </c>
      <c r="L29" s="196"/>
      <c r="M29" s="193">
        <f t="shared" si="4"/>
        <v>673026.9</v>
      </c>
      <c r="N29" s="33"/>
      <c r="O29" s="25"/>
    </row>
    <row r="30" spans="1:15" ht="15">
      <c r="A30" s="23">
        <v>27</v>
      </c>
      <c r="B30" s="24">
        <v>45896</v>
      </c>
      <c r="C30" s="103"/>
      <c r="D30" s="103"/>
      <c r="E30" s="33"/>
      <c r="F30" s="33"/>
      <c r="G30" s="33"/>
      <c r="H30" s="192"/>
      <c r="I30" s="192"/>
      <c r="J30" s="33">
        <f t="shared" si="7"/>
        <v>0</v>
      </c>
      <c r="K30" s="33">
        <f t="shared" si="8"/>
        <v>0</v>
      </c>
      <c r="L30" s="196"/>
      <c r="M30" s="193">
        <f t="shared" si="4"/>
        <v>673026.9</v>
      </c>
      <c r="N30" s="33"/>
      <c r="O30" s="25"/>
    </row>
    <row r="31" spans="1:15" ht="15">
      <c r="A31" s="23">
        <v>28</v>
      </c>
      <c r="B31" s="24">
        <v>45897</v>
      </c>
      <c r="C31" s="103"/>
      <c r="D31" s="103"/>
      <c r="E31" s="33"/>
      <c r="F31" s="33"/>
      <c r="G31" s="33"/>
      <c r="H31" s="192"/>
      <c r="I31" s="192"/>
      <c r="J31" s="33">
        <f t="shared" si="7"/>
        <v>0</v>
      </c>
      <c r="K31" s="33">
        <f t="shared" si="8"/>
        <v>0</v>
      </c>
      <c r="L31" s="196">
        <v>673026</v>
      </c>
      <c r="M31" s="193">
        <f t="shared" si="4"/>
        <v>0.90000000002328306</v>
      </c>
      <c r="N31" s="33"/>
      <c r="O31" s="25"/>
    </row>
    <row r="32" spans="1:15" ht="15">
      <c r="A32" s="23">
        <v>29</v>
      </c>
      <c r="B32" s="24">
        <v>45898</v>
      </c>
      <c r="C32" s="103"/>
      <c r="D32" s="103"/>
      <c r="E32" s="33"/>
      <c r="F32" s="33"/>
      <c r="G32" s="33">
        <f t="shared" ref="G32" si="9">E32*F32</f>
        <v>0</v>
      </c>
      <c r="H32" s="192">
        <v>0</v>
      </c>
      <c r="I32" s="192">
        <v>0</v>
      </c>
      <c r="J32" s="33">
        <f t="shared" si="7"/>
        <v>0</v>
      </c>
      <c r="K32" s="33">
        <f t="shared" si="8"/>
        <v>0</v>
      </c>
      <c r="L32" s="196"/>
      <c r="M32" s="193">
        <f t="shared" si="4"/>
        <v>0.90000000002328306</v>
      </c>
      <c r="N32" s="209"/>
      <c r="O32" s="25"/>
    </row>
    <row r="33" spans="1:15" ht="15">
      <c r="A33" s="23">
        <v>30</v>
      </c>
      <c r="B33" s="24">
        <v>45899</v>
      </c>
      <c r="C33" s="103"/>
      <c r="D33" s="103"/>
      <c r="E33" s="33"/>
      <c r="F33" s="33">
        <v>0</v>
      </c>
      <c r="G33" s="33">
        <f t="shared" si="0"/>
        <v>0</v>
      </c>
      <c r="H33" s="192">
        <v>0</v>
      </c>
      <c r="I33" s="192">
        <v>0</v>
      </c>
      <c r="J33" s="33">
        <f t="shared" si="1"/>
        <v>0</v>
      </c>
      <c r="K33" s="33">
        <f t="shared" si="2"/>
        <v>0</v>
      </c>
      <c r="L33" s="196"/>
      <c r="M33" s="193">
        <f t="shared" si="4"/>
        <v>0.90000000002328306</v>
      </c>
      <c r="N33" s="209"/>
      <c r="O33" s="25"/>
    </row>
    <row r="34" spans="1:15" ht="15">
      <c r="A34" s="23">
        <v>31</v>
      </c>
      <c r="B34" s="24"/>
      <c r="C34" s="103"/>
      <c r="D34" s="103"/>
      <c r="E34" s="33"/>
      <c r="F34" s="33">
        <v>0</v>
      </c>
      <c r="G34" s="33">
        <f t="shared" ref="G34" si="10">E34*F34</f>
        <v>0</v>
      </c>
      <c r="H34" s="192"/>
      <c r="I34" s="192"/>
      <c r="J34" s="33">
        <f t="shared" ref="J34" si="11">H34*I34</f>
        <v>0</v>
      </c>
      <c r="K34" s="33">
        <f t="shared" ref="K34" si="12">G34+J34</f>
        <v>0</v>
      </c>
      <c r="L34" s="196"/>
      <c r="M34" s="209"/>
      <c r="N34" s="209"/>
      <c r="O34" s="25"/>
    </row>
    <row r="35" spans="1:15">
      <c r="A35" s="39"/>
      <c r="B35" s="39"/>
      <c r="C35" s="197"/>
      <c r="D35" s="197"/>
      <c r="E35" s="198">
        <f>SUM(E4:E34)</f>
        <v>0</v>
      </c>
      <c r="F35" s="198"/>
      <c r="G35" s="198">
        <f>SUM(G4:G34)</f>
        <v>0</v>
      </c>
      <c r="H35" s="198">
        <f>SUM(H4:H34)</f>
        <v>0</v>
      </c>
      <c r="I35" s="198"/>
      <c r="J35" s="198">
        <f>SUM(J4:J34)</f>
        <v>0</v>
      </c>
      <c r="K35" s="198">
        <f>SUM(K4:K34)</f>
        <v>0</v>
      </c>
      <c r="L35" s="198">
        <f>SUM(L4:L31)</f>
        <v>673026</v>
      </c>
      <c r="M35" s="198"/>
      <c r="N35" s="198"/>
      <c r="O35" s="30"/>
    </row>
    <row r="36" spans="1:15">
      <c r="A36" s="27"/>
      <c r="B36" s="27"/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5"/>
    </row>
    <row r="37" spans="1:15">
      <c r="A37" s="25"/>
      <c r="B37" s="25"/>
      <c r="C37" s="25"/>
      <c r="D37" s="25"/>
      <c r="E37" s="25"/>
      <c r="F37" s="25"/>
      <c r="G37" s="28"/>
      <c r="H37" s="25"/>
      <c r="I37" s="25"/>
      <c r="J37" s="25"/>
      <c r="K37" s="25"/>
      <c r="L37" s="25"/>
      <c r="M37" s="25"/>
      <c r="N37" s="25"/>
      <c r="O37" s="29"/>
    </row>
    <row r="38" spans="1:15">
      <c r="A38" s="25"/>
      <c r="B38" s="578"/>
      <c r="C38" s="578"/>
      <c r="D38" s="578"/>
      <c r="E38" s="578"/>
      <c r="F38" s="25"/>
      <c r="G38" s="25"/>
      <c r="H38" s="25"/>
      <c r="I38" s="578"/>
      <c r="J38" s="578"/>
      <c r="K38" s="578"/>
      <c r="L38" s="578"/>
      <c r="M38" s="578"/>
      <c r="N38" s="578"/>
      <c r="O38" s="29"/>
    </row>
    <row r="39" spans="1: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9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41"/>
  <sheetViews>
    <sheetView workbookViewId="0">
      <selection activeCell="M38" sqref="M38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2" width="11.85546875" bestFit="1" customWidth="1"/>
    <col min="13" max="13" width="13.5703125" bestFit="1" customWidth="1"/>
    <col min="14" max="14" width="25.28515625" bestFit="1" customWidth="1"/>
  </cols>
  <sheetData>
    <row r="1" spans="1:34">
      <c r="A1" s="579" t="s">
        <v>102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25.5">
      <c r="A2" s="84" t="s">
        <v>0</v>
      </c>
      <c r="B2" s="85" t="s">
        <v>170</v>
      </c>
      <c r="C2" s="85" t="s">
        <v>171</v>
      </c>
      <c r="D2" s="85" t="s">
        <v>172</v>
      </c>
      <c r="E2" s="85" t="s">
        <v>173</v>
      </c>
      <c r="F2" s="85" t="s">
        <v>174</v>
      </c>
      <c r="G2" s="85" t="s">
        <v>175</v>
      </c>
      <c r="H2" s="85" t="s">
        <v>176</v>
      </c>
      <c r="I2" s="85" t="s">
        <v>174</v>
      </c>
      <c r="J2" s="108" t="s">
        <v>175</v>
      </c>
      <c r="K2" s="85" t="s">
        <v>177</v>
      </c>
      <c r="L2" s="108" t="s">
        <v>178</v>
      </c>
      <c r="M2" s="107" t="s">
        <v>195</v>
      </c>
      <c r="N2" s="86" t="s">
        <v>180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80"/>
      <c r="K3" s="26">
        <v>296621.359903</v>
      </c>
      <c r="L3" s="43"/>
      <c r="M3" s="109">
        <v>296621.359903</v>
      </c>
      <c r="N3" s="43"/>
      <c r="O3" s="30"/>
      <c r="P3" s="46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 spans="1:34">
      <c r="A4" s="23">
        <v>1</v>
      </c>
      <c r="B4" s="24">
        <v>46235</v>
      </c>
      <c r="C4" s="44" t="s">
        <v>232</v>
      </c>
      <c r="D4" s="45" t="s">
        <v>232</v>
      </c>
      <c r="E4" s="44"/>
      <c r="F4" s="44"/>
      <c r="G4" s="43">
        <f t="shared" ref="G4:G5" si="0">E4*F4</f>
        <v>0</v>
      </c>
      <c r="H4" s="44"/>
      <c r="I4" s="44"/>
      <c r="J4" s="46">
        <f t="shared" ref="J4" si="1">H4*I4</f>
        <v>0</v>
      </c>
      <c r="K4" s="43">
        <f t="shared" ref="K4:L5" si="2">G4+J4</f>
        <v>0</v>
      </c>
      <c r="L4" s="43"/>
      <c r="M4" s="46">
        <f>M3+K4-L4</f>
        <v>296621.359903</v>
      </c>
      <c r="N4" s="101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spans="1:34">
      <c r="A5" s="23"/>
      <c r="B5" s="24">
        <v>46236</v>
      </c>
      <c r="C5" s="44"/>
      <c r="D5" s="45"/>
      <c r="E5" s="44"/>
      <c r="F5" s="44"/>
      <c r="G5" s="43">
        <f t="shared" si="0"/>
        <v>0</v>
      </c>
      <c r="H5" s="44"/>
      <c r="I5" s="44"/>
      <c r="J5" s="46"/>
      <c r="K5" s="43">
        <f t="shared" si="2"/>
        <v>0</v>
      </c>
      <c r="L5" s="43"/>
      <c r="M5" s="46">
        <f>M4+K5-L5</f>
        <v>296621.359903</v>
      </c>
      <c r="N5" s="101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 spans="1:34">
      <c r="A6" s="23">
        <v>2</v>
      </c>
      <c r="B6" s="24">
        <v>46237</v>
      </c>
      <c r="C6" s="44" t="s">
        <v>232</v>
      </c>
      <c r="D6" s="45" t="s">
        <v>232</v>
      </c>
      <c r="E6" s="44">
        <v>600</v>
      </c>
      <c r="F6" s="44">
        <v>99.14</v>
      </c>
      <c r="G6" s="43">
        <f t="shared" ref="G6:G36" si="3">E6*F6</f>
        <v>59484</v>
      </c>
      <c r="H6" s="44">
        <v>35</v>
      </c>
      <c r="I6" s="44">
        <v>111.24</v>
      </c>
      <c r="J6" s="46">
        <f t="shared" ref="J6:J36" si="4">H6*I6</f>
        <v>3893.3999999999996</v>
      </c>
      <c r="K6" s="43">
        <f t="shared" ref="K6:L36" si="5">G6+J6</f>
        <v>63377.4</v>
      </c>
      <c r="L6" s="43"/>
      <c r="M6" s="46">
        <f t="shared" ref="M6:M38" si="6">M5+K6-L6</f>
        <v>359998.75990300003</v>
      </c>
      <c r="N6" s="10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 spans="1:34">
      <c r="A7" s="23">
        <v>3</v>
      </c>
      <c r="B7" s="24">
        <v>46238</v>
      </c>
      <c r="C7" s="44" t="s">
        <v>232</v>
      </c>
      <c r="D7" s="45" t="s">
        <v>232</v>
      </c>
      <c r="E7" s="44">
        <v>1000</v>
      </c>
      <c r="F7" s="44">
        <v>99.14</v>
      </c>
      <c r="G7" s="43">
        <f t="shared" si="3"/>
        <v>99140</v>
      </c>
      <c r="H7" s="44"/>
      <c r="I7" s="44"/>
      <c r="J7" s="46">
        <f t="shared" si="4"/>
        <v>0</v>
      </c>
      <c r="K7" s="43">
        <f t="shared" si="5"/>
        <v>99140</v>
      </c>
      <c r="L7" s="43"/>
      <c r="M7" s="46">
        <f t="shared" si="6"/>
        <v>459138.75990300003</v>
      </c>
      <c r="N7" s="101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 spans="1:34">
      <c r="A8" s="23">
        <v>4</v>
      </c>
      <c r="B8" s="24">
        <v>46239</v>
      </c>
      <c r="C8" s="44" t="s">
        <v>232</v>
      </c>
      <c r="D8" s="45" t="s">
        <v>232</v>
      </c>
      <c r="E8" s="44"/>
      <c r="F8" s="44"/>
      <c r="G8" s="43">
        <f t="shared" ref="G8:G17" si="7">E8*F8</f>
        <v>0</v>
      </c>
      <c r="H8" s="44"/>
      <c r="I8" s="44"/>
      <c r="J8" s="46">
        <f t="shared" si="4"/>
        <v>0</v>
      </c>
      <c r="K8" s="43">
        <f t="shared" si="5"/>
        <v>0</v>
      </c>
      <c r="L8" s="43">
        <v>300000</v>
      </c>
      <c r="M8" s="46">
        <f t="shared" si="6"/>
        <v>159138.75990300003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</row>
    <row r="9" spans="1:34">
      <c r="A9" s="23">
        <v>5</v>
      </c>
      <c r="B9" s="24">
        <v>46240</v>
      </c>
      <c r="C9" s="44" t="s">
        <v>232</v>
      </c>
      <c r="D9" s="45" t="s">
        <v>232</v>
      </c>
      <c r="E9" s="44">
        <v>1000</v>
      </c>
      <c r="F9" s="44">
        <v>99.14</v>
      </c>
      <c r="G9" s="43">
        <f t="shared" si="3"/>
        <v>99140</v>
      </c>
      <c r="H9" s="44">
        <v>35</v>
      </c>
      <c r="I9" s="44">
        <v>111.24</v>
      </c>
      <c r="J9" s="46">
        <f t="shared" si="4"/>
        <v>3893.3999999999996</v>
      </c>
      <c r="K9" s="46">
        <f>G9+J9</f>
        <v>103033.4</v>
      </c>
      <c r="L9" s="43"/>
      <c r="M9" s="46">
        <f t="shared" si="6"/>
        <v>262172.15990299999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spans="1:34">
      <c r="A10" s="23">
        <v>6</v>
      </c>
      <c r="B10" s="24">
        <v>46241</v>
      </c>
      <c r="C10" s="44" t="s">
        <v>232</v>
      </c>
      <c r="D10" s="45" t="s">
        <v>232</v>
      </c>
      <c r="E10" s="44"/>
      <c r="F10" s="44"/>
      <c r="G10" s="43">
        <f t="shared" ref="G9:G37" si="8">E10*F10</f>
        <v>0</v>
      </c>
      <c r="H10" s="44"/>
      <c r="I10" s="44"/>
      <c r="J10" s="46">
        <f t="shared" si="4"/>
        <v>0</v>
      </c>
      <c r="K10" s="43">
        <f t="shared" si="5"/>
        <v>0</v>
      </c>
      <c r="L10" s="43"/>
      <c r="M10" s="46">
        <f t="shared" si="6"/>
        <v>262172.15990299999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</row>
    <row r="11" spans="1:34">
      <c r="A11" s="23">
        <v>7</v>
      </c>
      <c r="B11" s="24">
        <v>46242</v>
      </c>
      <c r="C11" s="44" t="s">
        <v>232</v>
      </c>
      <c r="D11" s="45" t="s">
        <v>232</v>
      </c>
      <c r="E11" s="44"/>
      <c r="F11" s="44"/>
      <c r="G11" s="43">
        <f t="shared" si="8"/>
        <v>0</v>
      </c>
      <c r="H11" s="44"/>
      <c r="I11" s="44"/>
      <c r="J11" s="46">
        <f t="shared" si="4"/>
        <v>0</v>
      </c>
      <c r="K11" s="43">
        <f t="shared" si="5"/>
        <v>0</v>
      </c>
      <c r="L11" s="43"/>
      <c r="M11" s="46">
        <f t="shared" si="6"/>
        <v>262172.15990299999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 spans="1:34">
      <c r="A12" s="23">
        <v>8</v>
      </c>
      <c r="B12" s="24">
        <v>46243</v>
      </c>
      <c r="C12" s="44" t="s">
        <v>232</v>
      </c>
      <c r="D12" s="45" t="s">
        <v>232</v>
      </c>
      <c r="E12" s="44"/>
      <c r="F12" s="44"/>
      <c r="G12" s="43">
        <f t="shared" si="8"/>
        <v>0</v>
      </c>
      <c r="H12" s="44"/>
      <c r="I12" s="44"/>
      <c r="J12" s="46">
        <f t="shared" si="4"/>
        <v>0</v>
      </c>
      <c r="K12" s="43">
        <f t="shared" si="5"/>
        <v>0</v>
      </c>
      <c r="L12" s="43"/>
      <c r="M12" s="46">
        <f t="shared" si="6"/>
        <v>262172.15990299999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</row>
    <row r="13" spans="1:34">
      <c r="A13" s="23">
        <v>9</v>
      </c>
      <c r="B13" s="24">
        <v>46244</v>
      </c>
      <c r="C13" s="44" t="s">
        <v>232</v>
      </c>
      <c r="D13" s="45" t="s">
        <v>232</v>
      </c>
      <c r="E13" s="44">
        <v>600</v>
      </c>
      <c r="F13" s="44">
        <v>99.14</v>
      </c>
      <c r="G13" s="43">
        <f t="shared" si="8"/>
        <v>59484</v>
      </c>
      <c r="H13" s="44">
        <v>35</v>
      </c>
      <c r="I13" s="44">
        <v>111.24</v>
      </c>
      <c r="J13" s="46">
        <f t="shared" si="4"/>
        <v>3893.3999999999996</v>
      </c>
      <c r="K13" s="43">
        <f t="shared" si="5"/>
        <v>63377.4</v>
      </c>
      <c r="L13" s="43"/>
      <c r="M13" s="46">
        <f t="shared" si="6"/>
        <v>325549.55990300002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 spans="1:34">
      <c r="A14" s="23">
        <v>10</v>
      </c>
      <c r="B14" s="24">
        <v>46245</v>
      </c>
      <c r="C14" s="44" t="s">
        <v>232</v>
      </c>
      <c r="D14" s="45" t="s">
        <v>232</v>
      </c>
      <c r="E14" s="44"/>
      <c r="F14" s="44"/>
      <c r="G14" s="43">
        <f t="shared" si="8"/>
        <v>0</v>
      </c>
      <c r="H14" s="44"/>
      <c r="I14" s="44"/>
      <c r="J14" s="46">
        <f t="shared" si="4"/>
        <v>0</v>
      </c>
      <c r="K14" s="43">
        <f t="shared" si="5"/>
        <v>0</v>
      </c>
      <c r="L14" s="43"/>
      <c r="M14" s="46">
        <f t="shared" si="6"/>
        <v>325549.55990300002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34">
      <c r="A15" s="23">
        <v>11</v>
      </c>
      <c r="B15" s="24">
        <v>46246</v>
      </c>
      <c r="C15" s="44" t="s">
        <v>232</v>
      </c>
      <c r="D15" s="45" t="s">
        <v>232</v>
      </c>
      <c r="E15" s="44">
        <v>1000</v>
      </c>
      <c r="F15" s="44">
        <v>99.14</v>
      </c>
      <c r="G15" s="43">
        <f t="shared" si="8"/>
        <v>99140</v>
      </c>
      <c r="H15" s="44">
        <v>35</v>
      </c>
      <c r="I15" s="44">
        <v>111.24</v>
      </c>
      <c r="J15" s="46">
        <f t="shared" si="4"/>
        <v>3893.3999999999996</v>
      </c>
      <c r="K15" s="43">
        <f t="shared" si="5"/>
        <v>103033.4</v>
      </c>
      <c r="L15" s="43"/>
      <c r="M15" s="46">
        <f t="shared" si="6"/>
        <v>428582.95990300004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 spans="1:34">
      <c r="A16" s="23">
        <v>12</v>
      </c>
      <c r="B16" s="24">
        <v>46247</v>
      </c>
      <c r="C16" s="44"/>
      <c r="D16" s="45"/>
      <c r="E16" s="44"/>
      <c r="F16" s="44"/>
      <c r="G16" s="43">
        <f t="shared" si="8"/>
        <v>0</v>
      </c>
      <c r="H16" s="44"/>
      <c r="I16" s="44"/>
      <c r="J16" s="46"/>
      <c r="K16" s="43">
        <f t="shared" si="5"/>
        <v>0</v>
      </c>
      <c r="L16" s="43"/>
      <c r="M16" s="46">
        <f t="shared" si="6"/>
        <v>428582.95990300004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>
      <c r="A17" s="23">
        <v>13</v>
      </c>
      <c r="B17" s="24">
        <v>46248</v>
      </c>
      <c r="C17" s="44" t="s">
        <v>232</v>
      </c>
      <c r="D17" s="45" t="s">
        <v>232</v>
      </c>
      <c r="E17" s="44">
        <v>1000</v>
      </c>
      <c r="F17" s="44">
        <v>99.14</v>
      </c>
      <c r="G17" s="43">
        <f t="shared" si="8"/>
        <v>99140</v>
      </c>
      <c r="H17" s="44"/>
      <c r="I17" s="44"/>
      <c r="J17" s="46">
        <f t="shared" si="4"/>
        <v>0</v>
      </c>
      <c r="K17" s="43">
        <f t="shared" si="5"/>
        <v>99140</v>
      </c>
      <c r="L17" s="43">
        <v>428000</v>
      </c>
      <c r="M17" s="46">
        <f t="shared" si="6"/>
        <v>99722.959903000039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 spans="1:34">
      <c r="A18" s="23">
        <v>14</v>
      </c>
      <c r="B18" s="24">
        <v>46249</v>
      </c>
      <c r="C18" s="44" t="s">
        <v>232</v>
      </c>
      <c r="D18" s="45" t="s">
        <v>232</v>
      </c>
      <c r="E18" s="44"/>
      <c r="F18" s="44"/>
      <c r="G18" s="43">
        <f t="shared" si="8"/>
        <v>0</v>
      </c>
      <c r="H18" s="44"/>
      <c r="I18" s="44"/>
      <c r="J18" s="46">
        <f t="shared" si="4"/>
        <v>0</v>
      </c>
      <c r="K18" s="43">
        <f t="shared" si="5"/>
        <v>0</v>
      </c>
      <c r="L18" s="43"/>
      <c r="M18" s="46">
        <f t="shared" si="6"/>
        <v>99722.959903000039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34">
      <c r="A19" s="23">
        <v>15</v>
      </c>
      <c r="B19" s="24">
        <v>46250</v>
      </c>
      <c r="C19" s="44" t="s">
        <v>232</v>
      </c>
      <c r="D19" s="45" t="s">
        <v>232</v>
      </c>
      <c r="E19" s="44"/>
      <c r="F19" s="44"/>
      <c r="G19" s="43">
        <f t="shared" si="8"/>
        <v>0</v>
      </c>
      <c r="H19" s="44"/>
      <c r="I19" s="44"/>
      <c r="J19" s="46">
        <f t="shared" si="4"/>
        <v>0</v>
      </c>
      <c r="K19" s="43">
        <f t="shared" si="5"/>
        <v>0</v>
      </c>
      <c r="L19" s="43"/>
      <c r="M19" s="46">
        <f t="shared" si="6"/>
        <v>99722.959903000039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 spans="1:34">
      <c r="A20" s="23">
        <v>16</v>
      </c>
      <c r="B20" s="24">
        <v>46251</v>
      </c>
      <c r="C20" s="44" t="s">
        <v>232</v>
      </c>
      <c r="D20" s="45" t="s">
        <v>232</v>
      </c>
      <c r="E20" s="44"/>
      <c r="F20" s="44"/>
      <c r="G20" s="43">
        <f t="shared" si="8"/>
        <v>0</v>
      </c>
      <c r="H20" s="44"/>
      <c r="I20" s="44"/>
      <c r="J20" s="46">
        <f t="shared" si="4"/>
        <v>0</v>
      </c>
      <c r="K20" s="43">
        <f t="shared" si="5"/>
        <v>0</v>
      </c>
      <c r="L20" s="43"/>
      <c r="M20" s="46">
        <f t="shared" si="6"/>
        <v>99722.959903000039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>
      <c r="A21" s="23">
        <v>17</v>
      </c>
      <c r="B21" s="24">
        <v>46252</v>
      </c>
      <c r="C21" s="44" t="s">
        <v>232</v>
      </c>
      <c r="D21" s="45" t="s">
        <v>232</v>
      </c>
      <c r="E21" s="44">
        <v>1000</v>
      </c>
      <c r="F21" s="44">
        <v>99.14</v>
      </c>
      <c r="G21" s="43">
        <f t="shared" si="8"/>
        <v>99140</v>
      </c>
      <c r="H21" s="434">
        <v>35</v>
      </c>
      <c r="I21" s="44">
        <v>111.24</v>
      </c>
      <c r="J21" s="46">
        <f t="shared" si="4"/>
        <v>3893.3999999999996</v>
      </c>
      <c r="K21" s="43">
        <f t="shared" si="5"/>
        <v>103033.4</v>
      </c>
      <c r="L21" s="43"/>
      <c r="M21" s="46">
        <f t="shared" si="6"/>
        <v>202756.35990300003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1:34">
      <c r="A22" s="23">
        <v>18</v>
      </c>
      <c r="B22" s="24">
        <v>46253</v>
      </c>
      <c r="C22" s="44" t="s">
        <v>232</v>
      </c>
      <c r="D22" s="45" t="s">
        <v>232</v>
      </c>
      <c r="E22" s="44"/>
      <c r="F22" s="44"/>
      <c r="G22" s="43">
        <f t="shared" si="8"/>
        <v>0</v>
      </c>
      <c r="H22" s="44"/>
      <c r="I22" s="44"/>
      <c r="J22" s="46">
        <f t="shared" si="4"/>
        <v>0</v>
      </c>
      <c r="K22" s="43">
        <f t="shared" si="5"/>
        <v>0</v>
      </c>
      <c r="L22" s="43"/>
      <c r="M22" s="46">
        <f t="shared" si="6"/>
        <v>202756.35990300003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spans="1:34">
      <c r="A23" s="23">
        <v>19</v>
      </c>
      <c r="B23" s="24">
        <v>46254</v>
      </c>
      <c r="C23" s="44" t="s">
        <v>232</v>
      </c>
      <c r="D23" s="45" t="s">
        <v>232</v>
      </c>
      <c r="E23" s="44">
        <v>1000</v>
      </c>
      <c r="F23" s="44">
        <v>99.14</v>
      </c>
      <c r="G23" s="43">
        <f t="shared" si="8"/>
        <v>99140</v>
      </c>
      <c r="H23" s="44"/>
      <c r="I23" s="44"/>
      <c r="J23" s="46">
        <f t="shared" si="4"/>
        <v>0</v>
      </c>
      <c r="K23" s="43">
        <f t="shared" si="5"/>
        <v>99140</v>
      </c>
      <c r="L23" s="43"/>
      <c r="M23" s="46">
        <f t="shared" si="6"/>
        <v>301896.35990300006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>
      <c r="A24" s="23">
        <v>20</v>
      </c>
      <c r="B24" s="24">
        <v>46255</v>
      </c>
      <c r="C24" s="44" t="s">
        <v>232</v>
      </c>
      <c r="D24" s="45" t="s">
        <v>232</v>
      </c>
      <c r="E24" s="44"/>
      <c r="F24" s="44"/>
      <c r="G24" s="43">
        <f t="shared" si="8"/>
        <v>0</v>
      </c>
      <c r="H24" s="44"/>
      <c r="I24" s="44"/>
      <c r="J24" s="46">
        <f t="shared" si="4"/>
        <v>0</v>
      </c>
      <c r="K24" s="43">
        <f t="shared" si="5"/>
        <v>0</v>
      </c>
      <c r="L24" s="43"/>
      <c r="M24" s="46">
        <f t="shared" si="6"/>
        <v>301896.35990300006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spans="1:34">
      <c r="A25" s="23">
        <v>21</v>
      </c>
      <c r="B25" s="24">
        <v>46256</v>
      </c>
      <c r="C25" s="44" t="s">
        <v>232</v>
      </c>
      <c r="D25" s="45" t="s">
        <v>232</v>
      </c>
      <c r="E25" s="44"/>
      <c r="F25" s="44"/>
      <c r="G25" s="43">
        <f t="shared" si="8"/>
        <v>0</v>
      </c>
      <c r="H25" s="44"/>
      <c r="I25" s="44"/>
      <c r="J25" s="46">
        <f t="shared" si="4"/>
        <v>0</v>
      </c>
      <c r="K25" s="43">
        <f t="shared" si="5"/>
        <v>0</v>
      </c>
      <c r="L25" s="43"/>
      <c r="M25" s="46">
        <f t="shared" si="6"/>
        <v>301896.35990300006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spans="1:34">
      <c r="A26" s="23">
        <v>22</v>
      </c>
      <c r="B26" s="24">
        <v>46257</v>
      </c>
      <c r="C26" s="44" t="s">
        <v>232</v>
      </c>
      <c r="D26" s="45" t="s">
        <v>232</v>
      </c>
      <c r="E26" s="44"/>
      <c r="F26" s="44"/>
      <c r="G26" s="43">
        <f t="shared" si="8"/>
        <v>0</v>
      </c>
      <c r="H26" s="44"/>
      <c r="I26" s="44"/>
      <c r="J26" s="46">
        <f t="shared" si="4"/>
        <v>0</v>
      </c>
      <c r="K26" s="43">
        <f t="shared" si="5"/>
        <v>0</v>
      </c>
      <c r="L26" s="43"/>
      <c r="M26" s="46">
        <f t="shared" si="6"/>
        <v>301896.35990300006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spans="1:34">
      <c r="A27" s="23">
        <v>23</v>
      </c>
      <c r="B27" s="24">
        <v>46258</v>
      </c>
      <c r="C27" s="44" t="s">
        <v>232</v>
      </c>
      <c r="D27" s="45" t="s">
        <v>232</v>
      </c>
      <c r="E27" s="44">
        <v>1200</v>
      </c>
      <c r="F27" s="44">
        <v>99.14</v>
      </c>
      <c r="G27" s="43">
        <f t="shared" si="8"/>
        <v>118968</v>
      </c>
      <c r="H27" s="44">
        <v>70</v>
      </c>
      <c r="I27" s="44">
        <v>111.24</v>
      </c>
      <c r="J27" s="46">
        <f t="shared" si="4"/>
        <v>7786.7999999999993</v>
      </c>
      <c r="K27" s="43">
        <f t="shared" si="5"/>
        <v>126754.8</v>
      </c>
      <c r="L27" s="43"/>
      <c r="M27" s="46">
        <f t="shared" si="6"/>
        <v>428651.15990300005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spans="1:34">
      <c r="A28" s="23">
        <v>24</v>
      </c>
      <c r="B28" s="24">
        <v>46259</v>
      </c>
      <c r="C28" s="44" t="s">
        <v>232</v>
      </c>
      <c r="D28" s="45" t="s">
        <v>232</v>
      </c>
      <c r="E28" s="44"/>
      <c r="F28" s="44"/>
      <c r="G28" s="43">
        <f t="shared" si="8"/>
        <v>0</v>
      </c>
      <c r="H28" s="44"/>
      <c r="I28" s="44"/>
      <c r="J28" s="46">
        <f t="shared" si="4"/>
        <v>0</v>
      </c>
      <c r="K28" s="43">
        <f t="shared" si="5"/>
        <v>0</v>
      </c>
      <c r="L28" s="43"/>
      <c r="M28" s="46">
        <f t="shared" si="6"/>
        <v>428651.15990300005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spans="1:34">
      <c r="A29" s="23">
        <v>25</v>
      </c>
      <c r="B29" s="24">
        <v>46260</v>
      </c>
      <c r="C29" s="44" t="s">
        <v>232</v>
      </c>
      <c r="D29" s="45" t="s">
        <v>232</v>
      </c>
      <c r="E29" s="44"/>
      <c r="F29" s="44"/>
      <c r="G29" s="43">
        <f t="shared" si="8"/>
        <v>0</v>
      </c>
      <c r="H29" s="44"/>
      <c r="I29" s="44"/>
      <c r="J29" s="46">
        <f t="shared" si="4"/>
        <v>0</v>
      </c>
      <c r="K29" s="43">
        <f t="shared" si="5"/>
        <v>0</v>
      </c>
      <c r="L29" s="43"/>
      <c r="M29" s="46">
        <f t="shared" si="6"/>
        <v>428651.15990300005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spans="1:34">
      <c r="A30" s="23">
        <v>26</v>
      </c>
      <c r="B30" s="24">
        <v>46261</v>
      </c>
      <c r="C30" s="44"/>
      <c r="D30" s="45"/>
      <c r="E30" s="44">
        <v>1000</v>
      </c>
      <c r="F30" s="44">
        <v>99.14</v>
      </c>
      <c r="G30" s="43">
        <f t="shared" si="8"/>
        <v>99140</v>
      </c>
      <c r="H30" s="44"/>
      <c r="I30" s="44"/>
      <c r="J30" s="46">
        <f t="shared" si="4"/>
        <v>0</v>
      </c>
      <c r="K30" s="43">
        <f t="shared" si="5"/>
        <v>99140</v>
      </c>
      <c r="L30" s="43"/>
      <c r="M30" s="46">
        <f t="shared" si="6"/>
        <v>527791.15990300011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 spans="1:34">
      <c r="A31" s="23">
        <v>27</v>
      </c>
      <c r="B31" s="24">
        <v>46262</v>
      </c>
      <c r="C31" s="44"/>
      <c r="D31" s="45"/>
      <c r="E31" s="44"/>
      <c r="F31" s="44"/>
      <c r="G31" s="43">
        <f t="shared" si="8"/>
        <v>0</v>
      </c>
      <c r="H31" s="44"/>
      <c r="I31" s="44"/>
      <c r="J31" s="46">
        <f t="shared" si="4"/>
        <v>0</v>
      </c>
      <c r="K31" s="43">
        <f t="shared" si="5"/>
        <v>0</v>
      </c>
      <c r="L31" s="43">
        <v>400000</v>
      </c>
      <c r="M31" s="46">
        <f t="shared" si="6"/>
        <v>127791.15990300011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spans="1:34">
      <c r="A32" s="23">
        <v>28</v>
      </c>
      <c r="B32" s="24">
        <v>46263</v>
      </c>
      <c r="C32" s="44" t="s">
        <v>232</v>
      </c>
      <c r="D32" s="45" t="s">
        <v>232</v>
      </c>
      <c r="E32" s="44"/>
      <c r="F32" s="44"/>
      <c r="G32" s="43">
        <f t="shared" si="8"/>
        <v>0</v>
      </c>
      <c r="H32" s="44"/>
      <c r="I32" s="44"/>
      <c r="J32" s="46">
        <f t="shared" si="4"/>
        <v>0</v>
      </c>
      <c r="K32" s="43">
        <f t="shared" si="5"/>
        <v>0</v>
      </c>
      <c r="L32" s="43"/>
      <c r="M32" s="46">
        <f t="shared" si="6"/>
        <v>127791.15990300011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 spans="1:34">
      <c r="A33" s="23">
        <v>29</v>
      </c>
      <c r="B33" s="24">
        <v>46264</v>
      </c>
      <c r="C33" s="44" t="s">
        <v>232</v>
      </c>
      <c r="D33" s="45" t="s">
        <v>232</v>
      </c>
      <c r="E33" s="44"/>
      <c r="F33" s="44"/>
      <c r="G33" s="43">
        <f t="shared" si="8"/>
        <v>0</v>
      </c>
      <c r="H33" s="44"/>
      <c r="I33" s="44"/>
      <c r="J33" s="46">
        <f t="shared" si="4"/>
        <v>0</v>
      </c>
      <c r="K33" s="43">
        <f t="shared" si="5"/>
        <v>0</v>
      </c>
      <c r="L33" s="43"/>
      <c r="M33" s="46">
        <f t="shared" si="6"/>
        <v>127791.15990300011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 spans="1:34">
      <c r="A34" s="23">
        <v>30</v>
      </c>
      <c r="B34" s="24">
        <v>46265</v>
      </c>
      <c r="C34" s="44" t="s">
        <v>232</v>
      </c>
      <c r="D34" s="45" t="s">
        <v>232</v>
      </c>
      <c r="E34" s="44"/>
      <c r="F34" s="44"/>
      <c r="G34" s="43">
        <f t="shared" si="8"/>
        <v>0</v>
      </c>
      <c r="H34" s="44"/>
      <c r="I34" s="44"/>
      <c r="J34" s="46">
        <f t="shared" si="4"/>
        <v>0</v>
      </c>
      <c r="K34" s="43">
        <f t="shared" si="5"/>
        <v>0</v>
      </c>
      <c r="L34" s="43"/>
      <c r="M34" s="46">
        <f t="shared" si="6"/>
        <v>127791.15990300011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>
      <c r="A35" s="23">
        <v>31</v>
      </c>
      <c r="B35" s="24"/>
      <c r="C35" s="43"/>
      <c r="D35" s="45" t="s">
        <v>232</v>
      </c>
      <c r="E35" s="44"/>
      <c r="F35" s="44"/>
      <c r="G35" s="43">
        <f t="shared" si="8"/>
        <v>0</v>
      </c>
      <c r="H35" s="44"/>
      <c r="I35" s="44"/>
      <c r="J35" s="46">
        <f t="shared" si="4"/>
        <v>0</v>
      </c>
      <c r="K35" s="43">
        <f t="shared" si="5"/>
        <v>0</v>
      </c>
      <c r="L35" s="43"/>
      <c r="M35" s="46">
        <f t="shared" si="6"/>
        <v>127791.15990300011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spans="1:34">
      <c r="A36" s="23">
        <v>32</v>
      </c>
      <c r="B36" s="24"/>
      <c r="C36" s="43"/>
      <c r="D36" s="45" t="s">
        <v>232</v>
      </c>
      <c r="E36" s="44"/>
      <c r="F36" s="44"/>
      <c r="G36" s="43">
        <f t="shared" si="8"/>
        <v>0</v>
      </c>
      <c r="H36" s="44"/>
      <c r="I36" s="44"/>
      <c r="J36" s="46">
        <f t="shared" si="4"/>
        <v>0</v>
      </c>
      <c r="K36" s="43">
        <f t="shared" si="5"/>
        <v>0</v>
      </c>
      <c r="L36" s="43"/>
      <c r="M36" s="46">
        <f t="shared" si="6"/>
        <v>127791.15990300011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spans="1:34">
      <c r="A37" s="23">
        <v>33</v>
      </c>
      <c r="B37" s="24"/>
      <c r="C37" s="43"/>
      <c r="D37" s="45" t="s">
        <v>232</v>
      </c>
      <c r="E37" s="44"/>
      <c r="F37" s="44"/>
      <c r="G37" s="43">
        <f t="shared" si="8"/>
        <v>0</v>
      </c>
      <c r="H37" s="44"/>
      <c r="I37" s="44"/>
      <c r="J37" s="46">
        <f t="shared" ref="J6:J37" si="9">H37*I37</f>
        <v>0</v>
      </c>
      <c r="K37" s="43">
        <f t="shared" ref="K6:K38" si="10">G37+J37</f>
        <v>0</v>
      </c>
      <c r="L37" s="43"/>
      <c r="M37" s="46">
        <f t="shared" si="6"/>
        <v>127791.15990300011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spans="1:34">
      <c r="A38" s="23">
        <v>34</v>
      </c>
      <c r="B38" s="24"/>
      <c r="C38" s="43"/>
      <c r="D38" s="45" t="s">
        <v>232</v>
      </c>
      <c r="E38" s="44"/>
      <c r="F38" s="44"/>
      <c r="G38" s="43">
        <f t="shared" ref="G6:G38" si="11">E38*F38</f>
        <v>0</v>
      </c>
      <c r="H38" s="44"/>
      <c r="I38" s="44"/>
      <c r="J38" s="46">
        <f t="shared" ref="J6:J38" si="12">H38*I38</f>
        <v>0</v>
      </c>
      <c r="K38" s="43">
        <f t="shared" si="10"/>
        <v>0</v>
      </c>
      <c r="L38" s="104"/>
      <c r="M38" s="46">
        <f t="shared" si="6"/>
        <v>127791.15990300011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 spans="1:34">
      <c r="A39" s="39"/>
      <c r="B39" s="39"/>
      <c r="C39" s="39"/>
      <c r="D39" s="39"/>
      <c r="E39" s="40">
        <f>SUM(E4:E38)</f>
        <v>9400</v>
      </c>
      <c r="F39" s="40"/>
      <c r="G39" s="40">
        <f>SUM(G4:G38)</f>
        <v>931916</v>
      </c>
      <c r="H39" s="40">
        <f>SUM(H4:H38)</f>
        <v>245</v>
      </c>
      <c r="I39" s="40"/>
      <c r="J39" s="40">
        <f>SUM(J4:J38)</f>
        <v>27253.8</v>
      </c>
      <c r="K39" s="40">
        <f>SUM(K4:K38)</f>
        <v>959169.8</v>
      </c>
      <c r="L39" s="40">
        <f>SUM(L4:L38)</f>
        <v>1128000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 spans="1:3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spans="1:3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60B-2832-46A0-9F46-5DA983B0C51D}">
  <dimension ref="A1:AH41"/>
  <sheetViews>
    <sheetView workbookViewId="0">
      <selection activeCell="M38" sqref="M38"/>
    </sheetView>
  </sheetViews>
  <sheetFormatPr defaultRowHeight="15"/>
  <cols>
    <col min="11" max="11" width="10.7109375" customWidth="1"/>
    <col min="12" max="12" width="10.28515625" customWidth="1"/>
    <col min="13" max="13" width="11.7109375" customWidth="1"/>
  </cols>
  <sheetData>
    <row r="1" spans="1:34">
      <c r="A1" s="579" t="s">
        <v>233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27">
      <c r="A2" s="84" t="s">
        <v>0</v>
      </c>
      <c r="B2" s="85" t="s">
        <v>170</v>
      </c>
      <c r="C2" s="85" t="s">
        <v>171</v>
      </c>
      <c r="D2" s="85" t="s">
        <v>172</v>
      </c>
      <c r="E2" s="85" t="s">
        <v>173</v>
      </c>
      <c r="F2" s="85" t="s">
        <v>174</v>
      </c>
      <c r="G2" s="85" t="s">
        <v>175</v>
      </c>
      <c r="H2" s="85" t="s">
        <v>176</v>
      </c>
      <c r="I2" s="85" t="s">
        <v>174</v>
      </c>
      <c r="J2" s="108" t="s">
        <v>175</v>
      </c>
      <c r="K2" s="85" t="s">
        <v>177</v>
      </c>
      <c r="L2" s="108" t="s">
        <v>178</v>
      </c>
      <c r="M2" s="107" t="s">
        <v>195</v>
      </c>
      <c r="N2" s="86" t="s">
        <v>180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80"/>
      <c r="K3" s="26">
        <v>299.31919999999809</v>
      </c>
      <c r="L3" s="43"/>
      <c r="M3" s="109">
        <v>299.31919999999809</v>
      </c>
      <c r="N3" s="43"/>
      <c r="O3" s="30"/>
      <c r="P3" s="46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 spans="1:34">
      <c r="A4" s="23">
        <v>1</v>
      </c>
      <c r="B4" s="24">
        <v>46235</v>
      </c>
      <c r="C4" s="44" t="s">
        <v>232</v>
      </c>
      <c r="D4" s="45" t="s">
        <v>232</v>
      </c>
      <c r="E4" s="44"/>
      <c r="F4" s="44"/>
      <c r="G4" s="43">
        <f>E4*F4</f>
        <v>0</v>
      </c>
      <c r="H4" s="44"/>
      <c r="I4" s="44"/>
      <c r="J4" s="46"/>
      <c r="K4" s="46">
        <f>I4*J4</f>
        <v>0</v>
      </c>
      <c r="L4" s="43"/>
      <c r="M4" s="46">
        <f>M3+K4-L4</f>
        <v>299.31919999999809</v>
      </c>
      <c r="N4" s="43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spans="1:34">
      <c r="A5" s="23"/>
      <c r="B5" s="24">
        <v>46236</v>
      </c>
      <c r="C5" s="44"/>
      <c r="D5" s="45"/>
      <c r="E5" s="44"/>
      <c r="F5" s="44"/>
      <c r="G5" s="43">
        <f t="shared" ref="G5:G38" si="0">E5*F5</f>
        <v>0</v>
      </c>
      <c r="H5" s="44"/>
      <c r="I5" s="44"/>
      <c r="J5" s="46"/>
      <c r="K5" s="46">
        <f t="shared" ref="K5:K38" si="1">I5*J5</f>
        <v>0</v>
      </c>
      <c r="L5" s="43"/>
      <c r="M5" s="46">
        <f>M4+K5-L5</f>
        <v>299.31919999999809</v>
      </c>
      <c r="N5" s="43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 spans="1:34">
      <c r="A6" s="23">
        <v>2</v>
      </c>
      <c r="B6" s="24">
        <v>46237</v>
      </c>
      <c r="C6" s="44" t="s">
        <v>232</v>
      </c>
      <c r="D6" s="45" t="s">
        <v>232</v>
      </c>
      <c r="E6" s="44"/>
      <c r="F6" s="44"/>
      <c r="G6" s="43">
        <f t="shared" si="0"/>
        <v>0</v>
      </c>
      <c r="H6" s="44"/>
      <c r="I6" s="44"/>
      <c r="J6" s="46"/>
      <c r="K6" s="46">
        <f t="shared" si="1"/>
        <v>0</v>
      </c>
      <c r="L6" s="43"/>
      <c r="M6" s="46">
        <f>M4+K6-L6</f>
        <v>299.31919999999809</v>
      </c>
      <c r="N6" s="43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 spans="1:34">
      <c r="A7" s="23">
        <v>3</v>
      </c>
      <c r="B7" s="24">
        <v>46238</v>
      </c>
      <c r="C7" s="44" t="s">
        <v>232</v>
      </c>
      <c r="D7" s="45" t="s">
        <v>232</v>
      </c>
      <c r="E7" s="44"/>
      <c r="F7" s="44"/>
      <c r="G7" s="43">
        <f t="shared" si="0"/>
        <v>0</v>
      </c>
      <c r="H7" s="44"/>
      <c r="I7" s="44"/>
      <c r="J7" s="46">
        <f>H7*I7</f>
        <v>0</v>
      </c>
      <c r="K7" s="46">
        <f t="shared" si="1"/>
        <v>0</v>
      </c>
      <c r="L7" s="43"/>
      <c r="M7" s="46">
        <f t="shared" ref="M7:M38" si="2">M6+K7-L7</f>
        <v>299.31919999999809</v>
      </c>
      <c r="N7" s="43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 spans="1:34">
      <c r="A8" s="23">
        <v>4</v>
      </c>
      <c r="B8" s="24">
        <v>46239</v>
      </c>
      <c r="C8" s="44" t="s">
        <v>232</v>
      </c>
      <c r="D8" s="45" t="s">
        <v>232</v>
      </c>
      <c r="E8" s="44"/>
      <c r="F8" s="44"/>
      <c r="G8" s="43">
        <f t="shared" si="0"/>
        <v>0</v>
      </c>
      <c r="H8" s="44"/>
      <c r="I8" s="44"/>
      <c r="J8" s="46"/>
      <c r="K8" s="46">
        <f t="shared" si="1"/>
        <v>0</v>
      </c>
      <c r="L8" s="43"/>
      <c r="M8" s="46">
        <f t="shared" si="2"/>
        <v>299.31919999999809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</row>
    <row r="9" spans="1:34">
      <c r="A9" s="23">
        <v>5</v>
      </c>
      <c r="B9" s="24">
        <v>46240</v>
      </c>
      <c r="C9" s="44" t="s">
        <v>232</v>
      </c>
      <c r="D9" s="45" t="s">
        <v>232</v>
      </c>
      <c r="E9" s="44"/>
      <c r="F9" s="44"/>
      <c r="G9" s="43">
        <f t="shared" si="0"/>
        <v>0</v>
      </c>
      <c r="H9" s="44"/>
      <c r="I9" s="44"/>
      <c r="J9" s="46"/>
      <c r="K9" s="46">
        <f t="shared" si="1"/>
        <v>0</v>
      </c>
      <c r="L9" s="43"/>
      <c r="M9" s="46">
        <f t="shared" si="2"/>
        <v>299.31919999999809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spans="1:34">
      <c r="A10" s="23">
        <v>6</v>
      </c>
      <c r="B10" s="24">
        <v>46241</v>
      </c>
      <c r="C10" s="44" t="s">
        <v>232</v>
      </c>
      <c r="D10" s="45" t="s">
        <v>232</v>
      </c>
      <c r="E10" s="44"/>
      <c r="F10" s="44"/>
      <c r="G10" s="43">
        <f t="shared" si="0"/>
        <v>0</v>
      </c>
      <c r="H10" s="44"/>
      <c r="I10" s="44"/>
      <c r="J10" s="46"/>
      <c r="K10" s="46">
        <f t="shared" si="1"/>
        <v>0</v>
      </c>
      <c r="L10" s="43"/>
      <c r="M10" s="46">
        <f t="shared" si="2"/>
        <v>299.31919999999809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</row>
    <row r="11" spans="1:34">
      <c r="A11" s="23">
        <v>7</v>
      </c>
      <c r="B11" s="24">
        <v>46242</v>
      </c>
      <c r="C11" s="44" t="s">
        <v>232</v>
      </c>
      <c r="D11" s="45" t="s">
        <v>232</v>
      </c>
      <c r="E11" s="44"/>
      <c r="F11" s="44"/>
      <c r="G11" s="43">
        <f t="shared" si="0"/>
        <v>0</v>
      </c>
      <c r="H11" s="44"/>
      <c r="I11" s="44"/>
      <c r="J11" s="46"/>
      <c r="K11" s="46">
        <f t="shared" si="1"/>
        <v>0</v>
      </c>
      <c r="L11" s="43"/>
      <c r="M11" s="46">
        <f t="shared" si="2"/>
        <v>299.31919999999809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 spans="1:34">
      <c r="A12" s="23">
        <v>8</v>
      </c>
      <c r="B12" s="24">
        <v>46243</v>
      </c>
      <c r="C12" s="44" t="s">
        <v>232</v>
      </c>
      <c r="D12" s="45" t="s">
        <v>232</v>
      </c>
      <c r="E12" s="44"/>
      <c r="F12" s="44"/>
      <c r="G12" s="43">
        <f t="shared" si="0"/>
        <v>0</v>
      </c>
      <c r="H12" s="44"/>
      <c r="I12" s="44"/>
      <c r="J12" s="46"/>
      <c r="K12" s="46">
        <f t="shared" si="1"/>
        <v>0</v>
      </c>
      <c r="L12" s="43"/>
      <c r="M12" s="46">
        <f t="shared" si="2"/>
        <v>299.31919999999809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</row>
    <row r="13" spans="1:34">
      <c r="A13" s="23">
        <v>9</v>
      </c>
      <c r="B13" s="24">
        <v>46244</v>
      </c>
      <c r="C13" s="44" t="s">
        <v>232</v>
      </c>
      <c r="D13" s="45" t="s">
        <v>232</v>
      </c>
      <c r="E13" s="44"/>
      <c r="F13" s="44"/>
      <c r="G13" s="43">
        <f t="shared" si="0"/>
        <v>0</v>
      </c>
      <c r="H13" s="44"/>
      <c r="I13" s="44"/>
      <c r="J13" s="46"/>
      <c r="K13" s="46">
        <f t="shared" si="1"/>
        <v>0</v>
      </c>
      <c r="L13" s="43"/>
      <c r="M13" s="46">
        <f t="shared" si="2"/>
        <v>299.31919999999809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 spans="1:34">
      <c r="A14" s="23">
        <v>10</v>
      </c>
      <c r="B14" s="24">
        <v>46245</v>
      </c>
      <c r="C14" s="44" t="s">
        <v>232</v>
      </c>
      <c r="D14" s="45" t="s">
        <v>232</v>
      </c>
      <c r="E14" s="44"/>
      <c r="F14" s="44"/>
      <c r="G14" s="43">
        <f t="shared" si="0"/>
        <v>0</v>
      </c>
      <c r="H14" s="44"/>
      <c r="I14" s="44"/>
      <c r="J14" s="46"/>
      <c r="K14" s="46">
        <f t="shared" si="1"/>
        <v>0</v>
      </c>
      <c r="L14" s="43"/>
      <c r="M14" s="46">
        <f t="shared" si="2"/>
        <v>299.31919999999809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34">
      <c r="A15" s="23">
        <v>11</v>
      </c>
      <c r="B15" s="24">
        <v>46246</v>
      </c>
      <c r="C15" s="44" t="s">
        <v>232</v>
      </c>
      <c r="D15" s="45" t="s">
        <v>232</v>
      </c>
      <c r="E15" s="44"/>
      <c r="F15" s="44"/>
      <c r="G15" s="43">
        <f t="shared" si="0"/>
        <v>0</v>
      </c>
      <c r="H15" s="44"/>
      <c r="I15" s="44"/>
      <c r="J15" s="46"/>
      <c r="K15" s="46">
        <f t="shared" si="1"/>
        <v>0</v>
      </c>
      <c r="L15" s="43"/>
      <c r="M15" s="46">
        <f t="shared" si="2"/>
        <v>299.31919999999809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 spans="1:34">
      <c r="A16" s="23">
        <v>12</v>
      </c>
      <c r="B16" s="24">
        <v>46247</v>
      </c>
      <c r="C16" s="44"/>
      <c r="D16" s="45"/>
      <c r="E16" s="44"/>
      <c r="F16" s="44"/>
      <c r="G16" s="43">
        <f t="shared" si="0"/>
        <v>0</v>
      </c>
      <c r="H16" s="44"/>
      <c r="I16" s="44"/>
      <c r="J16" s="46">
        <f>H16*I16</f>
        <v>0</v>
      </c>
      <c r="K16" s="46">
        <f t="shared" si="1"/>
        <v>0</v>
      </c>
      <c r="L16" s="43"/>
      <c r="M16" s="46">
        <f t="shared" si="2"/>
        <v>299.31919999999809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>
      <c r="A17" s="23">
        <v>13</v>
      </c>
      <c r="B17" s="24">
        <v>46248</v>
      </c>
      <c r="C17" s="44" t="s">
        <v>232</v>
      </c>
      <c r="D17" s="45" t="s">
        <v>232</v>
      </c>
      <c r="E17" s="44"/>
      <c r="F17" s="44"/>
      <c r="G17" s="43">
        <f t="shared" si="0"/>
        <v>0</v>
      </c>
      <c r="H17" s="44"/>
      <c r="I17" s="44"/>
      <c r="J17" s="46">
        <f t="shared" ref="J6:J38" si="3">H17*I17</f>
        <v>0</v>
      </c>
      <c r="K17" s="46">
        <f t="shared" si="1"/>
        <v>0</v>
      </c>
      <c r="L17" s="43"/>
      <c r="M17" s="46">
        <f t="shared" si="2"/>
        <v>299.31919999999809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 spans="1:34">
      <c r="A18" s="23">
        <v>14</v>
      </c>
      <c r="B18" s="24">
        <v>46249</v>
      </c>
      <c r="C18" s="44" t="s">
        <v>232</v>
      </c>
      <c r="D18" s="45" t="s">
        <v>232</v>
      </c>
      <c r="E18" s="44"/>
      <c r="F18" s="44"/>
      <c r="G18" s="43">
        <f t="shared" si="0"/>
        <v>0</v>
      </c>
      <c r="H18" s="44"/>
      <c r="I18" s="44"/>
      <c r="J18" s="46">
        <f t="shared" si="3"/>
        <v>0</v>
      </c>
      <c r="K18" s="46">
        <f t="shared" si="1"/>
        <v>0</v>
      </c>
      <c r="L18" s="43"/>
      <c r="M18" s="46">
        <f t="shared" si="2"/>
        <v>299.31919999999809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34">
      <c r="A19" s="23">
        <v>15</v>
      </c>
      <c r="B19" s="24">
        <v>46250</v>
      </c>
      <c r="C19" s="44" t="s">
        <v>232</v>
      </c>
      <c r="D19" s="45" t="s">
        <v>232</v>
      </c>
      <c r="E19" s="44"/>
      <c r="F19" s="44"/>
      <c r="G19" s="43">
        <f t="shared" si="0"/>
        <v>0</v>
      </c>
      <c r="H19" s="44"/>
      <c r="I19" s="44"/>
      <c r="J19" s="46">
        <f t="shared" si="3"/>
        <v>0</v>
      </c>
      <c r="K19" s="46">
        <f t="shared" si="1"/>
        <v>0</v>
      </c>
      <c r="L19" s="43"/>
      <c r="M19" s="46">
        <f t="shared" si="2"/>
        <v>299.31919999999809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 spans="1:34">
      <c r="A20" s="23">
        <v>16</v>
      </c>
      <c r="B20" s="24">
        <v>46251</v>
      </c>
      <c r="C20" s="44" t="s">
        <v>232</v>
      </c>
      <c r="D20" s="45" t="s">
        <v>232</v>
      </c>
      <c r="E20" s="44"/>
      <c r="F20" s="44"/>
      <c r="G20" s="43">
        <f t="shared" si="0"/>
        <v>0</v>
      </c>
      <c r="H20" s="44"/>
      <c r="I20" s="44"/>
      <c r="J20" s="46">
        <f t="shared" si="3"/>
        <v>0</v>
      </c>
      <c r="K20" s="46">
        <f t="shared" si="1"/>
        <v>0</v>
      </c>
      <c r="L20" s="43"/>
      <c r="M20" s="46">
        <f t="shared" si="2"/>
        <v>299.31919999999809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>
      <c r="A21" s="23">
        <v>17</v>
      </c>
      <c r="B21" s="24">
        <v>46252</v>
      </c>
      <c r="C21" s="44" t="s">
        <v>232</v>
      </c>
      <c r="D21" s="45" t="s">
        <v>232</v>
      </c>
      <c r="E21" s="44"/>
      <c r="F21" s="44"/>
      <c r="G21" s="43">
        <f t="shared" si="0"/>
        <v>0</v>
      </c>
      <c r="H21" s="44"/>
      <c r="I21" s="44"/>
      <c r="J21" s="46">
        <f t="shared" si="3"/>
        <v>0</v>
      </c>
      <c r="K21" s="46">
        <f t="shared" si="1"/>
        <v>0</v>
      </c>
      <c r="L21" s="43"/>
      <c r="M21" s="46">
        <f t="shared" si="2"/>
        <v>299.31919999999809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1:34">
      <c r="A22" s="23">
        <v>18</v>
      </c>
      <c r="B22" s="24">
        <v>46253</v>
      </c>
      <c r="C22" s="44" t="s">
        <v>232</v>
      </c>
      <c r="D22" s="45" t="s">
        <v>232</v>
      </c>
      <c r="E22" s="44"/>
      <c r="F22" s="44"/>
      <c r="G22" s="43">
        <f t="shared" si="0"/>
        <v>0</v>
      </c>
      <c r="H22" s="44"/>
      <c r="I22" s="44"/>
      <c r="J22" s="46">
        <f t="shared" si="3"/>
        <v>0</v>
      </c>
      <c r="K22" s="46">
        <f t="shared" si="1"/>
        <v>0</v>
      </c>
      <c r="L22" s="43"/>
      <c r="M22" s="46">
        <f t="shared" si="2"/>
        <v>299.31919999999809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spans="1:34">
      <c r="A23" s="23">
        <v>19</v>
      </c>
      <c r="B23" s="24">
        <v>46254</v>
      </c>
      <c r="C23" s="44" t="s">
        <v>232</v>
      </c>
      <c r="D23" s="45" t="s">
        <v>232</v>
      </c>
      <c r="E23" s="44"/>
      <c r="F23" s="44"/>
      <c r="G23" s="43">
        <f t="shared" si="0"/>
        <v>0</v>
      </c>
      <c r="H23" s="44"/>
      <c r="I23" s="44"/>
      <c r="J23" s="46">
        <f t="shared" si="3"/>
        <v>0</v>
      </c>
      <c r="K23" s="46">
        <f t="shared" si="1"/>
        <v>0</v>
      </c>
      <c r="L23" s="43"/>
      <c r="M23" s="46">
        <f t="shared" si="2"/>
        <v>299.31919999999809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>
      <c r="A24" s="23">
        <v>20</v>
      </c>
      <c r="B24" s="24">
        <v>46255</v>
      </c>
      <c r="C24" s="44" t="s">
        <v>232</v>
      </c>
      <c r="D24" s="45" t="s">
        <v>232</v>
      </c>
      <c r="E24" s="44"/>
      <c r="F24" s="44"/>
      <c r="G24" s="43">
        <f t="shared" si="0"/>
        <v>0</v>
      </c>
      <c r="H24" s="44"/>
      <c r="I24" s="44"/>
      <c r="J24" s="46">
        <f t="shared" si="3"/>
        <v>0</v>
      </c>
      <c r="K24" s="46">
        <f t="shared" si="1"/>
        <v>0</v>
      </c>
      <c r="L24" s="43"/>
      <c r="M24" s="46">
        <f t="shared" si="2"/>
        <v>299.31919999999809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spans="1:34">
      <c r="A25" s="23">
        <v>21</v>
      </c>
      <c r="B25" s="24">
        <v>46256</v>
      </c>
      <c r="C25" s="44" t="s">
        <v>232</v>
      </c>
      <c r="D25" s="45" t="s">
        <v>232</v>
      </c>
      <c r="E25" s="44"/>
      <c r="F25" s="44"/>
      <c r="G25" s="43">
        <f t="shared" si="0"/>
        <v>0</v>
      </c>
      <c r="H25" s="44"/>
      <c r="I25" s="44"/>
      <c r="J25" s="46">
        <f t="shared" si="3"/>
        <v>0</v>
      </c>
      <c r="K25" s="46">
        <f t="shared" si="1"/>
        <v>0</v>
      </c>
      <c r="L25" s="43"/>
      <c r="M25" s="46">
        <f t="shared" si="2"/>
        <v>299.31919999999809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spans="1:34">
      <c r="A26" s="23">
        <v>22</v>
      </c>
      <c r="B26" s="24">
        <v>46257</v>
      </c>
      <c r="C26" s="44" t="s">
        <v>232</v>
      </c>
      <c r="D26" s="45" t="s">
        <v>232</v>
      </c>
      <c r="E26" s="44"/>
      <c r="F26" s="44"/>
      <c r="G26" s="43">
        <f t="shared" si="0"/>
        <v>0</v>
      </c>
      <c r="H26" s="44"/>
      <c r="I26" s="44"/>
      <c r="J26" s="46">
        <f t="shared" si="3"/>
        <v>0</v>
      </c>
      <c r="K26" s="46">
        <f t="shared" si="1"/>
        <v>0</v>
      </c>
      <c r="L26" s="43"/>
      <c r="M26" s="46">
        <f t="shared" si="2"/>
        <v>299.31919999999809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spans="1:34">
      <c r="A27" s="23">
        <v>23</v>
      </c>
      <c r="B27" s="24">
        <v>46258</v>
      </c>
      <c r="C27" s="44" t="s">
        <v>232</v>
      </c>
      <c r="D27" s="45" t="s">
        <v>232</v>
      </c>
      <c r="E27" s="44"/>
      <c r="F27" s="44"/>
      <c r="G27" s="43">
        <f t="shared" si="0"/>
        <v>0</v>
      </c>
      <c r="H27" s="44"/>
      <c r="I27" s="44"/>
      <c r="J27" s="46">
        <f t="shared" si="3"/>
        <v>0</v>
      </c>
      <c r="K27" s="46">
        <f t="shared" si="1"/>
        <v>0</v>
      </c>
      <c r="L27" s="43"/>
      <c r="M27" s="46">
        <f t="shared" si="2"/>
        <v>299.31919999999809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spans="1:34">
      <c r="A28" s="23">
        <v>24</v>
      </c>
      <c r="B28" s="24">
        <v>46259</v>
      </c>
      <c r="C28" s="44" t="s">
        <v>232</v>
      </c>
      <c r="D28" s="45" t="s">
        <v>232</v>
      </c>
      <c r="E28" s="44"/>
      <c r="F28" s="44"/>
      <c r="G28" s="43">
        <f t="shared" si="0"/>
        <v>0</v>
      </c>
      <c r="H28" s="44"/>
      <c r="I28" s="44"/>
      <c r="J28" s="46">
        <f t="shared" si="3"/>
        <v>0</v>
      </c>
      <c r="K28" s="46">
        <f t="shared" si="1"/>
        <v>0</v>
      </c>
      <c r="L28" s="43"/>
      <c r="M28" s="46">
        <f t="shared" si="2"/>
        <v>299.31919999999809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spans="1:34">
      <c r="A29" s="23">
        <v>25</v>
      </c>
      <c r="B29" s="24">
        <v>46260</v>
      </c>
      <c r="C29" s="44" t="s">
        <v>232</v>
      </c>
      <c r="D29" s="45" t="s">
        <v>232</v>
      </c>
      <c r="E29" s="44"/>
      <c r="F29" s="44"/>
      <c r="G29" s="43">
        <f t="shared" si="0"/>
        <v>0</v>
      </c>
      <c r="H29" s="44"/>
      <c r="I29" s="44"/>
      <c r="J29" s="46">
        <f t="shared" si="3"/>
        <v>0</v>
      </c>
      <c r="K29" s="46">
        <f t="shared" si="1"/>
        <v>0</v>
      </c>
      <c r="L29" s="43"/>
      <c r="M29" s="46">
        <f t="shared" si="2"/>
        <v>299.31919999999809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spans="1:34">
      <c r="A30" s="23">
        <v>26</v>
      </c>
      <c r="B30" s="24">
        <v>46261</v>
      </c>
      <c r="C30" s="44"/>
      <c r="D30" s="45"/>
      <c r="E30" s="44"/>
      <c r="F30" s="44"/>
      <c r="G30" s="43">
        <f t="shared" si="0"/>
        <v>0</v>
      </c>
      <c r="H30" s="44"/>
      <c r="I30" s="44"/>
      <c r="J30" s="46">
        <f t="shared" si="3"/>
        <v>0</v>
      </c>
      <c r="K30" s="46">
        <f t="shared" si="1"/>
        <v>0</v>
      </c>
      <c r="L30" s="43"/>
      <c r="M30" s="46">
        <f t="shared" si="2"/>
        <v>299.31919999999809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 spans="1:34">
      <c r="A31" s="23">
        <v>27</v>
      </c>
      <c r="B31" s="24">
        <v>46262</v>
      </c>
      <c r="C31" s="44"/>
      <c r="D31" s="45"/>
      <c r="E31" s="44"/>
      <c r="F31" s="44"/>
      <c r="G31" s="43">
        <f t="shared" si="0"/>
        <v>0</v>
      </c>
      <c r="H31" s="44"/>
      <c r="I31" s="44"/>
      <c r="J31" s="46">
        <f t="shared" si="3"/>
        <v>0</v>
      </c>
      <c r="K31" s="46">
        <f t="shared" si="1"/>
        <v>0</v>
      </c>
      <c r="L31" s="43"/>
      <c r="M31" s="46">
        <f t="shared" si="2"/>
        <v>299.31919999999809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spans="1:34">
      <c r="A32" s="23">
        <v>28</v>
      </c>
      <c r="B32" s="24">
        <v>46263</v>
      </c>
      <c r="C32" s="44" t="s">
        <v>232</v>
      </c>
      <c r="D32" s="45" t="s">
        <v>232</v>
      </c>
      <c r="E32" s="44"/>
      <c r="F32" s="44"/>
      <c r="G32" s="43">
        <f t="shared" si="0"/>
        <v>0</v>
      </c>
      <c r="H32" s="44"/>
      <c r="I32" s="44"/>
      <c r="J32" s="46">
        <f t="shared" si="3"/>
        <v>0</v>
      </c>
      <c r="K32" s="46">
        <f t="shared" si="1"/>
        <v>0</v>
      </c>
      <c r="L32" s="43"/>
      <c r="M32" s="46">
        <f t="shared" si="2"/>
        <v>299.31919999999809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 spans="1:34">
      <c r="A33" s="23">
        <v>29</v>
      </c>
      <c r="B33" s="24">
        <v>46264</v>
      </c>
      <c r="C33" s="44" t="s">
        <v>232</v>
      </c>
      <c r="D33" s="45" t="s">
        <v>232</v>
      </c>
      <c r="E33" s="44"/>
      <c r="F33" s="44"/>
      <c r="G33" s="43">
        <f t="shared" si="0"/>
        <v>0</v>
      </c>
      <c r="H33" s="44"/>
      <c r="I33" s="44"/>
      <c r="J33" s="46">
        <f t="shared" si="3"/>
        <v>0</v>
      </c>
      <c r="K33" s="46">
        <f t="shared" si="1"/>
        <v>0</v>
      </c>
      <c r="L33" s="43"/>
      <c r="M33" s="46">
        <f t="shared" si="2"/>
        <v>299.31919999999809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 spans="1:34">
      <c r="A34" s="23">
        <v>30</v>
      </c>
      <c r="B34" s="24">
        <v>46265</v>
      </c>
      <c r="C34" s="44" t="s">
        <v>232</v>
      </c>
      <c r="D34" s="45" t="s">
        <v>232</v>
      </c>
      <c r="E34" s="44">
        <v>1500</v>
      </c>
      <c r="F34" s="44">
        <v>99.02</v>
      </c>
      <c r="G34" s="43">
        <f>E34*F34</f>
        <v>148530</v>
      </c>
      <c r="H34" s="44">
        <v>70</v>
      </c>
      <c r="I34" s="44">
        <v>111.12</v>
      </c>
      <c r="J34" s="46">
        <f>H34*I34</f>
        <v>7778.4000000000005</v>
      </c>
      <c r="K34" s="46">
        <f>G34+J34</f>
        <v>156308.4</v>
      </c>
      <c r="L34" s="43"/>
      <c r="M34" s="46">
        <f t="shared" si="2"/>
        <v>156607.71919999999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>
      <c r="A35" s="23">
        <v>31</v>
      </c>
      <c r="B35" s="24"/>
      <c r="C35" s="43"/>
      <c r="D35" s="45" t="s">
        <v>232</v>
      </c>
      <c r="E35" s="44"/>
      <c r="F35" s="44"/>
      <c r="G35" s="43">
        <f t="shared" si="0"/>
        <v>0</v>
      </c>
      <c r="H35" s="44"/>
      <c r="I35" s="44"/>
      <c r="J35" s="46">
        <f t="shared" si="3"/>
        <v>0</v>
      </c>
      <c r="K35" s="46">
        <f t="shared" si="1"/>
        <v>0</v>
      </c>
      <c r="L35" s="43"/>
      <c r="M35" s="46">
        <f t="shared" si="2"/>
        <v>156607.71919999999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spans="1:34">
      <c r="A36" s="23">
        <v>32</v>
      </c>
      <c r="B36" s="24"/>
      <c r="C36" s="43"/>
      <c r="D36" s="45" t="s">
        <v>232</v>
      </c>
      <c r="E36" s="44"/>
      <c r="F36" s="44"/>
      <c r="G36" s="43">
        <f t="shared" si="0"/>
        <v>0</v>
      </c>
      <c r="H36" s="44"/>
      <c r="I36" s="44"/>
      <c r="J36" s="46">
        <f t="shared" si="3"/>
        <v>0</v>
      </c>
      <c r="K36" s="46">
        <f t="shared" si="1"/>
        <v>0</v>
      </c>
      <c r="L36" s="43"/>
      <c r="M36" s="46">
        <f t="shared" si="2"/>
        <v>156607.71919999999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spans="1:34">
      <c r="A37" s="23">
        <v>33</v>
      </c>
      <c r="B37" s="24"/>
      <c r="C37" s="43"/>
      <c r="D37" s="45" t="s">
        <v>232</v>
      </c>
      <c r="E37" s="44"/>
      <c r="F37" s="44"/>
      <c r="G37" s="43">
        <f t="shared" si="0"/>
        <v>0</v>
      </c>
      <c r="H37" s="44"/>
      <c r="I37" s="44"/>
      <c r="J37" s="46">
        <f t="shared" si="3"/>
        <v>0</v>
      </c>
      <c r="K37" s="46">
        <f t="shared" si="1"/>
        <v>0</v>
      </c>
      <c r="L37" s="43"/>
      <c r="M37" s="46">
        <f t="shared" si="2"/>
        <v>156607.71919999999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spans="1:34">
      <c r="A38" s="23">
        <v>34</v>
      </c>
      <c r="B38" s="24"/>
      <c r="C38" s="43"/>
      <c r="D38" s="45" t="s">
        <v>232</v>
      </c>
      <c r="E38" s="44"/>
      <c r="F38" s="44"/>
      <c r="G38" s="43">
        <f t="shared" si="0"/>
        <v>0</v>
      </c>
      <c r="H38" s="44"/>
      <c r="I38" s="44"/>
      <c r="J38" s="46">
        <f t="shared" si="3"/>
        <v>0</v>
      </c>
      <c r="K38" s="46">
        <f t="shared" si="1"/>
        <v>0</v>
      </c>
      <c r="L38" s="104"/>
      <c r="M38" s="46">
        <f t="shared" si="2"/>
        <v>156607.71919999999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 spans="1:34">
      <c r="A39" s="39"/>
      <c r="B39" s="39"/>
      <c r="C39" s="39"/>
      <c r="D39" s="39"/>
      <c r="E39" s="40">
        <f>SUM(E4:E38)</f>
        <v>1500</v>
      </c>
      <c r="F39" s="40"/>
      <c r="G39" s="40">
        <f>SUM(G4:G38)</f>
        <v>148530</v>
      </c>
      <c r="H39" s="40">
        <f>SUM(H4:H38)</f>
        <v>70</v>
      </c>
      <c r="I39" s="40"/>
      <c r="J39" s="40">
        <f>SUM(J4:J38)</f>
        <v>7778.4000000000005</v>
      </c>
      <c r="K39" s="40">
        <f>SUM(K4:K38)</f>
        <v>156308.4</v>
      </c>
      <c r="L39" s="40">
        <f>SUM(L4:L38)</f>
        <v>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 spans="1:34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spans="1:34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20" workbookViewId="0">
      <selection activeCell="M31" sqref="M31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4" max="14" width="14.85546875" bestFit="1" customWidth="1"/>
    <col min="16" max="16" width="10" customWidth="1"/>
  </cols>
  <sheetData>
    <row r="1" spans="1:14" ht="15.75" customHeight="1">
      <c r="A1" s="581" t="s">
        <v>105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25.5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02" t="s">
        <v>177</v>
      </c>
      <c r="L2" s="102" t="s">
        <v>178</v>
      </c>
      <c r="M2" s="102" t="s">
        <v>195</v>
      </c>
      <c r="N2" s="102" t="s">
        <v>180</v>
      </c>
    </row>
    <row r="3" spans="1:14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>
        <v>484.79409999979543</v>
      </c>
      <c r="L3" s="145"/>
      <c r="M3" s="145">
        <v>484.79409999979543</v>
      </c>
      <c r="N3" s="103"/>
    </row>
    <row r="4" spans="1:14">
      <c r="A4" s="23">
        <v>1</v>
      </c>
      <c r="B4" s="24">
        <v>46235</v>
      </c>
      <c r="C4" s="103">
        <v>0</v>
      </c>
      <c r="D4" s="117"/>
      <c r="E4" s="33">
        <v>1400</v>
      </c>
      <c r="F4" s="33">
        <v>99.38</v>
      </c>
      <c r="G4" s="33">
        <f>E4*F4</f>
        <v>139132</v>
      </c>
      <c r="H4" s="118">
        <v>70</v>
      </c>
      <c r="I4" s="118">
        <v>111.72</v>
      </c>
      <c r="J4" s="33">
        <f>H4*I4</f>
        <v>7820.4</v>
      </c>
      <c r="K4" s="33">
        <f>G4+J4</f>
        <v>146952.4</v>
      </c>
      <c r="L4" s="33"/>
      <c r="M4" s="33">
        <f t="shared" ref="M4:M33" si="0">M3+K4-L4</f>
        <v>147437.19409999979</v>
      </c>
      <c r="N4" s="103"/>
    </row>
    <row r="5" spans="1:14">
      <c r="A5" s="23">
        <v>2</v>
      </c>
      <c r="B5" s="24">
        <v>46236</v>
      </c>
      <c r="C5" s="103">
        <v>0</v>
      </c>
      <c r="D5" s="117"/>
      <c r="E5" s="33">
        <v>0</v>
      </c>
      <c r="F5" s="33">
        <v>0</v>
      </c>
      <c r="G5" s="33">
        <f t="shared" ref="G5:G31" si="1">E5*F5</f>
        <v>0</v>
      </c>
      <c r="H5" s="118"/>
      <c r="I5" s="118"/>
      <c r="J5" s="33">
        <f t="shared" ref="J5:J31" si="2">H5*I5</f>
        <v>0</v>
      </c>
      <c r="K5" s="33">
        <f t="shared" ref="K5:K31" si="3">G5+J5</f>
        <v>0</v>
      </c>
      <c r="L5" s="33"/>
      <c r="M5" s="33">
        <f t="shared" si="0"/>
        <v>147437.19409999979</v>
      </c>
      <c r="N5" s="103"/>
    </row>
    <row r="6" spans="1:14">
      <c r="A6" s="23">
        <v>3</v>
      </c>
      <c r="B6" s="24">
        <v>46237</v>
      </c>
      <c r="C6" s="103">
        <v>0</v>
      </c>
      <c r="D6" s="117"/>
      <c r="E6" s="33">
        <v>0</v>
      </c>
      <c r="F6" s="33">
        <v>0</v>
      </c>
      <c r="G6" s="33">
        <f t="shared" si="1"/>
        <v>0</v>
      </c>
      <c r="H6" s="118"/>
      <c r="I6" s="118"/>
      <c r="J6" s="33">
        <f t="shared" si="2"/>
        <v>0</v>
      </c>
      <c r="K6" s="33">
        <f t="shared" si="3"/>
        <v>0</v>
      </c>
      <c r="L6" s="33"/>
      <c r="M6" s="33">
        <f t="shared" si="0"/>
        <v>147437.19409999979</v>
      </c>
      <c r="N6" s="41"/>
    </row>
    <row r="7" spans="1:14">
      <c r="A7" s="23">
        <v>4</v>
      </c>
      <c r="B7" s="24">
        <v>46238</v>
      </c>
      <c r="C7" s="103">
        <v>0</v>
      </c>
      <c r="D7" s="117"/>
      <c r="E7" s="33">
        <v>0</v>
      </c>
      <c r="F7" s="33">
        <v>0</v>
      </c>
      <c r="G7" s="33">
        <f t="shared" si="1"/>
        <v>0</v>
      </c>
      <c r="H7" s="118"/>
      <c r="I7" s="118"/>
      <c r="J7" s="33">
        <f t="shared" si="2"/>
        <v>0</v>
      </c>
      <c r="K7" s="33">
        <f t="shared" si="3"/>
        <v>0</v>
      </c>
      <c r="L7" s="33"/>
      <c r="M7" s="33">
        <f t="shared" si="0"/>
        <v>147437.19409999979</v>
      </c>
      <c r="N7" s="41"/>
    </row>
    <row r="8" spans="1:14">
      <c r="A8" s="23">
        <v>5</v>
      </c>
      <c r="B8" s="24">
        <v>46239</v>
      </c>
      <c r="C8" s="103">
        <v>0</v>
      </c>
      <c r="D8" s="117"/>
      <c r="E8" s="33">
        <v>0</v>
      </c>
      <c r="F8" s="33">
        <v>0</v>
      </c>
      <c r="G8" s="33">
        <f t="shared" ref="G8:G20" si="4">E8*F8</f>
        <v>0</v>
      </c>
      <c r="H8" s="118"/>
      <c r="I8" s="118"/>
      <c r="J8" s="33">
        <f t="shared" ref="J8:J20" si="5">H8*I8</f>
        <v>0</v>
      </c>
      <c r="K8" s="33">
        <f t="shared" ref="K8:K34" si="6">G8+J8</f>
        <v>0</v>
      </c>
      <c r="L8" s="33">
        <v>100000</v>
      </c>
      <c r="M8" s="33">
        <f t="shared" si="0"/>
        <v>47437.19409999979</v>
      </c>
      <c r="N8" s="41"/>
    </row>
    <row r="9" spans="1:14">
      <c r="A9" s="23">
        <v>6</v>
      </c>
      <c r="B9" s="24">
        <v>46240</v>
      </c>
      <c r="C9" s="103">
        <v>0</v>
      </c>
      <c r="D9" s="117"/>
      <c r="E9" s="33">
        <v>0</v>
      </c>
      <c r="F9" s="33">
        <v>0</v>
      </c>
      <c r="G9" s="33">
        <f t="shared" si="4"/>
        <v>0</v>
      </c>
      <c r="H9" s="118"/>
      <c r="I9" s="118"/>
      <c r="J9" s="33">
        <f t="shared" si="5"/>
        <v>0</v>
      </c>
      <c r="K9" s="33">
        <f t="shared" si="6"/>
        <v>0</v>
      </c>
      <c r="L9" s="33"/>
      <c r="M9" s="33">
        <f t="shared" si="0"/>
        <v>47437.19409999979</v>
      </c>
      <c r="N9" s="41"/>
    </row>
    <row r="10" spans="1:14">
      <c r="A10" s="23">
        <v>7</v>
      </c>
      <c r="B10" s="24">
        <v>46241</v>
      </c>
      <c r="C10" s="103">
        <v>0</v>
      </c>
      <c r="D10" s="117"/>
      <c r="E10" s="33"/>
      <c r="F10" s="33"/>
      <c r="G10" s="33">
        <f t="shared" si="4"/>
        <v>0</v>
      </c>
      <c r="H10" s="118"/>
      <c r="I10" s="118"/>
      <c r="J10" s="33">
        <f t="shared" si="5"/>
        <v>0</v>
      </c>
      <c r="K10" s="33">
        <f t="shared" si="6"/>
        <v>0</v>
      </c>
      <c r="L10" s="33"/>
      <c r="M10" s="33">
        <f t="shared" si="0"/>
        <v>47437.19409999979</v>
      </c>
      <c r="N10" s="41"/>
    </row>
    <row r="11" spans="1:14">
      <c r="A11" s="23">
        <v>8</v>
      </c>
      <c r="B11" s="24">
        <v>46242</v>
      </c>
      <c r="C11" s="103">
        <v>0</v>
      </c>
      <c r="D11" s="117"/>
      <c r="E11" s="33"/>
      <c r="F11" s="33"/>
      <c r="G11" s="33">
        <f t="shared" si="4"/>
        <v>0</v>
      </c>
      <c r="H11" s="118"/>
      <c r="I11" s="118"/>
      <c r="J11" s="33">
        <f t="shared" si="5"/>
        <v>0</v>
      </c>
      <c r="K11" s="33">
        <f t="shared" si="6"/>
        <v>0</v>
      </c>
      <c r="L11" s="33"/>
      <c r="M11" s="33">
        <f t="shared" si="0"/>
        <v>47437.19409999979</v>
      </c>
      <c r="N11" s="41"/>
    </row>
    <row r="12" spans="1:14">
      <c r="A12" s="23">
        <v>9</v>
      </c>
      <c r="B12" s="24">
        <v>46243</v>
      </c>
      <c r="C12" s="103">
        <v>0</v>
      </c>
      <c r="D12" s="117"/>
      <c r="E12" s="33"/>
      <c r="F12" s="33"/>
      <c r="G12" s="33">
        <f t="shared" si="4"/>
        <v>0</v>
      </c>
      <c r="H12" s="118"/>
      <c r="I12" s="118"/>
      <c r="J12" s="33">
        <f t="shared" si="5"/>
        <v>0</v>
      </c>
      <c r="K12" s="33">
        <f t="shared" si="6"/>
        <v>0</v>
      </c>
      <c r="L12" s="33"/>
      <c r="M12" s="33">
        <f t="shared" si="0"/>
        <v>47437.19409999979</v>
      </c>
      <c r="N12" s="41"/>
    </row>
    <row r="13" spans="1:14">
      <c r="A13" s="23">
        <v>10</v>
      </c>
      <c r="B13" s="24">
        <v>46244</v>
      </c>
      <c r="C13" s="103">
        <v>0</v>
      </c>
      <c r="D13" s="117"/>
      <c r="E13" s="33"/>
      <c r="F13" s="33"/>
      <c r="G13" s="33">
        <f t="shared" si="4"/>
        <v>0</v>
      </c>
      <c r="H13" s="118"/>
      <c r="I13" s="118"/>
      <c r="J13" s="33">
        <f t="shared" si="5"/>
        <v>0</v>
      </c>
      <c r="K13" s="33">
        <f t="shared" si="6"/>
        <v>0</v>
      </c>
      <c r="L13" s="33"/>
      <c r="M13" s="33">
        <f t="shared" si="0"/>
        <v>47437.19409999979</v>
      </c>
      <c r="N13" s="41"/>
    </row>
    <row r="14" spans="1:14">
      <c r="A14" s="23">
        <v>11</v>
      </c>
      <c r="B14" s="24">
        <v>46245</v>
      </c>
      <c r="C14" s="103">
        <v>0</v>
      </c>
      <c r="D14" s="117"/>
      <c r="E14" s="33"/>
      <c r="F14" s="33"/>
      <c r="G14" s="33">
        <f t="shared" si="4"/>
        <v>0</v>
      </c>
      <c r="H14" s="118"/>
      <c r="I14" s="118"/>
      <c r="J14" s="33">
        <f t="shared" si="5"/>
        <v>0</v>
      </c>
      <c r="K14" s="33">
        <f t="shared" si="6"/>
        <v>0</v>
      </c>
      <c r="L14" s="33"/>
      <c r="M14" s="33">
        <f t="shared" si="0"/>
        <v>47437.19409999979</v>
      </c>
      <c r="N14" s="41"/>
    </row>
    <row r="15" spans="1:14">
      <c r="A15" s="23">
        <v>12</v>
      </c>
      <c r="B15" s="24">
        <v>46246</v>
      </c>
      <c r="C15" s="103">
        <v>0</v>
      </c>
      <c r="D15" s="117"/>
      <c r="E15" s="33"/>
      <c r="F15" s="33"/>
      <c r="G15" s="33">
        <f t="shared" si="4"/>
        <v>0</v>
      </c>
      <c r="H15" s="118"/>
      <c r="I15" s="118"/>
      <c r="J15" s="33">
        <f t="shared" si="5"/>
        <v>0</v>
      </c>
      <c r="K15" s="33">
        <f t="shared" si="6"/>
        <v>0</v>
      </c>
      <c r="L15" s="33"/>
      <c r="M15" s="33">
        <f t="shared" si="0"/>
        <v>47437.19409999979</v>
      </c>
      <c r="N15" s="41"/>
    </row>
    <row r="16" spans="1:14">
      <c r="A16" s="23">
        <v>13</v>
      </c>
      <c r="B16" s="24">
        <v>46247</v>
      </c>
      <c r="C16" s="103">
        <v>0</v>
      </c>
      <c r="D16" s="117"/>
      <c r="E16" s="33"/>
      <c r="F16" s="33"/>
      <c r="G16" s="33">
        <f t="shared" si="4"/>
        <v>0</v>
      </c>
      <c r="H16" s="118"/>
      <c r="I16" s="118"/>
      <c r="J16" s="33">
        <f t="shared" si="5"/>
        <v>0</v>
      </c>
      <c r="K16" s="33">
        <f t="shared" si="6"/>
        <v>0</v>
      </c>
      <c r="L16" s="33">
        <v>47000</v>
      </c>
      <c r="M16" s="33">
        <f t="shared" si="0"/>
        <v>437.19409999978961</v>
      </c>
      <c r="N16" s="41"/>
    </row>
    <row r="17" spans="1:14">
      <c r="A17" s="23">
        <v>14</v>
      </c>
      <c r="B17" s="24">
        <v>46248</v>
      </c>
      <c r="C17" s="103">
        <v>0</v>
      </c>
      <c r="D17" s="117"/>
      <c r="E17" s="33"/>
      <c r="F17" s="33"/>
      <c r="G17" s="33">
        <f t="shared" si="4"/>
        <v>0</v>
      </c>
      <c r="H17" s="118"/>
      <c r="I17" s="118"/>
      <c r="J17" s="33">
        <f t="shared" si="5"/>
        <v>0</v>
      </c>
      <c r="K17" s="33">
        <f t="shared" si="6"/>
        <v>0</v>
      </c>
      <c r="L17" s="33"/>
      <c r="M17" s="33">
        <f t="shared" si="0"/>
        <v>437.19409999978961</v>
      </c>
      <c r="N17" s="41"/>
    </row>
    <row r="18" spans="1:14">
      <c r="A18" s="23">
        <v>15</v>
      </c>
      <c r="B18" s="24">
        <v>46249</v>
      </c>
      <c r="C18" s="103">
        <v>0</v>
      </c>
      <c r="D18" s="117"/>
      <c r="E18" s="33"/>
      <c r="F18" s="33"/>
      <c r="G18" s="33">
        <f t="shared" si="4"/>
        <v>0</v>
      </c>
      <c r="H18" s="118"/>
      <c r="I18" s="118"/>
      <c r="J18" s="33">
        <f t="shared" si="5"/>
        <v>0</v>
      </c>
      <c r="K18" s="33">
        <f t="shared" si="6"/>
        <v>0</v>
      </c>
      <c r="L18" s="33"/>
      <c r="M18" s="33">
        <f t="shared" si="0"/>
        <v>437.19409999978961</v>
      </c>
      <c r="N18" s="41"/>
    </row>
    <row r="19" spans="1:14">
      <c r="A19" s="23">
        <v>16</v>
      </c>
      <c r="B19" s="24">
        <v>46250</v>
      </c>
      <c r="C19" s="103">
        <v>0</v>
      </c>
      <c r="D19" s="117"/>
      <c r="E19" s="33"/>
      <c r="F19" s="33"/>
      <c r="G19" s="33">
        <f t="shared" si="4"/>
        <v>0</v>
      </c>
      <c r="H19" s="118">
        <v>70</v>
      </c>
      <c r="I19" s="118">
        <v>111.72</v>
      </c>
      <c r="J19" s="33">
        <f t="shared" si="5"/>
        <v>7820.4</v>
      </c>
      <c r="K19" s="33">
        <f t="shared" si="6"/>
        <v>7820.4</v>
      </c>
      <c r="L19" s="33"/>
      <c r="M19" s="33">
        <f t="shared" si="0"/>
        <v>8257.5940999997893</v>
      </c>
      <c r="N19" s="41"/>
    </row>
    <row r="20" spans="1:14">
      <c r="A20" s="23">
        <v>17</v>
      </c>
      <c r="B20" s="24">
        <v>46251</v>
      </c>
      <c r="C20" s="103">
        <v>0</v>
      </c>
      <c r="D20" s="117"/>
      <c r="E20" s="33"/>
      <c r="F20" s="33"/>
      <c r="G20" s="33">
        <f t="shared" si="4"/>
        <v>0</v>
      </c>
      <c r="H20" s="118"/>
      <c r="I20" s="118"/>
      <c r="J20" s="33">
        <f t="shared" si="5"/>
        <v>0</v>
      </c>
      <c r="K20" s="33">
        <f t="shared" si="6"/>
        <v>0</v>
      </c>
      <c r="L20" s="33"/>
      <c r="M20" s="33">
        <f t="shared" si="0"/>
        <v>8257.5940999997893</v>
      </c>
      <c r="N20" s="41"/>
    </row>
    <row r="21" spans="1:14">
      <c r="A21" s="23">
        <v>18</v>
      </c>
      <c r="B21" s="24">
        <v>46252</v>
      </c>
      <c r="C21" s="103">
        <v>0</v>
      </c>
      <c r="D21" s="117"/>
      <c r="E21" s="33"/>
      <c r="F21" s="33"/>
      <c r="G21" s="33">
        <f t="shared" si="1"/>
        <v>0</v>
      </c>
      <c r="H21" s="118"/>
      <c r="I21" s="118"/>
      <c r="J21" s="33">
        <f t="shared" si="2"/>
        <v>0</v>
      </c>
      <c r="K21" s="33">
        <f t="shared" si="6"/>
        <v>0</v>
      </c>
      <c r="L21" s="33"/>
      <c r="M21" s="33">
        <f t="shared" si="0"/>
        <v>8257.5940999997893</v>
      </c>
      <c r="N21" s="41"/>
    </row>
    <row r="22" spans="1:14">
      <c r="A22" s="23">
        <v>19</v>
      </c>
      <c r="B22" s="24">
        <v>46253</v>
      </c>
      <c r="C22" s="103">
        <v>0</v>
      </c>
      <c r="D22" s="117"/>
      <c r="E22" s="33"/>
      <c r="F22" s="33"/>
      <c r="G22" s="33">
        <f t="shared" si="1"/>
        <v>0</v>
      </c>
      <c r="H22" s="118"/>
      <c r="I22" s="118"/>
      <c r="J22" s="33">
        <f t="shared" si="2"/>
        <v>0</v>
      </c>
      <c r="K22" s="33">
        <f t="shared" si="6"/>
        <v>0</v>
      </c>
      <c r="L22" s="33"/>
      <c r="M22" s="33">
        <f t="shared" si="0"/>
        <v>8257.5940999997893</v>
      </c>
      <c r="N22" s="41"/>
    </row>
    <row r="23" spans="1:14">
      <c r="A23" s="23">
        <v>20</v>
      </c>
      <c r="B23" s="24">
        <v>46254</v>
      </c>
      <c r="C23" s="103">
        <v>0</v>
      </c>
      <c r="D23" s="117"/>
      <c r="E23" s="33"/>
      <c r="F23" s="33"/>
      <c r="G23" s="33">
        <f t="shared" si="1"/>
        <v>0</v>
      </c>
      <c r="H23" s="118"/>
      <c r="I23" s="118"/>
      <c r="J23" s="33">
        <f t="shared" si="2"/>
        <v>0</v>
      </c>
      <c r="K23" s="33">
        <f t="shared" si="6"/>
        <v>0</v>
      </c>
      <c r="L23" s="33"/>
      <c r="M23" s="33">
        <f t="shared" si="0"/>
        <v>8257.5940999997893</v>
      </c>
      <c r="N23" s="41"/>
    </row>
    <row r="24" spans="1:14">
      <c r="A24" s="23">
        <v>21</v>
      </c>
      <c r="B24" s="24">
        <v>46255</v>
      </c>
      <c r="C24" s="103">
        <v>0</v>
      </c>
      <c r="D24" s="117"/>
      <c r="E24" s="33"/>
      <c r="F24" s="33"/>
      <c r="G24" s="33">
        <f t="shared" si="1"/>
        <v>0</v>
      </c>
      <c r="H24" s="118"/>
      <c r="I24" s="118"/>
      <c r="J24" s="33">
        <f t="shared" si="2"/>
        <v>0</v>
      </c>
      <c r="K24" s="33">
        <f t="shared" si="6"/>
        <v>0</v>
      </c>
      <c r="L24" s="33"/>
      <c r="M24" s="33">
        <f t="shared" si="0"/>
        <v>8257.5940999997893</v>
      </c>
      <c r="N24" s="41"/>
    </row>
    <row r="25" spans="1:14">
      <c r="A25" s="23">
        <v>22</v>
      </c>
      <c r="B25" s="24">
        <v>46256</v>
      </c>
      <c r="C25" s="103">
        <v>0</v>
      </c>
      <c r="D25" s="117"/>
      <c r="E25" s="33"/>
      <c r="F25" s="33"/>
      <c r="G25" s="33">
        <f t="shared" ref="G25:G33" si="7">E25*F25</f>
        <v>0</v>
      </c>
      <c r="H25" s="118"/>
      <c r="I25" s="118"/>
      <c r="J25" s="33">
        <f t="shared" ref="J25:J33" si="8">H25*I25</f>
        <v>0</v>
      </c>
      <c r="K25" s="33">
        <f t="shared" si="6"/>
        <v>0</v>
      </c>
      <c r="L25" s="33"/>
      <c r="M25" s="33">
        <f t="shared" si="0"/>
        <v>8257.5940999997893</v>
      </c>
      <c r="N25" s="41"/>
    </row>
    <row r="26" spans="1:14">
      <c r="A26" s="23">
        <v>23</v>
      </c>
      <c r="B26" s="24">
        <v>46257</v>
      </c>
      <c r="C26" s="103">
        <v>0</v>
      </c>
      <c r="D26" s="117"/>
      <c r="E26" s="33"/>
      <c r="F26" s="33"/>
      <c r="G26" s="33">
        <f t="shared" si="7"/>
        <v>0</v>
      </c>
      <c r="H26" s="118"/>
      <c r="I26" s="118"/>
      <c r="J26" s="33">
        <f t="shared" si="8"/>
        <v>0</v>
      </c>
      <c r="K26" s="33">
        <f t="shared" si="6"/>
        <v>0</v>
      </c>
      <c r="L26" s="33"/>
      <c r="M26" s="33">
        <f t="shared" si="0"/>
        <v>8257.5940999997893</v>
      </c>
      <c r="N26" s="41"/>
    </row>
    <row r="27" spans="1:14">
      <c r="A27" s="23">
        <v>24</v>
      </c>
      <c r="B27" s="24">
        <v>46258</v>
      </c>
      <c r="C27" s="103">
        <v>0</v>
      </c>
      <c r="D27" s="117"/>
      <c r="E27" s="33"/>
      <c r="F27" s="33"/>
      <c r="G27" s="33">
        <f t="shared" si="7"/>
        <v>0</v>
      </c>
      <c r="H27" s="118"/>
      <c r="I27" s="118"/>
      <c r="J27" s="33">
        <f t="shared" si="8"/>
        <v>0</v>
      </c>
      <c r="K27" s="33">
        <f t="shared" si="6"/>
        <v>0</v>
      </c>
      <c r="L27" s="33"/>
      <c r="M27" s="33">
        <f t="shared" si="0"/>
        <v>8257.5940999997893</v>
      </c>
      <c r="N27" s="41"/>
    </row>
    <row r="28" spans="1:14">
      <c r="A28" s="23">
        <v>25</v>
      </c>
      <c r="B28" s="24">
        <v>46259</v>
      </c>
      <c r="C28" s="103">
        <v>0</v>
      </c>
      <c r="D28" s="117"/>
      <c r="E28" s="33"/>
      <c r="F28" s="33"/>
      <c r="G28" s="33">
        <f t="shared" si="7"/>
        <v>0</v>
      </c>
      <c r="H28" s="118"/>
      <c r="I28" s="118"/>
      <c r="J28" s="33">
        <f t="shared" si="8"/>
        <v>0</v>
      </c>
      <c r="K28" s="33">
        <f t="shared" si="6"/>
        <v>0</v>
      </c>
      <c r="L28" s="33"/>
      <c r="M28" s="33">
        <f t="shared" si="0"/>
        <v>8257.5940999997893</v>
      </c>
      <c r="N28" s="41"/>
    </row>
    <row r="29" spans="1:14">
      <c r="A29" s="23">
        <v>26</v>
      </c>
      <c r="B29" s="24">
        <v>46260</v>
      </c>
      <c r="C29" s="103">
        <v>0</v>
      </c>
      <c r="D29" s="117"/>
      <c r="E29" s="33"/>
      <c r="F29" s="33"/>
      <c r="G29" s="33">
        <f t="shared" si="7"/>
        <v>0</v>
      </c>
      <c r="H29" s="118"/>
      <c r="I29" s="118"/>
      <c r="J29" s="33">
        <f t="shared" si="8"/>
        <v>0</v>
      </c>
      <c r="K29" s="33">
        <f t="shared" si="6"/>
        <v>0</v>
      </c>
      <c r="L29" s="33"/>
      <c r="M29" s="33">
        <f t="shared" si="0"/>
        <v>8257.5940999997893</v>
      </c>
      <c r="N29" s="41"/>
    </row>
    <row r="30" spans="1:14">
      <c r="A30" s="23">
        <v>27</v>
      </c>
      <c r="B30" s="24">
        <v>46261</v>
      </c>
      <c r="C30" s="103">
        <v>0</v>
      </c>
      <c r="D30" s="117"/>
      <c r="E30" s="33"/>
      <c r="F30" s="33"/>
      <c r="G30" s="33">
        <f t="shared" si="7"/>
        <v>0</v>
      </c>
      <c r="H30" s="118"/>
      <c r="I30" s="118"/>
      <c r="J30" s="33">
        <f t="shared" si="8"/>
        <v>0</v>
      </c>
      <c r="K30" s="33">
        <f t="shared" si="6"/>
        <v>0</v>
      </c>
      <c r="L30" s="33"/>
      <c r="M30" s="33">
        <f t="shared" si="0"/>
        <v>8257.5940999997893</v>
      </c>
      <c r="N30" s="41"/>
    </row>
    <row r="31" spans="1:14">
      <c r="A31" s="23">
        <v>28</v>
      </c>
      <c r="B31" s="24">
        <v>46262</v>
      </c>
      <c r="C31" s="103">
        <v>0</v>
      </c>
      <c r="D31" s="117"/>
      <c r="E31" s="33">
        <v>1000</v>
      </c>
      <c r="F31" s="33">
        <v>99.38</v>
      </c>
      <c r="G31" s="33">
        <f t="shared" si="7"/>
        <v>99380</v>
      </c>
      <c r="H31" s="118">
        <v>100</v>
      </c>
      <c r="I31" s="118">
        <v>111.72</v>
      </c>
      <c r="J31" s="33">
        <f t="shared" si="8"/>
        <v>11172</v>
      </c>
      <c r="K31" s="33">
        <f t="shared" si="6"/>
        <v>110552</v>
      </c>
      <c r="L31" s="33"/>
      <c r="M31" s="33">
        <f t="shared" si="0"/>
        <v>118809.59409999978</v>
      </c>
      <c r="N31" s="41"/>
    </row>
    <row r="32" spans="1:14">
      <c r="A32" s="23">
        <v>29</v>
      </c>
      <c r="B32" s="24">
        <v>46263</v>
      </c>
      <c r="C32" s="103">
        <v>0</v>
      </c>
      <c r="D32" s="117"/>
      <c r="E32" s="33"/>
      <c r="F32" s="33"/>
      <c r="G32" s="33">
        <f t="shared" si="7"/>
        <v>0</v>
      </c>
      <c r="H32" s="118"/>
      <c r="I32" s="118"/>
      <c r="J32" s="33">
        <f t="shared" si="8"/>
        <v>0</v>
      </c>
      <c r="K32" s="33">
        <f t="shared" si="6"/>
        <v>0</v>
      </c>
      <c r="L32" s="33"/>
      <c r="M32" s="33">
        <f t="shared" si="0"/>
        <v>118809.59409999978</v>
      </c>
      <c r="N32" s="41"/>
    </row>
    <row r="33" spans="1:14">
      <c r="A33" s="23">
        <v>30</v>
      </c>
      <c r="B33" s="24">
        <v>46264</v>
      </c>
      <c r="C33" s="103">
        <v>0</v>
      </c>
      <c r="D33" s="117"/>
      <c r="E33" s="33"/>
      <c r="F33" s="33"/>
      <c r="G33" s="33">
        <f t="shared" si="7"/>
        <v>0</v>
      </c>
      <c r="H33" s="118"/>
      <c r="I33" s="118"/>
      <c r="J33" s="33">
        <f t="shared" si="8"/>
        <v>0</v>
      </c>
      <c r="K33" s="33">
        <f t="shared" si="6"/>
        <v>0</v>
      </c>
      <c r="L33" s="33"/>
      <c r="M33" s="33">
        <f t="shared" si="0"/>
        <v>118809.59409999978</v>
      </c>
      <c r="N33" s="41"/>
    </row>
    <row r="34" spans="1:14">
      <c r="A34" s="23">
        <v>31</v>
      </c>
      <c r="B34" s="24">
        <v>46265</v>
      </c>
      <c r="C34" s="103"/>
      <c r="D34" s="117"/>
      <c r="E34" s="33"/>
      <c r="F34" s="33"/>
      <c r="G34" s="33"/>
      <c r="H34" s="118"/>
      <c r="I34" s="118"/>
      <c r="J34" s="33"/>
      <c r="K34" s="33">
        <f t="shared" si="6"/>
        <v>0</v>
      </c>
      <c r="L34" s="33"/>
      <c r="M34" s="33"/>
      <c r="N34" s="41"/>
    </row>
    <row r="35" spans="1:14">
      <c r="A35" s="39"/>
      <c r="B35" s="39"/>
      <c r="C35" s="39"/>
      <c r="D35" s="39"/>
      <c r="E35" s="40">
        <f>SUM(E4:E34)</f>
        <v>2400</v>
      </c>
      <c r="F35" s="40"/>
      <c r="G35" s="40">
        <f>SUM(G4:G34)</f>
        <v>238512</v>
      </c>
      <c r="H35" s="40">
        <f>SUM(H4:H34)</f>
        <v>240</v>
      </c>
      <c r="I35" s="40"/>
      <c r="J35" s="40">
        <f>SUM(J4:J34)</f>
        <v>26812.799999999999</v>
      </c>
      <c r="K35" s="40">
        <f>SUM(K4:K34)</f>
        <v>265324.79999999999</v>
      </c>
      <c r="L35" s="40">
        <f>SUM(L4:L34)</f>
        <v>147000</v>
      </c>
      <c r="M35" s="40"/>
      <c r="N35" s="40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18" activePane="bottomLeft" state="frozen"/>
      <selection pane="bottomLeft" activeCell="M34" sqref="M34"/>
    </sheetView>
  </sheetViews>
  <sheetFormatPr defaultColWidth="9.28515625" defaultRowHeight="15"/>
  <cols>
    <col min="1" max="1" width="5.42578125" style="48" bestFit="1" customWidth="1"/>
    <col min="2" max="2" width="11" style="48" bestFit="1" customWidth="1"/>
    <col min="3" max="3" width="7.140625" style="48" bestFit="1" customWidth="1"/>
    <col min="4" max="4" width="15.140625" style="48" bestFit="1" customWidth="1"/>
    <col min="5" max="5" width="9.28515625" style="48"/>
    <col min="6" max="6" width="9.85546875" style="48" bestFit="1" customWidth="1"/>
    <col min="7" max="7" width="10.42578125" style="48" bestFit="1" customWidth="1"/>
    <col min="8" max="8" width="9.28515625" style="48"/>
    <col min="9" max="9" width="11.7109375" style="48" customWidth="1"/>
    <col min="10" max="10" width="9.5703125" style="48" bestFit="1" customWidth="1"/>
    <col min="11" max="11" width="12.28515625" style="48" customWidth="1"/>
    <col min="12" max="12" width="11.7109375" style="48" bestFit="1" customWidth="1"/>
    <col min="13" max="13" width="11.7109375" style="48" customWidth="1"/>
    <col min="14" max="14" width="17.7109375" style="48" bestFit="1" customWidth="1"/>
    <col min="15" max="16384" width="9.28515625" style="48"/>
  </cols>
  <sheetData>
    <row r="1" spans="1:15" ht="15.75">
      <c r="A1" s="582" t="s">
        <v>111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</row>
    <row r="2" spans="1:15" ht="25.5">
      <c r="A2" s="84" t="s">
        <v>0</v>
      </c>
      <c r="B2" s="85" t="s">
        <v>170</v>
      </c>
      <c r="C2" s="85" t="s">
        <v>171</v>
      </c>
      <c r="D2" s="85" t="s">
        <v>172</v>
      </c>
      <c r="E2" s="85" t="s">
        <v>173</v>
      </c>
      <c r="F2" s="85" t="s">
        <v>174</v>
      </c>
      <c r="G2" s="85" t="s">
        <v>175</v>
      </c>
      <c r="H2" s="85" t="s">
        <v>176</v>
      </c>
      <c r="I2" s="85" t="s">
        <v>174</v>
      </c>
      <c r="J2" s="108" t="s">
        <v>175</v>
      </c>
      <c r="K2" s="110" t="s">
        <v>177</v>
      </c>
      <c r="L2" s="111" t="s">
        <v>178</v>
      </c>
      <c r="M2" s="112" t="s">
        <v>195</v>
      </c>
      <c r="N2" s="86" t="s">
        <v>180</v>
      </c>
      <c r="O2" s="30"/>
    </row>
    <row r="3" spans="1:15" ht="15.75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 s="49">
        <v>208267.90000000002</v>
      </c>
      <c r="L3" s="119"/>
      <c r="M3" s="116">
        <v>208267.90000000002</v>
      </c>
      <c r="N3" s="47"/>
    </row>
    <row r="4" spans="1:15" ht="15.75">
      <c r="A4" s="23">
        <v>1</v>
      </c>
      <c r="B4" s="24">
        <v>46235</v>
      </c>
      <c r="C4" s="114"/>
      <c r="D4" s="115"/>
      <c r="E4" s="76"/>
      <c r="F4" s="113"/>
      <c r="G4" s="113">
        <f>E4*F4</f>
        <v>0</v>
      </c>
      <c r="H4" s="113"/>
      <c r="I4" s="113"/>
      <c r="J4" s="113">
        <f>H4*I4</f>
        <v>0</v>
      </c>
      <c r="K4" s="113">
        <f>G4+J4</f>
        <v>0</v>
      </c>
      <c r="L4" s="113"/>
      <c r="M4" s="119">
        <f>M3+K4-L4</f>
        <v>208267.90000000002</v>
      </c>
      <c r="N4" s="113"/>
    </row>
    <row r="5" spans="1:15" ht="15.75">
      <c r="A5" s="23">
        <v>2</v>
      </c>
      <c r="B5" s="24">
        <v>46236</v>
      </c>
      <c r="C5" s="20"/>
      <c r="D5" s="21"/>
      <c r="E5" s="76"/>
      <c r="F5" s="113"/>
      <c r="G5" s="113">
        <f t="shared" ref="G5:G33" si="0">E5*F5</f>
        <v>0</v>
      </c>
      <c r="H5" s="113"/>
      <c r="I5" s="113"/>
      <c r="J5" s="113">
        <f t="shared" ref="J5:J33" si="1">H5*I5</f>
        <v>0</v>
      </c>
      <c r="K5" s="113">
        <f t="shared" ref="K5:K33" si="2">G5+J5</f>
        <v>0</v>
      </c>
      <c r="L5" s="113"/>
      <c r="M5" s="119">
        <f>M4+K5-L5</f>
        <v>208267.90000000002</v>
      </c>
      <c r="N5" s="41"/>
    </row>
    <row r="6" spans="1:15" ht="18.75" customHeight="1">
      <c r="A6" s="23">
        <v>3</v>
      </c>
      <c r="B6" s="24">
        <v>46237</v>
      </c>
      <c r="C6" s="201"/>
      <c r="D6" s="182"/>
      <c r="E6" s="76"/>
      <c r="F6" s="113"/>
      <c r="G6" s="113">
        <f t="shared" si="0"/>
        <v>0</v>
      </c>
      <c r="H6" s="113">
        <v>70</v>
      </c>
      <c r="I6" s="113">
        <v>112.12</v>
      </c>
      <c r="J6" s="113">
        <f t="shared" si="1"/>
        <v>7848.4000000000005</v>
      </c>
      <c r="K6" s="113">
        <f t="shared" si="2"/>
        <v>7848.4000000000005</v>
      </c>
      <c r="L6" s="113"/>
      <c r="M6" s="119">
        <f>M5+K6-L6</f>
        <v>216116.30000000002</v>
      </c>
      <c r="N6" s="47"/>
    </row>
    <row r="7" spans="1:15" ht="15.75">
      <c r="A7" s="23">
        <v>4</v>
      </c>
      <c r="B7" s="24">
        <v>46238</v>
      </c>
      <c r="C7" s="199"/>
      <c r="D7" s="200"/>
      <c r="E7" s="76"/>
      <c r="F7" s="113"/>
      <c r="G7" s="113">
        <f t="shared" si="0"/>
        <v>0</v>
      </c>
      <c r="H7" s="113"/>
      <c r="I7" s="113"/>
      <c r="J7" s="113">
        <f t="shared" si="1"/>
        <v>0</v>
      </c>
      <c r="K7" s="113">
        <f t="shared" si="2"/>
        <v>0</v>
      </c>
      <c r="L7" s="113"/>
      <c r="M7" s="119">
        <f>M6+K7-L7</f>
        <v>216116.30000000002</v>
      </c>
      <c r="N7" s="41"/>
    </row>
    <row r="8" spans="1:15" ht="15.75" customHeight="1">
      <c r="A8" s="23">
        <v>5</v>
      </c>
      <c r="B8" s="24">
        <v>46239</v>
      </c>
      <c r="C8" s="113"/>
      <c r="D8" s="113"/>
      <c r="E8" s="76">
        <v>2000</v>
      </c>
      <c r="F8" s="113">
        <v>100.09</v>
      </c>
      <c r="G8" s="113">
        <f t="shared" si="0"/>
        <v>200180</v>
      </c>
      <c r="H8" s="113">
        <v>70</v>
      </c>
      <c r="I8" s="113">
        <v>112.12</v>
      </c>
      <c r="J8" s="113">
        <f t="shared" si="1"/>
        <v>7848.4000000000005</v>
      </c>
      <c r="K8" s="113">
        <f t="shared" si="2"/>
        <v>208028.4</v>
      </c>
      <c r="L8" s="113">
        <v>200000</v>
      </c>
      <c r="M8" s="119">
        <f t="shared" ref="M8:M34" si="3">M7+K8-L8</f>
        <v>224144.7</v>
      </c>
      <c r="N8" s="47"/>
    </row>
    <row r="9" spans="1:15" ht="15.75" customHeight="1">
      <c r="A9" s="23">
        <v>6</v>
      </c>
      <c r="B9" s="24">
        <v>46240</v>
      </c>
      <c r="C9" s="47"/>
      <c r="D9" s="113"/>
      <c r="E9" s="76"/>
      <c r="F9" s="113"/>
      <c r="G9" s="113">
        <f t="shared" si="0"/>
        <v>0</v>
      </c>
      <c r="H9" s="113"/>
      <c r="I9" s="113"/>
      <c r="J9" s="113">
        <f t="shared" si="1"/>
        <v>0</v>
      </c>
      <c r="K9" s="113">
        <f t="shared" si="2"/>
        <v>0</v>
      </c>
      <c r="L9" s="113"/>
      <c r="M9" s="119">
        <f t="shared" si="3"/>
        <v>224144.7</v>
      </c>
      <c r="N9" s="47"/>
    </row>
    <row r="10" spans="1:15" ht="15.75" customHeight="1">
      <c r="A10" s="23">
        <v>7</v>
      </c>
      <c r="B10" s="24">
        <v>46241</v>
      </c>
      <c r="C10" s="47"/>
      <c r="D10" s="113"/>
      <c r="E10" s="76"/>
      <c r="F10" s="113"/>
      <c r="G10" s="113">
        <f t="shared" si="0"/>
        <v>0</v>
      </c>
      <c r="H10" s="113"/>
      <c r="I10" s="113"/>
      <c r="J10" s="113">
        <f t="shared" si="1"/>
        <v>0</v>
      </c>
      <c r="K10" s="113">
        <f t="shared" si="2"/>
        <v>0</v>
      </c>
      <c r="L10" s="113"/>
      <c r="M10" s="119">
        <f t="shared" si="3"/>
        <v>224144.7</v>
      </c>
      <c r="N10" s="47"/>
    </row>
    <row r="11" spans="1:15" ht="15.75" customHeight="1">
      <c r="A11" s="23">
        <v>8</v>
      </c>
      <c r="B11" s="24">
        <v>46242</v>
      </c>
      <c r="C11" s="47"/>
      <c r="D11" s="113"/>
      <c r="E11" s="76"/>
      <c r="F11" s="113"/>
      <c r="G11" s="113">
        <f t="shared" si="0"/>
        <v>0</v>
      </c>
      <c r="H11" s="113"/>
      <c r="I11" s="113"/>
      <c r="J11" s="113">
        <f t="shared" si="1"/>
        <v>0</v>
      </c>
      <c r="K11" s="113">
        <f t="shared" si="2"/>
        <v>0</v>
      </c>
      <c r="L11" s="113"/>
      <c r="M11" s="119">
        <f t="shared" si="3"/>
        <v>224144.7</v>
      </c>
      <c r="N11" s="47"/>
    </row>
    <row r="12" spans="1:15" ht="15.75" customHeight="1">
      <c r="A12" s="23">
        <v>9</v>
      </c>
      <c r="B12" s="24">
        <v>46243</v>
      </c>
      <c r="C12" s="47"/>
      <c r="D12" s="113"/>
      <c r="E12" s="76"/>
      <c r="F12" s="113"/>
      <c r="G12" s="113">
        <f t="shared" si="0"/>
        <v>0</v>
      </c>
      <c r="H12" s="113"/>
      <c r="I12" s="113"/>
      <c r="J12" s="113">
        <f t="shared" si="1"/>
        <v>0</v>
      </c>
      <c r="K12" s="113">
        <f t="shared" si="2"/>
        <v>0</v>
      </c>
      <c r="L12" s="113"/>
      <c r="M12" s="119">
        <f t="shared" si="3"/>
        <v>224144.7</v>
      </c>
      <c r="N12" s="47"/>
    </row>
    <row r="13" spans="1:15" ht="15.75" customHeight="1">
      <c r="A13" s="23">
        <v>10</v>
      </c>
      <c r="B13" s="24">
        <v>46244</v>
      </c>
      <c r="C13" s="47"/>
      <c r="D13" s="113"/>
      <c r="E13" s="76"/>
      <c r="F13" s="113"/>
      <c r="G13" s="113">
        <f t="shared" si="0"/>
        <v>0</v>
      </c>
      <c r="H13" s="113"/>
      <c r="I13" s="113"/>
      <c r="J13" s="113">
        <f t="shared" si="1"/>
        <v>0</v>
      </c>
      <c r="K13" s="113">
        <f t="shared" si="2"/>
        <v>0</v>
      </c>
      <c r="L13" s="113"/>
      <c r="M13" s="119">
        <f t="shared" si="3"/>
        <v>224144.7</v>
      </c>
      <c r="N13" s="47"/>
    </row>
    <row r="14" spans="1:15" ht="15.75" customHeight="1">
      <c r="A14" s="23">
        <v>11</v>
      </c>
      <c r="B14" s="24">
        <v>46245</v>
      </c>
      <c r="C14" s="47"/>
      <c r="D14" s="113"/>
      <c r="E14" s="76"/>
      <c r="F14" s="113"/>
      <c r="G14" s="113">
        <f t="shared" si="0"/>
        <v>0</v>
      </c>
      <c r="H14" s="113"/>
      <c r="I14" s="113"/>
      <c r="J14" s="113">
        <f t="shared" si="1"/>
        <v>0</v>
      </c>
      <c r="K14" s="113">
        <f t="shared" si="2"/>
        <v>0</v>
      </c>
      <c r="L14" s="113"/>
      <c r="M14" s="119">
        <f t="shared" si="3"/>
        <v>224144.7</v>
      </c>
      <c r="N14" s="47"/>
    </row>
    <row r="15" spans="1:15" ht="15.75" customHeight="1">
      <c r="A15" s="23">
        <v>12</v>
      </c>
      <c r="B15" s="24">
        <v>46246</v>
      </c>
      <c r="C15" s="47"/>
      <c r="D15" s="113"/>
      <c r="E15" s="76"/>
      <c r="F15" s="113"/>
      <c r="G15" s="113">
        <f t="shared" si="0"/>
        <v>0</v>
      </c>
      <c r="H15" s="113"/>
      <c r="I15" s="113"/>
      <c r="J15" s="113">
        <f t="shared" si="1"/>
        <v>0</v>
      </c>
      <c r="K15" s="113">
        <f t="shared" si="2"/>
        <v>0</v>
      </c>
      <c r="L15" s="113"/>
      <c r="M15" s="119">
        <f t="shared" si="3"/>
        <v>224144.7</v>
      </c>
      <c r="N15" s="47"/>
    </row>
    <row r="16" spans="1:15" ht="15.75" customHeight="1">
      <c r="A16" s="23">
        <v>13</v>
      </c>
      <c r="B16" s="24">
        <v>46247</v>
      </c>
      <c r="C16" s="47"/>
      <c r="D16" s="113"/>
      <c r="E16" s="76"/>
      <c r="F16" s="113"/>
      <c r="G16" s="113">
        <f t="shared" si="0"/>
        <v>0</v>
      </c>
      <c r="H16" s="113"/>
      <c r="I16" s="113"/>
      <c r="J16" s="113">
        <f t="shared" si="1"/>
        <v>0</v>
      </c>
      <c r="K16" s="113">
        <f t="shared" si="2"/>
        <v>0</v>
      </c>
      <c r="L16" s="113"/>
      <c r="M16" s="119">
        <f t="shared" si="3"/>
        <v>224144.7</v>
      </c>
      <c r="N16" s="47"/>
    </row>
    <row r="17" spans="1:14" ht="15.75" customHeight="1">
      <c r="A17" s="23">
        <v>14</v>
      </c>
      <c r="B17" s="24">
        <v>46248</v>
      </c>
      <c r="C17" s="47"/>
      <c r="D17" s="113"/>
      <c r="E17" s="76">
        <v>2000</v>
      </c>
      <c r="F17" s="113">
        <v>100.09</v>
      </c>
      <c r="G17" s="113">
        <f t="shared" si="0"/>
        <v>200180</v>
      </c>
      <c r="H17" s="113">
        <v>105</v>
      </c>
      <c r="I17" s="113">
        <v>112.12</v>
      </c>
      <c r="J17" s="113">
        <f t="shared" si="1"/>
        <v>11772.6</v>
      </c>
      <c r="K17" s="113">
        <f t="shared" si="2"/>
        <v>211952.6</v>
      </c>
      <c r="L17" s="113">
        <v>224000</v>
      </c>
      <c r="M17" s="119">
        <f t="shared" si="3"/>
        <v>212097.30000000005</v>
      </c>
      <c r="N17" s="47"/>
    </row>
    <row r="18" spans="1:14" ht="15.75" customHeight="1">
      <c r="A18" s="23">
        <v>15</v>
      </c>
      <c r="B18" s="24">
        <v>46249</v>
      </c>
      <c r="C18" s="47"/>
      <c r="D18" s="113"/>
      <c r="E18" s="76"/>
      <c r="F18" s="113"/>
      <c r="G18" s="113">
        <f t="shared" si="0"/>
        <v>0</v>
      </c>
      <c r="H18" s="113"/>
      <c r="I18" s="113"/>
      <c r="J18" s="113">
        <f t="shared" si="1"/>
        <v>0</v>
      </c>
      <c r="K18" s="113">
        <f t="shared" si="2"/>
        <v>0</v>
      </c>
      <c r="L18" s="113"/>
      <c r="M18" s="119">
        <f t="shared" si="3"/>
        <v>212097.30000000005</v>
      </c>
      <c r="N18" s="47"/>
    </row>
    <row r="19" spans="1:14" ht="15.75" customHeight="1">
      <c r="A19" s="23">
        <v>16</v>
      </c>
      <c r="B19" s="24">
        <v>46250</v>
      </c>
      <c r="C19" s="47"/>
      <c r="D19" s="113"/>
      <c r="E19" s="76"/>
      <c r="F19" s="113"/>
      <c r="G19" s="113">
        <f>E19*F19</f>
        <v>0</v>
      </c>
      <c r="H19" s="113"/>
      <c r="I19" s="113"/>
      <c r="J19" s="113">
        <f t="shared" si="1"/>
        <v>0</v>
      </c>
      <c r="K19" s="113">
        <f t="shared" si="2"/>
        <v>0</v>
      </c>
      <c r="L19" s="113"/>
      <c r="M19" s="119">
        <f t="shared" si="3"/>
        <v>212097.30000000005</v>
      </c>
      <c r="N19" s="47"/>
    </row>
    <row r="20" spans="1:14" ht="15.75" customHeight="1">
      <c r="A20" s="23">
        <v>17</v>
      </c>
      <c r="B20" s="24">
        <v>46251</v>
      </c>
      <c r="C20" s="47"/>
      <c r="D20" s="113"/>
      <c r="E20" s="76"/>
      <c r="F20" s="113"/>
      <c r="G20" s="113">
        <f t="shared" si="0"/>
        <v>0</v>
      </c>
      <c r="H20" s="113"/>
      <c r="I20" s="113"/>
      <c r="J20" s="113">
        <f t="shared" si="1"/>
        <v>0</v>
      </c>
      <c r="K20" s="113">
        <f t="shared" si="2"/>
        <v>0</v>
      </c>
      <c r="L20" s="113"/>
      <c r="M20" s="119">
        <f t="shared" si="3"/>
        <v>212097.30000000005</v>
      </c>
      <c r="N20" s="47"/>
    </row>
    <row r="21" spans="1:14" ht="15.75" customHeight="1">
      <c r="A21" s="23">
        <v>18</v>
      </c>
      <c r="B21" s="24">
        <v>46252</v>
      </c>
      <c r="C21" s="47"/>
      <c r="D21" s="113"/>
      <c r="E21" s="76"/>
      <c r="F21" s="113"/>
      <c r="G21" s="113">
        <f t="shared" si="0"/>
        <v>0</v>
      </c>
      <c r="H21" s="113"/>
      <c r="I21" s="113"/>
      <c r="J21" s="113">
        <f t="shared" si="1"/>
        <v>0</v>
      </c>
      <c r="K21" s="113">
        <f t="shared" si="2"/>
        <v>0</v>
      </c>
      <c r="L21" s="113"/>
      <c r="M21" s="119">
        <f t="shared" si="3"/>
        <v>212097.30000000005</v>
      </c>
      <c r="N21" s="47"/>
    </row>
    <row r="22" spans="1:14" ht="15.75" customHeight="1">
      <c r="A22" s="23">
        <v>19</v>
      </c>
      <c r="B22" s="24">
        <v>46253</v>
      </c>
      <c r="C22" s="47"/>
      <c r="D22" s="113"/>
      <c r="E22" s="76"/>
      <c r="F22" s="113"/>
      <c r="G22" s="113">
        <f t="shared" si="0"/>
        <v>0</v>
      </c>
      <c r="H22" s="113"/>
      <c r="I22" s="113"/>
      <c r="J22" s="113">
        <f t="shared" si="1"/>
        <v>0</v>
      </c>
      <c r="K22" s="113">
        <f t="shared" si="2"/>
        <v>0</v>
      </c>
      <c r="L22" s="113"/>
      <c r="M22" s="119">
        <f t="shared" si="3"/>
        <v>212097.30000000005</v>
      </c>
      <c r="N22" s="47"/>
    </row>
    <row r="23" spans="1:14" ht="15.75" customHeight="1">
      <c r="A23" s="23">
        <v>20</v>
      </c>
      <c r="B23" s="24">
        <v>46254</v>
      </c>
      <c r="C23" s="47"/>
      <c r="D23" s="113"/>
      <c r="E23" s="76"/>
      <c r="F23" s="113"/>
      <c r="G23" s="113">
        <f t="shared" si="0"/>
        <v>0</v>
      </c>
      <c r="H23" s="113"/>
      <c r="I23" s="113"/>
      <c r="J23" s="113">
        <f t="shared" si="1"/>
        <v>0</v>
      </c>
      <c r="K23" s="113">
        <f t="shared" si="2"/>
        <v>0</v>
      </c>
      <c r="L23" s="113"/>
      <c r="M23" s="119">
        <f t="shared" si="3"/>
        <v>212097.30000000005</v>
      </c>
      <c r="N23" s="47"/>
    </row>
    <row r="24" spans="1:14" ht="15.75" customHeight="1">
      <c r="A24" s="23">
        <v>21</v>
      </c>
      <c r="B24" s="24">
        <v>46255</v>
      </c>
      <c r="C24" s="47"/>
      <c r="D24" s="113"/>
      <c r="E24" s="76"/>
      <c r="F24" s="113"/>
      <c r="G24" s="113">
        <f t="shared" si="0"/>
        <v>0</v>
      </c>
      <c r="H24" s="113"/>
      <c r="I24" s="113"/>
      <c r="J24" s="113">
        <f t="shared" si="1"/>
        <v>0</v>
      </c>
      <c r="K24" s="113">
        <f t="shared" si="2"/>
        <v>0</v>
      </c>
      <c r="L24" s="113"/>
      <c r="M24" s="119">
        <f t="shared" si="3"/>
        <v>212097.30000000005</v>
      </c>
      <c r="N24" s="47"/>
    </row>
    <row r="25" spans="1:14" ht="15.75" customHeight="1">
      <c r="A25" s="23">
        <v>22</v>
      </c>
      <c r="B25" s="24">
        <v>46256</v>
      </c>
      <c r="C25" s="47"/>
      <c r="D25" s="113"/>
      <c r="E25" s="76"/>
      <c r="F25" s="113"/>
      <c r="G25" s="113">
        <f t="shared" si="0"/>
        <v>0</v>
      </c>
      <c r="H25" s="113"/>
      <c r="I25" s="113"/>
      <c r="J25" s="113">
        <f t="shared" si="1"/>
        <v>0</v>
      </c>
      <c r="K25" s="113">
        <f t="shared" si="2"/>
        <v>0</v>
      </c>
      <c r="L25" s="113"/>
      <c r="M25" s="119">
        <f t="shared" si="3"/>
        <v>212097.30000000005</v>
      </c>
      <c r="N25" s="47"/>
    </row>
    <row r="26" spans="1:14" ht="15.75" customHeight="1">
      <c r="A26" s="23">
        <v>23</v>
      </c>
      <c r="B26" s="24">
        <v>46257</v>
      </c>
      <c r="C26" s="47"/>
      <c r="D26" s="113"/>
      <c r="E26" s="76"/>
      <c r="F26" s="113"/>
      <c r="G26" s="113">
        <f t="shared" si="0"/>
        <v>0</v>
      </c>
      <c r="H26" s="113"/>
      <c r="I26" s="113"/>
      <c r="J26" s="113">
        <f t="shared" si="1"/>
        <v>0</v>
      </c>
      <c r="K26" s="113">
        <f t="shared" si="2"/>
        <v>0</v>
      </c>
      <c r="L26" s="113"/>
      <c r="M26" s="119">
        <f t="shared" si="3"/>
        <v>212097.30000000005</v>
      </c>
      <c r="N26" s="47"/>
    </row>
    <row r="27" spans="1:14" ht="15.75" customHeight="1">
      <c r="A27" s="23">
        <v>24</v>
      </c>
      <c r="B27" s="24">
        <v>46258</v>
      </c>
      <c r="C27" s="47"/>
      <c r="D27" s="113"/>
      <c r="E27" s="76"/>
      <c r="F27" s="113"/>
      <c r="G27" s="113">
        <f t="shared" si="0"/>
        <v>0</v>
      </c>
      <c r="H27" s="113"/>
      <c r="I27" s="113"/>
      <c r="J27" s="113">
        <f t="shared" si="1"/>
        <v>0</v>
      </c>
      <c r="K27" s="113">
        <f t="shared" si="2"/>
        <v>0</v>
      </c>
      <c r="L27" s="113"/>
      <c r="M27" s="119">
        <f t="shared" si="3"/>
        <v>212097.30000000005</v>
      </c>
      <c r="N27" s="47"/>
    </row>
    <row r="28" spans="1:14" ht="15.75" customHeight="1">
      <c r="A28" s="23">
        <v>25</v>
      </c>
      <c r="B28" s="24">
        <v>46259</v>
      </c>
      <c r="C28" s="47"/>
      <c r="D28" s="113"/>
      <c r="E28" s="76"/>
      <c r="F28" s="113"/>
      <c r="G28" s="113">
        <f t="shared" si="0"/>
        <v>0</v>
      </c>
      <c r="H28" s="113"/>
      <c r="I28" s="113"/>
      <c r="J28" s="113">
        <f t="shared" si="1"/>
        <v>0</v>
      </c>
      <c r="K28" s="113">
        <f t="shared" si="2"/>
        <v>0</v>
      </c>
      <c r="L28" s="113"/>
      <c r="M28" s="119">
        <f t="shared" si="3"/>
        <v>212097.30000000005</v>
      </c>
      <c r="N28" s="47"/>
    </row>
    <row r="29" spans="1:14" ht="15.75" customHeight="1">
      <c r="A29" s="23">
        <v>26</v>
      </c>
      <c r="B29" s="24">
        <v>46260</v>
      </c>
      <c r="C29" s="47"/>
      <c r="D29" s="113"/>
      <c r="E29" s="76"/>
      <c r="F29" s="113"/>
      <c r="G29" s="113">
        <f t="shared" si="0"/>
        <v>0</v>
      </c>
      <c r="H29" s="113"/>
      <c r="I29" s="113"/>
      <c r="J29" s="113">
        <f t="shared" si="1"/>
        <v>0</v>
      </c>
      <c r="K29" s="113">
        <f t="shared" si="2"/>
        <v>0</v>
      </c>
      <c r="L29" s="113"/>
      <c r="M29" s="119">
        <f t="shared" si="3"/>
        <v>212097.30000000005</v>
      </c>
      <c r="N29" s="47"/>
    </row>
    <row r="30" spans="1:14" ht="15.75" customHeight="1">
      <c r="A30" s="23">
        <v>27</v>
      </c>
      <c r="B30" s="24">
        <v>46261</v>
      </c>
      <c r="C30" s="47"/>
      <c r="D30" s="113"/>
      <c r="E30" s="76"/>
      <c r="F30" s="113"/>
      <c r="G30" s="113">
        <f t="shared" si="0"/>
        <v>0</v>
      </c>
      <c r="H30" s="113">
        <v>70</v>
      </c>
      <c r="I30" s="113">
        <v>112.12</v>
      </c>
      <c r="J30" s="113">
        <f t="shared" si="1"/>
        <v>7848.4000000000005</v>
      </c>
      <c r="K30" s="113">
        <f t="shared" si="2"/>
        <v>7848.4000000000005</v>
      </c>
      <c r="L30" s="113"/>
      <c r="M30" s="119">
        <f t="shared" si="3"/>
        <v>219945.70000000004</v>
      </c>
      <c r="N30" s="47"/>
    </row>
    <row r="31" spans="1:14" ht="15.75" customHeight="1">
      <c r="A31" s="23">
        <v>28</v>
      </c>
      <c r="B31" s="24">
        <v>46262</v>
      </c>
      <c r="C31" s="47"/>
      <c r="D31" s="113"/>
      <c r="E31" s="76"/>
      <c r="F31" s="113"/>
      <c r="G31" s="113">
        <f t="shared" si="0"/>
        <v>0</v>
      </c>
      <c r="H31" s="113"/>
      <c r="I31" s="113"/>
      <c r="J31" s="113">
        <f t="shared" si="1"/>
        <v>0</v>
      </c>
      <c r="K31" s="113">
        <f t="shared" si="2"/>
        <v>0</v>
      </c>
      <c r="L31" s="113"/>
      <c r="M31" s="119">
        <f t="shared" si="3"/>
        <v>219945.70000000004</v>
      </c>
      <c r="N31" s="47"/>
    </row>
    <row r="32" spans="1:14" ht="15.75" customHeight="1">
      <c r="A32" s="23">
        <v>29</v>
      </c>
      <c r="B32" s="24">
        <v>46263</v>
      </c>
      <c r="C32" s="47"/>
      <c r="D32" s="113"/>
      <c r="E32" s="76"/>
      <c r="F32" s="113"/>
      <c r="G32" s="113">
        <f t="shared" si="0"/>
        <v>0</v>
      </c>
      <c r="H32" s="113"/>
      <c r="I32" s="113"/>
      <c r="J32" s="113">
        <f t="shared" si="1"/>
        <v>0</v>
      </c>
      <c r="K32" s="113">
        <f t="shared" si="2"/>
        <v>0</v>
      </c>
      <c r="L32" s="113"/>
      <c r="M32" s="119">
        <f t="shared" si="3"/>
        <v>219945.70000000004</v>
      </c>
      <c r="N32" s="47"/>
    </row>
    <row r="33" spans="1:15" ht="15.75" customHeight="1">
      <c r="A33" s="23">
        <v>30</v>
      </c>
      <c r="B33" s="24">
        <v>46264</v>
      </c>
      <c r="C33" s="47"/>
      <c r="D33" s="113"/>
      <c r="E33" s="76"/>
      <c r="F33" s="113"/>
      <c r="G33" s="113">
        <f t="shared" si="0"/>
        <v>0</v>
      </c>
      <c r="H33" s="113"/>
      <c r="I33" s="113"/>
      <c r="J33" s="113">
        <f t="shared" si="1"/>
        <v>0</v>
      </c>
      <c r="K33" s="113">
        <f t="shared" si="2"/>
        <v>0</v>
      </c>
      <c r="L33" s="113"/>
      <c r="M33" s="119">
        <f t="shared" si="3"/>
        <v>219945.70000000004</v>
      </c>
      <c r="N33" s="47"/>
    </row>
    <row r="34" spans="1:15" ht="15.75" customHeight="1">
      <c r="A34" s="23">
        <v>31</v>
      </c>
      <c r="B34" s="24">
        <v>46265</v>
      </c>
      <c r="C34" s="47"/>
      <c r="D34" s="113"/>
      <c r="E34" s="76"/>
      <c r="F34" s="113"/>
      <c r="G34" s="113">
        <f t="shared" ref="G34" si="4">E34*F34</f>
        <v>0</v>
      </c>
      <c r="H34" s="113"/>
      <c r="I34" s="113"/>
      <c r="J34" s="113">
        <f t="shared" ref="J34" si="5">H34*I34</f>
        <v>0</v>
      </c>
      <c r="K34" s="113">
        <f t="shared" ref="K34" si="6">G34+J34</f>
        <v>0</v>
      </c>
      <c r="L34" s="113"/>
      <c r="M34" s="119">
        <f t="shared" si="3"/>
        <v>219945.70000000004</v>
      </c>
      <c r="N34" s="47"/>
    </row>
    <row r="35" spans="1:15">
      <c r="A35" s="39"/>
      <c r="B35" s="39"/>
      <c r="C35" s="39"/>
      <c r="D35" s="39"/>
      <c r="E35" s="40">
        <f>SUM(E4:E34)</f>
        <v>4000</v>
      </c>
      <c r="F35" s="40"/>
      <c r="G35" s="40">
        <f>SUM(G4:G34)</f>
        <v>400360</v>
      </c>
      <c r="H35" s="40">
        <f>SUM(H4:H34)</f>
        <v>315</v>
      </c>
      <c r="I35" s="40"/>
      <c r="J35" s="40">
        <f>SUM(J4:J34)</f>
        <v>35317.800000000003</v>
      </c>
      <c r="K35" s="40">
        <f>SUM(K4:K34)</f>
        <v>435677.80000000005</v>
      </c>
      <c r="L35" s="40">
        <f>SUM(L4:L34)</f>
        <v>424000</v>
      </c>
      <c r="M35" s="40"/>
      <c r="N35" s="40"/>
      <c r="O35" s="30"/>
    </row>
    <row r="37" spans="1:15">
      <c r="D37" s="42"/>
      <c r="E37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22" activePane="bottomLeft" state="frozen"/>
      <selection pane="bottomLeft" activeCell="M34" sqref="M34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10.7109375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27.5703125" bestFit="1" customWidth="1"/>
    <col min="15" max="15" width="10" customWidth="1"/>
    <col min="16" max="16" width="12" bestFit="1" customWidth="1"/>
    <col min="19" max="19" width="12" bestFit="1" customWidth="1"/>
  </cols>
  <sheetData>
    <row r="1" spans="1:15">
      <c r="A1" s="583" t="s">
        <v>234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79"/>
    </row>
    <row r="2" spans="1:15">
      <c r="A2" s="120" t="s">
        <v>0</v>
      </c>
      <c r="B2" s="121" t="s">
        <v>170</v>
      </c>
      <c r="C2" s="121" t="s">
        <v>171</v>
      </c>
      <c r="D2" s="121" t="s">
        <v>172</v>
      </c>
      <c r="E2" s="121" t="s">
        <v>173</v>
      </c>
      <c r="F2" s="121" t="s">
        <v>174</v>
      </c>
      <c r="G2" s="121" t="s">
        <v>175</v>
      </c>
      <c r="H2" s="121" t="s">
        <v>176</v>
      </c>
      <c r="I2" s="121" t="s">
        <v>174</v>
      </c>
      <c r="J2" s="122" t="s">
        <v>175</v>
      </c>
      <c r="K2" s="120" t="s">
        <v>177</v>
      </c>
      <c r="L2" s="123" t="s">
        <v>178</v>
      </c>
      <c r="M2" s="123" t="s">
        <v>195</v>
      </c>
      <c r="N2" s="121" t="s">
        <v>180</v>
      </c>
      <c r="O2" s="56"/>
    </row>
    <row r="3" spans="1:15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 s="93">
        <v>130766.70989999996</v>
      </c>
      <c r="L3" s="37"/>
      <c r="M3" s="37">
        <v>130766.70989999996</v>
      </c>
      <c r="N3" s="14"/>
      <c r="O3" s="56">
        <v>46138.763999999966</v>
      </c>
    </row>
    <row r="4" spans="1:15">
      <c r="A4" s="23">
        <v>1</v>
      </c>
      <c r="B4" s="24">
        <v>45870</v>
      </c>
      <c r="C4" s="124"/>
      <c r="D4" s="125"/>
      <c r="E4" s="90"/>
      <c r="F4" s="90"/>
      <c r="G4" s="16">
        <f>E4*F4</f>
        <v>0</v>
      </c>
      <c r="H4" s="90"/>
      <c r="I4" s="317"/>
      <c r="J4" s="16">
        <f>H4*I4</f>
        <v>0</v>
      </c>
      <c r="K4" s="16">
        <f>G4+J4</f>
        <v>0</v>
      </c>
      <c r="L4" s="126">
        <v>0</v>
      </c>
      <c r="M4" s="126">
        <f>M3+K4-L4</f>
        <v>130766.70989999996</v>
      </c>
      <c r="N4" s="41"/>
    </row>
    <row r="5" spans="1:15">
      <c r="A5" s="23">
        <v>2</v>
      </c>
      <c r="B5" s="24">
        <v>45871</v>
      </c>
      <c r="C5" s="124"/>
      <c r="D5" s="125"/>
      <c r="E5" s="90"/>
      <c r="F5" s="90"/>
      <c r="G5" s="16">
        <f t="shared" ref="G5:G35" si="0">E5*F5</f>
        <v>0</v>
      </c>
      <c r="H5" s="90"/>
      <c r="I5" s="317"/>
      <c r="J5" s="16">
        <f t="shared" ref="J5:J35" si="1">H5*I5</f>
        <v>0</v>
      </c>
      <c r="K5" s="16">
        <f t="shared" ref="K5:L35" si="2">G5+J5</f>
        <v>0</v>
      </c>
      <c r="L5" s="126">
        <v>0</v>
      </c>
      <c r="M5" s="126">
        <f>M4+K5-L5</f>
        <v>130766.70989999996</v>
      </c>
      <c r="N5" s="41"/>
    </row>
    <row r="6" spans="1:15">
      <c r="A6" s="23">
        <v>3</v>
      </c>
      <c r="B6" s="24">
        <v>45872</v>
      </c>
      <c r="C6" s="124"/>
      <c r="D6" s="125"/>
      <c r="E6" s="90">
        <v>600</v>
      </c>
      <c r="F6" s="90">
        <v>99.99</v>
      </c>
      <c r="G6" s="16">
        <f t="shared" si="0"/>
        <v>59994</v>
      </c>
      <c r="H6" s="90">
        <v>30</v>
      </c>
      <c r="I6" s="317">
        <v>112.06</v>
      </c>
      <c r="J6" s="16">
        <f t="shared" si="1"/>
        <v>3361.8</v>
      </c>
      <c r="K6" s="16">
        <f t="shared" si="2"/>
        <v>63355.8</v>
      </c>
      <c r="L6" s="126"/>
      <c r="M6" s="126">
        <f>M5+K6-L6</f>
        <v>194122.50989999995</v>
      </c>
      <c r="N6" s="41"/>
    </row>
    <row r="7" spans="1:15">
      <c r="A7" s="23">
        <v>4</v>
      </c>
      <c r="B7" s="24">
        <v>45873</v>
      </c>
      <c r="C7" s="124"/>
      <c r="D7" s="125"/>
      <c r="E7" s="90"/>
      <c r="F7" s="90"/>
      <c r="G7" s="16">
        <f t="shared" si="0"/>
        <v>0</v>
      </c>
      <c r="H7" s="90"/>
      <c r="I7" s="317"/>
      <c r="J7" s="16">
        <f t="shared" si="1"/>
        <v>0</v>
      </c>
      <c r="K7" s="16">
        <f t="shared" si="2"/>
        <v>0</v>
      </c>
      <c r="L7" s="126"/>
      <c r="M7" s="126">
        <f>M6+K7-L7</f>
        <v>194122.50989999995</v>
      </c>
      <c r="N7" s="41"/>
    </row>
    <row r="8" spans="1:15">
      <c r="A8" s="23">
        <v>5</v>
      </c>
      <c r="B8" s="24">
        <v>45874</v>
      </c>
      <c r="C8" s="124"/>
      <c r="D8" s="125"/>
      <c r="E8" s="90"/>
      <c r="F8" s="90"/>
      <c r="G8" s="16">
        <f t="shared" ref="G8:G34" si="3">E8*F8</f>
        <v>0</v>
      </c>
      <c r="H8" s="90"/>
      <c r="I8" s="317"/>
      <c r="J8" s="16">
        <f t="shared" si="1"/>
        <v>0</v>
      </c>
      <c r="K8" s="16">
        <f t="shared" si="2"/>
        <v>0</v>
      </c>
      <c r="L8" s="126">
        <v>194000</v>
      </c>
      <c r="M8" s="126">
        <f t="shared" ref="M8:M36" si="4">M7+K8-L8</f>
        <v>122.50989999994636</v>
      </c>
      <c r="N8" s="41"/>
      <c r="O8" s="66"/>
    </row>
    <row r="9" spans="1:15">
      <c r="A9" s="23">
        <v>6</v>
      </c>
      <c r="B9" s="24">
        <v>45875</v>
      </c>
      <c r="C9" s="124"/>
      <c r="D9" s="125"/>
      <c r="E9" s="90"/>
      <c r="F9" s="90"/>
      <c r="G9" s="16">
        <f t="shared" si="3"/>
        <v>0</v>
      </c>
      <c r="H9" s="90">
        <v>30</v>
      </c>
      <c r="I9" s="317">
        <v>112.02</v>
      </c>
      <c r="J9" s="16">
        <f t="shared" si="1"/>
        <v>3360.6</v>
      </c>
      <c r="K9" s="16">
        <f t="shared" si="2"/>
        <v>3360.6</v>
      </c>
      <c r="L9" s="126"/>
      <c r="M9" s="126">
        <f t="shared" si="4"/>
        <v>3483.1098999999463</v>
      </c>
      <c r="N9" s="41"/>
      <c r="O9" s="66"/>
    </row>
    <row r="10" spans="1:15">
      <c r="A10" s="23">
        <v>7</v>
      </c>
      <c r="B10" s="24">
        <v>45876</v>
      </c>
      <c r="C10" s="124"/>
      <c r="D10" s="125"/>
      <c r="E10" s="90">
        <v>400</v>
      </c>
      <c r="F10" s="90">
        <v>99.99</v>
      </c>
      <c r="G10" s="16">
        <f t="shared" si="3"/>
        <v>39996</v>
      </c>
      <c r="H10" s="90"/>
      <c r="I10" s="317"/>
      <c r="J10" s="16">
        <f t="shared" si="1"/>
        <v>0</v>
      </c>
      <c r="K10" s="16">
        <f t="shared" si="2"/>
        <v>39996</v>
      </c>
      <c r="L10" s="126"/>
      <c r="M10" s="126">
        <f t="shared" si="4"/>
        <v>43479.109899999945</v>
      </c>
      <c r="N10" s="41"/>
      <c r="O10" s="66"/>
    </row>
    <row r="11" spans="1:15">
      <c r="A11" s="23">
        <v>8</v>
      </c>
      <c r="B11" s="24">
        <v>45877</v>
      </c>
      <c r="C11" s="124"/>
      <c r="D11" s="125"/>
      <c r="E11" s="90"/>
      <c r="F11" s="90"/>
      <c r="G11" s="16">
        <f t="shared" si="3"/>
        <v>0</v>
      </c>
      <c r="H11" s="90"/>
      <c r="I11" s="317"/>
      <c r="J11" s="16">
        <f t="shared" si="1"/>
        <v>0</v>
      </c>
      <c r="K11" s="16">
        <f t="shared" si="2"/>
        <v>0</v>
      </c>
      <c r="L11" s="126"/>
      <c r="M11" s="126">
        <f t="shared" si="4"/>
        <v>43479.109899999945</v>
      </c>
      <c r="N11" s="41"/>
      <c r="O11" s="66"/>
    </row>
    <row r="12" spans="1:15">
      <c r="A12" s="23">
        <v>9</v>
      </c>
      <c r="B12" s="24">
        <v>45878</v>
      </c>
      <c r="C12" s="124"/>
      <c r="D12" s="125"/>
      <c r="E12" s="90"/>
      <c r="F12" s="90"/>
      <c r="G12" s="16">
        <f t="shared" si="3"/>
        <v>0</v>
      </c>
      <c r="H12" s="90"/>
      <c r="I12" s="317"/>
      <c r="J12" s="16">
        <f t="shared" si="1"/>
        <v>0</v>
      </c>
      <c r="K12" s="16">
        <f t="shared" si="2"/>
        <v>0</v>
      </c>
      <c r="L12" s="126"/>
      <c r="M12" s="126">
        <f t="shared" si="4"/>
        <v>43479.109899999945</v>
      </c>
      <c r="N12" s="41"/>
      <c r="O12" s="66"/>
    </row>
    <row r="13" spans="1:15">
      <c r="A13" s="23">
        <v>10</v>
      </c>
      <c r="B13" s="24">
        <v>45879</v>
      </c>
      <c r="C13" s="124"/>
      <c r="D13" s="125"/>
      <c r="E13" s="90"/>
      <c r="F13" s="90"/>
      <c r="G13" s="16">
        <f t="shared" si="3"/>
        <v>0</v>
      </c>
      <c r="H13" s="90"/>
      <c r="I13" s="317"/>
      <c r="J13" s="16">
        <f t="shared" si="1"/>
        <v>0</v>
      </c>
      <c r="K13" s="16">
        <f t="shared" si="2"/>
        <v>0</v>
      </c>
      <c r="L13" s="126"/>
      <c r="M13" s="126">
        <f t="shared" si="4"/>
        <v>43479.109899999945</v>
      </c>
      <c r="N13" s="41"/>
      <c r="O13" s="66"/>
    </row>
    <row r="14" spans="1:15">
      <c r="A14" s="23">
        <v>11</v>
      </c>
      <c r="B14" s="24">
        <v>45880</v>
      </c>
      <c r="C14" s="124"/>
      <c r="D14" s="125"/>
      <c r="E14" s="90">
        <v>600</v>
      </c>
      <c r="F14" s="90">
        <v>99.99</v>
      </c>
      <c r="G14" s="16">
        <f t="shared" si="3"/>
        <v>59994</v>
      </c>
      <c r="H14" s="90">
        <v>30</v>
      </c>
      <c r="I14" s="317">
        <v>112.02</v>
      </c>
      <c r="J14" s="16">
        <f t="shared" si="1"/>
        <v>3360.6</v>
      </c>
      <c r="K14" s="16">
        <f t="shared" si="2"/>
        <v>63354.6</v>
      </c>
      <c r="L14" s="126"/>
      <c r="M14" s="126">
        <f t="shared" si="4"/>
        <v>106833.70989999994</v>
      </c>
      <c r="N14" s="41"/>
      <c r="O14" s="66"/>
    </row>
    <row r="15" spans="1:15">
      <c r="A15" s="23">
        <v>12</v>
      </c>
      <c r="B15" s="24">
        <v>45881</v>
      </c>
      <c r="C15" s="124"/>
      <c r="D15" s="125"/>
      <c r="E15" s="90"/>
      <c r="F15" s="90"/>
      <c r="G15" s="16">
        <f t="shared" si="3"/>
        <v>0</v>
      </c>
      <c r="H15" s="90"/>
      <c r="I15" s="317"/>
      <c r="J15" s="16">
        <f t="shared" si="1"/>
        <v>0</v>
      </c>
      <c r="K15" s="16">
        <f t="shared" si="2"/>
        <v>0</v>
      </c>
      <c r="L15" s="126"/>
      <c r="M15" s="126">
        <f t="shared" si="4"/>
        <v>106833.70989999994</v>
      </c>
      <c r="N15" s="41"/>
      <c r="O15" s="66"/>
    </row>
    <row r="16" spans="1:15">
      <c r="A16" s="23">
        <v>13</v>
      </c>
      <c r="B16" s="24">
        <v>45882</v>
      </c>
      <c r="C16" s="124"/>
      <c r="D16" s="125"/>
      <c r="E16" s="90"/>
      <c r="F16" s="90"/>
      <c r="G16" s="16">
        <f t="shared" si="3"/>
        <v>0</v>
      </c>
      <c r="H16" s="90"/>
      <c r="I16" s="317"/>
      <c r="J16" s="16">
        <f t="shared" si="1"/>
        <v>0</v>
      </c>
      <c r="K16" s="16">
        <f t="shared" si="2"/>
        <v>0</v>
      </c>
      <c r="L16" s="126"/>
      <c r="M16" s="126">
        <f t="shared" si="4"/>
        <v>106833.70989999994</v>
      </c>
      <c r="N16" s="41"/>
      <c r="O16" s="66"/>
    </row>
    <row r="17" spans="1:19">
      <c r="A17" s="23">
        <v>14</v>
      </c>
      <c r="B17" s="24">
        <v>45883</v>
      </c>
      <c r="C17" s="124"/>
      <c r="D17" s="125"/>
      <c r="E17" s="90">
        <v>150</v>
      </c>
      <c r="F17" s="90">
        <v>99.99</v>
      </c>
      <c r="G17" s="16">
        <f t="shared" si="3"/>
        <v>14998.5</v>
      </c>
      <c r="H17" s="90"/>
      <c r="I17" s="317"/>
      <c r="J17" s="16">
        <f t="shared" si="1"/>
        <v>0</v>
      </c>
      <c r="K17" s="16">
        <f t="shared" si="2"/>
        <v>14998.5</v>
      </c>
      <c r="L17" s="126"/>
      <c r="M17" s="126">
        <f t="shared" si="4"/>
        <v>121832.20989999994</v>
      </c>
      <c r="N17" s="41"/>
      <c r="O17" s="66"/>
    </row>
    <row r="18" spans="1:19">
      <c r="A18" s="23">
        <v>15</v>
      </c>
      <c r="B18" s="24">
        <v>45884</v>
      </c>
      <c r="C18" s="124"/>
      <c r="D18" s="125"/>
      <c r="E18" s="90">
        <v>600</v>
      </c>
      <c r="F18" s="90">
        <v>99.99</v>
      </c>
      <c r="G18" s="16">
        <f t="shared" si="3"/>
        <v>59994</v>
      </c>
      <c r="H18" s="90"/>
      <c r="I18" s="317"/>
      <c r="J18" s="16">
        <f t="shared" si="1"/>
        <v>0</v>
      </c>
      <c r="K18" s="16">
        <f t="shared" si="2"/>
        <v>59994</v>
      </c>
      <c r="L18" s="126"/>
      <c r="M18" s="126">
        <f t="shared" si="4"/>
        <v>181826.20989999996</v>
      </c>
      <c r="N18" s="41"/>
      <c r="O18" s="66"/>
      <c r="Q18" s="234"/>
      <c r="S18" s="167"/>
    </row>
    <row r="19" spans="1:19">
      <c r="A19" s="23">
        <v>16</v>
      </c>
      <c r="B19" s="24">
        <v>45885</v>
      </c>
      <c r="C19" s="124"/>
      <c r="D19" s="125"/>
      <c r="E19" s="90"/>
      <c r="F19" s="90"/>
      <c r="G19" s="16">
        <f t="shared" si="3"/>
        <v>0</v>
      </c>
      <c r="H19" s="90"/>
      <c r="I19" s="317"/>
      <c r="J19" s="16">
        <f t="shared" si="1"/>
        <v>0</v>
      </c>
      <c r="K19" s="16">
        <f t="shared" si="2"/>
        <v>0</v>
      </c>
      <c r="L19" s="126"/>
      <c r="M19" s="126">
        <f t="shared" si="4"/>
        <v>181826.20989999996</v>
      </c>
      <c r="N19" s="41"/>
      <c r="O19" s="66"/>
    </row>
    <row r="20" spans="1:19">
      <c r="A20" s="23">
        <v>17</v>
      </c>
      <c r="B20" s="24">
        <v>45886</v>
      </c>
      <c r="C20" s="124"/>
      <c r="D20" s="125"/>
      <c r="E20" s="90"/>
      <c r="F20" s="90"/>
      <c r="G20" s="16">
        <f t="shared" si="3"/>
        <v>0</v>
      </c>
      <c r="H20" s="90"/>
      <c r="I20" s="317"/>
      <c r="J20" s="16">
        <f t="shared" si="1"/>
        <v>0</v>
      </c>
      <c r="K20" s="16">
        <f t="shared" si="2"/>
        <v>0</v>
      </c>
      <c r="L20" s="126"/>
      <c r="M20" s="126">
        <f t="shared" si="4"/>
        <v>181826.20989999996</v>
      </c>
      <c r="N20" s="41"/>
      <c r="O20" s="66"/>
    </row>
    <row r="21" spans="1:19">
      <c r="A21" s="23">
        <v>18</v>
      </c>
      <c r="B21" s="24">
        <v>45887</v>
      </c>
      <c r="C21" s="124"/>
      <c r="D21" s="125"/>
      <c r="E21" s="90"/>
      <c r="F21" s="90"/>
      <c r="G21" s="16">
        <f t="shared" si="3"/>
        <v>0</v>
      </c>
      <c r="H21" s="90">
        <v>30</v>
      </c>
      <c r="I21" s="317">
        <v>112.02</v>
      </c>
      <c r="J21" s="16">
        <f t="shared" si="1"/>
        <v>3360.6</v>
      </c>
      <c r="K21" s="16">
        <f t="shared" si="2"/>
        <v>3360.6</v>
      </c>
      <c r="L21" s="126"/>
      <c r="M21" s="126">
        <f t="shared" si="4"/>
        <v>185186.80989999996</v>
      </c>
      <c r="N21" s="41"/>
      <c r="O21" s="66"/>
    </row>
    <row r="22" spans="1:19">
      <c r="A22" s="23">
        <v>19</v>
      </c>
      <c r="B22" s="24">
        <v>45888</v>
      </c>
      <c r="C22" s="124"/>
      <c r="D22" s="125"/>
      <c r="E22" s="90"/>
      <c r="F22" s="90"/>
      <c r="G22" s="16">
        <f t="shared" si="3"/>
        <v>0</v>
      </c>
      <c r="H22" s="90">
        <v>30</v>
      </c>
      <c r="I22" s="317">
        <v>112.02</v>
      </c>
      <c r="J22" s="16">
        <f t="shared" si="1"/>
        <v>3360.6</v>
      </c>
      <c r="K22" s="16">
        <f t="shared" si="2"/>
        <v>3360.6</v>
      </c>
      <c r="L22" s="126"/>
      <c r="M22" s="126">
        <f t="shared" si="4"/>
        <v>188547.40989999997</v>
      </c>
      <c r="N22" s="41"/>
      <c r="O22" s="66"/>
    </row>
    <row r="23" spans="1:19">
      <c r="A23" s="23">
        <v>20</v>
      </c>
      <c r="B23" s="24">
        <v>45889</v>
      </c>
      <c r="C23" s="124"/>
      <c r="D23" s="125"/>
      <c r="E23" s="90"/>
      <c r="F23" s="90"/>
      <c r="G23" s="16">
        <f t="shared" si="3"/>
        <v>0</v>
      </c>
      <c r="H23" s="90"/>
      <c r="I23" s="317"/>
      <c r="J23" s="16">
        <f t="shared" si="1"/>
        <v>0</v>
      </c>
      <c r="K23" s="16">
        <f t="shared" si="2"/>
        <v>0</v>
      </c>
      <c r="L23" s="16">
        <v>188500</v>
      </c>
      <c r="M23" s="126">
        <f t="shared" si="4"/>
        <v>47.409899999969639</v>
      </c>
      <c r="N23" s="41"/>
      <c r="O23" s="66"/>
    </row>
    <row r="24" spans="1:19">
      <c r="A24" s="23">
        <v>21</v>
      </c>
      <c r="B24" s="24">
        <v>45890</v>
      </c>
      <c r="C24" s="124"/>
      <c r="D24" s="125"/>
      <c r="E24" s="90"/>
      <c r="F24" s="90"/>
      <c r="G24" s="16">
        <f t="shared" si="3"/>
        <v>0</v>
      </c>
      <c r="H24" s="90"/>
      <c r="I24" s="317"/>
      <c r="J24" s="16">
        <f t="shared" si="1"/>
        <v>0</v>
      </c>
      <c r="K24" s="16">
        <f t="shared" si="2"/>
        <v>0</v>
      </c>
      <c r="L24" s="126"/>
      <c r="M24" s="126">
        <f t="shared" si="4"/>
        <v>47.409899999969639</v>
      </c>
      <c r="N24" s="41"/>
      <c r="O24" s="233"/>
    </row>
    <row r="25" spans="1:19">
      <c r="A25" s="23">
        <v>22</v>
      </c>
      <c r="B25" s="24">
        <v>45891</v>
      </c>
      <c r="C25" s="124"/>
      <c r="D25" s="125"/>
      <c r="E25" s="90"/>
      <c r="F25" s="90"/>
      <c r="G25" s="16">
        <f t="shared" si="3"/>
        <v>0</v>
      </c>
      <c r="H25" s="90"/>
      <c r="I25" s="317"/>
      <c r="J25" s="16">
        <f t="shared" si="1"/>
        <v>0</v>
      </c>
      <c r="K25" s="473">
        <f t="shared" si="2"/>
        <v>0</v>
      </c>
      <c r="L25" s="473"/>
      <c r="M25" s="126">
        <f t="shared" si="4"/>
        <v>47.409899999969639</v>
      </c>
      <c r="N25" s="41"/>
      <c r="O25" s="66"/>
    </row>
    <row r="26" spans="1:19">
      <c r="A26" s="23">
        <v>23</v>
      </c>
      <c r="B26" s="24">
        <v>45892</v>
      </c>
      <c r="C26" s="124"/>
      <c r="D26" s="125"/>
      <c r="E26" s="90"/>
      <c r="F26" s="90"/>
      <c r="G26" s="16">
        <f t="shared" si="3"/>
        <v>0</v>
      </c>
      <c r="H26" s="90"/>
      <c r="I26" s="317"/>
      <c r="J26" s="16">
        <f t="shared" si="1"/>
        <v>0</v>
      </c>
      <c r="K26" s="16">
        <f t="shared" si="2"/>
        <v>0</v>
      </c>
      <c r="L26" s="126"/>
      <c r="M26" s="126">
        <f t="shared" si="4"/>
        <v>47.409899999969639</v>
      </c>
      <c r="N26" s="41"/>
      <c r="O26" s="66"/>
    </row>
    <row r="27" spans="1:19">
      <c r="A27" s="23">
        <v>24</v>
      </c>
      <c r="B27" s="24">
        <v>45893</v>
      </c>
      <c r="C27" s="124"/>
      <c r="D27" s="125"/>
      <c r="E27" s="90"/>
      <c r="F27" s="90"/>
      <c r="G27" s="16">
        <f t="shared" si="3"/>
        <v>0</v>
      </c>
      <c r="H27" s="90"/>
      <c r="I27" s="317"/>
      <c r="J27" s="16">
        <f t="shared" si="1"/>
        <v>0</v>
      </c>
      <c r="K27" s="16">
        <f t="shared" si="2"/>
        <v>0</v>
      </c>
      <c r="L27" s="126"/>
      <c r="M27" s="126">
        <f t="shared" si="4"/>
        <v>47.409899999969639</v>
      </c>
      <c r="N27" s="41"/>
      <c r="O27" s="66"/>
    </row>
    <row r="28" spans="1:19">
      <c r="A28" s="23">
        <v>25</v>
      </c>
      <c r="B28" s="24">
        <v>45894</v>
      </c>
      <c r="C28" s="124"/>
      <c r="D28" s="125"/>
      <c r="E28" s="90"/>
      <c r="F28" s="90"/>
      <c r="G28" s="16">
        <f t="shared" si="3"/>
        <v>0</v>
      </c>
      <c r="H28" s="90"/>
      <c r="I28" s="317"/>
      <c r="J28" s="16">
        <f t="shared" si="1"/>
        <v>0</v>
      </c>
      <c r="K28" s="16">
        <f t="shared" si="2"/>
        <v>0</v>
      </c>
      <c r="L28" s="16"/>
      <c r="M28" s="126">
        <f t="shared" si="4"/>
        <v>47.409899999969639</v>
      </c>
      <c r="N28" s="41"/>
      <c r="O28" s="66"/>
    </row>
    <row r="29" spans="1:19">
      <c r="A29" s="23">
        <v>26</v>
      </c>
      <c r="B29" s="24">
        <v>45895</v>
      </c>
      <c r="C29" s="124"/>
      <c r="D29" s="125"/>
      <c r="E29" s="90">
        <v>600</v>
      </c>
      <c r="F29" s="90">
        <v>99.99</v>
      </c>
      <c r="G29" s="16">
        <f t="shared" si="3"/>
        <v>59994</v>
      </c>
      <c r="H29" s="90">
        <v>30</v>
      </c>
      <c r="I29" s="317">
        <v>112.02</v>
      </c>
      <c r="J29" s="16">
        <f t="shared" si="1"/>
        <v>3360.6</v>
      </c>
      <c r="K29" s="16">
        <f t="shared" si="2"/>
        <v>63354.6</v>
      </c>
      <c r="L29" s="126"/>
      <c r="M29" s="126">
        <f>M28+K29-L29</f>
        <v>63402.009899999968</v>
      </c>
      <c r="N29" s="41"/>
      <c r="O29" s="66"/>
    </row>
    <row r="30" spans="1:19">
      <c r="A30" s="23">
        <v>27</v>
      </c>
      <c r="B30" s="24">
        <v>45896</v>
      </c>
      <c r="C30" s="124"/>
      <c r="D30" s="125"/>
      <c r="E30" s="90"/>
      <c r="F30" s="90"/>
      <c r="G30" s="16">
        <f t="shared" si="3"/>
        <v>0</v>
      </c>
      <c r="H30" s="90"/>
      <c r="I30" s="317"/>
      <c r="J30" s="16">
        <f t="shared" si="1"/>
        <v>0</v>
      </c>
      <c r="K30" s="473">
        <f t="shared" si="2"/>
        <v>0</v>
      </c>
      <c r="L30" s="473"/>
      <c r="M30" s="126">
        <f t="shared" si="4"/>
        <v>63402.009899999968</v>
      </c>
      <c r="N30" s="41"/>
      <c r="O30" s="66"/>
    </row>
    <row r="31" spans="1:19">
      <c r="A31" s="23">
        <v>28</v>
      </c>
      <c r="B31" s="24">
        <v>45897</v>
      </c>
      <c r="C31" s="124"/>
      <c r="D31" s="125"/>
      <c r="E31" s="90">
        <v>600</v>
      </c>
      <c r="F31" s="90">
        <v>99.99</v>
      </c>
      <c r="G31" s="16">
        <f t="shared" si="3"/>
        <v>59994</v>
      </c>
      <c r="H31" s="90">
        <v>20</v>
      </c>
      <c r="I31" s="317">
        <v>112.02</v>
      </c>
      <c r="J31" s="16">
        <f t="shared" si="1"/>
        <v>2240.4</v>
      </c>
      <c r="K31" s="473">
        <f t="shared" si="2"/>
        <v>62234.400000000001</v>
      </c>
      <c r="L31" s="473">
        <v>63402</v>
      </c>
      <c r="M31" s="126">
        <f t="shared" si="4"/>
        <v>62234.40989999997</v>
      </c>
      <c r="N31" s="41"/>
      <c r="O31" s="66"/>
      <c r="P31" s="234"/>
    </row>
    <row r="32" spans="1:19">
      <c r="A32" s="23">
        <v>29</v>
      </c>
      <c r="B32" s="24">
        <v>45898</v>
      </c>
      <c r="C32" s="124"/>
      <c r="D32" s="125"/>
      <c r="E32" s="90"/>
      <c r="F32" s="90"/>
      <c r="G32" s="16">
        <f t="shared" si="3"/>
        <v>0</v>
      </c>
      <c r="H32" s="90"/>
      <c r="I32" s="317"/>
      <c r="J32" s="16">
        <f t="shared" si="1"/>
        <v>0</v>
      </c>
      <c r="K32" s="16">
        <f t="shared" si="2"/>
        <v>0</v>
      </c>
      <c r="L32" s="126"/>
      <c r="M32" s="126">
        <f t="shared" si="4"/>
        <v>62234.40989999997</v>
      </c>
      <c r="N32" s="41"/>
      <c r="O32" s="66"/>
    </row>
    <row r="33" spans="1:19">
      <c r="A33" s="23">
        <v>30</v>
      </c>
      <c r="B33" s="24">
        <v>45899</v>
      </c>
      <c r="C33" s="124"/>
      <c r="D33" s="125"/>
      <c r="E33" s="90"/>
      <c r="F33" s="90"/>
      <c r="G33" s="16">
        <f t="shared" si="3"/>
        <v>0</v>
      </c>
      <c r="H33" s="90"/>
      <c r="I33" s="317"/>
      <c r="J33" s="16">
        <f t="shared" si="1"/>
        <v>0</v>
      </c>
      <c r="K33" s="16">
        <f t="shared" si="2"/>
        <v>0</v>
      </c>
      <c r="L33" s="126"/>
      <c r="M33" s="126">
        <f t="shared" si="4"/>
        <v>62234.40989999997</v>
      </c>
      <c r="N33" s="41"/>
      <c r="O33" s="66"/>
      <c r="P33" s="234"/>
    </row>
    <row r="34" spans="1:19">
      <c r="A34" s="23">
        <v>31</v>
      </c>
      <c r="B34" s="24">
        <v>45900</v>
      </c>
      <c r="C34" s="124"/>
      <c r="D34" s="125"/>
      <c r="E34" s="90">
        <v>600</v>
      </c>
      <c r="F34" s="90">
        <v>99.99</v>
      </c>
      <c r="G34" s="16">
        <f t="shared" si="3"/>
        <v>59994</v>
      </c>
      <c r="H34" s="90"/>
      <c r="I34" s="317"/>
      <c r="J34" s="16">
        <f t="shared" si="1"/>
        <v>0</v>
      </c>
      <c r="K34" s="16">
        <f t="shared" si="2"/>
        <v>59994</v>
      </c>
      <c r="L34" s="126"/>
      <c r="M34" s="126">
        <f t="shared" si="4"/>
        <v>122228.40989999997</v>
      </c>
      <c r="N34" s="41"/>
      <c r="O34" s="66"/>
    </row>
    <row r="35" spans="1:19">
      <c r="A35" s="23"/>
      <c r="B35" s="24"/>
      <c r="C35" s="124"/>
      <c r="D35" s="125"/>
      <c r="E35" s="90"/>
      <c r="F35" s="90"/>
      <c r="G35" s="16">
        <f t="shared" si="0"/>
        <v>0</v>
      </c>
      <c r="H35" s="90"/>
      <c r="I35" s="317"/>
      <c r="J35" s="16">
        <f t="shared" si="1"/>
        <v>0</v>
      </c>
      <c r="K35" s="16">
        <f t="shared" si="2"/>
        <v>0</v>
      </c>
      <c r="L35" s="126">
        <v>0</v>
      </c>
      <c r="M35" s="126">
        <f t="shared" si="4"/>
        <v>122228.40989999997</v>
      </c>
      <c r="N35" s="41"/>
      <c r="O35" s="66"/>
    </row>
    <row r="36" spans="1:19">
      <c r="A36" s="23"/>
      <c r="B36" s="24"/>
      <c r="C36" s="124"/>
      <c r="D36" s="125"/>
      <c r="E36" s="90">
        <v>0</v>
      </c>
      <c r="F36" s="90">
        <v>0</v>
      </c>
      <c r="G36" s="16">
        <f t="shared" ref="G36" si="5">E36*F36</f>
        <v>0</v>
      </c>
      <c r="H36" s="90">
        <v>0</v>
      </c>
      <c r="I36" s="317">
        <v>0</v>
      </c>
      <c r="J36" s="16">
        <f t="shared" ref="J36" si="6">H36*I36</f>
        <v>0</v>
      </c>
      <c r="K36" s="16">
        <f t="shared" ref="K36" si="7">G36+J36</f>
        <v>0</v>
      </c>
      <c r="L36" s="126">
        <v>0</v>
      </c>
      <c r="M36" s="126">
        <f t="shared" si="4"/>
        <v>122228.40989999997</v>
      </c>
      <c r="N36" s="41"/>
      <c r="O36" s="66"/>
    </row>
    <row r="37" spans="1:19">
      <c r="A37" s="39"/>
      <c r="B37" s="39"/>
      <c r="C37" s="39"/>
      <c r="D37" s="39"/>
      <c r="E37" s="40">
        <f>SUM(E4:E35)</f>
        <v>4150</v>
      </c>
      <c r="F37" s="40"/>
      <c r="G37" s="40">
        <f>SUM(G4:G35)</f>
        <v>414958.5</v>
      </c>
      <c r="H37" s="40">
        <f>SUM(H4:H35)</f>
        <v>200</v>
      </c>
      <c r="I37" s="40"/>
      <c r="J37" s="40">
        <f>SUM(J4:J35)</f>
        <v>22405.200000000001</v>
      </c>
      <c r="K37" s="40">
        <f>SUM(K4:K35)</f>
        <v>437363.7</v>
      </c>
      <c r="L37" s="40">
        <f>SUM(L4:L35)</f>
        <v>445902</v>
      </c>
      <c r="M37" s="40"/>
      <c r="N37" s="40"/>
      <c r="O37" s="30"/>
    </row>
    <row r="38" spans="1:19">
      <c r="A38" s="69"/>
      <c r="B38" s="70"/>
      <c r="C38" s="69"/>
      <c r="D38" s="69"/>
      <c r="E38" s="71">
        <v>0</v>
      </c>
      <c r="F38" s="71"/>
      <c r="G38" s="71">
        <v>0</v>
      </c>
      <c r="H38" s="71">
        <v>0</v>
      </c>
      <c r="I38" s="71"/>
      <c r="J38" s="72">
        <v>0</v>
      </c>
      <c r="K38" s="72">
        <f>G38+J38</f>
        <v>0</v>
      </c>
      <c r="L38" s="72">
        <v>0</v>
      </c>
      <c r="M38" s="72"/>
      <c r="N38" s="71"/>
      <c r="O38" s="66"/>
    </row>
    <row r="39" spans="1:19">
      <c r="E39" s="131"/>
      <c r="F39" s="131"/>
      <c r="G39" s="131"/>
      <c r="H39" s="131"/>
      <c r="I39" s="131"/>
      <c r="J39" s="131"/>
      <c r="K39" s="131"/>
      <c r="L39" s="131"/>
      <c r="M39" s="234"/>
      <c r="O39" s="66"/>
    </row>
    <row r="40" spans="1:19">
      <c r="O40" s="66"/>
    </row>
    <row r="41" spans="1:19">
      <c r="M41" s="167"/>
      <c r="O41" s="66"/>
    </row>
    <row r="42" spans="1:19">
      <c r="O42" s="66"/>
    </row>
    <row r="43" spans="1:19">
      <c r="O43" s="66"/>
      <c r="S43">
        <v>9052944708</v>
      </c>
    </row>
    <row r="44" spans="1:19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9">
      <c r="A45" s="66"/>
      <c r="B45" s="576"/>
      <c r="C45" s="576"/>
      <c r="D45" s="576"/>
      <c r="E45" s="576"/>
      <c r="F45" s="66"/>
      <c r="G45" s="66"/>
      <c r="H45" s="66"/>
      <c r="I45" s="576"/>
      <c r="J45" s="576"/>
      <c r="K45" s="576"/>
      <c r="L45" s="576"/>
      <c r="M45" s="576"/>
      <c r="N45" s="576"/>
      <c r="O45" s="71"/>
    </row>
    <row r="46" spans="1:19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5" workbookViewId="0">
      <selection activeCell="M32" sqref="M32"/>
    </sheetView>
  </sheetViews>
  <sheetFormatPr defaultRowHeight="15"/>
  <cols>
    <col min="2" max="2" width="10.140625" bestFit="1" customWidth="1"/>
    <col min="4" max="4" width="24.85546875" bestFit="1" customWidth="1"/>
    <col min="7" max="7" width="8.28515625" bestFit="1" customWidth="1"/>
    <col min="12" max="12" width="9.28515625" bestFit="1" customWidth="1"/>
    <col min="13" max="13" width="10.42578125" bestFit="1" customWidth="1"/>
    <col min="14" max="14" width="12.7109375" customWidth="1"/>
  </cols>
  <sheetData>
    <row r="1" spans="1:14" ht="15.75">
      <c r="A1" s="581" t="s">
        <v>235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25.5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02" t="s">
        <v>177</v>
      </c>
      <c r="L2" s="102" t="s">
        <v>178</v>
      </c>
      <c r="M2" s="102" t="s">
        <v>195</v>
      </c>
      <c r="N2" s="102" t="s">
        <v>180</v>
      </c>
    </row>
    <row r="3" spans="1:14">
      <c r="A3" s="584" t="s">
        <v>181</v>
      </c>
      <c r="B3" s="584"/>
      <c r="C3" s="584"/>
      <c r="D3" s="584"/>
      <c r="E3" s="584"/>
      <c r="F3" s="584"/>
      <c r="G3" s="584"/>
      <c r="H3" s="584"/>
      <c r="I3" s="584"/>
      <c r="J3" s="584"/>
      <c r="K3" s="92">
        <v>50699.16</v>
      </c>
      <c r="L3" s="92">
        <v>0</v>
      </c>
      <c r="M3" s="92">
        <v>50699.16</v>
      </c>
      <c r="N3" s="14"/>
    </row>
    <row r="4" spans="1:14">
      <c r="A4" s="23">
        <v>1</v>
      </c>
      <c r="B4" s="24">
        <v>46235</v>
      </c>
      <c r="C4" s="14"/>
      <c r="D4" s="14"/>
      <c r="E4" s="83"/>
      <c r="F4" s="83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50699.16</v>
      </c>
      <c r="N4" s="217"/>
    </row>
    <row r="5" spans="1:14">
      <c r="A5" s="23">
        <v>2</v>
      </c>
      <c r="B5" s="24">
        <v>46236</v>
      </c>
      <c r="C5" s="14"/>
      <c r="D5" s="14"/>
      <c r="E5" s="83">
        <v>400</v>
      </c>
      <c r="F5" s="83">
        <v>100.04</v>
      </c>
      <c r="G5" s="14">
        <f t="shared" ref="G5" si="0">E5*F5</f>
        <v>40016</v>
      </c>
      <c r="H5" s="83">
        <v>20</v>
      </c>
      <c r="I5" s="83">
        <v>112.06</v>
      </c>
      <c r="J5" s="14">
        <f t="shared" ref="J5" si="1">H5*I5</f>
        <v>2241.1999999999998</v>
      </c>
      <c r="K5" s="14">
        <f t="shared" ref="K5" si="2">G5+J5</f>
        <v>42257.2</v>
      </c>
      <c r="L5" s="14"/>
      <c r="M5" s="94">
        <f t="shared" ref="M5:M34" si="3">M4+K5-L5</f>
        <v>92956.36</v>
      </c>
      <c r="N5" s="41"/>
    </row>
    <row r="6" spans="1:14">
      <c r="A6" s="23">
        <v>3</v>
      </c>
      <c r="B6" s="24">
        <v>46237</v>
      </c>
      <c r="C6" s="14"/>
      <c r="D6" s="14"/>
      <c r="E6" s="83"/>
      <c r="F6" s="83"/>
      <c r="G6" s="14">
        <f t="shared" ref="G6:G7" si="4">E6*F6</f>
        <v>0</v>
      </c>
      <c r="H6" s="83"/>
      <c r="I6" s="83"/>
      <c r="J6" s="14">
        <f t="shared" ref="J6:J33" si="5">H6*I6</f>
        <v>0</v>
      </c>
      <c r="K6" s="14">
        <f t="shared" ref="K6:K33" si="6">G6+J6</f>
        <v>0</v>
      </c>
      <c r="L6" s="14"/>
      <c r="M6" s="94">
        <f t="shared" si="3"/>
        <v>92956.36</v>
      </c>
      <c r="N6" s="41"/>
    </row>
    <row r="7" spans="1:14">
      <c r="A7" s="23">
        <v>4</v>
      </c>
      <c r="B7" s="24">
        <v>46238</v>
      </c>
      <c r="C7" s="14"/>
      <c r="D7" s="14"/>
      <c r="E7" s="83"/>
      <c r="F7" s="83"/>
      <c r="G7" s="14">
        <f t="shared" si="4"/>
        <v>0</v>
      </c>
      <c r="H7" s="83"/>
      <c r="I7" s="83"/>
      <c r="J7" s="14">
        <f t="shared" si="5"/>
        <v>0</v>
      </c>
      <c r="K7" s="14">
        <f t="shared" si="6"/>
        <v>0</v>
      </c>
      <c r="L7" s="14"/>
      <c r="M7" s="424">
        <f t="shared" si="3"/>
        <v>92956.36</v>
      </c>
      <c r="N7" s="14"/>
    </row>
    <row r="8" spans="1:14">
      <c r="A8" s="23">
        <v>5</v>
      </c>
      <c r="B8" s="24">
        <v>46239</v>
      </c>
      <c r="C8" s="14"/>
      <c r="D8" s="14"/>
      <c r="E8" s="83"/>
      <c r="F8" s="83"/>
      <c r="G8" s="14">
        <f>E8*F8</f>
        <v>0</v>
      </c>
      <c r="H8" s="83"/>
      <c r="I8" s="83"/>
      <c r="J8" s="14">
        <f t="shared" si="5"/>
        <v>0</v>
      </c>
      <c r="K8" s="14">
        <f t="shared" si="6"/>
        <v>0</v>
      </c>
      <c r="L8" s="14">
        <v>92000</v>
      </c>
      <c r="M8" s="424">
        <f t="shared" si="3"/>
        <v>956.36000000000058</v>
      </c>
      <c r="N8" s="41"/>
    </row>
    <row r="9" spans="1:14">
      <c r="A9" s="23">
        <v>6</v>
      </c>
      <c r="B9" s="24">
        <v>46240</v>
      </c>
      <c r="C9" s="14"/>
      <c r="D9" s="14"/>
      <c r="E9" s="83"/>
      <c r="F9" s="83"/>
      <c r="G9" s="14">
        <f>E9*F9</f>
        <v>0</v>
      </c>
      <c r="H9" s="83"/>
      <c r="I9" s="83"/>
      <c r="J9" s="14">
        <f t="shared" si="5"/>
        <v>0</v>
      </c>
      <c r="K9" s="14">
        <f t="shared" si="6"/>
        <v>0</v>
      </c>
      <c r="L9" s="14"/>
      <c r="M9" s="424">
        <f t="shared" si="3"/>
        <v>956.36000000000058</v>
      </c>
      <c r="N9" s="41"/>
    </row>
    <row r="10" spans="1:14">
      <c r="A10" s="23">
        <v>7</v>
      </c>
      <c r="B10" s="24">
        <v>46241</v>
      </c>
      <c r="C10" s="14"/>
      <c r="D10" s="14"/>
      <c r="E10" s="83"/>
      <c r="F10" s="83"/>
      <c r="G10" s="14">
        <f>E10*F10</f>
        <v>0</v>
      </c>
      <c r="H10" s="83"/>
      <c r="I10" s="83"/>
      <c r="J10" s="14">
        <f t="shared" si="5"/>
        <v>0</v>
      </c>
      <c r="K10" s="14">
        <f t="shared" si="6"/>
        <v>0</v>
      </c>
      <c r="L10" s="14"/>
      <c r="M10" s="424">
        <f t="shared" si="3"/>
        <v>956.36000000000058</v>
      </c>
      <c r="N10" s="41"/>
    </row>
    <row r="11" spans="1:14">
      <c r="A11" s="23">
        <v>8</v>
      </c>
      <c r="B11" s="24">
        <v>46242</v>
      </c>
      <c r="C11" s="14"/>
      <c r="D11" s="14"/>
      <c r="E11" s="83"/>
      <c r="F11" s="83"/>
      <c r="G11" s="14">
        <f>E11*F11</f>
        <v>0</v>
      </c>
      <c r="H11" s="83"/>
      <c r="I11" s="83"/>
      <c r="J11" s="14">
        <f t="shared" si="5"/>
        <v>0</v>
      </c>
      <c r="K11" s="14">
        <f t="shared" si="6"/>
        <v>0</v>
      </c>
      <c r="L11" s="14"/>
      <c r="M11" s="424">
        <f t="shared" si="3"/>
        <v>956.36000000000058</v>
      </c>
      <c r="N11" s="41"/>
    </row>
    <row r="12" spans="1:14">
      <c r="A12" s="23">
        <v>9</v>
      </c>
      <c r="B12" s="24">
        <v>46243</v>
      </c>
      <c r="C12" s="14"/>
      <c r="D12" s="14"/>
      <c r="E12" s="83"/>
      <c r="F12" s="83"/>
      <c r="G12" s="14">
        <f>E12*F12</f>
        <v>0</v>
      </c>
      <c r="H12" s="83"/>
      <c r="I12" s="83"/>
      <c r="J12" s="14">
        <f t="shared" si="5"/>
        <v>0</v>
      </c>
      <c r="K12" s="14">
        <f t="shared" si="6"/>
        <v>0</v>
      </c>
      <c r="L12" s="14"/>
      <c r="M12" s="37">
        <f t="shared" si="3"/>
        <v>956.36000000000058</v>
      </c>
      <c r="N12" s="90"/>
    </row>
    <row r="13" spans="1:14">
      <c r="A13" s="23">
        <v>10</v>
      </c>
      <c r="B13" s="24">
        <v>46244</v>
      </c>
      <c r="C13" s="14"/>
      <c r="D13" s="14"/>
      <c r="E13" s="83"/>
      <c r="F13" s="83"/>
      <c r="G13" s="14">
        <f>E13*F13</f>
        <v>0</v>
      </c>
      <c r="H13" s="83"/>
      <c r="I13" s="83"/>
      <c r="J13" s="14">
        <f t="shared" si="5"/>
        <v>0</v>
      </c>
      <c r="K13" s="14">
        <f t="shared" si="6"/>
        <v>0</v>
      </c>
      <c r="L13" s="14"/>
      <c r="M13" s="37">
        <f t="shared" si="3"/>
        <v>956.36000000000058</v>
      </c>
      <c r="N13" s="41"/>
    </row>
    <row r="14" spans="1:14">
      <c r="A14" s="23">
        <v>11</v>
      </c>
      <c r="B14" s="24">
        <v>46245</v>
      </c>
      <c r="C14" s="14"/>
      <c r="D14" s="14"/>
      <c r="E14" s="83"/>
      <c r="F14" s="83"/>
      <c r="G14" s="14">
        <f>E14*F14</f>
        <v>0</v>
      </c>
      <c r="H14" s="83"/>
      <c r="I14" s="83"/>
      <c r="J14" s="14">
        <f t="shared" si="5"/>
        <v>0</v>
      </c>
      <c r="K14" s="14">
        <f t="shared" si="6"/>
        <v>0</v>
      </c>
      <c r="L14" s="14"/>
      <c r="M14" s="37">
        <f t="shared" si="3"/>
        <v>956.36000000000058</v>
      </c>
      <c r="N14" s="41"/>
    </row>
    <row r="15" spans="1:14">
      <c r="A15" s="23">
        <v>12</v>
      </c>
      <c r="B15" s="24">
        <v>46246</v>
      </c>
      <c r="C15" s="14"/>
      <c r="D15" s="14"/>
      <c r="E15" s="83"/>
      <c r="F15" s="83"/>
      <c r="G15" s="14">
        <f>E15*F15</f>
        <v>0</v>
      </c>
      <c r="H15" s="83">
        <v>25</v>
      </c>
      <c r="I15" s="83">
        <v>112.06</v>
      </c>
      <c r="J15" s="14">
        <f t="shared" si="5"/>
        <v>2801.5</v>
      </c>
      <c r="K15" s="14">
        <f t="shared" si="6"/>
        <v>2801.5</v>
      </c>
      <c r="L15" s="14"/>
      <c r="M15" s="37">
        <f t="shared" si="3"/>
        <v>3757.8600000000006</v>
      </c>
      <c r="N15" s="41"/>
    </row>
    <row r="16" spans="1:14">
      <c r="A16" s="23">
        <v>13</v>
      </c>
      <c r="B16" s="24">
        <v>46247</v>
      </c>
      <c r="C16" s="14"/>
      <c r="D16" s="14"/>
      <c r="E16" s="83"/>
      <c r="F16" s="83"/>
      <c r="G16" s="14">
        <f>E16*F16</f>
        <v>0</v>
      </c>
      <c r="H16" s="83"/>
      <c r="I16" s="83"/>
      <c r="J16" s="14">
        <f t="shared" si="5"/>
        <v>0</v>
      </c>
      <c r="K16" s="14">
        <f t="shared" si="6"/>
        <v>0</v>
      </c>
      <c r="L16" s="14"/>
      <c r="M16" s="37">
        <f t="shared" si="3"/>
        <v>3757.8600000000006</v>
      </c>
      <c r="N16" s="41"/>
    </row>
    <row r="17" spans="1:14">
      <c r="A17" s="23">
        <v>14</v>
      </c>
      <c r="B17" s="24">
        <v>46248</v>
      </c>
      <c r="C17" s="14"/>
      <c r="D17" s="14"/>
      <c r="E17" s="83"/>
      <c r="F17" s="83"/>
      <c r="G17" s="14">
        <f>E17*F17</f>
        <v>0</v>
      </c>
      <c r="H17" s="83"/>
      <c r="I17" s="83"/>
      <c r="J17" s="14">
        <f t="shared" si="5"/>
        <v>0</v>
      </c>
      <c r="K17" s="14">
        <f t="shared" si="6"/>
        <v>0</v>
      </c>
      <c r="L17" s="14"/>
      <c r="M17" s="37">
        <f t="shared" si="3"/>
        <v>3757.8600000000006</v>
      </c>
      <c r="N17" s="41"/>
    </row>
    <row r="18" spans="1:14">
      <c r="A18" s="23">
        <v>15</v>
      </c>
      <c r="B18" s="24">
        <v>46249</v>
      </c>
      <c r="C18" s="14"/>
      <c r="D18" s="14"/>
      <c r="E18" s="83"/>
      <c r="F18" s="83"/>
      <c r="G18" s="14">
        <f>E18*F18</f>
        <v>0</v>
      </c>
      <c r="H18" s="83"/>
      <c r="I18" s="83"/>
      <c r="J18" s="14">
        <f t="shared" si="5"/>
        <v>0</v>
      </c>
      <c r="K18" s="14">
        <f t="shared" si="6"/>
        <v>0</v>
      </c>
      <c r="L18" s="14"/>
      <c r="M18" s="37">
        <f t="shared" si="3"/>
        <v>3757.8600000000006</v>
      </c>
      <c r="N18" s="41"/>
    </row>
    <row r="19" spans="1:14">
      <c r="A19" s="23">
        <v>16</v>
      </c>
      <c r="B19" s="24">
        <v>46250</v>
      </c>
      <c r="C19" s="14"/>
      <c r="D19" s="14"/>
      <c r="E19" s="83"/>
      <c r="F19" s="83"/>
      <c r="G19" s="14">
        <f>E19*F19</f>
        <v>0</v>
      </c>
      <c r="H19" s="83"/>
      <c r="I19" s="83"/>
      <c r="J19" s="14">
        <f t="shared" si="5"/>
        <v>0</v>
      </c>
      <c r="K19" s="14">
        <f t="shared" si="6"/>
        <v>0</v>
      </c>
      <c r="L19" s="14"/>
      <c r="M19" s="37">
        <f t="shared" si="3"/>
        <v>3757.8600000000006</v>
      </c>
      <c r="N19" s="41"/>
    </row>
    <row r="20" spans="1:14">
      <c r="A20" s="23">
        <v>17</v>
      </c>
      <c r="B20" s="24">
        <v>46251</v>
      </c>
      <c r="C20" s="14"/>
      <c r="D20" s="14"/>
      <c r="E20" s="83"/>
      <c r="F20" s="83"/>
      <c r="G20" s="14">
        <f>E20*F20</f>
        <v>0</v>
      </c>
      <c r="H20" s="83"/>
      <c r="I20" s="83"/>
      <c r="J20" s="14">
        <f t="shared" si="5"/>
        <v>0</v>
      </c>
      <c r="K20" s="14">
        <f t="shared" si="6"/>
        <v>0</v>
      </c>
      <c r="L20" s="14"/>
      <c r="M20" s="37">
        <f t="shared" si="3"/>
        <v>3757.8600000000006</v>
      </c>
      <c r="N20" s="41"/>
    </row>
    <row r="21" spans="1:14">
      <c r="A21" s="23">
        <v>18</v>
      </c>
      <c r="B21" s="24">
        <v>46252</v>
      </c>
      <c r="C21" s="14"/>
      <c r="D21" s="14"/>
      <c r="E21" s="83">
        <v>200</v>
      </c>
      <c r="F21" s="83">
        <v>100.04</v>
      </c>
      <c r="G21" s="14">
        <f>E21*F21</f>
        <v>20008</v>
      </c>
      <c r="H21" s="83"/>
      <c r="I21" s="83"/>
      <c r="J21" s="14">
        <f t="shared" si="5"/>
        <v>0</v>
      </c>
      <c r="K21" s="14">
        <f t="shared" si="6"/>
        <v>20008</v>
      </c>
      <c r="L21" s="14"/>
      <c r="M21" s="37">
        <f t="shared" si="3"/>
        <v>23765.86</v>
      </c>
      <c r="N21" s="41"/>
    </row>
    <row r="22" spans="1:14">
      <c r="A22" s="23">
        <v>19</v>
      </c>
      <c r="B22" s="24">
        <v>46253</v>
      </c>
      <c r="C22" s="14"/>
      <c r="D22" s="14"/>
      <c r="E22" s="83"/>
      <c r="F22" s="83"/>
      <c r="G22" s="14">
        <f>E22*F22</f>
        <v>0</v>
      </c>
      <c r="H22" s="83"/>
      <c r="I22" s="83"/>
      <c r="J22" s="14">
        <f t="shared" si="5"/>
        <v>0</v>
      </c>
      <c r="K22" s="14">
        <f t="shared" si="6"/>
        <v>0</v>
      </c>
      <c r="L22" s="14"/>
      <c r="M22" s="37">
        <f t="shared" si="3"/>
        <v>23765.86</v>
      </c>
      <c r="N22" s="41"/>
    </row>
    <row r="23" spans="1:14">
      <c r="A23" s="23">
        <v>20</v>
      </c>
      <c r="B23" s="24">
        <v>46254</v>
      </c>
      <c r="C23" s="14"/>
      <c r="D23" s="14"/>
      <c r="E23" s="83"/>
      <c r="F23" s="83"/>
      <c r="G23" s="14">
        <f>E23*F23</f>
        <v>0</v>
      </c>
      <c r="H23" s="83"/>
      <c r="I23" s="83"/>
      <c r="J23" s="14">
        <f t="shared" si="5"/>
        <v>0</v>
      </c>
      <c r="K23" s="14">
        <f t="shared" si="6"/>
        <v>0</v>
      </c>
      <c r="L23" s="14">
        <v>23000</v>
      </c>
      <c r="M23" s="37">
        <f t="shared" si="3"/>
        <v>765.86000000000058</v>
      </c>
      <c r="N23" s="41"/>
    </row>
    <row r="24" spans="1:14">
      <c r="A24" s="23">
        <v>21</v>
      </c>
      <c r="B24" s="24">
        <v>46255</v>
      </c>
      <c r="C24" s="14"/>
      <c r="D24" s="14"/>
      <c r="E24" s="83"/>
      <c r="F24" s="83"/>
      <c r="G24" s="14">
        <f>E24*F24</f>
        <v>0</v>
      </c>
      <c r="H24" s="83"/>
      <c r="I24" s="83"/>
      <c r="J24" s="14">
        <f t="shared" si="5"/>
        <v>0</v>
      </c>
      <c r="K24" s="14">
        <f t="shared" si="6"/>
        <v>0</v>
      </c>
      <c r="L24" s="14"/>
      <c r="M24" s="37">
        <f t="shared" si="3"/>
        <v>765.86000000000058</v>
      </c>
      <c r="N24" s="41"/>
    </row>
    <row r="25" spans="1:14">
      <c r="A25" s="23">
        <v>22</v>
      </c>
      <c r="B25" s="24">
        <v>46256</v>
      </c>
      <c r="C25" s="14"/>
      <c r="D25" s="14"/>
      <c r="E25" s="83"/>
      <c r="F25" s="83"/>
      <c r="G25" s="14">
        <f>E25*F25</f>
        <v>0</v>
      </c>
      <c r="H25" s="83">
        <v>20</v>
      </c>
      <c r="I25" s="83">
        <v>112.06</v>
      </c>
      <c r="J25" s="14">
        <f t="shared" si="5"/>
        <v>2241.1999999999998</v>
      </c>
      <c r="K25" s="14">
        <f t="shared" si="6"/>
        <v>2241.1999999999998</v>
      </c>
      <c r="L25" s="14"/>
      <c r="M25" s="37">
        <f>M24+K25-L25</f>
        <v>3007.0600000000004</v>
      </c>
      <c r="N25" s="41"/>
    </row>
    <row r="26" spans="1:14">
      <c r="A26" s="23">
        <v>23</v>
      </c>
      <c r="B26" s="24">
        <v>46257</v>
      </c>
      <c r="C26" s="14"/>
      <c r="D26" s="14"/>
      <c r="E26" s="83"/>
      <c r="F26" s="83"/>
      <c r="G26" s="14">
        <f>E26*F26</f>
        <v>0</v>
      </c>
      <c r="H26" s="83"/>
      <c r="I26" s="83"/>
      <c r="J26" s="14">
        <f t="shared" si="5"/>
        <v>0</v>
      </c>
      <c r="K26" s="14">
        <f t="shared" si="6"/>
        <v>0</v>
      </c>
      <c r="L26" s="14"/>
      <c r="M26" s="37">
        <f t="shared" si="3"/>
        <v>3007.0600000000004</v>
      </c>
      <c r="N26" s="41"/>
    </row>
    <row r="27" spans="1:14">
      <c r="A27" s="23">
        <v>24</v>
      </c>
      <c r="B27" s="24">
        <v>46258</v>
      </c>
      <c r="C27" s="14"/>
      <c r="D27" s="14"/>
      <c r="E27" s="83"/>
      <c r="F27" s="83"/>
      <c r="G27" s="14">
        <f>E27*F27</f>
        <v>0</v>
      </c>
      <c r="H27" s="83"/>
      <c r="I27" s="83"/>
      <c r="J27" s="14">
        <f t="shared" si="5"/>
        <v>0</v>
      </c>
      <c r="K27" s="14">
        <f t="shared" si="6"/>
        <v>0</v>
      </c>
      <c r="L27" s="14"/>
      <c r="M27" s="37">
        <f t="shared" si="3"/>
        <v>3007.0600000000004</v>
      </c>
      <c r="N27" s="41"/>
    </row>
    <row r="28" spans="1:14">
      <c r="A28" s="23">
        <v>25</v>
      </c>
      <c r="B28" s="24">
        <v>46259</v>
      </c>
      <c r="C28" s="14"/>
      <c r="D28" s="14"/>
      <c r="E28" s="83"/>
      <c r="F28" s="83"/>
      <c r="G28" s="14">
        <f>E28*F28</f>
        <v>0</v>
      </c>
      <c r="H28" s="83"/>
      <c r="I28" s="83"/>
      <c r="J28" s="14">
        <f t="shared" si="5"/>
        <v>0</v>
      </c>
      <c r="K28" s="14">
        <f t="shared" si="6"/>
        <v>0</v>
      </c>
      <c r="L28" s="14"/>
      <c r="M28" s="37">
        <f t="shared" si="3"/>
        <v>3007.0600000000004</v>
      </c>
      <c r="N28" s="41"/>
    </row>
    <row r="29" spans="1:14">
      <c r="A29" s="23">
        <v>26</v>
      </c>
      <c r="B29" s="24">
        <v>46260</v>
      </c>
      <c r="C29" s="14"/>
      <c r="D29" s="14"/>
      <c r="E29" s="83"/>
      <c r="F29" s="83"/>
      <c r="G29" s="14">
        <f>E29*F29</f>
        <v>0</v>
      </c>
      <c r="H29" s="83"/>
      <c r="I29" s="83"/>
      <c r="J29" s="14">
        <f t="shared" si="5"/>
        <v>0</v>
      </c>
      <c r="K29" s="14">
        <f t="shared" si="6"/>
        <v>0</v>
      </c>
      <c r="L29" s="14"/>
      <c r="M29" s="37">
        <f t="shared" si="3"/>
        <v>3007.0600000000004</v>
      </c>
      <c r="N29" s="41"/>
    </row>
    <row r="30" spans="1:14">
      <c r="A30" s="23">
        <v>27</v>
      </c>
      <c r="B30" s="24">
        <v>46261</v>
      </c>
      <c r="C30" s="14"/>
      <c r="D30" s="14"/>
      <c r="E30" s="83"/>
      <c r="F30" s="83"/>
      <c r="G30" s="14">
        <f>E30*F30</f>
        <v>0</v>
      </c>
      <c r="H30" s="83"/>
      <c r="I30" s="83"/>
      <c r="J30" s="14">
        <f t="shared" si="5"/>
        <v>0</v>
      </c>
      <c r="K30" s="14">
        <f t="shared" si="6"/>
        <v>0</v>
      </c>
      <c r="L30" s="14"/>
      <c r="M30" s="37">
        <f t="shared" si="3"/>
        <v>3007.0600000000004</v>
      </c>
      <c r="N30" s="41"/>
    </row>
    <row r="31" spans="1:14">
      <c r="A31" s="23">
        <v>28</v>
      </c>
      <c r="B31" s="24">
        <v>46262</v>
      </c>
      <c r="C31" s="14"/>
      <c r="D31" s="14"/>
      <c r="E31" s="83"/>
      <c r="F31" s="83"/>
      <c r="G31" s="14">
        <f>E31*F31</f>
        <v>0</v>
      </c>
      <c r="H31" s="83"/>
      <c r="I31" s="83"/>
      <c r="J31" s="14">
        <f t="shared" si="5"/>
        <v>0</v>
      </c>
      <c r="K31" s="14">
        <f t="shared" si="6"/>
        <v>0</v>
      </c>
      <c r="L31" s="14"/>
      <c r="M31" s="37">
        <f t="shared" si="3"/>
        <v>3007.0600000000004</v>
      </c>
      <c r="N31" s="41"/>
    </row>
    <row r="32" spans="1:14">
      <c r="A32" s="23">
        <v>29</v>
      </c>
      <c r="B32" s="24">
        <v>46263</v>
      </c>
      <c r="C32" s="14"/>
      <c r="D32" s="14"/>
      <c r="E32" s="83">
        <v>300</v>
      </c>
      <c r="F32" s="83">
        <v>100.04</v>
      </c>
      <c r="G32" s="14">
        <f>E32*F32</f>
        <v>30012.000000000004</v>
      </c>
      <c r="H32" s="83">
        <v>20</v>
      </c>
      <c r="I32" s="83">
        <v>112.06</v>
      </c>
      <c r="J32" s="14">
        <f t="shared" si="5"/>
        <v>2241.1999999999998</v>
      </c>
      <c r="K32" s="14">
        <f t="shared" si="6"/>
        <v>32253.200000000004</v>
      </c>
      <c r="L32" s="14"/>
      <c r="M32" s="37">
        <f t="shared" si="3"/>
        <v>35260.26</v>
      </c>
      <c r="N32" s="41"/>
    </row>
    <row r="33" spans="1:14">
      <c r="A33" s="23">
        <v>30</v>
      </c>
      <c r="B33" s="24">
        <v>46264</v>
      </c>
      <c r="C33" s="14"/>
      <c r="D33" s="14"/>
      <c r="E33" s="83"/>
      <c r="F33" s="83"/>
      <c r="G33" s="14">
        <f>E33*F33</f>
        <v>0</v>
      </c>
      <c r="H33" s="83"/>
      <c r="I33" s="83"/>
      <c r="J33" s="14">
        <f t="shared" si="5"/>
        <v>0</v>
      </c>
      <c r="K33" s="14">
        <f t="shared" si="6"/>
        <v>0</v>
      </c>
      <c r="L33" s="14"/>
      <c r="M33" s="37">
        <f t="shared" si="3"/>
        <v>35260.26</v>
      </c>
      <c r="N33" s="41"/>
    </row>
    <row r="34" spans="1:14">
      <c r="A34" s="23">
        <v>31</v>
      </c>
      <c r="B34" s="24">
        <v>46265</v>
      </c>
      <c r="C34" s="14"/>
      <c r="D34" s="14"/>
      <c r="E34" s="83"/>
      <c r="F34" s="83"/>
      <c r="G34" s="14">
        <f t="shared" ref="G34" si="7">E34*F34</f>
        <v>0</v>
      </c>
      <c r="H34" s="83"/>
      <c r="I34" s="83"/>
      <c r="J34" s="14"/>
      <c r="K34" s="14">
        <f>G34+J34</f>
        <v>0</v>
      </c>
      <c r="L34" s="14"/>
      <c r="M34" s="37">
        <f>M33+K34-L34</f>
        <v>35260.26</v>
      </c>
      <c r="N34" s="41"/>
    </row>
    <row r="35" spans="1:14">
      <c r="A35" s="39"/>
      <c r="B35" s="39"/>
      <c r="C35" s="39"/>
      <c r="D35" s="39"/>
      <c r="E35" s="39">
        <f>SUM(E4:E34)</f>
        <v>900</v>
      </c>
      <c r="F35" s="39"/>
      <c r="G35" s="39">
        <f>SUM(G4:G34)</f>
        <v>90036</v>
      </c>
      <c r="H35" s="39">
        <f>SUM(H4:H34)</f>
        <v>85</v>
      </c>
      <c r="I35" s="39"/>
      <c r="J35" s="39">
        <f>SUM(J4:J34)</f>
        <v>9525.0999999999985</v>
      </c>
      <c r="K35" s="39">
        <f>SUM(K4:K34)</f>
        <v>99561.1</v>
      </c>
      <c r="L35" s="39">
        <f>SUM(L4:L34)</f>
        <v>115000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8"/>
  <sheetViews>
    <sheetView topLeftCell="A22" workbookViewId="0">
      <selection activeCell="L31" sqref="L31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4" max="14" width="24.7109375" bestFit="1" customWidth="1"/>
    <col min="19" max="19" width="9.28515625" bestFit="1" customWidth="1"/>
  </cols>
  <sheetData>
    <row r="1" spans="1:14" ht="15.75">
      <c r="A1" s="581" t="s">
        <v>236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25.5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02" t="s">
        <v>177</v>
      </c>
      <c r="L2" s="102" t="s">
        <v>178</v>
      </c>
      <c r="M2" s="102" t="s">
        <v>195</v>
      </c>
      <c r="N2" s="102" t="s">
        <v>180</v>
      </c>
    </row>
    <row r="3" spans="1:14">
      <c r="A3" s="584" t="s">
        <v>181</v>
      </c>
      <c r="B3" s="584"/>
      <c r="C3" s="584"/>
      <c r="D3" s="584"/>
      <c r="E3" s="584"/>
      <c r="F3" s="584"/>
      <c r="G3" s="584"/>
      <c r="H3" s="584"/>
      <c r="I3" s="584"/>
      <c r="J3" s="584"/>
      <c r="K3" s="92">
        <v>210978.25139999995</v>
      </c>
      <c r="L3" s="528">
        <v>210978.25139999995</v>
      </c>
      <c r="M3" s="92">
        <v>210978.25139999995</v>
      </c>
      <c r="N3" s="14"/>
    </row>
    <row r="4" spans="1:14">
      <c r="A4" s="23">
        <v>1</v>
      </c>
      <c r="B4" s="24">
        <v>46235</v>
      </c>
      <c r="C4" s="14"/>
      <c r="D4" s="14"/>
      <c r="E4" s="367"/>
      <c r="F4" s="367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210978.25139999995</v>
      </c>
      <c r="N4" s="41"/>
    </row>
    <row r="5" spans="1:14">
      <c r="A5" s="23">
        <v>2</v>
      </c>
      <c r="B5" s="24">
        <v>46236</v>
      </c>
      <c r="C5" s="14"/>
      <c r="D5" s="14"/>
      <c r="E5" s="83"/>
      <c r="F5" s="83"/>
      <c r="G5" s="14">
        <f t="shared" ref="G5:G35" si="0">E5*F5</f>
        <v>0</v>
      </c>
      <c r="H5" s="83"/>
      <c r="I5" s="83"/>
      <c r="J5" s="14">
        <f t="shared" ref="J5:J35" si="1">H5*I5</f>
        <v>0</v>
      </c>
      <c r="K5" s="14">
        <f t="shared" ref="K5:L35" si="2">G5+J5</f>
        <v>0</v>
      </c>
      <c r="L5" s="14"/>
      <c r="M5" s="14">
        <f t="shared" ref="M5:M35" si="3">M4+K5-L5</f>
        <v>210978.25139999995</v>
      </c>
      <c r="N5" s="41"/>
    </row>
    <row r="6" spans="1:14">
      <c r="A6" s="23">
        <v>3</v>
      </c>
      <c r="B6" s="24">
        <v>46237</v>
      </c>
      <c r="C6" s="14"/>
      <c r="D6" s="14"/>
      <c r="E6" s="83"/>
      <c r="F6" s="83"/>
      <c r="G6" s="14">
        <f t="shared" si="0"/>
        <v>0</v>
      </c>
      <c r="H6" s="83"/>
      <c r="I6" s="83"/>
      <c r="J6" s="14">
        <f t="shared" si="1"/>
        <v>0</v>
      </c>
      <c r="K6" s="14">
        <f t="shared" si="2"/>
        <v>0</v>
      </c>
      <c r="L6" s="14"/>
      <c r="M6" s="14">
        <f t="shared" si="3"/>
        <v>210978.25139999995</v>
      </c>
      <c r="N6" s="41"/>
    </row>
    <row r="7" spans="1:14">
      <c r="A7" s="23">
        <v>4</v>
      </c>
      <c r="B7" s="24">
        <v>46238</v>
      </c>
      <c r="C7" s="14"/>
      <c r="D7" s="14"/>
      <c r="E7" s="83"/>
      <c r="F7" s="83"/>
      <c r="G7" s="14">
        <f t="shared" si="0"/>
        <v>0</v>
      </c>
      <c r="H7" s="83"/>
      <c r="I7" s="83"/>
      <c r="J7" s="14">
        <f t="shared" si="1"/>
        <v>0</v>
      </c>
      <c r="K7" s="14">
        <f t="shared" si="2"/>
        <v>0</v>
      </c>
      <c r="L7" s="14"/>
      <c r="M7" s="14">
        <f t="shared" si="3"/>
        <v>210978.25139999995</v>
      </c>
      <c r="N7" s="41"/>
    </row>
    <row r="8" spans="1:14">
      <c r="A8" s="23">
        <v>5</v>
      </c>
      <c r="B8" s="24">
        <v>46239</v>
      </c>
      <c r="C8" s="14"/>
      <c r="D8" s="14"/>
      <c r="E8" s="83"/>
      <c r="F8" s="83"/>
      <c r="G8" s="14">
        <f t="shared" si="0"/>
        <v>0</v>
      </c>
      <c r="H8" s="83"/>
      <c r="I8" s="83"/>
      <c r="J8" s="14">
        <f t="shared" si="1"/>
        <v>0</v>
      </c>
      <c r="K8" s="14">
        <f t="shared" si="2"/>
        <v>0</v>
      </c>
      <c r="L8" s="14">
        <v>200000</v>
      </c>
      <c r="M8" s="14">
        <f t="shared" si="3"/>
        <v>10978.25139999995</v>
      </c>
      <c r="N8" s="41"/>
    </row>
    <row r="9" spans="1:14">
      <c r="A9" s="23">
        <v>6</v>
      </c>
      <c r="B9" s="24">
        <v>46240</v>
      </c>
      <c r="C9" s="14"/>
      <c r="D9" s="14"/>
      <c r="E9" s="83">
        <v>600</v>
      </c>
      <c r="F9" s="83">
        <v>100.05</v>
      </c>
      <c r="G9" s="14">
        <f t="shared" si="0"/>
        <v>60030</v>
      </c>
      <c r="H9" s="83">
        <v>35</v>
      </c>
      <c r="I9" s="83">
        <v>112.07</v>
      </c>
      <c r="J9" s="14">
        <f t="shared" si="1"/>
        <v>3922.45</v>
      </c>
      <c r="K9" s="14">
        <f t="shared" si="2"/>
        <v>63952.45</v>
      </c>
      <c r="L9" s="14"/>
      <c r="M9" s="14">
        <f t="shared" si="3"/>
        <v>74930.701399999947</v>
      </c>
      <c r="N9" s="41"/>
    </row>
    <row r="10" spans="1:14">
      <c r="A10" s="23">
        <v>7</v>
      </c>
      <c r="B10" s="24">
        <v>46241</v>
      </c>
      <c r="C10" s="14"/>
      <c r="D10" s="14"/>
      <c r="E10" s="83"/>
      <c r="F10" s="83"/>
      <c r="G10" s="14">
        <f t="shared" si="0"/>
        <v>0</v>
      </c>
      <c r="H10" s="83"/>
      <c r="I10" s="83"/>
      <c r="J10" s="14">
        <f t="shared" si="1"/>
        <v>0</v>
      </c>
      <c r="K10" s="14">
        <f t="shared" si="2"/>
        <v>0</v>
      </c>
      <c r="L10" s="14"/>
      <c r="M10" s="14">
        <f>M9+K10-L10</f>
        <v>74930.701399999947</v>
      </c>
      <c r="N10" s="41"/>
    </row>
    <row r="11" spans="1:14">
      <c r="A11" s="23">
        <v>8</v>
      </c>
      <c r="B11" s="24">
        <v>46242</v>
      </c>
      <c r="C11" s="14"/>
      <c r="D11" s="14"/>
      <c r="E11" s="83"/>
      <c r="F11" s="83"/>
      <c r="G11" s="14">
        <f t="shared" si="0"/>
        <v>0</v>
      </c>
      <c r="H11" s="83"/>
      <c r="I11" s="83"/>
      <c r="J11" s="14">
        <f t="shared" si="1"/>
        <v>0</v>
      </c>
      <c r="K11" s="14">
        <f t="shared" si="2"/>
        <v>0</v>
      </c>
      <c r="L11" s="14"/>
      <c r="M11" s="14">
        <f t="shared" si="3"/>
        <v>74930.701399999947</v>
      </c>
      <c r="N11" s="41"/>
    </row>
    <row r="12" spans="1:14">
      <c r="A12" s="23">
        <v>9</v>
      </c>
      <c r="B12" s="24">
        <v>46243</v>
      </c>
      <c r="C12" s="14"/>
      <c r="D12" s="14"/>
      <c r="E12" s="83">
        <v>600</v>
      </c>
      <c r="F12" s="83">
        <v>100.05</v>
      </c>
      <c r="G12" s="14">
        <f t="shared" si="0"/>
        <v>60030</v>
      </c>
      <c r="H12" s="83"/>
      <c r="I12" s="83"/>
      <c r="J12" s="14">
        <f t="shared" si="1"/>
        <v>0</v>
      </c>
      <c r="K12" s="14">
        <f t="shared" si="2"/>
        <v>60030</v>
      </c>
      <c r="L12" s="14"/>
      <c r="M12" s="14">
        <f t="shared" si="3"/>
        <v>134960.70139999996</v>
      </c>
      <c r="N12" s="41"/>
    </row>
    <row r="13" spans="1:14">
      <c r="A13" s="23">
        <v>10</v>
      </c>
      <c r="B13" s="24">
        <v>46244</v>
      </c>
      <c r="C13" s="14"/>
      <c r="D13" s="14"/>
      <c r="E13" s="83"/>
      <c r="F13" s="83"/>
      <c r="G13" s="14">
        <f t="shared" si="0"/>
        <v>0</v>
      </c>
      <c r="H13" s="83"/>
      <c r="I13" s="83"/>
      <c r="J13" s="14">
        <f t="shared" si="1"/>
        <v>0</v>
      </c>
      <c r="K13" s="14">
        <f t="shared" si="2"/>
        <v>0</v>
      </c>
      <c r="L13" s="14"/>
      <c r="M13" s="14">
        <f t="shared" si="3"/>
        <v>134960.70139999996</v>
      </c>
      <c r="N13" s="41"/>
    </row>
    <row r="14" spans="1:14">
      <c r="A14" s="23">
        <v>11</v>
      </c>
      <c r="B14" s="24">
        <v>46245</v>
      </c>
      <c r="C14" s="14"/>
      <c r="D14" s="14"/>
      <c r="E14" s="83"/>
      <c r="F14" s="83"/>
      <c r="G14" s="14">
        <f t="shared" ref="G14" si="4">E14*F14</f>
        <v>0</v>
      </c>
      <c r="H14" s="83"/>
      <c r="I14" s="83"/>
      <c r="J14" s="14">
        <f t="shared" si="1"/>
        <v>0</v>
      </c>
      <c r="K14" s="14">
        <f t="shared" si="2"/>
        <v>0</v>
      </c>
      <c r="L14" s="14"/>
      <c r="M14" s="14">
        <f t="shared" si="3"/>
        <v>134960.70139999996</v>
      </c>
      <c r="N14" s="41"/>
    </row>
    <row r="15" spans="1:14">
      <c r="A15" s="23">
        <v>12</v>
      </c>
      <c r="B15" s="24">
        <v>46246</v>
      </c>
      <c r="C15" s="14"/>
      <c r="D15" s="14"/>
      <c r="E15" s="83">
        <v>600</v>
      </c>
      <c r="F15" s="83">
        <v>100.05</v>
      </c>
      <c r="G15" s="14">
        <f t="shared" si="0"/>
        <v>60030</v>
      </c>
      <c r="H15" s="83">
        <v>35</v>
      </c>
      <c r="I15" s="83">
        <v>112.07</v>
      </c>
      <c r="J15" s="14">
        <f t="shared" si="1"/>
        <v>3922.45</v>
      </c>
      <c r="K15" s="14">
        <f t="shared" si="2"/>
        <v>63952.45</v>
      </c>
      <c r="L15" s="14"/>
      <c r="M15" s="14">
        <f t="shared" si="3"/>
        <v>198913.15139999997</v>
      </c>
      <c r="N15" s="41"/>
    </row>
    <row r="16" spans="1:14">
      <c r="A16" s="23">
        <v>13</v>
      </c>
      <c r="B16" s="24">
        <v>46247</v>
      </c>
      <c r="C16" s="14"/>
      <c r="D16" s="14"/>
      <c r="E16" s="83"/>
      <c r="F16" s="83"/>
      <c r="G16" s="14">
        <f t="shared" si="0"/>
        <v>0</v>
      </c>
      <c r="H16" s="83"/>
      <c r="I16" s="83"/>
      <c r="J16" s="14">
        <f t="shared" si="1"/>
        <v>0</v>
      </c>
      <c r="K16" s="14">
        <f t="shared" si="2"/>
        <v>0</v>
      </c>
      <c r="L16" s="14"/>
      <c r="M16" s="14">
        <f t="shared" si="3"/>
        <v>198913.15139999997</v>
      </c>
      <c r="N16" s="41"/>
    </row>
    <row r="17" spans="1:14">
      <c r="A17" s="23">
        <v>14</v>
      </c>
      <c r="B17" s="24">
        <v>46248</v>
      </c>
      <c r="C17" s="14"/>
      <c r="D17" s="14"/>
      <c r="E17" s="83"/>
      <c r="F17" s="83"/>
      <c r="G17" s="14">
        <f t="shared" si="0"/>
        <v>0</v>
      </c>
      <c r="H17" s="83"/>
      <c r="I17" s="83"/>
      <c r="J17" s="14">
        <f t="shared" si="1"/>
        <v>0</v>
      </c>
      <c r="K17" s="14">
        <f t="shared" si="2"/>
        <v>0</v>
      </c>
      <c r="L17" s="14"/>
      <c r="M17" s="14">
        <f t="shared" si="3"/>
        <v>198913.15139999997</v>
      </c>
      <c r="N17" s="41"/>
    </row>
    <row r="18" spans="1:14">
      <c r="A18" s="23">
        <v>15</v>
      </c>
      <c r="B18" s="24">
        <v>46249</v>
      </c>
      <c r="C18" s="14"/>
      <c r="D18" s="14"/>
      <c r="E18" s="83"/>
      <c r="F18" s="83"/>
      <c r="G18" s="14">
        <f t="shared" si="0"/>
        <v>0</v>
      </c>
      <c r="H18" s="83"/>
      <c r="I18" s="83"/>
      <c r="J18" s="14">
        <f t="shared" si="1"/>
        <v>0</v>
      </c>
      <c r="K18" s="14">
        <f t="shared" si="2"/>
        <v>0</v>
      </c>
      <c r="L18" s="14"/>
      <c r="M18" s="14">
        <f t="shared" si="3"/>
        <v>198913.15139999997</v>
      </c>
      <c r="N18" s="41"/>
    </row>
    <row r="19" spans="1:14">
      <c r="A19" s="23">
        <v>16</v>
      </c>
      <c r="B19" s="24">
        <v>46250</v>
      </c>
      <c r="C19" s="14"/>
      <c r="D19" s="14"/>
      <c r="E19" s="83"/>
      <c r="F19" s="83"/>
      <c r="G19" s="14">
        <f t="shared" si="0"/>
        <v>0</v>
      </c>
      <c r="H19" s="83"/>
      <c r="I19" s="83"/>
      <c r="J19" s="14">
        <f t="shared" si="1"/>
        <v>0</v>
      </c>
      <c r="K19" s="14">
        <f t="shared" si="2"/>
        <v>0</v>
      </c>
      <c r="L19" s="14"/>
      <c r="M19" s="14">
        <f t="shared" si="3"/>
        <v>198913.15139999997</v>
      </c>
      <c r="N19" s="41"/>
    </row>
    <row r="20" spans="1:14">
      <c r="A20" s="23">
        <v>17</v>
      </c>
      <c r="B20" s="24">
        <v>46251</v>
      </c>
      <c r="C20" s="14"/>
      <c r="D20" s="14"/>
      <c r="E20" s="83"/>
      <c r="F20" s="83"/>
      <c r="G20" s="14">
        <f t="shared" si="0"/>
        <v>0</v>
      </c>
      <c r="H20" s="83"/>
      <c r="I20" s="83"/>
      <c r="J20" s="14">
        <f t="shared" si="1"/>
        <v>0</v>
      </c>
      <c r="K20" s="14">
        <f t="shared" si="2"/>
        <v>0</v>
      </c>
      <c r="L20" s="14"/>
      <c r="M20" s="14">
        <f t="shared" si="3"/>
        <v>198913.15139999997</v>
      </c>
      <c r="N20" s="41"/>
    </row>
    <row r="21" spans="1:14">
      <c r="A21" s="23">
        <v>18</v>
      </c>
      <c r="B21" s="24">
        <v>46252</v>
      </c>
      <c r="C21" s="14"/>
      <c r="D21" s="14"/>
      <c r="E21" s="83"/>
      <c r="F21" s="83"/>
      <c r="G21" s="14">
        <f t="shared" si="0"/>
        <v>0</v>
      </c>
      <c r="H21" s="83"/>
      <c r="I21" s="83"/>
      <c r="J21" s="14">
        <f t="shared" si="1"/>
        <v>0</v>
      </c>
      <c r="K21" s="14">
        <f t="shared" si="2"/>
        <v>0</v>
      </c>
      <c r="L21" s="14"/>
      <c r="M21" s="14">
        <f t="shared" si="3"/>
        <v>198913.15139999997</v>
      </c>
      <c r="N21" s="41"/>
    </row>
    <row r="22" spans="1:14">
      <c r="A22" s="23">
        <v>19</v>
      </c>
      <c r="B22" s="24">
        <v>46253</v>
      </c>
      <c r="C22" s="14"/>
      <c r="D22" s="14"/>
      <c r="E22" s="83"/>
      <c r="F22" s="83"/>
      <c r="G22" s="14">
        <f t="shared" si="0"/>
        <v>0</v>
      </c>
      <c r="H22" s="83"/>
      <c r="I22" s="83"/>
      <c r="J22" s="14">
        <f t="shared" si="1"/>
        <v>0</v>
      </c>
      <c r="K22" s="14">
        <f t="shared" si="2"/>
        <v>0</v>
      </c>
      <c r="L22" s="14"/>
      <c r="M22" s="14">
        <f t="shared" si="3"/>
        <v>198913.15139999997</v>
      </c>
      <c r="N22" s="41"/>
    </row>
    <row r="23" spans="1:14">
      <c r="A23" s="23">
        <v>20</v>
      </c>
      <c r="B23" s="24">
        <v>46254</v>
      </c>
      <c r="C23" s="14"/>
      <c r="D23" s="14"/>
      <c r="E23" s="83">
        <v>600</v>
      </c>
      <c r="F23" s="83">
        <v>100.05</v>
      </c>
      <c r="G23" s="14">
        <f t="shared" si="0"/>
        <v>60030</v>
      </c>
      <c r="H23" s="83">
        <v>70</v>
      </c>
      <c r="I23" s="83">
        <v>112.07</v>
      </c>
      <c r="J23" s="14">
        <f t="shared" si="1"/>
        <v>7844.9</v>
      </c>
      <c r="K23" s="14">
        <f t="shared" si="2"/>
        <v>67874.899999999994</v>
      </c>
      <c r="L23" s="14">
        <v>198900</v>
      </c>
      <c r="M23" s="14">
        <f t="shared" si="3"/>
        <v>67888.051399999997</v>
      </c>
      <c r="N23" s="41"/>
    </row>
    <row r="24" spans="1:14">
      <c r="A24" s="23">
        <v>21</v>
      </c>
      <c r="B24" s="24">
        <v>46255</v>
      </c>
      <c r="C24" s="14"/>
      <c r="D24" s="14"/>
      <c r="E24" s="83"/>
      <c r="F24" s="83"/>
      <c r="G24" s="14"/>
      <c r="H24" s="83"/>
      <c r="I24" s="83"/>
      <c r="J24" s="14"/>
      <c r="K24" s="14"/>
      <c r="L24" s="14"/>
      <c r="M24" s="14">
        <f t="shared" si="3"/>
        <v>67888.051399999997</v>
      </c>
      <c r="N24" s="41"/>
    </row>
    <row r="25" spans="1:14">
      <c r="A25" s="23">
        <v>22</v>
      </c>
      <c r="B25" s="24">
        <v>46256</v>
      </c>
      <c r="C25" s="14"/>
      <c r="D25" s="14"/>
      <c r="E25" s="83"/>
      <c r="F25" s="83"/>
      <c r="G25" s="14">
        <f t="shared" si="0"/>
        <v>0</v>
      </c>
      <c r="H25" s="83"/>
      <c r="I25" s="83"/>
      <c r="J25" s="14">
        <f t="shared" si="1"/>
        <v>0</v>
      </c>
      <c r="K25" s="14">
        <f t="shared" si="2"/>
        <v>0</v>
      </c>
      <c r="L25" s="14"/>
      <c r="M25" s="14">
        <f t="shared" si="3"/>
        <v>67888.051399999997</v>
      </c>
      <c r="N25" s="41"/>
    </row>
    <row r="26" spans="1:14">
      <c r="A26" s="23">
        <v>23</v>
      </c>
      <c r="B26" s="24">
        <v>46257</v>
      </c>
      <c r="C26" s="14"/>
      <c r="D26" s="14"/>
      <c r="E26" s="83"/>
      <c r="F26" s="83"/>
      <c r="G26" s="14">
        <f t="shared" si="0"/>
        <v>0</v>
      </c>
      <c r="H26" s="83"/>
      <c r="I26" s="83"/>
      <c r="J26" s="14">
        <f t="shared" si="1"/>
        <v>0</v>
      </c>
      <c r="K26" s="14">
        <f t="shared" si="2"/>
        <v>0</v>
      </c>
      <c r="L26" s="14"/>
      <c r="M26" s="14">
        <f t="shared" si="3"/>
        <v>67888.051399999997</v>
      </c>
      <c r="N26" s="41"/>
    </row>
    <row r="27" spans="1:14">
      <c r="A27" s="23">
        <v>24</v>
      </c>
      <c r="B27" s="24">
        <v>46258</v>
      </c>
      <c r="C27" s="14"/>
      <c r="D27" s="14"/>
      <c r="E27" s="83"/>
      <c r="F27" s="83"/>
      <c r="G27" s="14">
        <f t="shared" si="0"/>
        <v>0</v>
      </c>
      <c r="H27" s="83"/>
      <c r="I27" s="83"/>
      <c r="J27" s="14">
        <f t="shared" si="1"/>
        <v>0</v>
      </c>
      <c r="K27" s="14">
        <f t="shared" si="2"/>
        <v>0</v>
      </c>
      <c r="L27" s="14"/>
      <c r="M27" s="14">
        <f t="shared" si="3"/>
        <v>67888.051399999997</v>
      </c>
      <c r="N27" s="41"/>
    </row>
    <row r="28" spans="1:14">
      <c r="A28" s="23">
        <v>25</v>
      </c>
      <c r="B28" s="24">
        <v>46259</v>
      </c>
      <c r="C28" s="14"/>
      <c r="D28" s="14"/>
      <c r="E28" s="83"/>
      <c r="F28" s="83"/>
      <c r="G28" s="14">
        <f t="shared" si="0"/>
        <v>0</v>
      </c>
      <c r="H28" s="83"/>
      <c r="I28" s="83"/>
      <c r="J28" s="14">
        <f t="shared" si="1"/>
        <v>0</v>
      </c>
      <c r="K28" s="14">
        <f t="shared" si="2"/>
        <v>0</v>
      </c>
      <c r="L28" s="14"/>
      <c r="M28" s="14">
        <f t="shared" si="3"/>
        <v>67888.051399999997</v>
      </c>
      <c r="N28" s="41"/>
    </row>
    <row r="29" spans="1:14">
      <c r="A29" s="23">
        <v>26</v>
      </c>
      <c r="B29" s="24">
        <v>46260</v>
      </c>
      <c r="C29" s="14"/>
      <c r="D29" s="14"/>
      <c r="E29" s="83">
        <v>600</v>
      </c>
      <c r="F29" s="83">
        <v>100.05</v>
      </c>
      <c r="G29" s="14">
        <f t="shared" si="0"/>
        <v>60030</v>
      </c>
      <c r="H29" s="83">
        <v>35</v>
      </c>
      <c r="I29" s="83">
        <v>112.07</v>
      </c>
      <c r="J29" s="14">
        <f t="shared" si="1"/>
        <v>3922.45</v>
      </c>
      <c r="K29" s="14">
        <f t="shared" si="2"/>
        <v>63952.45</v>
      </c>
      <c r="L29" s="14"/>
      <c r="M29" s="14">
        <f t="shared" si="3"/>
        <v>131840.50140000001</v>
      </c>
      <c r="N29" s="41"/>
    </row>
    <row r="30" spans="1:14">
      <c r="A30" s="23">
        <v>27</v>
      </c>
      <c r="B30" s="24">
        <v>46261</v>
      </c>
      <c r="C30" s="14"/>
      <c r="D30" s="14"/>
      <c r="E30" s="83"/>
      <c r="F30" s="83"/>
      <c r="G30" s="14">
        <f t="shared" si="0"/>
        <v>0</v>
      </c>
      <c r="H30" s="83"/>
      <c r="I30" s="83"/>
      <c r="J30" s="14">
        <f t="shared" si="1"/>
        <v>0</v>
      </c>
      <c r="K30" s="14">
        <f t="shared" si="2"/>
        <v>0</v>
      </c>
      <c r="L30" s="14"/>
      <c r="M30" s="14">
        <f t="shared" si="3"/>
        <v>131840.50140000001</v>
      </c>
      <c r="N30" s="41"/>
    </row>
    <row r="31" spans="1:14">
      <c r="A31" s="23">
        <v>28</v>
      </c>
      <c r="B31" s="24">
        <v>46262</v>
      </c>
      <c r="C31" s="14"/>
      <c r="D31" s="14"/>
      <c r="E31" s="83"/>
      <c r="F31" s="83"/>
      <c r="G31" s="14">
        <f t="shared" si="0"/>
        <v>0</v>
      </c>
      <c r="H31" s="83"/>
      <c r="I31" s="83"/>
      <c r="J31" s="14">
        <f t="shared" si="1"/>
        <v>0</v>
      </c>
      <c r="K31" s="14">
        <f t="shared" si="2"/>
        <v>0</v>
      </c>
      <c r="L31" s="14">
        <v>131840</v>
      </c>
      <c r="M31" s="14">
        <f t="shared" si="3"/>
        <v>0.50140000000828877</v>
      </c>
      <c r="N31" s="41"/>
    </row>
    <row r="32" spans="1:14">
      <c r="A32" s="23">
        <v>29</v>
      </c>
      <c r="B32" s="24">
        <v>46263</v>
      </c>
      <c r="C32" s="14"/>
      <c r="D32" s="14"/>
      <c r="E32" s="83"/>
      <c r="F32" s="83"/>
      <c r="G32" s="14">
        <f t="shared" si="0"/>
        <v>0</v>
      </c>
      <c r="H32" s="83"/>
      <c r="I32" s="83"/>
      <c r="J32" s="14">
        <f t="shared" si="1"/>
        <v>0</v>
      </c>
      <c r="K32" s="14">
        <f t="shared" si="2"/>
        <v>0</v>
      </c>
      <c r="L32" s="14"/>
      <c r="M32" s="14">
        <f t="shared" si="3"/>
        <v>0.50140000000828877</v>
      </c>
      <c r="N32" s="41"/>
    </row>
    <row r="33" spans="1:14">
      <c r="A33" s="23">
        <v>30</v>
      </c>
      <c r="B33" s="24">
        <v>46264</v>
      </c>
      <c r="C33" s="14"/>
      <c r="D33" s="14"/>
      <c r="E33" s="83"/>
      <c r="F33" s="83"/>
      <c r="G33" s="14">
        <f t="shared" si="0"/>
        <v>0</v>
      </c>
      <c r="H33" s="83"/>
      <c r="I33" s="83"/>
      <c r="J33" s="14">
        <f t="shared" si="1"/>
        <v>0</v>
      </c>
      <c r="K33" s="14">
        <f t="shared" si="2"/>
        <v>0</v>
      </c>
      <c r="L33" s="14"/>
      <c r="M33" s="14">
        <f t="shared" si="3"/>
        <v>0.50140000000828877</v>
      </c>
      <c r="N33" s="41"/>
    </row>
    <row r="34" spans="1:14">
      <c r="A34" s="23">
        <v>31</v>
      </c>
      <c r="B34" s="24">
        <v>46265</v>
      </c>
      <c r="C34" s="14"/>
      <c r="D34" s="14"/>
      <c r="E34" s="83"/>
      <c r="F34" s="83"/>
      <c r="G34" s="14">
        <f t="shared" si="0"/>
        <v>0</v>
      </c>
      <c r="H34" s="83"/>
      <c r="I34" s="83"/>
      <c r="J34" s="14">
        <f t="shared" si="1"/>
        <v>0</v>
      </c>
      <c r="K34" s="14">
        <f t="shared" si="2"/>
        <v>0</v>
      </c>
      <c r="L34" s="14"/>
      <c r="M34" s="14">
        <f t="shared" si="3"/>
        <v>0.50140000000828877</v>
      </c>
      <c r="N34" s="41"/>
    </row>
    <row r="35" spans="1:14">
      <c r="A35" s="23">
        <v>32</v>
      </c>
      <c r="B35" s="24"/>
      <c r="C35" s="14"/>
      <c r="D35" s="14"/>
      <c r="E35" s="83"/>
      <c r="F35" s="83"/>
      <c r="G35" s="14">
        <f t="shared" si="0"/>
        <v>0</v>
      </c>
      <c r="H35" s="83"/>
      <c r="I35" s="83"/>
      <c r="J35" s="14">
        <f t="shared" si="1"/>
        <v>0</v>
      </c>
      <c r="K35" s="14">
        <f t="shared" si="2"/>
        <v>0</v>
      </c>
      <c r="L35" s="14"/>
      <c r="M35" s="14">
        <f t="shared" si="3"/>
        <v>0.50140000000828877</v>
      </c>
      <c r="N35" s="41"/>
    </row>
    <row r="36" spans="1:14">
      <c r="A36" s="23"/>
      <c r="B36" s="24"/>
      <c r="C36" s="14"/>
      <c r="D36" s="14"/>
      <c r="E36" s="83"/>
      <c r="F36" s="83"/>
      <c r="G36" s="14"/>
      <c r="H36" s="83"/>
      <c r="I36" s="83"/>
      <c r="J36" s="14"/>
      <c r="K36" s="14"/>
      <c r="L36" s="14"/>
      <c r="M36" s="14"/>
      <c r="N36" s="41"/>
    </row>
    <row r="37" spans="1:14">
      <c r="A37" s="23"/>
      <c r="B37" s="24"/>
      <c r="C37" s="14"/>
      <c r="D37" s="14"/>
      <c r="E37" s="83"/>
      <c r="F37" s="83"/>
      <c r="G37" s="14"/>
      <c r="H37" s="83"/>
      <c r="I37" s="83"/>
      <c r="J37" s="14"/>
      <c r="K37" s="14"/>
      <c r="L37" s="14"/>
      <c r="M37" s="14"/>
      <c r="N37" s="41"/>
    </row>
    <row r="38" spans="1:14">
      <c r="A38" s="39"/>
      <c r="B38" s="39"/>
      <c r="C38" s="39"/>
      <c r="D38" s="39"/>
      <c r="E38" s="39">
        <f>SUM(E4:E35)</f>
        <v>3000</v>
      </c>
      <c r="F38" s="39"/>
      <c r="G38" s="39">
        <f>SUM(G4:G35)</f>
        <v>300150</v>
      </c>
      <c r="H38" s="39">
        <f>SUM(H4:H35)</f>
        <v>175</v>
      </c>
      <c r="I38" s="39"/>
      <c r="J38" s="39">
        <f>SUM(J4:J35)</f>
        <v>19612.25</v>
      </c>
      <c r="K38" s="39">
        <f>SUM(K4:K35)</f>
        <v>319762.25</v>
      </c>
      <c r="L38" s="39">
        <f>SUM(L4:L35)</f>
        <v>530740</v>
      </c>
      <c r="M38" s="39"/>
      <c r="N38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T36"/>
  <sheetViews>
    <sheetView topLeftCell="A6" workbookViewId="0">
      <selection activeCell="L34" sqref="L34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  <col min="14" max="14" width="33.7109375" bestFit="1" customWidth="1"/>
  </cols>
  <sheetData>
    <row r="1" spans="1:14" ht="15.75">
      <c r="A1" s="581" t="s">
        <v>237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27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02" t="s">
        <v>177</v>
      </c>
      <c r="L2" s="102" t="s">
        <v>178</v>
      </c>
      <c r="M2" s="102" t="s">
        <v>195</v>
      </c>
      <c r="N2" s="102" t="s">
        <v>180</v>
      </c>
    </row>
    <row r="3" spans="1:14">
      <c r="A3" s="584" t="s">
        <v>181</v>
      </c>
      <c r="B3" s="584"/>
      <c r="C3" s="584"/>
      <c r="D3" s="584"/>
      <c r="E3" s="584"/>
      <c r="F3" s="584"/>
      <c r="G3" s="584"/>
      <c r="H3" s="584"/>
      <c r="I3" s="584"/>
      <c r="J3" s="584"/>
      <c r="K3" s="92">
        <v>0</v>
      </c>
      <c r="L3" s="92">
        <v>0</v>
      </c>
      <c r="M3" s="92">
        <v>0</v>
      </c>
      <c r="N3" s="14"/>
    </row>
    <row r="4" spans="1:14">
      <c r="A4" s="23">
        <v>1</v>
      </c>
      <c r="B4" s="24">
        <v>46235</v>
      </c>
      <c r="C4" s="14"/>
      <c r="D4" s="14"/>
      <c r="E4" s="83"/>
      <c r="F4" s="83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>
        <f>K4</f>
        <v>0</v>
      </c>
      <c r="M4" s="14">
        <f>M3+K4-L4</f>
        <v>0</v>
      </c>
      <c r="N4" s="41"/>
    </row>
    <row r="5" spans="1:14">
      <c r="A5" s="23">
        <v>2</v>
      </c>
      <c r="B5" s="24">
        <v>46236</v>
      </c>
      <c r="C5" s="14"/>
      <c r="D5" s="14"/>
      <c r="E5" s="83"/>
      <c r="F5" s="83"/>
      <c r="G5" s="14">
        <f t="shared" ref="G5:G34" si="0">E5*F5</f>
        <v>0</v>
      </c>
      <c r="H5" s="83"/>
      <c r="I5" s="83"/>
      <c r="J5" s="14">
        <f t="shared" ref="J5:J34" si="1">H5*I5</f>
        <v>0</v>
      </c>
      <c r="K5" s="14">
        <f>G5+J5</f>
        <v>0</v>
      </c>
      <c r="L5" s="14">
        <f t="shared" ref="L5:L35" si="2">K5</f>
        <v>0</v>
      </c>
      <c r="M5" s="14">
        <f t="shared" ref="M5:M28" si="3">M4+K5-L5</f>
        <v>0</v>
      </c>
      <c r="N5" s="41"/>
    </row>
    <row r="6" spans="1:14">
      <c r="A6" s="23">
        <v>3</v>
      </c>
      <c r="B6" s="24">
        <v>46237</v>
      </c>
      <c r="C6" s="14"/>
      <c r="D6" s="14"/>
      <c r="E6" s="83">
        <v>109.95</v>
      </c>
      <c r="F6" s="83">
        <v>100.05</v>
      </c>
      <c r="G6" s="14">
        <f t="shared" si="0"/>
        <v>11000.497499999999</v>
      </c>
      <c r="H6" s="83">
        <v>6.02</v>
      </c>
      <c r="I6" s="83">
        <v>112.07</v>
      </c>
      <c r="J6" s="14">
        <f t="shared" si="1"/>
        <v>674.66139999999996</v>
      </c>
      <c r="K6" s="14">
        <f t="shared" ref="K6:K35" si="4">G6+J6</f>
        <v>11675.158899999999</v>
      </c>
      <c r="L6" s="14">
        <f t="shared" si="2"/>
        <v>11675.158899999999</v>
      </c>
      <c r="M6" s="14">
        <f t="shared" si="3"/>
        <v>0</v>
      </c>
      <c r="N6" s="41"/>
    </row>
    <row r="7" spans="1:14">
      <c r="A7" s="23">
        <v>4</v>
      </c>
      <c r="B7" s="24">
        <v>46238</v>
      </c>
      <c r="C7" s="14"/>
      <c r="D7" s="14"/>
      <c r="E7" s="83">
        <v>35</v>
      </c>
      <c r="F7" s="83">
        <v>100.05</v>
      </c>
      <c r="G7" s="14">
        <f t="shared" si="0"/>
        <v>3501.75</v>
      </c>
      <c r="H7" s="83"/>
      <c r="I7" s="83"/>
      <c r="J7" s="14">
        <f t="shared" si="1"/>
        <v>0</v>
      </c>
      <c r="K7" s="14">
        <f t="shared" si="4"/>
        <v>3501.75</v>
      </c>
      <c r="L7" s="14">
        <f t="shared" si="2"/>
        <v>3501.75</v>
      </c>
      <c r="M7" s="14">
        <f t="shared" si="3"/>
        <v>0</v>
      </c>
      <c r="N7" s="41"/>
    </row>
    <row r="8" spans="1:14">
      <c r="A8" s="23">
        <v>5</v>
      </c>
      <c r="B8" s="24">
        <v>46239</v>
      </c>
      <c r="C8" s="14"/>
      <c r="D8" s="14"/>
      <c r="E8" s="83">
        <v>35</v>
      </c>
      <c r="F8" s="83">
        <v>100.05</v>
      </c>
      <c r="G8" s="14">
        <f t="shared" si="0"/>
        <v>3501.75</v>
      </c>
      <c r="H8" s="83"/>
      <c r="I8" s="83"/>
      <c r="J8" s="14">
        <f t="shared" si="1"/>
        <v>0</v>
      </c>
      <c r="K8" s="14">
        <f t="shared" si="4"/>
        <v>3501.75</v>
      </c>
      <c r="L8" s="14">
        <f t="shared" si="2"/>
        <v>3501.75</v>
      </c>
      <c r="M8" s="14">
        <f t="shared" si="3"/>
        <v>0</v>
      </c>
      <c r="N8" s="41"/>
    </row>
    <row r="9" spans="1:14">
      <c r="A9" s="23">
        <v>6</v>
      </c>
      <c r="B9" s="24">
        <v>46240</v>
      </c>
      <c r="C9" s="14"/>
      <c r="D9" s="14"/>
      <c r="E9" s="83"/>
      <c r="F9" s="83"/>
      <c r="G9" s="14">
        <f t="shared" si="0"/>
        <v>0</v>
      </c>
      <c r="H9" s="83"/>
      <c r="I9" s="83"/>
      <c r="J9" s="14">
        <f t="shared" si="1"/>
        <v>0</v>
      </c>
      <c r="K9" s="14">
        <f t="shared" si="4"/>
        <v>0</v>
      </c>
      <c r="L9" s="14">
        <f t="shared" si="2"/>
        <v>0</v>
      </c>
      <c r="M9" s="14">
        <f t="shared" si="3"/>
        <v>0</v>
      </c>
      <c r="N9" s="41"/>
    </row>
    <row r="10" spans="1:14">
      <c r="A10" s="23">
        <v>7</v>
      </c>
      <c r="B10" s="24">
        <v>46241</v>
      </c>
      <c r="C10" s="14"/>
      <c r="D10" s="14"/>
      <c r="E10" s="83">
        <v>121.98</v>
      </c>
      <c r="F10" s="83">
        <v>99.202902115100841</v>
      </c>
      <c r="G10" s="14">
        <f t="shared" si="0"/>
        <v>12100.77</v>
      </c>
      <c r="H10" s="83"/>
      <c r="I10" s="83"/>
      <c r="J10" s="14">
        <f t="shared" si="1"/>
        <v>0</v>
      </c>
      <c r="K10" s="14">
        <f t="shared" si="4"/>
        <v>12100.77</v>
      </c>
      <c r="L10" s="14">
        <f t="shared" si="2"/>
        <v>12100.77</v>
      </c>
      <c r="M10" s="14">
        <f t="shared" si="3"/>
        <v>0</v>
      </c>
      <c r="N10" s="41"/>
    </row>
    <row r="11" spans="1:14">
      <c r="A11" s="23">
        <v>8</v>
      </c>
      <c r="B11" s="24">
        <v>46242</v>
      </c>
      <c r="C11" s="14"/>
      <c r="D11" s="14"/>
      <c r="E11" s="83"/>
      <c r="F11" s="83"/>
      <c r="G11" s="14">
        <f t="shared" si="0"/>
        <v>0</v>
      </c>
      <c r="H11" s="83">
        <v>6</v>
      </c>
      <c r="I11" s="83">
        <v>112.07</v>
      </c>
      <c r="J11" s="14">
        <f t="shared" si="1"/>
        <v>672.42</v>
      </c>
      <c r="K11" s="14">
        <f t="shared" si="4"/>
        <v>672.42</v>
      </c>
      <c r="L11" s="14">
        <f t="shared" si="2"/>
        <v>672.42</v>
      </c>
      <c r="M11" s="14">
        <f t="shared" si="3"/>
        <v>0</v>
      </c>
      <c r="N11" s="41"/>
    </row>
    <row r="12" spans="1:14">
      <c r="A12" s="23">
        <v>9</v>
      </c>
      <c r="B12" s="24">
        <v>46243</v>
      </c>
      <c r="C12" s="14"/>
      <c r="D12" s="14"/>
      <c r="E12" s="83"/>
      <c r="F12" s="83"/>
      <c r="G12" s="14">
        <f t="shared" si="0"/>
        <v>0</v>
      </c>
      <c r="H12" s="83"/>
      <c r="I12" s="83"/>
      <c r="J12" s="14">
        <f t="shared" si="1"/>
        <v>0</v>
      </c>
      <c r="K12" s="14">
        <f t="shared" si="4"/>
        <v>0</v>
      </c>
      <c r="L12" s="14">
        <f t="shared" si="2"/>
        <v>0</v>
      </c>
      <c r="M12" s="14">
        <f t="shared" si="3"/>
        <v>0</v>
      </c>
      <c r="N12" s="41"/>
    </row>
    <row r="13" spans="1:14">
      <c r="A13" s="23">
        <v>10</v>
      </c>
      <c r="B13" s="24">
        <v>46244</v>
      </c>
      <c r="C13" s="14"/>
      <c r="D13" s="14"/>
      <c r="E13" s="83"/>
      <c r="F13" s="83"/>
      <c r="G13" s="14">
        <f t="shared" si="0"/>
        <v>0</v>
      </c>
      <c r="H13" s="83"/>
      <c r="I13" s="83"/>
      <c r="J13" s="14">
        <f t="shared" si="1"/>
        <v>0</v>
      </c>
      <c r="K13" s="14">
        <f t="shared" si="4"/>
        <v>0</v>
      </c>
      <c r="L13" s="14">
        <f t="shared" si="2"/>
        <v>0</v>
      </c>
      <c r="M13" s="14">
        <f t="shared" si="3"/>
        <v>0</v>
      </c>
      <c r="N13" s="41"/>
    </row>
    <row r="14" spans="1:14">
      <c r="A14" s="23">
        <v>11</v>
      </c>
      <c r="B14" s="24">
        <v>46245</v>
      </c>
      <c r="C14" s="14"/>
      <c r="D14" s="14"/>
      <c r="E14" s="83"/>
      <c r="F14" s="83"/>
      <c r="G14" s="14">
        <f t="shared" si="0"/>
        <v>0</v>
      </c>
      <c r="H14" s="83"/>
      <c r="I14" s="83"/>
      <c r="J14" s="14">
        <f t="shared" si="1"/>
        <v>0</v>
      </c>
      <c r="K14" s="14">
        <f t="shared" si="4"/>
        <v>0</v>
      </c>
      <c r="L14" s="14">
        <f t="shared" si="2"/>
        <v>0</v>
      </c>
      <c r="M14" s="14">
        <f t="shared" si="3"/>
        <v>0</v>
      </c>
      <c r="N14" s="41"/>
    </row>
    <row r="15" spans="1:14">
      <c r="A15" s="23">
        <v>12</v>
      </c>
      <c r="B15" s="24">
        <v>46246</v>
      </c>
      <c r="C15" s="14"/>
      <c r="D15" s="14"/>
      <c r="E15" s="83">
        <v>68.040000000000006</v>
      </c>
      <c r="F15" s="83">
        <v>100.05</v>
      </c>
      <c r="G15" s="14">
        <f t="shared" si="0"/>
        <v>6807.402</v>
      </c>
      <c r="H15" s="83">
        <v>10</v>
      </c>
      <c r="I15" s="83">
        <v>112.07</v>
      </c>
      <c r="J15" s="14">
        <f t="shared" si="1"/>
        <v>1120.6999999999998</v>
      </c>
      <c r="K15" s="14">
        <f t="shared" si="4"/>
        <v>7928.1019999999999</v>
      </c>
      <c r="L15" s="14">
        <f t="shared" si="2"/>
        <v>7928.1019999999999</v>
      </c>
      <c r="M15" s="14">
        <f t="shared" si="3"/>
        <v>0</v>
      </c>
      <c r="N15" s="41"/>
    </row>
    <row r="16" spans="1:14">
      <c r="A16" s="23">
        <v>13</v>
      </c>
      <c r="B16" s="24">
        <v>46247</v>
      </c>
      <c r="C16" s="14"/>
      <c r="D16" s="14"/>
      <c r="E16" s="83"/>
      <c r="F16" s="83"/>
      <c r="G16" s="14">
        <f t="shared" si="0"/>
        <v>0</v>
      </c>
      <c r="H16" s="83"/>
      <c r="I16" s="83"/>
      <c r="J16" s="14">
        <f t="shared" si="1"/>
        <v>0</v>
      </c>
      <c r="K16" s="14">
        <f t="shared" si="4"/>
        <v>0</v>
      </c>
      <c r="L16" s="14">
        <f t="shared" si="2"/>
        <v>0</v>
      </c>
      <c r="M16" s="14">
        <f t="shared" si="3"/>
        <v>0</v>
      </c>
      <c r="N16" s="41"/>
    </row>
    <row r="17" spans="1:20">
      <c r="A17" s="23">
        <v>14</v>
      </c>
      <c r="B17" s="24">
        <v>46248</v>
      </c>
      <c r="C17" s="14"/>
      <c r="D17" s="14"/>
      <c r="E17" s="83"/>
      <c r="F17" s="83"/>
      <c r="G17" s="14">
        <f t="shared" si="0"/>
        <v>0</v>
      </c>
      <c r="H17" s="83"/>
      <c r="I17" s="83"/>
      <c r="J17" s="14">
        <f t="shared" si="1"/>
        <v>0</v>
      </c>
      <c r="K17" s="14">
        <f t="shared" si="4"/>
        <v>0</v>
      </c>
      <c r="L17" s="14">
        <f t="shared" si="2"/>
        <v>0</v>
      </c>
      <c r="M17" s="14">
        <f t="shared" si="3"/>
        <v>0</v>
      </c>
      <c r="N17" s="41"/>
    </row>
    <row r="18" spans="1:20">
      <c r="A18" s="23">
        <v>15</v>
      </c>
      <c r="B18" s="24">
        <v>46249</v>
      </c>
      <c r="C18" s="14"/>
      <c r="D18" s="14"/>
      <c r="E18" s="83">
        <v>31.26</v>
      </c>
      <c r="F18" s="83">
        <v>100.05</v>
      </c>
      <c r="G18" s="14">
        <f t="shared" si="0"/>
        <v>3127.5630000000001</v>
      </c>
      <c r="H18" s="83"/>
      <c r="I18" s="83"/>
      <c r="J18" s="14">
        <f t="shared" si="1"/>
        <v>0</v>
      </c>
      <c r="K18" s="14">
        <f t="shared" si="4"/>
        <v>3127.5630000000001</v>
      </c>
      <c r="L18" s="14">
        <f t="shared" si="2"/>
        <v>3127.5630000000001</v>
      </c>
      <c r="M18" s="14">
        <f t="shared" si="3"/>
        <v>0</v>
      </c>
      <c r="N18" s="41"/>
    </row>
    <row r="19" spans="1:20">
      <c r="A19" s="23">
        <v>16</v>
      </c>
      <c r="B19" s="24">
        <v>46250</v>
      </c>
      <c r="C19" s="14"/>
      <c r="D19" s="14"/>
      <c r="E19" s="83"/>
      <c r="F19" s="83"/>
      <c r="G19" s="14">
        <f t="shared" si="0"/>
        <v>0</v>
      </c>
      <c r="H19" s="83"/>
      <c r="I19" s="83"/>
      <c r="J19" s="14">
        <f t="shared" si="1"/>
        <v>0</v>
      </c>
      <c r="K19" s="14">
        <f t="shared" si="4"/>
        <v>0</v>
      </c>
      <c r="L19" s="14">
        <f t="shared" si="2"/>
        <v>0</v>
      </c>
      <c r="M19" s="14">
        <f t="shared" si="3"/>
        <v>0</v>
      </c>
      <c r="N19" s="41"/>
    </row>
    <row r="20" spans="1:20">
      <c r="A20" s="23">
        <v>17</v>
      </c>
      <c r="B20" s="24">
        <v>46251</v>
      </c>
      <c r="C20" s="14"/>
      <c r="D20" s="14"/>
      <c r="E20" s="83">
        <v>124.61000000000001</v>
      </c>
      <c r="F20" s="83">
        <v>100.05</v>
      </c>
      <c r="G20" s="14">
        <f t="shared" si="0"/>
        <v>12467.230500000001</v>
      </c>
      <c r="H20" s="83">
        <v>12</v>
      </c>
      <c r="I20" s="83">
        <v>112.07</v>
      </c>
      <c r="J20" s="14">
        <f t="shared" si="1"/>
        <v>1344.84</v>
      </c>
      <c r="K20" s="14">
        <f t="shared" si="4"/>
        <v>13812.070500000002</v>
      </c>
      <c r="L20" s="14">
        <f t="shared" si="2"/>
        <v>13812.070500000002</v>
      </c>
      <c r="M20" s="14">
        <f t="shared" si="3"/>
        <v>0</v>
      </c>
      <c r="N20" s="41"/>
      <c r="T20">
        <v>54.83</v>
      </c>
    </row>
    <row r="21" spans="1:20">
      <c r="A21" s="23">
        <v>18</v>
      </c>
      <c r="B21" s="24">
        <v>46252</v>
      </c>
      <c r="C21" s="14"/>
      <c r="D21" s="14"/>
      <c r="E21" s="83"/>
      <c r="F21" s="83"/>
      <c r="G21" s="14">
        <f t="shared" si="0"/>
        <v>0</v>
      </c>
      <c r="H21" s="83"/>
      <c r="I21" s="83"/>
      <c r="J21" s="14">
        <f t="shared" si="1"/>
        <v>0</v>
      </c>
      <c r="K21" s="14">
        <f t="shared" si="4"/>
        <v>0</v>
      </c>
      <c r="L21" s="14">
        <f t="shared" si="2"/>
        <v>0</v>
      </c>
      <c r="M21" s="14">
        <f t="shared" si="3"/>
        <v>0</v>
      </c>
      <c r="N21" s="41"/>
      <c r="T21">
        <v>0.55000000000000004</v>
      </c>
    </row>
    <row r="22" spans="1:20">
      <c r="A22" s="23">
        <v>19</v>
      </c>
      <c r="B22" s="24">
        <v>46253</v>
      </c>
      <c r="C22" s="14"/>
      <c r="D22" s="14"/>
      <c r="E22" s="83"/>
      <c r="F22" s="83"/>
      <c r="G22" s="14">
        <f t="shared" si="0"/>
        <v>0</v>
      </c>
      <c r="H22" s="83">
        <v>7</v>
      </c>
      <c r="I22" s="83">
        <v>112.07</v>
      </c>
      <c r="J22" s="14">
        <f t="shared" si="1"/>
        <v>784.49</v>
      </c>
      <c r="K22" s="14">
        <f t="shared" si="4"/>
        <v>784.49</v>
      </c>
      <c r="L22" s="14">
        <f t="shared" si="2"/>
        <v>784.49</v>
      </c>
      <c r="M22" s="14">
        <f t="shared" si="3"/>
        <v>0</v>
      </c>
      <c r="N22" s="41"/>
    </row>
    <row r="23" spans="1:20">
      <c r="A23" s="23"/>
      <c r="B23" s="24">
        <v>46254</v>
      </c>
      <c r="C23" s="14"/>
      <c r="D23" s="14"/>
      <c r="E23" s="83"/>
      <c r="F23" s="83"/>
      <c r="G23" s="14">
        <f t="shared" si="0"/>
        <v>0</v>
      </c>
      <c r="H23" s="83"/>
      <c r="I23" s="83"/>
      <c r="J23" s="14"/>
      <c r="K23" s="14">
        <f t="shared" si="4"/>
        <v>0</v>
      </c>
      <c r="L23" s="14">
        <f t="shared" si="2"/>
        <v>0</v>
      </c>
      <c r="M23" s="14"/>
      <c r="N23" s="41"/>
    </row>
    <row r="24" spans="1:20">
      <c r="A24" s="23">
        <v>20</v>
      </c>
      <c r="B24" s="24">
        <v>46255</v>
      </c>
      <c r="C24" s="14"/>
      <c r="D24" s="14"/>
      <c r="E24" s="83"/>
      <c r="F24" s="83"/>
      <c r="G24" s="14">
        <f t="shared" si="0"/>
        <v>0</v>
      </c>
      <c r="H24" s="83"/>
      <c r="I24" s="83"/>
      <c r="J24" s="14">
        <f t="shared" si="1"/>
        <v>0</v>
      </c>
      <c r="K24" s="14">
        <f t="shared" si="4"/>
        <v>0</v>
      </c>
      <c r="L24" s="14">
        <f t="shared" si="2"/>
        <v>0</v>
      </c>
      <c r="M24" s="14">
        <f>M22+K24-L24</f>
        <v>0</v>
      </c>
      <c r="N24" s="41"/>
    </row>
    <row r="25" spans="1:20">
      <c r="A25" s="23">
        <v>21</v>
      </c>
      <c r="B25" s="24">
        <v>46256</v>
      </c>
      <c r="C25" s="14"/>
      <c r="D25" s="14"/>
      <c r="E25" s="83"/>
      <c r="F25" s="83"/>
      <c r="G25" s="14">
        <f t="shared" si="0"/>
        <v>0</v>
      </c>
      <c r="H25" s="83"/>
      <c r="I25" s="83"/>
      <c r="J25" s="14">
        <f t="shared" si="1"/>
        <v>0</v>
      </c>
      <c r="K25" s="14">
        <f t="shared" si="4"/>
        <v>0</v>
      </c>
      <c r="L25" s="14">
        <f t="shared" si="2"/>
        <v>0</v>
      </c>
      <c r="M25" s="14">
        <f t="shared" si="3"/>
        <v>0</v>
      </c>
      <c r="N25" s="41"/>
    </row>
    <row r="26" spans="1:20">
      <c r="A26" s="23">
        <v>22</v>
      </c>
      <c r="B26" s="24">
        <v>46257</v>
      </c>
      <c r="C26" s="14"/>
      <c r="D26" s="14"/>
      <c r="E26" s="83"/>
      <c r="F26" s="83"/>
      <c r="G26" s="14">
        <f t="shared" si="0"/>
        <v>0</v>
      </c>
      <c r="H26" s="83"/>
      <c r="I26" s="83"/>
      <c r="J26" s="14">
        <f t="shared" si="1"/>
        <v>0</v>
      </c>
      <c r="K26" s="14">
        <f t="shared" si="4"/>
        <v>0</v>
      </c>
      <c r="L26" s="14">
        <f t="shared" si="2"/>
        <v>0</v>
      </c>
      <c r="M26" s="14">
        <f t="shared" si="3"/>
        <v>0</v>
      </c>
      <c r="N26" s="41"/>
    </row>
    <row r="27" spans="1:20">
      <c r="A27" s="23">
        <v>23</v>
      </c>
      <c r="B27" s="24">
        <v>46258</v>
      </c>
      <c r="C27" s="14"/>
      <c r="D27" s="14"/>
      <c r="E27" s="83">
        <v>69</v>
      </c>
      <c r="F27" s="83">
        <v>100.05</v>
      </c>
      <c r="G27" s="14">
        <f t="shared" si="0"/>
        <v>6903.45</v>
      </c>
      <c r="H27" s="83"/>
      <c r="I27" s="83"/>
      <c r="J27" s="14">
        <f t="shared" si="1"/>
        <v>0</v>
      </c>
      <c r="K27" s="14">
        <f t="shared" si="4"/>
        <v>6903.45</v>
      </c>
      <c r="L27" s="14">
        <f t="shared" si="2"/>
        <v>6903.45</v>
      </c>
      <c r="M27" s="14">
        <f t="shared" si="3"/>
        <v>0</v>
      </c>
      <c r="N27" s="41"/>
    </row>
    <row r="28" spans="1:20">
      <c r="A28" s="23">
        <v>24</v>
      </c>
      <c r="B28" s="24">
        <v>46259</v>
      </c>
      <c r="C28" s="14"/>
      <c r="D28" s="14"/>
      <c r="E28" s="83"/>
      <c r="F28" s="83"/>
      <c r="G28" s="14">
        <f t="shared" si="0"/>
        <v>0</v>
      </c>
      <c r="H28" s="83"/>
      <c r="I28" s="83"/>
      <c r="J28" s="14">
        <f t="shared" si="1"/>
        <v>0</v>
      </c>
      <c r="K28" s="14">
        <f t="shared" si="4"/>
        <v>0</v>
      </c>
      <c r="L28" s="14">
        <f t="shared" si="2"/>
        <v>0</v>
      </c>
      <c r="M28" s="14">
        <f t="shared" si="3"/>
        <v>0</v>
      </c>
      <c r="N28" s="41"/>
    </row>
    <row r="29" spans="1:20">
      <c r="A29" s="23">
        <v>25</v>
      </c>
      <c r="B29" s="24">
        <v>46260</v>
      </c>
      <c r="C29" s="14"/>
      <c r="D29" s="14"/>
      <c r="E29" s="83"/>
      <c r="F29" s="83"/>
      <c r="G29" s="14">
        <f t="shared" si="0"/>
        <v>0</v>
      </c>
      <c r="H29" s="83"/>
      <c r="I29" s="83"/>
      <c r="J29" s="14">
        <f t="shared" si="1"/>
        <v>0</v>
      </c>
      <c r="K29" s="14">
        <f>G29+J29</f>
        <v>0</v>
      </c>
      <c r="L29" s="14">
        <f t="shared" si="2"/>
        <v>0</v>
      </c>
      <c r="M29" s="14">
        <v>0</v>
      </c>
      <c r="N29" s="41"/>
    </row>
    <row r="30" spans="1:20">
      <c r="A30" s="23">
        <v>26</v>
      </c>
      <c r="B30" s="24">
        <v>46261</v>
      </c>
      <c r="C30" s="14"/>
      <c r="D30" s="14"/>
      <c r="E30" s="83">
        <v>138.15</v>
      </c>
      <c r="F30" s="83">
        <v>100.05</v>
      </c>
      <c r="G30" s="14">
        <f t="shared" si="0"/>
        <v>13821.907499999999</v>
      </c>
      <c r="H30" s="83"/>
      <c r="I30" s="83"/>
      <c r="J30" s="14">
        <f t="shared" si="1"/>
        <v>0</v>
      </c>
      <c r="K30" s="14">
        <f t="shared" si="4"/>
        <v>13821.907499999999</v>
      </c>
      <c r="L30" s="14">
        <f t="shared" si="2"/>
        <v>13821.907499999999</v>
      </c>
      <c r="M30" s="14">
        <v>0</v>
      </c>
      <c r="N30" s="41"/>
    </row>
    <row r="31" spans="1:20">
      <c r="A31" s="23">
        <v>27</v>
      </c>
      <c r="B31" s="24">
        <v>46262</v>
      </c>
      <c r="C31" s="14"/>
      <c r="D31" s="14"/>
      <c r="E31" s="83"/>
      <c r="F31" s="83"/>
      <c r="G31" s="14">
        <f t="shared" si="0"/>
        <v>0</v>
      </c>
      <c r="H31" s="83"/>
      <c r="I31" s="83"/>
      <c r="J31" s="14">
        <f t="shared" si="1"/>
        <v>0</v>
      </c>
      <c r="K31" s="14">
        <f t="shared" si="4"/>
        <v>0</v>
      </c>
      <c r="L31" s="14">
        <f t="shared" si="2"/>
        <v>0</v>
      </c>
      <c r="M31" s="14">
        <v>0</v>
      </c>
      <c r="N31" s="41"/>
    </row>
    <row r="32" spans="1:20">
      <c r="A32" s="23">
        <v>28</v>
      </c>
      <c r="B32" s="24">
        <v>46263</v>
      </c>
      <c r="C32" s="14"/>
      <c r="D32" s="14"/>
      <c r="E32" s="83"/>
      <c r="F32" s="83"/>
      <c r="G32" s="14">
        <f t="shared" si="0"/>
        <v>0</v>
      </c>
      <c r="H32" s="83"/>
      <c r="I32" s="83"/>
      <c r="J32" s="14">
        <f t="shared" si="1"/>
        <v>0</v>
      </c>
      <c r="K32" s="14">
        <f t="shared" si="4"/>
        <v>0</v>
      </c>
      <c r="L32" s="14">
        <f t="shared" si="2"/>
        <v>0</v>
      </c>
      <c r="M32" s="14">
        <v>0</v>
      </c>
      <c r="N32" s="41"/>
    </row>
    <row r="33" spans="1:14">
      <c r="A33" s="23">
        <v>29</v>
      </c>
      <c r="B33" s="24">
        <v>46264</v>
      </c>
      <c r="C33" s="14"/>
      <c r="D33" s="14"/>
      <c r="E33" s="83"/>
      <c r="F33" s="83"/>
      <c r="G33" s="14">
        <f t="shared" si="0"/>
        <v>0</v>
      </c>
      <c r="H33" s="83"/>
      <c r="I33" s="83"/>
      <c r="J33" s="14">
        <f t="shared" si="1"/>
        <v>0</v>
      </c>
      <c r="K33" s="14">
        <f t="shared" si="4"/>
        <v>0</v>
      </c>
      <c r="L33" s="14">
        <f t="shared" si="2"/>
        <v>0</v>
      </c>
      <c r="M33" s="14"/>
      <c r="N33" s="41"/>
    </row>
    <row r="34" spans="1:14">
      <c r="A34" s="23">
        <v>30</v>
      </c>
      <c r="B34" s="24">
        <v>46265</v>
      </c>
      <c r="C34" s="14"/>
      <c r="D34" s="14"/>
      <c r="E34" s="83">
        <v>3</v>
      </c>
      <c r="F34" s="83">
        <v>100.05</v>
      </c>
      <c r="G34" s="14">
        <f t="shared" si="0"/>
        <v>300.14999999999998</v>
      </c>
      <c r="H34" s="83"/>
      <c r="I34" s="83"/>
      <c r="J34" s="14">
        <f t="shared" si="1"/>
        <v>0</v>
      </c>
      <c r="K34" s="14">
        <f t="shared" si="4"/>
        <v>300.14999999999998</v>
      </c>
      <c r="L34" s="14">
        <f t="shared" si="2"/>
        <v>300.14999999999998</v>
      </c>
      <c r="M34" s="14"/>
      <c r="N34" s="41"/>
    </row>
    <row r="35" spans="1:14">
      <c r="A35" s="23">
        <v>31</v>
      </c>
      <c r="B35" s="24"/>
      <c r="C35" s="14"/>
      <c r="D35" s="14"/>
      <c r="E35" s="83"/>
      <c r="F35" s="83"/>
      <c r="G35" s="14">
        <f t="shared" ref="G5:G35" si="5">E35*F35</f>
        <v>0</v>
      </c>
      <c r="H35" s="83"/>
      <c r="I35" s="83"/>
      <c r="J35" s="14">
        <f t="shared" ref="J5:J35" si="6">H35*I35</f>
        <v>0</v>
      </c>
      <c r="K35" s="14">
        <f t="shared" si="4"/>
        <v>0</v>
      </c>
      <c r="L35" s="14">
        <f t="shared" si="2"/>
        <v>0</v>
      </c>
      <c r="M35" s="14"/>
      <c r="N35" s="41"/>
    </row>
    <row r="36" spans="1:14">
      <c r="A36" s="39"/>
      <c r="B36" s="39"/>
      <c r="C36" s="39"/>
      <c r="D36" s="39"/>
      <c r="E36" s="39">
        <f>SUM(E4:E35)</f>
        <v>735.99</v>
      </c>
      <c r="F36" s="39"/>
      <c r="G36" s="39">
        <f>SUM(G4:G35)</f>
        <v>73532.470499999996</v>
      </c>
      <c r="H36" s="39">
        <f>SUM(H4:H35)</f>
        <v>41.019999999999996</v>
      </c>
      <c r="I36" s="39"/>
      <c r="J36" s="39">
        <f>SUM(J4:J35)</f>
        <v>4597.1113999999998</v>
      </c>
      <c r="K36" s="39">
        <f>SUM(K4:K35)</f>
        <v>78129.58189999999</v>
      </c>
      <c r="L36" s="39">
        <f>SUM(L4:L35)</f>
        <v>78129.58189999999</v>
      </c>
      <c r="M36" s="39"/>
      <c r="N36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5" workbookViewId="0">
      <selection activeCell="L32" sqref="L32"/>
    </sheetView>
  </sheetViews>
  <sheetFormatPr defaultRowHeight="15"/>
  <cols>
    <col min="2" max="2" width="10.140625" bestFit="1" customWidth="1"/>
    <col min="9" max="9" width="12" customWidth="1"/>
    <col min="10" max="10" width="11" customWidth="1"/>
    <col min="11" max="11" width="11.28515625" customWidth="1"/>
    <col min="12" max="12" width="11.42578125" customWidth="1"/>
  </cols>
  <sheetData>
    <row r="1" spans="1:14" ht="15.75">
      <c r="A1" s="581" t="s">
        <v>117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27">
      <c r="A2" s="100" t="s">
        <v>0</v>
      </c>
      <c r="B2" s="102" t="s">
        <v>170</v>
      </c>
      <c r="C2" s="102" t="s">
        <v>171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2" t="s">
        <v>176</v>
      </c>
      <c r="I2" s="102" t="s">
        <v>174</v>
      </c>
      <c r="J2" s="102" t="s">
        <v>175</v>
      </c>
      <c r="K2" s="102" t="s">
        <v>177</v>
      </c>
      <c r="L2" s="102" t="s">
        <v>178</v>
      </c>
      <c r="M2" s="102" t="s">
        <v>195</v>
      </c>
      <c r="N2" s="102" t="s">
        <v>180</v>
      </c>
    </row>
    <row r="3" spans="1:14">
      <c r="A3" s="584" t="s">
        <v>181</v>
      </c>
      <c r="B3" s="584"/>
      <c r="C3" s="584"/>
      <c r="D3" s="584"/>
      <c r="E3" s="584"/>
      <c r="F3" s="584"/>
      <c r="G3" s="584"/>
      <c r="H3" s="584"/>
      <c r="I3" s="584"/>
      <c r="J3" s="584"/>
      <c r="K3" s="92">
        <v>0</v>
      </c>
      <c r="L3" s="92">
        <v>0</v>
      </c>
      <c r="M3" s="92">
        <f>+K3</f>
        <v>0</v>
      </c>
      <c r="N3" s="14"/>
    </row>
    <row r="4" spans="1:14">
      <c r="A4" s="23">
        <v>1</v>
      </c>
      <c r="B4" s="24">
        <v>46235</v>
      </c>
      <c r="C4" s="14"/>
      <c r="D4" s="14"/>
      <c r="E4" s="14"/>
      <c r="F4" s="371"/>
      <c r="G4" s="14">
        <f>E4*F4</f>
        <v>0</v>
      </c>
      <c r="H4" s="83"/>
      <c r="I4" s="83"/>
      <c r="J4" s="14">
        <f>H4*I4</f>
        <v>0</v>
      </c>
      <c r="K4" s="323">
        <f>G4+J4</f>
        <v>0</v>
      </c>
      <c r="L4" s="323">
        <f>K4</f>
        <v>0</v>
      </c>
      <c r="M4" s="14">
        <f>M3+K4-L4</f>
        <v>0</v>
      </c>
      <c r="N4" s="41"/>
    </row>
    <row r="5" spans="1:14">
      <c r="A5" s="23">
        <v>2</v>
      </c>
      <c r="B5" s="24">
        <v>46236</v>
      </c>
      <c r="C5" s="14"/>
      <c r="D5" s="14"/>
      <c r="E5" s="371"/>
      <c r="F5" s="371"/>
      <c r="G5" s="14">
        <f t="shared" ref="G5:G34" si="0">E5*F5</f>
        <v>0</v>
      </c>
      <c r="H5" s="83"/>
      <c r="I5" s="83"/>
      <c r="J5" s="14">
        <f t="shared" ref="J5:J33" si="1">H5*I5</f>
        <v>0</v>
      </c>
      <c r="K5" s="323">
        <f>G5+J5</f>
        <v>0</v>
      </c>
      <c r="L5" s="323">
        <f t="shared" ref="L5:L34" si="2">K5</f>
        <v>0</v>
      </c>
      <c r="M5" s="14">
        <f t="shared" ref="M5:M27" si="3">M4+K5-L5</f>
        <v>0</v>
      </c>
      <c r="N5" s="41"/>
    </row>
    <row r="6" spans="1:14">
      <c r="A6" s="23">
        <v>3</v>
      </c>
      <c r="B6" s="24">
        <v>46237</v>
      </c>
      <c r="C6" s="14"/>
      <c r="D6" s="14"/>
      <c r="E6" s="83"/>
      <c r="F6" s="83"/>
      <c r="G6" s="14">
        <f t="shared" ref="G6:G34" si="4">E6*F6</f>
        <v>0</v>
      </c>
      <c r="H6" s="83"/>
      <c r="I6" s="83"/>
      <c r="J6" s="14">
        <f t="shared" ref="J6:J34" si="5">H6*I6</f>
        <v>0</v>
      </c>
      <c r="K6" s="323">
        <f t="shared" ref="K6:K34" si="6">G6+J6</f>
        <v>0</v>
      </c>
      <c r="L6" s="323">
        <f t="shared" si="2"/>
        <v>0</v>
      </c>
      <c r="M6" s="14">
        <f t="shared" si="3"/>
        <v>0</v>
      </c>
      <c r="N6" s="41"/>
    </row>
    <row r="7" spans="1:14">
      <c r="A7" s="23">
        <v>4</v>
      </c>
      <c r="B7" s="24">
        <v>46238</v>
      </c>
      <c r="C7" s="14"/>
      <c r="D7" s="14"/>
      <c r="E7" s="83">
        <v>200</v>
      </c>
      <c r="F7" s="83">
        <v>99.9</v>
      </c>
      <c r="G7" s="14">
        <f t="shared" si="4"/>
        <v>19980</v>
      </c>
      <c r="H7" s="83"/>
      <c r="I7" s="83"/>
      <c r="J7" s="14">
        <f t="shared" si="5"/>
        <v>0</v>
      </c>
      <c r="K7" s="323">
        <f t="shared" si="6"/>
        <v>19980</v>
      </c>
      <c r="L7" s="323">
        <f t="shared" si="2"/>
        <v>19980</v>
      </c>
      <c r="M7" s="14">
        <f t="shared" si="3"/>
        <v>0</v>
      </c>
      <c r="N7" s="41"/>
    </row>
    <row r="8" spans="1:14">
      <c r="A8" s="23">
        <v>5</v>
      </c>
      <c r="B8" s="24">
        <v>46239</v>
      </c>
      <c r="C8" s="14"/>
      <c r="D8" s="14"/>
      <c r="E8" s="371"/>
      <c r="F8" s="371"/>
      <c r="G8" s="14">
        <f t="shared" si="4"/>
        <v>0</v>
      </c>
      <c r="H8" s="83"/>
      <c r="I8" s="83"/>
      <c r="J8" s="14">
        <f t="shared" si="5"/>
        <v>0</v>
      </c>
      <c r="K8" s="323">
        <f t="shared" si="6"/>
        <v>0</v>
      </c>
      <c r="L8" s="323">
        <f t="shared" si="2"/>
        <v>0</v>
      </c>
      <c r="M8" s="14">
        <f t="shared" si="3"/>
        <v>0</v>
      </c>
      <c r="N8" s="41"/>
    </row>
    <row r="9" spans="1:14">
      <c r="A9" s="23">
        <v>6</v>
      </c>
      <c r="B9" s="24">
        <v>46240</v>
      </c>
      <c r="C9" s="14"/>
      <c r="D9" s="14"/>
      <c r="E9" s="83"/>
      <c r="F9" s="83"/>
      <c r="G9" s="14">
        <f t="shared" si="4"/>
        <v>0</v>
      </c>
      <c r="H9" s="83"/>
      <c r="I9" s="83"/>
      <c r="J9" s="14">
        <f t="shared" si="5"/>
        <v>0</v>
      </c>
      <c r="K9" s="323">
        <f t="shared" si="6"/>
        <v>0</v>
      </c>
      <c r="L9" s="323">
        <f t="shared" si="2"/>
        <v>0</v>
      </c>
      <c r="M9" s="14">
        <f t="shared" si="3"/>
        <v>0</v>
      </c>
      <c r="N9" s="41"/>
    </row>
    <row r="10" spans="1:14">
      <c r="A10" s="23">
        <v>7</v>
      </c>
      <c r="B10" s="24">
        <v>46241</v>
      </c>
      <c r="C10" s="14"/>
      <c r="D10" s="14"/>
      <c r="E10" s="83"/>
      <c r="F10" s="83"/>
      <c r="G10" s="14">
        <f t="shared" si="4"/>
        <v>0</v>
      </c>
      <c r="H10" s="83"/>
      <c r="I10" s="83"/>
      <c r="J10" s="14">
        <f t="shared" si="5"/>
        <v>0</v>
      </c>
      <c r="K10" s="323">
        <f t="shared" si="6"/>
        <v>0</v>
      </c>
      <c r="L10" s="323">
        <f t="shared" si="2"/>
        <v>0</v>
      </c>
      <c r="M10" s="14">
        <f t="shared" si="3"/>
        <v>0</v>
      </c>
      <c r="N10" s="41"/>
    </row>
    <row r="11" spans="1:14">
      <c r="A11" s="23">
        <v>8</v>
      </c>
      <c r="B11" s="24">
        <v>46242</v>
      </c>
      <c r="C11" s="14"/>
      <c r="D11" s="14"/>
      <c r="E11" s="83"/>
      <c r="F11" s="83"/>
      <c r="G11" s="14">
        <f t="shared" si="4"/>
        <v>0</v>
      </c>
      <c r="H11" s="83"/>
      <c r="I11" s="83"/>
      <c r="J11" s="14">
        <f t="shared" si="5"/>
        <v>0</v>
      </c>
      <c r="K11" s="323">
        <f t="shared" si="6"/>
        <v>0</v>
      </c>
      <c r="L11" s="323">
        <f t="shared" si="2"/>
        <v>0</v>
      </c>
      <c r="M11" s="14">
        <f t="shared" si="3"/>
        <v>0</v>
      </c>
      <c r="N11" s="41"/>
    </row>
    <row r="12" spans="1:14">
      <c r="A12" s="23">
        <v>9</v>
      </c>
      <c r="B12" s="24">
        <v>46243</v>
      </c>
      <c r="C12" s="14"/>
      <c r="D12" s="14"/>
      <c r="E12" s="83"/>
      <c r="F12" s="83"/>
      <c r="G12" s="14">
        <f t="shared" si="4"/>
        <v>0</v>
      </c>
      <c r="H12" s="83"/>
      <c r="I12" s="83"/>
      <c r="J12" s="14">
        <f t="shared" si="5"/>
        <v>0</v>
      </c>
      <c r="K12" s="323">
        <f t="shared" si="6"/>
        <v>0</v>
      </c>
      <c r="L12" s="323">
        <f t="shared" si="2"/>
        <v>0</v>
      </c>
      <c r="M12" s="14">
        <f t="shared" si="3"/>
        <v>0</v>
      </c>
      <c r="N12" s="41"/>
    </row>
    <row r="13" spans="1:14">
      <c r="A13" s="23">
        <v>10</v>
      </c>
      <c r="B13" s="24">
        <v>46244</v>
      </c>
      <c r="C13" s="14"/>
      <c r="D13" s="14"/>
      <c r="E13" s="83"/>
      <c r="F13" s="83"/>
      <c r="G13" s="14">
        <f t="shared" si="4"/>
        <v>0</v>
      </c>
      <c r="H13" s="83"/>
      <c r="I13" s="83"/>
      <c r="J13" s="14">
        <f t="shared" si="5"/>
        <v>0</v>
      </c>
      <c r="K13" s="323">
        <f t="shared" si="6"/>
        <v>0</v>
      </c>
      <c r="L13" s="323">
        <f t="shared" si="2"/>
        <v>0</v>
      </c>
      <c r="M13" s="14">
        <f t="shared" si="3"/>
        <v>0</v>
      </c>
      <c r="N13" s="41"/>
    </row>
    <row r="14" spans="1:14">
      <c r="A14" s="23">
        <v>11</v>
      </c>
      <c r="B14" s="24">
        <v>46245</v>
      </c>
      <c r="C14" s="14"/>
      <c r="D14" s="14"/>
      <c r="E14" s="83">
        <v>100</v>
      </c>
      <c r="F14" s="83">
        <v>99.87</v>
      </c>
      <c r="G14" s="14">
        <f t="shared" si="4"/>
        <v>9987</v>
      </c>
      <c r="H14" s="83">
        <v>17</v>
      </c>
      <c r="I14" s="83">
        <v>112.06</v>
      </c>
      <c r="J14" s="14">
        <f t="shared" si="5"/>
        <v>1905.02</v>
      </c>
      <c r="K14" s="323">
        <f t="shared" si="6"/>
        <v>11892.02</v>
      </c>
      <c r="L14" s="323">
        <f t="shared" si="2"/>
        <v>11892.02</v>
      </c>
      <c r="M14" s="14">
        <f t="shared" si="3"/>
        <v>0</v>
      </c>
      <c r="N14" s="41"/>
    </row>
    <row r="15" spans="1:14">
      <c r="A15" s="23">
        <v>12</v>
      </c>
      <c r="B15" s="24">
        <v>46246</v>
      </c>
      <c r="C15" s="14"/>
      <c r="D15" s="14"/>
      <c r="E15" s="83"/>
      <c r="F15" s="83"/>
      <c r="G15" s="14">
        <f t="shared" si="4"/>
        <v>0</v>
      </c>
      <c r="H15" s="83"/>
      <c r="I15" s="83"/>
      <c r="J15" s="14">
        <f t="shared" si="5"/>
        <v>0</v>
      </c>
      <c r="K15" s="323">
        <f t="shared" si="6"/>
        <v>0</v>
      </c>
      <c r="L15" s="323">
        <f t="shared" si="2"/>
        <v>0</v>
      </c>
      <c r="M15" s="14">
        <f t="shared" si="3"/>
        <v>0</v>
      </c>
      <c r="N15" s="41"/>
    </row>
    <row r="16" spans="1:14">
      <c r="A16" s="23">
        <v>13</v>
      </c>
      <c r="B16" s="24">
        <v>46247</v>
      </c>
      <c r="C16" s="14"/>
      <c r="D16" s="14"/>
      <c r="E16" s="83"/>
      <c r="F16" s="83"/>
      <c r="G16" s="14">
        <f t="shared" si="4"/>
        <v>0</v>
      </c>
      <c r="H16" s="83"/>
      <c r="I16" s="83"/>
      <c r="J16" s="14">
        <f t="shared" si="5"/>
        <v>0</v>
      </c>
      <c r="K16" s="323">
        <f t="shared" si="6"/>
        <v>0</v>
      </c>
      <c r="L16" s="323">
        <f t="shared" si="2"/>
        <v>0</v>
      </c>
      <c r="M16" s="14">
        <f t="shared" si="3"/>
        <v>0</v>
      </c>
      <c r="N16" s="41"/>
    </row>
    <row r="17" spans="1:14">
      <c r="A17" s="23">
        <v>14</v>
      </c>
      <c r="B17" s="24">
        <v>46248</v>
      </c>
      <c r="C17" s="14"/>
      <c r="D17" s="14"/>
      <c r="E17" s="83">
        <v>200</v>
      </c>
      <c r="F17" s="83">
        <v>99.87</v>
      </c>
      <c r="G17" s="14">
        <f t="shared" si="4"/>
        <v>19974</v>
      </c>
      <c r="H17" s="83"/>
      <c r="I17" s="83"/>
      <c r="J17" s="14">
        <f t="shared" si="5"/>
        <v>0</v>
      </c>
      <c r="K17" s="323">
        <f t="shared" si="6"/>
        <v>19974</v>
      </c>
      <c r="L17" s="323">
        <f t="shared" si="2"/>
        <v>19974</v>
      </c>
      <c r="M17" s="14">
        <f t="shared" si="3"/>
        <v>0</v>
      </c>
      <c r="N17" s="41"/>
    </row>
    <row r="18" spans="1:14">
      <c r="A18" s="23">
        <v>15</v>
      </c>
      <c r="B18" s="24">
        <v>46249</v>
      </c>
      <c r="C18" s="14"/>
      <c r="D18" s="14"/>
      <c r="E18" s="83"/>
      <c r="F18" s="83"/>
      <c r="G18" s="14">
        <f t="shared" si="4"/>
        <v>0</v>
      </c>
      <c r="H18" s="83"/>
      <c r="I18" s="83"/>
      <c r="J18" s="14">
        <f t="shared" si="5"/>
        <v>0</v>
      </c>
      <c r="K18" s="323">
        <f t="shared" si="6"/>
        <v>0</v>
      </c>
      <c r="L18" s="323">
        <f t="shared" si="2"/>
        <v>0</v>
      </c>
      <c r="M18" s="14">
        <f t="shared" si="3"/>
        <v>0</v>
      </c>
      <c r="N18" s="41"/>
    </row>
    <row r="19" spans="1:14">
      <c r="A19" s="23">
        <v>16</v>
      </c>
      <c r="B19" s="24">
        <v>46250</v>
      </c>
      <c r="C19" s="14"/>
      <c r="D19" s="14"/>
      <c r="E19" s="83"/>
      <c r="F19" s="83"/>
      <c r="G19" s="14">
        <f t="shared" si="4"/>
        <v>0</v>
      </c>
      <c r="H19" s="83"/>
      <c r="I19" s="83"/>
      <c r="J19" s="14">
        <f t="shared" si="5"/>
        <v>0</v>
      </c>
      <c r="K19" s="323">
        <f t="shared" si="6"/>
        <v>0</v>
      </c>
      <c r="L19" s="323">
        <f t="shared" si="2"/>
        <v>0</v>
      </c>
      <c r="M19" s="14">
        <f t="shared" si="3"/>
        <v>0</v>
      </c>
      <c r="N19" s="41"/>
    </row>
    <row r="20" spans="1:14">
      <c r="A20" s="23">
        <v>17</v>
      </c>
      <c r="B20" s="24">
        <v>46251</v>
      </c>
      <c r="C20" s="14"/>
      <c r="D20" s="14"/>
      <c r="E20" s="83"/>
      <c r="F20" s="83"/>
      <c r="G20" s="14">
        <f t="shared" si="4"/>
        <v>0</v>
      </c>
      <c r="H20" s="83"/>
      <c r="I20" s="83"/>
      <c r="J20" s="14">
        <f t="shared" si="5"/>
        <v>0</v>
      </c>
      <c r="K20" s="323">
        <f t="shared" si="6"/>
        <v>0</v>
      </c>
      <c r="L20" s="323">
        <f t="shared" si="2"/>
        <v>0</v>
      </c>
      <c r="M20" s="14">
        <f t="shared" si="3"/>
        <v>0</v>
      </c>
      <c r="N20" s="41"/>
    </row>
    <row r="21" spans="1:14">
      <c r="A21" s="23">
        <v>18</v>
      </c>
      <c r="B21" s="24">
        <v>46252</v>
      </c>
      <c r="C21" s="14"/>
      <c r="D21" s="14"/>
      <c r="E21" s="83"/>
      <c r="F21" s="83"/>
      <c r="G21" s="14">
        <f t="shared" si="4"/>
        <v>0</v>
      </c>
      <c r="H21" s="83"/>
      <c r="I21" s="83"/>
      <c r="J21" s="14">
        <f t="shared" si="5"/>
        <v>0</v>
      </c>
      <c r="K21" s="323">
        <f t="shared" si="6"/>
        <v>0</v>
      </c>
      <c r="L21" s="323">
        <f t="shared" si="2"/>
        <v>0</v>
      </c>
      <c r="M21" s="14">
        <f t="shared" si="3"/>
        <v>0</v>
      </c>
      <c r="N21" s="41"/>
    </row>
    <row r="22" spans="1:14">
      <c r="A22" s="23">
        <v>19</v>
      </c>
      <c r="B22" s="24">
        <v>46253</v>
      </c>
      <c r="C22" s="14"/>
      <c r="D22" s="14"/>
      <c r="E22" s="83"/>
      <c r="F22" s="83"/>
      <c r="G22" s="14">
        <f t="shared" si="4"/>
        <v>0</v>
      </c>
      <c r="H22" s="83">
        <v>26</v>
      </c>
      <c r="I22" s="83">
        <v>112.06</v>
      </c>
      <c r="J22" s="14">
        <f t="shared" si="5"/>
        <v>2913.56</v>
      </c>
      <c r="K22" s="323">
        <f t="shared" si="6"/>
        <v>2913.56</v>
      </c>
      <c r="L22" s="323">
        <f t="shared" si="2"/>
        <v>2913.56</v>
      </c>
      <c r="M22" s="14">
        <f t="shared" si="3"/>
        <v>0</v>
      </c>
      <c r="N22" s="41"/>
    </row>
    <row r="23" spans="1:14">
      <c r="A23" s="23">
        <v>20</v>
      </c>
      <c r="B23" s="24">
        <v>46254</v>
      </c>
      <c r="C23" s="14"/>
      <c r="D23" s="14"/>
      <c r="E23" s="83"/>
      <c r="F23" s="83"/>
      <c r="G23" s="14">
        <f t="shared" si="4"/>
        <v>0</v>
      </c>
      <c r="H23" s="83"/>
      <c r="I23" s="83"/>
      <c r="J23" s="14">
        <f t="shared" si="5"/>
        <v>0</v>
      </c>
      <c r="K23" s="323">
        <f t="shared" si="6"/>
        <v>0</v>
      </c>
      <c r="L23" s="323">
        <f t="shared" si="2"/>
        <v>0</v>
      </c>
      <c r="M23" s="14">
        <f t="shared" si="3"/>
        <v>0</v>
      </c>
      <c r="N23" s="41"/>
    </row>
    <row r="24" spans="1:14">
      <c r="A24" s="23">
        <v>21</v>
      </c>
      <c r="B24" s="24">
        <v>46255</v>
      </c>
      <c r="C24" s="14"/>
      <c r="D24" s="14"/>
      <c r="E24" s="83">
        <v>200</v>
      </c>
      <c r="F24" s="83">
        <v>99.87</v>
      </c>
      <c r="G24" s="14">
        <f t="shared" si="4"/>
        <v>19974</v>
      </c>
      <c r="H24" s="83"/>
      <c r="I24" s="83"/>
      <c r="J24" s="14">
        <f t="shared" si="5"/>
        <v>0</v>
      </c>
      <c r="K24" s="323">
        <f t="shared" si="6"/>
        <v>19974</v>
      </c>
      <c r="L24" s="323">
        <f t="shared" si="2"/>
        <v>19974</v>
      </c>
      <c r="M24" s="14">
        <f t="shared" si="3"/>
        <v>0</v>
      </c>
      <c r="N24" s="41"/>
    </row>
    <row r="25" spans="1:14">
      <c r="A25" s="23">
        <v>22</v>
      </c>
      <c r="B25" s="24">
        <v>46256</v>
      </c>
      <c r="C25" s="14"/>
      <c r="D25" s="14"/>
      <c r="E25" s="83"/>
      <c r="F25" s="83"/>
      <c r="G25" s="14">
        <f t="shared" si="4"/>
        <v>0</v>
      </c>
      <c r="H25" s="83"/>
      <c r="I25" s="83"/>
      <c r="J25" s="14">
        <f t="shared" si="5"/>
        <v>0</v>
      </c>
      <c r="K25" s="323">
        <f t="shared" si="6"/>
        <v>0</v>
      </c>
      <c r="L25" s="323">
        <f t="shared" si="2"/>
        <v>0</v>
      </c>
      <c r="M25" s="14">
        <f t="shared" si="3"/>
        <v>0</v>
      </c>
      <c r="N25" s="41"/>
    </row>
    <row r="26" spans="1:14">
      <c r="A26" s="23">
        <v>23</v>
      </c>
      <c r="B26" s="24">
        <v>46257</v>
      </c>
      <c r="C26" s="14"/>
      <c r="D26" s="14"/>
      <c r="E26" s="83"/>
      <c r="F26" s="83"/>
      <c r="G26" s="14">
        <f t="shared" si="4"/>
        <v>0</v>
      </c>
      <c r="H26" s="83"/>
      <c r="I26" s="83"/>
      <c r="J26" s="14">
        <f t="shared" si="5"/>
        <v>0</v>
      </c>
      <c r="K26" s="323">
        <f t="shared" si="6"/>
        <v>0</v>
      </c>
      <c r="L26" s="323">
        <f t="shared" si="2"/>
        <v>0</v>
      </c>
      <c r="M26" s="14">
        <f t="shared" si="3"/>
        <v>0</v>
      </c>
      <c r="N26" s="41"/>
    </row>
    <row r="27" spans="1:14">
      <c r="A27" s="23">
        <v>24</v>
      </c>
      <c r="B27" s="24">
        <v>46258</v>
      </c>
      <c r="C27" s="14"/>
      <c r="D27" s="14"/>
      <c r="E27" s="83"/>
      <c r="F27" s="83"/>
      <c r="G27" s="14">
        <f t="shared" si="4"/>
        <v>0</v>
      </c>
      <c r="H27" s="83"/>
      <c r="I27" s="83"/>
      <c r="J27" s="14">
        <f t="shared" si="5"/>
        <v>0</v>
      </c>
      <c r="K27" s="323">
        <f t="shared" si="6"/>
        <v>0</v>
      </c>
      <c r="L27" s="323">
        <f t="shared" si="2"/>
        <v>0</v>
      </c>
      <c r="M27" s="14">
        <f t="shared" si="3"/>
        <v>0</v>
      </c>
      <c r="N27" s="41"/>
    </row>
    <row r="28" spans="1:14">
      <c r="A28" s="23">
        <v>25</v>
      </c>
      <c r="B28" s="24">
        <v>46259</v>
      </c>
      <c r="C28" s="14"/>
      <c r="D28" s="14"/>
      <c r="E28" s="83"/>
      <c r="F28" s="83"/>
      <c r="G28" s="14">
        <f t="shared" si="4"/>
        <v>0</v>
      </c>
      <c r="H28" s="83"/>
      <c r="I28" s="83"/>
      <c r="J28" s="14">
        <f t="shared" si="5"/>
        <v>0</v>
      </c>
      <c r="K28" s="323">
        <f>G28+J28</f>
        <v>0</v>
      </c>
      <c r="L28" s="323">
        <f t="shared" si="2"/>
        <v>0</v>
      </c>
      <c r="M28" s="14">
        <v>0</v>
      </c>
      <c r="N28" s="41"/>
    </row>
    <row r="29" spans="1:14">
      <c r="A29" s="23">
        <v>26</v>
      </c>
      <c r="B29" s="24">
        <v>46260</v>
      </c>
      <c r="C29" s="14"/>
      <c r="D29" s="14"/>
      <c r="E29" s="83"/>
      <c r="F29" s="83"/>
      <c r="G29" s="14">
        <f t="shared" si="4"/>
        <v>0</v>
      </c>
      <c r="H29" s="83"/>
      <c r="I29" s="83"/>
      <c r="J29" s="14">
        <f t="shared" si="5"/>
        <v>0</v>
      </c>
      <c r="K29" s="323">
        <f t="shared" si="6"/>
        <v>0</v>
      </c>
      <c r="L29" s="323">
        <f t="shared" si="2"/>
        <v>0</v>
      </c>
      <c r="M29" s="14">
        <v>0</v>
      </c>
      <c r="N29" s="41"/>
    </row>
    <row r="30" spans="1:14">
      <c r="A30" s="23">
        <v>27</v>
      </c>
      <c r="B30" s="24">
        <v>46261</v>
      </c>
      <c r="C30" s="14"/>
      <c r="D30" s="14"/>
      <c r="E30" s="83"/>
      <c r="F30" s="83"/>
      <c r="G30" s="14">
        <f t="shared" si="4"/>
        <v>0</v>
      </c>
      <c r="H30" s="83"/>
      <c r="I30" s="83"/>
      <c r="J30" s="14">
        <f t="shared" si="5"/>
        <v>0</v>
      </c>
      <c r="K30" s="323">
        <f t="shared" si="6"/>
        <v>0</v>
      </c>
      <c r="L30" s="323">
        <f t="shared" si="2"/>
        <v>0</v>
      </c>
      <c r="M30" s="14">
        <v>0</v>
      </c>
      <c r="N30" s="41"/>
    </row>
    <row r="31" spans="1:14">
      <c r="A31" s="23">
        <v>28</v>
      </c>
      <c r="B31" s="24">
        <v>46262</v>
      </c>
      <c r="C31" s="14"/>
      <c r="D31" s="14"/>
      <c r="E31" s="83"/>
      <c r="F31" s="83"/>
      <c r="G31" s="14">
        <f t="shared" si="4"/>
        <v>0</v>
      </c>
      <c r="H31" s="83"/>
      <c r="I31" s="83"/>
      <c r="J31" s="14">
        <f t="shared" si="5"/>
        <v>0</v>
      </c>
      <c r="K31" s="323">
        <f t="shared" si="6"/>
        <v>0</v>
      </c>
      <c r="L31" s="323">
        <f t="shared" si="2"/>
        <v>0</v>
      </c>
      <c r="M31" s="14">
        <v>0</v>
      </c>
      <c r="N31" s="41"/>
    </row>
    <row r="32" spans="1:14">
      <c r="A32" s="23">
        <v>29</v>
      </c>
      <c r="B32" s="24">
        <v>46263</v>
      </c>
      <c r="C32" s="14"/>
      <c r="D32" s="14"/>
      <c r="E32" s="83">
        <v>160</v>
      </c>
      <c r="F32" s="83">
        <v>99.87</v>
      </c>
      <c r="G32" s="14">
        <f t="shared" si="4"/>
        <v>15979.2</v>
      </c>
      <c r="H32" s="83">
        <v>35</v>
      </c>
      <c r="I32" s="83">
        <v>112.06</v>
      </c>
      <c r="J32" s="14">
        <f t="shared" si="5"/>
        <v>3922.1</v>
      </c>
      <c r="K32" s="323">
        <f t="shared" si="6"/>
        <v>19901.3</v>
      </c>
      <c r="L32" s="323">
        <f t="shared" si="2"/>
        <v>19901.3</v>
      </c>
      <c r="M32" s="14"/>
      <c r="N32" s="41"/>
    </row>
    <row r="33" spans="1:14">
      <c r="A33" s="23">
        <v>30</v>
      </c>
      <c r="B33" s="24">
        <v>46264</v>
      </c>
      <c r="C33" s="14"/>
      <c r="D33" s="14"/>
      <c r="E33" s="83"/>
      <c r="F33" s="83"/>
      <c r="G33" s="14">
        <f t="shared" si="4"/>
        <v>0</v>
      </c>
      <c r="H33" s="83"/>
      <c r="I33" s="83"/>
      <c r="J33" s="14">
        <f t="shared" si="5"/>
        <v>0</v>
      </c>
      <c r="K33" s="323">
        <f t="shared" si="6"/>
        <v>0</v>
      </c>
      <c r="L33" s="323">
        <f t="shared" si="2"/>
        <v>0</v>
      </c>
      <c r="M33" s="14"/>
      <c r="N33" s="41"/>
    </row>
    <row r="34" spans="1:14">
      <c r="A34" s="23">
        <v>31</v>
      </c>
      <c r="B34" s="24">
        <v>46265</v>
      </c>
      <c r="C34" s="14"/>
      <c r="D34" s="14"/>
      <c r="E34" s="83"/>
      <c r="F34" s="83"/>
      <c r="G34" s="14">
        <f t="shared" si="4"/>
        <v>0</v>
      </c>
      <c r="H34" s="83"/>
      <c r="I34" s="83"/>
      <c r="J34" s="14">
        <f t="shared" si="5"/>
        <v>0</v>
      </c>
      <c r="K34" s="323">
        <f t="shared" si="6"/>
        <v>0</v>
      </c>
      <c r="L34" s="323">
        <f t="shared" si="2"/>
        <v>0</v>
      </c>
      <c r="M34" s="14"/>
      <c r="N34" s="41"/>
    </row>
    <row r="35" spans="1:14">
      <c r="A35" s="39"/>
      <c r="B35" s="39"/>
      <c r="C35" s="39"/>
      <c r="D35" s="39"/>
      <c r="E35" s="39">
        <f>SUM(E4:E34)</f>
        <v>860</v>
      </c>
      <c r="F35" s="39"/>
      <c r="G35" s="39">
        <f>SUM(G4:G34)</f>
        <v>85894.2</v>
      </c>
      <c r="H35" s="39">
        <f>SUM(H4:H34)</f>
        <v>78</v>
      </c>
      <c r="I35" s="39"/>
      <c r="J35" s="39">
        <f>SUM(J4:J34)</f>
        <v>8740.68</v>
      </c>
      <c r="K35" s="39">
        <f>SUM(K4:K34)</f>
        <v>94634.880000000005</v>
      </c>
      <c r="L35" s="39">
        <f>SUM(L4:L34)</f>
        <v>94634.880000000005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topLeftCell="A20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585" t="s">
        <v>119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</row>
    <row r="2" spans="1:20">
      <c r="A2" s="120" t="s">
        <v>0</v>
      </c>
      <c r="B2" s="120" t="s">
        <v>170</v>
      </c>
      <c r="C2" s="120" t="s">
        <v>171</v>
      </c>
      <c r="D2" s="120" t="s">
        <v>172</v>
      </c>
      <c r="E2" s="168" t="s">
        <v>173</v>
      </c>
      <c r="F2" s="168" t="s">
        <v>174</v>
      </c>
      <c r="G2" s="168" t="s">
        <v>175</v>
      </c>
      <c r="H2" s="168" t="s">
        <v>176</v>
      </c>
      <c r="I2" s="168" t="s">
        <v>174</v>
      </c>
      <c r="J2" s="168" t="s">
        <v>175</v>
      </c>
      <c r="K2" s="168" t="s">
        <v>177</v>
      </c>
      <c r="L2" s="120" t="s">
        <v>238</v>
      </c>
      <c r="M2" s="123" t="s">
        <v>178</v>
      </c>
      <c r="N2" s="120" t="s">
        <v>180</v>
      </c>
    </row>
    <row r="3" spans="1:20">
      <c r="A3" s="14"/>
      <c r="B3" s="14"/>
      <c r="C3" s="14"/>
      <c r="D3" s="14" t="s">
        <v>181</v>
      </c>
      <c r="E3" s="14"/>
      <c r="F3" s="14"/>
      <c r="G3" s="14"/>
      <c r="H3" s="14"/>
      <c r="I3" s="14"/>
      <c r="J3" s="14"/>
      <c r="K3" s="172">
        <v>84731.65889999998</v>
      </c>
      <c r="L3" s="14"/>
      <c r="M3" s="172">
        <v>84731.65889999998</v>
      </c>
      <c r="N3" s="14"/>
    </row>
    <row r="4" spans="1:20">
      <c r="A4" s="23">
        <v>1</v>
      </c>
      <c r="B4" s="24">
        <v>46235</v>
      </c>
      <c r="C4" s="133"/>
      <c r="D4" s="133"/>
      <c r="E4" s="90">
        <v>42.81</v>
      </c>
      <c r="F4" s="90">
        <v>98.69</v>
      </c>
      <c r="G4" s="172">
        <f>E4*F4</f>
        <v>4224.9189000000006</v>
      </c>
      <c r="H4" s="90">
        <v>5</v>
      </c>
      <c r="I4" s="90">
        <v>110.74</v>
      </c>
      <c r="J4" s="172">
        <f>H4*I4</f>
        <v>553.69999999999993</v>
      </c>
      <c r="K4" s="172">
        <f>G4+J4</f>
        <v>4778.6189000000004</v>
      </c>
      <c r="L4" s="172"/>
      <c r="M4" s="172">
        <f>M3+K4-L4</f>
        <v>89510.277799999982</v>
      </c>
      <c r="N4" s="133"/>
    </row>
    <row r="5" spans="1:20">
      <c r="A5" s="23">
        <v>2</v>
      </c>
      <c r="B5" s="24">
        <v>46236</v>
      </c>
      <c r="C5" s="14"/>
      <c r="D5" s="133"/>
      <c r="E5" s="90"/>
      <c r="F5" s="90"/>
      <c r="G5" s="172">
        <f t="shared" ref="G5:G28" si="0">E5*F5</f>
        <v>0</v>
      </c>
      <c r="H5" s="90"/>
      <c r="I5" s="90"/>
      <c r="J5" s="172">
        <f>H5*I5</f>
        <v>0</v>
      </c>
      <c r="K5" s="172">
        <f t="shared" ref="K5:K13" si="1">G5+J5</f>
        <v>0</v>
      </c>
      <c r="L5" s="172"/>
      <c r="M5" s="172">
        <f t="shared" ref="M5:M34" si="2">M4+K5-L5</f>
        <v>89510.277799999982</v>
      </c>
      <c r="N5" s="14"/>
      <c r="S5">
        <v>90.88</v>
      </c>
      <c r="T5">
        <v>102.77</v>
      </c>
    </row>
    <row r="6" spans="1:20">
      <c r="A6" s="23">
        <v>3</v>
      </c>
      <c r="B6" s="24">
        <v>46237</v>
      </c>
      <c r="C6" s="14"/>
      <c r="D6" s="133"/>
      <c r="E6" s="90">
        <v>6</v>
      </c>
      <c r="F6" s="90">
        <v>98.69</v>
      </c>
      <c r="G6" s="172">
        <f t="shared" si="0"/>
        <v>592.14</v>
      </c>
      <c r="H6" s="90">
        <v>10</v>
      </c>
      <c r="I6" s="90">
        <v>110.74</v>
      </c>
      <c r="J6" s="172">
        <f t="shared" ref="J6:J8" si="3">H6*I6</f>
        <v>1107.3999999999999</v>
      </c>
      <c r="K6" s="172">
        <f t="shared" si="1"/>
        <v>1699.54</v>
      </c>
      <c r="L6" s="172"/>
      <c r="M6" s="172">
        <f t="shared" si="2"/>
        <v>91209.817799999975</v>
      </c>
      <c r="N6" s="14"/>
    </row>
    <row r="7" spans="1:20">
      <c r="A7" s="23">
        <v>4</v>
      </c>
      <c r="B7" s="24">
        <v>46238</v>
      </c>
      <c r="C7" s="14"/>
      <c r="D7" s="133"/>
      <c r="E7" s="90"/>
      <c r="F7" s="90"/>
      <c r="G7" s="172">
        <f t="shared" si="0"/>
        <v>0</v>
      </c>
      <c r="H7" s="90"/>
      <c r="I7" s="90"/>
      <c r="J7" s="172">
        <f t="shared" si="3"/>
        <v>0</v>
      </c>
      <c r="K7" s="172">
        <f t="shared" si="1"/>
        <v>0</v>
      </c>
      <c r="L7" s="172"/>
      <c r="M7" s="172">
        <f t="shared" si="2"/>
        <v>91209.817799999975</v>
      </c>
      <c r="N7" s="14"/>
    </row>
    <row r="8" spans="1:20">
      <c r="A8" s="23">
        <v>5</v>
      </c>
      <c r="B8" s="24">
        <v>46239</v>
      </c>
      <c r="C8" s="14"/>
      <c r="D8" s="133"/>
      <c r="E8" s="90">
        <v>34.94</v>
      </c>
      <c r="F8" s="90">
        <v>98.69</v>
      </c>
      <c r="G8" s="172">
        <f t="shared" si="0"/>
        <v>3448.2285999999999</v>
      </c>
      <c r="H8" s="90"/>
      <c r="I8" s="90"/>
      <c r="J8" s="172">
        <f t="shared" si="3"/>
        <v>0</v>
      </c>
      <c r="K8" s="172">
        <f t="shared" si="1"/>
        <v>3448.2285999999999</v>
      </c>
      <c r="L8" s="172">
        <v>81000</v>
      </c>
      <c r="M8" s="172">
        <f t="shared" si="2"/>
        <v>13658.046399999977</v>
      </c>
      <c r="N8" s="14"/>
    </row>
    <row r="9" spans="1:20">
      <c r="A9" s="23">
        <v>6</v>
      </c>
      <c r="B9" s="24">
        <v>46240</v>
      </c>
      <c r="C9" s="14"/>
      <c r="D9" s="133"/>
      <c r="E9" s="90"/>
      <c r="F9" s="90"/>
      <c r="G9" s="172">
        <f t="shared" si="0"/>
        <v>0</v>
      </c>
      <c r="H9" s="90"/>
      <c r="I9" s="90"/>
      <c r="J9" s="172">
        <f>H9*I9</f>
        <v>0</v>
      </c>
      <c r="K9" s="172">
        <f t="shared" si="1"/>
        <v>0</v>
      </c>
      <c r="L9" s="172"/>
      <c r="M9" s="172">
        <f t="shared" si="2"/>
        <v>13658.046399999977</v>
      </c>
      <c r="N9" s="14"/>
    </row>
    <row r="10" spans="1:20">
      <c r="A10" s="23">
        <v>7</v>
      </c>
      <c r="B10" s="24">
        <v>46241</v>
      </c>
      <c r="C10" s="14"/>
      <c r="D10" s="133"/>
      <c r="E10" s="90"/>
      <c r="F10" s="90"/>
      <c r="G10" s="172">
        <f t="shared" si="0"/>
        <v>0</v>
      </c>
      <c r="H10" s="90">
        <v>5</v>
      </c>
      <c r="I10" s="90">
        <v>110.74</v>
      </c>
      <c r="J10" s="172">
        <f t="shared" ref="J10:J16" si="4">H10*I10</f>
        <v>553.69999999999993</v>
      </c>
      <c r="K10" s="172">
        <f t="shared" si="1"/>
        <v>553.69999999999993</v>
      </c>
      <c r="L10" s="172"/>
      <c r="M10" s="172">
        <f t="shared" si="2"/>
        <v>14211.746399999978</v>
      </c>
      <c r="N10" s="14"/>
    </row>
    <row r="11" spans="1:20">
      <c r="A11" s="23">
        <v>8</v>
      </c>
      <c r="B11" s="24">
        <v>46242</v>
      </c>
      <c r="C11" s="14"/>
      <c r="D11" s="133"/>
      <c r="E11" s="90"/>
      <c r="F11" s="90"/>
      <c r="G11" s="172">
        <f t="shared" si="0"/>
        <v>0</v>
      </c>
      <c r="H11" s="90">
        <v>25</v>
      </c>
      <c r="I11" s="90">
        <v>110.74</v>
      </c>
      <c r="J11" s="172">
        <f t="shared" si="4"/>
        <v>2768.5</v>
      </c>
      <c r="K11" s="172">
        <f t="shared" si="1"/>
        <v>2768.5</v>
      </c>
      <c r="L11" s="172"/>
      <c r="M11" s="172">
        <f t="shared" si="2"/>
        <v>16980.246399999978</v>
      </c>
      <c r="N11" s="14"/>
    </row>
    <row r="12" spans="1:20">
      <c r="A12" s="23">
        <v>9</v>
      </c>
      <c r="B12" s="24">
        <v>46243</v>
      </c>
      <c r="C12" s="14"/>
      <c r="D12" s="133"/>
      <c r="E12" s="90">
        <v>44.13</v>
      </c>
      <c r="F12" s="90">
        <v>98.69</v>
      </c>
      <c r="G12" s="172">
        <f t="shared" si="0"/>
        <v>4355.1896999999999</v>
      </c>
      <c r="H12" s="90"/>
      <c r="I12" s="90"/>
      <c r="J12" s="172">
        <f t="shared" si="4"/>
        <v>0</v>
      </c>
      <c r="K12" s="172">
        <f t="shared" si="1"/>
        <v>4355.1896999999999</v>
      </c>
      <c r="L12" s="172"/>
      <c r="M12" s="172">
        <f t="shared" si="2"/>
        <v>21335.436099999977</v>
      </c>
      <c r="N12" s="14"/>
    </row>
    <row r="13" spans="1:20">
      <c r="A13" s="23">
        <v>10</v>
      </c>
      <c r="B13" s="24">
        <v>46244</v>
      </c>
      <c r="C13" s="14"/>
      <c r="D13" s="133"/>
      <c r="E13" s="90"/>
      <c r="F13" s="90"/>
      <c r="G13" s="172">
        <f t="shared" si="0"/>
        <v>0</v>
      </c>
      <c r="H13" s="90"/>
      <c r="I13" s="90"/>
      <c r="J13" s="172">
        <f t="shared" si="4"/>
        <v>0</v>
      </c>
      <c r="K13" s="172">
        <f t="shared" si="1"/>
        <v>0</v>
      </c>
      <c r="L13" s="172"/>
      <c r="M13" s="172">
        <f>M12+K13-L13</f>
        <v>21335.436099999977</v>
      </c>
      <c r="N13" s="14"/>
    </row>
    <row r="14" spans="1:20">
      <c r="A14" s="23">
        <v>11</v>
      </c>
      <c r="B14" s="24">
        <v>46245</v>
      </c>
      <c r="C14" s="14"/>
      <c r="D14" s="133"/>
      <c r="E14" s="90"/>
      <c r="F14" s="90"/>
      <c r="G14" s="172">
        <f t="shared" ref="G14:G20" si="5">E14*F14</f>
        <v>0</v>
      </c>
      <c r="H14" s="90">
        <v>10</v>
      </c>
      <c r="I14" s="90">
        <v>110.74</v>
      </c>
      <c r="J14" s="172">
        <f t="shared" ref="J14:J20" si="6">H14*I14</f>
        <v>1107.3999999999999</v>
      </c>
      <c r="K14" s="172">
        <f t="shared" ref="K14:K20" si="7">G14+J14</f>
        <v>1107.3999999999999</v>
      </c>
      <c r="L14" s="172"/>
      <c r="M14" s="172">
        <f t="shared" si="2"/>
        <v>22442.836099999979</v>
      </c>
      <c r="N14" s="14"/>
    </row>
    <row r="15" spans="1:20">
      <c r="A15" s="23">
        <v>12</v>
      </c>
      <c r="B15" s="24">
        <v>46246</v>
      </c>
      <c r="C15" s="14"/>
      <c r="D15" s="133"/>
      <c r="E15" s="90"/>
      <c r="F15" s="90"/>
      <c r="G15" s="172">
        <f t="shared" si="5"/>
        <v>0</v>
      </c>
      <c r="H15" s="90"/>
      <c r="I15" s="90"/>
      <c r="J15" s="172">
        <f t="shared" si="6"/>
        <v>0</v>
      </c>
      <c r="K15" s="172">
        <f t="shared" si="7"/>
        <v>0</v>
      </c>
      <c r="L15" s="172"/>
      <c r="M15" s="172">
        <f t="shared" si="2"/>
        <v>22442.836099999979</v>
      </c>
      <c r="N15" s="14"/>
    </row>
    <row r="16" spans="1:20">
      <c r="A16" s="23">
        <v>13</v>
      </c>
      <c r="B16" s="24">
        <v>46247</v>
      </c>
      <c r="C16" s="14"/>
      <c r="D16" s="133"/>
      <c r="E16" s="90"/>
      <c r="F16" s="90"/>
      <c r="G16" s="172">
        <f t="shared" si="5"/>
        <v>0</v>
      </c>
      <c r="H16" s="90"/>
      <c r="I16" s="90"/>
      <c r="J16" s="172">
        <f t="shared" si="6"/>
        <v>0</v>
      </c>
      <c r="K16" s="172">
        <f t="shared" si="7"/>
        <v>0</v>
      </c>
      <c r="L16" s="172"/>
      <c r="M16" s="172">
        <f t="shared" si="2"/>
        <v>22442.836099999979</v>
      </c>
      <c r="N16" s="14"/>
    </row>
    <row r="17" spans="1:14">
      <c r="A17" s="23">
        <v>14</v>
      </c>
      <c r="B17" s="24">
        <v>46248</v>
      </c>
      <c r="C17" s="14"/>
      <c r="D17" s="133"/>
      <c r="E17" s="90">
        <v>50</v>
      </c>
      <c r="F17" s="90">
        <v>98.69</v>
      </c>
      <c r="G17" s="172">
        <f t="shared" si="5"/>
        <v>4934.5</v>
      </c>
      <c r="H17" s="90"/>
      <c r="I17" s="90"/>
      <c r="J17" s="172">
        <f t="shared" si="6"/>
        <v>0</v>
      </c>
      <c r="K17" s="172">
        <f t="shared" si="7"/>
        <v>4934.5</v>
      </c>
      <c r="L17" s="172"/>
      <c r="M17" s="172">
        <f t="shared" si="2"/>
        <v>27377.336099999979</v>
      </c>
      <c r="N17" s="14"/>
    </row>
    <row r="18" spans="1:14">
      <c r="A18" s="23">
        <v>15</v>
      </c>
      <c r="B18" s="24">
        <v>46249</v>
      </c>
      <c r="C18" s="14"/>
      <c r="D18" s="133"/>
      <c r="E18" s="90"/>
      <c r="F18" s="90"/>
      <c r="G18" s="172">
        <f t="shared" si="5"/>
        <v>0</v>
      </c>
      <c r="H18" s="90">
        <v>5</v>
      </c>
      <c r="I18" s="90">
        <v>110.74</v>
      </c>
      <c r="J18" s="172">
        <f t="shared" si="6"/>
        <v>553.69999999999993</v>
      </c>
      <c r="K18" s="172">
        <f t="shared" si="7"/>
        <v>553.69999999999993</v>
      </c>
      <c r="L18" s="172"/>
      <c r="M18" s="172">
        <f>M17+K18-L18</f>
        <v>27931.036099999979</v>
      </c>
      <c r="N18" s="14"/>
    </row>
    <row r="19" spans="1:14">
      <c r="A19" s="23">
        <v>16</v>
      </c>
      <c r="B19" s="24">
        <v>46250</v>
      </c>
      <c r="C19" s="14"/>
      <c r="D19" s="133"/>
      <c r="E19" s="90"/>
      <c r="F19" s="90"/>
      <c r="G19" s="172">
        <f t="shared" si="5"/>
        <v>0</v>
      </c>
      <c r="H19" s="90"/>
      <c r="I19" s="90"/>
      <c r="J19" s="172">
        <f t="shared" si="6"/>
        <v>0</v>
      </c>
      <c r="K19" s="172">
        <f t="shared" si="7"/>
        <v>0</v>
      </c>
      <c r="L19" s="172"/>
      <c r="M19" s="172">
        <f t="shared" si="2"/>
        <v>27931.036099999979</v>
      </c>
      <c r="N19" s="14"/>
    </row>
    <row r="20" spans="1:14">
      <c r="A20" s="23">
        <v>17</v>
      </c>
      <c r="B20" s="24">
        <v>46251</v>
      </c>
      <c r="C20" s="14"/>
      <c r="D20" s="133"/>
      <c r="E20" s="90"/>
      <c r="F20" s="90"/>
      <c r="G20" s="172">
        <f t="shared" si="5"/>
        <v>0</v>
      </c>
      <c r="H20" s="90"/>
      <c r="I20" s="90"/>
      <c r="J20" s="172">
        <f t="shared" si="6"/>
        <v>0</v>
      </c>
      <c r="K20" s="172">
        <f t="shared" si="7"/>
        <v>0</v>
      </c>
      <c r="L20" s="172"/>
      <c r="M20" s="172">
        <f t="shared" si="2"/>
        <v>27931.036099999979</v>
      </c>
      <c r="N20" s="14"/>
    </row>
    <row r="21" spans="1:14">
      <c r="A21" s="23">
        <v>18</v>
      </c>
      <c r="B21" s="24">
        <v>46252</v>
      </c>
      <c r="C21" s="14"/>
      <c r="D21" s="133"/>
      <c r="E21" s="90">
        <v>46</v>
      </c>
      <c r="F21" s="90">
        <v>98.69</v>
      </c>
      <c r="G21" s="172">
        <f t="shared" si="0"/>
        <v>4539.74</v>
      </c>
      <c r="H21" s="90">
        <v>5</v>
      </c>
      <c r="I21" s="90">
        <v>110.74</v>
      </c>
      <c r="J21" s="172">
        <f>H21*I21</f>
        <v>553.69999999999993</v>
      </c>
      <c r="K21" s="172">
        <f t="shared" ref="K21:K34" si="8">G21+J21</f>
        <v>5093.4399999999996</v>
      </c>
      <c r="L21" s="172"/>
      <c r="M21" s="172">
        <f>M20+K21-L21</f>
        <v>33024.476099999978</v>
      </c>
      <c r="N21" s="14"/>
    </row>
    <row r="22" spans="1:14">
      <c r="A22" s="23">
        <v>19</v>
      </c>
      <c r="B22" s="24">
        <v>46253</v>
      </c>
      <c r="C22" s="14"/>
      <c r="D22" s="133"/>
      <c r="E22" s="90"/>
      <c r="F22" s="90"/>
      <c r="G22" s="172">
        <f t="shared" si="0"/>
        <v>0</v>
      </c>
      <c r="H22" s="90">
        <v>5</v>
      </c>
      <c r="I22" s="90">
        <v>110.74</v>
      </c>
      <c r="J22" s="172">
        <f>H22*I22</f>
        <v>553.69999999999993</v>
      </c>
      <c r="K22" s="172">
        <f t="shared" si="8"/>
        <v>553.69999999999993</v>
      </c>
      <c r="L22" s="172"/>
      <c r="M22" s="172">
        <f t="shared" si="2"/>
        <v>33578.176099999975</v>
      </c>
      <c r="N22" s="14"/>
    </row>
    <row r="23" spans="1:14">
      <c r="A23" s="23">
        <v>20</v>
      </c>
      <c r="B23" s="24">
        <v>46254</v>
      </c>
      <c r="C23" s="14"/>
      <c r="D23" s="133"/>
      <c r="E23" s="90"/>
      <c r="F23" s="90"/>
      <c r="G23" s="172">
        <f t="shared" si="0"/>
        <v>0</v>
      </c>
      <c r="H23" s="90">
        <v>5</v>
      </c>
      <c r="I23" s="90">
        <v>110.74</v>
      </c>
      <c r="J23" s="172">
        <f t="shared" ref="J23:J34" si="9">H23*I23</f>
        <v>553.69999999999993</v>
      </c>
      <c r="K23" s="172">
        <f t="shared" si="8"/>
        <v>553.69999999999993</v>
      </c>
      <c r="L23" s="172">
        <v>33000</v>
      </c>
      <c r="M23" s="172">
        <v>1123.8771999999954</v>
      </c>
      <c r="N23" s="14">
        <v>0</v>
      </c>
    </row>
    <row r="24" spans="1:14">
      <c r="A24" s="23">
        <v>21</v>
      </c>
      <c r="B24" s="24">
        <v>46255</v>
      </c>
      <c r="C24" s="14"/>
      <c r="D24" s="133"/>
      <c r="E24" s="90">
        <v>20</v>
      </c>
      <c r="F24" s="90">
        <v>98.68</v>
      </c>
      <c r="G24" s="172">
        <f t="shared" si="0"/>
        <v>1973.6000000000001</v>
      </c>
      <c r="H24" s="90">
        <v>5</v>
      </c>
      <c r="I24" s="90">
        <v>110.74</v>
      </c>
      <c r="J24" s="172">
        <f t="shared" si="9"/>
        <v>553.69999999999993</v>
      </c>
      <c r="K24" s="172">
        <f t="shared" si="8"/>
        <v>2527.3000000000002</v>
      </c>
      <c r="L24" s="172"/>
      <c r="M24" s="172">
        <f t="shared" si="2"/>
        <v>3651.1771999999955</v>
      </c>
      <c r="N24" s="14"/>
    </row>
    <row r="25" spans="1:14">
      <c r="A25" s="23">
        <v>22</v>
      </c>
      <c r="B25" s="24">
        <v>46256</v>
      </c>
      <c r="C25" s="14"/>
      <c r="D25" s="133"/>
      <c r="E25" s="90"/>
      <c r="F25" s="90"/>
      <c r="G25" s="172">
        <f t="shared" si="0"/>
        <v>0</v>
      </c>
      <c r="H25" s="90"/>
      <c r="I25" s="90"/>
      <c r="J25" s="172">
        <f t="shared" si="9"/>
        <v>0</v>
      </c>
      <c r="K25" s="172">
        <f t="shared" si="8"/>
        <v>0</v>
      </c>
      <c r="L25" s="172"/>
      <c r="M25" s="172">
        <f t="shared" si="2"/>
        <v>3651.1771999999955</v>
      </c>
      <c r="N25" s="14"/>
    </row>
    <row r="26" spans="1:14">
      <c r="A26" s="23">
        <v>23</v>
      </c>
      <c r="B26" s="24">
        <v>46257</v>
      </c>
      <c r="C26" s="14"/>
      <c r="D26" s="133"/>
      <c r="E26" s="90"/>
      <c r="F26" s="90"/>
      <c r="G26" s="172">
        <f t="shared" si="0"/>
        <v>0</v>
      </c>
      <c r="H26" s="90"/>
      <c r="I26" s="90"/>
      <c r="J26" s="172">
        <f t="shared" si="9"/>
        <v>0</v>
      </c>
      <c r="K26" s="172">
        <f t="shared" si="8"/>
        <v>0</v>
      </c>
      <c r="L26" s="172"/>
      <c r="M26" s="172">
        <f t="shared" si="2"/>
        <v>3651.1771999999955</v>
      </c>
      <c r="N26" s="14"/>
    </row>
    <row r="27" spans="1:14">
      <c r="A27" s="23">
        <v>24</v>
      </c>
      <c r="B27" s="24">
        <v>46258</v>
      </c>
      <c r="C27" s="14"/>
      <c r="D27" s="133"/>
      <c r="E27" s="90">
        <v>48.33</v>
      </c>
      <c r="F27" s="90">
        <v>98.69</v>
      </c>
      <c r="G27" s="172">
        <f t="shared" si="0"/>
        <v>4769.6876999999995</v>
      </c>
      <c r="H27" s="90"/>
      <c r="I27" s="90"/>
      <c r="J27" s="172">
        <f t="shared" si="9"/>
        <v>0</v>
      </c>
      <c r="K27" s="172">
        <f t="shared" si="8"/>
        <v>4769.6876999999995</v>
      </c>
      <c r="L27" s="172"/>
      <c r="M27" s="172">
        <f t="shared" si="2"/>
        <v>8420.864899999995</v>
      </c>
      <c r="N27" s="14"/>
    </row>
    <row r="28" spans="1:14">
      <c r="A28" s="23">
        <v>25</v>
      </c>
      <c r="B28" s="24">
        <v>46259</v>
      </c>
      <c r="C28" s="14"/>
      <c r="D28" s="133"/>
      <c r="E28" s="90"/>
      <c r="F28" s="90"/>
      <c r="G28" s="172">
        <f t="shared" si="0"/>
        <v>0</v>
      </c>
      <c r="H28" s="90"/>
      <c r="I28" s="90"/>
      <c r="J28" s="172">
        <f t="shared" si="9"/>
        <v>0</v>
      </c>
      <c r="K28" s="172">
        <f t="shared" si="8"/>
        <v>0</v>
      </c>
      <c r="L28" s="172"/>
      <c r="M28" s="172">
        <f t="shared" si="2"/>
        <v>8420.864899999995</v>
      </c>
      <c r="N28" s="14"/>
    </row>
    <row r="29" spans="1:14">
      <c r="A29" s="23">
        <v>26</v>
      </c>
      <c r="B29" s="24">
        <v>46260</v>
      </c>
      <c r="C29" s="14"/>
      <c r="D29" s="133"/>
      <c r="E29" s="90">
        <v>150</v>
      </c>
      <c r="F29" s="90">
        <v>98.69</v>
      </c>
      <c r="G29" s="172">
        <f t="shared" ref="G5:G34" si="10">F29*E29</f>
        <v>14803.5</v>
      </c>
      <c r="H29" s="90"/>
      <c r="I29" s="90"/>
      <c r="J29" s="172">
        <f t="shared" si="9"/>
        <v>0</v>
      </c>
      <c r="K29" s="172">
        <f t="shared" si="8"/>
        <v>14803.5</v>
      </c>
      <c r="L29" s="172"/>
      <c r="M29" s="172">
        <f t="shared" si="2"/>
        <v>23224.364899999993</v>
      </c>
      <c r="N29" s="14"/>
    </row>
    <row r="30" spans="1:14">
      <c r="A30" s="23">
        <v>27</v>
      </c>
      <c r="B30" s="24">
        <v>46261</v>
      </c>
      <c r="C30" s="14"/>
      <c r="D30" s="133"/>
      <c r="E30" s="90">
        <v>5</v>
      </c>
      <c r="F30" s="90">
        <v>98.69</v>
      </c>
      <c r="G30" s="63">
        <f t="shared" ref="G30:G31" si="11">E30*F30</f>
        <v>493.45</v>
      </c>
      <c r="H30" s="41">
        <v>5</v>
      </c>
      <c r="I30" s="41">
        <v>110.74</v>
      </c>
      <c r="J30" s="172">
        <f t="shared" si="9"/>
        <v>553.69999999999993</v>
      </c>
      <c r="K30" s="172">
        <f t="shared" si="8"/>
        <v>1047.1499999999999</v>
      </c>
      <c r="L30" s="172"/>
      <c r="M30" s="172">
        <f t="shared" si="2"/>
        <v>24271.514899999995</v>
      </c>
      <c r="N30" s="14"/>
    </row>
    <row r="31" spans="1:14">
      <c r="A31" s="23">
        <v>28</v>
      </c>
      <c r="B31" s="24">
        <v>46262</v>
      </c>
      <c r="C31" s="14"/>
      <c r="D31" s="133"/>
      <c r="E31" s="90">
        <v>50</v>
      </c>
      <c r="F31" s="90">
        <v>98.69</v>
      </c>
      <c r="G31" s="63">
        <f t="shared" si="11"/>
        <v>4934.5</v>
      </c>
      <c r="H31" s="41"/>
      <c r="I31" s="41"/>
      <c r="J31" s="172">
        <f t="shared" si="9"/>
        <v>0</v>
      </c>
      <c r="K31" s="172">
        <f t="shared" si="8"/>
        <v>4934.5</v>
      </c>
      <c r="L31" s="172">
        <v>24271</v>
      </c>
      <c r="M31" s="172">
        <f>M30+K31-L31</f>
        <v>4935.0148999999947</v>
      </c>
      <c r="N31" s="14"/>
    </row>
    <row r="32" spans="1:14">
      <c r="A32" s="23">
        <v>29</v>
      </c>
      <c r="B32" s="24">
        <v>46263</v>
      </c>
      <c r="C32" s="14"/>
      <c r="D32" s="133"/>
      <c r="E32" s="90">
        <v>180</v>
      </c>
      <c r="F32" s="90">
        <v>98.69</v>
      </c>
      <c r="G32" s="172">
        <f t="shared" si="10"/>
        <v>17764.2</v>
      </c>
      <c r="H32" s="90">
        <v>5</v>
      </c>
      <c r="I32" s="90">
        <v>110.74</v>
      </c>
      <c r="J32" s="172">
        <f t="shared" si="9"/>
        <v>553.69999999999993</v>
      </c>
      <c r="K32" s="172">
        <f t="shared" si="8"/>
        <v>18317.900000000001</v>
      </c>
      <c r="L32" s="172"/>
      <c r="M32" s="172">
        <f t="shared" si="2"/>
        <v>23252.914899999996</v>
      </c>
      <c r="N32" s="14"/>
    </row>
    <row r="33" spans="1:14">
      <c r="A33" s="23">
        <v>30</v>
      </c>
      <c r="B33" s="24">
        <v>46264</v>
      </c>
      <c r="C33" s="14"/>
      <c r="D33" s="133"/>
      <c r="E33" s="90">
        <v>140</v>
      </c>
      <c r="F33" s="90">
        <v>98.69</v>
      </c>
      <c r="G33" s="172">
        <f t="shared" si="10"/>
        <v>13816.6</v>
      </c>
      <c r="H33" s="90"/>
      <c r="I33" s="90"/>
      <c r="J33" s="172">
        <f t="shared" si="9"/>
        <v>0</v>
      </c>
      <c r="K33" s="172">
        <f t="shared" si="8"/>
        <v>13816.6</v>
      </c>
      <c r="L33" s="172"/>
      <c r="M33" s="172">
        <f t="shared" si="2"/>
        <v>37069.514899999995</v>
      </c>
      <c r="N33" s="14"/>
    </row>
    <row r="34" spans="1:14">
      <c r="A34" s="23">
        <v>31</v>
      </c>
      <c r="B34" s="24">
        <v>46265</v>
      </c>
      <c r="C34" s="14"/>
      <c r="D34" s="14"/>
      <c r="E34" s="90">
        <v>47.82</v>
      </c>
      <c r="F34" s="90">
        <v>98.69</v>
      </c>
      <c r="G34" s="172">
        <f t="shared" si="10"/>
        <v>4719.3558000000003</v>
      </c>
      <c r="H34" s="90"/>
      <c r="I34" s="90"/>
      <c r="J34" s="172">
        <f t="shared" si="9"/>
        <v>0</v>
      </c>
      <c r="K34" s="172">
        <f t="shared" si="8"/>
        <v>4719.3558000000003</v>
      </c>
      <c r="L34" s="133"/>
      <c r="M34" s="172">
        <f t="shared" si="2"/>
        <v>41788.870699999992</v>
      </c>
      <c r="N34" s="14"/>
    </row>
    <row r="35" spans="1:14">
      <c r="A35" s="39"/>
      <c r="B35" s="39"/>
      <c r="C35" s="39"/>
      <c r="D35" s="39"/>
      <c r="E35" s="39">
        <f>SUM(E4:E34)</f>
        <v>865.03000000000009</v>
      </c>
      <c r="F35" s="39"/>
      <c r="G35" s="39">
        <f>SUM(G4:G34)</f>
        <v>85369.610700000005</v>
      </c>
      <c r="H35" s="39">
        <f>SUM(H4:H34)</f>
        <v>90</v>
      </c>
      <c r="I35" s="39"/>
      <c r="J35" s="39">
        <f>SUM(J4:J34)</f>
        <v>9966.6</v>
      </c>
      <c r="K35" s="39">
        <f>SUM(K4:K34)</f>
        <v>95336.210700000011</v>
      </c>
      <c r="L35" s="39">
        <f>SUM(L4:L34)</f>
        <v>138271</v>
      </c>
      <c r="M35" s="39">
        <f>SUM(M4:M34)</f>
        <v>891182.08769999968</v>
      </c>
      <c r="N35" s="39"/>
    </row>
    <row r="37" spans="1:14">
      <c r="K37" s="19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S40"/>
  <sheetViews>
    <sheetView workbookViewId="0">
      <selection activeCell="Q33" sqref="Q33"/>
    </sheetView>
  </sheetViews>
  <sheetFormatPr defaultRowHeight="15"/>
  <cols>
    <col min="2" max="2" width="14.42578125" customWidth="1"/>
    <col min="4" max="4" width="11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7" ht="15.75">
      <c r="A1" s="585" t="s">
        <v>239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89"/>
      <c r="P1" s="89"/>
      <c r="Q1" s="89"/>
    </row>
    <row r="2" spans="1:17">
      <c r="A2" s="61" t="s">
        <v>0</v>
      </c>
      <c r="B2" s="61" t="s">
        <v>170</v>
      </c>
      <c r="C2" s="61" t="s">
        <v>171</v>
      </c>
      <c r="D2" s="61" t="s">
        <v>172</v>
      </c>
      <c r="E2" s="88" t="s">
        <v>173</v>
      </c>
      <c r="F2" s="88" t="s">
        <v>174</v>
      </c>
      <c r="G2" s="88" t="s">
        <v>175</v>
      </c>
      <c r="H2" s="88" t="s">
        <v>176</v>
      </c>
      <c r="I2" s="88" t="s">
        <v>174</v>
      </c>
      <c r="J2" s="88" t="s">
        <v>175</v>
      </c>
      <c r="K2" s="88" t="s">
        <v>177</v>
      </c>
      <c r="L2" s="82" t="s">
        <v>178</v>
      </c>
      <c r="M2" s="82" t="s">
        <v>179</v>
      </c>
      <c r="N2" s="61" t="s">
        <v>180</v>
      </c>
    </row>
    <row r="3" spans="1:17">
      <c r="A3" s="14"/>
      <c r="B3" s="14"/>
      <c r="C3" s="14"/>
      <c r="D3" s="14" t="s">
        <v>181</v>
      </c>
      <c r="E3" s="14"/>
      <c r="F3" s="14"/>
      <c r="G3" s="14"/>
      <c r="H3" s="14"/>
      <c r="I3" s="14"/>
      <c r="J3" s="14"/>
      <c r="K3" s="37">
        <v>146708</v>
      </c>
      <c r="L3" s="14"/>
      <c r="M3" s="37">
        <v>146708</v>
      </c>
      <c r="N3" s="14"/>
      <c r="O3" s="37"/>
    </row>
    <row r="4" spans="1:17">
      <c r="A4" s="23">
        <v>1</v>
      </c>
      <c r="B4" s="24">
        <v>46235</v>
      </c>
      <c r="C4" s="14"/>
      <c r="D4" s="14"/>
      <c r="E4" s="359"/>
      <c r="F4" s="90"/>
      <c r="G4" s="37">
        <f t="shared" ref="G4" si="0">E4*F4</f>
        <v>0</v>
      </c>
      <c r="H4" s="41"/>
      <c r="I4" s="41"/>
      <c r="J4" s="37">
        <f t="shared" ref="J4" si="1">H4*I4</f>
        <v>0</v>
      </c>
      <c r="K4" s="37">
        <f>G4+J4</f>
        <v>0</v>
      </c>
      <c r="L4" s="37"/>
      <c r="M4" s="37">
        <f>M3+K4-L4</f>
        <v>146708</v>
      </c>
      <c r="N4" s="14"/>
    </row>
    <row r="5" spans="1:17">
      <c r="A5" s="23">
        <v>2</v>
      </c>
      <c r="B5" s="24">
        <v>46236</v>
      </c>
      <c r="C5" s="326"/>
      <c r="D5" s="14"/>
      <c r="E5" s="359"/>
      <c r="F5" s="90"/>
      <c r="G5" s="37">
        <f t="shared" ref="G5:G38" si="2">E5*F5</f>
        <v>0</v>
      </c>
      <c r="H5" s="41"/>
      <c r="I5" s="41"/>
      <c r="J5" s="37">
        <f t="shared" ref="J5:J38" si="3">H5*I5</f>
        <v>0</v>
      </c>
      <c r="K5" s="37">
        <f t="shared" ref="K5:L39" si="4">G5+J5</f>
        <v>0</v>
      </c>
      <c r="L5" s="37"/>
      <c r="M5" s="37">
        <f>M4+K5-L5</f>
        <v>146708</v>
      </c>
      <c r="N5" s="14" t="s">
        <v>240</v>
      </c>
    </row>
    <row r="6" spans="1:17">
      <c r="A6" s="23">
        <v>3</v>
      </c>
      <c r="B6" s="24">
        <v>46237</v>
      </c>
      <c r="C6" s="14"/>
      <c r="D6" s="14"/>
      <c r="E6" s="359"/>
      <c r="F6" s="90"/>
      <c r="G6" s="37">
        <f t="shared" si="2"/>
        <v>0</v>
      </c>
      <c r="H6" s="41"/>
      <c r="I6" s="41"/>
      <c r="J6" s="37">
        <f t="shared" si="3"/>
        <v>0</v>
      </c>
      <c r="K6" s="37">
        <f t="shared" si="4"/>
        <v>0</v>
      </c>
      <c r="L6" s="37"/>
      <c r="M6" s="37">
        <f>M5+K6-L6</f>
        <v>146708</v>
      </c>
      <c r="N6" s="14"/>
    </row>
    <row r="7" spans="1:17">
      <c r="A7" s="23">
        <v>4</v>
      </c>
      <c r="B7" s="24">
        <v>46238</v>
      </c>
      <c r="C7" s="14"/>
      <c r="D7" s="14"/>
      <c r="E7" s="359">
        <v>800</v>
      </c>
      <c r="F7" s="90">
        <v>99.35</v>
      </c>
      <c r="G7" s="37">
        <f t="shared" si="2"/>
        <v>79480</v>
      </c>
      <c r="H7" s="41"/>
      <c r="I7" s="41"/>
      <c r="J7" s="37">
        <f t="shared" si="3"/>
        <v>0</v>
      </c>
      <c r="K7" s="37">
        <f>G7+J7</f>
        <v>79480</v>
      </c>
      <c r="L7" s="37"/>
      <c r="M7" s="37">
        <f>M6+K7-L7</f>
        <v>226188</v>
      </c>
      <c r="N7" s="14"/>
    </row>
    <row r="8" spans="1:17">
      <c r="A8" s="23">
        <v>5</v>
      </c>
      <c r="B8" s="24">
        <v>46239</v>
      </c>
      <c r="C8" s="14"/>
      <c r="D8" s="14"/>
      <c r="E8" s="359"/>
      <c r="F8" s="90"/>
      <c r="G8" s="37">
        <f t="shared" si="2"/>
        <v>0</v>
      </c>
      <c r="H8" s="41"/>
      <c r="I8" s="41"/>
      <c r="J8" s="37">
        <f t="shared" si="3"/>
        <v>0</v>
      </c>
      <c r="K8" s="37">
        <f t="shared" si="4"/>
        <v>0</v>
      </c>
      <c r="L8" s="37"/>
      <c r="M8" s="37">
        <f>M7+K8-L8</f>
        <v>226188</v>
      </c>
      <c r="N8" s="14"/>
    </row>
    <row r="9" spans="1:17">
      <c r="A9" s="23">
        <v>6</v>
      </c>
      <c r="B9" s="24">
        <v>46240</v>
      </c>
      <c r="C9" s="14"/>
      <c r="D9" s="14"/>
      <c r="E9" s="359"/>
      <c r="F9" s="90"/>
      <c r="G9" s="37">
        <f t="shared" si="2"/>
        <v>0</v>
      </c>
      <c r="H9" s="41"/>
      <c r="I9" s="41"/>
      <c r="J9" s="37">
        <f t="shared" si="3"/>
        <v>0</v>
      </c>
      <c r="K9" s="37">
        <f t="shared" si="4"/>
        <v>0</v>
      </c>
      <c r="L9" s="37"/>
      <c r="M9" s="37">
        <f t="shared" ref="M9:M39" si="5">M8+K9-L9</f>
        <v>226188</v>
      </c>
      <c r="N9" s="14"/>
    </row>
    <row r="10" spans="1:17">
      <c r="A10" s="23">
        <v>7</v>
      </c>
      <c r="B10" s="24">
        <v>46241</v>
      </c>
      <c r="C10" s="14"/>
      <c r="D10" s="14"/>
      <c r="E10" s="359"/>
      <c r="F10" s="90"/>
      <c r="G10" s="37">
        <f t="shared" si="2"/>
        <v>0</v>
      </c>
      <c r="H10" s="41"/>
      <c r="I10" s="41"/>
      <c r="J10" s="37">
        <f t="shared" si="3"/>
        <v>0</v>
      </c>
      <c r="K10" s="37">
        <f t="shared" si="4"/>
        <v>0</v>
      </c>
      <c r="L10" s="37"/>
      <c r="M10" s="37">
        <f t="shared" si="5"/>
        <v>226188</v>
      </c>
      <c r="N10" s="14"/>
    </row>
    <row r="11" spans="1:17">
      <c r="A11" s="23">
        <v>8</v>
      </c>
      <c r="B11" s="24">
        <v>46242</v>
      </c>
      <c r="C11" s="14"/>
      <c r="D11" s="14"/>
      <c r="E11" s="359">
        <v>800</v>
      </c>
      <c r="F11" s="90">
        <v>99.35</v>
      </c>
      <c r="G11" s="37">
        <f t="shared" si="2"/>
        <v>79480</v>
      </c>
      <c r="H11" s="41"/>
      <c r="I11" s="41"/>
      <c r="J11" s="37">
        <f t="shared" si="3"/>
        <v>0</v>
      </c>
      <c r="K11" s="37">
        <f>G11+J11</f>
        <v>79480</v>
      </c>
      <c r="L11" s="37"/>
      <c r="M11" s="37">
        <f t="shared" si="5"/>
        <v>305668</v>
      </c>
      <c r="N11" s="14"/>
    </row>
    <row r="12" spans="1:17">
      <c r="A12" s="23">
        <v>9</v>
      </c>
      <c r="B12" s="24">
        <v>46243</v>
      </c>
      <c r="C12" s="14"/>
      <c r="D12" s="14"/>
      <c r="E12" s="359"/>
      <c r="F12" s="90"/>
      <c r="G12" s="37">
        <f t="shared" si="2"/>
        <v>0</v>
      </c>
      <c r="H12" s="41"/>
      <c r="I12" s="41"/>
      <c r="J12" s="37">
        <f t="shared" si="3"/>
        <v>0</v>
      </c>
      <c r="K12" s="37">
        <f t="shared" si="4"/>
        <v>0</v>
      </c>
      <c r="L12" s="37"/>
      <c r="M12" s="37">
        <f t="shared" si="5"/>
        <v>305668</v>
      </c>
      <c r="N12" s="14"/>
    </row>
    <row r="13" spans="1:17">
      <c r="A13" s="23">
        <v>10</v>
      </c>
      <c r="B13" s="24">
        <v>46244</v>
      </c>
      <c r="C13" s="14"/>
      <c r="D13" s="14"/>
      <c r="E13" s="359"/>
      <c r="F13" s="90"/>
      <c r="G13" s="37">
        <f t="shared" si="2"/>
        <v>0</v>
      </c>
      <c r="H13" s="41"/>
      <c r="I13" s="41"/>
      <c r="J13" s="37">
        <f t="shared" si="3"/>
        <v>0</v>
      </c>
      <c r="K13" s="37">
        <f t="shared" si="4"/>
        <v>0</v>
      </c>
      <c r="L13" s="37"/>
      <c r="M13" s="37">
        <f t="shared" si="5"/>
        <v>305668</v>
      </c>
      <c r="N13" s="14"/>
    </row>
    <row r="14" spans="1:17">
      <c r="A14" s="23">
        <v>11</v>
      </c>
      <c r="B14" s="24">
        <v>46245</v>
      </c>
      <c r="C14" s="14"/>
      <c r="D14" s="14"/>
      <c r="E14" s="359"/>
      <c r="F14" s="90"/>
      <c r="G14" s="37">
        <f t="shared" si="2"/>
        <v>0</v>
      </c>
      <c r="H14" s="41"/>
      <c r="I14" s="41"/>
      <c r="J14" s="37">
        <f t="shared" si="3"/>
        <v>0</v>
      </c>
      <c r="K14" s="37">
        <f t="shared" si="4"/>
        <v>0</v>
      </c>
      <c r="L14" s="37"/>
      <c r="M14" s="37">
        <f t="shared" si="5"/>
        <v>305668</v>
      </c>
      <c r="N14" s="14"/>
    </row>
    <row r="15" spans="1:17">
      <c r="A15" s="23">
        <v>12</v>
      </c>
      <c r="B15" s="24">
        <v>46246</v>
      </c>
      <c r="C15" s="14"/>
      <c r="D15" s="14"/>
      <c r="E15" s="359"/>
      <c r="F15" s="90"/>
      <c r="G15" s="37">
        <f t="shared" si="2"/>
        <v>0</v>
      </c>
      <c r="H15" s="41"/>
      <c r="I15" s="41"/>
      <c r="J15" s="37">
        <f t="shared" si="3"/>
        <v>0</v>
      </c>
      <c r="K15" s="37">
        <f t="shared" si="4"/>
        <v>0</v>
      </c>
      <c r="L15" s="37"/>
      <c r="M15" s="37">
        <f t="shared" si="5"/>
        <v>305668</v>
      </c>
      <c r="N15" s="14"/>
    </row>
    <row r="16" spans="1:17">
      <c r="A16" s="23">
        <v>13</v>
      </c>
      <c r="B16" s="24">
        <v>46247</v>
      </c>
      <c r="C16" s="14"/>
      <c r="D16" s="90"/>
      <c r="E16" s="359">
        <v>1000</v>
      </c>
      <c r="F16" s="90">
        <v>99.35</v>
      </c>
      <c r="G16" s="37">
        <f t="shared" si="2"/>
        <v>99350</v>
      </c>
      <c r="H16" s="41"/>
      <c r="I16" s="41"/>
      <c r="J16" s="37">
        <f t="shared" si="3"/>
        <v>0</v>
      </c>
      <c r="K16" s="37">
        <f t="shared" si="4"/>
        <v>99350</v>
      </c>
      <c r="L16" s="37">
        <v>300000</v>
      </c>
      <c r="M16" s="37">
        <f t="shared" si="5"/>
        <v>105018</v>
      </c>
      <c r="N16" s="14"/>
    </row>
    <row r="17" spans="1:17">
      <c r="A17" s="23">
        <v>14</v>
      </c>
      <c r="B17" s="24">
        <v>46248</v>
      </c>
      <c r="C17" s="14"/>
      <c r="D17" s="90"/>
      <c r="E17" s="359"/>
      <c r="F17" s="90"/>
      <c r="G17" s="37">
        <f t="shared" si="2"/>
        <v>0</v>
      </c>
      <c r="H17" s="41"/>
      <c r="I17" s="41"/>
      <c r="J17" s="37"/>
      <c r="K17" s="37">
        <f t="shared" si="4"/>
        <v>0</v>
      </c>
      <c r="L17" s="37"/>
      <c r="M17" s="37">
        <f t="shared" si="5"/>
        <v>105018</v>
      </c>
      <c r="N17" s="14"/>
    </row>
    <row r="18" spans="1:17">
      <c r="A18" s="23">
        <v>15</v>
      </c>
      <c r="B18" s="24">
        <v>46249</v>
      </c>
      <c r="C18" s="14"/>
      <c r="D18" s="14">
        <v>0</v>
      </c>
      <c r="E18" s="359"/>
      <c r="F18" s="90"/>
      <c r="G18" s="37">
        <f t="shared" si="2"/>
        <v>0</v>
      </c>
      <c r="H18" s="41"/>
      <c r="I18" s="41"/>
      <c r="J18" s="37">
        <f t="shared" si="3"/>
        <v>0</v>
      </c>
      <c r="K18" s="37">
        <f t="shared" si="4"/>
        <v>0</v>
      </c>
      <c r="L18" s="37"/>
      <c r="M18" s="37">
        <f t="shared" si="5"/>
        <v>105018</v>
      </c>
      <c r="N18" s="14"/>
      <c r="Q18" s="316"/>
    </row>
    <row r="19" spans="1:17">
      <c r="A19" s="23">
        <v>16</v>
      </c>
      <c r="B19" s="24">
        <v>46250</v>
      </c>
      <c r="C19" s="14"/>
      <c r="D19" s="14"/>
      <c r="E19" s="359"/>
      <c r="F19" s="90"/>
      <c r="G19" s="37">
        <f t="shared" si="2"/>
        <v>0</v>
      </c>
      <c r="H19" s="41"/>
      <c r="I19" s="41"/>
      <c r="J19" s="37">
        <f t="shared" si="3"/>
        <v>0</v>
      </c>
      <c r="K19" s="37">
        <f t="shared" si="4"/>
        <v>0</v>
      </c>
      <c r="L19" s="37"/>
      <c r="M19" s="37">
        <f t="shared" si="5"/>
        <v>105018</v>
      </c>
      <c r="N19" s="14"/>
    </row>
    <row r="20" spans="1:17">
      <c r="A20" s="23">
        <v>17</v>
      </c>
      <c r="B20" s="24">
        <v>46251</v>
      </c>
      <c r="C20" s="14"/>
      <c r="D20" s="14"/>
      <c r="E20" s="359"/>
      <c r="F20" s="90"/>
      <c r="G20" s="37">
        <f t="shared" si="2"/>
        <v>0</v>
      </c>
      <c r="H20" s="41"/>
      <c r="I20" s="41"/>
      <c r="J20" s="37">
        <f t="shared" si="3"/>
        <v>0</v>
      </c>
      <c r="K20" s="37">
        <f t="shared" si="4"/>
        <v>0</v>
      </c>
      <c r="L20" s="37"/>
      <c r="M20" s="37">
        <f t="shared" si="5"/>
        <v>105018</v>
      </c>
      <c r="N20" s="14"/>
    </row>
    <row r="21" spans="1:17">
      <c r="A21" s="23">
        <v>18</v>
      </c>
      <c r="B21" s="24">
        <v>46252</v>
      </c>
      <c r="C21" s="14"/>
      <c r="D21" s="14"/>
      <c r="E21" s="359"/>
      <c r="F21" s="90"/>
      <c r="G21" s="37">
        <f t="shared" si="2"/>
        <v>0</v>
      </c>
      <c r="H21" s="41"/>
      <c r="I21" s="41"/>
      <c r="J21" s="37">
        <f t="shared" si="3"/>
        <v>0</v>
      </c>
      <c r="K21" s="37">
        <f t="shared" si="4"/>
        <v>0</v>
      </c>
      <c r="L21" s="37"/>
      <c r="M21" s="37">
        <f t="shared" si="5"/>
        <v>105018</v>
      </c>
      <c r="N21" s="14"/>
    </row>
    <row r="22" spans="1:17">
      <c r="A22" s="23">
        <v>19</v>
      </c>
      <c r="B22" s="24">
        <v>46253</v>
      </c>
      <c r="C22" s="14"/>
      <c r="D22" s="14"/>
      <c r="E22" s="359"/>
      <c r="F22" s="90"/>
      <c r="G22" s="37">
        <f t="shared" si="2"/>
        <v>0</v>
      </c>
      <c r="H22" s="41"/>
      <c r="I22" s="41"/>
      <c r="J22" s="37">
        <f t="shared" si="3"/>
        <v>0</v>
      </c>
      <c r="K22" s="37">
        <f t="shared" si="4"/>
        <v>0</v>
      </c>
      <c r="L22" s="37"/>
      <c r="M22" s="37">
        <f t="shared" si="5"/>
        <v>105018</v>
      </c>
      <c r="N22" s="14"/>
    </row>
    <row r="23" spans="1:17">
      <c r="A23" s="23">
        <v>20</v>
      </c>
      <c r="B23" s="24">
        <v>46254</v>
      </c>
      <c r="C23" s="14"/>
      <c r="D23" s="14"/>
      <c r="E23" s="359">
        <v>800</v>
      </c>
      <c r="F23" s="90">
        <v>99.35</v>
      </c>
      <c r="G23" s="37">
        <f t="shared" si="2"/>
        <v>79480</v>
      </c>
      <c r="H23" s="41"/>
      <c r="I23" s="41"/>
      <c r="J23" s="37">
        <v>0</v>
      </c>
      <c r="K23" s="37">
        <f t="shared" si="4"/>
        <v>79480</v>
      </c>
      <c r="L23" s="37"/>
      <c r="M23" s="37">
        <f t="shared" si="5"/>
        <v>184498</v>
      </c>
      <c r="N23" s="14"/>
    </row>
    <row r="24" spans="1:17">
      <c r="A24" s="23">
        <v>21</v>
      </c>
      <c r="B24" s="24">
        <v>46255</v>
      </c>
      <c r="C24" s="14"/>
      <c r="D24" s="14"/>
      <c r="E24" s="359"/>
      <c r="F24" s="90"/>
      <c r="G24" s="37">
        <f t="shared" si="2"/>
        <v>0</v>
      </c>
      <c r="H24" s="41"/>
      <c r="I24" s="41"/>
      <c r="J24" s="37">
        <f t="shared" si="3"/>
        <v>0</v>
      </c>
      <c r="K24" s="37">
        <f t="shared" si="4"/>
        <v>0</v>
      </c>
      <c r="L24" s="37"/>
      <c r="M24" s="37">
        <f t="shared" si="5"/>
        <v>184498</v>
      </c>
      <c r="N24" s="14"/>
      <c r="P24" s="19"/>
    </row>
    <row r="25" spans="1:17">
      <c r="A25" s="23">
        <v>22</v>
      </c>
      <c r="B25" s="24">
        <v>46256</v>
      </c>
      <c r="C25" s="14"/>
      <c r="D25" s="14"/>
      <c r="E25" s="359"/>
      <c r="F25" s="90"/>
      <c r="G25" s="37">
        <f t="shared" si="2"/>
        <v>0</v>
      </c>
      <c r="H25" s="41"/>
      <c r="I25" s="41"/>
      <c r="J25" s="37">
        <f t="shared" si="3"/>
        <v>0</v>
      </c>
      <c r="K25" s="37">
        <f t="shared" si="4"/>
        <v>0</v>
      </c>
      <c r="L25" s="37"/>
      <c r="M25" s="37">
        <f t="shared" si="5"/>
        <v>184498</v>
      </c>
      <c r="N25" s="14"/>
    </row>
    <row r="26" spans="1:17">
      <c r="A26" s="23">
        <v>23</v>
      </c>
      <c r="B26" s="24">
        <v>46257</v>
      </c>
      <c r="C26" s="14"/>
      <c r="D26" s="14"/>
      <c r="E26" s="359"/>
      <c r="F26" s="90"/>
      <c r="G26" s="37">
        <f t="shared" si="2"/>
        <v>0</v>
      </c>
      <c r="H26" s="41"/>
      <c r="I26" s="41"/>
      <c r="J26" s="37">
        <f t="shared" si="3"/>
        <v>0</v>
      </c>
      <c r="K26" s="37">
        <f t="shared" si="4"/>
        <v>0</v>
      </c>
      <c r="L26" s="37"/>
      <c r="M26" s="37">
        <f t="shared" si="5"/>
        <v>184498</v>
      </c>
      <c r="N26" s="14"/>
    </row>
    <row r="27" spans="1:17">
      <c r="A27" s="23">
        <v>24</v>
      </c>
      <c r="B27" s="24">
        <v>46258</v>
      </c>
      <c r="C27" s="14"/>
      <c r="D27" s="14"/>
      <c r="E27" s="359">
        <v>800</v>
      </c>
      <c r="F27" s="90">
        <v>99.35</v>
      </c>
      <c r="G27" s="37">
        <f t="shared" si="2"/>
        <v>79480</v>
      </c>
      <c r="H27" s="41">
        <v>30</v>
      </c>
      <c r="I27" s="41">
        <v>111.45</v>
      </c>
      <c r="J27" s="37">
        <f t="shared" si="3"/>
        <v>3343.5</v>
      </c>
      <c r="K27" s="37">
        <f t="shared" si="4"/>
        <v>82823.5</v>
      </c>
      <c r="L27" s="37"/>
      <c r="M27" s="37">
        <f t="shared" si="5"/>
        <v>267321.5</v>
      </c>
      <c r="N27" s="14"/>
    </row>
    <row r="28" spans="1:17">
      <c r="A28" s="23">
        <v>25</v>
      </c>
      <c r="B28" s="24">
        <v>46259</v>
      </c>
      <c r="C28" s="14"/>
      <c r="D28" s="14"/>
      <c r="E28" s="359"/>
      <c r="F28" s="90"/>
      <c r="G28" s="37">
        <f t="shared" si="2"/>
        <v>0</v>
      </c>
      <c r="H28" s="41"/>
      <c r="I28" s="41"/>
      <c r="J28" s="37">
        <f t="shared" si="3"/>
        <v>0</v>
      </c>
      <c r="K28" s="37">
        <f t="shared" si="4"/>
        <v>0</v>
      </c>
      <c r="L28" s="37"/>
      <c r="M28" s="37">
        <f t="shared" si="5"/>
        <v>267321.5</v>
      </c>
      <c r="N28" s="14"/>
    </row>
    <row r="29" spans="1:17">
      <c r="A29" s="23">
        <v>26</v>
      </c>
      <c r="B29" s="24">
        <v>46260</v>
      </c>
      <c r="C29" s="14"/>
      <c r="D29" s="14"/>
      <c r="E29" s="359"/>
      <c r="F29" s="90"/>
      <c r="G29" s="37">
        <f t="shared" si="2"/>
        <v>0</v>
      </c>
      <c r="H29" s="41"/>
      <c r="I29" s="41"/>
      <c r="J29" s="37">
        <f t="shared" si="3"/>
        <v>0</v>
      </c>
      <c r="K29" s="37">
        <f t="shared" si="4"/>
        <v>0</v>
      </c>
      <c r="L29" s="37"/>
      <c r="M29" s="37">
        <f t="shared" si="5"/>
        <v>267321.5</v>
      </c>
      <c r="N29" s="14"/>
    </row>
    <row r="30" spans="1:17">
      <c r="A30" s="23">
        <v>27</v>
      </c>
      <c r="B30" s="24">
        <v>46261</v>
      </c>
      <c r="C30" s="14"/>
      <c r="D30" s="14"/>
      <c r="E30" s="359"/>
      <c r="F30" s="90"/>
      <c r="G30" s="37">
        <f t="shared" si="2"/>
        <v>0</v>
      </c>
      <c r="H30" s="41"/>
      <c r="I30" s="41"/>
      <c r="J30" s="37">
        <f t="shared" si="3"/>
        <v>0</v>
      </c>
      <c r="K30" s="37">
        <f t="shared" si="4"/>
        <v>0</v>
      </c>
      <c r="L30" s="37"/>
      <c r="M30" s="37">
        <f t="shared" si="5"/>
        <v>267321.5</v>
      </c>
      <c r="N30" s="14"/>
      <c r="P30" s="19"/>
    </row>
    <row r="31" spans="1:17">
      <c r="A31" s="23">
        <v>28</v>
      </c>
      <c r="B31" s="24">
        <v>46262</v>
      </c>
      <c r="C31" s="14"/>
      <c r="D31" s="14"/>
      <c r="E31" s="359"/>
      <c r="F31" s="90"/>
      <c r="G31" s="37">
        <f t="shared" si="2"/>
        <v>0</v>
      </c>
      <c r="H31" s="41"/>
      <c r="I31" s="41"/>
      <c r="J31" s="37">
        <f t="shared" si="3"/>
        <v>0</v>
      </c>
      <c r="K31" s="37">
        <f t="shared" si="4"/>
        <v>0</v>
      </c>
      <c r="L31" s="37"/>
      <c r="M31" s="37">
        <f t="shared" si="5"/>
        <v>267321.5</v>
      </c>
      <c r="N31" s="14"/>
    </row>
    <row r="32" spans="1:17">
      <c r="A32" s="23">
        <v>29</v>
      </c>
      <c r="B32" s="24">
        <v>46263</v>
      </c>
      <c r="C32" s="14"/>
      <c r="D32" s="223"/>
      <c r="E32" s="359">
        <v>800</v>
      </c>
      <c r="F32" s="90">
        <v>99.35</v>
      </c>
      <c r="G32" s="37">
        <f t="shared" si="2"/>
        <v>79480</v>
      </c>
      <c r="H32" s="41"/>
      <c r="I32" s="41"/>
      <c r="J32" s="37">
        <f t="shared" si="3"/>
        <v>0</v>
      </c>
      <c r="K32" s="37">
        <f t="shared" si="4"/>
        <v>79480</v>
      </c>
      <c r="L32" s="37"/>
      <c r="M32" s="37">
        <f t="shared" si="5"/>
        <v>346801.5</v>
      </c>
      <c r="N32" s="14"/>
    </row>
    <row r="33" spans="1:19">
      <c r="A33" s="23">
        <v>30</v>
      </c>
      <c r="B33" s="24">
        <v>46264</v>
      </c>
      <c r="C33" s="14"/>
      <c r="D33" s="14"/>
      <c r="E33" s="359"/>
      <c r="F33" s="90"/>
      <c r="G33" s="37">
        <f t="shared" si="2"/>
        <v>0</v>
      </c>
      <c r="H33" s="41"/>
      <c r="I33" s="41"/>
      <c r="J33" s="37">
        <f t="shared" si="3"/>
        <v>0</v>
      </c>
      <c r="K33" s="37">
        <f t="shared" si="4"/>
        <v>0</v>
      </c>
      <c r="L33" s="37"/>
      <c r="M33" s="37">
        <f t="shared" si="5"/>
        <v>346801.5</v>
      </c>
      <c r="N33" s="14"/>
      <c r="S33">
        <f>120*111.45</f>
        <v>13374</v>
      </c>
    </row>
    <row r="34" spans="1:19">
      <c r="A34" s="23">
        <v>31</v>
      </c>
      <c r="B34" s="24"/>
      <c r="C34" s="14"/>
      <c r="D34" s="14"/>
      <c r="E34" s="359"/>
      <c r="F34" s="90"/>
      <c r="G34" s="37">
        <f t="shared" si="2"/>
        <v>0</v>
      </c>
      <c r="H34" s="41"/>
      <c r="I34" s="41"/>
      <c r="J34" s="37">
        <f t="shared" si="3"/>
        <v>0</v>
      </c>
      <c r="K34" s="37">
        <f t="shared" si="4"/>
        <v>0</v>
      </c>
      <c r="L34" s="37"/>
      <c r="M34" s="37">
        <f t="shared" si="5"/>
        <v>346801.5</v>
      </c>
      <c r="N34" s="14"/>
      <c r="S34">
        <v>824605</v>
      </c>
    </row>
    <row r="35" spans="1:19">
      <c r="A35" s="23">
        <v>32</v>
      </c>
      <c r="B35" s="24"/>
      <c r="C35" s="14"/>
      <c r="D35" s="14"/>
      <c r="E35" s="359"/>
      <c r="F35" s="90"/>
      <c r="G35" s="37">
        <f t="shared" si="2"/>
        <v>0</v>
      </c>
      <c r="H35" s="41"/>
      <c r="I35" s="41"/>
      <c r="J35" s="37">
        <f t="shared" si="3"/>
        <v>0</v>
      </c>
      <c r="K35" s="37">
        <f t="shared" si="4"/>
        <v>0</v>
      </c>
      <c r="L35" s="37"/>
      <c r="M35" s="37">
        <f t="shared" si="5"/>
        <v>346801.5</v>
      </c>
      <c r="N35" s="14"/>
      <c r="S35">
        <f>S34+S33</f>
        <v>837979</v>
      </c>
    </row>
    <row r="36" spans="1:19">
      <c r="A36" s="23">
        <v>33</v>
      </c>
      <c r="B36" s="24"/>
      <c r="C36" s="14"/>
      <c r="D36" s="14"/>
      <c r="E36" s="359"/>
      <c r="F36" s="90"/>
      <c r="G36" s="37">
        <f t="shared" si="2"/>
        <v>0</v>
      </c>
      <c r="H36" s="41"/>
      <c r="I36" s="41"/>
      <c r="J36" s="37">
        <f t="shared" si="3"/>
        <v>0</v>
      </c>
      <c r="K36" s="37">
        <f t="shared" si="4"/>
        <v>0</v>
      </c>
      <c r="L36" s="37"/>
      <c r="M36" s="37">
        <f t="shared" si="5"/>
        <v>346801.5</v>
      </c>
      <c r="N36" s="14"/>
    </row>
    <row r="37" spans="1:19">
      <c r="A37" s="23">
        <v>34</v>
      </c>
      <c r="B37" s="24"/>
      <c r="C37" s="14"/>
      <c r="D37" s="14"/>
      <c r="E37" s="359"/>
      <c r="F37" s="90"/>
      <c r="G37" s="37">
        <f t="shared" si="2"/>
        <v>0</v>
      </c>
      <c r="H37" s="41"/>
      <c r="I37" s="41"/>
      <c r="J37" s="37">
        <f t="shared" si="3"/>
        <v>0</v>
      </c>
      <c r="K37" s="37">
        <f t="shared" si="4"/>
        <v>0</v>
      </c>
      <c r="L37" s="37"/>
      <c r="M37" s="37">
        <f t="shared" si="5"/>
        <v>346801.5</v>
      </c>
      <c r="N37" s="14"/>
      <c r="Q37" s="234"/>
    </row>
    <row r="38" spans="1:19">
      <c r="A38" s="23">
        <v>35</v>
      </c>
      <c r="B38" s="24"/>
      <c r="C38" s="14"/>
      <c r="D38" s="14"/>
      <c r="E38" s="359"/>
      <c r="F38" s="90"/>
      <c r="G38" s="37">
        <f t="shared" si="2"/>
        <v>0</v>
      </c>
      <c r="H38" s="41"/>
      <c r="I38" s="41"/>
      <c r="J38" s="37">
        <f t="shared" si="3"/>
        <v>0</v>
      </c>
      <c r="K38" s="37">
        <f t="shared" si="4"/>
        <v>0</v>
      </c>
      <c r="L38" s="37"/>
      <c r="M38" s="37">
        <f t="shared" si="5"/>
        <v>346801.5</v>
      </c>
      <c r="N38" s="14"/>
      <c r="Q38" s="234"/>
    </row>
    <row r="39" spans="1:19">
      <c r="A39" s="23">
        <v>36</v>
      </c>
      <c r="B39" s="24"/>
      <c r="C39" s="14"/>
      <c r="D39" s="14"/>
      <c r="E39" s="90"/>
      <c r="F39" s="90"/>
      <c r="G39" s="37">
        <f t="shared" ref="G5:G39" si="6">E39*F39</f>
        <v>0</v>
      </c>
      <c r="H39" s="41"/>
      <c r="I39" s="41"/>
      <c r="J39" s="37">
        <f t="shared" ref="J5:J39" si="7">H39*I39</f>
        <v>0</v>
      </c>
      <c r="K39" s="37">
        <f t="shared" si="4"/>
        <v>0</v>
      </c>
      <c r="L39" s="37"/>
      <c r="M39" s="37">
        <f t="shared" si="5"/>
        <v>346801.5</v>
      </c>
      <c r="N39" s="14"/>
      <c r="Q39" s="234"/>
    </row>
    <row r="40" spans="1:19">
      <c r="A40" s="39"/>
      <c r="B40" s="39"/>
      <c r="C40" s="39"/>
      <c r="D40" s="39"/>
      <c r="E40" s="39">
        <f>SUM(E4:E39)</f>
        <v>5000</v>
      </c>
      <c r="F40" s="39"/>
      <c r="G40" s="39">
        <f>SUM(G4:G39)</f>
        <v>496750</v>
      </c>
      <c r="H40" s="39">
        <f>SUM(H4:H39)</f>
        <v>30</v>
      </c>
      <c r="I40" s="39"/>
      <c r="J40" s="39">
        <f>SUM(J4:J39)</f>
        <v>3343.5</v>
      </c>
      <c r="K40" s="39">
        <f>SUM(K4:K39)</f>
        <v>500093.5</v>
      </c>
      <c r="L40" s="39">
        <f>SUM(L4:L39)</f>
        <v>300000</v>
      </c>
      <c r="M40" s="39"/>
      <c r="N40" s="39"/>
    </row>
  </sheetData>
  <mergeCells count="1">
    <mergeCell ref="A1:N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Q39"/>
  <sheetViews>
    <sheetView workbookViewId="0">
      <selection activeCell="B4" sqref="B4"/>
    </sheetView>
  </sheetViews>
  <sheetFormatPr defaultRowHeight="15"/>
  <cols>
    <col min="1" max="1" width="5.140625" bestFit="1" customWidth="1"/>
    <col min="2" max="2" width="10.5703125" bestFit="1" customWidth="1"/>
    <col min="5" max="5" width="15.140625" customWidth="1"/>
    <col min="6" max="6" width="16.42578125" customWidth="1"/>
    <col min="7" max="7" width="9.28515625" bestFit="1" customWidth="1"/>
    <col min="8" max="8" width="10.7109375" bestFit="1" customWidth="1"/>
    <col min="11" max="11" width="13.5703125" bestFit="1" customWidth="1"/>
    <col min="12" max="12" width="10.42578125" bestFit="1" customWidth="1"/>
    <col min="13" max="13" width="11.28515625" bestFit="1" customWidth="1"/>
  </cols>
  <sheetData>
    <row r="1" spans="1:17" ht="15.75">
      <c r="A1" s="585" t="s">
        <v>241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89"/>
      <c r="P1" s="89"/>
      <c r="Q1" s="89"/>
    </row>
    <row r="2" spans="1:17">
      <c r="A2" s="61" t="s">
        <v>0</v>
      </c>
      <c r="B2" s="61" t="s">
        <v>170</v>
      </c>
      <c r="C2" s="61" t="s">
        <v>171</v>
      </c>
      <c r="D2" s="61" t="s">
        <v>172</v>
      </c>
      <c r="E2" s="88" t="s">
        <v>173</v>
      </c>
      <c r="F2" s="88" t="s">
        <v>174</v>
      </c>
      <c r="G2" s="88" t="s">
        <v>175</v>
      </c>
      <c r="H2" s="88" t="s">
        <v>176</v>
      </c>
      <c r="I2" s="88" t="s">
        <v>174</v>
      </c>
      <c r="J2" s="88" t="s">
        <v>175</v>
      </c>
      <c r="K2" s="88" t="s">
        <v>177</v>
      </c>
      <c r="L2" s="82" t="s">
        <v>178</v>
      </c>
      <c r="M2" s="82" t="s">
        <v>179</v>
      </c>
      <c r="N2" s="61" t="s">
        <v>180</v>
      </c>
    </row>
    <row r="3" spans="1:17">
      <c r="A3" s="14"/>
      <c r="B3" s="14"/>
      <c r="C3" s="14"/>
      <c r="D3" s="14" t="s">
        <v>181</v>
      </c>
      <c r="E3" s="14"/>
      <c r="F3" s="14"/>
      <c r="G3" s="14"/>
      <c r="H3" s="14"/>
      <c r="I3" s="14"/>
      <c r="J3" s="14"/>
      <c r="K3" s="37">
        <v>274277.22479999973</v>
      </c>
      <c r="L3" s="14"/>
      <c r="M3" s="37">
        <v>274277.22479999973</v>
      </c>
      <c r="N3" s="14"/>
      <c r="O3" s="37"/>
    </row>
    <row r="4" spans="1:17">
      <c r="A4" s="23">
        <v>1</v>
      </c>
      <c r="B4" s="24">
        <v>46235</v>
      </c>
      <c r="C4" s="14"/>
      <c r="D4" s="14"/>
      <c r="E4" s="359"/>
      <c r="F4" s="90"/>
      <c r="G4" s="37">
        <f t="shared" ref="G4:G38" si="0">E4*F4</f>
        <v>0</v>
      </c>
      <c r="H4" s="41"/>
      <c r="I4" s="41"/>
      <c r="J4" s="37">
        <f t="shared" ref="J4:J38" si="1">H4*I4</f>
        <v>0</v>
      </c>
      <c r="K4" s="37">
        <f>G4+J4</f>
        <v>0</v>
      </c>
      <c r="L4" s="37"/>
      <c r="M4" s="37">
        <f>M3+K4-L4</f>
        <v>274277.22479999973</v>
      </c>
      <c r="N4" s="14"/>
    </row>
    <row r="5" spans="1:17">
      <c r="A5" s="23">
        <v>2</v>
      </c>
      <c r="B5" s="24">
        <v>46236</v>
      </c>
      <c r="C5" s="326"/>
      <c r="D5" s="14"/>
      <c r="E5" s="359"/>
      <c r="F5" s="90"/>
      <c r="G5" s="37">
        <f t="shared" si="0"/>
        <v>0</v>
      </c>
      <c r="H5" s="41"/>
      <c r="I5" s="41"/>
      <c r="J5" s="37">
        <f t="shared" si="1"/>
        <v>0</v>
      </c>
      <c r="K5" s="37">
        <f t="shared" ref="K5:K38" si="2">G5+J5</f>
        <v>0</v>
      </c>
      <c r="L5" s="37"/>
      <c r="M5" s="37">
        <f>M4+K5-L5</f>
        <v>274277.22479999973</v>
      </c>
      <c r="N5" s="14" t="s">
        <v>240</v>
      </c>
    </row>
    <row r="6" spans="1:17">
      <c r="A6" s="23">
        <v>3</v>
      </c>
      <c r="B6" s="24">
        <v>46237</v>
      </c>
      <c r="C6" s="14"/>
      <c r="D6" s="14"/>
      <c r="E6" s="359"/>
      <c r="F6" s="90"/>
      <c r="G6" s="37">
        <f t="shared" si="0"/>
        <v>0</v>
      </c>
      <c r="H6" s="41"/>
      <c r="I6" s="41"/>
      <c r="J6" s="37">
        <f t="shared" si="1"/>
        <v>0</v>
      </c>
      <c r="K6" s="37">
        <f t="shared" si="2"/>
        <v>0</v>
      </c>
      <c r="L6" s="37"/>
      <c r="M6" s="37">
        <f>M5+K6-L6</f>
        <v>274277.22479999973</v>
      </c>
      <c r="N6" s="14"/>
    </row>
    <row r="7" spans="1:17">
      <c r="A7" s="23">
        <v>4</v>
      </c>
      <c r="B7" s="24">
        <v>46238</v>
      </c>
      <c r="C7" s="14"/>
      <c r="D7" s="14"/>
      <c r="E7" s="359"/>
      <c r="F7" s="90"/>
      <c r="G7" s="37">
        <f t="shared" si="0"/>
        <v>0</v>
      </c>
      <c r="H7" s="359">
        <v>30</v>
      </c>
      <c r="I7" s="90">
        <v>111.21</v>
      </c>
      <c r="J7" s="37">
        <f t="shared" si="1"/>
        <v>3336.2999999999997</v>
      </c>
      <c r="K7" s="37">
        <f t="shared" si="2"/>
        <v>3336.2999999999997</v>
      </c>
      <c r="L7" s="37"/>
      <c r="M7" s="37">
        <f>M6+K7-L7</f>
        <v>277613.52479999972</v>
      </c>
      <c r="N7" s="14"/>
    </row>
    <row r="8" spans="1:17">
      <c r="A8" s="23">
        <v>5</v>
      </c>
      <c r="B8" s="24">
        <v>46239</v>
      </c>
      <c r="C8" s="14"/>
      <c r="D8" s="14"/>
      <c r="E8" s="359"/>
      <c r="F8" s="90"/>
      <c r="G8" s="37">
        <f t="shared" si="0"/>
        <v>0</v>
      </c>
      <c r="H8" s="359"/>
      <c r="I8" s="90"/>
      <c r="J8" s="37">
        <f t="shared" si="1"/>
        <v>0</v>
      </c>
      <c r="K8" s="37">
        <f t="shared" si="2"/>
        <v>0</v>
      </c>
      <c r="L8" s="37"/>
      <c r="M8" s="37">
        <f>M7+K8-L8</f>
        <v>277613.52479999972</v>
      </c>
      <c r="N8" s="14"/>
    </row>
    <row r="9" spans="1:17">
      <c r="A9" s="23">
        <v>6</v>
      </c>
      <c r="B9" s="24">
        <v>46240</v>
      </c>
      <c r="C9" s="14"/>
      <c r="D9" s="14"/>
      <c r="E9" s="359"/>
      <c r="F9" s="90"/>
      <c r="G9" s="37">
        <f t="shared" si="0"/>
        <v>0</v>
      </c>
      <c r="H9" s="359">
        <v>30</v>
      </c>
      <c r="I9" s="90">
        <v>111.21</v>
      </c>
      <c r="J9" s="37">
        <f t="shared" si="1"/>
        <v>3336.2999999999997</v>
      </c>
      <c r="K9" s="37">
        <f t="shared" si="2"/>
        <v>3336.2999999999997</v>
      </c>
      <c r="L9" s="37"/>
      <c r="M9" s="37">
        <f t="shared" ref="M9:M38" si="3">M8+K9-L9</f>
        <v>280949.82479999971</v>
      </c>
      <c r="N9" s="14"/>
    </row>
    <row r="10" spans="1:17">
      <c r="A10" s="23">
        <v>7</v>
      </c>
      <c r="B10" s="24">
        <v>46241</v>
      </c>
      <c r="C10" s="14"/>
      <c r="D10" s="14"/>
      <c r="E10" s="359"/>
      <c r="F10" s="90"/>
      <c r="G10" s="37">
        <f t="shared" si="0"/>
        <v>0</v>
      </c>
      <c r="H10" s="41"/>
      <c r="I10" s="41"/>
      <c r="J10" s="37">
        <f t="shared" si="1"/>
        <v>0</v>
      </c>
      <c r="K10" s="37">
        <f t="shared" si="2"/>
        <v>0</v>
      </c>
      <c r="L10" s="37"/>
      <c r="M10" s="37">
        <f t="shared" si="3"/>
        <v>280949.82479999971</v>
      </c>
      <c r="N10" s="14"/>
    </row>
    <row r="11" spans="1:17">
      <c r="A11" s="23">
        <v>8</v>
      </c>
      <c r="B11" s="24">
        <v>46242</v>
      </c>
      <c r="C11" s="14"/>
      <c r="D11" s="14"/>
      <c r="E11" s="359"/>
      <c r="F11" s="90"/>
      <c r="G11" s="37">
        <f t="shared" si="0"/>
        <v>0</v>
      </c>
      <c r="H11" s="41">
        <v>30</v>
      </c>
      <c r="I11" s="41">
        <v>111.21</v>
      </c>
      <c r="J11" s="37">
        <f t="shared" si="1"/>
        <v>3336.2999999999997</v>
      </c>
      <c r="K11" s="37">
        <f t="shared" si="2"/>
        <v>3336.2999999999997</v>
      </c>
      <c r="L11" s="37"/>
      <c r="M11" s="37">
        <f t="shared" si="3"/>
        <v>284286.1247999997</v>
      </c>
      <c r="N11" s="14"/>
    </row>
    <row r="12" spans="1:17">
      <c r="A12" s="23">
        <v>9</v>
      </c>
      <c r="B12" s="24">
        <v>46243</v>
      </c>
      <c r="C12" s="14"/>
      <c r="D12" s="14"/>
      <c r="E12" s="385"/>
      <c r="F12" s="90"/>
      <c r="G12" s="37">
        <f t="shared" si="0"/>
        <v>0</v>
      </c>
      <c r="H12" s="41"/>
      <c r="I12" s="41"/>
      <c r="J12" s="37">
        <f t="shared" si="1"/>
        <v>0</v>
      </c>
      <c r="K12" s="37">
        <f t="shared" si="2"/>
        <v>0</v>
      </c>
      <c r="L12" s="37"/>
      <c r="M12" s="37">
        <f t="shared" si="3"/>
        <v>284286.1247999997</v>
      </c>
      <c r="N12" s="14"/>
    </row>
    <row r="13" spans="1:17">
      <c r="A13" s="23">
        <v>10</v>
      </c>
      <c r="B13" s="24">
        <v>46244</v>
      </c>
      <c r="C13" s="14"/>
      <c r="D13" s="14"/>
      <c r="E13" s="385"/>
      <c r="F13" s="385"/>
      <c r="G13" s="37">
        <f t="shared" si="0"/>
        <v>0</v>
      </c>
      <c r="H13" s="41"/>
      <c r="I13" s="41"/>
      <c r="J13" s="37">
        <f t="shared" si="1"/>
        <v>0</v>
      </c>
      <c r="K13" s="37">
        <f t="shared" si="2"/>
        <v>0</v>
      </c>
      <c r="L13" s="37"/>
      <c r="M13" s="37">
        <f t="shared" si="3"/>
        <v>284286.1247999997</v>
      </c>
      <c r="N13" s="14"/>
    </row>
    <row r="14" spans="1:17">
      <c r="A14" s="23">
        <v>11</v>
      </c>
      <c r="B14" s="24">
        <v>46245</v>
      </c>
      <c r="C14" s="14"/>
      <c r="D14" s="14"/>
      <c r="E14" s="359"/>
      <c r="F14" s="90"/>
      <c r="G14" s="37">
        <f t="shared" si="0"/>
        <v>0</v>
      </c>
      <c r="H14" s="41"/>
      <c r="I14" s="41"/>
      <c r="J14" s="37">
        <f t="shared" si="1"/>
        <v>0</v>
      </c>
      <c r="K14" s="37">
        <f t="shared" si="2"/>
        <v>0</v>
      </c>
      <c r="L14" s="37"/>
      <c r="M14" s="37">
        <f t="shared" si="3"/>
        <v>284286.1247999997</v>
      </c>
      <c r="N14" s="14"/>
    </row>
    <row r="15" spans="1:17">
      <c r="A15" s="23">
        <v>12</v>
      </c>
      <c r="B15" s="24">
        <v>46246</v>
      </c>
      <c r="C15" s="14"/>
      <c r="D15" s="14"/>
      <c r="E15" s="359"/>
      <c r="F15" s="90"/>
      <c r="G15" s="37">
        <f t="shared" si="0"/>
        <v>0</v>
      </c>
      <c r="H15" s="41">
        <v>30</v>
      </c>
      <c r="I15" s="41">
        <v>111.21</v>
      </c>
      <c r="J15" s="37">
        <f t="shared" si="1"/>
        <v>3336.2999999999997</v>
      </c>
      <c r="K15" s="37">
        <f t="shared" si="2"/>
        <v>3336.2999999999997</v>
      </c>
      <c r="L15" s="37"/>
      <c r="M15" s="37">
        <f t="shared" si="3"/>
        <v>287622.42479999969</v>
      </c>
      <c r="N15" s="14"/>
    </row>
    <row r="16" spans="1:17">
      <c r="A16" s="23">
        <v>13</v>
      </c>
      <c r="B16" s="24">
        <v>46247</v>
      </c>
      <c r="C16" s="14"/>
      <c r="D16" s="90"/>
      <c r="E16" s="359">
        <v>200</v>
      </c>
      <c r="F16" s="90">
        <v>99.13</v>
      </c>
      <c r="G16" s="37">
        <f t="shared" si="0"/>
        <v>19826</v>
      </c>
      <c r="H16" s="41"/>
      <c r="I16" s="41">
        <v>111.21</v>
      </c>
      <c r="J16" s="37">
        <f t="shared" si="1"/>
        <v>0</v>
      </c>
      <c r="K16" s="37">
        <f t="shared" si="2"/>
        <v>19826</v>
      </c>
      <c r="L16" s="37"/>
      <c r="M16" s="37">
        <f t="shared" si="3"/>
        <v>307448.42479999969</v>
      </c>
      <c r="N16" s="14"/>
    </row>
    <row r="17" spans="1:17">
      <c r="A17" s="23">
        <v>14</v>
      </c>
      <c r="B17" s="24">
        <v>46248</v>
      </c>
      <c r="C17" s="14"/>
      <c r="D17" s="90"/>
      <c r="E17" s="359"/>
      <c r="F17" s="90"/>
      <c r="G17" s="37">
        <f t="shared" si="0"/>
        <v>0</v>
      </c>
      <c r="H17" s="41"/>
      <c r="I17" s="41"/>
      <c r="J17" s="37">
        <f t="shared" si="1"/>
        <v>0</v>
      </c>
      <c r="K17" s="37">
        <f t="shared" si="2"/>
        <v>0</v>
      </c>
      <c r="L17" s="37"/>
      <c r="M17" s="37">
        <f t="shared" si="3"/>
        <v>307448.42479999969</v>
      </c>
      <c r="N17" s="14"/>
    </row>
    <row r="18" spans="1:17">
      <c r="A18" s="23">
        <v>15</v>
      </c>
      <c r="B18" s="24">
        <v>46249</v>
      </c>
      <c r="C18" s="14"/>
      <c r="D18" s="14">
        <v>0</v>
      </c>
      <c r="E18" s="359"/>
      <c r="F18" s="90"/>
      <c r="G18" s="37">
        <f t="shared" si="0"/>
        <v>0</v>
      </c>
      <c r="H18" s="41"/>
      <c r="I18" s="41"/>
      <c r="J18" s="37">
        <f t="shared" si="1"/>
        <v>0</v>
      </c>
      <c r="K18" s="37">
        <f t="shared" si="2"/>
        <v>0</v>
      </c>
      <c r="L18" s="37"/>
      <c r="M18" s="37">
        <f t="shared" si="3"/>
        <v>307448.42479999969</v>
      </c>
      <c r="N18" s="14"/>
      <c r="Q18" s="316"/>
    </row>
    <row r="19" spans="1:17">
      <c r="A19" s="23">
        <v>16</v>
      </c>
      <c r="B19" s="24">
        <v>46250</v>
      </c>
      <c r="C19" s="14"/>
      <c r="D19" s="14"/>
      <c r="E19" s="359"/>
      <c r="F19" s="90"/>
      <c r="G19" s="37">
        <f t="shared" si="0"/>
        <v>0</v>
      </c>
      <c r="H19" s="41"/>
      <c r="I19" s="41"/>
      <c r="J19" s="37">
        <f t="shared" si="1"/>
        <v>0</v>
      </c>
      <c r="K19" s="37">
        <f t="shared" si="2"/>
        <v>0</v>
      </c>
      <c r="L19" s="37"/>
      <c r="M19" s="37">
        <f t="shared" si="3"/>
        <v>307448.42479999969</v>
      </c>
      <c r="N19" s="14"/>
    </row>
    <row r="20" spans="1:17">
      <c r="A20" s="23">
        <v>17</v>
      </c>
      <c r="B20" s="24">
        <v>46251</v>
      </c>
      <c r="C20" s="14"/>
      <c r="D20" s="14"/>
      <c r="E20" s="359"/>
      <c r="F20" s="90"/>
      <c r="G20" s="37">
        <f t="shared" si="0"/>
        <v>0</v>
      </c>
      <c r="H20" s="41">
        <v>37.31</v>
      </c>
      <c r="I20" s="41">
        <v>111.21</v>
      </c>
      <c r="J20" s="37">
        <f t="shared" si="1"/>
        <v>4149.2451000000001</v>
      </c>
      <c r="K20" s="37">
        <f t="shared" si="2"/>
        <v>4149.2451000000001</v>
      </c>
      <c r="L20" s="37"/>
      <c r="M20" s="37">
        <f t="shared" si="3"/>
        <v>311597.66989999969</v>
      </c>
      <c r="N20" s="14"/>
    </row>
    <row r="21" spans="1:17">
      <c r="A21" s="23">
        <v>18</v>
      </c>
      <c r="B21" s="24">
        <v>46252</v>
      </c>
      <c r="C21" s="14"/>
      <c r="D21" s="14"/>
      <c r="E21" s="359"/>
      <c r="F21" s="90"/>
      <c r="G21" s="37">
        <f t="shared" si="0"/>
        <v>0</v>
      </c>
      <c r="H21" s="41"/>
      <c r="I21" s="41"/>
      <c r="J21" s="37">
        <f t="shared" si="1"/>
        <v>0</v>
      </c>
      <c r="K21" s="37">
        <f t="shared" si="2"/>
        <v>0</v>
      </c>
      <c r="L21" s="37"/>
      <c r="M21" s="37">
        <f t="shared" si="3"/>
        <v>311597.66989999969</v>
      </c>
      <c r="N21" s="14"/>
    </row>
    <row r="22" spans="1:17">
      <c r="A22" s="23">
        <v>19</v>
      </c>
      <c r="B22" s="24">
        <v>46253</v>
      </c>
      <c r="C22" s="14"/>
      <c r="D22" s="14"/>
      <c r="E22" s="359"/>
      <c r="F22" s="90"/>
      <c r="G22" s="37">
        <f t="shared" si="0"/>
        <v>0</v>
      </c>
      <c r="H22" s="41"/>
      <c r="I22" s="41"/>
      <c r="J22" s="37">
        <f t="shared" si="1"/>
        <v>0</v>
      </c>
      <c r="K22" s="37">
        <f t="shared" si="2"/>
        <v>0</v>
      </c>
      <c r="L22" s="37"/>
      <c r="M22" s="37">
        <f t="shared" si="3"/>
        <v>311597.66989999969</v>
      </c>
      <c r="N22" s="14"/>
    </row>
    <row r="23" spans="1:17">
      <c r="A23" s="23">
        <v>20</v>
      </c>
      <c r="B23" s="24">
        <v>46254</v>
      </c>
      <c r="C23" s="14"/>
      <c r="D23" s="14"/>
      <c r="E23" s="359"/>
      <c r="F23" s="90"/>
      <c r="G23" s="37">
        <f t="shared" si="0"/>
        <v>0</v>
      </c>
      <c r="H23" s="41">
        <v>30</v>
      </c>
      <c r="I23" s="41">
        <v>111.21</v>
      </c>
      <c r="J23" s="37">
        <f t="shared" si="1"/>
        <v>3336.2999999999997</v>
      </c>
      <c r="K23" s="37">
        <f t="shared" si="2"/>
        <v>3336.2999999999997</v>
      </c>
      <c r="L23" s="37"/>
      <c r="M23" s="37">
        <f t="shared" si="3"/>
        <v>314933.96989999968</v>
      </c>
      <c r="N23" s="14"/>
    </row>
    <row r="24" spans="1:17">
      <c r="A24" s="23">
        <v>22</v>
      </c>
      <c r="B24" s="24">
        <v>46255</v>
      </c>
      <c r="C24" s="14"/>
      <c r="D24" s="14"/>
      <c r="E24" s="359"/>
      <c r="F24" s="90"/>
      <c r="G24" s="37">
        <f t="shared" si="0"/>
        <v>0</v>
      </c>
      <c r="H24" s="41"/>
      <c r="I24" s="41"/>
      <c r="J24" s="37">
        <f t="shared" si="1"/>
        <v>0</v>
      </c>
      <c r="K24" s="37">
        <f t="shared" si="2"/>
        <v>0</v>
      </c>
      <c r="L24" s="37"/>
      <c r="M24" s="37">
        <f t="shared" si="3"/>
        <v>314933.96989999968</v>
      </c>
      <c r="N24" s="14"/>
    </row>
    <row r="25" spans="1:17">
      <c r="A25" s="23">
        <v>23</v>
      </c>
      <c r="B25" s="24">
        <v>46256</v>
      </c>
      <c r="C25" s="14"/>
      <c r="D25" s="14"/>
      <c r="E25" s="359"/>
      <c r="F25" s="90"/>
      <c r="G25" s="37">
        <f t="shared" si="0"/>
        <v>0</v>
      </c>
      <c r="H25" s="41"/>
      <c r="I25" s="41"/>
      <c r="J25" s="37">
        <f t="shared" si="1"/>
        <v>0</v>
      </c>
      <c r="K25" s="37">
        <f t="shared" si="2"/>
        <v>0</v>
      </c>
      <c r="L25" s="37"/>
      <c r="M25" s="37">
        <f t="shared" si="3"/>
        <v>314933.96989999968</v>
      </c>
      <c r="N25" s="14"/>
    </row>
    <row r="26" spans="1:17">
      <c r="A26" s="23">
        <v>24</v>
      </c>
      <c r="B26" s="24">
        <v>46257</v>
      </c>
      <c r="C26" s="14"/>
      <c r="D26" s="14"/>
      <c r="E26" s="359"/>
      <c r="F26" s="90"/>
      <c r="G26" s="37">
        <f t="shared" si="0"/>
        <v>0</v>
      </c>
      <c r="H26" s="41"/>
      <c r="I26" s="41"/>
      <c r="J26" s="37">
        <f t="shared" si="1"/>
        <v>0</v>
      </c>
      <c r="K26" s="37">
        <f t="shared" si="2"/>
        <v>0</v>
      </c>
      <c r="L26" s="37"/>
      <c r="M26" s="37">
        <f t="shared" si="3"/>
        <v>314933.96989999968</v>
      </c>
      <c r="N26" s="14"/>
    </row>
    <row r="27" spans="1:17">
      <c r="A27" s="23">
        <v>25</v>
      </c>
      <c r="B27" s="24">
        <v>46258</v>
      </c>
      <c r="C27" s="14"/>
      <c r="D27" s="14"/>
      <c r="E27" s="359"/>
      <c r="F27" s="90"/>
      <c r="G27" s="37">
        <f t="shared" si="0"/>
        <v>0</v>
      </c>
      <c r="H27" s="41"/>
      <c r="I27" s="41"/>
      <c r="J27" s="37">
        <f t="shared" si="1"/>
        <v>0</v>
      </c>
      <c r="K27" s="37">
        <f t="shared" si="2"/>
        <v>0</v>
      </c>
      <c r="L27" s="37"/>
      <c r="M27" s="37">
        <f t="shared" si="3"/>
        <v>314933.96989999968</v>
      </c>
      <c r="N27" s="14"/>
    </row>
    <row r="28" spans="1:17">
      <c r="A28" s="23">
        <v>26</v>
      </c>
      <c r="B28" s="24">
        <v>46259</v>
      </c>
      <c r="C28" s="14"/>
      <c r="D28" s="14"/>
      <c r="E28" s="359"/>
      <c r="F28" s="90"/>
      <c r="G28" s="37">
        <f t="shared" si="0"/>
        <v>0</v>
      </c>
      <c r="H28" s="41"/>
      <c r="I28" s="41"/>
      <c r="J28" s="37">
        <f t="shared" si="1"/>
        <v>0</v>
      </c>
      <c r="K28" s="37">
        <f t="shared" si="2"/>
        <v>0</v>
      </c>
      <c r="L28" s="37"/>
      <c r="M28" s="37">
        <f t="shared" si="3"/>
        <v>314933.96989999968</v>
      </c>
      <c r="N28" s="14"/>
    </row>
    <row r="29" spans="1:17">
      <c r="A29" s="23">
        <v>27</v>
      </c>
      <c r="B29" s="24">
        <v>46260</v>
      </c>
      <c r="C29" s="14"/>
      <c r="D29" s="14"/>
      <c r="E29" s="359"/>
      <c r="F29" s="90"/>
      <c r="G29" s="37">
        <f t="shared" si="0"/>
        <v>0</v>
      </c>
      <c r="H29" s="41"/>
      <c r="I29" s="41"/>
      <c r="J29" s="37">
        <f t="shared" si="1"/>
        <v>0</v>
      </c>
      <c r="K29" s="37">
        <f t="shared" si="2"/>
        <v>0</v>
      </c>
      <c r="L29" s="37"/>
      <c r="M29" s="37">
        <f t="shared" si="3"/>
        <v>314933.96989999968</v>
      </c>
      <c r="N29" s="14"/>
      <c r="P29" s="19"/>
    </row>
    <row r="30" spans="1:17">
      <c r="A30" s="23">
        <v>28</v>
      </c>
      <c r="B30" s="24">
        <v>46261</v>
      </c>
      <c r="C30" s="14"/>
      <c r="D30" s="14"/>
      <c r="E30" s="359"/>
      <c r="F30" s="90"/>
      <c r="G30" s="37">
        <f t="shared" si="0"/>
        <v>0</v>
      </c>
      <c r="H30" s="41">
        <v>30</v>
      </c>
      <c r="I30" s="41">
        <v>111.21</v>
      </c>
      <c r="J30" s="37">
        <f t="shared" si="1"/>
        <v>3336.2999999999997</v>
      </c>
      <c r="K30" s="37">
        <f t="shared" si="2"/>
        <v>3336.2999999999997</v>
      </c>
      <c r="L30" s="37"/>
      <c r="M30" s="37">
        <f t="shared" si="3"/>
        <v>318270.26989999966</v>
      </c>
      <c r="N30" s="14"/>
    </row>
    <row r="31" spans="1:17">
      <c r="A31" s="23">
        <v>29</v>
      </c>
      <c r="B31" s="24">
        <v>46262</v>
      </c>
      <c r="C31" s="14"/>
      <c r="D31" s="223"/>
      <c r="E31" s="359"/>
      <c r="F31" s="90"/>
      <c r="G31" s="37">
        <f t="shared" si="0"/>
        <v>0</v>
      </c>
      <c r="H31" s="41"/>
      <c r="I31" s="41"/>
      <c r="J31" s="37">
        <f t="shared" si="1"/>
        <v>0</v>
      </c>
      <c r="K31" s="37">
        <f t="shared" si="2"/>
        <v>0</v>
      </c>
      <c r="L31" s="373">
        <v>317605</v>
      </c>
      <c r="M31" s="37">
        <f t="shared" si="3"/>
        <v>665.26989999966463</v>
      </c>
      <c r="N31" s="14"/>
      <c r="Q31">
        <v>166834</v>
      </c>
    </row>
    <row r="32" spans="1:17">
      <c r="A32" s="23">
        <v>30</v>
      </c>
      <c r="B32" s="24">
        <v>46263</v>
      </c>
      <c r="C32" s="14"/>
      <c r="D32" s="14"/>
      <c r="E32" s="359"/>
      <c r="F32" s="90"/>
      <c r="G32" s="37">
        <f t="shared" si="0"/>
        <v>0</v>
      </c>
      <c r="H32" s="41"/>
      <c r="I32" s="41"/>
      <c r="J32" s="37">
        <f t="shared" si="1"/>
        <v>0</v>
      </c>
      <c r="K32" s="37">
        <f t="shared" si="2"/>
        <v>0</v>
      </c>
      <c r="L32" s="37"/>
      <c r="M32" s="37">
        <f t="shared" si="3"/>
        <v>665.26989999966463</v>
      </c>
      <c r="N32" s="14"/>
    </row>
    <row r="33" spans="1:17">
      <c r="A33" s="23">
        <v>31</v>
      </c>
      <c r="B33" s="24">
        <v>46264</v>
      </c>
      <c r="C33" s="14"/>
      <c r="D33" s="14"/>
      <c r="E33" s="359"/>
      <c r="F33" s="90"/>
      <c r="G33" s="37">
        <f t="shared" si="0"/>
        <v>0</v>
      </c>
      <c r="H33" s="41"/>
      <c r="I33" s="41"/>
      <c r="J33" s="37">
        <f t="shared" si="1"/>
        <v>0</v>
      </c>
      <c r="K33" s="37">
        <f t="shared" si="2"/>
        <v>0</v>
      </c>
      <c r="L33" s="37"/>
      <c r="M33" s="37">
        <f t="shared" si="3"/>
        <v>665.26989999966463</v>
      </c>
      <c r="N33" s="14"/>
    </row>
    <row r="34" spans="1:17">
      <c r="A34" s="23">
        <v>32</v>
      </c>
      <c r="B34" s="24">
        <v>46265</v>
      </c>
      <c r="C34" s="14"/>
      <c r="D34" s="14"/>
      <c r="E34" s="359"/>
      <c r="F34" s="90"/>
      <c r="G34" s="37">
        <f t="shared" si="0"/>
        <v>0</v>
      </c>
      <c r="H34" s="41"/>
      <c r="I34" s="41"/>
      <c r="J34" s="37">
        <f t="shared" si="1"/>
        <v>0</v>
      </c>
      <c r="K34" s="37">
        <f t="shared" si="2"/>
        <v>0</v>
      </c>
      <c r="L34" s="37"/>
      <c r="M34" s="37">
        <f t="shared" si="3"/>
        <v>665.26989999966463</v>
      </c>
      <c r="N34" s="14"/>
    </row>
    <row r="35" spans="1:17">
      <c r="A35" s="23">
        <v>33</v>
      </c>
      <c r="B35" s="24"/>
      <c r="C35" s="14"/>
      <c r="D35" s="14"/>
      <c r="E35" s="359"/>
      <c r="F35" s="90"/>
      <c r="G35" s="37">
        <f t="shared" si="0"/>
        <v>0</v>
      </c>
      <c r="H35" s="41"/>
      <c r="I35" s="41"/>
      <c r="J35" s="37">
        <f t="shared" si="1"/>
        <v>0</v>
      </c>
      <c r="K35" s="37">
        <f t="shared" si="2"/>
        <v>0</v>
      </c>
      <c r="L35" s="37"/>
      <c r="M35" s="37">
        <f t="shared" si="3"/>
        <v>665.26989999966463</v>
      </c>
      <c r="N35" s="14"/>
    </row>
    <row r="36" spans="1:17">
      <c r="A36" s="23">
        <v>34</v>
      </c>
      <c r="B36" s="24"/>
      <c r="C36" s="14"/>
      <c r="D36" s="14"/>
      <c r="E36" s="359"/>
      <c r="F36" s="90"/>
      <c r="G36" s="37">
        <f t="shared" si="0"/>
        <v>0</v>
      </c>
      <c r="H36" s="41"/>
      <c r="I36" s="41"/>
      <c r="J36" s="37">
        <f t="shared" si="1"/>
        <v>0</v>
      </c>
      <c r="K36" s="37">
        <f t="shared" si="2"/>
        <v>0</v>
      </c>
      <c r="L36" s="37"/>
      <c r="M36" s="37">
        <f t="shared" si="3"/>
        <v>665.26989999966463</v>
      </c>
      <c r="N36" s="14"/>
      <c r="Q36" s="234"/>
    </row>
    <row r="37" spans="1:17">
      <c r="A37" s="23">
        <v>35</v>
      </c>
      <c r="B37" s="24"/>
      <c r="C37" s="14"/>
      <c r="D37" s="14"/>
      <c r="E37" s="359"/>
      <c r="F37" s="90"/>
      <c r="G37" s="37">
        <f t="shared" si="0"/>
        <v>0</v>
      </c>
      <c r="H37" s="41"/>
      <c r="I37" s="41"/>
      <c r="J37" s="37">
        <f t="shared" si="1"/>
        <v>0</v>
      </c>
      <c r="K37" s="37">
        <f t="shared" si="2"/>
        <v>0</v>
      </c>
      <c r="L37" s="37"/>
      <c r="M37" s="37">
        <f t="shared" si="3"/>
        <v>665.26989999966463</v>
      </c>
      <c r="N37" s="14"/>
      <c r="Q37" s="234"/>
    </row>
    <row r="38" spans="1:17">
      <c r="A38" s="23">
        <v>36</v>
      </c>
      <c r="B38" s="24"/>
      <c r="C38" s="14"/>
      <c r="D38" s="14"/>
      <c r="E38" s="90"/>
      <c r="F38" s="90"/>
      <c r="G38" s="37">
        <f t="shared" si="0"/>
        <v>0</v>
      </c>
      <c r="H38" s="41"/>
      <c r="I38" s="41"/>
      <c r="J38" s="37">
        <f t="shared" si="1"/>
        <v>0</v>
      </c>
      <c r="K38" s="37">
        <f t="shared" si="2"/>
        <v>0</v>
      </c>
      <c r="L38" s="37"/>
      <c r="M38" s="37">
        <f t="shared" si="3"/>
        <v>665.26989999966463</v>
      </c>
      <c r="N38" s="14"/>
      <c r="Q38" s="234"/>
    </row>
    <row r="39" spans="1:17">
      <c r="A39" s="39"/>
      <c r="B39" s="39"/>
      <c r="C39" s="39"/>
      <c r="D39" s="39"/>
      <c r="E39" s="39">
        <f>SUM(E4:E38)</f>
        <v>200</v>
      </c>
      <c r="F39" s="39"/>
      <c r="G39" s="39">
        <f>SUM(G4:G38)</f>
        <v>19826</v>
      </c>
      <c r="H39" s="39">
        <f>SUM(H4:H38)</f>
        <v>217.31</v>
      </c>
      <c r="I39" s="39"/>
      <c r="J39" s="39">
        <f>SUM(J4:J38)</f>
        <v>24167.045099999996</v>
      </c>
      <c r="K39" s="39">
        <f>SUM(K4:K38)</f>
        <v>43993.045100000003</v>
      </c>
      <c r="L39" s="39">
        <f>SUM(L4:L38)</f>
        <v>317605</v>
      </c>
      <c r="M39" s="39"/>
      <c r="N39" s="39"/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3" activePane="bottomLeft" state="frozen"/>
      <selection pane="bottomLeft" activeCell="P8" sqref="P8"/>
    </sheetView>
  </sheetViews>
  <sheetFormatPr defaultRowHeight="15"/>
  <cols>
    <col min="1" max="1" width="5.140625" style="74" bestFit="1" customWidth="1"/>
    <col min="2" max="2" width="10.85546875" style="74" bestFit="1" customWidth="1"/>
    <col min="3" max="3" width="16" style="74" bestFit="1" customWidth="1"/>
    <col min="4" max="4" width="13.28515625" style="74" bestFit="1" customWidth="1"/>
    <col min="5" max="6" width="10.7109375" style="74" bestFit="1" customWidth="1"/>
    <col min="7" max="7" width="11.5703125" style="74" bestFit="1" customWidth="1"/>
    <col min="8" max="8" width="10.7109375" style="74" bestFit="1" customWidth="1"/>
    <col min="9" max="9" width="7.140625" style="74" bestFit="1" customWidth="1"/>
    <col min="10" max="10" width="9.7109375" style="74" bestFit="1" customWidth="1"/>
    <col min="11" max="11" width="13.5703125" style="74" bestFit="1" customWidth="1"/>
    <col min="12" max="12" width="13.5703125" style="245" bestFit="1" customWidth="1"/>
    <col min="13" max="13" width="19.42578125" style="74" customWidth="1"/>
    <col min="14" max="14" width="14.28515625" style="74" bestFit="1" customWidth="1"/>
    <col min="15" max="15" width="16.7109375" style="74" customWidth="1"/>
    <col min="16" max="16384" width="9.140625" style="74"/>
  </cols>
  <sheetData>
    <row r="1" spans="1:15" ht="15.75">
      <c r="A1" s="555" t="s">
        <v>124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0"/>
    </row>
    <row r="2" spans="1:15" ht="30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220" t="s">
        <v>178</v>
      </c>
      <c r="M2" s="138" t="s">
        <v>195</v>
      </c>
      <c r="N2" s="98" t="s">
        <v>180</v>
      </c>
      <c r="O2" s="56"/>
    </row>
    <row r="3" spans="1:15">
      <c r="A3" s="557" t="s">
        <v>181</v>
      </c>
      <c r="B3" s="558"/>
      <c r="C3" s="558"/>
      <c r="D3" s="558"/>
      <c r="E3" s="558"/>
      <c r="F3" s="558"/>
      <c r="G3" s="558"/>
      <c r="H3" s="558"/>
      <c r="I3" s="558"/>
      <c r="J3" s="559"/>
      <c r="K3" s="202">
        <v>208.39069999998901</v>
      </c>
      <c r="L3" s="202"/>
      <c r="M3" s="202">
        <v>208.39069999998901</v>
      </c>
      <c r="N3" s="149"/>
      <c r="O3" s="8"/>
    </row>
    <row r="4" spans="1:15">
      <c r="A4" s="23">
        <v>1</v>
      </c>
      <c r="B4" s="24">
        <v>46235</v>
      </c>
      <c r="C4" s="22"/>
      <c r="D4" s="15"/>
      <c r="E4" s="44"/>
      <c r="F4" s="44"/>
      <c r="G4" s="8">
        <f>E4*F4</f>
        <v>0</v>
      </c>
      <c r="H4" s="44"/>
      <c r="I4" s="44"/>
      <c r="J4" s="8">
        <f>H4*I4</f>
        <v>0</v>
      </c>
      <c r="K4" s="8">
        <f>G4+J4</f>
        <v>0</v>
      </c>
      <c r="L4" s="243">
        <v>208.39</v>
      </c>
      <c r="M4" s="8">
        <f>M3+K4-L4</f>
        <v>6.9999998902403604E-4</v>
      </c>
      <c r="N4" s="8" t="s">
        <v>183</v>
      </c>
      <c r="O4" s="56"/>
    </row>
    <row r="5" spans="1:15">
      <c r="A5" s="23">
        <v>2</v>
      </c>
      <c r="B5" s="24">
        <v>46236</v>
      </c>
      <c r="C5" s="22"/>
      <c r="D5" s="15"/>
      <c r="E5" s="44"/>
      <c r="F5" s="44"/>
      <c r="G5" s="8">
        <f t="shared" ref="G5:G33" si="0">E5*F5</f>
        <v>0</v>
      </c>
      <c r="H5" s="44"/>
      <c r="I5" s="44"/>
      <c r="J5" s="8">
        <f t="shared" ref="J5:J33" si="1">H5*I5</f>
        <v>0</v>
      </c>
      <c r="K5" s="8">
        <f t="shared" ref="K5:K34" si="2">G5+J5</f>
        <v>0</v>
      </c>
      <c r="L5" s="243"/>
      <c r="M5" s="8">
        <f t="shared" ref="M5:M15" si="3">M4+K5-L5</f>
        <v>6.9999998902403604E-4</v>
      </c>
      <c r="N5" s="8"/>
      <c r="O5" s="56"/>
    </row>
    <row r="6" spans="1:15">
      <c r="A6" s="23">
        <v>3</v>
      </c>
      <c r="B6" s="24">
        <v>46237</v>
      </c>
      <c r="C6" s="22"/>
      <c r="D6" s="15"/>
      <c r="E6" s="44"/>
      <c r="F6" s="44"/>
      <c r="G6" s="8">
        <f t="shared" si="0"/>
        <v>0</v>
      </c>
      <c r="H6" s="44"/>
      <c r="I6" s="44"/>
      <c r="J6" s="8">
        <f t="shared" si="1"/>
        <v>0</v>
      </c>
      <c r="K6" s="8">
        <f t="shared" ref="K6:K33" si="4">G6+J6</f>
        <v>0</v>
      </c>
      <c r="L6" s="243"/>
      <c r="M6" s="8">
        <f t="shared" si="3"/>
        <v>6.9999998902403604E-4</v>
      </c>
      <c r="N6" s="8"/>
      <c r="O6" s="56"/>
    </row>
    <row r="7" spans="1:15">
      <c r="A7" s="23">
        <v>4</v>
      </c>
      <c r="B7" s="24">
        <v>46238</v>
      </c>
      <c r="C7" s="22"/>
      <c r="D7" s="15"/>
      <c r="E7" s="44"/>
      <c r="F7" s="44"/>
      <c r="G7" s="8">
        <f t="shared" si="0"/>
        <v>0</v>
      </c>
      <c r="H7" s="44"/>
      <c r="I7" s="44"/>
      <c r="J7" s="8">
        <f t="shared" si="1"/>
        <v>0</v>
      </c>
      <c r="K7" s="8">
        <f t="shared" si="4"/>
        <v>0</v>
      </c>
      <c r="L7" s="243"/>
      <c r="M7" s="8">
        <f t="shared" si="3"/>
        <v>6.9999998902403604E-4</v>
      </c>
      <c r="N7" s="8"/>
      <c r="O7" s="56"/>
    </row>
    <row r="8" spans="1:15">
      <c r="A8" s="23">
        <v>5</v>
      </c>
      <c r="B8" s="24">
        <v>46239</v>
      </c>
      <c r="C8" s="22"/>
      <c r="D8" s="15"/>
      <c r="E8" s="44"/>
      <c r="F8" s="44"/>
      <c r="G8" s="8">
        <f t="shared" si="0"/>
        <v>0</v>
      </c>
      <c r="H8" s="44"/>
      <c r="I8" s="44"/>
      <c r="J8" s="8">
        <f t="shared" si="1"/>
        <v>0</v>
      </c>
      <c r="K8" s="8">
        <f t="shared" si="4"/>
        <v>0</v>
      </c>
      <c r="L8" s="243"/>
      <c r="M8" s="8">
        <f t="shared" si="3"/>
        <v>6.9999998902403604E-4</v>
      </c>
      <c r="N8" s="8"/>
      <c r="O8" s="56"/>
    </row>
    <row r="9" spans="1:15">
      <c r="A9" s="23">
        <v>6</v>
      </c>
      <c r="B9" s="24">
        <v>46240</v>
      </c>
      <c r="C9" s="22"/>
      <c r="D9" s="15"/>
      <c r="E9" s="44"/>
      <c r="F9" s="44"/>
      <c r="G9" s="8">
        <f t="shared" si="0"/>
        <v>0</v>
      </c>
      <c r="H9" s="44"/>
      <c r="I9" s="44"/>
      <c r="J9" s="8">
        <f t="shared" si="1"/>
        <v>0</v>
      </c>
      <c r="K9" s="8">
        <f t="shared" si="4"/>
        <v>0</v>
      </c>
      <c r="L9" s="243"/>
      <c r="M9" s="8">
        <f t="shared" si="3"/>
        <v>6.9999998902403604E-4</v>
      </c>
      <c r="N9" s="8"/>
      <c r="O9" s="56"/>
    </row>
    <row r="10" spans="1:15">
      <c r="A10" s="23">
        <v>7</v>
      </c>
      <c r="B10" s="24">
        <v>46241</v>
      </c>
      <c r="C10" s="22"/>
      <c r="D10" s="15"/>
      <c r="E10" s="44"/>
      <c r="F10" s="44"/>
      <c r="G10" s="8">
        <f t="shared" si="0"/>
        <v>0</v>
      </c>
      <c r="H10" s="44"/>
      <c r="I10" s="44"/>
      <c r="J10" s="8">
        <f t="shared" si="1"/>
        <v>0</v>
      </c>
      <c r="K10" s="8">
        <f t="shared" si="4"/>
        <v>0</v>
      </c>
      <c r="L10" s="243"/>
      <c r="M10" s="8">
        <f t="shared" si="3"/>
        <v>6.9999998902403604E-4</v>
      </c>
      <c r="N10" s="8"/>
      <c r="O10" s="56"/>
    </row>
    <row r="11" spans="1:15">
      <c r="A11" s="23">
        <v>8</v>
      </c>
      <c r="B11" s="24">
        <v>46242</v>
      </c>
      <c r="C11" s="22"/>
      <c r="D11" s="15"/>
      <c r="E11" s="44"/>
      <c r="F11" s="44"/>
      <c r="G11" s="8">
        <f t="shared" si="0"/>
        <v>0</v>
      </c>
      <c r="H11" s="44"/>
      <c r="I11" s="44"/>
      <c r="J11" s="8">
        <f t="shared" si="1"/>
        <v>0</v>
      </c>
      <c r="K11" s="8">
        <f t="shared" si="4"/>
        <v>0</v>
      </c>
      <c r="L11" s="243"/>
      <c r="M11" s="8">
        <f t="shared" si="3"/>
        <v>6.9999998902403604E-4</v>
      </c>
      <c r="N11" s="8"/>
      <c r="O11" s="56"/>
    </row>
    <row r="12" spans="1:15">
      <c r="A12" s="23">
        <v>9</v>
      </c>
      <c r="B12" s="24">
        <v>46243</v>
      </c>
      <c r="C12" s="22"/>
      <c r="D12" s="15"/>
      <c r="E12" s="257"/>
      <c r="F12" s="285"/>
      <c r="G12" s="8">
        <f t="shared" si="0"/>
        <v>0</v>
      </c>
      <c r="H12" s="257"/>
      <c r="I12" s="285"/>
      <c r="J12" s="8">
        <f t="shared" si="1"/>
        <v>0</v>
      </c>
      <c r="K12" s="8">
        <f t="shared" si="4"/>
        <v>0</v>
      </c>
      <c r="L12" s="243"/>
      <c r="M12" s="8">
        <f t="shared" si="3"/>
        <v>6.9999998902403604E-4</v>
      </c>
      <c r="N12" s="8"/>
      <c r="O12" s="56"/>
    </row>
    <row r="13" spans="1:15">
      <c r="A13" s="23">
        <v>10</v>
      </c>
      <c r="B13" s="24">
        <v>46244</v>
      </c>
      <c r="C13" s="22"/>
      <c r="D13" s="15"/>
      <c r="E13" s="257"/>
      <c r="F13" s="285"/>
      <c r="G13" s="8">
        <f t="shared" si="0"/>
        <v>0</v>
      </c>
      <c r="H13" s="257"/>
      <c r="I13" s="285"/>
      <c r="J13" s="8">
        <f t="shared" si="1"/>
        <v>0</v>
      </c>
      <c r="K13" s="8">
        <f t="shared" si="4"/>
        <v>0</v>
      </c>
      <c r="L13" s="243"/>
      <c r="M13" s="8">
        <f>M12+K13-L13</f>
        <v>6.9999998902403604E-4</v>
      </c>
      <c r="N13" s="16"/>
      <c r="O13" s="56"/>
    </row>
    <row r="14" spans="1:15">
      <c r="A14" s="23">
        <v>11</v>
      </c>
      <c r="B14" s="24">
        <v>46245</v>
      </c>
      <c r="C14" s="22"/>
      <c r="D14" s="15"/>
      <c r="E14" s="44"/>
      <c r="F14" s="44"/>
      <c r="G14" s="8">
        <f t="shared" si="0"/>
        <v>0</v>
      </c>
      <c r="H14" s="44"/>
      <c r="I14" s="285"/>
      <c r="J14" s="8">
        <f t="shared" si="1"/>
        <v>0</v>
      </c>
      <c r="K14" s="8">
        <f t="shared" si="4"/>
        <v>0</v>
      </c>
      <c r="L14" s="243"/>
      <c r="M14" s="8">
        <f>M13+K14-L14</f>
        <v>6.9999998902403604E-4</v>
      </c>
      <c r="N14" s="16"/>
      <c r="O14" s="56"/>
    </row>
    <row r="15" spans="1:15">
      <c r="A15" s="23">
        <v>12</v>
      </c>
      <c r="B15" s="24">
        <v>46246</v>
      </c>
      <c r="C15" s="22"/>
      <c r="D15" s="15"/>
      <c r="E15" s="44"/>
      <c r="F15" s="44"/>
      <c r="G15" s="8">
        <f t="shared" si="0"/>
        <v>0</v>
      </c>
      <c r="H15" s="44"/>
      <c r="I15" s="44"/>
      <c r="J15" s="8">
        <f t="shared" si="1"/>
        <v>0</v>
      </c>
      <c r="K15" s="8">
        <f t="shared" si="4"/>
        <v>0</v>
      </c>
      <c r="L15" s="243"/>
      <c r="M15" s="8">
        <f t="shared" si="3"/>
        <v>6.9999998902403604E-4</v>
      </c>
      <c r="N15" s="16"/>
      <c r="O15" s="56"/>
    </row>
    <row r="16" spans="1:15">
      <c r="A16" s="23">
        <v>13</v>
      </c>
      <c r="B16" s="24">
        <v>46247</v>
      </c>
      <c r="C16" s="22"/>
      <c r="D16" s="15"/>
      <c r="E16" s="44"/>
      <c r="F16" s="44"/>
      <c r="G16" s="8">
        <f t="shared" si="0"/>
        <v>0</v>
      </c>
      <c r="H16" s="44"/>
      <c r="I16" s="44"/>
      <c r="J16" s="8">
        <f t="shared" si="1"/>
        <v>0</v>
      </c>
      <c r="K16" s="8">
        <f t="shared" si="4"/>
        <v>0</v>
      </c>
      <c r="L16" s="243"/>
      <c r="M16" s="8">
        <f t="shared" ref="M16:M24" si="5">M15+K16-L16</f>
        <v>6.9999998902403604E-4</v>
      </c>
      <c r="N16" s="16"/>
      <c r="O16" s="56"/>
    </row>
    <row r="17" spans="1:18">
      <c r="A17" s="23">
        <v>14</v>
      </c>
      <c r="B17" s="24">
        <v>46248</v>
      </c>
      <c r="C17" s="22"/>
      <c r="D17" s="15"/>
      <c r="E17" s="44"/>
      <c r="F17" s="44"/>
      <c r="G17" s="8">
        <f t="shared" si="0"/>
        <v>0</v>
      </c>
      <c r="H17" s="44"/>
      <c r="I17" s="285"/>
      <c r="J17" s="8">
        <f t="shared" si="1"/>
        <v>0</v>
      </c>
      <c r="K17" s="8">
        <f t="shared" si="4"/>
        <v>0</v>
      </c>
      <c r="L17" s="243"/>
      <c r="M17" s="8">
        <f t="shared" si="5"/>
        <v>6.9999998902403604E-4</v>
      </c>
      <c r="N17" s="16"/>
      <c r="O17" s="56"/>
    </row>
    <row r="18" spans="1:18">
      <c r="A18" s="23">
        <v>15</v>
      </c>
      <c r="B18" s="24">
        <v>46249</v>
      </c>
      <c r="C18" s="22"/>
      <c r="D18" s="15"/>
      <c r="E18" s="44"/>
      <c r="F18" s="44"/>
      <c r="G18" s="8">
        <f t="shared" si="0"/>
        <v>0</v>
      </c>
      <c r="H18" s="44"/>
      <c r="I18" s="44"/>
      <c r="J18" s="8">
        <f t="shared" si="1"/>
        <v>0</v>
      </c>
      <c r="K18" s="8">
        <f t="shared" si="4"/>
        <v>0</v>
      </c>
      <c r="L18" s="243"/>
      <c r="M18" s="8">
        <f t="shared" si="5"/>
        <v>6.9999998902403604E-4</v>
      </c>
      <c r="N18" s="16"/>
      <c r="O18" s="56"/>
    </row>
    <row r="19" spans="1:18">
      <c r="A19" s="23">
        <v>16</v>
      </c>
      <c r="B19" s="24">
        <v>46250</v>
      </c>
      <c r="C19" s="22"/>
      <c r="D19" s="15"/>
      <c r="E19" s="44"/>
      <c r="F19" s="44"/>
      <c r="G19" s="8">
        <f t="shared" si="0"/>
        <v>0</v>
      </c>
      <c r="H19" s="44"/>
      <c r="I19" s="44"/>
      <c r="J19" s="8">
        <f t="shared" si="1"/>
        <v>0</v>
      </c>
      <c r="K19" s="8">
        <f t="shared" si="4"/>
        <v>0</v>
      </c>
      <c r="L19" s="243"/>
      <c r="M19" s="8">
        <f t="shared" si="5"/>
        <v>6.9999998902403604E-4</v>
      </c>
      <c r="N19" s="16"/>
      <c r="O19" s="56"/>
    </row>
    <row r="20" spans="1:18">
      <c r="A20" s="23">
        <v>17</v>
      </c>
      <c r="B20" s="24">
        <v>46251</v>
      </c>
      <c r="C20" s="22"/>
      <c r="D20" s="15"/>
      <c r="E20" s="44"/>
      <c r="F20" s="44"/>
      <c r="G20" s="8">
        <f t="shared" si="0"/>
        <v>0</v>
      </c>
      <c r="H20" s="44"/>
      <c r="I20" s="44"/>
      <c r="J20" s="8">
        <f t="shared" si="1"/>
        <v>0</v>
      </c>
      <c r="K20" s="8">
        <f t="shared" si="4"/>
        <v>0</v>
      </c>
      <c r="L20" s="243"/>
      <c r="M20" s="8">
        <f t="shared" si="5"/>
        <v>6.9999998902403604E-4</v>
      </c>
      <c r="N20" s="16"/>
      <c r="O20" s="56"/>
    </row>
    <row r="21" spans="1:18">
      <c r="A21" s="23">
        <v>18</v>
      </c>
      <c r="B21" s="24">
        <v>46252</v>
      </c>
      <c r="C21" s="22"/>
      <c r="D21" s="15"/>
      <c r="E21" s="44"/>
      <c r="F21" s="44"/>
      <c r="G21" s="8">
        <f t="shared" si="0"/>
        <v>0</v>
      </c>
      <c r="H21" s="44"/>
      <c r="I21" s="44"/>
      <c r="J21" s="8">
        <f t="shared" si="1"/>
        <v>0</v>
      </c>
      <c r="K21" s="8">
        <f t="shared" si="4"/>
        <v>0</v>
      </c>
      <c r="L21" s="243"/>
      <c r="M21" s="8">
        <f t="shared" si="5"/>
        <v>6.9999998902403604E-4</v>
      </c>
      <c r="N21" s="16"/>
      <c r="O21" s="56"/>
    </row>
    <row r="22" spans="1:18">
      <c r="A22" s="23">
        <v>19</v>
      </c>
      <c r="B22" s="24">
        <v>46253</v>
      </c>
      <c r="C22" s="22"/>
      <c r="D22" s="15"/>
      <c r="E22" s="44"/>
      <c r="F22" s="44"/>
      <c r="G22" s="8">
        <f t="shared" si="0"/>
        <v>0</v>
      </c>
      <c r="H22" s="44"/>
      <c r="I22" s="44"/>
      <c r="J22" s="8">
        <f t="shared" si="1"/>
        <v>0</v>
      </c>
      <c r="K22" s="8">
        <f t="shared" si="4"/>
        <v>0</v>
      </c>
      <c r="L22" s="243"/>
      <c r="M22" s="8">
        <f t="shared" si="5"/>
        <v>6.9999998902403604E-4</v>
      </c>
      <c r="N22" s="16"/>
      <c r="O22" s="56"/>
    </row>
    <row r="23" spans="1:18">
      <c r="A23" s="23">
        <v>20</v>
      </c>
      <c r="B23" s="24">
        <v>46254</v>
      </c>
      <c r="C23" s="22"/>
      <c r="D23" s="15"/>
      <c r="E23" s="44"/>
      <c r="F23" s="44"/>
      <c r="G23" s="8">
        <f t="shared" si="0"/>
        <v>0</v>
      </c>
      <c r="H23" s="44"/>
      <c r="I23" s="44"/>
      <c r="J23" s="8">
        <f t="shared" si="1"/>
        <v>0</v>
      </c>
      <c r="K23" s="8">
        <f t="shared" si="4"/>
        <v>0</v>
      </c>
      <c r="L23" s="243"/>
      <c r="M23" s="8">
        <f t="shared" si="5"/>
        <v>6.9999998902403604E-4</v>
      </c>
      <c r="N23" s="16"/>
      <c r="O23" s="56"/>
    </row>
    <row r="24" spans="1:18">
      <c r="A24" s="23">
        <v>21</v>
      </c>
      <c r="B24" s="24">
        <v>46255</v>
      </c>
      <c r="C24" s="22"/>
      <c r="D24" s="15"/>
      <c r="E24" s="44"/>
      <c r="F24" s="44"/>
      <c r="G24" s="8">
        <f t="shared" si="0"/>
        <v>0</v>
      </c>
      <c r="H24" s="44"/>
      <c r="I24" s="44"/>
      <c r="J24" s="8">
        <f t="shared" si="1"/>
        <v>0</v>
      </c>
      <c r="K24" s="8">
        <f t="shared" si="4"/>
        <v>0</v>
      </c>
      <c r="L24" s="243"/>
      <c r="M24" s="8">
        <f t="shared" si="5"/>
        <v>6.9999998902403604E-4</v>
      </c>
      <c r="N24" s="16"/>
      <c r="O24" s="56"/>
    </row>
    <row r="25" spans="1:18">
      <c r="A25" s="23">
        <v>22</v>
      </c>
      <c r="B25" s="24">
        <v>46256</v>
      </c>
      <c r="C25" s="22"/>
      <c r="D25" s="15"/>
      <c r="E25" s="44"/>
      <c r="F25" s="44"/>
      <c r="G25" s="8">
        <f t="shared" si="0"/>
        <v>0</v>
      </c>
      <c r="H25" s="44"/>
      <c r="I25" s="44"/>
      <c r="J25" s="8">
        <f t="shared" si="1"/>
        <v>0</v>
      </c>
      <c r="K25" s="8">
        <f t="shared" si="4"/>
        <v>0</v>
      </c>
      <c r="L25" s="243"/>
      <c r="M25" s="8">
        <f t="shared" ref="M25:M34" si="6">M24+K25-L25</f>
        <v>6.9999998902403604E-4</v>
      </c>
      <c r="N25" s="16"/>
      <c r="O25" s="56"/>
    </row>
    <row r="26" spans="1:18">
      <c r="A26" s="23">
        <v>23</v>
      </c>
      <c r="B26" s="24">
        <v>46257</v>
      </c>
      <c r="C26" s="22"/>
      <c r="D26" s="15"/>
      <c r="E26" s="44"/>
      <c r="F26" s="44"/>
      <c r="G26" s="8">
        <f t="shared" si="0"/>
        <v>0</v>
      </c>
      <c r="H26" s="44"/>
      <c r="I26" s="44"/>
      <c r="J26" s="8">
        <f t="shared" si="1"/>
        <v>0</v>
      </c>
      <c r="K26" s="8">
        <f t="shared" si="4"/>
        <v>0</v>
      </c>
      <c r="L26" s="243"/>
      <c r="M26" s="8">
        <f t="shared" si="6"/>
        <v>6.9999998902403604E-4</v>
      </c>
      <c r="N26" s="16"/>
      <c r="O26" s="56"/>
      <c r="Q26" s="74" t="s">
        <v>242</v>
      </c>
    </row>
    <row r="27" spans="1:18">
      <c r="A27" s="23">
        <v>24</v>
      </c>
      <c r="B27" s="24">
        <v>46258</v>
      </c>
      <c r="C27" s="22"/>
      <c r="D27" s="15"/>
      <c r="E27" s="44"/>
      <c r="F27" s="44"/>
      <c r="G27" s="8">
        <f t="shared" si="0"/>
        <v>0</v>
      </c>
      <c r="H27" s="44"/>
      <c r="I27" s="44"/>
      <c r="J27" s="8">
        <f t="shared" si="1"/>
        <v>0</v>
      </c>
      <c r="K27" s="8">
        <f t="shared" si="4"/>
        <v>0</v>
      </c>
      <c r="L27" s="243"/>
      <c r="M27" s="8">
        <f t="shared" si="6"/>
        <v>6.9999998902403604E-4</v>
      </c>
      <c r="N27" s="16"/>
      <c r="O27" s="56"/>
      <c r="Q27" s="74">
        <v>30</v>
      </c>
      <c r="R27" s="74">
        <v>50</v>
      </c>
    </row>
    <row r="28" spans="1:18">
      <c r="A28" s="23">
        <v>25</v>
      </c>
      <c r="B28" s="24">
        <v>46259</v>
      </c>
      <c r="C28" s="22"/>
      <c r="D28" s="15"/>
      <c r="E28" s="44"/>
      <c r="F28" s="44"/>
      <c r="G28" s="8">
        <f t="shared" si="0"/>
        <v>0</v>
      </c>
      <c r="H28" s="44"/>
      <c r="I28" s="44"/>
      <c r="J28" s="8">
        <f t="shared" si="1"/>
        <v>0</v>
      </c>
      <c r="K28" s="8">
        <f t="shared" si="4"/>
        <v>0</v>
      </c>
      <c r="L28" s="243"/>
      <c r="M28" s="8">
        <f t="shared" si="6"/>
        <v>6.9999998902403604E-4</v>
      </c>
      <c r="N28" s="16"/>
      <c r="O28" s="56"/>
      <c r="Q28" s="74">
        <v>50</v>
      </c>
      <c r="R28" s="74">
        <v>4.51</v>
      </c>
    </row>
    <row r="29" spans="1:18">
      <c r="A29" s="23">
        <v>26</v>
      </c>
      <c r="B29" s="24">
        <v>46260</v>
      </c>
      <c r="C29" s="22"/>
      <c r="D29" s="15"/>
      <c r="E29" s="44"/>
      <c r="F29" s="44"/>
      <c r="G29" s="8">
        <f t="shared" si="0"/>
        <v>0</v>
      </c>
      <c r="H29" s="44"/>
      <c r="I29" s="44"/>
      <c r="J29" s="8">
        <f t="shared" si="1"/>
        <v>0</v>
      </c>
      <c r="K29" s="8">
        <f t="shared" si="4"/>
        <v>0</v>
      </c>
      <c r="L29" s="243"/>
      <c r="M29" s="8">
        <f t="shared" si="6"/>
        <v>6.9999998902403604E-4</v>
      </c>
      <c r="N29" s="16"/>
      <c r="O29" s="56"/>
    </row>
    <row r="30" spans="1:18">
      <c r="A30" s="23">
        <v>27</v>
      </c>
      <c r="B30" s="24">
        <v>46261</v>
      </c>
      <c r="C30" s="22"/>
      <c r="D30" s="15"/>
      <c r="E30" s="44"/>
      <c r="F30" s="44"/>
      <c r="G30" s="8">
        <f t="shared" si="0"/>
        <v>0</v>
      </c>
      <c r="H30" s="44"/>
      <c r="I30" s="44"/>
      <c r="J30" s="8">
        <f t="shared" si="1"/>
        <v>0</v>
      </c>
      <c r="K30" s="8">
        <f t="shared" si="4"/>
        <v>0</v>
      </c>
      <c r="L30" s="243"/>
      <c r="M30" s="8">
        <f t="shared" si="6"/>
        <v>6.9999998902403604E-4</v>
      </c>
      <c r="N30" s="16"/>
      <c r="O30" s="56"/>
    </row>
    <row r="31" spans="1:18">
      <c r="A31" s="210">
        <v>28</v>
      </c>
      <c r="B31" s="24">
        <v>46262</v>
      </c>
      <c r="C31" s="22"/>
      <c r="D31" s="15"/>
      <c r="E31" s="44"/>
      <c r="F31" s="44"/>
      <c r="G31" s="8">
        <f t="shared" si="0"/>
        <v>0</v>
      </c>
      <c r="H31" s="44"/>
      <c r="I31" s="44"/>
      <c r="J31" s="8">
        <f t="shared" si="1"/>
        <v>0</v>
      </c>
      <c r="K31" s="8">
        <f t="shared" si="4"/>
        <v>0</v>
      </c>
      <c r="L31" s="243"/>
      <c r="M31" s="8">
        <f t="shared" si="6"/>
        <v>6.9999998902403604E-4</v>
      </c>
      <c r="N31" s="16"/>
      <c r="O31" s="56"/>
    </row>
    <row r="32" spans="1:18">
      <c r="A32" s="23">
        <v>29</v>
      </c>
      <c r="B32" s="24">
        <v>46263</v>
      </c>
      <c r="C32" s="22"/>
      <c r="D32" s="15"/>
      <c r="E32" s="44"/>
      <c r="F32" s="44"/>
      <c r="G32" s="8">
        <f t="shared" si="0"/>
        <v>0</v>
      </c>
      <c r="H32" s="44"/>
      <c r="I32" s="44"/>
      <c r="J32" s="8">
        <f t="shared" si="1"/>
        <v>0</v>
      </c>
      <c r="K32" s="8">
        <f t="shared" si="4"/>
        <v>0</v>
      </c>
      <c r="L32" s="243"/>
      <c r="M32" s="8">
        <f t="shared" si="6"/>
        <v>6.9999998902403604E-4</v>
      </c>
      <c r="N32" s="16"/>
      <c r="O32" s="56"/>
    </row>
    <row r="33" spans="1:15">
      <c r="A33" s="23">
        <v>30</v>
      </c>
      <c r="B33" s="24">
        <v>46264</v>
      </c>
      <c r="C33" s="22"/>
      <c r="D33" s="15"/>
      <c r="E33" s="44"/>
      <c r="F33" s="44"/>
      <c r="G33" s="8">
        <f t="shared" si="0"/>
        <v>0</v>
      </c>
      <c r="H33" s="44"/>
      <c r="I33" s="44"/>
      <c r="J33" s="8">
        <f t="shared" si="1"/>
        <v>0</v>
      </c>
      <c r="K33" s="8">
        <f t="shared" si="4"/>
        <v>0</v>
      </c>
      <c r="L33" s="243"/>
      <c r="M33" s="8">
        <f t="shared" si="6"/>
        <v>6.9999998902403604E-4</v>
      </c>
      <c r="N33" s="16"/>
      <c r="O33" s="56"/>
    </row>
    <row r="34" spans="1:15">
      <c r="A34" s="23">
        <v>31</v>
      </c>
      <c r="B34" s="24"/>
      <c r="C34" s="22"/>
      <c r="D34" s="15"/>
      <c r="E34" s="44"/>
      <c r="F34" s="44"/>
      <c r="G34" s="8">
        <f t="shared" ref="G5:G34" si="7">E34*F34</f>
        <v>0</v>
      </c>
      <c r="H34" s="44"/>
      <c r="I34" s="44"/>
      <c r="J34" s="8">
        <f t="shared" ref="J5:J34" si="8">H34*I34</f>
        <v>0</v>
      </c>
      <c r="K34" s="8">
        <f t="shared" si="2"/>
        <v>0</v>
      </c>
      <c r="L34" s="243"/>
      <c r="M34" s="8">
        <f>M33+K34-L34</f>
        <v>6.9999998902403604E-4</v>
      </c>
      <c r="N34" s="16"/>
      <c r="O34" s="56"/>
    </row>
    <row r="35" spans="1:15">
      <c r="A35" s="153"/>
      <c r="B35" s="153"/>
      <c r="C35" s="153"/>
      <c r="D35" s="153"/>
      <c r="E35" s="154">
        <f>SUM(E4:E34)</f>
        <v>0</v>
      </c>
      <c r="F35" s="154"/>
      <c r="G35" s="154">
        <f>SUM(G4:G34)</f>
        <v>0</v>
      </c>
      <c r="H35" s="154">
        <f>SUM(H4:H34)</f>
        <v>0</v>
      </c>
      <c r="I35" s="154"/>
      <c r="J35" s="154">
        <f>SUM(J4:J34)</f>
        <v>0</v>
      </c>
      <c r="K35" s="154">
        <f>SUM(K4:K34)</f>
        <v>0</v>
      </c>
      <c r="L35" s="154">
        <f>SUM(L4:L34)</f>
        <v>208.39</v>
      </c>
      <c r="M35" s="154"/>
      <c r="N35" s="154"/>
      <c r="O35" s="56"/>
    </row>
    <row r="36" spans="1:15">
      <c r="A36" s="70"/>
      <c r="B36" s="70"/>
      <c r="C36" s="70"/>
      <c r="D36" s="70"/>
      <c r="E36" s="72"/>
      <c r="F36" s="72"/>
      <c r="G36" s="72"/>
      <c r="H36" s="72"/>
      <c r="I36" s="72"/>
      <c r="J36" s="72"/>
      <c r="K36" s="72"/>
      <c r="L36" s="244"/>
      <c r="M36" s="72"/>
      <c r="N36" s="72"/>
      <c r="O36" s="56"/>
    </row>
    <row r="37" spans="1:15">
      <c r="E37" s="247"/>
      <c r="F37" s="247"/>
      <c r="G37" s="247"/>
      <c r="H37" s="247"/>
      <c r="I37" s="247"/>
      <c r="J37" s="247"/>
      <c r="K37" s="247"/>
      <c r="L37" s="247"/>
      <c r="O37" s="56"/>
    </row>
    <row r="38" spans="1:15">
      <c r="O38" s="56"/>
    </row>
    <row r="39" spans="1:15">
      <c r="O39" s="56"/>
    </row>
    <row r="40" spans="1:15">
      <c r="O40" s="56"/>
    </row>
    <row r="41" spans="1:15">
      <c r="O41" s="56"/>
    </row>
    <row r="42" spans="1:15">
      <c r="A42" s="56"/>
      <c r="B42" s="56"/>
      <c r="C42" s="56"/>
      <c r="D42" s="56"/>
      <c r="E42" s="56"/>
      <c r="F42" s="56"/>
      <c r="G42" s="78"/>
      <c r="H42" s="56"/>
      <c r="I42" s="56"/>
      <c r="J42" s="56"/>
      <c r="K42" s="56"/>
      <c r="L42" s="70"/>
      <c r="M42" s="56"/>
      <c r="N42" s="56"/>
      <c r="O42" s="72"/>
    </row>
    <row r="43" spans="1:15">
      <c r="A43" s="56"/>
      <c r="B43" s="556"/>
      <c r="C43" s="556"/>
      <c r="D43" s="556"/>
      <c r="E43" s="556"/>
      <c r="F43" s="56"/>
      <c r="G43" s="56"/>
      <c r="H43" s="56"/>
      <c r="I43" s="556"/>
      <c r="J43" s="556"/>
      <c r="K43" s="556"/>
      <c r="L43" s="556"/>
      <c r="M43" s="556"/>
      <c r="N43" s="556"/>
      <c r="O43" s="72"/>
    </row>
    <row r="44" spans="1: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0"/>
      <c r="M44" s="56"/>
      <c r="N44" s="56"/>
      <c r="O44" s="72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R46"/>
  <sheetViews>
    <sheetView workbookViewId="0">
      <pane ySplit="2" topLeftCell="A18" activePane="bottomLeft" state="frozen"/>
      <selection pane="bottomLeft" activeCell="P28" sqref="P28"/>
    </sheetView>
  </sheetViews>
  <sheetFormatPr defaultRowHeight="15"/>
  <cols>
    <col min="1" max="1" width="5.140625" style="66" bestFit="1" customWidth="1"/>
    <col min="2" max="2" width="10.85546875" style="66" bestFit="1" customWidth="1"/>
    <col min="3" max="3" width="8" style="66" bestFit="1" customWidth="1"/>
    <col min="4" max="4" width="16" style="66" bestFit="1" customWidth="1"/>
    <col min="5" max="5" width="10.7109375" style="66" bestFit="1" customWidth="1"/>
    <col min="6" max="6" width="14.5703125" style="66" bestFit="1" customWidth="1"/>
    <col min="7" max="7" width="18.28515625" style="66" customWidth="1"/>
    <col min="8" max="8" width="10.7109375" style="66" bestFit="1" customWidth="1"/>
    <col min="9" max="9" width="15.5703125" style="66" customWidth="1"/>
    <col min="10" max="10" width="10.85546875" style="66" bestFit="1" customWidth="1"/>
    <col min="11" max="11" width="14.5703125" style="66" bestFit="1" customWidth="1"/>
    <col min="12" max="12" width="13.5703125" style="66" bestFit="1" customWidth="1"/>
    <col min="13" max="13" width="13.5703125" style="66" customWidth="1"/>
    <col min="14" max="14" width="14.140625" style="66" bestFit="1" customWidth="1"/>
    <col min="15" max="15" width="11.28515625" style="66" customWidth="1"/>
    <col min="16" max="16" width="11.5703125" style="66" bestFit="1" customWidth="1"/>
    <col min="17" max="16384" width="9.140625" style="66"/>
  </cols>
  <sheetData>
    <row r="1" spans="1:18" ht="15.75">
      <c r="A1" s="581" t="s">
        <v>126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79"/>
    </row>
    <row r="2" spans="1:18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61" t="s">
        <v>177</v>
      </c>
      <c r="L2" s="82" t="s">
        <v>178</v>
      </c>
      <c r="M2" s="82" t="s">
        <v>195</v>
      </c>
      <c r="N2" s="80" t="s">
        <v>180</v>
      </c>
      <c r="O2" s="56"/>
    </row>
    <row r="3" spans="1:18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70"/>
      <c r="K3" s="156">
        <v>342020.47570000042</v>
      </c>
      <c r="L3" s="64">
        <v>0</v>
      </c>
      <c r="M3" s="156">
        <v>342020.47570000042</v>
      </c>
      <c r="N3" s="64"/>
      <c r="O3" s="56"/>
      <c r="P3" s="233"/>
    </row>
    <row r="4" spans="1:18">
      <c r="A4" s="23">
        <v>1</v>
      </c>
      <c r="B4" s="24">
        <v>46235</v>
      </c>
      <c r="C4" s="64"/>
      <c r="D4" s="152"/>
      <c r="E4" s="157"/>
      <c r="F4" s="157"/>
      <c r="G4" s="8">
        <f>E4*F4</f>
        <v>0</v>
      </c>
      <c r="H4" s="157"/>
      <c r="I4" s="157"/>
      <c r="J4" s="8">
        <f>H4*I4</f>
        <v>0</v>
      </c>
      <c r="K4" s="8">
        <f>G4+J4</f>
        <v>0</v>
      </c>
      <c r="L4" s="158">
        <v>0</v>
      </c>
      <c r="M4" s="158">
        <f t="shared" ref="M4:M35" si="0">M3+K4-L4</f>
        <v>342020.47570000042</v>
      </c>
      <c r="N4" s="38"/>
    </row>
    <row r="5" spans="1:18">
      <c r="A5" s="23">
        <v>2</v>
      </c>
      <c r="B5" s="24">
        <v>46236</v>
      </c>
      <c r="C5" s="64"/>
      <c r="D5" s="152"/>
      <c r="E5" s="157"/>
      <c r="F5" s="157"/>
      <c r="G5" s="8">
        <f t="shared" ref="G5:G36" si="1">E5*F5</f>
        <v>0</v>
      </c>
      <c r="H5" s="157"/>
      <c r="I5" s="157"/>
      <c r="J5" s="8">
        <f t="shared" ref="J5:J36" si="2">H5*I5</f>
        <v>0</v>
      </c>
      <c r="K5" s="8">
        <f t="shared" ref="K5:K36" si="3">G5+J5</f>
        <v>0</v>
      </c>
      <c r="L5" s="158">
        <v>0</v>
      </c>
      <c r="M5" s="158">
        <f t="shared" si="0"/>
        <v>342020.47570000042</v>
      </c>
      <c r="N5" s="38"/>
    </row>
    <row r="6" spans="1:18">
      <c r="A6" s="23">
        <v>3</v>
      </c>
      <c r="B6" s="24">
        <v>46237</v>
      </c>
      <c r="C6" s="64"/>
      <c r="D6" s="152"/>
      <c r="E6" s="157"/>
      <c r="F6" s="157"/>
      <c r="G6" s="8">
        <f t="shared" si="1"/>
        <v>0</v>
      </c>
      <c r="H6" s="157"/>
      <c r="I6" s="157"/>
      <c r="J6" s="8">
        <f t="shared" si="2"/>
        <v>0</v>
      </c>
      <c r="K6" s="8">
        <f t="shared" si="3"/>
        <v>0</v>
      </c>
      <c r="L6" s="158"/>
      <c r="M6" s="158">
        <f t="shared" si="0"/>
        <v>342020.47570000042</v>
      </c>
      <c r="N6" s="38"/>
    </row>
    <row r="7" spans="1:18">
      <c r="A7" s="23">
        <v>4</v>
      </c>
      <c r="B7" s="24">
        <v>46238</v>
      </c>
      <c r="C7" s="64"/>
      <c r="D7" s="152"/>
      <c r="E7" s="157"/>
      <c r="F7" s="157"/>
      <c r="G7" s="8">
        <f t="shared" si="1"/>
        <v>0</v>
      </c>
      <c r="H7" s="157"/>
      <c r="I7" s="157"/>
      <c r="J7" s="8">
        <f t="shared" si="2"/>
        <v>0</v>
      </c>
      <c r="K7" s="8">
        <f t="shared" si="3"/>
        <v>0</v>
      </c>
      <c r="L7" s="158"/>
      <c r="M7" s="158">
        <f t="shared" si="0"/>
        <v>342020.47570000042</v>
      </c>
      <c r="N7" s="38"/>
    </row>
    <row r="8" spans="1:18">
      <c r="A8" s="23">
        <v>5</v>
      </c>
      <c r="B8" s="24">
        <v>46239</v>
      </c>
      <c r="C8" s="64"/>
      <c r="D8" s="152"/>
      <c r="E8" s="157"/>
      <c r="F8" s="157"/>
      <c r="G8" s="8">
        <f t="shared" si="1"/>
        <v>0</v>
      </c>
      <c r="H8" s="157"/>
      <c r="I8" s="157"/>
      <c r="J8" s="8">
        <f t="shared" si="2"/>
        <v>0</v>
      </c>
      <c r="K8" s="8">
        <f t="shared" si="3"/>
        <v>0</v>
      </c>
      <c r="L8" s="158"/>
      <c r="M8" s="158">
        <f t="shared" si="0"/>
        <v>342020.47570000042</v>
      </c>
      <c r="N8" s="38"/>
      <c r="P8" s="233"/>
      <c r="R8" s="66">
        <v>1690</v>
      </c>
    </row>
    <row r="9" spans="1:18">
      <c r="A9" s="23">
        <v>6</v>
      </c>
      <c r="B9" s="24">
        <v>46240</v>
      </c>
      <c r="C9" s="64"/>
      <c r="D9" s="152"/>
      <c r="E9" s="157"/>
      <c r="F9" s="157"/>
      <c r="G9" s="8">
        <f t="shared" si="1"/>
        <v>0</v>
      </c>
      <c r="H9" s="157"/>
      <c r="I9" s="157"/>
      <c r="J9" s="8">
        <f t="shared" si="2"/>
        <v>0</v>
      </c>
      <c r="K9" s="8">
        <f t="shared" si="3"/>
        <v>0</v>
      </c>
      <c r="L9" s="158">
        <v>342000</v>
      </c>
      <c r="M9" s="158">
        <f t="shared" si="0"/>
        <v>20.475700000417419</v>
      </c>
      <c r="N9" s="38"/>
    </row>
    <row r="10" spans="1:18">
      <c r="A10" s="23">
        <v>7</v>
      </c>
      <c r="B10" s="24">
        <v>46241</v>
      </c>
      <c r="C10" s="64"/>
      <c r="D10" s="152"/>
      <c r="E10" s="157">
        <v>240</v>
      </c>
      <c r="F10" s="157">
        <v>99.74</v>
      </c>
      <c r="G10" s="8">
        <f t="shared" si="1"/>
        <v>23937.599999999999</v>
      </c>
      <c r="H10" s="157">
        <v>40</v>
      </c>
      <c r="I10" s="157">
        <v>111.86</v>
      </c>
      <c r="J10" s="8">
        <f t="shared" si="2"/>
        <v>4474.3999999999996</v>
      </c>
      <c r="K10" s="8">
        <f t="shared" si="3"/>
        <v>28412</v>
      </c>
      <c r="L10" s="158">
        <v>3915.1</v>
      </c>
      <c r="M10" s="158">
        <f t="shared" si="0"/>
        <v>24517.375700000419</v>
      </c>
      <c r="N10" s="38" t="s">
        <v>243</v>
      </c>
    </row>
    <row r="11" spans="1:18">
      <c r="A11" s="23">
        <v>8</v>
      </c>
      <c r="B11" s="24">
        <v>46242</v>
      </c>
      <c r="C11" s="64"/>
      <c r="D11" s="152"/>
      <c r="E11" s="157">
        <v>500</v>
      </c>
      <c r="F11" s="157">
        <v>99.74</v>
      </c>
      <c r="G11" s="8">
        <f t="shared" si="1"/>
        <v>49870</v>
      </c>
      <c r="H11" s="157"/>
      <c r="I11" s="157"/>
      <c r="J11" s="8">
        <f t="shared" si="2"/>
        <v>0</v>
      </c>
      <c r="K11" s="8">
        <f t="shared" si="3"/>
        <v>49870</v>
      </c>
      <c r="L11" s="158"/>
      <c r="M11" s="158">
        <f t="shared" si="0"/>
        <v>74387.375700000412</v>
      </c>
      <c r="N11" s="38" t="s">
        <v>197</v>
      </c>
      <c r="P11" s="232"/>
      <c r="Q11" s="233"/>
    </row>
    <row r="12" spans="1:18">
      <c r="A12" s="23">
        <v>9</v>
      </c>
      <c r="B12" s="24">
        <v>46243</v>
      </c>
      <c r="C12" s="64"/>
      <c r="D12" s="152"/>
      <c r="E12" s="157">
        <v>60</v>
      </c>
      <c r="F12" s="157">
        <v>99.74</v>
      </c>
      <c r="G12" s="8">
        <f t="shared" si="1"/>
        <v>5984.4</v>
      </c>
      <c r="H12" s="157"/>
      <c r="I12" s="157"/>
      <c r="J12" s="8">
        <f t="shared" si="2"/>
        <v>0</v>
      </c>
      <c r="K12" s="8">
        <f t="shared" si="3"/>
        <v>5984.4</v>
      </c>
      <c r="L12" s="158"/>
      <c r="M12" s="158">
        <f t="shared" si="0"/>
        <v>80371.775700000406</v>
      </c>
      <c r="N12" s="38"/>
    </row>
    <row r="13" spans="1:18">
      <c r="A13" s="23">
        <v>10</v>
      </c>
      <c r="B13" s="24">
        <v>46244</v>
      </c>
      <c r="C13" s="64"/>
      <c r="D13" s="152"/>
      <c r="E13" s="157">
        <v>555</v>
      </c>
      <c r="F13" s="157">
        <v>99.74</v>
      </c>
      <c r="G13" s="8">
        <f t="shared" si="1"/>
        <v>55355.7</v>
      </c>
      <c r="H13" s="157">
        <v>41</v>
      </c>
      <c r="I13" s="157">
        <v>111.85</v>
      </c>
      <c r="J13" s="8">
        <f t="shared" si="2"/>
        <v>4585.8499999999995</v>
      </c>
      <c r="K13" s="8">
        <f t="shared" si="3"/>
        <v>59941.549999999996</v>
      </c>
      <c r="L13" s="158"/>
      <c r="M13" s="158">
        <f t="shared" si="0"/>
        <v>140313.32570000039</v>
      </c>
      <c r="N13" s="38"/>
    </row>
    <row r="14" spans="1:18">
      <c r="A14" s="23">
        <v>11</v>
      </c>
      <c r="B14" s="24">
        <v>46245</v>
      </c>
      <c r="C14" s="64"/>
      <c r="D14" s="152"/>
      <c r="E14" s="157"/>
      <c r="F14" s="157"/>
      <c r="G14" s="8">
        <f t="shared" si="1"/>
        <v>0</v>
      </c>
      <c r="H14" s="157"/>
      <c r="I14" s="157"/>
      <c r="J14" s="8">
        <f t="shared" si="2"/>
        <v>0</v>
      </c>
      <c r="K14" s="8">
        <f t="shared" si="3"/>
        <v>0</v>
      </c>
      <c r="L14" s="158"/>
      <c r="M14" s="158">
        <f t="shared" si="0"/>
        <v>140313.32570000039</v>
      </c>
      <c r="N14" s="38"/>
    </row>
    <row r="15" spans="1:18">
      <c r="A15" s="23">
        <v>12</v>
      </c>
      <c r="B15" s="24">
        <v>46246</v>
      </c>
      <c r="C15" s="64"/>
      <c r="D15" s="152"/>
      <c r="E15" s="157">
        <v>620</v>
      </c>
      <c r="F15" s="157">
        <v>99.74</v>
      </c>
      <c r="G15" s="8">
        <f t="shared" si="1"/>
        <v>61838.799999999996</v>
      </c>
      <c r="H15" s="157">
        <v>35</v>
      </c>
      <c r="I15" s="157">
        <v>111.85</v>
      </c>
      <c r="J15" s="8">
        <f t="shared" si="2"/>
        <v>3914.75</v>
      </c>
      <c r="K15" s="8">
        <f t="shared" si="3"/>
        <v>65753.549999999988</v>
      </c>
      <c r="L15" s="158"/>
      <c r="M15" s="158">
        <f t="shared" si="0"/>
        <v>206066.87570000038</v>
      </c>
      <c r="N15" s="38"/>
    </row>
    <row r="16" spans="1:18">
      <c r="A16" s="23">
        <v>13</v>
      </c>
      <c r="B16" s="24">
        <v>46247</v>
      </c>
      <c r="C16" s="64"/>
      <c r="D16" s="152"/>
      <c r="E16" s="157">
        <v>624</v>
      </c>
      <c r="F16" s="157">
        <v>99.74</v>
      </c>
      <c r="G16" s="8">
        <f t="shared" si="1"/>
        <v>62237.759999999995</v>
      </c>
      <c r="H16" s="157"/>
      <c r="I16" s="157"/>
      <c r="J16" s="8">
        <f t="shared" si="2"/>
        <v>0</v>
      </c>
      <c r="K16" s="8">
        <f t="shared" si="3"/>
        <v>62237.759999999995</v>
      </c>
      <c r="L16" s="158">
        <v>206049.92000000001</v>
      </c>
      <c r="M16" s="158">
        <f t="shared" si="0"/>
        <v>62254.715700000379</v>
      </c>
      <c r="N16" s="38"/>
    </row>
    <row r="17" spans="1:17">
      <c r="A17" s="23">
        <v>14</v>
      </c>
      <c r="B17" s="24">
        <v>46248</v>
      </c>
      <c r="C17" s="64"/>
      <c r="D17" s="152"/>
      <c r="E17" s="157">
        <v>670</v>
      </c>
      <c r="F17" s="157">
        <v>99.74</v>
      </c>
      <c r="G17" s="8">
        <f t="shared" si="1"/>
        <v>66825.8</v>
      </c>
      <c r="H17" s="157">
        <v>35</v>
      </c>
      <c r="I17" s="157">
        <v>111.85</v>
      </c>
      <c r="J17" s="8">
        <f t="shared" si="2"/>
        <v>3914.75</v>
      </c>
      <c r="K17" s="8">
        <f t="shared" si="3"/>
        <v>70740.55</v>
      </c>
      <c r="L17" s="158"/>
      <c r="M17" s="158">
        <f>M16+K17-L17</f>
        <v>132995.2657000004</v>
      </c>
      <c r="N17" s="38"/>
    </row>
    <row r="18" spans="1:17">
      <c r="A18" s="23">
        <v>15</v>
      </c>
      <c r="B18" s="24">
        <v>46249</v>
      </c>
      <c r="C18" s="64"/>
      <c r="D18" s="152"/>
      <c r="E18" s="157">
        <v>65</v>
      </c>
      <c r="F18" s="157">
        <v>99.74</v>
      </c>
      <c r="G18" s="8">
        <f t="shared" si="1"/>
        <v>6483.0999999999995</v>
      </c>
      <c r="H18" s="157"/>
      <c r="I18" s="157"/>
      <c r="J18" s="8">
        <f t="shared" si="2"/>
        <v>0</v>
      </c>
      <c r="K18" s="8">
        <f t="shared" si="3"/>
        <v>6483.0999999999995</v>
      </c>
      <c r="L18" s="158"/>
      <c r="M18" s="158">
        <f t="shared" si="0"/>
        <v>139478.3657000004</v>
      </c>
      <c r="N18" s="38"/>
    </row>
    <row r="19" spans="1:17">
      <c r="A19" s="23">
        <v>16</v>
      </c>
      <c r="B19" s="24">
        <v>46250</v>
      </c>
      <c r="C19" s="64"/>
      <c r="D19" s="152"/>
      <c r="E19" s="157"/>
      <c r="F19" s="157"/>
      <c r="G19" s="8">
        <f t="shared" si="1"/>
        <v>0</v>
      </c>
      <c r="H19" s="157"/>
      <c r="I19" s="157"/>
      <c r="J19" s="8">
        <f t="shared" si="2"/>
        <v>0</v>
      </c>
      <c r="K19" s="8">
        <f t="shared" si="3"/>
        <v>0</v>
      </c>
      <c r="L19" s="158"/>
      <c r="M19" s="158">
        <f t="shared" si="0"/>
        <v>139478.3657000004</v>
      </c>
      <c r="N19" s="38"/>
      <c r="Q19" s="233"/>
    </row>
    <row r="20" spans="1:17">
      <c r="A20" s="23">
        <v>17</v>
      </c>
      <c r="B20" s="24">
        <v>46251</v>
      </c>
      <c r="C20" s="64"/>
      <c r="D20" s="152"/>
      <c r="E20" s="157">
        <v>130</v>
      </c>
      <c r="F20" s="157">
        <v>99.74</v>
      </c>
      <c r="G20" s="8">
        <f t="shared" si="1"/>
        <v>12966.199999999999</v>
      </c>
      <c r="H20" s="157"/>
      <c r="I20" s="157"/>
      <c r="J20" s="8">
        <f t="shared" si="2"/>
        <v>0</v>
      </c>
      <c r="K20" s="8">
        <f t="shared" si="3"/>
        <v>12966.199999999999</v>
      </c>
      <c r="L20" s="158"/>
      <c r="M20" s="158">
        <f t="shared" si="0"/>
        <v>152444.56570000041</v>
      </c>
      <c r="N20" s="38"/>
    </row>
    <row r="21" spans="1:17">
      <c r="A21" s="23">
        <v>18</v>
      </c>
      <c r="B21" s="24">
        <v>46252</v>
      </c>
      <c r="C21" s="64"/>
      <c r="D21" s="152"/>
      <c r="E21" s="157">
        <v>480</v>
      </c>
      <c r="F21" s="157">
        <v>99.74</v>
      </c>
      <c r="G21" s="8">
        <f t="shared" si="1"/>
        <v>47875.199999999997</v>
      </c>
      <c r="H21" s="157">
        <v>15</v>
      </c>
      <c r="I21" s="157">
        <v>121.27</v>
      </c>
      <c r="J21" s="8">
        <f t="shared" si="2"/>
        <v>1819.05</v>
      </c>
      <c r="K21" s="8">
        <f t="shared" si="3"/>
        <v>49694.25</v>
      </c>
      <c r="L21" s="158"/>
      <c r="M21" s="158">
        <f t="shared" si="0"/>
        <v>202138.81570000041</v>
      </c>
      <c r="N21" s="38"/>
    </row>
    <row r="22" spans="1:17">
      <c r="A22" s="23">
        <v>19</v>
      </c>
      <c r="B22" s="24">
        <v>46253</v>
      </c>
      <c r="C22" s="64"/>
      <c r="D22" s="152"/>
      <c r="E22" s="157">
        <v>30</v>
      </c>
      <c r="F22" s="157">
        <v>99.74</v>
      </c>
      <c r="G22" s="8">
        <f t="shared" si="1"/>
        <v>2992.2</v>
      </c>
      <c r="H22" s="157"/>
      <c r="I22" s="157">
        <v>111.85</v>
      </c>
      <c r="J22" s="8">
        <f t="shared" si="2"/>
        <v>0</v>
      </c>
      <c r="K22" s="8">
        <f t="shared" si="3"/>
        <v>2992.2</v>
      </c>
      <c r="L22" s="158"/>
      <c r="M22" s="158">
        <f t="shared" si="0"/>
        <v>205131.01570000043</v>
      </c>
      <c r="N22" s="38"/>
    </row>
    <row r="23" spans="1:17">
      <c r="A23" s="23">
        <v>20</v>
      </c>
      <c r="B23" s="24">
        <v>46254</v>
      </c>
      <c r="C23" s="64"/>
      <c r="D23" s="152"/>
      <c r="E23" s="157">
        <v>635</v>
      </c>
      <c r="F23" s="157">
        <v>99.74</v>
      </c>
      <c r="G23" s="8">
        <f t="shared" si="1"/>
        <v>63334.899999999994</v>
      </c>
      <c r="H23" s="157"/>
      <c r="I23" s="157"/>
      <c r="J23" s="8">
        <f t="shared" si="2"/>
        <v>0</v>
      </c>
      <c r="K23" s="8">
        <f t="shared" si="3"/>
        <v>63334.899999999994</v>
      </c>
      <c r="L23" s="158"/>
      <c r="M23" s="158">
        <f t="shared" si="0"/>
        <v>268465.91570000042</v>
      </c>
      <c r="N23" s="38"/>
    </row>
    <row r="24" spans="1:17">
      <c r="A24" s="23">
        <v>21</v>
      </c>
      <c r="B24" s="24">
        <v>46255</v>
      </c>
      <c r="C24" s="64"/>
      <c r="D24" s="152"/>
      <c r="E24" s="157">
        <v>70</v>
      </c>
      <c r="F24" s="157">
        <v>99.74</v>
      </c>
      <c r="G24" s="8">
        <f t="shared" si="1"/>
        <v>6981.7999999999993</v>
      </c>
      <c r="H24" s="157">
        <v>35</v>
      </c>
      <c r="I24" s="157">
        <v>111.85</v>
      </c>
      <c r="J24" s="8">
        <f t="shared" si="2"/>
        <v>3914.75</v>
      </c>
      <c r="K24" s="8">
        <f t="shared" si="3"/>
        <v>10896.55</v>
      </c>
      <c r="L24" s="158">
        <v>0</v>
      </c>
      <c r="M24" s="158">
        <f t="shared" si="0"/>
        <v>279362.46570000041</v>
      </c>
      <c r="N24" s="38"/>
    </row>
    <row r="25" spans="1:17">
      <c r="A25" s="23">
        <v>22</v>
      </c>
      <c r="B25" s="24">
        <v>46256</v>
      </c>
      <c r="C25" s="64"/>
      <c r="D25" s="152"/>
      <c r="E25" s="157">
        <v>200</v>
      </c>
      <c r="F25" s="157">
        <v>99.74</v>
      </c>
      <c r="G25" s="8">
        <f t="shared" si="1"/>
        <v>19948</v>
      </c>
      <c r="H25" s="157"/>
      <c r="I25" s="157"/>
      <c r="J25" s="8">
        <f t="shared" si="2"/>
        <v>0</v>
      </c>
      <c r="K25" s="8">
        <f t="shared" si="3"/>
        <v>19948</v>
      </c>
      <c r="L25" s="158">
        <v>0</v>
      </c>
      <c r="M25" s="158">
        <f t="shared" si="0"/>
        <v>299310.46570000041</v>
      </c>
      <c r="N25" s="38"/>
    </row>
    <row r="26" spans="1:17">
      <c r="A26" s="23">
        <v>23</v>
      </c>
      <c r="B26" s="24">
        <v>46257</v>
      </c>
      <c r="C26" s="64"/>
      <c r="D26" s="152"/>
      <c r="E26" s="157">
        <v>400</v>
      </c>
      <c r="F26" s="157">
        <v>99.74</v>
      </c>
      <c r="G26" s="8">
        <f t="shared" si="1"/>
        <v>39896</v>
      </c>
      <c r="H26" s="157"/>
      <c r="I26" s="157"/>
      <c r="J26" s="8">
        <f t="shared" si="2"/>
        <v>0</v>
      </c>
      <c r="K26" s="8">
        <f t="shared" si="3"/>
        <v>39896</v>
      </c>
      <c r="L26" s="158">
        <v>0</v>
      </c>
      <c r="M26" s="158">
        <f t="shared" si="0"/>
        <v>339206.46570000041</v>
      </c>
      <c r="N26" s="38"/>
    </row>
    <row r="27" spans="1:17">
      <c r="A27" s="23">
        <v>24</v>
      </c>
      <c r="B27" s="24">
        <v>46258</v>
      </c>
      <c r="C27" s="64"/>
      <c r="D27" s="152"/>
      <c r="E27" s="157">
        <v>360</v>
      </c>
      <c r="F27" s="157">
        <v>99.74</v>
      </c>
      <c r="G27" s="8">
        <f t="shared" si="1"/>
        <v>35906.400000000001</v>
      </c>
      <c r="H27" s="157">
        <v>20</v>
      </c>
      <c r="I27" s="157">
        <v>111.85</v>
      </c>
      <c r="J27" s="8">
        <f t="shared" si="2"/>
        <v>2237</v>
      </c>
      <c r="K27" s="8">
        <f t="shared" si="3"/>
        <v>38143.4</v>
      </c>
      <c r="L27" s="158">
        <v>0</v>
      </c>
      <c r="M27" s="158">
        <f t="shared" si="0"/>
        <v>377349.86570000043</v>
      </c>
      <c r="N27" s="38"/>
    </row>
    <row r="28" spans="1:17">
      <c r="A28" s="23">
        <v>25</v>
      </c>
      <c r="B28" s="24">
        <v>46259</v>
      </c>
      <c r="C28" s="64"/>
      <c r="D28" s="152"/>
      <c r="E28" s="157">
        <v>200</v>
      </c>
      <c r="F28" s="157">
        <v>99.74</v>
      </c>
      <c r="G28" s="8">
        <f t="shared" si="1"/>
        <v>19948</v>
      </c>
      <c r="H28" s="157"/>
      <c r="I28" s="157"/>
      <c r="J28" s="8">
        <f t="shared" si="2"/>
        <v>0</v>
      </c>
      <c r="K28" s="8">
        <f t="shared" si="3"/>
        <v>19948</v>
      </c>
      <c r="L28" s="158">
        <v>0</v>
      </c>
      <c r="M28" s="158">
        <f t="shared" si="0"/>
        <v>397297.86570000043</v>
      </c>
      <c r="N28" s="38"/>
    </row>
    <row r="29" spans="1:17">
      <c r="A29" s="23">
        <v>26</v>
      </c>
      <c r="B29" s="24">
        <v>46260</v>
      </c>
      <c r="C29" s="64"/>
      <c r="D29" s="152"/>
      <c r="E29" s="442">
        <v>735</v>
      </c>
      <c r="F29" s="412">
        <v>99.74</v>
      </c>
      <c r="G29" s="8">
        <f t="shared" si="1"/>
        <v>73308.899999999994</v>
      </c>
      <c r="H29" s="157">
        <v>35</v>
      </c>
      <c r="I29" s="157">
        <v>111.85</v>
      </c>
      <c r="J29" s="8">
        <f t="shared" si="2"/>
        <v>3914.75</v>
      </c>
      <c r="K29" s="8">
        <f t="shared" si="3"/>
        <v>77223.649999999994</v>
      </c>
      <c r="L29" s="158">
        <v>0</v>
      </c>
      <c r="M29" s="158">
        <f t="shared" si="0"/>
        <v>474521.51570000045</v>
      </c>
      <c r="N29" s="38"/>
    </row>
    <row r="30" spans="1:17">
      <c r="A30" s="23">
        <v>27</v>
      </c>
      <c r="B30" s="24">
        <v>46261</v>
      </c>
      <c r="C30" s="64"/>
      <c r="D30" s="152"/>
      <c r="E30" s="157">
        <v>100</v>
      </c>
      <c r="F30" s="157">
        <v>99.74</v>
      </c>
      <c r="G30" s="8">
        <f t="shared" si="1"/>
        <v>9974</v>
      </c>
      <c r="H30" s="157"/>
      <c r="I30" s="157"/>
      <c r="J30" s="8">
        <f t="shared" si="2"/>
        <v>0</v>
      </c>
      <c r="K30" s="8">
        <f t="shared" si="3"/>
        <v>9974</v>
      </c>
      <c r="L30" s="158">
        <v>0</v>
      </c>
      <c r="M30" s="158">
        <f t="shared" si="0"/>
        <v>484495.51570000045</v>
      </c>
      <c r="N30" s="38"/>
    </row>
    <row r="31" spans="1:17">
      <c r="A31" s="23">
        <v>28</v>
      </c>
      <c r="B31" s="24">
        <v>46262</v>
      </c>
      <c r="C31" s="188"/>
      <c r="D31" s="152"/>
      <c r="E31" s="157"/>
      <c r="F31" s="157"/>
      <c r="G31" s="8">
        <f t="shared" si="1"/>
        <v>0</v>
      </c>
      <c r="H31" s="157">
        <v>6</v>
      </c>
      <c r="I31" s="157">
        <v>111.85</v>
      </c>
      <c r="J31" s="8">
        <f t="shared" si="2"/>
        <v>671.09999999999991</v>
      </c>
      <c r="K31" s="8">
        <f t="shared" si="3"/>
        <v>671.09999999999991</v>
      </c>
      <c r="L31" s="158">
        <v>0</v>
      </c>
      <c r="M31" s="158">
        <f t="shared" si="0"/>
        <v>485166.61570000043</v>
      </c>
      <c r="N31" s="38"/>
    </row>
    <row r="32" spans="1:17">
      <c r="A32" s="23">
        <v>29</v>
      </c>
      <c r="B32" s="24">
        <v>46263</v>
      </c>
      <c r="C32" s="64"/>
      <c r="D32" s="152"/>
      <c r="E32" s="157">
        <v>435</v>
      </c>
      <c r="F32" s="157">
        <v>99.74</v>
      </c>
      <c r="G32" s="8">
        <f t="shared" si="1"/>
        <v>43386.899999999994</v>
      </c>
      <c r="H32" s="157"/>
      <c r="I32" s="157"/>
      <c r="J32" s="8">
        <f t="shared" si="2"/>
        <v>0</v>
      </c>
      <c r="K32" s="8">
        <f t="shared" si="3"/>
        <v>43386.899999999994</v>
      </c>
      <c r="L32" s="158">
        <v>0</v>
      </c>
      <c r="M32" s="158">
        <f t="shared" si="0"/>
        <v>528553.51570000045</v>
      </c>
      <c r="N32" s="38"/>
      <c r="P32" s="66">
        <f>600*99.73</f>
        <v>59838</v>
      </c>
    </row>
    <row r="33" spans="1:15">
      <c r="A33" s="23">
        <v>30</v>
      </c>
      <c r="B33" s="24">
        <v>46264</v>
      </c>
      <c r="C33" s="64"/>
      <c r="D33" s="152"/>
      <c r="E33" s="157">
        <v>475</v>
      </c>
      <c r="F33" s="157">
        <v>99.74</v>
      </c>
      <c r="G33" s="8">
        <f t="shared" si="1"/>
        <v>47376.5</v>
      </c>
      <c r="H33" s="157">
        <v>35</v>
      </c>
      <c r="I33" s="157">
        <v>111.85</v>
      </c>
      <c r="J33" s="8">
        <f t="shared" si="2"/>
        <v>3914.75</v>
      </c>
      <c r="K33" s="8">
        <f t="shared" si="3"/>
        <v>51291.25</v>
      </c>
      <c r="L33" s="158">
        <v>0</v>
      </c>
      <c r="M33" s="158">
        <f t="shared" si="0"/>
        <v>579844.76570000045</v>
      </c>
      <c r="N33" s="38"/>
    </row>
    <row r="34" spans="1:15">
      <c r="A34" s="23">
        <v>31</v>
      </c>
      <c r="B34" s="24">
        <v>46265</v>
      </c>
      <c r="C34" s="64"/>
      <c r="D34" s="152"/>
      <c r="E34" s="157">
        <v>40</v>
      </c>
      <c r="F34" s="157">
        <v>99.74</v>
      </c>
      <c r="G34" s="8">
        <f t="shared" si="1"/>
        <v>3989.6</v>
      </c>
      <c r="H34" s="157"/>
      <c r="I34" s="157"/>
      <c r="J34" s="8">
        <f t="shared" si="2"/>
        <v>0</v>
      </c>
      <c r="K34" s="8">
        <f t="shared" si="3"/>
        <v>3989.6</v>
      </c>
      <c r="L34" s="158">
        <v>0</v>
      </c>
      <c r="M34" s="158">
        <f t="shared" si="0"/>
        <v>583834.36570000043</v>
      </c>
      <c r="N34" s="38"/>
    </row>
    <row r="35" spans="1:15">
      <c r="A35" s="23">
        <v>32</v>
      </c>
      <c r="B35" s="24"/>
      <c r="C35" s="64"/>
      <c r="D35" s="152"/>
      <c r="E35" s="157"/>
      <c r="F35" s="157"/>
      <c r="G35" s="8">
        <f t="shared" si="1"/>
        <v>0</v>
      </c>
      <c r="H35" s="157"/>
      <c r="I35" s="157"/>
      <c r="J35" s="8">
        <f t="shared" si="2"/>
        <v>0</v>
      </c>
      <c r="K35" s="8">
        <f t="shared" si="3"/>
        <v>0</v>
      </c>
      <c r="L35" s="158">
        <v>0</v>
      </c>
      <c r="M35" s="158">
        <f t="shared" si="0"/>
        <v>583834.36570000043</v>
      </c>
      <c r="N35" s="38"/>
    </row>
    <row r="36" spans="1:15">
      <c r="A36" s="23">
        <v>33</v>
      </c>
      <c r="B36" s="24"/>
      <c r="C36" s="64"/>
      <c r="D36" s="152"/>
      <c r="E36" s="157"/>
      <c r="F36" s="157"/>
      <c r="G36" s="8">
        <f t="shared" si="1"/>
        <v>0</v>
      </c>
      <c r="H36" s="157"/>
      <c r="I36" s="157"/>
      <c r="J36" s="8">
        <f t="shared" si="2"/>
        <v>0</v>
      </c>
      <c r="K36" s="8">
        <f t="shared" si="3"/>
        <v>0</v>
      </c>
      <c r="L36" s="158">
        <v>0</v>
      </c>
      <c r="M36" s="158">
        <f>M35+K36-L36</f>
        <v>583834.36570000043</v>
      </c>
      <c r="N36" s="38"/>
    </row>
    <row r="37" spans="1:15">
      <c r="A37" s="153"/>
      <c r="B37" s="153"/>
      <c r="C37" s="153"/>
      <c r="D37" s="153"/>
      <c r="E37" s="154">
        <f>SUM(E4:E36)</f>
        <v>7624</v>
      </c>
      <c r="F37" s="154"/>
      <c r="G37" s="154">
        <f>SUM(G4:G36)</f>
        <v>760417.76</v>
      </c>
      <c r="H37" s="154">
        <f>SUM(H4:H36)</f>
        <v>297</v>
      </c>
      <c r="I37" s="60"/>
      <c r="J37" s="154">
        <f>SUM(J4:J36)</f>
        <v>33361.149999999994</v>
      </c>
      <c r="K37" s="154">
        <f>SUM(K4:K36)</f>
        <v>793778.91</v>
      </c>
      <c r="L37" s="154">
        <f>SUM(L4:L36)</f>
        <v>551965.02</v>
      </c>
      <c r="M37" s="154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</row>
    <row r="44" spans="1:15">
      <c r="B44" s="56"/>
      <c r="G44" s="73"/>
      <c r="J44" s="56"/>
      <c r="K44" s="56"/>
      <c r="L44" s="56"/>
      <c r="M44" s="56"/>
      <c r="O44" s="71"/>
    </row>
    <row r="45" spans="1:15">
      <c r="B45" s="576"/>
      <c r="C45" s="576"/>
      <c r="D45" s="576"/>
      <c r="E45" s="576"/>
      <c r="I45" s="576"/>
      <c r="J45" s="576"/>
      <c r="K45" s="576"/>
      <c r="L45" s="576"/>
      <c r="M45" s="576"/>
      <c r="N45" s="576"/>
      <c r="O45" s="71"/>
    </row>
    <row r="46" spans="1:15">
      <c r="B46" s="56"/>
      <c r="J46" s="56"/>
      <c r="K46" s="56"/>
      <c r="L46" s="56"/>
      <c r="M46" s="56"/>
      <c r="O46" s="7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R47"/>
  <sheetViews>
    <sheetView topLeftCell="A9" workbookViewId="0">
      <selection activeCell="F4" sqref="F4"/>
    </sheetView>
  </sheetViews>
  <sheetFormatPr defaultRowHeight="15"/>
  <cols>
    <col min="2" max="2" width="18.28515625" customWidth="1"/>
    <col min="4" max="4" width="11.42578125" customWidth="1"/>
    <col min="7" max="7" width="14.7109375" customWidth="1"/>
    <col min="10" max="10" width="13.7109375" customWidth="1"/>
    <col min="11" max="11" width="23.7109375" customWidth="1"/>
    <col min="12" max="12" width="19" customWidth="1"/>
    <col min="13" max="13" width="18.140625" customWidth="1"/>
    <col min="14" max="14" width="32.140625" bestFit="1" customWidth="1"/>
  </cols>
  <sheetData>
    <row r="1" spans="1:18" ht="15.75">
      <c r="A1" s="555" t="s">
        <v>244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0"/>
      <c r="P1" s="74"/>
      <c r="Q1" s="74"/>
      <c r="R1" s="74"/>
    </row>
    <row r="2" spans="1:18" ht="30.75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220" t="s">
        <v>178</v>
      </c>
      <c r="M2" s="138" t="s">
        <v>195</v>
      </c>
      <c r="N2" s="98" t="s">
        <v>180</v>
      </c>
      <c r="O2" s="56"/>
      <c r="P2" s="74"/>
      <c r="Q2" s="74"/>
      <c r="R2" s="74"/>
    </row>
    <row r="3" spans="1:18">
      <c r="A3" s="557" t="s">
        <v>181</v>
      </c>
      <c r="B3" s="558"/>
      <c r="C3" s="558"/>
      <c r="D3" s="558"/>
      <c r="E3" s="558"/>
      <c r="F3" s="558"/>
      <c r="G3" s="558"/>
      <c r="H3" s="558"/>
      <c r="I3" s="558"/>
      <c r="J3" s="559"/>
      <c r="K3" s="202">
        <v>506281.15000000014</v>
      </c>
      <c r="L3" s="202"/>
      <c r="M3" s="202">
        <v>506281.15000000014</v>
      </c>
      <c r="N3" s="149"/>
      <c r="O3" s="8"/>
      <c r="P3" s="74"/>
      <c r="Q3" s="74"/>
      <c r="R3" s="74"/>
    </row>
    <row r="4" spans="1:18">
      <c r="A4" s="23">
        <v>1</v>
      </c>
      <c r="B4" s="24">
        <v>46235</v>
      </c>
      <c r="C4" s="22"/>
      <c r="D4" s="15"/>
      <c r="E4" s="44">
        <v>140.5</v>
      </c>
      <c r="F4" s="44">
        <v>99.73</v>
      </c>
      <c r="G4" s="8">
        <f>E4*F4</f>
        <v>14012.065000000001</v>
      </c>
      <c r="H4" s="44"/>
      <c r="I4" s="412"/>
      <c r="J4" s="8">
        <f>H4*I4</f>
        <v>0</v>
      </c>
      <c r="K4" s="8">
        <f>G4+J4</f>
        <v>14012.065000000001</v>
      </c>
      <c r="L4" s="243"/>
      <c r="M4" s="8">
        <f>M3+K4-L4</f>
        <v>520293.21500000014</v>
      </c>
      <c r="N4" s="8"/>
      <c r="O4" s="56"/>
      <c r="P4" s="74"/>
      <c r="Q4" s="74"/>
      <c r="R4" s="74"/>
    </row>
    <row r="5" spans="1:18">
      <c r="A5" s="23">
        <v>2</v>
      </c>
      <c r="B5" s="24">
        <v>46236</v>
      </c>
      <c r="C5" s="22"/>
      <c r="D5" s="15"/>
      <c r="E5" s="44">
        <v>200</v>
      </c>
      <c r="F5" s="44">
        <v>99.73</v>
      </c>
      <c r="G5" s="8">
        <f t="shared" ref="G5:G37" si="0">E5*F5</f>
        <v>19946</v>
      </c>
      <c r="H5" s="44">
        <v>35</v>
      </c>
      <c r="I5" s="412">
        <v>111.85</v>
      </c>
      <c r="J5" s="8">
        <f>H5*I5</f>
        <v>3914.75</v>
      </c>
      <c r="K5" s="8">
        <f t="shared" ref="K5:K37" si="1">G5+J5</f>
        <v>23860.75</v>
      </c>
      <c r="L5" s="243"/>
      <c r="M5" s="8">
        <f t="shared" ref="M5:M36" si="2">M4+K5-L5</f>
        <v>544153.96500000008</v>
      </c>
      <c r="N5" s="8"/>
      <c r="O5" s="56"/>
      <c r="P5" s="74"/>
      <c r="Q5" s="74"/>
      <c r="R5" s="74"/>
    </row>
    <row r="6" spans="1:18">
      <c r="A6" s="23">
        <v>3</v>
      </c>
      <c r="B6" s="24">
        <v>46237</v>
      </c>
      <c r="C6" s="22"/>
      <c r="D6" s="15"/>
      <c r="E6" s="44">
        <v>550</v>
      </c>
      <c r="F6" s="44">
        <v>99.73</v>
      </c>
      <c r="G6" s="8">
        <f t="shared" si="0"/>
        <v>54851.5</v>
      </c>
      <c r="H6" s="44">
        <v>5</v>
      </c>
      <c r="I6" s="412">
        <v>111.85</v>
      </c>
      <c r="J6" s="8">
        <f t="shared" ref="J6:J37" si="3">H6*I6</f>
        <v>559.25</v>
      </c>
      <c r="K6" s="8">
        <f t="shared" si="1"/>
        <v>55410.75</v>
      </c>
      <c r="L6" s="243"/>
      <c r="M6" s="8">
        <f t="shared" si="2"/>
        <v>599564.71500000008</v>
      </c>
      <c r="N6" s="8"/>
      <c r="O6" s="56"/>
      <c r="P6" s="74"/>
      <c r="Q6" s="74"/>
      <c r="R6" s="74"/>
    </row>
    <row r="7" spans="1:18">
      <c r="A7" s="23">
        <v>4</v>
      </c>
      <c r="B7" s="24">
        <v>46238</v>
      </c>
      <c r="C7" s="22"/>
      <c r="D7" s="15"/>
      <c r="E7" s="44">
        <v>100</v>
      </c>
      <c r="F7" s="44">
        <v>99.73</v>
      </c>
      <c r="G7" s="8">
        <f t="shared" si="0"/>
        <v>9973</v>
      </c>
      <c r="H7" s="44">
        <v>12</v>
      </c>
      <c r="I7" s="412">
        <v>111.85</v>
      </c>
      <c r="J7" s="8">
        <f t="shared" si="3"/>
        <v>1342.1999999999998</v>
      </c>
      <c r="K7" s="8">
        <f t="shared" si="1"/>
        <v>11315.2</v>
      </c>
      <c r="L7" s="243"/>
      <c r="M7" s="8">
        <f t="shared" si="2"/>
        <v>610879.91500000004</v>
      </c>
      <c r="N7" s="8"/>
      <c r="O7" s="56"/>
      <c r="P7" s="74"/>
      <c r="Q7" s="74"/>
      <c r="R7" s="74"/>
    </row>
    <row r="8" spans="1:18">
      <c r="A8" s="23">
        <v>5</v>
      </c>
      <c r="B8" s="24">
        <v>46239</v>
      </c>
      <c r="C8" s="22"/>
      <c r="D8" s="15"/>
      <c r="E8" s="44">
        <v>710</v>
      </c>
      <c r="F8" s="44">
        <v>99.73</v>
      </c>
      <c r="G8" s="8">
        <f t="shared" si="0"/>
        <v>70808.3</v>
      </c>
      <c r="H8" s="44">
        <v>35</v>
      </c>
      <c r="I8" s="44">
        <v>111.85</v>
      </c>
      <c r="J8" s="8">
        <f t="shared" si="3"/>
        <v>3914.75</v>
      </c>
      <c r="K8" s="8">
        <f t="shared" si="1"/>
        <v>74723.05</v>
      </c>
      <c r="L8" s="243"/>
      <c r="M8" s="8">
        <f t="shared" si="2"/>
        <v>685602.96500000008</v>
      </c>
      <c r="N8" s="8"/>
      <c r="O8" s="56"/>
      <c r="P8" s="74"/>
      <c r="Q8" s="74"/>
      <c r="R8" s="74"/>
    </row>
    <row r="9" spans="1:18">
      <c r="A9" s="23">
        <v>6</v>
      </c>
      <c r="B9" s="24">
        <v>46240</v>
      </c>
      <c r="C9" s="22"/>
      <c r="D9" s="15"/>
      <c r="E9" s="44">
        <v>100</v>
      </c>
      <c r="F9" s="44">
        <v>99.73</v>
      </c>
      <c r="G9" s="8">
        <f t="shared" si="0"/>
        <v>9973</v>
      </c>
      <c r="H9" s="44">
        <v>8</v>
      </c>
      <c r="I9" s="44">
        <v>111.85</v>
      </c>
      <c r="J9" s="8">
        <f t="shared" si="3"/>
        <v>894.8</v>
      </c>
      <c r="K9" s="8">
        <f t="shared" si="1"/>
        <v>10867.8</v>
      </c>
      <c r="L9" s="243"/>
      <c r="M9" s="8">
        <f t="shared" si="2"/>
        <v>696470.76500000013</v>
      </c>
      <c r="N9" s="8"/>
      <c r="O9" s="56"/>
      <c r="P9" s="74"/>
      <c r="Q9" s="74"/>
      <c r="R9" s="74"/>
    </row>
    <row r="10" spans="1:18">
      <c r="A10" s="23">
        <v>7</v>
      </c>
      <c r="B10" s="24">
        <v>46241</v>
      </c>
      <c r="C10" s="22"/>
      <c r="D10" s="15"/>
      <c r="E10" s="44">
        <v>30</v>
      </c>
      <c r="F10" s="44">
        <v>99.73</v>
      </c>
      <c r="G10" s="8">
        <f t="shared" si="0"/>
        <v>2991.9</v>
      </c>
      <c r="H10" s="44"/>
      <c r="I10" s="44"/>
      <c r="J10" s="8">
        <f t="shared" si="3"/>
        <v>0</v>
      </c>
      <c r="K10" s="8">
        <f t="shared" si="1"/>
        <v>2991.9</v>
      </c>
      <c r="L10" s="243"/>
      <c r="M10" s="8">
        <f t="shared" si="2"/>
        <v>699462.66500000015</v>
      </c>
      <c r="N10" s="8"/>
      <c r="O10" s="56"/>
      <c r="P10" s="74"/>
      <c r="Q10" s="74"/>
      <c r="R10" s="74"/>
    </row>
    <row r="11" spans="1:18">
      <c r="A11" s="23">
        <v>8</v>
      </c>
      <c r="B11" s="24">
        <v>46242</v>
      </c>
      <c r="C11" s="22"/>
      <c r="D11" s="15"/>
      <c r="E11" s="44"/>
      <c r="F11" s="44"/>
      <c r="G11" s="8">
        <f t="shared" si="0"/>
        <v>0</v>
      </c>
      <c r="H11" s="44"/>
      <c r="I11" s="44"/>
      <c r="J11" s="8">
        <f t="shared" si="3"/>
        <v>0</v>
      </c>
      <c r="K11" s="8">
        <f t="shared" si="1"/>
        <v>0</v>
      </c>
      <c r="L11" s="243"/>
      <c r="M11" s="8">
        <f t="shared" si="2"/>
        <v>699462.66500000015</v>
      </c>
      <c r="N11" s="8"/>
      <c r="O11" s="56"/>
      <c r="P11" s="74"/>
      <c r="Q11" s="74"/>
      <c r="R11" s="74"/>
    </row>
    <row r="12" spans="1:18">
      <c r="A12" s="23">
        <v>9</v>
      </c>
      <c r="B12" s="24">
        <v>46243</v>
      </c>
      <c r="C12" s="22"/>
      <c r="D12" s="15"/>
      <c r="E12" s="257"/>
      <c r="F12" s="285"/>
      <c r="G12" s="8">
        <f t="shared" si="0"/>
        <v>0</v>
      </c>
      <c r="H12" s="257"/>
      <c r="I12" s="44"/>
      <c r="J12" s="8">
        <f t="shared" si="3"/>
        <v>0</v>
      </c>
      <c r="K12" s="8">
        <f t="shared" si="1"/>
        <v>0</v>
      </c>
      <c r="L12" s="243"/>
      <c r="M12" s="8">
        <f t="shared" si="2"/>
        <v>699462.66500000015</v>
      </c>
      <c r="N12" s="8"/>
      <c r="O12" s="56"/>
      <c r="P12" s="74"/>
      <c r="Q12" s="74"/>
      <c r="R12" s="74"/>
    </row>
    <row r="13" spans="1:18">
      <c r="A13" s="23">
        <v>10</v>
      </c>
      <c r="B13" s="24">
        <v>46244</v>
      </c>
      <c r="C13" s="22"/>
      <c r="D13" s="15"/>
      <c r="E13" s="257">
        <v>35</v>
      </c>
      <c r="F13" s="285">
        <v>99.73</v>
      </c>
      <c r="G13" s="8">
        <f t="shared" si="0"/>
        <v>3490.55</v>
      </c>
      <c r="H13" s="257"/>
      <c r="I13" s="44"/>
      <c r="J13" s="8">
        <f t="shared" si="3"/>
        <v>0</v>
      </c>
      <c r="K13" s="8">
        <f t="shared" si="1"/>
        <v>3490.55</v>
      </c>
      <c r="L13" s="243"/>
      <c r="M13" s="8">
        <f>M12+K13-L13</f>
        <v>702953.2150000002</v>
      </c>
      <c r="N13" s="16"/>
      <c r="O13" s="56"/>
      <c r="P13" s="74"/>
      <c r="Q13" s="74"/>
      <c r="R13" s="74"/>
    </row>
    <row r="14" spans="1:18">
      <c r="A14" s="23">
        <v>11</v>
      </c>
      <c r="B14" s="24">
        <v>46245</v>
      </c>
      <c r="C14" s="22"/>
      <c r="D14" s="15"/>
      <c r="E14" s="44"/>
      <c r="F14" s="44"/>
      <c r="G14" s="8">
        <f t="shared" si="0"/>
        <v>0</v>
      </c>
      <c r="H14" s="44"/>
      <c r="I14" s="285"/>
      <c r="J14" s="8">
        <f t="shared" si="3"/>
        <v>0</v>
      </c>
      <c r="K14" s="8">
        <f t="shared" si="1"/>
        <v>0</v>
      </c>
      <c r="L14" s="243"/>
      <c r="M14" s="8">
        <f>M13+K14-L14</f>
        <v>702953.2150000002</v>
      </c>
      <c r="N14" s="16"/>
      <c r="O14" s="56"/>
      <c r="P14" s="74"/>
      <c r="Q14" s="74"/>
      <c r="R14" s="74"/>
    </row>
    <row r="15" spans="1:18">
      <c r="A15" s="23">
        <v>12</v>
      </c>
      <c r="B15" s="24">
        <v>46246</v>
      </c>
      <c r="C15" s="22"/>
      <c r="D15" s="15"/>
      <c r="E15" s="44"/>
      <c r="F15" s="44"/>
      <c r="G15" s="8">
        <f t="shared" si="0"/>
        <v>0</v>
      </c>
      <c r="H15" s="44"/>
      <c r="I15" s="44"/>
      <c r="J15" s="8">
        <f t="shared" si="3"/>
        <v>0</v>
      </c>
      <c r="K15" s="8">
        <f t="shared" si="1"/>
        <v>0</v>
      </c>
      <c r="L15" s="243"/>
      <c r="M15" s="8">
        <f t="shared" si="2"/>
        <v>702953.2150000002</v>
      </c>
      <c r="N15" s="16"/>
      <c r="O15" s="56"/>
      <c r="P15" s="74"/>
      <c r="Q15" s="74"/>
      <c r="R15" s="74"/>
    </row>
    <row r="16" spans="1:18">
      <c r="A16" s="23">
        <v>13</v>
      </c>
      <c r="B16" s="24">
        <v>46247</v>
      </c>
      <c r="C16" s="22"/>
      <c r="D16" s="15"/>
      <c r="E16" s="44"/>
      <c r="F16" s="44"/>
      <c r="G16" s="8">
        <f t="shared" si="0"/>
        <v>0</v>
      </c>
      <c r="H16" s="44"/>
      <c r="I16" s="44"/>
      <c r="J16" s="8">
        <f t="shared" si="3"/>
        <v>0</v>
      </c>
      <c r="K16" s="8">
        <f t="shared" si="1"/>
        <v>0</v>
      </c>
      <c r="L16" s="243">
        <v>700000</v>
      </c>
      <c r="M16" s="8">
        <f t="shared" si="2"/>
        <v>2953.2150000002002</v>
      </c>
      <c r="N16" s="16"/>
      <c r="O16" s="56"/>
      <c r="P16" s="74"/>
      <c r="Q16" s="74"/>
      <c r="R16" s="74"/>
    </row>
    <row r="17" spans="1:18">
      <c r="A17" s="23">
        <v>14</v>
      </c>
      <c r="B17" s="24">
        <v>46248</v>
      </c>
      <c r="C17" s="22"/>
      <c r="D17" s="15"/>
      <c r="E17" s="44"/>
      <c r="F17" s="44"/>
      <c r="G17" s="8">
        <f t="shared" si="0"/>
        <v>0</v>
      </c>
      <c r="H17" s="44"/>
      <c r="I17" s="285"/>
      <c r="J17" s="8">
        <f t="shared" si="3"/>
        <v>0</v>
      </c>
      <c r="K17" s="8">
        <f t="shared" si="1"/>
        <v>0</v>
      </c>
      <c r="L17" s="243"/>
      <c r="M17" s="8">
        <f t="shared" si="2"/>
        <v>2953.2150000002002</v>
      </c>
      <c r="N17" s="16"/>
      <c r="O17" s="56"/>
      <c r="P17" s="74"/>
      <c r="Q17" s="74"/>
      <c r="R17" s="74"/>
    </row>
    <row r="18" spans="1:18">
      <c r="A18" s="23">
        <v>15</v>
      </c>
      <c r="B18" s="24">
        <v>46249</v>
      </c>
      <c r="C18" s="22"/>
      <c r="D18" s="15"/>
      <c r="E18" s="44"/>
      <c r="F18" s="44"/>
      <c r="G18" s="8">
        <f t="shared" si="0"/>
        <v>0</v>
      </c>
      <c r="H18" s="44"/>
      <c r="I18" s="44"/>
      <c r="J18" s="8">
        <f t="shared" si="3"/>
        <v>0</v>
      </c>
      <c r="K18" s="8">
        <f t="shared" si="1"/>
        <v>0</v>
      </c>
      <c r="L18" s="243"/>
      <c r="M18" s="8">
        <f t="shared" si="2"/>
        <v>2953.2150000002002</v>
      </c>
      <c r="N18" s="16"/>
      <c r="O18" s="56"/>
      <c r="P18" s="74"/>
      <c r="Q18" s="74"/>
      <c r="R18" s="74"/>
    </row>
    <row r="19" spans="1:18">
      <c r="A19" s="23">
        <v>16</v>
      </c>
      <c r="B19" s="24">
        <v>46250</v>
      </c>
      <c r="C19" s="22"/>
      <c r="D19" s="15"/>
      <c r="E19" s="44"/>
      <c r="F19" s="44"/>
      <c r="G19" s="8">
        <f t="shared" si="0"/>
        <v>0</v>
      </c>
      <c r="H19" s="44"/>
      <c r="I19" s="44"/>
      <c r="J19" s="8">
        <f t="shared" si="3"/>
        <v>0</v>
      </c>
      <c r="K19" s="8">
        <f t="shared" si="1"/>
        <v>0</v>
      </c>
      <c r="L19" s="243"/>
      <c r="M19" s="8">
        <f t="shared" si="2"/>
        <v>2953.2150000002002</v>
      </c>
      <c r="N19" s="16"/>
      <c r="O19" s="56"/>
      <c r="P19" s="74"/>
      <c r="Q19" s="74"/>
      <c r="R19" s="74"/>
    </row>
    <row r="20" spans="1:18">
      <c r="A20" s="23">
        <v>17</v>
      </c>
      <c r="B20" s="24">
        <v>46251</v>
      </c>
      <c r="C20" s="22"/>
      <c r="D20" s="15"/>
      <c r="E20" s="442"/>
      <c r="F20" s="412"/>
      <c r="G20" s="8">
        <f t="shared" si="0"/>
        <v>0</v>
      </c>
      <c r="H20" s="44"/>
      <c r="I20" s="44"/>
      <c r="J20" s="8">
        <f t="shared" si="3"/>
        <v>0</v>
      </c>
      <c r="K20" s="8">
        <f t="shared" si="1"/>
        <v>0</v>
      </c>
      <c r="L20" s="243"/>
      <c r="M20" s="8">
        <f t="shared" si="2"/>
        <v>2953.2150000002002</v>
      </c>
      <c r="N20" s="16"/>
      <c r="O20" s="56"/>
      <c r="P20" s="74"/>
      <c r="Q20" s="74"/>
      <c r="R20" s="74"/>
    </row>
    <row r="21" spans="1:18">
      <c r="A21" s="23">
        <v>18</v>
      </c>
      <c r="B21" s="24">
        <v>46252</v>
      </c>
      <c r="C21" s="22"/>
      <c r="D21" s="15"/>
      <c r="E21" s="470"/>
      <c r="F21" s="471"/>
      <c r="G21" s="8">
        <f t="shared" si="0"/>
        <v>0</v>
      </c>
      <c r="H21" s="44"/>
      <c r="I21" s="44"/>
      <c r="J21" s="8">
        <f t="shared" si="3"/>
        <v>0</v>
      </c>
      <c r="K21" s="8">
        <f t="shared" si="1"/>
        <v>0</v>
      </c>
      <c r="L21" s="243"/>
      <c r="M21" s="8">
        <f t="shared" si="2"/>
        <v>2953.2150000002002</v>
      </c>
      <c r="N21" s="16"/>
      <c r="O21" s="56"/>
      <c r="P21" s="74"/>
      <c r="Q21" s="74"/>
      <c r="R21" s="74"/>
    </row>
    <row r="22" spans="1:18">
      <c r="A22" s="23">
        <v>19</v>
      </c>
      <c r="B22" s="24">
        <v>46253</v>
      </c>
      <c r="C22" s="22"/>
      <c r="D22" s="15"/>
      <c r="E22" s="470"/>
      <c r="F22" s="471"/>
      <c r="G22" s="8">
        <f t="shared" si="0"/>
        <v>0</v>
      </c>
      <c r="H22" s="44">
        <v>40</v>
      </c>
      <c r="I22" s="44">
        <v>111.85</v>
      </c>
      <c r="J22" s="8">
        <f t="shared" si="3"/>
        <v>4474</v>
      </c>
      <c r="K22" s="8">
        <f t="shared" si="1"/>
        <v>4474</v>
      </c>
      <c r="L22" s="243"/>
      <c r="M22" s="8">
        <f t="shared" si="2"/>
        <v>7427.2150000002002</v>
      </c>
      <c r="N22" s="16"/>
      <c r="O22" s="56"/>
      <c r="P22" s="74"/>
      <c r="Q22" s="74"/>
      <c r="R22" s="74"/>
    </row>
    <row r="23" spans="1:18">
      <c r="A23" s="23">
        <v>20</v>
      </c>
      <c r="B23" s="24">
        <v>46254</v>
      </c>
      <c r="C23" s="22"/>
      <c r="D23" s="15"/>
      <c r="E23" s="44">
        <v>350</v>
      </c>
      <c r="F23" s="44">
        <v>99.73</v>
      </c>
      <c r="G23" s="8">
        <f t="shared" si="0"/>
        <v>34905.5</v>
      </c>
      <c r="H23" s="44"/>
      <c r="I23" s="44"/>
      <c r="J23" s="8">
        <f t="shared" si="3"/>
        <v>0</v>
      </c>
      <c r="K23" s="8">
        <f t="shared" si="1"/>
        <v>34905.5</v>
      </c>
      <c r="L23" s="243"/>
      <c r="M23" s="8">
        <f t="shared" si="2"/>
        <v>42332.7150000002</v>
      </c>
      <c r="N23" s="16"/>
      <c r="O23" s="56"/>
      <c r="P23" s="74"/>
      <c r="Q23" s="74"/>
      <c r="R23" s="74"/>
    </row>
    <row r="24" spans="1:18">
      <c r="A24" s="23">
        <v>21</v>
      </c>
      <c r="B24" s="24">
        <v>46255</v>
      </c>
      <c r="C24" s="22"/>
      <c r="D24" s="15"/>
      <c r="E24" s="44">
        <v>100</v>
      </c>
      <c r="F24" s="44">
        <v>99.73</v>
      </c>
      <c r="G24" s="8">
        <f t="shared" si="0"/>
        <v>9973</v>
      </c>
      <c r="H24" s="44">
        <v>12</v>
      </c>
      <c r="I24" s="44">
        <v>111.85</v>
      </c>
      <c r="J24" s="8">
        <f t="shared" si="3"/>
        <v>1342.1999999999998</v>
      </c>
      <c r="K24" s="8">
        <f t="shared" si="1"/>
        <v>11315.2</v>
      </c>
      <c r="L24" s="243"/>
      <c r="M24" s="8">
        <f t="shared" si="2"/>
        <v>53647.915000000197</v>
      </c>
      <c r="N24" s="16"/>
      <c r="O24" s="56"/>
      <c r="P24" s="74"/>
      <c r="Q24" s="74"/>
      <c r="R24" s="74"/>
    </row>
    <row r="25" spans="1:18">
      <c r="A25" s="23">
        <v>22</v>
      </c>
      <c r="B25" s="24">
        <v>46256</v>
      </c>
      <c r="C25" s="22"/>
      <c r="D25" s="15"/>
      <c r="E25" s="44"/>
      <c r="F25" s="44"/>
      <c r="G25" s="8">
        <f t="shared" si="0"/>
        <v>0</v>
      </c>
      <c r="H25" s="44"/>
      <c r="I25" s="44"/>
      <c r="J25" s="8">
        <f t="shared" si="3"/>
        <v>0</v>
      </c>
      <c r="K25" s="8">
        <f t="shared" si="1"/>
        <v>0</v>
      </c>
      <c r="L25" s="243"/>
      <c r="M25" s="8">
        <f t="shared" si="2"/>
        <v>53647.915000000197</v>
      </c>
      <c r="N25" s="16"/>
      <c r="O25" s="56"/>
      <c r="P25" s="74"/>
      <c r="Q25" s="74"/>
      <c r="R25" s="74"/>
    </row>
    <row r="26" spans="1:18">
      <c r="A26" s="23">
        <v>23</v>
      </c>
      <c r="B26" s="24">
        <v>46257</v>
      </c>
      <c r="C26" s="22"/>
      <c r="D26" s="15"/>
      <c r="E26" s="44"/>
      <c r="F26" s="44"/>
      <c r="G26" s="8">
        <f t="shared" si="0"/>
        <v>0</v>
      </c>
      <c r="H26" s="44"/>
      <c r="I26" s="44"/>
      <c r="J26" s="8">
        <f t="shared" si="3"/>
        <v>0</v>
      </c>
      <c r="K26" s="8">
        <f t="shared" si="1"/>
        <v>0</v>
      </c>
      <c r="L26" s="243"/>
      <c r="M26" s="8">
        <f t="shared" si="2"/>
        <v>53647.915000000197</v>
      </c>
      <c r="N26" s="16"/>
      <c r="O26" s="56"/>
      <c r="P26" s="74"/>
      <c r="Q26" s="74"/>
      <c r="R26" s="74"/>
    </row>
    <row r="27" spans="1:18">
      <c r="A27" s="23">
        <v>24</v>
      </c>
      <c r="B27" s="24">
        <v>46258</v>
      </c>
      <c r="C27" s="22"/>
      <c r="D27" s="15"/>
      <c r="E27" s="44">
        <v>100</v>
      </c>
      <c r="F27" s="44">
        <v>99.73</v>
      </c>
      <c r="G27" s="8">
        <f t="shared" si="0"/>
        <v>9973</v>
      </c>
      <c r="H27" s="44"/>
      <c r="I27" s="44"/>
      <c r="J27" s="8">
        <f t="shared" si="3"/>
        <v>0</v>
      </c>
      <c r="K27" s="8">
        <f t="shared" si="1"/>
        <v>9973</v>
      </c>
      <c r="L27" s="243"/>
      <c r="M27" s="8">
        <f t="shared" si="2"/>
        <v>63620.915000000197</v>
      </c>
      <c r="N27" s="16"/>
      <c r="O27" s="56"/>
      <c r="P27" s="74"/>
      <c r="Q27" s="74"/>
      <c r="R27" s="74"/>
    </row>
    <row r="28" spans="1:18">
      <c r="A28" s="23">
        <v>25</v>
      </c>
      <c r="B28" s="24">
        <v>46259</v>
      </c>
      <c r="C28" s="22"/>
      <c r="D28" s="15"/>
      <c r="E28" s="44"/>
      <c r="F28" s="44"/>
      <c r="G28" s="8">
        <f t="shared" si="0"/>
        <v>0</v>
      </c>
      <c r="H28" s="44">
        <v>5</v>
      </c>
      <c r="I28" s="44">
        <v>111.85</v>
      </c>
      <c r="J28" s="8">
        <f t="shared" si="3"/>
        <v>559.25</v>
      </c>
      <c r="K28" s="8">
        <f t="shared" si="1"/>
        <v>559.25</v>
      </c>
      <c r="L28" s="243"/>
      <c r="M28" s="8">
        <f t="shared" si="2"/>
        <v>64180.165000000197</v>
      </c>
      <c r="N28" s="16"/>
      <c r="O28" s="56"/>
      <c r="P28" s="74"/>
      <c r="Q28" s="74" t="s">
        <v>242</v>
      </c>
      <c r="R28" s="74"/>
    </row>
    <row r="29" spans="1:18">
      <c r="A29" s="23">
        <v>26</v>
      </c>
      <c r="B29" s="24">
        <v>46260</v>
      </c>
      <c r="C29" s="22"/>
      <c r="D29" s="15"/>
      <c r="E29" s="44">
        <v>540</v>
      </c>
      <c r="F29" s="44">
        <v>99.73</v>
      </c>
      <c r="G29" s="8">
        <f t="shared" si="0"/>
        <v>53854.200000000004</v>
      </c>
      <c r="H29" s="44"/>
      <c r="I29" s="44"/>
      <c r="J29" s="8">
        <f t="shared" si="3"/>
        <v>0</v>
      </c>
      <c r="K29" s="8">
        <f t="shared" si="1"/>
        <v>53854.200000000004</v>
      </c>
      <c r="L29" s="243"/>
      <c r="M29" s="8">
        <f t="shared" si="2"/>
        <v>118034.36500000019</v>
      </c>
      <c r="N29" s="16"/>
      <c r="O29" s="56"/>
      <c r="P29" s="74"/>
      <c r="Q29" s="74">
        <v>30</v>
      </c>
      <c r="R29" s="74">
        <v>50</v>
      </c>
    </row>
    <row r="30" spans="1:18">
      <c r="A30" s="23">
        <v>27</v>
      </c>
      <c r="B30" s="24">
        <v>46261</v>
      </c>
      <c r="C30" s="22"/>
      <c r="D30" s="15"/>
      <c r="E30" s="44">
        <v>47.63</v>
      </c>
      <c r="F30" s="44">
        <v>99.73</v>
      </c>
      <c r="G30" s="8">
        <f t="shared" si="0"/>
        <v>4750.1399000000001</v>
      </c>
      <c r="H30" s="44">
        <v>0</v>
      </c>
      <c r="I30" s="44">
        <v>111.85</v>
      </c>
      <c r="J30" s="8">
        <f t="shared" si="3"/>
        <v>0</v>
      </c>
      <c r="K30" s="8">
        <f t="shared" si="1"/>
        <v>4750.1399000000001</v>
      </c>
      <c r="L30" s="243"/>
      <c r="M30" s="8">
        <f t="shared" si="2"/>
        <v>122784.50490000019</v>
      </c>
      <c r="N30" s="16"/>
      <c r="O30" s="56"/>
      <c r="P30" s="74"/>
      <c r="Q30" s="74">
        <v>50</v>
      </c>
      <c r="R30" s="74">
        <v>4.51</v>
      </c>
    </row>
    <row r="31" spans="1:18">
      <c r="A31" s="23">
        <v>28</v>
      </c>
      <c r="B31" s="24">
        <v>46262</v>
      </c>
      <c r="C31" s="22"/>
      <c r="D31" s="15"/>
      <c r="E31" s="44"/>
      <c r="F31" s="44"/>
      <c r="G31" s="8">
        <f t="shared" si="0"/>
        <v>0</v>
      </c>
      <c r="H31" s="44">
        <v>40</v>
      </c>
      <c r="I31" s="44">
        <v>111.85</v>
      </c>
      <c r="J31" s="8">
        <f t="shared" si="3"/>
        <v>4474</v>
      </c>
      <c r="K31" s="8">
        <f t="shared" si="1"/>
        <v>4474</v>
      </c>
      <c r="L31" s="243"/>
      <c r="M31" s="8">
        <f t="shared" si="2"/>
        <v>127258.50490000019</v>
      </c>
      <c r="N31" s="16"/>
      <c r="O31" s="56"/>
      <c r="P31" s="74"/>
      <c r="Q31" s="74"/>
      <c r="R31" s="74"/>
    </row>
    <row r="32" spans="1:18">
      <c r="A32" s="23"/>
      <c r="B32" s="24">
        <v>46262</v>
      </c>
      <c r="C32" s="22"/>
      <c r="D32" s="15"/>
      <c r="E32" s="44">
        <v>40.049999999999997</v>
      </c>
      <c r="F32" s="44">
        <v>99.1</v>
      </c>
      <c r="G32" s="8">
        <f t="shared" si="0"/>
        <v>3968.9549999999995</v>
      </c>
      <c r="H32" s="44"/>
      <c r="I32" s="44"/>
      <c r="J32" s="8"/>
      <c r="K32" s="8">
        <f t="shared" si="1"/>
        <v>3968.9549999999995</v>
      </c>
      <c r="L32" s="243">
        <v>3968.9549999999995</v>
      </c>
      <c r="M32" s="8">
        <f t="shared" si="2"/>
        <v>127258.50490000019</v>
      </c>
      <c r="N32" s="16"/>
      <c r="O32" s="56"/>
      <c r="P32" s="74"/>
      <c r="Q32" s="74"/>
      <c r="R32" s="74"/>
    </row>
    <row r="33" spans="1:18">
      <c r="A33" s="23">
        <v>29</v>
      </c>
      <c r="B33" s="24">
        <v>46263</v>
      </c>
      <c r="C33" s="22"/>
      <c r="D33" s="15"/>
      <c r="E33" s="44">
        <v>435</v>
      </c>
      <c r="F33" s="44">
        <v>99.73</v>
      </c>
      <c r="G33" s="8">
        <f t="shared" si="0"/>
        <v>43382.55</v>
      </c>
      <c r="H33" s="44"/>
      <c r="I33" s="44"/>
      <c r="J33" s="8">
        <f t="shared" si="3"/>
        <v>0</v>
      </c>
      <c r="K33" s="8">
        <f t="shared" si="1"/>
        <v>43382.55</v>
      </c>
      <c r="L33" s="243"/>
      <c r="M33" s="8">
        <f t="shared" si="2"/>
        <v>170641.05490000019</v>
      </c>
      <c r="N33" s="16"/>
      <c r="O33" s="56"/>
      <c r="P33" s="74"/>
      <c r="Q33" s="74"/>
      <c r="R33" s="74"/>
    </row>
    <row r="34" spans="1:18">
      <c r="A34" s="23">
        <v>30</v>
      </c>
      <c r="B34" s="24">
        <v>46264</v>
      </c>
      <c r="C34" s="22"/>
      <c r="D34" s="15"/>
      <c r="E34" s="44"/>
      <c r="F34" s="44"/>
      <c r="G34" s="8">
        <f t="shared" si="0"/>
        <v>0</v>
      </c>
      <c r="H34" s="44"/>
      <c r="I34" s="44"/>
      <c r="J34" s="8">
        <f t="shared" si="3"/>
        <v>0</v>
      </c>
      <c r="K34" s="8">
        <f t="shared" si="1"/>
        <v>0</v>
      </c>
      <c r="L34" s="243"/>
      <c r="M34" s="8">
        <f t="shared" si="2"/>
        <v>170641.05490000019</v>
      </c>
      <c r="N34" s="16"/>
      <c r="O34" s="56"/>
      <c r="P34" s="74"/>
      <c r="Q34" s="74"/>
      <c r="R34" s="74"/>
    </row>
    <row r="35" spans="1:18">
      <c r="A35" s="23">
        <v>31</v>
      </c>
      <c r="B35" s="24">
        <v>46265</v>
      </c>
      <c r="C35" s="22"/>
      <c r="D35" s="15"/>
      <c r="E35" s="44"/>
      <c r="F35" s="44"/>
      <c r="G35" s="8">
        <f t="shared" si="0"/>
        <v>0</v>
      </c>
      <c r="H35" s="44"/>
      <c r="I35" s="44"/>
      <c r="J35" s="8">
        <f t="shared" si="3"/>
        <v>0</v>
      </c>
      <c r="K35" s="8">
        <f t="shared" si="1"/>
        <v>0</v>
      </c>
      <c r="L35" s="243"/>
      <c r="M35" s="8">
        <f t="shared" si="2"/>
        <v>170641.05490000019</v>
      </c>
      <c r="N35" s="16"/>
      <c r="O35" s="56"/>
      <c r="P35" s="74"/>
      <c r="Q35" s="74"/>
      <c r="R35" s="74"/>
    </row>
    <row r="36" spans="1:18">
      <c r="A36" s="23">
        <v>32</v>
      </c>
      <c r="B36" s="24">
        <v>46266</v>
      </c>
      <c r="C36" s="22"/>
      <c r="D36" s="15"/>
      <c r="E36" s="44"/>
      <c r="F36" s="44"/>
      <c r="G36" s="8">
        <f t="shared" si="0"/>
        <v>0</v>
      </c>
      <c r="H36" s="44"/>
      <c r="I36" s="44"/>
      <c r="J36" s="8">
        <f t="shared" si="3"/>
        <v>0</v>
      </c>
      <c r="K36" s="8">
        <f t="shared" si="1"/>
        <v>0</v>
      </c>
      <c r="L36" s="243"/>
      <c r="M36" s="8">
        <f t="shared" si="2"/>
        <v>170641.05490000019</v>
      </c>
      <c r="N36" s="16"/>
      <c r="O36" s="56"/>
      <c r="P36" s="74"/>
      <c r="Q36" s="74"/>
      <c r="R36" s="74"/>
    </row>
    <row r="37" spans="1:18">
      <c r="A37" s="23">
        <v>33</v>
      </c>
      <c r="B37" s="24">
        <v>46267</v>
      </c>
      <c r="C37" s="22"/>
      <c r="D37" s="15"/>
      <c r="E37" s="44"/>
      <c r="F37" s="44"/>
      <c r="G37" s="8">
        <f t="shared" si="0"/>
        <v>0</v>
      </c>
      <c r="H37" s="44"/>
      <c r="I37" s="412"/>
      <c r="J37" s="8">
        <f t="shared" si="3"/>
        <v>0</v>
      </c>
      <c r="K37" s="8">
        <f t="shared" si="1"/>
        <v>0</v>
      </c>
      <c r="L37" s="243"/>
      <c r="M37" s="8">
        <f>M36+K37-L37</f>
        <v>170641.05490000019</v>
      </c>
      <c r="N37" s="16"/>
      <c r="O37" s="56"/>
      <c r="P37" s="74"/>
      <c r="Q37" s="74"/>
      <c r="R37" s="74"/>
    </row>
    <row r="38" spans="1:18">
      <c r="A38" s="153"/>
      <c r="B38" s="153"/>
      <c r="C38" s="153"/>
      <c r="D38" s="153"/>
      <c r="E38" s="154">
        <f>SUM(E4:E37)</f>
        <v>3478.1800000000003</v>
      </c>
      <c r="F38" s="154"/>
      <c r="G38" s="154">
        <f>SUM(G4:G37)</f>
        <v>346853.65989999997</v>
      </c>
      <c r="H38" s="154">
        <f>SUM(H4:H37)</f>
        <v>192</v>
      </c>
      <c r="I38" s="154"/>
      <c r="J38" s="154">
        <f>SUM(J4:J37)</f>
        <v>21475.200000000001</v>
      </c>
      <c r="K38" s="154">
        <f>SUM(K4:K37)</f>
        <v>368328.85989999998</v>
      </c>
      <c r="L38" s="154">
        <f>SUM(L4:L37)</f>
        <v>703968.95499999996</v>
      </c>
      <c r="M38" s="154"/>
      <c r="N38" s="154"/>
      <c r="O38" s="56"/>
      <c r="P38" s="74"/>
      <c r="Q38" s="74"/>
      <c r="R38" s="74"/>
    </row>
    <row r="39" spans="1:18">
      <c r="A39" s="70"/>
      <c r="B39" s="70"/>
      <c r="C39" s="70"/>
      <c r="D39" s="70"/>
      <c r="E39" s="72"/>
      <c r="F39" s="72"/>
      <c r="G39" s="72"/>
      <c r="H39" s="72"/>
      <c r="I39" s="72"/>
      <c r="J39" s="72"/>
      <c r="K39" s="72"/>
      <c r="L39" s="244"/>
      <c r="M39" s="72"/>
      <c r="N39" s="72"/>
      <c r="O39" s="56"/>
      <c r="P39" s="74"/>
      <c r="Q39" s="74"/>
      <c r="R39" s="74"/>
    </row>
    <row r="40" spans="1:18">
      <c r="A40" s="74"/>
      <c r="B40" s="74"/>
      <c r="C40" s="74"/>
      <c r="D40" s="74"/>
      <c r="E40" s="247"/>
      <c r="F40" s="247"/>
      <c r="G40" s="247"/>
      <c r="H40" s="247"/>
      <c r="I40" s="247"/>
      <c r="J40" s="247"/>
      <c r="K40" s="247"/>
      <c r="L40" s="247"/>
      <c r="M40" s="74"/>
      <c r="N40" s="74"/>
      <c r="O40" s="56"/>
      <c r="P40" s="74"/>
      <c r="Q40" s="74"/>
      <c r="R40" s="74"/>
    </row>
    <row r="41" spans="1:18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245"/>
      <c r="M41" s="74"/>
      <c r="N41" s="74"/>
      <c r="O41" s="56"/>
      <c r="P41" s="74"/>
      <c r="Q41" s="74"/>
      <c r="R41" s="74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245"/>
      <c r="M42" s="74"/>
      <c r="N42" s="74"/>
      <c r="O42" s="56"/>
      <c r="P42" s="74"/>
      <c r="Q42" s="74"/>
      <c r="R42" s="74"/>
    </row>
    <row r="43" spans="1:18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245"/>
      <c r="M43" s="74"/>
      <c r="N43" s="74"/>
      <c r="O43" s="56"/>
      <c r="P43" s="74"/>
      <c r="Q43" s="74"/>
      <c r="R43" s="74"/>
    </row>
    <row r="44" spans="1:18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245"/>
      <c r="M44" s="74"/>
      <c r="N44" s="74"/>
      <c r="O44" s="56"/>
      <c r="P44" s="74"/>
      <c r="Q44" s="74"/>
      <c r="R44" s="74"/>
    </row>
    <row r="45" spans="1:18">
      <c r="A45" s="56"/>
      <c r="B45" s="56"/>
      <c r="C45" s="56"/>
      <c r="D45" s="56"/>
      <c r="E45" s="56"/>
      <c r="F45" s="56"/>
      <c r="G45" s="78"/>
      <c r="H45" s="56"/>
      <c r="I45" s="56"/>
      <c r="J45" s="56"/>
      <c r="K45" s="56"/>
      <c r="L45" s="70"/>
      <c r="M45" s="56"/>
      <c r="N45" s="56"/>
      <c r="O45" s="72"/>
      <c r="P45" s="74"/>
      <c r="Q45" s="74"/>
      <c r="R45" s="74"/>
    </row>
    <row r="46" spans="1:18">
      <c r="A46" s="56"/>
      <c r="B46" s="556"/>
      <c r="C46" s="556"/>
      <c r="D46" s="556"/>
      <c r="E46" s="556"/>
      <c r="F46" s="56"/>
      <c r="G46" s="56"/>
      <c r="H46" s="56"/>
      <c r="I46" s="556"/>
      <c r="J46" s="556"/>
      <c r="K46" s="556"/>
      <c r="L46" s="556"/>
      <c r="M46" s="556"/>
      <c r="N46" s="556"/>
      <c r="O46" s="72"/>
      <c r="P46" s="74"/>
      <c r="Q46" s="74"/>
      <c r="R46" s="74"/>
    </row>
    <row r="47" spans="1:18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70"/>
      <c r="M47" s="56"/>
      <c r="N47" s="56"/>
      <c r="O47" s="72"/>
      <c r="P47" s="74"/>
      <c r="Q47" s="74"/>
      <c r="R47" s="74"/>
    </row>
  </sheetData>
  <mergeCells count="4">
    <mergeCell ref="A1:N1"/>
    <mergeCell ref="A3:J3"/>
    <mergeCell ref="B46:E46"/>
    <mergeCell ref="I46:N4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H25" sqref="H25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19" customWidth="1"/>
    <col min="8" max="8" width="12" style="19" customWidth="1"/>
    <col min="9" max="9" width="9.140625" style="19"/>
    <col min="10" max="10" width="11.140625" style="19" customWidth="1"/>
    <col min="11" max="11" width="12" style="19" customWidth="1"/>
    <col min="12" max="12" width="11.85546875" style="19" customWidth="1"/>
    <col min="13" max="13" width="13.85546875" customWidth="1"/>
  </cols>
  <sheetData>
    <row r="1" spans="1:14" ht="15.75">
      <c r="A1" s="555" t="s">
        <v>130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</row>
    <row r="2" spans="1:14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219" t="s">
        <v>175</v>
      </c>
      <c r="H2" s="219" t="s">
        <v>176</v>
      </c>
      <c r="I2" s="219" t="s">
        <v>174</v>
      </c>
      <c r="J2" s="219" t="s">
        <v>175</v>
      </c>
      <c r="K2" s="220" t="s">
        <v>177</v>
      </c>
      <c r="L2" s="220" t="s">
        <v>178</v>
      </c>
      <c r="M2" s="138" t="s">
        <v>195</v>
      </c>
      <c r="N2" s="98" t="s">
        <v>180</v>
      </c>
    </row>
    <row r="3" spans="1:14">
      <c r="A3" s="586" t="s">
        <v>181</v>
      </c>
      <c r="B3" s="587"/>
      <c r="C3" s="587"/>
      <c r="D3" s="587"/>
      <c r="E3" s="587"/>
      <c r="F3" s="587"/>
      <c r="G3" s="587"/>
      <c r="H3" s="587"/>
      <c r="I3" s="587"/>
      <c r="J3" s="588"/>
      <c r="K3" s="207">
        <v>0</v>
      </c>
      <c r="L3" s="207"/>
      <c r="M3" s="166">
        <f>+K3</f>
        <v>0</v>
      </c>
      <c r="N3" s="208"/>
    </row>
    <row r="4" spans="1:14">
      <c r="A4" s="23">
        <v>1</v>
      </c>
      <c r="B4" s="24">
        <v>46235</v>
      </c>
      <c r="C4" s="14"/>
      <c r="D4" s="14"/>
      <c r="E4" s="187"/>
      <c r="F4" s="187"/>
      <c r="G4" s="202">
        <f>E4*F4</f>
        <v>0</v>
      </c>
      <c r="H4" s="257"/>
      <c r="I4" s="202"/>
      <c r="J4" s="202">
        <f>H4*I4</f>
        <v>0</v>
      </c>
      <c r="K4" s="202">
        <f>G4+J4</f>
        <v>0</v>
      </c>
      <c r="L4" s="202">
        <f>+K4</f>
        <v>0</v>
      </c>
      <c r="M4" s="187"/>
      <c r="N4" s="14"/>
    </row>
    <row r="5" spans="1:14">
      <c r="A5" s="23">
        <v>2</v>
      </c>
      <c r="B5" s="24">
        <v>46236</v>
      </c>
      <c r="C5" s="14"/>
      <c r="D5" s="14"/>
      <c r="E5" s="187"/>
      <c r="F5" s="187"/>
      <c r="G5" s="202">
        <f t="shared" ref="G5:G32" si="0">E5*F5</f>
        <v>0</v>
      </c>
      <c r="H5" s="257"/>
      <c r="I5" s="202"/>
      <c r="J5" s="202">
        <f>H5*I5</f>
        <v>0</v>
      </c>
      <c r="K5" s="202">
        <f t="shared" ref="K5:L34" si="1">G5+J5</f>
        <v>0</v>
      </c>
      <c r="L5" s="202">
        <f t="shared" ref="L5:L33" si="2">+K5</f>
        <v>0</v>
      </c>
      <c r="M5" s="187"/>
      <c r="N5" s="14"/>
    </row>
    <row r="6" spans="1:14">
      <c r="A6" s="23">
        <v>3</v>
      </c>
      <c r="B6" s="24">
        <v>46237</v>
      </c>
      <c r="C6" s="14"/>
      <c r="D6" s="14"/>
      <c r="E6" s="187">
        <v>50</v>
      </c>
      <c r="F6" s="187">
        <v>99.41</v>
      </c>
      <c r="G6" s="202">
        <f t="shared" si="0"/>
        <v>4970.5</v>
      </c>
      <c r="H6" s="257"/>
      <c r="I6" s="202"/>
      <c r="J6" s="202">
        <f t="shared" ref="J6:J34" si="3">H6*I6</f>
        <v>0</v>
      </c>
      <c r="K6" s="202">
        <f t="shared" si="1"/>
        <v>4970.5</v>
      </c>
      <c r="L6" s="202">
        <f t="shared" si="2"/>
        <v>4970.5</v>
      </c>
      <c r="M6" s="187"/>
      <c r="N6" s="14"/>
    </row>
    <row r="7" spans="1:14">
      <c r="A7" s="23">
        <v>4</v>
      </c>
      <c r="B7" s="24">
        <v>46238</v>
      </c>
      <c r="C7" s="14"/>
      <c r="D7" s="14"/>
      <c r="E7" s="187"/>
      <c r="F7" s="187"/>
      <c r="G7" s="202">
        <f t="shared" si="0"/>
        <v>0</v>
      </c>
      <c r="H7" s="257"/>
      <c r="I7" s="202"/>
      <c r="J7" s="202">
        <f t="shared" si="3"/>
        <v>0</v>
      </c>
      <c r="K7" s="202">
        <f t="shared" si="1"/>
        <v>0</v>
      </c>
      <c r="L7" s="202">
        <f t="shared" si="2"/>
        <v>0</v>
      </c>
      <c r="M7" s="187"/>
      <c r="N7" s="14"/>
    </row>
    <row r="8" spans="1:14">
      <c r="A8" s="23">
        <v>5</v>
      </c>
      <c r="B8" s="24">
        <v>46239</v>
      </c>
      <c r="C8" s="14"/>
      <c r="D8" s="14"/>
      <c r="E8" s="187"/>
      <c r="F8" s="187"/>
      <c r="G8" s="202">
        <f t="shared" si="0"/>
        <v>0</v>
      </c>
      <c r="H8" s="257"/>
      <c r="I8" s="202"/>
      <c r="J8" s="202">
        <f t="shared" si="3"/>
        <v>0</v>
      </c>
      <c r="K8" s="202">
        <f t="shared" si="1"/>
        <v>0</v>
      </c>
      <c r="L8" s="202">
        <f t="shared" si="2"/>
        <v>0</v>
      </c>
      <c r="M8" s="187"/>
      <c r="N8" s="14"/>
    </row>
    <row r="9" spans="1:14">
      <c r="A9" s="23">
        <v>6</v>
      </c>
      <c r="B9" s="24">
        <v>46240</v>
      </c>
      <c r="C9" s="14"/>
      <c r="D9" s="14"/>
      <c r="E9" s="187">
        <v>100</v>
      </c>
      <c r="F9" s="187">
        <v>99.41</v>
      </c>
      <c r="G9" s="202">
        <f t="shared" si="0"/>
        <v>9941</v>
      </c>
      <c r="H9" s="257"/>
      <c r="I9" s="202"/>
      <c r="J9" s="202">
        <f t="shared" si="3"/>
        <v>0</v>
      </c>
      <c r="K9" s="202">
        <f t="shared" si="1"/>
        <v>9941</v>
      </c>
      <c r="L9" s="202">
        <f t="shared" si="2"/>
        <v>9941</v>
      </c>
      <c r="M9" s="187"/>
      <c r="N9" s="14"/>
    </row>
    <row r="10" spans="1:14">
      <c r="A10" s="23">
        <v>7</v>
      </c>
      <c r="B10" s="24">
        <v>46241</v>
      </c>
      <c r="C10" s="14"/>
      <c r="D10" s="14"/>
      <c r="E10" s="187"/>
      <c r="F10" s="187"/>
      <c r="G10" s="202">
        <f t="shared" si="0"/>
        <v>0</v>
      </c>
      <c r="H10" s="257"/>
      <c r="I10" s="202"/>
      <c r="J10" s="202">
        <f t="shared" si="3"/>
        <v>0</v>
      </c>
      <c r="K10" s="202">
        <f t="shared" si="1"/>
        <v>0</v>
      </c>
      <c r="L10" s="202">
        <f t="shared" si="2"/>
        <v>0</v>
      </c>
      <c r="M10" s="187"/>
      <c r="N10" s="14"/>
    </row>
    <row r="11" spans="1:14">
      <c r="A11" s="23">
        <v>8</v>
      </c>
      <c r="B11" s="24">
        <v>46242</v>
      </c>
      <c r="C11" s="14"/>
      <c r="D11" s="14"/>
      <c r="E11" s="187">
        <v>100</v>
      </c>
      <c r="F11" s="187">
        <v>99.41</v>
      </c>
      <c r="G11" s="202">
        <f t="shared" si="0"/>
        <v>9941</v>
      </c>
      <c r="H11" s="257">
        <v>7.53</v>
      </c>
      <c r="I11" s="202">
        <v>111.51</v>
      </c>
      <c r="J11" s="202">
        <f t="shared" si="3"/>
        <v>839.67030000000011</v>
      </c>
      <c r="K11" s="202">
        <f t="shared" si="1"/>
        <v>10780.6703</v>
      </c>
      <c r="L11" s="202">
        <f t="shared" si="2"/>
        <v>10780.6703</v>
      </c>
      <c r="M11" s="187"/>
      <c r="N11" s="14"/>
    </row>
    <row r="12" spans="1:14">
      <c r="A12" s="23">
        <v>9</v>
      </c>
      <c r="B12" s="24">
        <v>46243</v>
      </c>
      <c r="C12" s="14"/>
      <c r="D12" s="14"/>
      <c r="E12" s="187">
        <v>2</v>
      </c>
      <c r="F12" s="187">
        <v>99.41</v>
      </c>
      <c r="G12" s="202">
        <f t="shared" si="0"/>
        <v>198.82</v>
      </c>
      <c r="H12" s="257"/>
      <c r="I12" s="202"/>
      <c r="J12" s="202">
        <f t="shared" si="3"/>
        <v>0</v>
      </c>
      <c r="K12" s="202">
        <f t="shared" si="1"/>
        <v>198.82</v>
      </c>
      <c r="L12" s="202">
        <f t="shared" si="2"/>
        <v>198.82</v>
      </c>
      <c r="M12" s="187"/>
      <c r="N12" s="14"/>
    </row>
    <row r="13" spans="1:14">
      <c r="A13" s="23">
        <v>10</v>
      </c>
      <c r="B13" s="24">
        <v>46244</v>
      </c>
      <c r="C13" s="14"/>
      <c r="D13" s="14"/>
      <c r="E13" s="187"/>
      <c r="F13" s="187"/>
      <c r="G13" s="202">
        <f t="shared" si="0"/>
        <v>0</v>
      </c>
      <c r="H13" s="257"/>
      <c r="I13" s="202"/>
      <c r="J13" s="202">
        <f t="shared" si="3"/>
        <v>0</v>
      </c>
      <c r="K13" s="202">
        <f t="shared" si="1"/>
        <v>0</v>
      </c>
      <c r="L13" s="202">
        <f t="shared" si="2"/>
        <v>0</v>
      </c>
      <c r="M13" s="187"/>
      <c r="N13" s="14"/>
    </row>
    <row r="14" spans="1:14">
      <c r="A14" s="23">
        <v>11</v>
      </c>
      <c r="B14" s="24">
        <v>46245</v>
      </c>
      <c r="C14" s="14"/>
      <c r="D14" s="14"/>
      <c r="E14" s="187">
        <v>100</v>
      </c>
      <c r="F14" s="187">
        <v>99.41</v>
      </c>
      <c r="G14" s="202">
        <f t="shared" si="0"/>
        <v>9941</v>
      </c>
      <c r="H14" s="257"/>
      <c r="I14" s="202"/>
      <c r="J14" s="202">
        <f t="shared" si="3"/>
        <v>0</v>
      </c>
      <c r="K14" s="202">
        <f t="shared" si="1"/>
        <v>9941</v>
      </c>
      <c r="L14" s="202">
        <f t="shared" si="2"/>
        <v>9941</v>
      </c>
      <c r="M14" s="187"/>
      <c r="N14" s="14"/>
    </row>
    <row r="15" spans="1:14">
      <c r="A15" s="23">
        <v>12</v>
      </c>
      <c r="B15" s="24">
        <v>46246</v>
      </c>
      <c r="C15" s="14"/>
      <c r="D15" s="14"/>
      <c r="E15" s="187"/>
      <c r="F15" s="187"/>
      <c r="G15" s="202">
        <f t="shared" si="0"/>
        <v>0</v>
      </c>
      <c r="H15" s="257"/>
      <c r="I15" s="202"/>
      <c r="J15" s="202">
        <f t="shared" si="3"/>
        <v>0</v>
      </c>
      <c r="K15" s="202">
        <f t="shared" si="1"/>
        <v>0</v>
      </c>
      <c r="L15" s="202">
        <f t="shared" si="2"/>
        <v>0</v>
      </c>
      <c r="M15" s="187"/>
      <c r="N15" s="14"/>
    </row>
    <row r="16" spans="1:14">
      <c r="A16" s="23">
        <v>13</v>
      </c>
      <c r="B16" s="24">
        <v>46247</v>
      </c>
      <c r="C16" s="14"/>
      <c r="D16" s="14"/>
      <c r="E16" s="187"/>
      <c r="F16" s="187"/>
      <c r="G16" s="202">
        <f t="shared" si="0"/>
        <v>0</v>
      </c>
      <c r="H16" s="257"/>
      <c r="I16" s="202"/>
      <c r="J16" s="202">
        <f t="shared" si="3"/>
        <v>0</v>
      </c>
      <c r="K16" s="202">
        <f t="shared" si="1"/>
        <v>0</v>
      </c>
      <c r="L16" s="202">
        <f t="shared" si="2"/>
        <v>0</v>
      </c>
      <c r="M16" s="187"/>
      <c r="N16" s="14"/>
    </row>
    <row r="17" spans="1:15">
      <c r="A17" s="23">
        <v>14</v>
      </c>
      <c r="B17" s="24">
        <v>46248</v>
      </c>
      <c r="C17" s="14"/>
      <c r="D17" s="14"/>
      <c r="E17" s="187"/>
      <c r="F17" s="187"/>
      <c r="G17" s="202">
        <f t="shared" si="0"/>
        <v>0</v>
      </c>
      <c r="H17" s="257"/>
      <c r="I17" s="202"/>
      <c r="J17" s="202">
        <f t="shared" si="3"/>
        <v>0</v>
      </c>
      <c r="K17" s="202">
        <f t="shared" si="1"/>
        <v>0</v>
      </c>
      <c r="L17" s="202">
        <f t="shared" si="2"/>
        <v>0</v>
      </c>
      <c r="M17" s="187"/>
      <c r="N17" s="14"/>
    </row>
    <row r="18" spans="1:15">
      <c r="A18" s="23">
        <v>15</v>
      </c>
      <c r="B18" s="24">
        <v>46249</v>
      </c>
      <c r="C18" s="14"/>
      <c r="D18" s="14"/>
      <c r="E18" s="187"/>
      <c r="F18" s="187"/>
      <c r="G18" s="202">
        <f t="shared" si="0"/>
        <v>0</v>
      </c>
      <c r="H18" s="257"/>
      <c r="I18" s="202"/>
      <c r="J18" s="202">
        <f t="shared" si="3"/>
        <v>0</v>
      </c>
      <c r="K18" s="202">
        <f t="shared" si="1"/>
        <v>0</v>
      </c>
      <c r="L18" s="202">
        <f t="shared" si="2"/>
        <v>0</v>
      </c>
      <c r="M18" s="187"/>
      <c r="N18" s="91"/>
    </row>
    <row r="19" spans="1:15">
      <c r="A19" s="23">
        <v>16</v>
      </c>
      <c r="B19" s="24">
        <v>46250</v>
      </c>
      <c r="C19" s="14"/>
      <c r="D19" s="14"/>
      <c r="E19" s="187"/>
      <c r="F19" s="187"/>
      <c r="G19" s="202">
        <f t="shared" si="0"/>
        <v>0</v>
      </c>
      <c r="H19" s="257"/>
      <c r="I19" s="202"/>
      <c r="J19" s="202">
        <f t="shared" si="3"/>
        <v>0</v>
      </c>
      <c r="K19" s="202">
        <f t="shared" si="1"/>
        <v>0</v>
      </c>
      <c r="L19" s="202">
        <f t="shared" si="2"/>
        <v>0</v>
      </c>
      <c r="M19" s="421"/>
      <c r="N19" s="14"/>
    </row>
    <row r="20" spans="1:15">
      <c r="A20" s="23">
        <v>17</v>
      </c>
      <c r="B20" s="24">
        <v>46251</v>
      </c>
      <c r="C20" s="14"/>
      <c r="D20" s="14"/>
      <c r="E20" s="187"/>
      <c r="F20" s="187"/>
      <c r="G20" s="202">
        <f t="shared" si="0"/>
        <v>0</v>
      </c>
      <c r="H20" s="257"/>
      <c r="I20" s="202"/>
      <c r="J20" s="202">
        <f t="shared" si="3"/>
        <v>0</v>
      </c>
      <c r="K20" s="202">
        <f t="shared" si="1"/>
        <v>0</v>
      </c>
      <c r="L20" s="202">
        <f t="shared" si="2"/>
        <v>0</v>
      </c>
      <c r="M20" s="421"/>
      <c r="N20" s="14"/>
    </row>
    <row r="21" spans="1:15">
      <c r="A21" s="23">
        <v>18</v>
      </c>
      <c r="B21" s="24">
        <v>46252</v>
      </c>
      <c r="C21" s="14"/>
      <c r="D21" s="14"/>
      <c r="E21" s="187"/>
      <c r="F21" s="187"/>
      <c r="G21" s="202">
        <f t="shared" si="0"/>
        <v>0</v>
      </c>
      <c r="H21" s="257"/>
      <c r="I21" s="202"/>
      <c r="J21" s="202">
        <f t="shared" si="3"/>
        <v>0</v>
      </c>
      <c r="K21" s="202">
        <f t="shared" si="1"/>
        <v>0</v>
      </c>
      <c r="L21" s="202">
        <f t="shared" si="2"/>
        <v>0</v>
      </c>
      <c r="M21" s="421"/>
      <c r="N21" s="14"/>
    </row>
    <row r="22" spans="1:15">
      <c r="A22" s="23">
        <v>19</v>
      </c>
      <c r="B22" s="24">
        <v>46253</v>
      </c>
      <c r="C22" s="14"/>
      <c r="D22" s="14"/>
      <c r="E22" s="187"/>
      <c r="F22" s="187"/>
      <c r="G22" s="202">
        <f t="shared" si="0"/>
        <v>0</v>
      </c>
      <c r="H22" s="257"/>
      <c r="I22" s="202"/>
      <c r="J22" s="202">
        <f t="shared" si="3"/>
        <v>0</v>
      </c>
      <c r="K22" s="202">
        <f t="shared" si="1"/>
        <v>0</v>
      </c>
      <c r="L22" s="202">
        <f t="shared" si="2"/>
        <v>0</v>
      </c>
      <c r="M22" s="421"/>
      <c r="N22" s="14"/>
    </row>
    <row r="23" spans="1:15">
      <c r="A23" s="23">
        <v>20</v>
      </c>
      <c r="B23" s="24">
        <v>46254</v>
      </c>
      <c r="C23" s="14"/>
      <c r="D23" s="14"/>
      <c r="E23" s="187"/>
      <c r="F23" s="187"/>
      <c r="G23" s="202">
        <f t="shared" si="0"/>
        <v>0</v>
      </c>
      <c r="H23" s="257"/>
      <c r="I23" s="202"/>
      <c r="J23" s="202">
        <f t="shared" si="3"/>
        <v>0</v>
      </c>
      <c r="K23" s="202">
        <f t="shared" si="1"/>
        <v>0</v>
      </c>
      <c r="L23" s="202">
        <f t="shared" si="2"/>
        <v>0</v>
      </c>
      <c r="M23" s="421"/>
      <c r="N23" s="14"/>
    </row>
    <row r="24" spans="1:15">
      <c r="A24" s="23">
        <v>21</v>
      </c>
      <c r="B24" s="24">
        <v>46255</v>
      </c>
      <c r="C24" s="14"/>
      <c r="D24" s="14"/>
      <c r="E24" s="187"/>
      <c r="F24" s="187"/>
      <c r="G24" s="202">
        <f t="shared" si="0"/>
        <v>0</v>
      </c>
      <c r="H24" s="257">
        <v>8.52</v>
      </c>
      <c r="I24" s="202">
        <v>111.51</v>
      </c>
      <c r="J24" s="202">
        <f t="shared" si="3"/>
        <v>950.0652</v>
      </c>
      <c r="K24" s="202">
        <f t="shared" si="1"/>
        <v>950.0652</v>
      </c>
      <c r="L24" s="202">
        <f t="shared" si="2"/>
        <v>950.0652</v>
      </c>
      <c r="M24" s="421"/>
      <c r="N24" s="14"/>
    </row>
    <row r="25" spans="1:15">
      <c r="A25" s="23">
        <v>22</v>
      </c>
      <c r="B25" s="24">
        <v>46256</v>
      </c>
      <c r="C25" s="14"/>
      <c r="D25" s="14"/>
      <c r="E25" s="187"/>
      <c r="F25" s="187"/>
      <c r="G25" s="202">
        <f t="shared" si="0"/>
        <v>0</v>
      </c>
      <c r="H25" s="257">
        <v>7.18</v>
      </c>
      <c r="I25" s="202">
        <v>111.51</v>
      </c>
      <c r="J25" s="202">
        <f t="shared" si="3"/>
        <v>800.64179999999999</v>
      </c>
      <c r="K25" s="202">
        <f t="shared" si="1"/>
        <v>800.64179999999999</v>
      </c>
      <c r="L25" s="202">
        <f t="shared" si="2"/>
        <v>800.64179999999999</v>
      </c>
      <c r="M25" s="421"/>
      <c r="N25" s="14"/>
    </row>
    <row r="26" spans="1:15">
      <c r="A26" s="23">
        <v>23</v>
      </c>
      <c r="B26" s="24">
        <v>46257</v>
      </c>
      <c r="C26" s="14"/>
      <c r="D26" s="14"/>
      <c r="E26" s="187"/>
      <c r="F26" s="187"/>
      <c r="G26" s="202">
        <f t="shared" si="0"/>
        <v>0</v>
      </c>
      <c r="H26" s="257"/>
      <c r="I26" s="202"/>
      <c r="J26" s="202">
        <f t="shared" si="3"/>
        <v>0</v>
      </c>
      <c r="K26" s="202">
        <f t="shared" si="1"/>
        <v>0</v>
      </c>
      <c r="L26" s="202">
        <f t="shared" si="2"/>
        <v>0</v>
      </c>
      <c r="M26" s="187"/>
      <c r="N26" s="133"/>
    </row>
    <row r="27" spans="1:15">
      <c r="A27" s="23">
        <v>24</v>
      </c>
      <c r="B27" s="24">
        <v>46258</v>
      </c>
      <c r="C27" s="14"/>
      <c r="D27" s="14"/>
      <c r="E27" s="187"/>
      <c r="F27" s="187"/>
      <c r="G27" s="202">
        <f t="shared" si="0"/>
        <v>0</v>
      </c>
      <c r="H27" s="257"/>
      <c r="I27" s="202"/>
      <c r="J27" s="202">
        <f t="shared" si="3"/>
        <v>0</v>
      </c>
      <c r="K27" s="202">
        <f t="shared" ref="K27:K33" si="4">G27+J27</f>
        <v>0</v>
      </c>
      <c r="L27" s="202">
        <f t="shared" si="2"/>
        <v>0</v>
      </c>
      <c r="M27" s="187"/>
      <c r="N27" s="14"/>
      <c r="O27">
        <v>0</v>
      </c>
    </row>
    <row r="28" spans="1:15">
      <c r="A28" s="23">
        <v>25</v>
      </c>
      <c r="B28" s="24">
        <v>46259</v>
      </c>
      <c r="C28" s="14"/>
      <c r="D28" s="14"/>
      <c r="E28" s="187"/>
      <c r="F28" s="187"/>
      <c r="G28" s="202">
        <f t="shared" si="0"/>
        <v>0</v>
      </c>
      <c r="H28" s="257"/>
      <c r="I28" s="202"/>
      <c r="J28" s="202">
        <f t="shared" si="3"/>
        <v>0</v>
      </c>
      <c r="K28" s="202">
        <f t="shared" si="4"/>
        <v>0</v>
      </c>
      <c r="L28" s="202">
        <f t="shared" si="2"/>
        <v>0</v>
      </c>
      <c r="M28" s="187"/>
      <c r="N28" s="14"/>
    </row>
    <row r="29" spans="1:15">
      <c r="A29" s="23">
        <v>26</v>
      </c>
      <c r="B29" s="24">
        <v>46260</v>
      </c>
      <c r="C29" s="14"/>
      <c r="D29" s="14"/>
      <c r="E29" s="187"/>
      <c r="F29" s="187"/>
      <c r="G29" s="202">
        <f t="shared" si="0"/>
        <v>0</v>
      </c>
      <c r="H29" s="257"/>
      <c r="I29" s="202"/>
      <c r="J29" s="202">
        <f t="shared" si="3"/>
        <v>0</v>
      </c>
      <c r="K29" s="202">
        <f t="shared" si="4"/>
        <v>0</v>
      </c>
      <c r="L29" s="202">
        <f t="shared" si="2"/>
        <v>0</v>
      </c>
      <c r="M29" s="187"/>
      <c r="N29" s="14"/>
    </row>
    <row r="30" spans="1:15">
      <c r="A30" s="23">
        <v>27</v>
      </c>
      <c r="B30" s="24">
        <v>46261</v>
      </c>
      <c r="C30" s="14"/>
      <c r="D30" s="14"/>
      <c r="E30" s="187"/>
      <c r="F30" s="187"/>
      <c r="G30" s="202">
        <f t="shared" si="0"/>
        <v>0</v>
      </c>
      <c r="H30" s="257"/>
      <c r="I30" s="202"/>
      <c r="J30" s="202">
        <f t="shared" si="3"/>
        <v>0</v>
      </c>
      <c r="K30" s="202">
        <f t="shared" si="4"/>
        <v>0</v>
      </c>
      <c r="L30" s="202">
        <f t="shared" si="2"/>
        <v>0</v>
      </c>
      <c r="M30" s="187"/>
      <c r="N30" s="14"/>
    </row>
    <row r="31" spans="1:15">
      <c r="A31" s="210">
        <v>28</v>
      </c>
      <c r="B31" s="24">
        <v>46262</v>
      </c>
      <c r="C31" s="14"/>
      <c r="D31" s="14"/>
      <c r="E31" s="187"/>
      <c r="F31" s="187"/>
      <c r="G31" s="202">
        <f t="shared" si="0"/>
        <v>0</v>
      </c>
      <c r="H31" s="257"/>
      <c r="I31" s="202"/>
      <c r="J31" s="202">
        <f t="shared" si="3"/>
        <v>0</v>
      </c>
      <c r="K31" s="202">
        <f t="shared" si="4"/>
        <v>0</v>
      </c>
      <c r="L31" s="202">
        <f t="shared" si="2"/>
        <v>0</v>
      </c>
      <c r="M31" s="187"/>
      <c r="N31" s="91"/>
    </row>
    <row r="32" spans="1:15">
      <c r="A32" s="23">
        <v>29</v>
      </c>
      <c r="B32" s="24">
        <v>46263</v>
      </c>
      <c r="C32" s="14"/>
      <c r="D32" s="14"/>
      <c r="E32" s="187"/>
      <c r="F32" s="187"/>
      <c r="G32" s="202">
        <f t="shared" si="0"/>
        <v>0</v>
      </c>
      <c r="H32" s="257"/>
      <c r="I32" s="202"/>
      <c r="J32" s="202">
        <f t="shared" si="3"/>
        <v>0</v>
      </c>
      <c r="K32" s="202">
        <f t="shared" si="4"/>
        <v>0</v>
      </c>
      <c r="L32" s="202">
        <f t="shared" si="2"/>
        <v>0</v>
      </c>
      <c r="M32" s="187"/>
      <c r="N32" s="14"/>
    </row>
    <row r="33" spans="1:14">
      <c r="A33" s="23">
        <v>30</v>
      </c>
      <c r="B33" s="24">
        <v>46264</v>
      </c>
      <c r="C33" s="14"/>
      <c r="D33" s="14"/>
      <c r="E33" s="187"/>
      <c r="F33" s="187"/>
      <c r="G33" s="202">
        <f t="shared" ref="G33:G34" si="5">E33*F33</f>
        <v>0</v>
      </c>
      <c r="H33" s="257"/>
      <c r="I33" s="202"/>
      <c r="J33" s="202">
        <f t="shared" si="3"/>
        <v>0</v>
      </c>
      <c r="K33" s="202">
        <f t="shared" si="4"/>
        <v>0</v>
      </c>
      <c r="L33" s="202">
        <f t="shared" si="2"/>
        <v>0</v>
      </c>
      <c r="M33" s="187"/>
      <c r="N33" s="14"/>
    </row>
    <row r="34" spans="1:14">
      <c r="A34" s="23">
        <v>31</v>
      </c>
      <c r="B34" s="24">
        <v>46265</v>
      </c>
      <c r="C34" s="14"/>
      <c r="D34" s="14"/>
      <c r="E34" s="187"/>
      <c r="F34" s="187"/>
      <c r="G34" s="202">
        <f t="shared" si="5"/>
        <v>0</v>
      </c>
      <c r="H34" s="257"/>
      <c r="I34" s="202"/>
      <c r="J34" s="202">
        <f t="shared" si="3"/>
        <v>0</v>
      </c>
      <c r="K34" s="202">
        <f t="shared" si="1"/>
        <v>0</v>
      </c>
      <c r="L34" s="202">
        <f t="shared" si="1"/>
        <v>0</v>
      </c>
      <c r="M34" s="187"/>
      <c r="N34" s="14"/>
    </row>
    <row r="35" spans="1:14">
      <c r="A35" s="174"/>
      <c r="B35" s="174"/>
      <c r="C35" s="174"/>
      <c r="D35" s="174"/>
      <c r="E35" s="174">
        <f>SUM(E4:E34)</f>
        <v>352</v>
      </c>
      <c r="F35" s="174"/>
      <c r="G35" s="174">
        <f>SUM(G4:G34)</f>
        <v>34992.32</v>
      </c>
      <c r="H35" s="174">
        <f>SUM(H4:H34)</f>
        <v>23.23</v>
      </c>
      <c r="I35" s="174"/>
      <c r="J35" s="174">
        <f>SUM(J4:J34)</f>
        <v>2590.3773000000001</v>
      </c>
      <c r="K35" s="174">
        <f>SUM(K4:K34)</f>
        <v>37582.697299999993</v>
      </c>
      <c r="L35" s="174">
        <f>SUM(L4:L34)</f>
        <v>37582.697299999993</v>
      </c>
      <c r="M35" s="174"/>
      <c r="N35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41"/>
  <sheetViews>
    <sheetView workbookViewId="0">
      <pane ySplit="2" topLeftCell="A24" activePane="bottomLeft" state="frozen"/>
      <selection pane="bottomLeft" activeCell="M40" sqref="M40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589" t="s">
        <v>245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</row>
    <row r="2" spans="1:18">
      <c r="A2" s="61" t="s">
        <v>0</v>
      </c>
      <c r="B2" s="61" t="s">
        <v>170</v>
      </c>
      <c r="C2" s="61" t="s">
        <v>171</v>
      </c>
      <c r="D2" s="61" t="s">
        <v>172</v>
      </c>
      <c r="E2" s="88" t="s">
        <v>173</v>
      </c>
      <c r="F2" s="88" t="s">
        <v>174</v>
      </c>
      <c r="G2" s="88" t="s">
        <v>175</v>
      </c>
      <c r="H2" s="88" t="s">
        <v>176</v>
      </c>
      <c r="I2" s="88" t="s">
        <v>174</v>
      </c>
      <c r="J2" s="88" t="s">
        <v>175</v>
      </c>
      <c r="K2" s="88" t="s">
        <v>177</v>
      </c>
      <c r="L2" s="82" t="s">
        <v>178</v>
      </c>
      <c r="M2" s="82" t="s">
        <v>195</v>
      </c>
      <c r="N2" s="61" t="s">
        <v>180</v>
      </c>
    </row>
    <row r="3" spans="1:18">
      <c r="A3" s="590" t="s">
        <v>181</v>
      </c>
      <c r="B3" s="590"/>
      <c r="C3" s="590"/>
      <c r="D3" s="590"/>
      <c r="E3" s="590"/>
      <c r="F3" s="590"/>
      <c r="G3" s="590"/>
      <c r="H3" s="590"/>
      <c r="I3" s="590"/>
      <c r="J3" s="590"/>
      <c r="K3" s="171"/>
      <c r="L3" s="99"/>
      <c r="M3" s="99">
        <v>60343.606800000023</v>
      </c>
    </row>
    <row r="4" spans="1:18">
      <c r="A4" s="23">
        <v>1</v>
      </c>
      <c r="B4" s="24">
        <v>45870</v>
      </c>
      <c r="C4" s="6"/>
      <c r="D4" s="6"/>
      <c r="E4" s="427">
        <v>100</v>
      </c>
      <c r="F4" s="427">
        <v>99.78</v>
      </c>
      <c r="G4" s="63">
        <f>E4*F4</f>
        <v>9978</v>
      </c>
      <c r="H4" s="427"/>
      <c r="I4" s="428"/>
      <c r="J4" s="63">
        <f>H4*I4</f>
        <v>0</v>
      </c>
      <c r="K4" s="63">
        <f>G4+J4</f>
        <v>9978</v>
      </c>
      <c r="L4" s="63"/>
      <c r="M4" s="63">
        <f>M3+K4-L4</f>
        <v>70321.606800000023</v>
      </c>
      <c r="N4" s="6"/>
    </row>
    <row r="5" spans="1:18">
      <c r="A5" s="23">
        <v>2</v>
      </c>
      <c r="B5" s="24">
        <v>45871</v>
      </c>
      <c r="C5" s="6"/>
      <c r="D5" s="6"/>
      <c r="E5" s="427">
        <v>50</v>
      </c>
      <c r="F5" s="427">
        <v>99.78</v>
      </c>
      <c r="G5" s="63">
        <f>E5*F5</f>
        <v>4989</v>
      </c>
      <c r="H5" s="427">
        <v>5</v>
      </c>
      <c r="I5" s="428">
        <v>111.98</v>
      </c>
      <c r="J5" s="63">
        <f>H5*I5</f>
        <v>559.9</v>
      </c>
      <c r="K5" s="63">
        <f>G5+J5</f>
        <v>5548.9</v>
      </c>
      <c r="L5" s="63"/>
      <c r="M5" s="63">
        <f t="shared" ref="M5:M40" si="0">M4+K5-L5</f>
        <v>75870.506800000017</v>
      </c>
      <c r="N5" s="6"/>
    </row>
    <row r="6" spans="1:18">
      <c r="A6" s="23">
        <v>3</v>
      </c>
      <c r="B6" s="24">
        <v>45872</v>
      </c>
      <c r="C6" s="6"/>
      <c r="D6" s="6"/>
      <c r="E6" s="427">
        <v>80</v>
      </c>
      <c r="F6" s="427">
        <v>99.78</v>
      </c>
      <c r="G6" s="63">
        <f t="shared" ref="G6:G40" si="1">E6*F6</f>
        <v>7982.4</v>
      </c>
      <c r="H6" s="427">
        <v>5</v>
      </c>
      <c r="I6" s="428">
        <v>111.98</v>
      </c>
      <c r="J6" s="63">
        <f t="shared" ref="J6" si="2">H6*I6</f>
        <v>559.9</v>
      </c>
      <c r="K6" s="63">
        <f t="shared" ref="K6:K39" si="3">G6+J6</f>
        <v>8542.2999999999993</v>
      </c>
      <c r="L6" s="63"/>
      <c r="M6" s="63">
        <f t="shared" si="0"/>
        <v>84412.80680000002</v>
      </c>
      <c r="N6" s="6"/>
    </row>
    <row r="7" spans="1:18">
      <c r="A7" s="23">
        <v>4</v>
      </c>
      <c r="B7" s="24">
        <v>45873</v>
      </c>
      <c r="C7" s="6"/>
      <c r="D7" s="6"/>
      <c r="E7" s="427"/>
      <c r="F7" s="427"/>
      <c r="G7" s="63">
        <f t="shared" si="1"/>
        <v>0</v>
      </c>
      <c r="H7" s="427"/>
      <c r="I7" s="428"/>
      <c r="J7" s="63">
        <f t="shared" ref="J7:J40" si="4">H7*I7</f>
        <v>0</v>
      </c>
      <c r="K7" s="63">
        <f t="shared" si="3"/>
        <v>0</v>
      </c>
      <c r="L7" s="63"/>
      <c r="M7" s="63">
        <f t="shared" si="0"/>
        <v>84412.80680000002</v>
      </c>
      <c r="N7" s="6"/>
    </row>
    <row r="8" spans="1:18">
      <c r="A8" s="23">
        <v>5</v>
      </c>
      <c r="B8" s="24">
        <v>45874</v>
      </c>
      <c r="C8" s="6"/>
      <c r="D8" s="6"/>
      <c r="E8" s="427">
        <v>80</v>
      </c>
      <c r="F8" s="427">
        <v>99.78</v>
      </c>
      <c r="G8" s="63">
        <f t="shared" si="1"/>
        <v>7982.4</v>
      </c>
      <c r="H8" s="427">
        <v>10</v>
      </c>
      <c r="I8" s="428">
        <v>111.98</v>
      </c>
      <c r="J8" s="63">
        <f t="shared" si="4"/>
        <v>1119.8</v>
      </c>
      <c r="K8" s="63">
        <f t="shared" si="3"/>
        <v>9102.1999999999989</v>
      </c>
      <c r="L8" s="63">
        <v>84000</v>
      </c>
      <c r="M8" s="63">
        <f t="shared" si="0"/>
        <v>9515.0068000000174</v>
      </c>
      <c r="N8" s="6"/>
    </row>
    <row r="9" spans="1:18">
      <c r="A9" s="23">
        <v>6</v>
      </c>
      <c r="B9" s="24">
        <v>45875</v>
      </c>
      <c r="C9" s="6"/>
      <c r="D9" s="6"/>
      <c r="E9" s="427"/>
      <c r="F9" s="427"/>
      <c r="G9" s="63">
        <f t="shared" si="1"/>
        <v>0</v>
      </c>
      <c r="H9" s="427"/>
      <c r="I9" s="428"/>
      <c r="J9" s="63">
        <f t="shared" si="4"/>
        <v>0</v>
      </c>
      <c r="K9" s="63">
        <f t="shared" si="3"/>
        <v>0</v>
      </c>
      <c r="L9" s="63"/>
      <c r="M9" s="63">
        <f t="shared" si="0"/>
        <v>9515.0068000000174</v>
      </c>
      <c r="N9" s="6"/>
    </row>
    <row r="10" spans="1:18">
      <c r="A10" s="23">
        <v>7</v>
      </c>
      <c r="B10" s="24">
        <v>45876</v>
      </c>
      <c r="C10" s="6"/>
      <c r="D10" s="6"/>
      <c r="E10" s="427">
        <v>30</v>
      </c>
      <c r="F10" s="427">
        <v>99.78</v>
      </c>
      <c r="G10" s="63">
        <f t="shared" si="1"/>
        <v>2993.4</v>
      </c>
      <c r="H10" s="427">
        <v>10</v>
      </c>
      <c r="I10" s="428">
        <v>111.98</v>
      </c>
      <c r="J10" s="63">
        <f t="shared" si="4"/>
        <v>1119.8</v>
      </c>
      <c r="K10" s="63">
        <f t="shared" si="3"/>
        <v>4113.2</v>
      </c>
      <c r="L10" s="63"/>
      <c r="M10" s="63">
        <f t="shared" si="0"/>
        <v>13628.206800000018</v>
      </c>
      <c r="N10" s="6"/>
    </row>
    <row r="11" spans="1:18">
      <c r="A11" s="23">
        <v>8</v>
      </c>
      <c r="B11" s="24">
        <v>45877</v>
      </c>
      <c r="C11" s="6"/>
      <c r="D11" s="6"/>
      <c r="E11" s="427">
        <v>40</v>
      </c>
      <c r="F11" s="427">
        <v>99.78</v>
      </c>
      <c r="G11" s="63">
        <f t="shared" si="1"/>
        <v>3991.2</v>
      </c>
      <c r="H11" s="427"/>
      <c r="I11" s="428"/>
      <c r="J11" s="63">
        <f t="shared" si="4"/>
        <v>0</v>
      </c>
      <c r="K11" s="63">
        <f t="shared" si="3"/>
        <v>3991.2</v>
      </c>
      <c r="L11" s="63"/>
      <c r="M11" s="63">
        <f t="shared" si="0"/>
        <v>17619.406800000019</v>
      </c>
      <c r="N11" s="6"/>
      <c r="R11" s="41"/>
    </row>
    <row r="12" spans="1:18">
      <c r="A12" s="23">
        <v>9</v>
      </c>
      <c r="B12" s="24">
        <v>45878</v>
      </c>
      <c r="C12" s="6"/>
      <c r="D12" s="6"/>
      <c r="E12" s="427">
        <v>30</v>
      </c>
      <c r="F12" s="427">
        <v>99.78</v>
      </c>
      <c r="G12" s="63">
        <f t="shared" si="1"/>
        <v>2993.4</v>
      </c>
      <c r="H12" s="427"/>
      <c r="I12" s="428"/>
      <c r="J12" s="63">
        <f t="shared" si="4"/>
        <v>0</v>
      </c>
      <c r="K12" s="63">
        <f t="shared" si="3"/>
        <v>2993.4</v>
      </c>
      <c r="L12" s="63"/>
      <c r="M12" s="63">
        <f t="shared" si="0"/>
        <v>20612.80680000002</v>
      </c>
      <c r="N12" s="6"/>
    </row>
    <row r="13" spans="1:18">
      <c r="A13" s="23">
        <v>10</v>
      </c>
      <c r="B13" s="24">
        <v>45879</v>
      </c>
      <c r="C13" s="6"/>
      <c r="D13" s="6"/>
      <c r="E13" s="427">
        <v>50</v>
      </c>
      <c r="F13" s="427">
        <v>99.78</v>
      </c>
      <c r="G13" s="63">
        <f t="shared" si="1"/>
        <v>4989</v>
      </c>
      <c r="H13" s="427">
        <v>10</v>
      </c>
      <c r="I13" s="428">
        <v>111.98</v>
      </c>
      <c r="J13" s="63">
        <f t="shared" si="4"/>
        <v>1119.8</v>
      </c>
      <c r="K13" s="63">
        <f t="shared" si="3"/>
        <v>6108.8</v>
      </c>
      <c r="L13" s="63"/>
      <c r="M13" s="63">
        <f t="shared" si="0"/>
        <v>26721.60680000002</v>
      </c>
      <c r="N13" s="6"/>
    </row>
    <row r="14" spans="1:18">
      <c r="A14" s="23">
        <v>11</v>
      </c>
      <c r="B14" s="24">
        <v>45880</v>
      </c>
      <c r="C14" s="6"/>
      <c r="D14" s="6"/>
      <c r="E14" s="427">
        <v>40</v>
      </c>
      <c r="F14" s="427">
        <v>99.78</v>
      </c>
      <c r="G14" s="63">
        <f t="shared" si="1"/>
        <v>3991.2</v>
      </c>
      <c r="H14" s="427">
        <v>10</v>
      </c>
      <c r="I14" s="428">
        <v>111.98</v>
      </c>
      <c r="J14" s="63">
        <f t="shared" si="4"/>
        <v>1119.8</v>
      </c>
      <c r="K14" s="63">
        <f t="shared" si="3"/>
        <v>5111</v>
      </c>
      <c r="L14" s="63"/>
      <c r="M14" s="63">
        <f t="shared" si="0"/>
        <v>31832.60680000002</v>
      </c>
      <c r="N14" s="6"/>
    </row>
    <row r="15" spans="1:18">
      <c r="A15" s="23">
        <v>12</v>
      </c>
      <c r="B15" s="24">
        <v>45881</v>
      </c>
      <c r="C15" s="6"/>
      <c r="D15" s="6"/>
      <c r="E15" s="427">
        <v>30</v>
      </c>
      <c r="F15" s="427">
        <v>99.78</v>
      </c>
      <c r="G15" s="63">
        <f t="shared" si="1"/>
        <v>2993.4</v>
      </c>
      <c r="H15" s="427"/>
      <c r="I15" s="428"/>
      <c r="J15" s="63">
        <f t="shared" si="4"/>
        <v>0</v>
      </c>
      <c r="K15" s="63">
        <f t="shared" si="3"/>
        <v>2993.4</v>
      </c>
      <c r="L15" s="63"/>
      <c r="M15" s="63">
        <f t="shared" si="0"/>
        <v>34826.006800000017</v>
      </c>
      <c r="N15" s="6"/>
    </row>
    <row r="16" spans="1:18">
      <c r="A16" s="23">
        <v>13</v>
      </c>
      <c r="B16" s="24">
        <v>45882</v>
      </c>
      <c r="C16" s="6"/>
      <c r="D16" s="6"/>
      <c r="E16" s="427">
        <v>40</v>
      </c>
      <c r="F16" s="427">
        <v>99.78</v>
      </c>
      <c r="G16" s="63">
        <f t="shared" si="1"/>
        <v>3991.2</v>
      </c>
      <c r="H16" s="427"/>
      <c r="I16" s="428"/>
      <c r="J16" s="63">
        <f t="shared" si="4"/>
        <v>0</v>
      </c>
      <c r="K16" s="63">
        <f t="shared" si="3"/>
        <v>3991.2</v>
      </c>
      <c r="L16" s="63"/>
      <c r="M16" s="63">
        <f t="shared" si="0"/>
        <v>38817.206800000014</v>
      </c>
      <c r="N16" s="6"/>
    </row>
    <row r="17" spans="1:21">
      <c r="A17" s="23">
        <v>14</v>
      </c>
      <c r="B17" s="24">
        <v>45883</v>
      </c>
      <c r="C17" s="6"/>
      <c r="D17" s="6"/>
      <c r="E17" s="427"/>
      <c r="F17" s="427"/>
      <c r="G17" s="63">
        <f t="shared" si="1"/>
        <v>0</v>
      </c>
      <c r="H17" s="427"/>
      <c r="I17" s="428"/>
      <c r="J17" s="63">
        <f t="shared" si="4"/>
        <v>0</v>
      </c>
      <c r="K17" s="63">
        <f t="shared" si="3"/>
        <v>0</v>
      </c>
      <c r="L17" s="63"/>
      <c r="M17" s="63">
        <f t="shared" si="0"/>
        <v>38817.206800000014</v>
      </c>
      <c r="N17" s="6"/>
    </row>
    <row r="18" spans="1:21">
      <c r="A18" s="23">
        <v>15</v>
      </c>
      <c r="B18" s="24">
        <v>45884</v>
      </c>
      <c r="C18" s="6"/>
      <c r="D18" s="6"/>
      <c r="E18" s="427"/>
      <c r="F18" s="427"/>
      <c r="G18" s="63">
        <f t="shared" si="1"/>
        <v>0</v>
      </c>
      <c r="H18" s="427"/>
      <c r="I18" s="428"/>
      <c r="J18" s="63">
        <f t="shared" si="4"/>
        <v>0</v>
      </c>
      <c r="K18" s="63">
        <f t="shared" si="3"/>
        <v>0</v>
      </c>
      <c r="L18" s="63"/>
      <c r="M18" s="63">
        <f t="shared" si="0"/>
        <v>38817.206800000014</v>
      </c>
      <c r="N18" s="6"/>
    </row>
    <row r="19" spans="1:21">
      <c r="A19" s="23">
        <v>16</v>
      </c>
      <c r="B19" s="24">
        <v>45885</v>
      </c>
      <c r="C19" s="6"/>
      <c r="D19" s="6"/>
      <c r="E19" s="427"/>
      <c r="F19" s="427"/>
      <c r="G19" s="63">
        <f t="shared" si="1"/>
        <v>0</v>
      </c>
      <c r="H19" s="427"/>
      <c r="I19" s="428"/>
      <c r="J19" s="63">
        <f t="shared" si="4"/>
        <v>0</v>
      </c>
      <c r="K19" s="63">
        <f t="shared" si="3"/>
        <v>0</v>
      </c>
      <c r="L19" s="63"/>
      <c r="M19" s="63">
        <f t="shared" si="0"/>
        <v>38817.206800000014</v>
      </c>
      <c r="N19" s="6"/>
    </row>
    <row r="20" spans="1:21">
      <c r="A20" s="23">
        <v>17</v>
      </c>
      <c r="B20" s="24">
        <v>45886</v>
      </c>
      <c r="C20" s="170"/>
      <c r="D20" s="6"/>
      <c r="E20" s="427"/>
      <c r="F20" s="427"/>
      <c r="G20" s="63">
        <f t="shared" si="1"/>
        <v>0</v>
      </c>
      <c r="H20" s="427"/>
      <c r="I20" s="428"/>
      <c r="J20" s="63">
        <f t="shared" si="4"/>
        <v>0</v>
      </c>
      <c r="K20" s="63">
        <f t="shared" si="3"/>
        <v>0</v>
      </c>
      <c r="L20" s="63"/>
      <c r="M20" s="63">
        <f t="shared" si="0"/>
        <v>38817.206800000014</v>
      </c>
      <c r="N20" s="6"/>
    </row>
    <row r="21" spans="1:21">
      <c r="A21" s="23">
        <v>18</v>
      </c>
      <c r="B21" s="24">
        <v>45887</v>
      </c>
      <c r="C21" s="170"/>
      <c r="D21" s="6"/>
      <c r="E21" s="427">
        <v>40</v>
      </c>
      <c r="F21" s="427">
        <v>99.78</v>
      </c>
      <c r="G21" s="63">
        <f t="shared" si="1"/>
        <v>3991.2</v>
      </c>
      <c r="H21" s="427"/>
      <c r="I21" s="428"/>
      <c r="J21" s="63">
        <f t="shared" si="4"/>
        <v>0</v>
      </c>
      <c r="K21" s="63">
        <f t="shared" si="3"/>
        <v>3991.2</v>
      </c>
      <c r="L21" s="63"/>
      <c r="M21" s="63">
        <f t="shared" si="0"/>
        <v>42808.406800000012</v>
      </c>
      <c r="N21" s="6"/>
    </row>
    <row r="22" spans="1:21">
      <c r="A22" s="23">
        <v>19</v>
      </c>
      <c r="B22" s="24">
        <v>45888</v>
      </c>
      <c r="C22" s="170"/>
      <c r="D22" s="6"/>
      <c r="E22" s="427"/>
      <c r="F22" s="427"/>
      <c r="G22" s="63">
        <f>E22*F22</f>
        <v>0</v>
      </c>
      <c r="H22" s="427">
        <v>5</v>
      </c>
      <c r="I22" s="428">
        <v>111.98</v>
      </c>
      <c r="J22" s="63">
        <f>H22*I22</f>
        <v>559.9</v>
      </c>
      <c r="K22" s="63">
        <f>G22+J22</f>
        <v>559.9</v>
      </c>
      <c r="L22" s="63"/>
      <c r="M22" s="63">
        <f t="shared" si="0"/>
        <v>43368.306800000013</v>
      </c>
      <c r="N22" s="6"/>
    </row>
    <row r="23" spans="1:21">
      <c r="A23" s="23">
        <v>20</v>
      </c>
      <c r="B23" s="24">
        <v>45889</v>
      </c>
      <c r="C23" s="170"/>
      <c r="D23" s="6"/>
      <c r="E23" s="427">
        <v>60</v>
      </c>
      <c r="F23" s="427">
        <v>99.78</v>
      </c>
      <c r="G23" s="63">
        <f t="shared" si="1"/>
        <v>5986.8</v>
      </c>
      <c r="H23" s="427"/>
      <c r="I23" s="428"/>
      <c r="J23" s="63">
        <f t="shared" si="4"/>
        <v>0</v>
      </c>
      <c r="K23" s="63">
        <f t="shared" si="3"/>
        <v>5986.8</v>
      </c>
      <c r="L23" s="63">
        <v>42000</v>
      </c>
      <c r="M23" s="63">
        <f>M22+K23-L23</f>
        <v>7355.1068000000159</v>
      </c>
      <c r="N23" s="6"/>
    </row>
    <row r="24" spans="1:21">
      <c r="A24" s="23">
        <v>21</v>
      </c>
      <c r="B24" s="24">
        <v>45890</v>
      </c>
      <c r="C24" s="170"/>
      <c r="D24" s="6"/>
      <c r="E24" s="427">
        <v>60</v>
      </c>
      <c r="F24" s="427">
        <v>99.78</v>
      </c>
      <c r="G24" s="63">
        <f t="shared" si="1"/>
        <v>5986.8</v>
      </c>
      <c r="H24" s="427">
        <v>15</v>
      </c>
      <c r="I24" s="428">
        <v>111.98</v>
      </c>
      <c r="J24" s="63">
        <f t="shared" si="4"/>
        <v>1679.7</v>
      </c>
      <c r="K24" s="63">
        <f t="shared" si="3"/>
        <v>7666.5</v>
      </c>
      <c r="L24" s="63"/>
      <c r="M24" s="63">
        <f t="shared" si="0"/>
        <v>15021.606800000016</v>
      </c>
      <c r="N24" s="6"/>
    </row>
    <row r="25" spans="1:21">
      <c r="A25" s="23">
        <v>22</v>
      </c>
      <c r="B25" s="24">
        <v>45891</v>
      </c>
      <c r="C25" s="170"/>
      <c r="D25" s="6"/>
      <c r="E25" s="427"/>
      <c r="F25" s="427"/>
      <c r="G25" s="63">
        <f t="shared" si="1"/>
        <v>0</v>
      </c>
      <c r="H25" s="427"/>
      <c r="I25" s="428"/>
      <c r="J25" s="63">
        <f t="shared" si="4"/>
        <v>0</v>
      </c>
      <c r="K25" s="63">
        <f t="shared" si="3"/>
        <v>0</v>
      </c>
      <c r="L25" s="63"/>
      <c r="M25" s="63">
        <f t="shared" si="0"/>
        <v>15021.606800000016</v>
      </c>
      <c r="N25" s="6"/>
    </row>
    <row r="26" spans="1:21">
      <c r="A26" s="23">
        <v>23</v>
      </c>
      <c r="B26" s="24">
        <v>45892</v>
      </c>
      <c r="C26" s="170"/>
      <c r="D26" s="6"/>
      <c r="E26" s="427">
        <v>30</v>
      </c>
      <c r="F26" s="427">
        <v>99.78</v>
      </c>
      <c r="G26" s="63">
        <f t="shared" si="1"/>
        <v>2993.4</v>
      </c>
      <c r="H26" s="427"/>
      <c r="I26" s="428"/>
      <c r="J26" s="63">
        <f t="shared" si="4"/>
        <v>0</v>
      </c>
      <c r="K26" s="63">
        <f t="shared" si="3"/>
        <v>2993.4</v>
      </c>
      <c r="L26" s="63"/>
      <c r="M26" s="63">
        <f t="shared" si="0"/>
        <v>18015.006800000017</v>
      </c>
      <c r="N26" s="6"/>
      <c r="R26" s="591" t="s">
        <v>246</v>
      </c>
      <c r="S26" s="591"/>
      <c r="T26" s="388" t="s">
        <v>247</v>
      </c>
      <c r="U26" s="388"/>
    </row>
    <row r="27" spans="1:21">
      <c r="A27" s="23">
        <v>24</v>
      </c>
      <c r="B27" s="24">
        <v>45893</v>
      </c>
      <c r="C27" s="170"/>
      <c r="D27" s="6"/>
      <c r="E27" s="427">
        <v>130</v>
      </c>
      <c r="F27" s="427">
        <v>99.78</v>
      </c>
      <c r="G27" s="63">
        <f t="shared" si="1"/>
        <v>12971.4</v>
      </c>
      <c r="H27" s="427"/>
      <c r="I27" s="428"/>
      <c r="J27" s="63">
        <f t="shared" si="4"/>
        <v>0</v>
      </c>
      <c r="K27" s="63">
        <f t="shared" si="3"/>
        <v>12971.4</v>
      </c>
      <c r="L27" s="63"/>
      <c r="M27" s="63">
        <f t="shared" si="0"/>
        <v>30986.406800000019</v>
      </c>
      <c r="N27" s="6"/>
      <c r="R27" s="6" t="s">
        <v>248</v>
      </c>
      <c r="S27" s="6" t="s">
        <v>249</v>
      </c>
      <c r="T27" s="6" t="s">
        <v>250</v>
      </c>
      <c r="U27" s="6" t="s">
        <v>64</v>
      </c>
    </row>
    <row r="28" spans="1:21">
      <c r="A28" s="23">
        <v>25</v>
      </c>
      <c r="B28" s="24">
        <v>45894</v>
      </c>
      <c r="C28" s="170"/>
      <c r="D28" s="6"/>
      <c r="E28" s="427">
        <v>10</v>
      </c>
      <c r="F28" s="427">
        <v>99.78</v>
      </c>
      <c r="G28" s="63">
        <f t="shared" si="1"/>
        <v>997.8</v>
      </c>
      <c r="H28" s="427">
        <v>5</v>
      </c>
      <c r="I28" s="428">
        <v>111.98</v>
      </c>
      <c r="J28" s="63">
        <f t="shared" si="4"/>
        <v>559.9</v>
      </c>
      <c r="K28" s="63">
        <f t="shared" si="3"/>
        <v>1557.6999999999998</v>
      </c>
      <c r="L28" s="63"/>
      <c r="M28" s="63">
        <f t="shared" si="0"/>
        <v>32544.10680000002</v>
      </c>
      <c r="N28" s="6"/>
      <c r="R28" s="6" t="s">
        <v>251</v>
      </c>
      <c r="S28" s="6">
        <v>2040</v>
      </c>
      <c r="T28" s="6">
        <v>90</v>
      </c>
      <c r="U28" s="6">
        <v>169925</v>
      </c>
    </row>
    <row r="29" spans="1:21">
      <c r="A29" s="23">
        <v>26</v>
      </c>
      <c r="B29" s="24">
        <v>45895</v>
      </c>
      <c r="C29" s="170"/>
      <c r="D29" s="6"/>
      <c r="E29" s="427">
        <v>110</v>
      </c>
      <c r="F29" s="427">
        <v>99.78</v>
      </c>
      <c r="G29" s="63">
        <f t="shared" si="1"/>
        <v>10975.8</v>
      </c>
      <c r="H29" s="427"/>
      <c r="I29" s="428"/>
      <c r="J29" s="63">
        <f t="shared" si="4"/>
        <v>0</v>
      </c>
      <c r="K29" s="63">
        <f t="shared" si="3"/>
        <v>10975.8</v>
      </c>
      <c r="L29" s="63"/>
      <c r="M29" s="63">
        <f t="shared" si="0"/>
        <v>43519.906800000019</v>
      </c>
      <c r="N29" s="6"/>
      <c r="R29" s="6" t="s">
        <v>252</v>
      </c>
      <c r="S29" s="6">
        <v>2115</v>
      </c>
      <c r="T29" s="6">
        <v>185</v>
      </c>
      <c r="U29" s="6">
        <v>206053</v>
      </c>
    </row>
    <row r="30" spans="1:21">
      <c r="A30" s="23">
        <v>27</v>
      </c>
      <c r="B30" s="24">
        <v>45896</v>
      </c>
      <c r="C30" s="170"/>
      <c r="D30" s="6"/>
      <c r="E30" s="427"/>
      <c r="F30" s="427"/>
      <c r="G30" s="63">
        <f t="shared" si="1"/>
        <v>0</v>
      </c>
      <c r="H30" s="427">
        <v>5</v>
      </c>
      <c r="I30" s="428">
        <v>111.98</v>
      </c>
      <c r="J30" s="63">
        <f t="shared" si="4"/>
        <v>559.9</v>
      </c>
      <c r="K30" s="63">
        <f t="shared" si="3"/>
        <v>559.9</v>
      </c>
      <c r="L30" s="63"/>
      <c r="M30" s="63">
        <f t="shared" si="0"/>
        <v>44079.80680000002</v>
      </c>
      <c r="N30" s="6"/>
      <c r="R30" s="6" t="s">
        <v>253</v>
      </c>
      <c r="S30" s="6">
        <v>2145</v>
      </c>
      <c r="T30" s="6">
        <v>177</v>
      </c>
      <c r="U30" s="6">
        <v>247835</v>
      </c>
    </row>
    <row r="31" spans="1:21">
      <c r="A31" s="23">
        <v>28</v>
      </c>
      <c r="B31" s="24">
        <v>45897</v>
      </c>
      <c r="C31" s="170"/>
      <c r="D31" s="6"/>
      <c r="E31" s="427">
        <v>80</v>
      </c>
      <c r="F31" s="427">
        <v>99.78</v>
      </c>
      <c r="G31" s="63">
        <f t="shared" si="1"/>
        <v>7982.4</v>
      </c>
      <c r="H31" s="427"/>
      <c r="I31" s="428"/>
      <c r="J31" s="63">
        <f t="shared" si="4"/>
        <v>0</v>
      </c>
      <c r="K31" s="63">
        <f t="shared" si="3"/>
        <v>7982.4</v>
      </c>
      <c r="L31" s="63">
        <v>44079</v>
      </c>
      <c r="M31" s="63">
        <f t="shared" si="0"/>
        <v>7983.2068000000218</v>
      </c>
      <c r="N31" s="6"/>
      <c r="R31" s="6" t="s">
        <v>254</v>
      </c>
      <c r="S31" s="6">
        <v>545</v>
      </c>
      <c r="T31" s="6">
        <v>50</v>
      </c>
      <c r="U31" s="6">
        <v>44201</v>
      </c>
    </row>
    <row r="32" spans="1:21">
      <c r="A32" s="23">
        <v>29</v>
      </c>
      <c r="B32" s="24">
        <v>45898</v>
      </c>
      <c r="C32" s="170"/>
      <c r="D32" s="6"/>
      <c r="E32" s="427"/>
      <c r="F32" s="427"/>
      <c r="G32" s="63">
        <f t="shared" si="1"/>
        <v>0</v>
      </c>
      <c r="H32" s="427"/>
      <c r="I32" s="428"/>
      <c r="J32" s="63">
        <f t="shared" si="4"/>
        <v>0</v>
      </c>
      <c r="K32" s="63">
        <f t="shared" si="3"/>
        <v>0</v>
      </c>
      <c r="L32" s="63"/>
      <c r="M32" s="63">
        <f t="shared" si="0"/>
        <v>7983.2068000000218</v>
      </c>
      <c r="N32" s="6"/>
      <c r="R32" s="6"/>
      <c r="S32" s="388">
        <f>SUM(S28:S31)</f>
        <v>6845</v>
      </c>
      <c r="T32" s="388">
        <f>SUM(T28:T31)</f>
        <v>502</v>
      </c>
      <c r="U32" s="388">
        <f>SUM(U28:U31)</f>
        <v>668014</v>
      </c>
    </row>
    <row r="33" spans="1:14">
      <c r="A33" s="23">
        <v>30</v>
      </c>
      <c r="B33" s="24">
        <v>45899</v>
      </c>
      <c r="C33" s="170"/>
      <c r="D33" s="6"/>
      <c r="E33" s="427">
        <v>30</v>
      </c>
      <c r="F33" s="427">
        <v>99.78</v>
      </c>
      <c r="G33" s="63">
        <f t="shared" si="1"/>
        <v>2993.4</v>
      </c>
      <c r="H33" s="427">
        <v>10</v>
      </c>
      <c r="I33" s="428">
        <v>111.98</v>
      </c>
      <c r="J33" s="63">
        <f t="shared" si="4"/>
        <v>1119.8</v>
      </c>
      <c r="K33" s="63">
        <f t="shared" si="3"/>
        <v>4113.2</v>
      </c>
      <c r="L33" s="63"/>
      <c r="M33" s="63">
        <f t="shared" si="0"/>
        <v>12096.406800000022</v>
      </c>
      <c r="N33" s="6"/>
    </row>
    <row r="34" spans="1:14">
      <c r="A34" s="23">
        <v>31</v>
      </c>
      <c r="B34" s="24">
        <v>45900</v>
      </c>
      <c r="C34" s="170"/>
      <c r="D34" s="6"/>
      <c r="E34" s="427">
        <v>109</v>
      </c>
      <c r="F34" s="427">
        <v>99.78</v>
      </c>
      <c r="G34" s="63">
        <f t="shared" si="1"/>
        <v>10876.02</v>
      </c>
      <c r="H34" s="427">
        <v>10</v>
      </c>
      <c r="I34" s="428">
        <v>111.98</v>
      </c>
      <c r="J34" s="63">
        <f t="shared" si="4"/>
        <v>1119.8</v>
      </c>
      <c r="K34" s="63">
        <f t="shared" si="3"/>
        <v>11995.82</v>
      </c>
      <c r="L34" s="63"/>
      <c r="M34" s="63">
        <f t="shared" si="0"/>
        <v>24092.226800000022</v>
      </c>
      <c r="N34" s="6"/>
    </row>
    <row r="35" spans="1:14">
      <c r="A35" s="23">
        <v>32</v>
      </c>
      <c r="B35" s="24">
        <v>45901</v>
      </c>
      <c r="C35" s="170"/>
      <c r="D35" s="6"/>
      <c r="E35" s="427"/>
      <c r="F35" s="427"/>
      <c r="G35" s="63">
        <f t="shared" si="1"/>
        <v>0</v>
      </c>
      <c r="H35" s="427"/>
      <c r="I35" s="428"/>
      <c r="J35" s="63">
        <f t="shared" si="4"/>
        <v>0</v>
      </c>
      <c r="K35" s="63">
        <f t="shared" si="3"/>
        <v>0</v>
      </c>
      <c r="L35" s="63"/>
      <c r="M35" s="63">
        <f t="shared" si="0"/>
        <v>24092.226800000022</v>
      </c>
      <c r="N35" s="6"/>
    </row>
    <row r="36" spans="1:14">
      <c r="A36" s="23">
        <v>33</v>
      </c>
      <c r="B36" s="24"/>
      <c r="C36" s="170"/>
      <c r="D36" s="6"/>
      <c r="E36" s="427"/>
      <c r="F36" s="427"/>
      <c r="G36" s="63">
        <f t="shared" si="1"/>
        <v>0</v>
      </c>
      <c r="H36" s="427"/>
      <c r="I36" s="428"/>
      <c r="J36" s="63">
        <f t="shared" si="4"/>
        <v>0</v>
      </c>
      <c r="K36" s="63">
        <f t="shared" si="3"/>
        <v>0</v>
      </c>
      <c r="L36" s="63"/>
      <c r="M36" s="63">
        <f t="shared" si="0"/>
        <v>24092.226800000022</v>
      </c>
      <c r="N36" s="6"/>
    </row>
    <row r="37" spans="1:14">
      <c r="A37" s="23">
        <v>34</v>
      </c>
      <c r="B37" s="24"/>
      <c r="C37" s="170"/>
      <c r="D37" s="6"/>
      <c r="E37" s="427"/>
      <c r="F37" s="427"/>
      <c r="G37" s="63">
        <f t="shared" ref="G37" si="5">E37*F37</f>
        <v>0</v>
      </c>
      <c r="H37" s="41"/>
      <c r="I37" s="41"/>
      <c r="J37" s="63">
        <f t="shared" ref="J37" si="6">H37*I37</f>
        <v>0</v>
      </c>
      <c r="K37" s="63">
        <f t="shared" ref="K37:L37" si="7">G37+J37</f>
        <v>0</v>
      </c>
      <c r="L37" s="63"/>
      <c r="M37" s="63">
        <f t="shared" si="0"/>
        <v>24092.226800000022</v>
      </c>
      <c r="N37" s="6"/>
    </row>
    <row r="38" spans="1:14">
      <c r="A38" s="23">
        <v>35</v>
      </c>
      <c r="B38" s="24"/>
      <c r="C38" s="170"/>
      <c r="D38" s="6"/>
      <c r="E38" s="425"/>
      <c r="F38" s="425"/>
      <c r="G38" s="63">
        <f t="shared" si="1"/>
        <v>0</v>
      </c>
      <c r="H38" s="41"/>
      <c r="I38" s="41"/>
      <c r="J38" s="63">
        <f t="shared" si="4"/>
        <v>0</v>
      </c>
      <c r="K38" s="63">
        <f t="shared" si="3"/>
        <v>0</v>
      </c>
      <c r="L38" s="63"/>
      <c r="M38" s="63">
        <f t="shared" si="0"/>
        <v>24092.226800000022</v>
      </c>
      <c r="N38" s="6"/>
    </row>
    <row r="39" spans="1:14">
      <c r="A39" s="23">
        <v>36</v>
      </c>
      <c r="B39" s="24"/>
      <c r="C39" s="170"/>
      <c r="D39" s="6"/>
      <c r="E39" s="425"/>
      <c r="F39" s="425"/>
      <c r="G39" s="63">
        <f t="shared" si="1"/>
        <v>0</v>
      </c>
      <c r="H39" s="41"/>
      <c r="I39" s="41"/>
      <c r="J39" s="63">
        <f t="shared" si="4"/>
        <v>0</v>
      </c>
      <c r="K39" s="63">
        <f t="shared" si="3"/>
        <v>0</v>
      </c>
      <c r="L39" s="63"/>
      <c r="M39" s="63">
        <f t="shared" si="0"/>
        <v>24092.226800000022</v>
      </c>
      <c r="N39" s="6"/>
    </row>
    <row r="40" spans="1:14">
      <c r="A40" s="23">
        <v>37</v>
      </c>
      <c r="B40" s="24"/>
      <c r="C40" s="170"/>
      <c r="D40" s="6"/>
      <c r="E40" s="256"/>
      <c r="F40" s="41"/>
      <c r="G40" s="63">
        <f t="shared" si="1"/>
        <v>0</v>
      </c>
      <c r="H40" s="41"/>
      <c r="I40" s="41"/>
      <c r="J40" s="63">
        <f t="shared" si="4"/>
        <v>0</v>
      </c>
      <c r="K40" s="63">
        <f t="shared" ref="K40" si="8">G40+J40</f>
        <v>0</v>
      </c>
      <c r="L40" s="63"/>
      <c r="M40" s="63">
        <f t="shared" si="0"/>
        <v>24092.226800000022</v>
      </c>
      <c r="N40" s="6"/>
    </row>
    <row r="41" spans="1:14">
      <c r="A41" s="39"/>
      <c r="B41" s="39"/>
      <c r="C41" s="39"/>
      <c r="D41" s="39"/>
      <c r="E41" s="39">
        <f>SUM(E4:E40)</f>
        <v>1229</v>
      </c>
      <c r="F41" s="39"/>
      <c r="G41" s="39">
        <f>SUM(G4:G40)</f>
        <v>122629.61999999998</v>
      </c>
      <c r="H41" s="39">
        <f>SUM(H4:H40)</f>
        <v>100</v>
      </c>
      <c r="I41" s="39"/>
      <c r="J41" s="39">
        <f>SUM(J4:J40)</f>
        <v>11197.999999999998</v>
      </c>
      <c r="K41" s="39">
        <f>SUM(K4:K40)</f>
        <v>133827.61999999997</v>
      </c>
      <c r="L41" s="39">
        <f>SUM(L4:L40)</f>
        <v>170079</v>
      </c>
      <c r="M41" s="39"/>
      <c r="N41" s="39"/>
    </row>
  </sheetData>
  <mergeCells count="3">
    <mergeCell ref="A1:N1"/>
    <mergeCell ref="A3:J3"/>
    <mergeCell ref="R26:S2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6"/>
  <sheetViews>
    <sheetView topLeftCell="A17" workbookViewId="0">
      <selection activeCell="M31" sqref="M31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6" ht="15.75">
      <c r="A1" s="592" t="s">
        <v>255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</row>
    <row r="2" spans="1:16" ht="30.75">
      <c r="A2" s="61" t="s">
        <v>0</v>
      </c>
      <c r="B2" s="80" t="s">
        <v>170</v>
      </c>
      <c r="C2" s="80" t="s">
        <v>171</v>
      </c>
      <c r="D2" s="80" t="s">
        <v>172</v>
      </c>
      <c r="E2" s="87" t="s">
        <v>173</v>
      </c>
      <c r="F2" s="87" t="s">
        <v>174</v>
      </c>
      <c r="G2" s="87" t="s">
        <v>175</v>
      </c>
      <c r="H2" s="87" t="s">
        <v>176</v>
      </c>
      <c r="I2" s="87" t="s">
        <v>174</v>
      </c>
      <c r="J2" s="87" t="s">
        <v>175</v>
      </c>
      <c r="K2" s="88" t="s">
        <v>177</v>
      </c>
      <c r="L2" s="82" t="s">
        <v>178</v>
      </c>
      <c r="M2" s="82" t="s">
        <v>195</v>
      </c>
      <c r="N2" s="121" t="s">
        <v>180</v>
      </c>
    </row>
    <row r="3" spans="1:16">
      <c r="A3" s="574" t="s">
        <v>181</v>
      </c>
      <c r="B3" s="574"/>
      <c r="C3" s="574"/>
      <c r="D3" s="574"/>
      <c r="E3" s="574"/>
      <c r="F3" s="574"/>
      <c r="G3" s="574"/>
      <c r="H3" s="574"/>
      <c r="I3" s="574"/>
      <c r="J3" s="577"/>
      <c r="K3" s="195">
        <v>4531108.1682000002</v>
      </c>
      <c r="M3" s="131">
        <v>4531108.1682000002</v>
      </c>
      <c r="N3" s="91"/>
      <c r="P3">
        <v>5472110</v>
      </c>
    </row>
    <row r="4" spans="1:16">
      <c r="A4" s="23">
        <v>1</v>
      </c>
      <c r="B4" s="24">
        <v>46235</v>
      </c>
      <c r="C4" s="14"/>
      <c r="D4" s="14"/>
      <c r="E4" s="37">
        <v>2606</v>
      </c>
      <c r="F4" s="37">
        <v>99.51</v>
      </c>
      <c r="G4" s="37">
        <f>E4*F4</f>
        <v>259323.06000000003</v>
      </c>
      <c r="H4" s="37"/>
      <c r="I4" s="37"/>
      <c r="J4" s="37">
        <f>H4*I4</f>
        <v>0</v>
      </c>
      <c r="K4" s="37">
        <f>G4+J4</f>
        <v>259323.06000000003</v>
      </c>
      <c r="L4" s="37"/>
      <c r="M4" s="132">
        <f>M3+K4-L4</f>
        <v>4790431.2281999998</v>
      </c>
      <c r="N4" s="14"/>
    </row>
    <row r="5" spans="1:16">
      <c r="A5" s="23">
        <v>2</v>
      </c>
      <c r="B5" s="24">
        <v>46236</v>
      </c>
      <c r="C5" s="14"/>
      <c r="D5" s="14"/>
      <c r="E5" s="37"/>
      <c r="F5" s="37"/>
      <c r="G5" s="37">
        <f>E5*F5</f>
        <v>0</v>
      </c>
      <c r="H5" s="37"/>
      <c r="I5" s="37"/>
      <c r="J5" s="37">
        <f t="shared" ref="J5:J36" si="0">H5*I5</f>
        <v>0</v>
      </c>
      <c r="K5" s="37">
        <f t="shared" ref="K5:L36" si="1">G5+J5</f>
        <v>0</v>
      </c>
      <c r="L5" s="37"/>
      <c r="M5" s="132">
        <f t="shared" ref="M5:M55" si="2">M4+K5-L5</f>
        <v>4790431.2281999998</v>
      </c>
      <c r="N5" s="14"/>
    </row>
    <row r="6" spans="1:16">
      <c r="A6" s="23">
        <v>3</v>
      </c>
      <c r="B6" s="24">
        <v>46237</v>
      </c>
      <c r="C6" s="14"/>
      <c r="D6" s="14"/>
      <c r="E6" s="37"/>
      <c r="F6" s="37"/>
      <c r="G6" s="37">
        <f t="shared" ref="G5:G36" si="3">E6*F6</f>
        <v>0</v>
      </c>
      <c r="H6" s="37"/>
      <c r="I6" s="37"/>
      <c r="J6" s="37">
        <f t="shared" si="0"/>
        <v>0</v>
      </c>
      <c r="K6" s="37">
        <f t="shared" si="1"/>
        <v>0</v>
      </c>
      <c r="L6" s="37"/>
      <c r="M6" s="132">
        <f t="shared" si="2"/>
        <v>4790431.2281999998</v>
      </c>
      <c r="N6" s="14"/>
    </row>
    <row r="7" spans="1:16">
      <c r="A7" s="23">
        <v>4</v>
      </c>
      <c r="B7" s="24">
        <v>46238</v>
      </c>
      <c r="C7" s="14"/>
      <c r="D7" s="14"/>
      <c r="E7" s="37"/>
      <c r="F7" s="37"/>
      <c r="G7" s="37">
        <f t="shared" si="3"/>
        <v>0</v>
      </c>
      <c r="H7" s="37"/>
      <c r="I7" s="37"/>
      <c r="J7" s="37">
        <f t="shared" si="0"/>
        <v>0</v>
      </c>
      <c r="K7" s="37">
        <f t="shared" si="1"/>
        <v>0</v>
      </c>
      <c r="L7" s="37"/>
      <c r="M7" s="132">
        <f t="shared" si="2"/>
        <v>4790431.2281999998</v>
      </c>
      <c r="N7" s="14"/>
    </row>
    <row r="8" spans="1:16">
      <c r="A8" s="23">
        <v>5</v>
      </c>
      <c r="B8" s="24">
        <v>46239</v>
      </c>
      <c r="C8" s="14"/>
      <c r="D8" s="14"/>
      <c r="E8" s="37"/>
      <c r="F8" s="37"/>
      <c r="G8" s="37">
        <f t="shared" si="3"/>
        <v>0</v>
      </c>
      <c r="H8" s="37"/>
      <c r="I8" s="37"/>
      <c r="J8" s="37">
        <f t="shared" si="0"/>
        <v>0</v>
      </c>
      <c r="K8" s="37">
        <f t="shared" si="1"/>
        <v>0</v>
      </c>
      <c r="L8" s="37"/>
      <c r="M8" s="132">
        <f t="shared" si="2"/>
        <v>4790431.2281999998</v>
      </c>
      <c r="N8" s="14"/>
    </row>
    <row r="9" spans="1:16">
      <c r="A9" s="23">
        <v>6</v>
      </c>
      <c r="B9" s="24">
        <v>46240</v>
      </c>
      <c r="C9" s="14"/>
      <c r="D9" s="14"/>
      <c r="E9" s="37"/>
      <c r="F9" s="37"/>
      <c r="G9" s="37">
        <f t="shared" si="3"/>
        <v>0</v>
      </c>
      <c r="H9" s="37"/>
      <c r="I9" s="37"/>
      <c r="J9" s="37">
        <f t="shared" si="0"/>
        <v>0</v>
      </c>
      <c r="K9" s="37">
        <f t="shared" si="1"/>
        <v>0</v>
      </c>
      <c r="L9" s="37"/>
      <c r="M9" s="132">
        <f t="shared" si="2"/>
        <v>4790431.2281999998</v>
      </c>
      <c r="N9" s="14"/>
    </row>
    <row r="10" spans="1:16">
      <c r="A10" s="23">
        <v>7</v>
      </c>
      <c r="B10" s="24">
        <v>46241</v>
      </c>
      <c r="C10" s="14"/>
      <c r="D10" s="14"/>
      <c r="E10" s="37"/>
      <c r="F10" s="37"/>
      <c r="G10" s="37">
        <f t="shared" si="3"/>
        <v>0</v>
      </c>
      <c r="H10" s="37"/>
      <c r="I10" s="37"/>
      <c r="J10" s="37">
        <f t="shared" si="0"/>
        <v>0</v>
      </c>
      <c r="K10" s="37">
        <f t="shared" si="1"/>
        <v>0</v>
      </c>
      <c r="L10" s="37"/>
      <c r="M10" s="132">
        <f t="shared" si="2"/>
        <v>4790431.2281999998</v>
      </c>
      <c r="N10" s="14"/>
    </row>
    <row r="11" spans="1:16">
      <c r="A11" s="23">
        <v>8</v>
      </c>
      <c r="B11" s="24">
        <v>46242</v>
      </c>
      <c r="C11" s="14"/>
      <c r="D11" s="14"/>
      <c r="E11" s="37"/>
      <c r="F11" s="37"/>
      <c r="G11" s="37">
        <f t="shared" si="3"/>
        <v>0</v>
      </c>
      <c r="H11" s="37"/>
      <c r="I11" s="37"/>
      <c r="J11" s="37">
        <f t="shared" si="0"/>
        <v>0</v>
      </c>
      <c r="K11" s="37">
        <f t="shared" si="1"/>
        <v>0</v>
      </c>
      <c r="L11" s="37"/>
      <c r="M11" s="132">
        <f>M10+K11-L11</f>
        <v>4790431.2281999998</v>
      </c>
      <c r="N11" s="41"/>
    </row>
    <row r="12" spans="1:16">
      <c r="A12" s="23">
        <v>9</v>
      </c>
      <c r="B12" s="24">
        <v>46243</v>
      </c>
      <c r="C12" s="14"/>
      <c r="D12" s="14"/>
      <c r="E12" s="37"/>
      <c r="F12" s="37"/>
      <c r="G12" s="37">
        <f t="shared" si="3"/>
        <v>0</v>
      </c>
      <c r="H12" s="37"/>
      <c r="I12" s="37"/>
      <c r="J12" s="37">
        <f t="shared" si="0"/>
        <v>0</v>
      </c>
      <c r="K12" s="37">
        <f t="shared" si="1"/>
        <v>0</v>
      </c>
      <c r="L12" s="37"/>
      <c r="M12" s="132">
        <f>M11+K12-L12</f>
        <v>4790431.2281999998</v>
      </c>
      <c r="N12" s="14"/>
    </row>
    <row r="13" spans="1:16">
      <c r="A13" s="23">
        <v>10</v>
      </c>
      <c r="B13" s="24">
        <v>46244</v>
      </c>
      <c r="C13" s="14"/>
      <c r="D13" s="14"/>
      <c r="E13" s="37"/>
      <c r="F13" s="37"/>
      <c r="G13" s="37">
        <f t="shared" si="3"/>
        <v>0</v>
      </c>
      <c r="H13" s="37">
        <v>60</v>
      </c>
      <c r="I13" s="37">
        <v>113.18</v>
      </c>
      <c r="J13" s="37">
        <f t="shared" si="0"/>
        <v>6790.8</v>
      </c>
      <c r="K13" s="37">
        <f t="shared" si="1"/>
        <v>6790.8</v>
      </c>
      <c r="L13" s="37"/>
      <c r="M13" s="132">
        <f t="shared" si="2"/>
        <v>4797222.0281999996</v>
      </c>
      <c r="N13" s="14"/>
    </row>
    <row r="14" spans="1:16">
      <c r="A14" s="23">
        <v>11</v>
      </c>
      <c r="B14" s="24">
        <v>46245</v>
      </c>
      <c r="C14" s="14"/>
      <c r="D14" s="14"/>
      <c r="E14" s="37"/>
      <c r="F14" s="37"/>
      <c r="G14" s="37">
        <f t="shared" si="3"/>
        <v>0</v>
      </c>
      <c r="H14" s="37"/>
      <c r="I14" s="37"/>
      <c r="J14" s="37">
        <f t="shared" si="0"/>
        <v>0</v>
      </c>
      <c r="K14" s="37">
        <f t="shared" si="1"/>
        <v>0</v>
      </c>
      <c r="L14" s="37"/>
      <c r="M14" s="132">
        <f t="shared" si="2"/>
        <v>4797222.0281999996</v>
      </c>
      <c r="N14" s="14"/>
    </row>
    <row r="15" spans="1:16">
      <c r="A15" s="23">
        <v>12</v>
      </c>
      <c r="B15" s="24">
        <v>46246</v>
      </c>
      <c r="C15" s="14"/>
      <c r="D15" s="14"/>
      <c r="E15" s="37">
        <v>1200</v>
      </c>
      <c r="F15" s="37">
        <v>99.51</v>
      </c>
      <c r="G15" s="37">
        <f t="shared" si="3"/>
        <v>119412</v>
      </c>
      <c r="H15" s="37">
        <v>30</v>
      </c>
      <c r="I15" s="37">
        <v>113.18</v>
      </c>
      <c r="J15" s="37">
        <f t="shared" si="0"/>
        <v>3395.4</v>
      </c>
      <c r="K15" s="37">
        <f t="shared" si="1"/>
        <v>122807.4</v>
      </c>
      <c r="L15" s="37"/>
      <c r="M15" s="132">
        <f t="shared" si="2"/>
        <v>4920029.4282</v>
      </c>
      <c r="N15" s="14"/>
    </row>
    <row r="16" spans="1:16">
      <c r="A16" s="23">
        <v>13</v>
      </c>
      <c r="B16" s="24">
        <v>46247</v>
      </c>
      <c r="C16" s="14"/>
      <c r="D16" s="14"/>
      <c r="E16" s="37"/>
      <c r="F16" s="37"/>
      <c r="G16" s="37">
        <f t="shared" si="3"/>
        <v>0</v>
      </c>
      <c r="H16" s="37"/>
      <c r="I16" s="37"/>
      <c r="J16" s="37">
        <f t="shared" si="0"/>
        <v>0</v>
      </c>
      <c r="K16" s="37">
        <f t="shared" si="1"/>
        <v>0</v>
      </c>
      <c r="L16" s="37"/>
      <c r="M16" s="132">
        <f t="shared" si="2"/>
        <v>4920029.4282</v>
      </c>
      <c r="N16" s="14"/>
    </row>
    <row r="17" spans="1:16">
      <c r="A17" s="23">
        <v>14</v>
      </c>
      <c r="B17" s="24">
        <v>46248</v>
      </c>
      <c r="C17" s="14"/>
      <c r="D17" s="14"/>
      <c r="E17" s="37"/>
      <c r="F17" s="37"/>
      <c r="G17" s="37">
        <f t="shared" si="3"/>
        <v>0</v>
      </c>
      <c r="H17" s="37"/>
      <c r="I17" s="37"/>
      <c r="J17" s="37">
        <f t="shared" si="0"/>
        <v>0</v>
      </c>
      <c r="K17" s="37">
        <f t="shared" si="1"/>
        <v>0</v>
      </c>
      <c r="L17" s="37">
        <f t="shared" si="1"/>
        <v>0</v>
      </c>
      <c r="M17" s="132">
        <f t="shared" si="2"/>
        <v>4920029.4282</v>
      </c>
      <c r="N17" s="14" t="s">
        <v>256</v>
      </c>
    </row>
    <row r="18" spans="1:16">
      <c r="A18" s="23">
        <v>15</v>
      </c>
      <c r="B18" s="24">
        <v>46249</v>
      </c>
      <c r="C18" s="14"/>
      <c r="D18" s="14"/>
      <c r="E18" s="37"/>
      <c r="F18" s="37"/>
      <c r="G18" s="37">
        <f t="shared" si="3"/>
        <v>0</v>
      </c>
      <c r="H18" s="37"/>
      <c r="I18" s="37"/>
      <c r="J18" s="37">
        <f t="shared" si="0"/>
        <v>0</v>
      </c>
      <c r="K18" s="37">
        <f t="shared" si="1"/>
        <v>0</v>
      </c>
      <c r="L18" s="37"/>
      <c r="M18" s="132">
        <f t="shared" si="2"/>
        <v>4920029.4282</v>
      </c>
      <c r="N18" s="41"/>
    </row>
    <row r="19" spans="1:16">
      <c r="A19" s="23">
        <v>16</v>
      </c>
      <c r="B19" s="24">
        <v>46250</v>
      </c>
      <c r="C19" s="14"/>
      <c r="D19" s="14"/>
      <c r="E19" s="37"/>
      <c r="F19" s="37"/>
      <c r="G19" s="37">
        <f t="shared" si="3"/>
        <v>0</v>
      </c>
      <c r="H19" s="37"/>
      <c r="I19" s="37"/>
      <c r="J19" s="37">
        <f t="shared" si="0"/>
        <v>0</v>
      </c>
      <c r="K19" s="37">
        <f t="shared" si="1"/>
        <v>0</v>
      </c>
      <c r="L19" s="37"/>
      <c r="M19" s="132">
        <f t="shared" si="2"/>
        <v>4920029.4282</v>
      </c>
      <c r="N19" s="41"/>
    </row>
    <row r="20" spans="1:16">
      <c r="A20" s="23">
        <v>17</v>
      </c>
      <c r="B20" s="24">
        <v>46251</v>
      </c>
      <c r="C20" s="14"/>
      <c r="D20" s="14"/>
      <c r="E20" s="37"/>
      <c r="F20" s="37"/>
      <c r="G20" s="37">
        <f t="shared" si="3"/>
        <v>0</v>
      </c>
      <c r="H20" s="37"/>
      <c r="I20" s="37"/>
      <c r="J20" s="37">
        <f t="shared" si="0"/>
        <v>0</v>
      </c>
      <c r="K20" s="37">
        <f t="shared" si="1"/>
        <v>0</v>
      </c>
      <c r="L20" s="37"/>
      <c r="M20" s="132">
        <f t="shared" si="2"/>
        <v>4920029.4282</v>
      </c>
      <c r="N20" s="41"/>
      <c r="P20" s="19"/>
    </row>
    <row r="21" spans="1:16">
      <c r="A21" s="23">
        <v>18</v>
      </c>
      <c r="B21" s="24">
        <v>46252</v>
      </c>
      <c r="C21" s="14"/>
      <c r="D21" s="14"/>
      <c r="E21" s="37"/>
      <c r="F21" s="37"/>
      <c r="G21" s="37">
        <f t="shared" si="3"/>
        <v>0</v>
      </c>
      <c r="H21" s="37"/>
      <c r="I21" s="37"/>
      <c r="J21" s="37">
        <f t="shared" si="0"/>
        <v>0</v>
      </c>
      <c r="K21" s="37">
        <f t="shared" si="1"/>
        <v>0</v>
      </c>
      <c r="L21" s="37"/>
      <c r="M21" s="132">
        <f t="shared" si="2"/>
        <v>4920029.4282</v>
      </c>
      <c r="N21" s="41"/>
      <c r="P21" s="19"/>
    </row>
    <row r="22" spans="1:16">
      <c r="A22" s="23">
        <v>19</v>
      </c>
      <c r="B22" s="24">
        <v>46253</v>
      </c>
      <c r="C22" s="14"/>
      <c r="D22" s="14"/>
      <c r="E22" s="37"/>
      <c r="F22" s="37"/>
      <c r="G22" s="37">
        <f t="shared" si="3"/>
        <v>0</v>
      </c>
      <c r="H22" s="37"/>
      <c r="I22" s="37"/>
      <c r="J22" s="37">
        <f t="shared" si="0"/>
        <v>0</v>
      </c>
      <c r="K22" s="37">
        <f t="shared" si="1"/>
        <v>0</v>
      </c>
      <c r="L22" s="37"/>
      <c r="M22" s="132">
        <f t="shared" si="2"/>
        <v>4920029.4282</v>
      </c>
      <c r="N22" s="41"/>
      <c r="P22" s="19"/>
    </row>
    <row r="23" spans="1:16">
      <c r="A23" s="23">
        <v>20</v>
      </c>
      <c r="B23" s="24">
        <v>46254</v>
      </c>
      <c r="C23" s="14"/>
      <c r="D23" s="14"/>
      <c r="E23" s="37"/>
      <c r="F23" s="37"/>
      <c r="G23" s="37">
        <f t="shared" si="3"/>
        <v>0</v>
      </c>
      <c r="H23" s="37"/>
      <c r="I23" s="37"/>
      <c r="J23" s="37">
        <f t="shared" si="0"/>
        <v>0</v>
      </c>
      <c r="K23" s="37">
        <f t="shared" si="1"/>
        <v>0</v>
      </c>
      <c r="L23" s="37">
        <v>1650000</v>
      </c>
      <c r="M23" s="132">
        <f t="shared" si="2"/>
        <v>3270029.4282</v>
      </c>
      <c r="N23" s="41"/>
      <c r="P23" s="19"/>
    </row>
    <row r="24" spans="1:16">
      <c r="A24" s="23">
        <v>21</v>
      </c>
      <c r="B24" s="24">
        <v>46255</v>
      </c>
      <c r="C24" s="14"/>
      <c r="D24" s="14"/>
      <c r="E24" s="37">
        <v>20.03</v>
      </c>
      <c r="F24" s="37">
        <v>99.83</v>
      </c>
      <c r="G24" s="37">
        <f t="shared" si="3"/>
        <v>1999.5949000000001</v>
      </c>
      <c r="H24" s="37"/>
      <c r="I24" s="37"/>
      <c r="J24" s="37">
        <f t="shared" si="0"/>
        <v>0</v>
      </c>
      <c r="K24" s="37">
        <f t="shared" si="1"/>
        <v>1999.5949000000001</v>
      </c>
      <c r="L24" s="37">
        <v>1999.5949000000001</v>
      </c>
      <c r="M24" s="132">
        <f t="shared" si="2"/>
        <v>3270029.4282</v>
      </c>
      <c r="N24" s="41"/>
      <c r="P24" s="19"/>
    </row>
    <row r="25" spans="1:16">
      <c r="A25" s="23">
        <v>22</v>
      </c>
      <c r="B25" s="24">
        <v>46256</v>
      </c>
      <c r="C25" s="14"/>
      <c r="D25" s="14"/>
      <c r="E25" s="37"/>
      <c r="F25" s="37"/>
      <c r="G25" s="37">
        <f t="shared" si="3"/>
        <v>0</v>
      </c>
      <c r="H25" s="37"/>
      <c r="I25" s="37"/>
      <c r="J25" s="37">
        <f t="shared" si="0"/>
        <v>0</v>
      </c>
      <c r="K25" s="37">
        <f t="shared" si="1"/>
        <v>0</v>
      </c>
      <c r="L25" s="37"/>
      <c r="M25" s="132">
        <f t="shared" si="2"/>
        <v>3270029.4282</v>
      </c>
      <c r="N25" s="41"/>
      <c r="P25" s="19"/>
    </row>
    <row r="26" spans="1:16">
      <c r="A26" s="23">
        <v>23</v>
      </c>
      <c r="B26" s="24">
        <v>46257</v>
      </c>
      <c r="C26" s="14"/>
      <c r="D26" s="14"/>
      <c r="E26" s="37"/>
      <c r="F26" s="37"/>
      <c r="G26" s="37">
        <f t="shared" si="3"/>
        <v>0</v>
      </c>
      <c r="H26" s="37"/>
      <c r="I26" s="37"/>
      <c r="J26" s="37">
        <f t="shared" si="0"/>
        <v>0</v>
      </c>
      <c r="K26" s="37">
        <f t="shared" si="1"/>
        <v>0</v>
      </c>
      <c r="L26" s="37"/>
      <c r="M26" s="132">
        <f t="shared" si="2"/>
        <v>3270029.4282</v>
      </c>
      <c r="N26" s="41"/>
      <c r="P26" s="19"/>
    </row>
    <row r="27" spans="1:16">
      <c r="A27" s="23">
        <v>24</v>
      </c>
      <c r="B27" s="24">
        <v>46258</v>
      </c>
      <c r="C27" s="14"/>
      <c r="D27" s="14"/>
      <c r="E27" s="37"/>
      <c r="F27" s="37"/>
      <c r="G27" s="37">
        <f t="shared" si="3"/>
        <v>0</v>
      </c>
      <c r="H27" s="37">
        <v>70</v>
      </c>
      <c r="I27" s="37">
        <v>113.18</v>
      </c>
      <c r="J27" s="37">
        <f t="shared" si="0"/>
        <v>7922.6</v>
      </c>
      <c r="K27" s="37">
        <f t="shared" si="1"/>
        <v>7922.6</v>
      </c>
      <c r="L27" s="37"/>
      <c r="M27" s="132">
        <f t="shared" si="2"/>
        <v>3277952.0282000001</v>
      </c>
      <c r="N27" s="41"/>
      <c r="P27" s="19"/>
    </row>
    <row r="28" spans="1:16">
      <c r="A28" s="23">
        <v>25</v>
      </c>
      <c r="B28" s="24">
        <v>46259</v>
      </c>
      <c r="C28" s="14"/>
      <c r="D28" s="14"/>
      <c r="E28" s="37"/>
      <c r="F28" s="37"/>
      <c r="G28" s="37">
        <f t="shared" si="3"/>
        <v>0</v>
      </c>
      <c r="H28" s="37"/>
      <c r="I28" s="37"/>
      <c r="J28" s="37">
        <f t="shared" si="0"/>
        <v>0</v>
      </c>
      <c r="K28" s="37">
        <f t="shared" si="1"/>
        <v>0</v>
      </c>
      <c r="L28" s="37"/>
      <c r="M28" s="132">
        <f t="shared" si="2"/>
        <v>3277952.0282000001</v>
      </c>
      <c r="N28" s="41"/>
      <c r="P28" s="19"/>
    </row>
    <row r="29" spans="1:16">
      <c r="A29" s="23">
        <v>26</v>
      </c>
      <c r="B29" s="24">
        <v>46260</v>
      </c>
      <c r="C29" s="14"/>
      <c r="D29" s="14"/>
      <c r="E29" s="37"/>
      <c r="F29" s="37"/>
      <c r="G29" s="37">
        <f t="shared" si="3"/>
        <v>0</v>
      </c>
      <c r="H29" s="37"/>
      <c r="I29" s="37"/>
      <c r="J29" s="37">
        <f t="shared" si="0"/>
        <v>0</v>
      </c>
      <c r="K29" s="37">
        <f t="shared" si="1"/>
        <v>0</v>
      </c>
      <c r="L29" s="37"/>
      <c r="M29" s="132">
        <f t="shared" si="2"/>
        <v>3277952.0282000001</v>
      </c>
      <c r="N29" s="41"/>
      <c r="P29" s="19"/>
    </row>
    <row r="30" spans="1:16">
      <c r="A30" s="23">
        <v>27</v>
      </c>
      <c r="B30" s="24">
        <v>46261</v>
      </c>
      <c r="C30" s="14"/>
      <c r="D30" s="14"/>
      <c r="E30" s="37"/>
      <c r="F30" s="37"/>
      <c r="G30" s="37">
        <f t="shared" si="3"/>
        <v>0</v>
      </c>
      <c r="H30" s="37"/>
      <c r="I30" s="37"/>
      <c r="J30" s="37">
        <f t="shared" si="0"/>
        <v>0</v>
      </c>
      <c r="K30" s="37">
        <f t="shared" si="1"/>
        <v>0</v>
      </c>
      <c r="L30" s="37"/>
      <c r="M30" s="132">
        <f t="shared" si="2"/>
        <v>3277952.0282000001</v>
      </c>
      <c r="N30" s="41"/>
    </row>
    <row r="31" spans="1:16">
      <c r="A31" s="23">
        <v>28</v>
      </c>
      <c r="B31" s="24">
        <v>46262</v>
      </c>
      <c r="C31" s="14"/>
      <c r="D31" s="14"/>
      <c r="E31" s="37"/>
      <c r="F31" s="37"/>
      <c r="G31" s="37">
        <f t="shared" si="3"/>
        <v>0</v>
      </c>
      <c r="H31" s="37"/>
      <c r="I31" s="37"/>
      <c r="J31" s="37">
        <f t="shared" si="0"/>
        <v>0</v>
      </c>
      <c r="K31" s="37">
        <f t="shared" si="1"/>
        <v>0</v>
      </c>
      <c r="L31" s="37">
        <v>3227952</v>
      </c>
      <c r="M31" s="132">
        <f t="shared" si="2"/>
        <v>50000.028200000059</v>
      </c>
      <c r="N31" s="41"/>
    </row>
    <row r="32" spans="1:16">
      <c r="A32" s="23">
        <v>29</v>
      </c>
      <c r="B32" s="24">
        <v>46263</v>
      </c>
      <c r="C32" s="14"/>
      <c r="D32" s="14"/>
      <c r="E32" s="37"/>
      <c r="F32" s="37"/>
      <c r="G32" s="37">
        <f t="shared" si="3"/>
        <v>0</v>
      </c>
      <c r="H32" s="37"/>
      <c r="I32" s="37"/>
      <c r="J32" s="37">
        <f t="shared" si="0"/>
        <v>0</v>
      </c>
      <c r="K32" s="37">
        <f t="shared" si="1"/>
        <v>0</v>
      </c>
      <c r="L32" s="37"/>
      <c r="M32" s="132">
        <f t="shared" si="2"/>
        <v>50000.028200000059</v>
      </c>
      <c r="N32" s="41"/>
    </row>
    <row r="33" spans="1:17">
      <c r="A33" s="23">
        <v>30</v>
      </c>
      <c r="B33" s="24">
        <v>46264</v>
      </c>
      <c r="C33" s="14"/>
      <c r="D33" s="14"/>
      <c r="E33" s="37"/>
      <c r="F33" s="37"/>
      <c r="G33" s="37">
        <f t="shared" si="3"/>
        <v>0</v>
      </c>
      <c r="H33" s="37"/>
      <c r="I33" s="37"/>
      <c r="J33" s="37">
        <f t="shared" si="0"/>
        <v>0</v>
      </c>
      <c r="K33" s="37">
        <f t="shared" si="1"/>
        <v>0</v>
      </c>
      <c r="L33" s="37"/>
      <c r="M33" s="132">
        <f t="shared" si="2"/>
        <v>50000.028200000059</v>
      </c>
      <c r="N33" s="41"/>
    </row>
    <row r="34" spans="1:17">
      <c r="A34" s="23">
        <v>31</v>
      </c>
      <c r="B34" s="24"/>
      <c r="C34" s="14"/>
      <c r="D34" s="14"/>
      <c r="E34" s="37"/>
      <c r="F34" s="37"/>
      <c r="G34" s="37">
        <f t="shared" si="3"/>
        <v>0</v>
      </c>
      <c r="H34" s="37"/>
      <c r="I34" s="37"/>
      <c r="J34" s="37">
        <f t="shared" si="0"/>
        <v>0</v>
      </c>
      <c r="K34" s="37">
        <f t="shared" si="1"/>
        <v>0</v>
      </c>
      <c r="L34" s="37"/>
      <c r="M34" s="132">
        <f t="shared" si="2"/>
        <v>50000.028200000059</v>
      </c>
      <c r="N34" s="41"/>
    </row>
    <row r="35" spans="1:17">
      <c r="A35" s="23">
        <v>32</v>
      </c>
      <c r="B35" s="24"/>
      <c r="C35" s="14"/>
      <c r="D35" s="14"/>
      <c r="E35" s="37"/>
      <c r="F35" s="37"/>
      <c r="G35" s="37">
        <f t="shared" si="3"/>
        <v>0</v>
      </c>
      <c r="H35" s="37"/>
      <c r="I35" s="37"/>
      <c r="J35" s="37">
        <f t="shared" si="0"/>
        <v>0</v>
      </c>
      <c r="K35" s="37">
        <f t="shared" si="1"/>
        <v>0</v>
      </c>
      <c r="L35" s="37"/>
      <c r="M35" s="132">
        <f t="shared" si="2"/>
        <v>50000.028200000059</v>
      </c>
      <c r="N35" s="41"/>
    </row>
    <row r="36" spans="1:17">
      <c r="A36" s="23">
        <v>33</v>
      </c>
      <c r="B36" s="24"/>
      <c r="C36" s="14"/>
      <c r="D36" s="14"/>
      <c r="E36" s="37"/>
      <c r="F36" s="37"/>
      <c r="G36" s="37">
        <f t="shared" si="3"/>
        <v>0</v>
      </c>
      <c r="H36" s="37"/>
      <c r="I36" s="37"/>
      <c r="J36" s="37">
        <f t="shared" si="0"/>
        <v>0</v>
      </c>
      <c r="K36" s="37">
        <f t="shared" si="1"/>
        <v>0</v>
      </c>
      <c r="L36" s="37"/>
      <c r="M36" s="132">
        <f t="shared" si="2"/>
        <v>50000.028200000059</v>
      </c>
      <c r="N36" s="41"/>
    </row>
    <row r="37" spans="1:17">
      <c r="A37" s="23">
        <v>34</v>
      </c>
      <c r="B37" s="24"/>
      <c r="C37" s="14"/>
      <c r="D37" s="14"/>
      <c r="E37" s="37"/>
      <c r="F37" s="37"/>
      <c r="G37" s="37">
        <f t="shared" ref="G5:G55" si="4">E37*F37</f>
        <v>0</v>
      </c>
      <c r="H37" s="37"/>
      <c r="I37" s="37"/>
      <c r="J37" s="37">
        <f t="shared" ref="J5:J55" si="5">H37*I37</f>
        <v>0</v>
      </c>
      <c r="K37" s="37">
        <f>G37+J37</f>
        <v>0</v>
      </c>
      <c r="L37" s="37"/>
      <c r="M37" s="132">
        <f t="shared" si="2"/>
        <v>50000.028200000059</v>
      </c>
      <c r="N37" s="41"/>
    </row>
    <row r="38" spans="1:17">
      <c r="A38" s="23">
        <v>35</v>
      </c>
      <c r="B38" s="24"/>
      <c r="C38" s="14"/>
      <c r="D38" s="14"/>
      <c r="E38" s="37"/>
      <c r="F38" s="37"/>
      <c r="G38" s="37">
        <f t="shared" si="4"/>
        <v>0</v>
      </c>
      <c r="H38" s="37"/>
      <c r="I38" s="37"/>
      <c r="J38" s="37">
        <f t="shared" si="5"/>
        <v>0</v>
      </c>
      <c r="K38" s="37">
        <f>G38+J38</f>
        <v>0</v>
      </c>
      <c r="L38" s="37"/>
      <c r="M38" s="132">
        <f t="shared" si="2"/>
        <v>50000.028200000059</v>
      </c>
      <c r="N38" s="41"/>
    </row>
    <row r="39" spans="1:17">
      <c r="A39" s="23">
        <v>36</v>
      </c>
      <c r="B39" s="24"/>
      <c r="C39" s="14"/>
      <c r="D39" s="14"/>
      <c r="E39" s="37"/>
      <c r="F39" s="37"/>
      <c r="G39" s="37">
        <f t="shared" si="4"/>
        <v>0</v>
      </c>
      <c r="H39" s="37"/>
      <c r="I39" s="37"/>
      <c r="J39" s="37">
        <f t="shared" si="5"/>
        <v>0</v>
      </c>
      <c r="K39" s="37">
        <f>G39+J39</f>
        <v>0</v>
      </c>
      <c r="L39" s="37"/>
      <c r="M39" s="132">
        <f t="shared" si="2"/>
        <v>50000.028200000059</v>
      </c>
      <c r="N39" s="41"/>
      <c r="P39">
        <v>41</v>
      </c>
    </row>
    <row r="40" spans="1:17">
      <c r="A40" s="23">
        <v>37</v>
      </c>
      <c r="B40" s="24"/>
      <c r="C40" s="14"/>
      <c r="D40" s="14"/>
      <c r="E40" s="37"/>
      <c r="F40" s="37"/>
      <c r="G40" s="37">
        <f t="shared" si="4"/>
        <v>0</v>
      </c>
      <c r="H40" s="37"/>
      <c r="I40" s="37"/>
      <c r="J40" s="37">
        <f t="shared" si="5"/>
        <v>0</v>
      </c>
      <c r="K40" s="37">
        <f>G40+J40</f>
        <v>0</v>
      </c>
      <c r="L40" s="37"/>
      <c r="M40" s="132">
        <f t="shared" si="2"/>
        <v>50000.028200000059</v>
      </c>
      <c r="N40" s="41"/>
      <c r="P40">
        <v>40</v>
      </c>
      <c r="Q40">
        <v>5</v>
      </c>
    </row>
    <row r="41" spans="1:17">
      <c r="A41" s="23">
        <v>38</v>
      </c>
      <c r="B41" s="24"/>
      <c r="C41" s="14"/>
      <c r="D41" s="14"/>
      <c r="E41" s="37"/>
      <c r="F41" s="37"/>
      <c r="G41" s="37">
        <f t="shared" si="4"/>
        <v>0</v>
      </c>
      <c r="H41" s="37"/>
      <c r="I41" s="37"/>
      <c r="J41" s="37">
        <f t="shared" si="5"/>
        <v>0</v>
      </c>
      <c r="K41" s="37">
        <f>G41+J41</f>
        <v>0</v>
      </c>
      <c r="L41" s="37"/>
      <c r="M41" s="132">
        <f t="shared" si="2"/>
        <v>50000.028200000059</v>
      </c>
      <c r="N41" s="41"/>
    </row>
    <row r="42" spans="1:17">
      <c r="A42" s="23">
        <v>39</v>
      </c>
      <c r="B42" s="24"/>
      <c r="C42" s="14"/>
      <c r="D42" s="14"/>
      <c r="E42" s="37"/>
      <c r="F42" s="37"/>
      <c r="G42" s="37">
        <f t="shared" si="4"/>
        <v>0</v>
      </c>
      <c r="H42" s="37"/>
      <c r="I42" s="37"/>
      <c r="J42" s="37">
        <f t="shared" si="5"/>
        <v>0</v>
      </c>
      <c r="K42" s="37">
        <f>G42+J42</f>
        <v>0</v>
      </c>
      <c r="L42" s="37"/>
      <c r="M42" s="132">
        <f t="shared" si="2"/>
        <v>50000.028200000059</v>
      </c>
      <c r="N42" s="41"/>
    </row>
    <row r="43" spans="1:17">
      <c r="A43" s="23">
        <v>40</v>
      </c>
      <c r="B43" s="24"/>
      <c r="C43" s="14"/>
      <c r="D43" s="14"/>
      <c r="E43" s="37"/>
      <c r="F43" s="37"/>
      <c r="G43" s="37">
        <f t="shared" si="4"/>
        <v>0</v>
      </c>
      <c r="H43" s="37"/>
      <c r="I43" s="37"/>
      <c r="J43" s="37">
        <f t="shared" si="5"/>
        <v>0</v>
      </c>
      <c r="K43" s="37">
        <f>G43+J43</f>
        <v>0</v>
      </c>
      <c r="L43" s="37"/>
      <c r="M43" s="132">
        <f t="shared" si="2"/>
        <v>50000.028200000059</v>
      </c>
      <c r="N43" s="41"/>
    </row>
    <row r="44" spans="1:17">
      <c r="A44" s="23">
        <v>41</v>
      </c>
      <c r="B44" s="24"/>
      <c r="C44" s="14"/>
      <c r="D44" s="14"/>
      <c r="E44" s="37"/>
      <c r="F44" s="37"/>
      <c r="G44" s="37">
        <f t="shared" si="4"/>
        <v>0</v>
      </c>
      <c r="H44" s="37"/>
      <c r="I44" s="37"/>
      <c r="J44" s="37">
        <f t="shared" si="5"/>
        <v>0</v>
      </c>
      <c r="K44" s="37">
        <f>G44+J44</f>
        <v>0</v>
      </c>
      <c r="L44" s="37"/>
      <c r="M44" s="132">
        <f t="shared" si="2"/>
        <v>50000.028200000059</v>
      </c>
      <c r="N44" s="41"/>
    </row>
    <row r="45" spans="1:17">
      <c r="A45" s="23">
        <v>42</v>
      </c>
      <c r="B45" s="24"/>
      <c r="C45" s="14"/>
      <c r="D45" s="14"/>
      <c r="E45" s="37"/>
      <c r="F45" s="37"/>
      <c r="G45" s="37">
        <f t="shared" si="4"/>
        <v>0</v>
      </c>
      <c r="H45" s="37"/>
      <c r="I45" s="37"/>
      <c r="J45" s="37">
        <f t="shared" si="5"/>
        <v>0</v>
      </c>
      <c r="K45" s="37">
        <f>G45+J45</f>
        <v>0</v>
      </c>
      <c r="L45" s="37"/>
      <c r="M45" s="132">
        <f t="shared" si="2"/>
        <v>50000.028200000059</v>
      </c>
      <c r="N45" s="41"/>
    </row>
    <row r="46" spans="1:17">
      <c r="A46" s="23">
        <v>43</v>
      </c>
      <c r="B46" s="24"/>
      <c r="C46" s="14"/>
      <c r="D46" s="14"/>
      <c r="E46" s="37"/>
      <c r="F46" s="37"/>
      <c r="G46" s="37">
        <f t="shared" si="4"/>
        <v>0</v>
      </c>
      <c r="H46" s="37"/>
      <c r="I46" s="37"/>
      <c r="J46" s="37">
        <f t="shared" si="5"/>
        <v>0</v>
      </c>
      <c r="K46" s="37">
        <f>G46+J46</f>
        <v>0</v>
      </c>
      <c r="L46" s="37"/>
      <c r="M46" s="132">
        <f t="shared" si="2"/>
        <v>50000.028200000059</v>
      </c>
      <c r="N46" s="41"/>
    </row>
    <row r="47" spans="1:17">
      <c r="A47" s="23">
        <v>44</v>
      </c>
      <c r="B47" s="24"/>
      <c r="C47" s="14"/>
      <c r="D47" s="14"/>
      <c r="E47" s="37"/>
      <c r="F47" s="37"/>
      <c r="G47" s="37">
        <f t="shared" si="4"/>
        <v>0</v>
      </c>
      <c r="H47" s="37"/>
      <c r="I47" s="37"/>
      <c r="J47" s="37">
        <f t="shared" si="5"/>
        <v>0</v>
      </c>
      <c r="K47" s="37">
        <f>G47+J47</f>
        <v>0</v>
      </c>
      <c r="L47" s="37"/>
      <c r="M47" s="132">
        <f t="shared" si="2"/>
        <v>50000.028200000059</v>
      </c>
      <c r="N47" s="41"/>
    </row>
    <row r="48" spans="1:17">
      <c r="A48" s="23">
        <v>45</v>
      </c>
      <c r="B48" s="24"/>
      <c r="C48" s="14"/>
      <c r="D48" s="14"/>
      <c r="E48" s="37"/>
      <c r="F48" s="37"/>
      <c r="G48" s="37">
        <f t="shared" si="4"/>
        <v>0</v>
      </c>
      <c r="H48" s="37"/>
      <c r="I48" s="37"/>
      <c r="J48" s="37">
        <f t="shared" si="5"/>
        <v>0</v>
      </c>
      <c r="K48" s="37">
        <f>G48+J48</f>
        <v>0</v>
      </c>
      <c r="L48" s="37"/>
      <c r="M48" s="132">
        <f t="shared" si="2"/>
        <v>50000.028200000059</v>
      </c>
      <c r="N48" s="41"/>
    </row>
    <row r="49" spans="1:16">
      <c r="A49" s="23">
        <v>46</v>
      </c>
      <c r="B49" s="24"/>
      <c r="C49" s="14"/>
      <c r="D49" s="14"/>
      <c r="E49" s="37"/>
      <c r="F49" s="37"/>
      <c r="G49" s="37">
        <f t="shared" si="4"/>
        <v>0</v>
      </c>
      <c r="H49" s="37"/>
      <c r="I49" s="37"/>
      <c r="J49" s="37">
        <f t="shared" si="5"/>
        <v>0</v>
      </c>
      <c r="K49" s="37">
        <f>G49+J49</f>
        <v>0</v>
      </c>
      <c r="L49" s="37"/>
      <c r="M49" s="132">
        <f t="shared" si="2"/>
        <v>50000.028200000059</v>
      </c>
      <c r="N49" s="41"/>
    </row>
    <row r="50" spans="1:16">
      <c r="A50" s="23">
        <v>47</v>
      </c>
      <c r="B50" s="24"/>
      <c r="C50" s="14"/>
      <c r="D50" s="14"/>
      <c r="E50" s="37"/>
      <c r="F50" s="37"/>
      <c r="G50" s="37">
        <f t="shared" si="4"/>
        <v>0</v>
      </c>
      <c r="H50" s="37"/>
      <c r="I50" s="37"/>
      <c r="J50" s="37">
        <f t="shared" si="5"/>
        <v>0</v>
      </c>
      <c r="K50" s="37">
        <f>G50+J50</f>
        <v>0</v>
      </c>
      <c r="L50" s="37"/>
      <c r="M50" s="132">
        <f t="shared" si="2"/>
        <v>50000.028200000059</v>
      </c>
      <c r="N50" s="41"/>
    </row>
    <row r="51" spans="1:16">
      <c r="A51" s="23">
        <v>48</v>
      </c>
      <c r="B51" s="24"/>
      <c r="C51" s="14"/>
      <c r="D51" s="14"/>
      <c r="E51" s="37"/>
      <c r="F51" s="37"/>
      <c r="G51" s="37">
        <f t="shared" si="4"/>
        <v>0</v>
      </c>
      <c r="H51" s="37"/>
      <c r="I51" s="37"/>
      <c r="J51" s="37">
        <f t="shared" si="5"/>
        <v>0</v>
      </c>
      <c r="K51" s="37">
        <f>G51+J51</f>
        <v>0</v>
      </c>
      <c r="L51" s="37"/>
      <c r="M51" s="132">
        <f t="shared" si="2"/>
        <v>50000.028200000059</v>
      </c>
      <c r="N51" s="41"/>
    </row>
    <row r="52" spans="1:16">
      <c r="A52" s="23">
        <v>49</v>
      </c>
      <c r="B52" s="24"/>
      <c r="C52" s="14"/>
      <c r="D52" s="14"/>
      <c r="E52" s="37"/>
      <c r="F52" s="37"/>
      <c r="G52" s="37">
        <f t="shared" si="4"/>
        <v>0</v>
      </c>
      <c r="H52" s="37"/>
      <c r="I52" s="37"/>
      <c r="J52" s="37">
        <f t="shared" si="5"/>
        <v>0</v>
      </c>
      <c r="K52" s="37">
        <f>G52+J52</f>
        <v>0</v>
      </c>
      <c r="L52" s="37">
        <v>0</v>
      </c>
      <c r="M52" s="132">
        <f t="shared" si="2"/>
        <v>50000.028200000059</v>
      </c>
      <c r="N52" s="41"/>
    </row>
    <row r="53" spans="1:16">
      <c r="A53" s="23">
        <v>50</v>
      </c>
      <c r="B53" s="24"/>
      <c r="C53" s="91"/>
      <c r="D53" s="91"/>
      <c r="E53" s="37"/>
      <c r="F53" s="37"/>
      <c r="G53" s="37">
        <f t="shared" si="4"/>
        <v>0</v>
      </c>
      <c r="H53" s="37"/>
      <c r="I53" s="37"/>
      <c r="J53" s="37">
        <f t="shared" si="5"/>
        <v>0</v>
      </c>
      <c r="K53" s="37">
        <f>G53+J53</f>
        <v>0</v>
      </c>
      <c r="L53" s="37">
        <v>0</v>
      </c>
      <c r="M53" s="132">
        <f t="shared" si="2"/>
        <v>50000.028200000059</v>
      </c>
      <c r="N53" s="217"/>
    </row>
    <row r="54" spans="1:16">
      <c r="A54" s="23">
        <v>50</v>
      </c>
      <c r="B54" s="24"/>
      <c r="C54" s="14"/>
      <c r="D54" s="14"/>
      <c r="E54" s="37"/>
      <c r="F54" s="37"/>
      <c r="G54" s="37">
        <f t="shared" si="4"/>
        <v>0</v>
      </c>
      <c r="H54" s="37"/>
      <c r="I54" s="37"/>
      <c r="J54" s="37">
        <f t="shared" si="5"/>
        <v>0</v>
      </c>
      <c r="K54" s="37">
        <f>G54+J54</f>
        <v>0</v>
      </c>
      <c r="L54" s="37">
        <v>0</v>
      </c>
      <c r="M54" s="132">
        <f t="shared" si="2"/>
        <v>50000.028200000059</v>
      </c>
      <c r="N54" s="41"/>
    </row>
    <row r="55" spans="1:16">
      <c r="A55" s="23">
        <v>51</v>
      </c>
      <c r="B55" s="24"/>
      <c r="C55" s="14"/>
      <c r="D55" s="14"/>
      <c r="E55" s="37"/>
      <c r="F55" s="37"/>
      <c r="G55" s="37">
        <f t="shared" si="4"/>
        <v>0</v>
      </c>
      <c r="H55" s="37"/>
      <c r="I55" s="37"/>
      <c r="J55" s="37">
        <f t="shared" si="5"/>
        <v>0</v>
      </c>
      <c r="K55" s="37">
        <f>G55+J55</f>
        <v>0</v>
      </c>
      <c r="L55" s="37">
        <v>0</v>
      </c>
      <c r="M55" s="132">
        <f t="shared" si="2"/>
        <v>50000.028200000059</v>
      </c>
      <c r="N55" s="41"/>
      <c r="O55">
        <v>1109792.2825999993</v>
      </c>
      <c r="P55" s="167">
        <f>M55-O55</f>
        <v>-1059792.2543999993</v>
      </c>
    </row>
    <row r="56" spans="1:16">
      <c r="A56" s="174"/>
      <c r="B56" s="174"/>
      <c r="C56" s="174"/>
      <c r="D56" s="174"/>
      <c r="E56" s="174">
        <f>SUM(E4:E55)</f>
        <v>3826.03</v>
      </c>
      <c r="F56" s="174"/>
      <c r="G56" s="174">
        <f>SUM(G4:G55)</f>
        <v>380734.65490000008</v>
      </c>
      <c r="H56" s="174">
        <f>SUM(H4:H55)</f>
        <v>160</v>
      </c>
      <c r="I56" s="174"/>
      <c r="J56" s="174">
        <f>SUM(J4:J55)</f>
        <v>18108.800000000003</v>
      </c>
      <c r="K56" s="174">
        <f>SUM(K4:K55)</f>
        <v>398843.45490000001</v>
      </c>
      <c r="L56" s="174">
        <f>SUM(L4:L55)</f>
        <v>4879951.5948999999</v>
      </c>
      <c r="M56" s="174"/>
      <c r="N56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5"/>
  <sheetViews>
    <sheetView workbookViewId="0">
      <pane ySplit="2" topLeftCell="A3" activePane="bottomLeft" state="frozen"/>
      <selection pane="bottomLeft" activeCell="B4" sqref="B4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555" t="s">
        <v>136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0"/>
    </row>
    <row r="2" spans="1:15" ht="30">
      <c r="A2" s="51" t="s">
        <v>0</v>
      </c>
      <c r="B2" s="52" t="s">
        <v>170</v>
      </c>
      <c r="C2" s="52" t="s">
        <v>171</v>
      </c>
      <c r="D2" s="52" t="s">
        <v>172</v>
      </c>
      <c r="E2" s="52" t="s">
        <v>173</v>
      </c>
      <c r="F2" s="52" t="s">
        <v>174</v>
      </c>
      <c r="G2" s="52" t="s">
        <v>175</v>
      </c>
      <c r="H2" s="52" t="s">
        <v>176</v>
      </c>
      <c r="I2" s="52" t="s">
        <v>174</v>
      </c>
      <c r="J2" s="53" t="s">
        <v>175</v>
      </c>
      <c r="K2" s="54" t="s">
        <v>177</v>
      </c>
      <c r="L2" s="55" t="s">
        <v>178</v>
      </c>
      <c r="M2" s="112" t="s">
        <v>195</v>
      </c>
      <c r="N2" s="98" t="s">
        <v>180</v>
      </c>
      <c r="O2" s="56"/>
    </row>
    <row r="3" spans="1:15">
      <c r="A3" s="128" t="s">
        <v>181</v>
      </c>
      <c r="B3" s="129"/>
      <c r="C3" s="129"/>
      <c r="D3" s="129"/>
      <c r="E3" s="129"/>
      <c r="F3" s="129"/>
      <c r="G3" s="129"/>
      <c r="H3" s="129"/>
      <c r="I3" s="129"/>
      <c r="J3" s="129"/>
      <c r="K3" s="306">
        <v>929513.50990000111</v>
      </c>
      <c r="L3" s="130"/>
      <c r="M3" s="253">
        <v>929513.50990000111</v>
      </c>
      <c r="N3" s="14"/>
      <c r="O3" s="56"/>
    </row>
    <row r="4" spans="1:15">
      <c r="A4" s="43">
        <v>1</v>
      </c>
      <c r="B4" s="194">
        <v>46235</v>
      </c>
      <c r="C4" s="10"/>
      <c r="D4" s="15"/>
      <c r="E4" s="186"/>
      <c r="F4" s="8"/>
      <c r="G4" s="13">
        <f>E4*F4</f>
        <v>0</v>
      </c>
      <c r="H4" s="7"/>
      <c r="I4" s="7"/>
      <c r="J4" s="18">
        <f>H4*I4</f>
        <v>0</v>
      </c>
      <c r="K4" s="8">
        <f>G4+J4</f>
        <v>0</v>
      </c>
      <c r="L4" s="8"/>
      <c r="M4" s="8">
        <f t="shared" ref="M4:M23" si="0">M3+K4-L4</f>
        <v>929513.50990000111</v>
      </c>
      <c r="N4" s="16"/>
      <c r="O4" s="1"/>
    </row>
    <row r="5" spans="1:15">
      <c r="A5" s="43">
        <v>2</v>
      </c>
      <c r="B5" s="194">
        <v>46236</v>
      </c>
      <c r="C5" s="10"/>
      <c r="D5" s="15"/>
      <c r="E5" s="186"/>
      <c r="F5" s="8"/>
      <c r="G5" s="13">
        <f t="shared" ref="G5:G9" si="1">E5*F5</f>
        <v>0</v>
      </c>
      <c r="H5" s="7"/>
      <c r="I5" s="7"/>
      <c r="J5" s="18">
        <f t="shared" ref="J5" si="2">H5*I5</f>
        <v>0</v>
      </c>
      <c r="K5" s="8">
        <f t="shared" ref="K5:K8" si="3">G5+J5</f>
        <v>0</v>
      </c>
      <c r="L5" s="8"/>
      <c r="M5" s="8">
        <f t="shared" si="0"/>
        <v>929513.50990000111</v>
      </c>
      <c r="N5" s="8"/>
      <c r="O5" s="1"/>
    </row>
    <row r="6" spans="1:15" ht="15.75">
      <c r="A6" s="43">
        <v>3</v>
      </c>
      <c r="B6" s="194">
        <v>46237</v>
      </c>
      <c r="C6" s="10"/>
      <c r="D6" s="463"/>
      <c r="E6" s="186"/>
      <c r="F6" s="8"/>
      <c r="G6" s="13">
        <f t="shared" si="1"/>
        <v>0</v>
      </c>
      <c r="H6" s="7"/>
      <c r="I6" s="7"/>
      <c r="J6" s="18">
        <f>H6*I6</f>
        <v>0</v>
      </c>
      <c r="K6" s="8">
        <f t="shared" si="3"/>
        <v>0</v>
      </c>
      <c r="L6" s="8"/>
      <c r="M6" s="8">
        <f t="shared" si="0"/>
        <v>929513.50990000111</v>
      </c>
      <c r="N6" s="8"/>
      <c r="O6" s="1"/>
    </row>
    <row r="7" spans="1:15" ht="15.75">
      <c r="A7" s="43">
        <v>3</v>
      </c>
      <c r="B7" s="194">
        <v>46238</v>
      </c>
      <c r="C7" s="10"/>
      <c r="D7" s="464"/>
      <c r="E7" s="8"/>
      <c r="F7" s="8"/>
      <c r="G7" s="13">
        <f t="shared" ref="G7" si="4">E7*F7</f>
        <v>0</v>
      </c>
      <c r="H7" s="7"/>
      <c r="I7" s="7"/>
      <c r="J7" s="18">
        <f>H7*I7</f>
        <v>0</v>
      </c>
      <c r="K7" s="8">
        <f t="shared" ref="K7" si="5">G7+J7</f>
        <v>0</v>
      </c>
      <c r="L7" s="8"/>
      <c r="M7" s="8">
        <f t="shared" si="0"/>
        <v>929513.50990000111</v>
      </c>
      <c r="N7" s="8"/>
      <c r="O7" s="1"/>
    </row>
    <row r="8" spans="1:15">
      <c r="A8" s="43">
        <v>4</v>
      </c>
      <c r="B8" s="194">
        <v>46239</v>
      </c>
      <c r="C8" s="10"/>
      <c r="D8" s="15"/>
      <c r="E8" s="8"/>
      <c r="F8" s="8"/>
      <c r="G8" s="13">
        <f t="shared" si="1"/>
        <v>0</v>
      </c>
      <c r="H8" s="7"/>
      <c r="I8" s="7"/>
      <c r="J8" s="18">
        <f>H8*I8</f>
        <v>0</v>
      </c>
      <c r="K8" s="8">
        <f t="shared" si="3"/>
        <v>0</v>
      </c>
      <c r="L8" s="8"/>
      <c r="M8" s="8">
        <f t="shared" si="0"/>
        <v>929513.50990000111</v>
      </c>
      <c r="N8" s="8"/>
      <c r="O8" s="1"/>
    </row>
    <row r="9" spans="1:15">
      <c r="A9" s="43">
        <v>5</v>
      </c>
      <c r="B9" s="194">
        <v>46240</v>
      </c>
      <c r="C9" s="10"/>
      <c r="D9" s="15"/>
      <c r="E9" s="8"/>
      <c r="F9" s="8"/>
      <c r="G9" s="13">
        <f t="shared" si="1"/>
        <v>0</v>
      </c>
      <c r="H9" s="7"/>
      <c r="I9" s="7"/>
      <c r="J9" s="18">
        <v>0</v>
      </c>
      <c r="K9" s="8">
        <f t="shared" ref="K9:K41" si="6">G9+J9</f>
        <v>0</v>
      </c>
      <c r="L9" s="8"/>
      <c r="M9" s="8">
        <f t="shared" si="0"/>
        <v>929513.50990000111</v>
      </c>
      <c r="N9" s="8"/>
      <c r="O9" s="1"/>
    </row>
    <row r="10" spans="1:15">
      <c r="A10" s="43">
        <v>6</v>
      </c>
      <c r="B10" s="194">
        <v>46241</v>
      </c>
      <c r="C10" s="10"/>
      <c r="D10" s="15"/>
      <c r="E10" s="8"/>
      <c r="F10" s="8"/>
      <c r="G10" s="13">
        <f>E10*F10</f>
        <v>0</v>
      </c>
      <c r="H10" s="7">
        <v>20</v>
      </c>
      <c r="I10" s="7">
        <v>112.27</v>
      </c>
      <c r="J10" s="13">
        <f>H10*I10</f>
        <v>2245.4</v>
      </c>
      <c r="K10" s="8">
        <f t="shared" ref="K10:K40" si="7">G10+J10</f>
        <v>2245.4</v>
      </c>
      <c r="L10" s="8"/>
      <c r="M10" s="8">
        <f t="shared" si="0"/>
        <v>931758.90990000113</v>
      </c>
      <c r="N10" s="8"/>
      <c r="O10" s="1"/>
    </row>
    <row r="11" spans="1:15">
      <c r="A11" s="43">
        <v>7</v>
      </c>
      <c r="B11" s="194">
        <v>46242</v>
      </c>
      <c r="C11" s="10"/>
      <c r="D11" s="15"/>
      <c r="E11" s="8"/>
      <c r="F11" s="8"/>
      <c r="G11" s="13">
        <f>E11*F11</f>
        <v>0</v>
      </c>
      <c r="H11" s="7"/>
      <c r="I11" s="7"/>
      <c r="J11" s="13">
        <f t="shared" ref="J11:J24" si="8">H11*I11</f>
        <v>0</v>
      </c>
      <c r="K11" s="8">
        <f t="shared" si="7"/>
        <v>0</v>
      </c>
      <c r="L11" s="8"/>
      <c r="M11" s="8">
        <f t="shared" si="0"/>
        <v>931758.90990000113</v>
      </c>
      <c r="N11" s="8"/>
      <c r="O11" s="1"/>
    </row>
    <row r="12" spans="1:15">
      <c r="A12" s="43">
        <v>8</v>
      </c>
      <c r="B12" s="194">
        <v>46243</v>
      </c>
      <c r="C12" s="10"/>
      <c r="D12" s="15"/>
      <c r="E12" s="8"/>
      <c r="F12" s="8"/>
      <c r="G12" s="13">
        <f>E12*F12</f>
        <v>0</v>
      </c>
      <c r="H12" s="7"/>
      <c r="I12" s="7"/>
      <c r="J12" s="13">
        <f t="shared" si="8"/>
        <v>0</v>
      </c>
      <c r="K12" s="8">
        <f t="shared" si="7"/>
        <v>0</v>
      </c>
      <c r="L12" s="8"/>
      <c r="M12" s="8">
        <f t="shared" si="0"/>
        <v>931758.90990000113</v>
      </c>
      <c r="N12" s="8"/>
      <c r="O12" s="1"/>
    </row>
    <row r="13" spans="1:15">
      <c r="A13" s="43">
        <v>9</v>
      </c>
      <c r="B13" s="194">
        <v>46244</v>
      </c>
      <c r="C13" s="10"/>
      <c r="D13" s="15"/>
      <c r="E13" s="8"/>
      <c r="F13" s="8"/>
      <c r="G13" s="13">
        <f t="shared" ref="G13:G27" si="9">E13*F13</f>
        <v>0</v>
      </c>
      <c r="H13" s="7"/>
      <c r="I13" s="7"/>
      <c r="J13" s="13">
        <f t="shared" si="8"/>
        <v>0</v>
      </c>
      <c r="K13" s="8">
        <f t="shared" si="7"/>
        <v>0</v>
      </c>
      <c r="L13" s="8"/>
      <c r="M13" s="8">
        <f t="shared" si="0"/>
        <v>931758.90990000113</v>
      </c>
      <c r="N13" s="8"/>
      <c r="O13" s="1"/>
    </row>
    <row r="14" spans="1:15">
      <c r="A14" s="43">
        <v>10</v>
      </c>
      <c r="B14" s="194">
        <v>46245</v>
      </c>
      <c r="C14" s="10"/>
      <c r="D14" s="15"/>
      <c r="E14" s="8"/>
      <c r="F14" s="8"/>
      <c r="G14" s="13">
        <f t="shared" si="9"/>
        <v>0</v>
      </c>
      <c r="H14" s="7"/>
      <c r="I14" s="7"/>
      <c r="J14" s="13">
        <f t="shared" si="8"/>
        <v>0</v>
      </c>
      <c r="K14" s="8">
        <f t="shared" ref="K14" si="10">G14+J14</f>
        <v>0</v>
      </c>
      <c r="L14" s="8"/>
      <c r="M14" s="8">
        <f t="shared" si="0"/>
        <v>931758.90990000113</v>
      </c>
      <c r="N14" s="8"/>
      <c r="O14" s="1"/>
    </row>
    <row r="15" spans="1:15">
      <c r="A15" s="43">
        <v>11</v>
      </c>
      <c r="B15" s="194">
        <v>46246</v>
      </c>
      <c r="C15" s="10"/>
      <c r="D15" s="15"/>
      <c r="E15" s="8"/>
      <c r="F15" s="8"/>
      <c r="G15" s="13">
        <f t="shared" si="9"/>
        <v>0</v>
      </c>
      <c r="H15" s="7"/>
      <c r="I15" s="7"/>
      <c r="J15" s="13">
        <f t="shared" si="8"/>
        <v>0</v>
      </c>
      <c r="K15" s="8">
        <f>G15+J15</f>
        <v>0</v>
      </c>
      <c r="L15" s="8"/>
      <c r="M15" s="8">
        <f t="shared" si="0"/>
        <v>931758.90990000113</v>
      </c>
      <c r="N15" s="186"/>
      <c r="O15" s="1"/>
    </row>
    <row r="16" spans="1:15">
      <c r="A16" s="43">
        <v>12</v>
      </c>
      <c r="B16" s="194">
        <v>46247</v>
      </c>
      <c r="C16" s="10"/>
      <c r="D16" s="15"/>
      <c r="E16" s="8"/>
      <c r="F16" s="8"/>
      <c r="G16" s="13">
        <f t="shared" si="9"/>
        <v>0</v>
      </c>
      <c r="H16" s="7"/>
      <c r="I16" s="7"/>
      <c r="J16" s="13">
        <f t="shared" si="8"/>
        <v>0</v>
      </c>
      <c r="K16" s="8">
        <f t="shared" ref="K16:K18" si="11">G16+J16</f>
        <v>0</v>
      </c>
      <c r="L16" s="8"/>
      <c r="M16" s="8">
        <f t="shared" si="0"/>
        <v>931758.90990000113</v>
      </c>
      <c r="N16" s="186"/>
      <c r="O16" s="1"/>
    </row>
    <row r="17" spans="1:17">
      <c r="A17" s="43">
        <v>13</v>
      </c>
      <c r="B17" s="194">
        <v>46248</v>
      </c>
      <c r="C17" s="10"/>
      <c r="D17" s="15"/>
      <c r="E17" s="8"/>
      <c r="F17" s="8"/>
      <c r="G17" s="13">
        <f t="shared" si="9"/>
        <v>0</v>
      </c>
      <c r="H17" s="7"/>
      <c r="I17" s="7"/>
      <c r="J17" s="13">
        <f t="shared" si="8"/>
        <v>0</v>
      </c>
      <c r="K17" s="8">
        <f t="shared" si="11"/>
        <v>0</v>
      </c>
      <c r="L17" s="8"/>
      <c r="M17" s="8">
        <f t="shared" si="0"/>
        <v>931758.90990000113</v>
      </c>
      <c r="N17" s="186"/>
      <c r="O17" s="1"/>
    </row>
    <row r="18" spans="1:17">
      <c r="A18" s="43">
        <v>14</v>
      </c>
      <c r="B18" s="194">
        <v>46249</v>
      </c>
      <c r="C18" s="10"/>
      <c r="D18" s="15"/>
      <c r="E18" s="8"/>
      <c r="F18" s="8"/>
      <c r="G18" s="13">
        <f t="shared" si="9"/>
        <v>0</v>
      </c>
      <c r="H18" s="7"/>
      <c r="I18" s="7"/>
      <c r="J18" s="13">
        <f t="shared" si="8"/>
        <v>0</v>
      </c>
      <c r="K18" s="8">
        <f t="shared" si="11"/>
        <v>0</v>
      </c>
      <c r="L18" s="8"/>
      <c r="M18" s="8">
        <f t="shared" si="0"/>
        <v>931758.90990000113</v>
      </c>
      <c r="N18" s="186"/>
      <c r="O18" s="1"/>
    </row>
    <row r="19" spans="1:17">
      <c r="A19" s="43">
        <v>15</v>
      </c>
      <c r="B19" s="194">
        <v>46250</v>
      </c>
      <c r="C19" s="10"/>
      <c r="D19" s="15"/>
      <c r="E19" s="8"/>
      <c r="F19" s="8"/>
      <c r="G19" s="13">
        <f t="shared" si="9"/>
        <v>0</v>
      </c>
      <c r="H19" s="7"/>
      <c r="I19" s="7"/>
      <c r="J19" s="13">
        <f t="shared" si="8"/>
        <v>0</v>
      </c>
      <c r="K19" s="8">
        <f t="shared" si="7"/>
        <v>0</v>
      </c>
      <c r="L19" s="8"/>
      <c r="M19" s="8">
        <f t="shared" si="0"/>
        <v>931758.90990000113</v>
      </c>
      <c r="N19" s="186"/>
      <c r="O19" s="1"/>
    </row>
    <row r="20" spans="1:17">
      <c r="A20" s="43">
        <v>16</v>
      </c>
      <c r="B20" s="194">
        <v>46251</v>
      </c>
      <c r="C20" s="10"/>
      <c r="D20" s="15"/>
      <c r="E20" s="8"/>
      <c r="F20" s="8"/>
      <c r="G20" s="13">
        <f t="shared" si="9"/>
        <v>0</v>
      </c>
      <c r="H20" s="7"/>
      <c r="I20" s="7"/>
      <c r="J20" s="13">
        <f t="shared" si="8"/>
        <v>0</v>
      </c>
      <c r="K20" s="8">
        <f t="shared" si="7"/>
        <v>0</v>
      </c>
      <c r="L20" s="8"/>
      <c r="M20" s="8">
        <f t="shared" si="0"/>
        <v>931758.90990000113</v>
      </c>
      <c r="N20" s="186"/>
      <c r="O20" s="1"/>
    </row>
    <row r="21" spans="1:17">
      <c r="A21" s="43">
        <v>17</v>
      </c>
      <c r="B21" s="194">
        <v>46252</v>
      </c>
      <c r="C21" s="10"/>
      <c r="D21" s="15"/>
      <c r="E21" s="8"/>
      <c r="F21" s="8"/>
      <c r="G21" s="13">
        <f t="shared" si="9"/>
        <v>0</v>
      </c>
      <c r="H21" s="7"/>
      <c r="I21" s="7"/>
      <c r="J21" s="13">
        <f t="shared" si="8"/>
        <v>0</v>
      </c>
      <c r="K21" s="8">
        <f t="shared" si="7"/>
        <v>0</v>
      </c>
      <c r="L21" s="8"/>
      <c r="M21" s="8">
        <f t="shared" si="0"/>
        <v>931758.90990000113</v>
      </c>
      <c r="N21" s="186"/>
      <c r="O21" s="1"/>
    </row>
    <row r="22" spans="1:17">
      <c r="A22" s="43">
        <v>18</v>
      </c>
      <c r="B22" s="194">
        <v>46253</v>
      </c>
      <c r="C22" s="10"/>
      <c r="D22" s="15"/>
      <c r="E22" s="8"/>
      <c r="F22" s="8"/>
      <c r="G22" s="13">
        <f t="shared" si="9"/>
        <v>0</v>
      </c>
      <c r="H22" s="7">
        <v>20</v>
      </c>
      <c r="I22" s="7">
        <v>112.27</v>
      </c>
      <c r="J22" s="13">
        <f t="shared" si="8"/>
        <v>2245.4</v>
      </c>
      <c r="K22" s="8">
        <f t="shared" si="7"/>
        <v>2245.4</v>
      </c>
      <c r="L22" s="8"/>
      <c r="M22" s="8">
        <f t="shared" si="0"/>
        <v>934004.30990000116</v>
      </c>
      <c r="N22" s="186"/>
      <c r="O22" s="1"/>
    </row>
    <row r="23" spans="1:17">
      <c r="A23" s="43">
        <v>19</v>
      </c>
      <c r="B23" s="194">
        <v>46254</v>
      </c>
      <c r="C23" s="10"/>
      <c r="D23" s="15"/>
      <c r="E23" s="8"/>
      <c r="F23" s="8"/>
      <c r="G23" s="13">
        <f t="shared" si="9"/>
        <v>0</v>
      </c>
      <c r="H23" s="7"/>
      <c r="I23" s="7"/>
      <c r="J23" s="13">
        <f t="shared" si="8"/>
        <v>0</v>
      </c>
      <c r="K23" s="8">
        <f t="shared" si="7"/>
        <v>0</v>
      </c>
      <c r="L23" s="8"/>
      <c r="M23" s="8">
        <f t="shared" si="0"/>
        <v>934004.30990000116</v>
      </c>
      <c r="N23" s="186"/>
      <c r="O23" s="1"/>
    </row>
    <row r="24" spans="1:17">
      <c r="A24" s="43">
        <v>20</v>
      </c>
      <c r="B24" s="194">
        <v>46255</v>
      </c>
      <c r="C24" s="10"/>
      <c r="D24" s="15"/>
      <c r="E24" s="8">
        <v>3000</v>
      </c>
      <c r="F24" s="8">
        <v>98.94</v>
      </c>
      <c r="G24" s="13">
        <f t="shared" si="9"/>
        <v>296820</v>
      </c>
      <c r="H24" s="7">
        <v>10</v>
      </c>
      <c r="I24" s="7">
        <v>112.27</v>
      </c>
      <c r="J24" s="13">
        <f t="shared" si="8"/>
        <v>1122.7</v>
      </c>
      <c r="K24" s="8">
        <f t="shared" si="7"/>
        <v>297942.7</v>
      </c>
      <c r="L24" s="8"/>
      <c r="M24" s="8">
        <f t="shared" ref="M20:M41" si="12">M23+K24-L24</f>
        <v>1231947.0099000011</v>
      </c>
      <c r="N24" s="186"/>
      <c r="O24" s="1"/>
    </row>
    <row r="25" spans="1:17">
      <c r="A25" s="43">
        <v>21</v>
      </c>
      <c r="B25" s="194">
        <v>46256</v>
      </c>
      <c r="C25" s="10"/>
      <c r="D25" s="15"/>
      <c r="E25" s="8"/>
      <c r="F25" s="8"/>
      <c r="G25" s="13">
        <f t="shared" si="9"/>
        <v>0</v>
      </c>
      <c r="H25" s="7"/>
      <c r="I25" s="7"/>
      <c r="J25" s="13">
        <f t="shared" ref="J18:J28" si="13">H25*I25</f>
        <v>0</v>
      </c>
      <c r="K25" s="8">
        <f t="shared" si="7"/>
        <v>0</v>
      </c>
      <c r="L25" s="8"/>
      <c r="M25" s="8">
        <f t="shared" si="12"/>
        <v>1231947.0099000011</v>
      </c>
      <c r="N25" s="186"/>
      <c r="O25" s="1"/>
    </row>
    <row r="26" spans="1:17">
      <c r="A26" s="43">
        <v>22</v>
      </c>
      <c r="B26" s="194">
        <v>46257</v>
      </c>
      <c r="C26" s="10"/>
      <c r="D26" s="15"/>
      <c r="E26" s="8"/>
      <c r="F26" s="8"/>
      <c r="G26" s="13">
        <f t="shared" si="9"/>
        <v>0</v>
      </c>
      <c r="H26" s="7"/>
      <c r="I26" s="7"/>
      <c r="J26" s="13">
        <f t="shared" si="13"/>
        <v>0</v>
      </c>
      <c r="K26" s="8">
        <f t="shared" si="7"/>
        <v>0</v>
      </c>
      <c r="L26" s="8"/>
      <c r="M26" s="8">
        <f t="shared" si="12"/>
        <v>1231947.0099000011</v>
      </c>
      <c r="N26" s="186"/>
      <c r="O26" s="1"/>
      <c r="Q26" s="324"/>
    </row>
    <row r="27" spans="1:17">
      <c r="A27" s="43">
        <v>23</v>
      </c>
      <c r="B27" s="194">
        <v>46258</v>
      </c>
      <c r="C27" s="10"/>
      <c r="D27" s="15"/>
      <c r="E27" s="8"/>
      <c r="F27" s="8"/>
      <c r="G27" s="13">
        <f t="shared" si="9"/>
        <v>0</v>
      </c>
      <c r="H27" s="7"/>
      <c r="I27" s="7"/>
      <c r="J27" s="13">
        <f t="shared" si="13"/>
        <v>0</v>
      </c>
      <c r="K27" s="8">
        <f t="shared" si="7"/>
        <v>0</v>
      </c>
      <c r="L27" s="8"/>
      <c r="M27" s="8">
        <f t="shared" si="12"/>
        <v>1231947.0099000011</v>
      </c>
      <c r="N27" s="186"/>
      <c r="O27" s="1"/>
    </row>
    <row r="28" spans="1:17">
      <c r="A28" s="43">
        <v>24</v>
      </c>
      <c r="B28" s="194">
        <v>46259</v>
      </c>
      <c r="C28" s="10"/>
      <c r="D28" s="15"/>
      <c r="E28" s="8"/>
      <c r="F28" s="8"/>
      <c r="G28" s="13">
        <f t="shared" ref="G26:G28" si="14">E28*F28</f>
        <v>0</v>
      </c>
      <c r="H28" s="7"/>
      <c r="I28" s="7"/>
      <c r="J28" s="13">
        <f t="shared" si="13"/>
        <v>0</v>
      </c>
      <c r="K28" s="8">
        <f t="shared" si="7"/>
        <v>0</v>
      </c>
      <c r="L28" s="8"/>
      <c r="M28" s="8">
        <f t="shared" si="12"/>
        <v>1231947.0099000011</v>
      </c>
      <c r="N28" s="186"/>
      <c r="O28" s="1"/>
    </row>
    <row r="29" spans="1:17">
      <c r="A29" s="43">
        <v>25</v>
      </c>
      <c r="B29" s="194">
        <v>46260</v>
      </c>
      <c r="C29" s="10"/>
      <c r="D29" s="15"/>
      <c r="E29" s="8"/>
      <c r="F29" s="8"/>
      <c r="G29" s="13">
        <f t="shared" ref="G29:G37" si="15">E29*F29</f>
        <v>0</v>
      </c>
      <c r="H29" s="7"/>
      <c r="I29" s="7"/>
      <c r="J29" s="13">
        <f t="shared" ref="J29:J36" si="16">H29*I29</f>
        <v>0</v>
      </c>
      <c r="K29" s="8">
        <f t="shared" ref="K29" si="17">G29+J29</f>
        <v>0</v>
      </c>
      <c r="L29" s="8"/>
      <c r="M29" s="8">
        <f t="shared" si="12"/>
        <v>1231947.0099000011</v>
      </c>
      <c r="N29" s="186"/>
      <c r="O29" s="1"/>
    </row>
    <row r="30" spans="1:17">
      <c r="A30" s="43">
        <v>26</v>
      </c>
      <c r="B30" s="194">
        <v>46261</v>
      </c>
      <c r="C30" s="10"/>
      <c r="D30" s="15"/>
      <c r="E30" s="8"/>
      <c r="F30" s="8"/>
      <c r="G30" s="13">
        <f t="shared" si="15"/>
        <v>0</v>
      </c>
      <c r="H30" s="7"/>
      <c r="I30" s="7"/>
      <c r="J30" s="13">
        <f t="shared" si="16"/>
        <v>0</v>
      </c>
      <c r="K30" s="8">
        <f t="shared" si="7"/>
        <v>0</v>
      </c>
      <c r="L30" s="8"/>
      <c r="M30" s="8">
        <f t="shared" si="12"/>
        <v>1231947.0099000011</v>
      </c>
      <c r="N30" s="186"/>
      <c r="O30" s="1"/>
    </row>
    <row r="31" spans="1:17">
      <c r="A31" s="43">
        <v>27</v>
      </c>
      <c r="B31" s="194">
        <v>46262</v>
      </c>
      <c r="C31" s="10"/>
      <c r="D31" s="15"/>
      <c r="E31" s="8"/>
      <c r="F31" s="8"/>
      <c r="G31" s="13">
        <f t="shared" si="15"/>
        <v>0</v>
      </c>
      <c r="H31" s="7"/>
      <c r="I31" s="7"/>
      <c r="J31" s="13">
        <f t="shared" si="16"/>
        <v>0</v>
      </c>
      <c r="K31" s="8">
        <f t="shared" si="7"/>
        <v>0</v>
      </c>
      <c r="L31" s="8">
        <v>1141380</v>
      </c>
      <c r="M31" s="8">
        <f t="shared" si="12"/>
        <v>90567.009900001111</v>
      </c>
      <c r="N31" s="186"/>
      <c r="O31" s="1"/>
    </row>
    <row r="32" spans="1:17">
      <c r="A32" s="43">
        <v>28</v>
      </c>
      <c r="B32" s="194">
        <v>46263</v>
      </c>
      <c r="C32" s="10"/>
      <c r="D32" s="15"/>
      <c r="E32" s="8"/>
      <c r="F32" s="8"/>
      <c r="G32" s="13">
        <f t="shared" si="15"/>
        <v>0</v>
      </c>
      <c r="H32" s="7"/>
      <c r="I32" s="7"/>
      <c r="J32" s="13">
        <f t="shared" si="16"/>
        <v>0</v>
      </c>
      <c r="K32" s="8">
        <f t="shared" si="7"/>
        <v>0</v>
      </c>
      <c r="L32" s="8"/>
      <c r="M32" s="8">
        <f t="shared" si="12"/>
        <v>90567.009900001111</v>
      </c>
      <c r="N32" s="186"/>
      <c r="O32" s="1"/>
    </row>
    <row r="33" spans="1:17">
      <c r="A33" s="43">
        <v>29</v>
      </c>
      <c r="B33" s="194">
        <v>46264</v>
      </c>
      <c r="C33" s="10"/>
      <c r="D33" s="15"/>
      <c r="E33" s="8"/>
      <c r="F33" s="8"/>
      <c r="G33" s="13">
        <f t="shared" si="15"/>
        <v>0</v>
      </c>
      <c r="H33" s="7"/>
      <c r="I33" s="7"/>
      <c r="J33" s="13">
        <f t="shared" si="16"/>
        <v>0</v>
      </c>
      <c r="K33" s="8">
        <f t="shared" si="7"/>
        <v>0</v>
      </c>
      <c r="L33" s="8"/>
      <c r="M33" s="8">
        <f t="shared" si="12"/>
        <v>90567.009900001111</v>
      </c>
      <c r="N33" s="186"/>
      <c r="O33" s="1"/>
    </row>
    <row r="34" spans="1:17">
      <c r="A34" s="43">
        <v>30</v>
      </c>
      <c r="B34" s="194">
        <v>46265</v>
      </c>
      <c r="C34" s="10"/>
      <c r="D34" s="15"/>
      <c r="E34" s="8"/>
      <c r="F34" s="315"/>
      <c r="G34" s="13">
        <f t="shared" si="15"/>
        <v>0</v>
      </c>
      <c r="H34" s="7"/>
      <c r="I34" s="7"/>
      <c r="J34" s="13">
        <f t="shared" si="16"/>
        <v>0</v>
      </c>
      <c r="K34" s="8">
        <f t="shared" si="7"/>
        <v>0</v>
      </c>
      <c r="L34" s="8"/>
      <c r="M34" s="8">
        <f t="shared" si="12"/>
        <v>90567.009900001111</v>
      </c>
      <c r="N34" s="186"/>
      <c r="O34" s="1"/>
    </row>
    <row r="35" spans="1:17">
      <c r="A35" s="43">
        <v>31</v>
      </c>
      <c r="B35" s="194"/>
      <c r="C35" s="10"/>
      <c r="D35" s="15"/>
      <c r="E35" s="8"/>
      <c r="F35" s="8"/>
      <c r="G35" s="13">
        <f t="shared" si="15"/>
        <v>0</v>
      </c>
      <c r="H35" s="7"/>
      <c r="I35" s="7"/>
      <c r="J35" s="13">
        <f t="shared" si="16"/>
        <v>0</v>
      </c>
      <c r="K35" s="8">
        <f t="shared" si="7"/>
        <v>0</v>
      </c>
      <c r="L35" s="8"/>
      <c r="M35" s="8">
        <f t="shared" si="12"/>
        <v>90567.009900001111</v>
      </c>
      <c r="N35" s="186"/>
      <c r="O35" s="1"/>
    </row>
    <row r="36" spans="1:17">
      <c r="A36" s="43">
        <v>32</v>
      </c>
      <c r="B36" s="194"/>
      <c r="C36" s="10"/>
      <c r="D36" s="15"/>
      <c r="E36" s="8"/>
      <c r="F36" s="8"/>
      <c r="G36" s="13">
        <f t="shared" si="15"/>
        <v>0</v>
      </c>
      <c r="H36" s="7"/>
      <c r="I36" s="7"/>
      <c r="J36" s="13">
        <f t="shared" si="16"/>
        <v>0</v>
      </c>
      <c r="K36" s="8">
        <f t="shared" si="7"/>
        <v>0</v>
      </c>
      <c r="L36" s="8"/>
      <c r="M36" s="8">
        <f t="shared" si="12"/>
        <v>90567.009900001111</v>
      </c>
      <c r="N36" s="186"/>
      <c r="O36" s="1"/>
    </row>
    <row r="37" spans="1:17">
      <c r="A37" s="43">
        <v>33</v>
      </c>
      <c r="B37" s="194"/>
      <c r="C37" s="10"/>
      <c r="D37" s="15"/>
      <c r="E37" s="8"/>
      <c r="F37" s="315"/>
      <c r="G37" s="13">
        <f t="shared" si="15"/>
        <v>0</v>
      </c>
      <c r="H37" s="7"/>
      <c r="I37" s="7"/>
      <c r="J37" s="18">
        <v>0</v>
      </c>
      <c r="K37" s="8">
        <f t="shared" si="7"/>
        <v>0</v>
      </c>
      <c r="L37" s="8"/>
      <c r="M37" s="8">
        <f t="shared" si="12"/>
        <v>90567.009900001111</v>
      </c>
      <c r="N37" s="186"/>
      <c r="O37" s="1"/>
    </row>
    <row r="38" spans="1:17">
      <c r="A38" s="43">
        <v>34</v>
      </c>
      <c r="B38" s="194"/>
      <c r="C38" s="10"/>
      <c r="D38" s="15"/>
      <c r="E38" s="8"/>
      <c r="F38" s="8"/>
      <c r="G38" s="13">
        <v>0</v>
      </c>
      <c r="H38" s="7"/>
      <c r="I38" s="7"/>
      <c r="J38" s="18">
        <v>0</v>
      </c>
      <c r="K38" s="8">
        <f t="shared" si="7"/>
        <v>0</v>
      </c>
      <c r="L38" s="8"/>
      <c r="M38" s="8">
        <f t="shared" si="12"/>
        <v>90567.009900001111</v>
      </c>
      <c r="N38" s="186"/>
      <c r="O38" s="1"/>
    </row>
    <row r="39" spans="1:17">
      <c r="A39" s="43">
        <v>35</v>
      </c>
      <c r="B39" s="194"/>
      <c r="C39" s="10"/>
      <c r="D39" s="15"/>
      <c r="E39" s="8"/>
      <c r="F39" s="8"/>
      <c r="G39" s="13">
        <f t="shared" ref="G10:G40" si="18">E39*F39</f>
        <v>0</v>
      </c>
      <c r="H39" s="7"/>
      <c r="I39" s="7"/>
      <c r="J39" s="18">
        <f t="shared" ref="J10:J40" si="19">H39*I39</f>
        <v>0</v>
      </c>
      <c r="K39" s="8">
        <f t="shared" si="7"/>
        <v>0</v>
      </c>
      <c r="L39" s="8"/>
      <c r="M39" s="8">
        <f t="shared" si="12"/>
        <v>90567.009900001111</v>
      </c>
      <c r="N39" s="186"/>
      <c r="O39" s="1"/>
    </row>
    <row r="40" spans="1:17">
      <c r="A40" s="43">
        <v>36</v>
      </c>
      <c r="B40" s="194"/>
      <c r="C40" s="241"/>
      <c r="D40" s="242"/>
      <c r="E40" s="8"/>
      <c r="F40" s="8"/>
      <c r="G40" s="13">
        <f t="shared" si="18"/>
        <v>0</v>
      </c>
      <c r="H40" s="7"/>
      <c r="I40" s="7"/>
      <c r="J40" s="18">
        <f t="shared" si="19"/>
        <v>0</v>
      </c>
      <c r="K40" s="8">
        <f t="shared" si="7"/>
        <v>0</v>
      </c>
      <c r="L40" s="8"/>
      <c r="M40" s="8">
        <f t="shared" si="12"/>
        <v>90567.009900001111</v>
      </c>
      <c r="N40" s="186"/>
      <c r="O40" s="1"/>
    </row>
    <row r="41" spans="1:17">
      <c r="A41" s="43">
        <v>37</v>
      </c>
      <c r="B41" s="194"/>
      <c r="C41" s="22"/>
      <c r="D41" s="15"/>
      <c r="E41" s="8">
        <v>0</v>
      </c>
      <c r="F41" s="8">
        <v>0</v>
      </c>
      <c r="G41" s="13">
        <f t="shared" ref="G9:G41" si="20">E41*F41</f>
        <v>0</v>
      </c>
      <c r="H41" s="7"/>
      <c r="I41" s="7"/>
      <c r="J41" s="18">
        <f t="shared" ref="J9:J41" si="21">H41*I41</f>
        <v>0</v>
      </c>
      <c r="K41" s="8">
        <f t="shared" si="6"/>
        <v>0</v>
      </c>
      <c r="L41" s="8"/>
      <c r="M41" s="8">
        <f t="shared" si="12"/>
        <v>90567.009900001111</v>
      </c>
      <c r="N41" s="186"/>
      <c r="O41" s="1"/>
      <c r="Q41" s="289"/>
    </row>
    <row r="42" spans="1:17">
      <c r="A42" s="153"/>
      <c r="B42" s="153"/>
      <c r="C42" s="153"/>
      <c r="D42" s="153"/>
      <c r="E42" s="154">
        <f>SUM(E4:E41)</f>
        <v>3000</v>
      </c>
      <c r="F42" s="154"/>
      <c r="G42" s="154">
        <f>SUM(G4:G41)</f>
        <v>296820</v>
      </c>
      <c r="H42" s="154">
        <f>SUM(H4:H41)</f>
        <v>50</v>
      </c>
      <c r="I42" s="154"/>
      <c r="J42" s="154">
        <f>SUM(J4:J41)</f>
        <v>5613.5</v>
      </c>
      <c r="K42" s="154">
        <f>SUM(K4:K41)</f>
        <v>302433.5</v>
      </c>
      <c r="L42" s="154">
        <f>SUM(L4:L41)</f>
        <v>1141380</v>
      </c>
      <c r="M42" s="154"/>
      <c r="N42" s="60"/>
      <c r="O42" s="56"/>
    </row>
    <row r="43" spans="1:17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7">
      <c r="A44" s="1"/>
      <c r="B44" s="593"/>
      <c r="C44" s="593"/>
      <c r="D44" s="593"/>
      <c r="E44" s="593"/>
      <c r="F44" s="1"/>
      <c r="G44" s="1"/>
      <c r="H44" s="1"/>
      <c r="I44" s="593"/>
      <c r="J44" s="593"/>
      <c r="K44" s="593"/>
      <c r="L44" s="593"/>
      <c r="M44" s="593"/>
      <c r="N44" s="593"/>
      <c r="O44" s="4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</row>
  </sheetData>
  <mergeCells count="3">
    <mergeCell ref="B44:E44"/>
    <mergeCell ref="I44:N44"/>
    <mergeCell ref="A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U56"/>
  <sheetViews>
    <sheetView workbookViewId="0">
      <selection activeCell="M41" sqref="M41"/>
    </sheetView>
  </sheetViews>
  <sheetFormatPr defaultRowHeight="15"/>
  <cols>
    <col min="2" max="2" width="10" customWidth="1"/>
    <col min="4" max="4" width="11.85546875" customWidth="1"/>
    <col min="5" max="5" width="10.5703125" customWidth="1"/>
    <col min="7" max="7" width="18.7109375" customWidth="1"/>
    <col min="10" max="10" width="14" customWidth="1"/>
    <col min="11" max="12" width="13.5703125" bestFit="1" customWidth="1"/>
    <col min="13" max="13" width="11.85546875" bestFit="1" customWidth="1"/>
    <col min="14" max="14" width="17.140625" bestFit="1" customWidth="1"/>
    <col min="17" max="17" width="11.28515625" customWidth="1"/>
  </cols>
  <sheetData>
    <row r="1" spans="1:15" ht="15.75">
      <c r="A1" s="571" t="s">
        <v>257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0"/>
    </row>
    <row r="2" spans="1:15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61" t="s">
        <v>177</v>
      </c>
      <c r="L2" s="82" t="s">
        <v>178</v>
      </c>
      <c r="M2" s="159" t="s">
        <v>195</v>
      </c>
      <c r="N2" s="80" t="s">
        <v>180</v>
      </c>
      <c r="O2" s="56"/>
    </row>
    <row r="3" spans="1:15">
      <c r="A3" s="140"/>
      <c r="B3" s="141"/>
      <c r="C3" s="141"/>
      <c r="D3" s="128" t="s">
        <v>181</v>
      </c>
      <c r="E3" s="141"/>
      <c r="F3" s="141"/>
      <c r="G3" s="141"/>
      <c r="H3" s="141"/>
      <c r="I3" s="141"/>
      <c r="J3" s="142"/>
      <c r="K3" s="254"/>
      <c r="L3" s="224">
        <v>119035.38549999986</v>
      </c>
      <c r="M3" s="224">
        <v>119035.38549999986</v>
      </c>
      <c r="N3" s="141"/>
      <c r="O3" s="56"/>
    </row>
    <row r="4" spans="1:15">
      <c r="A4" s="43">
        <v>1</v>
      </c>
      <c r="B4" s="194">
        <v>46235</v>
      </c>
      <c r="C4" s="22"/>
      <c r="D4" s="22"/>
      <c r="E4" s="8"/>
      <c r="F4" s="8"/>
      <c r="G4" s="8">
        <f>E4*F4</f>
        <v>0</v>
      </c>
      <c r="H4" s="9"/>
      <c r="I4" s="9"/>
      <c r="J4" s="8">
        <f>H4*I4</f>
        <v>0</v>
      </c>
      <c r="K4" s="8">
        <f>G4+J4</f>
        <v>0</v>
      </c>
      <c r="L4" s="143"/>
      <c r="M4" s="8">
        <f>M3+K4-L4</f>
        <v>119035.38549999986</v>
      </c>
      <c r="N4" s="41"/>
      <c r="O4" s="1"/>
    </row>
    <row r="5" spans="1:15">
      <c r="A5" s="43">
        <v>2</v>
      </c>
      <c r="B5" s="194">
        <v>46236</v>
      </c>
      <c r="C5" s="22"/>
      <c r="D5" s="22"/>
      <c r="E5" s="8"/>
      <c r="F5" s="8"/>
      <c r="G5" s="8">
        <f t="shared" ref="G5:G34" si="0">E5*F5</f>
        <v>0</v>
      </c>
      <c r="H5" s="9"/>
      <c r="I5" s="9"/>
      <c r="J5" s="8">
        <f t="shared" ref="J5:J34" si="1">H5*I5</f>
        <v>0</v>
      </c>
      <c r="K5" s="8">
        <f t="shared" ref="K5:K40" si="2">G5+J5</f>
        <v>0</v>
      </c>
      <c r="L5" s="143"/>
      <c r="M5" s="8">
        <f t="shared" ref="M5:M41" si="3">M4+K5-L5</f>
        <v>119035.38549999986</v>
      </c>
      <c r="N5" s="41"/>
      <c r="O5" s="1"/>
    </row>
    <row r="6" spans="1:15">
      <c r="A6" s="43">
        <v>3</v>
      </c>
      <c r="B6" s="194">
        <v>46237</v>
      </c>
      <c r="C6" s="22"/>
      <c r="D6" s="22"/>
      <c r="E6" s="8">
        <v>45.02</v>
      </c>
      <c r="F6" s="8">
        <v>99.3</v>
      </c>
      <c r="G6" s="8">
        <f t="shared" si="0"/>
        <v>4470.4859999999999</v>
      </c>
      <c r="H6" s="9"/>
      <c r="I6" s="9"/>
      <c r="J6" s="8">
        <f t="shared" si="1"/>
        <v>0</v>
      </c>
      <c r="K6" s="8">
        <f t="shared" si="2"/>
        <v>4470.4859999999999</v>
      </c>
      <c r="L6" s="143"/>
      <c r="M6" s="8">
        <f t="shared" si="3"/>
        <v>123505.87149999986</v>
      </c>
      <c r="N6" s="41"/>
      <c r="O6" s="1"/>
    </row>
    <row r="7" spans="1:15">
      <c r="A7" s="43">
        <v>4</v>
      </c>
      <c r="B7" s="194">
        <v>46238</v>
      </c>
      <c r="C7" s="22"/>
      <c r="D7" s="22"/>
      <c r="E7" s="8">
        <v>110</v>
      </c>
      <c r="F7" s="8">
        <v>99.3</v>
      </c>
      <c r="G7" s="8">
        <f t="shared" si="0"/>
        <v>10923</v>
      </c>
      <c r="H7" s="9"/>
      <c r="I7" s="9"/>
      <c r="J7" s="8">
        <f t="shared" si="1"/>
        <v>0</v>
      </c>
      <c r="K7" s="8">
        <f t="shared" si="2"/>
        <v>10923</v>
      </c>
      <c r="L7" s="143"/>
      <c r="M7" s="8">
        <f t="shared" si="3"/>
        <v>134428.87149999986</v>
      </c>
      <c r="N7" s="41"/>
      <c r="O7" s="1"/>
    </row>
    <row r="8" spans="1:15">
      <c r="A8" s="43">
        <v>5</v>
      </c>
      <c r="B8" s="194">
        <v>46239</v>
      </c>
      <c r="C8" s="22"/>
      <c r="D8" s="22"/>
      <c r="E8" s="8">
        <v>33</v>
      </c>
      <c r="F8" s="8">
        <v>99.3</v>
      </c>
      <c r="G8" s="8">
        <f t="shared" si="0"/>
        <v>3276.9</v>
      </c>
      <c r="H8" s="9"/>
      <c r="I8" s="9"/>
      <c r="J8" s="8">
        <f t="shared" si="1"/>
        <v>0</v>
      </c>
      <c r="K8" s="8">
        <f t="shared" si="2"/>
        <v>3276.9</v>
      </c>
      <c r="L8" s="143"/>
      <c r="M8" s="8">
        <f t="shared" si="3"/>
        <v>137705.77149999986</v>
      </c>
      <c r="N8" s="41"/>
      <c r="O8" s="1"/>
    </row>
    <row r="9" spans="1:15">
      <c r="A9" s="43">
        <v>6</v>
      </c>
      <c r="B9" s="194">
        <v>46240</v>
      </c>
      <c r="C9" s="22"/>
      <c r="D9" s="22"/>
      <c r="E9" s="431">
        <v>52.03</v>
      </c>
      <c r="F9" s="432">
        <v>99.3</v>
      </c>
      <c r="G9" s="8">
        <f t="shared" si="0"/>
        <v>5166.5789999999997</v>
      </c>
      <c r="H9" s="431">
        <v>6</v>
      </c>
      <c r="I9" s="9">
        <v>111.4</v>
      </c>
      <c r="J9" s="8">
        <f t="shared" si="1"/>
        <v>668.40000000000009</v>
      </c>
      <c r="K9" s="8">
        <f t="shared" si="2"/>
        <v>5834.9789999999994</v>
      </c>
      <c r="L9" s="143"/>
      <c r="M9" s="8">
        <f t="shared" si="3"/>
        <v>143540.75049999985</v>
      </c>
      <c r="N9" s="41"/>
      <c r="O9" s="1"/>
    </row>
    <row r="10" spans="1:15">
      <c r="A10" s="43">
        <v>7</v>
      </c>
      <c r="B10" s="194">
        <v>46241</v>
      </c>
      <c r="C10" s="22"/>
      <c r="D10" s="22"/>
      <c r="E10" s="431"/>
      <c r="F10" s="432"/>
      <c r="G10" s="8">
        <f t="shared" si="0"/>
        <v>0</v>
      </c>
      <c r="H10" s="431">
        <v>7</v>
      </c>
      <c r="I10" s="9">
        <v>111.4</v>
      </c>
      <c r="J10" s="8">
        <f t="shared" si="1"/>
        <v>779.80000000000007</v>
      </c>
      <c r="K10" s="8">
        <f t="shared" si="2"/>
        <v>779.80000000000007</v>
      </c>
      <c r="L10" s="143"/>
      <c r="M10" s="8">
        <f t="shared" si="3"/>
        <v>144320.55049999984</v>
      </c>
      <c r="N10" s="41"/>
      <c r="O10" s="1"/>
    </row>
    <row r="11" spans="1:15">
      <c r="A11" s="43">
        <v>8</v>
      </c>
      <c r="B11" s="194">
        <v>46242</v>
      </c>
      <c r="C11" s="22"/>
      <c r="D11" s="22"/>
      <c r="E11" s="8">
        <v>47.34</v>
      </c>
      <c r="F11" s="8">
        <v>99.3</v>
      </c>
      <c r="G11" s="8">
        <f t="shared" si="0"/>
        <v>4700.8620000000001</v>
      </c>
      <c r="H11" s="9"/>
      <c r="I11" s="9"/>
      <c r="J11" s="8">
        <f t="shared" si="1"/>
        <v>0</v>
      </c>
      <c r="K11" s="8">
        <f t="shared" si="2"/>
        <v>4700.8620000000001</v>
      </c>
      <c r="L11" s="8"/>
      <c r="M11" s="8">
        <f t="shared" si="3"/>
        <v>149021.41249999983</v>
      </c>
      <c r="N11" s="41"/>
      <c r="O11" s="1"/>
    </row>
    <row r="12" spans="1:15">
      <c r="A12" s="43">
        <v>9</v>
      </c>
      <c r="B12" s="194">
        <v>46243</v>
      </c>
      <c r="C12" s="22"/>
      <c r="D12" s="22"/>
      <c r="E12" s="8"/>
      <c r="F12" s="8"/>
      <c r="G12" s="8">
        <f t="shared" si="0"/>
        <v>0</v>
      </c>
      <c r="H12" s="9"/>
      <c r="I12" s="9"/>
      <c r="J12" s="8">
        <f t="shared" si="1"/>
        <v>0</v>
      </c>
      <c r="K12" s="8">
        <f t="shared" si="2"/>
        <v>0</v>
      </c>
      <c r="L12" s="143"/>
      <c r="M12" s="8">
        <f t="shared" si="3"/>
        <v>149021.41249999983</v>
      </c>
      <c r="N12" s="41"/>
      <c r="O12" s="1" t="s">
        <v>258</v>
      </c>
    </row>
    <row r="13" spans="1:15">
      <c r="A13" s="43">
        <v>10</v>
      </c>
      <c r="B13" s="194">
        <v>46244</v>
      </c>
      <c r="C13" s="22"/>
      <c r="D13" s="22"/>
      <c r="E13" s="8">
        <v>38.549999999999997</v>
      </c>
      <c r="F13" s="8">
        <v>99.3</v>
      </c>
      <c r="G13" s="8">
        <f t="shared" si="0"/>
        <v>3828.0149999999994</v>
      </c>
      <c r="H13" s="9">
        <v>5</v>
      </c>
      <c r="I13" s="9">
        <v>111.4</v>
      </c>
      <c r="J13" s="8">
        <f t="shared" si="1"/>
        <v>557</v>
      </c>
      <c r="K13" s="8">
        <f t="shared" si="2"/>
        <v>4385.0149999999994</v>
      </c>
      <c r="L13" s="143"/>
      <c r="M13" s="8">
        <f t="shared" si="3"/>
        <v>153406.42749999982</v>
      </c>
      <c r="N13" s="41"/>
      <c r="O13" s="1"/>
    </row>
    <row r="14" spans="1:15">
      <c r="A14" s="43">
        <v>11</v>
      </c>
      <c r="B14" s="194">
        <v>46245</v>
      </c>
      <c r="C14" s="22"/>
      <c r="D14" s="22"/>
      <c r="E14" s="8">
        <v>44.46</v>
      </c>
      <c r="F14" s="8">
        <v>99.3</v>
      </c>
      <c r="G14" s="8">
        <f t="shared" si="0"/>
        <v>4414.8779999999997</v>
      </c>
      <c r="H14" s="9"/>
      <c r="I14" s="9"/>
      <c r="J14" s="8">
        <f t="shared" si="1"/>
        <v>0</v>
      </c>
      <c r="K14" s="8">
        <f t="shared" si="2"/>
        <v>4414.8779999999997</v>
      </c>
      <c r="L14" s="143">
        <v>100000</v>
      </c>
      <c r="M14" s="8">
        <f t="shared" si="3"/>
        <v>57821.305499999813</v>
      </c>
      <c r="N14" s="41"/>
      <c r="O14" s="1"/>
    </row>
    <row r="15" spans="1:15">
      <c r="A15" s="43">
        <v>12</v>
      </c>
      <c r="B15" s="194">
        <v>46246</v>
      </c>
      <c r="C15" s="22"/>
      <c r="D15" s="22"/>
      <c r="E15" s="8"/>
      <c r="F15" s="8"/>
      <c r="G15" s="8">
        <f t="shared" si="0"/>
        <v>0</v>
      </c>
      <c r="H15" s="9">
        <v>20</v>
      </c>
      <c r="I15" s="9">
        <v>111.4</v>
      </c>
      <c r="J15" s="8">
        <f t="shared" si="1"/>
        <v>2228</v>
      </c>
      <c r="K15" s="8">
        <f t="shared" si="2"/>
        <v>2228</v>
      </c>
      <c r="L15" s="143"/>
      <c r="M15" s="8">
        <f t="shared" si="3"/>
        <v>60049.305499999813</v>
      </c>
      <c r="N15" s="41"/>
      <c r="O15" s="1"/>
    </row>
    <row r="16" spans="1:15">
      <c r="A16" s="43">
        <v>13</v>
      </c>
      <c r="B16" s="194">
        <v>46247</v>
      </c>
      <c r="C16" s="22"/>
      <c r="D16" s="22"/>
      <c r="E16" s="8">
        <v>231.1</v>
      </c>
      <c r="F16" s="8">
        <v>99.3</v>
      </c>
      <c r="G16" s="8">
        <f t="shared" si="0"/>
        <v>22948.23</v>
      </c>
      <c r="H16" s="9">
        <v>5</v>
      </c>
      <c r="I16" s="9">
        <v>111.4</v>
      </c>
      <c r="J16" s="8">
        <f t="shared" si="1"/>
        <v>557</v>
      </c>
      <c r="K16" s="8">
        <f t="shared" si="2"/>
        <v>23505.23</v>
      </c>
      <c r="L16" s="143"/>
      <c r="M16" s="8">
        <f t="shared" si="3"/>
        <v>83554.535499999809</v>
      </c>
      <c r="N16" s="41"/>
      <c r="O16" s="1"/>
    </row>
    <row r="17" spans="1:15">
      <c r="A17" s="43">
        <v>14</v>
      </c>
      <c r="B17" s="194">
        <v>46248</v>
      </c>
      <c r="C17" s="22"/>
      <c r="D17" s="22"/>
      <c r="E17" s="8"/>
      <c r="F17" s="8"/>
      <c r="G17" s="8">
        <f t="shared" si="0"/>
        <v>0</v>
      </c>
      <c r="H17" s="9"/>
      <c r="I17" s="9"/>
      <c r="J17" s="8">
        <f t="shared" si="1"/>
        <v>0</v>
      </c>
      <c r="K17" s="8">
        <f t="shared" si="2"/>
        <v>0</v>
      </c>
      <c r="L17" s="143"/>
      <c r="M17" s="8">
        <f t="shared" si="3"/>
        <v>83554.535499999809</v>
      </c>
      <c r="N17" s="41"/>
      <c r="O17" s="1"/>
    </row>
    <row r="18" spans="1:15">
      <c r="A18" s="43">
        <v>15</v>
      </c>
      <c r="B18" s="194">
        <v>46249</v>
      </c>
      <c r="C18" s="22"/>
      <c r="D18" s="22"/>
      <c r="E18" s="8">
        <v>48.75</v>
      </c>
      <c r="F18" s="8">
        <v>99.3</v>
      </c>
      <c r="G18" s="8">
        <f t="shared" si="0"/>
        <v>4840.875</v>
      </c>
      <c r="H18" s="9"/>
      <c r="I18" s="9"/>
      <c r="J18" s="8">
        <f t="shared" si="1"/>
        <v>0</v>
      </c>
      <c r="K18" s="8">
        <f t="shared" si="2"/>
        <v>4840.875</v>
      </c>
      <c r="L18" s="143"/>
      <c r="M18" s="8">
        <f t="shared" si="3"/>
        <v>88395.410499999809</v>
      </c>
      <c r="N18" s="41"/>
      <c r="O18" s="1"/>
    </row>
    <row r="19" spans="1:15">
      <c r="A19" s="43">
        <v>16</v>
      </c>
      <c r="B19" s="194">
        <v>46250</v>
      </c>
      <c r="C19" s="22"/>
      <c r="D19" s="22"/>
      <c r="E19" s="8"/>
      <c r="F19" s="8"/>
      <c r="G19" s="8">
        <f t="shared" si="0"/>
        <v>0</v>
      </c>
      <c r="H19" s="9">
        <v>6</v>
      </c>
      <c r="I19" s="9">
        <v>111.4</v>
      </c>
      <c r="J19" s="8">
        <f t="shared" si="1"/>
        <v>668.40000000000009</v>
      </c>
      <c r="K19" s="8">
        <f t="shared" si="2"/>
        <v>668.40000000000009</v>
      </c>
      <c r="L19" s="143"/>
      <c r="M19" s="8">
        <f t="shared" si="3"/>
        <v>89063.810499999803</v>
      </c>
      <c r="N19" s="41"/>
      <c r="O19" s="1"/>
    </row>
    <row r="20" spans="1:15">
      <c r="A20" s="43">
        <v>17</v>
      </c>
      <c r="B20" s="194">
        <v>46251</v>
      </c>
      <c r="C20" s="22"/>
      <c r="D20" s="22"/>
      <c r="E20" s="8">
        <v>86.45</v>
      </c>
      <c r="F20" s="8">
        <v>99.3</v>
      </c>
      <c r="G20" s="8">
        <f t="shared" si="0"/>
        <v>8584.4850000000006</v>
      </c>
      <c r="H20" s="9"/>
      <c r="I20" s="9"/>
      <c r="J20" s="8">
        <f t="shared" si="1"/>
        <v>0</v>
      </c>
      <c r="K20" s="8">
        <f t="shared" si="2"/>
        <v>8584.4850000000006</v>
      </c>
      <c r="L20" s="143"/>
      <c r="M20" s="8">
        <f t="shared" si="3"/>
        <v>97648.295499999804</v>
      </c>
      <c r="N20" s="41"/>
      <c r="O20" s="1"/>
    </row>
    <row r="21" spans="1:15">
      <c r="A21" s="43">
        <v>18</v>
      </c>
      <c r="B21" s="194">
        <v>46252</v>
      </c>
      <c r="C21" s="22"/>
      <c r="D21" s="22"/>
      <c r="E21" s="8">
        <v>133.81</v>
      </c>
      <c r="F21" s="8">
        <v>99.3</v>
      </c>
      <c r="G21" s="8">
        <f t="shared" si="0"/>
        <v>13287.333000000001</v>
      </c>
      <c r="H21" s="9"/>
      <c r="I21" s="9"/>
      <c r="J21" s="8">
        <f t="shared" si="1"/>
        <v>0</v>
      </c>
      <c r="K21" s="8">
        <f t="shared" si="2"/>
        <v>13287.333000000001</v>
      </c>
      <c r="L21" s="143"/>
      <c r="M21" s="8">
        <f t="shared" si="3"/>
        <v>110935.6284999998</v>
      </c>
      <c r="N21" s="41"/>
      <c r="O21" s="1"/>
    </row>
    <row r="22" spans="1:15">
      <c r="A22" s="43">
        <v>19</v>
      </c>
      <c r="B22" s="194">
        <v>46253</v>
      </c>
      <c r="C22" s="22"/>
      <c r="D22" s="22"/>
      <c r="E22" s="8">
        <v>130</v>
      </c>
      <c r="F22" s="8">
        <v>99.3</v>
      </c>
      <c r="G22" s="8">
        <f t="shared" si="0"/>
        <v>12909</v>
      </c>
      <c r="H22" s="9"/>
      <c r="I22" s="9"/>
      <c r="J22" s="8">
        <f t="shared" si="1"/>
        <v>0</v>
      </c>
      <c r="K22" s="8">
        <f t="shared" si="2"/>
        <v>12909</v>
      </c>
      <c r="L22" s="143"/>
      <c r="M22" s="8">
        <f t="shared" si="3"/>
        <v>123844.6284999998</v>
      </c>
      <c r="N22" s="41"/>
      <c r="O22" s="1"/>
    </row>
    <row r="23" spans="1:15">
      <c r="A23" s="43"/>
      <c r="B23" s="194">
        <v>46254</v>
      </c>
      <c r="C23" s="22"/>
      <c r="D23" s="22"/>
      <c r="E23" s="8">
        <v>40</v>
      </c>
      <c r="F23" s="8">
        <v>99.3</v>
      </c>
      <c r="G23" s="8">
        <f t="shared" si="0"/>
        <v>3972</v>
      </c>
      <c r="H23" s="9">
        <v>12</v>
      </c>
      <c r="I23" s="9">
        <v>111.4</v>
      </c>
      <c r="J23" s="8">
        <f t="shared" si="1"/>
        <v>1336.8000000000002</v>
      </c>
      <c r="K23" s="8">
        <f t="shared" si="2"/>
        <v>5308.8</v>
      </c>
      <c r="L23" s="8"/>
      <c r="M23" s="8">
        <f t="shared" si="3"/>
        <v>129153.42849999981</v>
      </c>
      <c r="N23" s="41"/>
      <c r="O23" s="1"/>
    </row>
    <row r="24" spans="1:15">
      <c r="A24" s="43">
        <v>20</v>
      </c>
      <c r="B24" s="194">
        <v>46255</v>
      </c>
      <c r="C24" s="22"/>
      <c r="D24" s="22"/>
      <c r="E24" s="8">
        <v>445.28</v>
      </c>
      <c r="F24" s="8">
        <v>99.3</v>
      </c>
      <c r="G24" s="8">
        <f t="shared" si="0"/>
        <v>44216.303999999996</v>
      </c>
      <c r="H24" s="9">
        <v>6</v>
      </c>
      <c r="I24" s="9">
        <v>111.4</v>
      </c>
      <c r="J24" s="8">
        <f t="shared" si="1"/>
        <v>668.40000000000009</v>
      </c>
      <c r="K24" s="8">
        <f t="shared" si="2"/>
        <v>44884.703999999998</v>
      </c>
      <c r="L24" s="143"/>
      <c r="M24" s="8">
        <f t="shared" si="3"/>
        <v>174038.1324999998</v>
      </c>
      <c r="N24" s="41"/>
      <c r="O24" s="1"/>
    </row>
    <row r="25" spans="1:15">
      <c r="A25" s="43">
        <v>21</v>
      </c>
      <c r="B25" s="194">
        <v>46256</v>
      </c>
      <c r="C25" s="22"/>
      <c r="D25" s="22"/>
      <c r="E25" s="8">
        <v>175.12</v>
      </c>
      <c r="F25" s="8">
        <v>99.3</v>
      </c>
      <c r="G25" s="8">
        <f t="shared" si="0"/>
        <v>17389.416000000001</v>
      </c>
      <c r="H25" s="9"/>
      <c r="I25" s="9"/>
      <c r="J25" s="8">
        <f t="shared" si="1"/>
        <v>0</v>
      </c>
      <c r="K25" s="8">
        <f t="shared" si="2"/>
        <v>17389.416000000001</v>
      </c>
      <c r="L25" s="143"/>
      <c r="M25" s="8">
        <f t="shared" si="3"/>
        <v>191427.5484999998</v>
      </c>
      <c r="N25" s="41"/>
      <c r="O25" s="1"/>
    </row>
    <row r="26" spans="1:15">
      <c r="A26" s="43">
        <v>22</v>
      </c>
      <c r="B26" s="194">
        <v>46257</v>
      </c>
      <c r="C26" s="22"/>
      <c r="D26" s="22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 t="shared" si="2"/>
        <v>0</v>
      </c>
      <c r="L26" s="143"/>
      <c r="M26" s="8">
        <f>M25+K26-L26</f>
        <v>191427.5484999998</v>
      </c>
      <c r="N26" s="41"/>
      <c r="O26" s="1"/>
    </row>
    <row r="27" spans="1:15">
      <c r="A27" s="43">
        <v>23</v>
      </c>
      <c r="B27" s="194">
        <v>46258</v>
      </c>
      <c r="C27" s="22"/>
      <c r="D27" s="22"/>
      <c r="E27" s="8">
        <v>110</v>
      </c>
      <c r="F27" s="8">
        <v>99.3</v>
      </c>
      <c r="G27" s="8">
        <f t="shared" si="0"/>
        <v>10923</v>
      </c>
      <c r="H27" s="9"/>
      <c r="I27" s="9"/>
      <c r="J27" s="8">
        <f t="shared" si="1"/>
        <v>0</v>
      </c>
      <c r="K27" s="8">
        <f t="shared" si="2"/>
        <v>10923</v>
      </c>
      <c r="L27" s="143"/>
      <c r="M27" s="8">
        <f t="shared" si="3"/>
        <v>202350.5484999998</v>
      </c>
      <c r="N27" s="41"/>
      <c r="O27" s="1"/>
    </row>
    <row r="28" spans="1:15">
      <c r="A28" s="43">
        <v>24</v>
      </c>
      <c r="B28" s="194">
        <v>46259</v>
      </c>
      <c r="C28" s="22"/>
      <c r="D28" s="22"/>
      <c r="E28" s="8">
        <v>115</v>
      </c>
      <c r="F28" s="8">
        <v>99.3</v>
      </c>
      <c r="G28" s="8">
        <f t="shared" si="0"/>
        <v>11419.5</v>
      </c>
      <c r="H28" s="9"/>
      <c r="I28" s="9"/>
      <c r="J28" s="8">
        <f t="shared" si="1"/>
        <v>0</v>
      </c>
      <c r="K28" s="8">
        <f t="shared" si="2"/>
        <v>11419.5</v>
      </c>
      <c r="L28" s="143"/>
      <c r="M28" s="8">
        <f t="shared" si="3"/>
        <v>213770.0484999998</v>
      </c>
      <c r="N28" s="41"/>
      <c r="O28" s="1"/>
    </row>
    <row r="29" spans="1:15">
      <c r="A29" s="43">
        <v>25</v>
      </c>
      <c r="B29" s="194">
        <v>46260</v>
      </c>
      <c r="C29" s="22"/>
      <c r="D29" s="22"/>
      <c r="E29" s="8">
        <v>95</v>
      </c>
      <c r="F29" s="8">
        <v>99.3</v>
      </c>
      <c r="G29" s="8">
        <f t="shared" si="0"/>
        <v>9433.5</v>
      </c>
      <c r="H29" s="9"/>
      <c r="I29" s="9"/>
      <c r="J29" s="8">
        <f t="shared" si="1"/>
        <v>0</v>
      </c>
      <c r="K29" s="8">
        <f t="shared" si="2"/>
        <v>9433.5</v>
      </c>
      <c r="L29" s="143"/>
      <c r="M29" s="8">
        <f t="shared" si="3"/>
        <v>223203.5484999998</v>
      </c>
      <c r="N29" s="41"/>
      <c r="O29" s="1"/>
    </row>
    <row r="30" spans="1:15">
      <c r="A30" s="43">
        <v>26</v>
      </c>
      <c r="B30" s="194">
        <v>46261</v>
      </c>
      <c r="C30" s="22"/>
      <c r="D30" s="22"/>
      <c r="E30" s="8">
        <v>370</v>
      </c>
      <c r="F30" s="8">
        <v>99.3</v>
      </c>
      <c r="G30" s="8">
        <f t="shared" si="0"/>
        <v>36741</v>
      </c>
      <c r="H30" s="9"/>
      <c r="I30" s="9"/>
      <c r="J30" s="8">
        <f t="shared" si="1"/>
        <v>0</v>
      </c>
      <c r="K30" s="8">
        <f t="shared" si="2"/>
        <v>36741</v>
      </c>
      <c r="L30" s="143"/>
      <c r="M30" s="8">
        <f t="shared" si="3"/>
        <v>259944.5484999998</v>
      </c>
      <c r="N30" s="41"/>
      <c r="O30" s="1"/>
    </row>
    <row r="31" spans="1:15">
      <c r="A31" s="43">
        <v>27</v>
      </c>
      <c r="B31" s="194">
        <v>46262</v>
      </c>
      <c r="C31" s="22"/>
      <c r="D31" s="22"/>
      <c r="E31" s="8">
        <v>90</v>
      </c>
      <c r="F31" s="8">
        <v>99.3</v>
      </c>
      <c r="G31" s="8">
        <f t="shared" si="0"/>
        <v>8937</v>
      </c>
      <c r="H31" s="9">
        <v>7.5</v>
      </c>
      <c r="I31" s="9">
        <v>111.4</v>
      </c>
      <c r="J31" s="8">
        <f t="shared" si="1"/>
        <v>835.5</v>
      </c>
      <c r="K31" s="8">
        <f t="shared" si="2"/>
        <v>9772.5</v>
      </c>
      <c r="L31" s="143">
        <v>259944</v>
      </c>
      <c r="M31" s="8">
        <f t="shared" si="3"/>
        <v>9773.0484999998007</v>
      </c>
      <c r="N31" s="41"/>
      <c r="O31" s="1"/>
    </row>
    <row r="32" spans="1:15">
      <c r="A32" s="43">
        <v>28</v>
      </c>
      <c r="B32" s="194">
        <v>46263</v>
      </c>
      <c r="C32" s="22"/>
      <c r="D32" s="22"/>
      <c r="E32" s="472">
        <v>130</v>
      </c>
      <c r="F32" s="549">
        <v>99.3</v>
      </c>
      <c r="G32" s="8">
        <f t="shared" si="0"/>
        <v>12909</v>
      </c>
      <c r="H32" s="9"/>
      <c r="I32" s="9"/>
      <c r="J32" s="8">
        <f t="shared" si="1"/>
        <v>0</v>
      </c>
      <c r="K32" s="8">
        <f t="shared" si="2"/>
        <v>12909</v>
      </c>
      <c r="L32" s="143"/>
      <c r="M32" s="8">
        <f t="shared" si="3"/>
        <v>22682.048499999801</v>
      </c>
      <c r="N32" s="41"/>
      <c r="O32" s="1"/>
    </row>
    <row r="33" spans="1:21">
      <c r="A33" s="43">
        <v>29</v>
      </c>
      <c r="B33" s="194">
        <v>46264</v>
      </c>
      <c r="C33" s="22"/>
      <c r="D33" s="22"/>
      <c r="E33" s="472">
        <v>185</v>
      </c>
      <c r="F33" s="549">
        <v>99.3</v>
      </c>
      <c r="G33" s="8">
        <f t="shared" si="0"/>
        <v>18370.5</v>
      </c>
      <c r="H33" s="9"/>
      <c r="I33" s="9"/>
      <c r="J33" s="8">
        <f t="shared" si="1"/>
        <v>0</v>
      </c>
      <c r="K33" s="8">
        <f t="shared" si="2"/>
        <v>18370.5</v>
      </c>
      <c r="L33" s="143"/>
      <c r="M33" s="8">
        <f t="shared" si="3"/>
        <v>41052.548499999801</v>
      </c>
      <c r="N33" s="41"/>
      <c r="O33" s="1"/>
    </row>
    <row r="34" spans="1:21">
      <c r="A34" s="43">
        <v>30</v>
      </c>
      <c r="B34" s="194">
        <v>46265</v>
      </c>
      <c r="C34" s="22"/>
      <c r="D34" s="22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3"/>
      <c r="M34" s="8">
        <f t="shared" si="3"/>
        <v>41052.548499999801</v>
      </c>
      <c r="N34" s="41"/>
      <c r="O34" s="1"/>
    </row>
    <row r="35" spans="1:21">
      <c r="A35" s="43">
        <v>31</v>
      </c>
      <c r="B35" s="194"/>
      <c r="C35" s="22"/>
      <c r="D35" s="22"/>
      <c r="E35" s="8"/>
      <c r="F35" s="8"/>
      <c r="G35" s="8">
        <f t="shared" ref="G35:G40" si="4">E35*F35</f>
        <v>0</v>
      </c>
      <c r="H35" s="9"/>
      <c r="I35" s="9"/>
      <c r="J35" s="8">
        <f t="shared" ref="J35:J40" si="5">H35*I35</f>
        <v>0</v>
      </c>
      <c r="K35" s="8">
        <f t="shared" si="2"/>
        <v>0</v>
      </c>
      <c r="L35" s="143"/>
      <c r="M35" s="8">
        <f t="shared" si="3"/>
        <v>41052.548499999801</v>
      </c>
      <c r="N35" s="41"/>
      <c r="O35" s="1"/>
    </row>
    <row r="36" spans="1:21">
      <c r="A36" s="43">
        <v>32</v>
      </c>
      <c r="B36" s="194"/>
      <c r="C36" s="22"/>
      <c r="D36" s="22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43"/>
      <c r="M36" s="8">
        <f t="shared" si="3"/>
        <v>41052.548499999801</v>
      </c>
      <c r="N36" s="41"/>
      <c r="O36" s="1"/>
    </row>
    <row r="37" spans="1:21">
      <c r="A37" s="43">
        <v>33</v>
      </c>
      <c r="B37" s="194"/>
      <c r="C37" s="22"/>
      <c r="D37" s="22"/>
      <c r="E37" s="8"/>
      <c r="F37" s="8"/>
      <c r="G37" s="8">
        <f t="shared" si="4"/>
        <v>0</v>
      </c>
      <c r="H37" s="9"/>
      <c r="I37" s="9"/>
      <c r="J37" s="8">
        <f t="shared" si="5"/>
        <v>0</v>
      </c>
      <c r="K37" s="8">
        <f t="shared" si="2"/>
        <v>0</v>
      </c>
      <c r="L37" s="143"/>
      <c r="M37" s="8">
        <f t="shared" si="3"/>
        <v>41052.548499999801</v>
      </c>
      <c r="N37" s="41"/>
      <c r="O37" s="1"/>
    </row>
    <row r="38" spans="1:21">
      <c r="A38" s="43">
        <v>34</v>
      </c>
      <c r="B38" s="194"/>
      <c r="C38" s="22"/>
      <c r="D38" s="22"/>
      <c r="E38" s="8"/>
      <c r="F38" s="8"/>
      <c r="G38" s="8">
        <f t="shared" si="4"/>
        <v>0</v>
      </c>
      <c r="H38" s="9"/>
      <c r="I38" s="9"/>
      <c r="J38" s="8">
        <f t="shared" si="5"/>
        <v>0</v>
      </c>
      <c r="K38" s="8">
        <f t="shared" si="2"/>
        <v>0</v>
      </c>
      <c r="L38" s="143"/>
      <c r="M38" s="8">
        <f t="shared" si="3"/>
        <v>41052.548499999801</v>
      </c>
      <c r="N38" s="41"/>
      <c r="O38" s="1"/>
      <c r="U38" s="8"/>
    </row>
    <row r="39" spans="1:21">
      <c r="A39" s="43">
        <v>35</v>
      </c>
      <c r="B39" s="194"/>
      <c r="C39" s="22"/>
      <c r="D39" s="22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43"/>
      <c r="M39" s="8">
        <f t="shared" si="3"/>
        <v>41052.548499999801</v>
      </c>
      <c r="N39" s="41"/>
      <c r="O39" s="1"/>
    </row>
    <row r="40" spans="1:21">
      <c r="A40" s="43">
        <v>36</v>
      </c>
      <c r="B40" s="194"/>
      <c r="C40" s="22"/>
      <c r="D40" s="22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43">
        <v>0</v>
      </c>
      <c r="M40" s="8">
        <f t="shared" si="3"/>
        <v>41052.548499999801</v>
      </c>
      <c r="N40" s="41"/>
      <c r="O40" s="1"/>
    </row>
    <row r="41" spans="1:21">
      <c r="A41" s="43">
        <v>37</v>
      </c>
      <c r="B41" s="194"/>
      <c r="C41" s="22"/>
      <c r="D41" s="22"/>
      <c r="E41" s="8"/>
      <c r="F41" s="8"/>
      <c r="G41" s="8"/>
      <c r="H41" s="9">
        <v>0</v>
      </c>
      <c r="I41" s="9">
        <v>0</v>
      </c>
      <c r="J41" s="8"/>
      <c r="K41" s="8"/>
      <c r="L41" s="143"/>
      <c r="M41" s="8">
        <f t="shared" si="3"/>
        <v>41052.548499999801</v>
      </c>
      <c r="N41" s="41"/>
      <c r="O41" s="1"/>
    </row>
    <row r="42" spans="1:21">
      <c r="A42" s="59"/>
      <c r="B42" s="59"/>
      <c r="C42" s="59"/>
      <c r="D42" s="59"/>
      <c r="E42" s="60">
        <f>SUM(E4:E40)</f>
        <v>2755.91</v>
      </c>
      <c r="F42" s="60"/>
      <c r="G42" s="60">
        <f>SUM(G4:G40)</f>
        <v>273661.86300000001</v>
      </c>
      <c r="H42" s="60">
        <f>SUM(H4:H40)</f>
        <v>74.5</v>
      </c>
      <c r="I42" s="60"/>
      <c r="J42" s="60">
        <f>SUM(J4:J40)</f>
        <v>8299.3000000000011</v>
      </c>
      <c r="K42" s="60">
        <f>SUM(K4:K40)</f>
        <v>281961.16299999994</v>
      </c>
      <c r="L42" s="60">
        <f>SUM(L4:L40)</f>
        <v>359944</v>
      </c>
      <c r="M42" s="60"/>
      <c r="N42" s="60"/>
      <c r="O42" s="56"/>
    </row>
    <row r="43" spans="1:21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21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21">
      <c r="A45" s="1"/>
      <c r="B45" s="593"/>
      <c r="C45" s="593"/>
      <c r="D45" s="593"/>
      <c r="E45" s="593"/>
      <c r="F45" s="1"/>
      <c r="G45" s="1"/>
      <c r="H45" s="1"/>
      <c r="I45" s="594">
        <f>K29+L29</f>
        <v>9433.5</v>
      </c>
      <c r="J45" s="593"/>
      <c r="K45" s="593"/>
      <c r="L45" s="593"/>
      <c r="M45" s="593"/>
      <c r="N45" s="593"/>
      <c r="O45" s="4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2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2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O48"/>
  <sheetViews>
    <sheetView topLeftCell="A13" workbookViewId="0">
      <selection activeCell="M34" sqref="M34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571" t="s">
        <v>140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0"/>
    </row>
    <row r="2" spans="1:15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61" t="s">
        <v>177</v>
      </c>
      <c r="L2" s="82" t="s">
        <v>178</v>
      </c>
      <c r="M2" s="159" t="s">
        <v>195</v>
      </c>
      <c r="N2" s="80" t="s">
        <v>180</v>
      </c>
      <c r="O2" s="56"/>
    </row>
    <row r="3" spans="1:15">
      <c r="A3" s="140"/>
      <c r="B3" s="141"/>
      <c r="C3" s="141"/>
      <c r="D3" s="128" t="s">
        <v>181</v>
      </c>
      <c r="E3" s="141"/>
      <c r="F3" s="141"/>
      <c r="G3" s="141"/>
      <c r="H3" s="141"/>
      <c r="I3" s="141"/>
      <c r="J3" s="142"/>
      <c r="K3" s="19">
        <v>164389.71640000009</v>
      </c>
      <c r="L3" s="143">
        <v>0</v>
      </c>
      <c r="M3">
        <v>164389.71640000009</v>
      </c>
      <c r="N3" s="141"/>
      <c r="O3" s="56"/>
    </row>
    <row r="4" spans="1:15">
      <c r="A4" s="43">
        <v>1</v>
      </c>
      <c r="B4" s="194">
        <v>46235</v>
      </c>
      <c r="C4" s="22"/>
      <c r="D4" s="22"/>
      <c r="E4" s="257">
        <v>130</v>
      </c>
      <c r="F4" s="257">
        <v>99.6</v>
      </c>
      <c r="G4" s="8">
        <f>E4*F4</f>
        <v>12948</v>
      </c>
      <c r="H4" s="9">
        <v>10</v>
      </c>
      <c r="I4" s="384">
        <v>111.71</v>
      </c>
      <c r="J4" s="8">
        <f>H4*I4</f>
        <v>1117.0999999999999</v>
      </c>
      <c r="K4" s="8">
        <f>G4+J4</f>
        <v>14065.1</v>
      </c>
      <c r="L4" s="143"/>
      <c r="M4" s="8">
        <f>M3+K4-L4</f>
        <v>178454.8164000001</v>
      </c>
      <c r="N4" s="41"/>
      <c r="O4" s="1"/>
    </row>
    <row r="5" spans="1:15">
      <c r="A5" s="43">
        <v>2</v>
      </c>
      <c r="B5" s="194">
        <v>46236</v>
      </c>
      <c r="C5" s="22"/>
      <c r="D5" s="22"/>
      <c r="E5" s="257">
        <v>280</v>
      </c>
      <c r="F5" s="8">
        <v>99.6</v>
      </c>
      <c r="G5" s="8">
        <f t="shared" ref="G5:G6" si="0">E5*F5</f>
        <v>27888</v>
      </c>
      <c r="H5" s="9"/>
      <c r="I5" s="384"/>
      <c r="J5" s="8">
        <f>H5*I5</f>
        <v>0</v>
      </c>
      <c r="K5" s="8">
        <f t="shared" ref="K5:K34" si="1">G5+J5</f>
        <v>27888</v>
      </c>
      <c r="L5" s="143"/>
      <c r="M5" s="8">
        <f t="shared" ref="M5:M34" si="2">M4+K5-L5</f>
        <v>206342.8164000001</v>
      </c>
      <c r="N5" s="41"/>
      <c r="O5" s="1"/>
    </row>
    <row r="6" spans="1:15">
      <c r="A6" s="43">
        <v>3</v>
      </c>
      <c r="B6" s="194">
        <v>46237</v>
      </c>
      <c r="C6" s="22"/>
      <c r="D6" s="22"/>
      <c r="E6" s="257">
        <v>230</v>
      </c>
      <c r="F6" s="8">
        <v>99.6</v>
      </c>
      <c r="G6" s="8">
        <f t="shared" si="0"/>
        <v>22908</v>
      </c>
      <c r="H6" s="9">
        <v>5</v>
      </c>
      <c r="I6" s="384">
        <v>111.71</v>
      </c>
      <c r="J6" s="8">
        <f t="shared" ref="J6:J34" si="3">H6*I6</f>
        <v>558.54999999999995</v>
      </c>
      <c r="K6" s="8">
        <f t="shared" si="1"/>
        <v>23466.55</v>
      </c>
      <c r="L6" s="143"/>
      <c r="M6" s="8">
        <f t="shared" si="2"/>
        <v>229809.36640000009</v>
      </c>
      <c r="N6" s="41"/>
      <c r="O6" s="1"/>
    </row>
    <row r="7" spans="1:15">
      <c r="A7" s="43">
        <v>4</v>
      </c>
      <c r="B7" s="194">
        <v>46238</v>
      </c>
      <c r="C7" s="22"/>
      <c r="D7" s="22"/>
      <c r="E7" s="257">
        <v>80</v>
      </c>
      <c r="F7" s="8">
        <v>99.6</v>
      </c>
      <c r="G7" s="8">
        <f t="shared" ref="G5:G34" si="4">E7*F7</f>
        <v>7968</v>
      </c>
      <c r="H7" s="9">
        <v>15</v>
      </c>
      <c r="I7" s="384">
        <v>111.71</v>
      </c>
      <c r="J7" s="8">
        <f t="shared" si="3"/>
        <v>1675.6499999999999</v>
      </c>
      <c r="K7" s="8">
        <f t="shared" si="1"/>
        <v>9643.65</v>
      </c>
      <c r="L7" s="143"/>
      <c r="M7" s="8">
        <f t="shared" si="2"/>
        <v>239453.01640000008</v>
      </c>
      <c r="N7" s="41"/>
      <c r="O7" s="1"/>
    </row>
    <row r="8" spans="1:15">
      <c r="A8" s="43">
        <v>5</v>
      </c>
      <c r="B8" s="194">
        <v>46239</v>
      </c>
      <c r="C8" s="22"/>
      <c r="D8" s="22"/>
      <c r="E8" s="257">
        <v>250</v>
      </c>
      <c r="F8" s="8">
        <v>99.6</v>
      </c>
      <c r="G8" s="8">
        <f t="shared" si="4"/>
        <v>24900</v>
      </c>
      <c r="H8" s="9">
        <v>5</v>
      </c>
      <c r="I8" s="9">
        <v>111.71</v>
      </c>
      <c r="J8" s="8">
        <f t="shared" si="3"/>
        <v>558.54999999999995</v>
      </c>
      <c r="K8" s="8">
        <f t="shared" si="1"/>
        <v>25458.55</v>
      </c>
      <c r="L8" s="143"/>
      <c r="M8" s="8">
        <f t="shared" si="2"/>
        <v>264911.56640000007</v>
      </c>
      <c r="N8" s="41"/>
      <c r="O8" s="1"/>
    </row>
    <row r="9" spans="1:15">
      <c r="A9" s="43">
        <v>6</v>
      </c>
      <c r="B9" s="194">
        <v>46240</v>
      </c>
      <c r="C9" s="22"/>
      <c r="D9" s="22"/>
      <c r="E9" s="257">
        <v>330</v>
      </c>
      <c r="F9" s="8">
        <v>99.6</v>
      </c>
      <c r="G9" s="8">
        <f t="shared" si="4"/>
        <v>32868</v>
      </c>
      <c r="H9" s="9">
        <v>15</v>
      </c>
      <c r="I9" s="9">
        <v>111.71</v>
      </c>
      <c r="J9" s="8">
        <f t="shared" si="3"/>
        <v>1675.6499999999999</v>
      </c>
      <c r="K9" s="8">
        <f t="shared" si="1"/>
        <v>34543.65</v>
      </c>
      <c r="L9" s="143"/>
      <c r="M9" s="8">
        <f t="shared" si="2"/>
        <v>299455.21640000009</v>
      </c>
      <c r="N9" s="41"/>
      <c r="O9" s="1"/>
    </row>
    <row r="10" spans="1:15">
      <c r="A10" s="43">
        <v>7</v>
      </c>
      <c r="B10" s="194">
        <v>46241</v>
      </c>
      <c r="C10" s="22"/>
      <c r="D10" s="22"/>
      <c r="E10" s="257">
        <v>250</v>
      </c>
      <c r="F10" s="8">
        <v>99.6</v>
      </c>
      <c r="G10" s="8">
        <f t="shared" si="4"/>
        <v>24900</v>
      </c>
      <c r="H10" s="9">
        <v>5</v>
      </c>
      <c r="I10" s="9">
        <v>111.71</v>
      </c>
      <c r="J10" s="8">
        <f t="shared" si="3"/>
        <v>558.54999999999995</v>
      </c>
      <c r="K10" s="8">
        <f t="shared" si="1"/>
        <v>25458.55</v>
      </c>
      <c r="L10" s="143"/>
      <c r="M10" s="8">
        <f t="shared" si="2"/>
        <v>324913.76640000008</v>
      </c>
      <c r="N10" s="41"/>
      <c r="O10" s="1"/>
    </row>
    <row r="11" spans="1:15">
      <c r="A11" s="43">
        <v>8</v>
      </c>
      <c r="B11" s="194">
        <v>46242</v>
      </c>
      <c r="C11" s="22"/>
      <c r="D11" s="22"/>
      <c r="E11" s="257">
        <v>20</v>
      </c>
      <c r="F11" s="8">
        <v>99.6</v>
      </c>
      <c r="G11" s="8">
        <f t="shared" si="4"/>
        <v>1992</v>
      </c>
      <c r="H11" s="9">
        <v>5</v>
      </c>
      <c r="I11" s="9">
        <v>111.71</v>
      </c>
      <c r="J11" s="8">
        <f t="shared" si="3"/>
        <v>558.54999999999995</v>
      </c>
      <c r="K11" s="8">
        <f t="shared" si="1"/>
        <v>2550.5500000000002</v>
      </c>
      <c r="L11" s="143"/>
      <c r="M11" s="8">
        <f t="shared" si="2"/>
        <v>327464.31640000007</v>
      </c>
      <c r="N11" s="41"/>
      <c r="O11" s="1"/>
    </row>
    <row r="12" spans="1:15">
      <c r="A12" s="43">
        <v>9</v>
      </c>
      <c r="B12" s="194">
        <v>46243</v>
      </c>
      <c r="C12" s="22"/>
      <c r="D12" s="22"/>
      <c r="E12" s="257">
        <v>95</v>
      </c>
      <c r="F12" s="8">
        <v>99.6</v>
      </c>
      <c r="G12" s="8">
        <f t="shared" si="4"/>
        <v>9462</v>
      </c>
      <c r="H12" s="9">
        <v>5</v>
      </c>
      <c r="I12" s="9">
        <v>111.71</v>
      </c>
      <c r="J12" s="8">
        <f t="shared" si="3"/>
        <v>558.54999999999995</v>
      </c>
      <c r="K12" s="8">
        <f t="shared" si="1"/>
        <v>10020.549999999999</v>
      </c>
      <c r="L12" s="143"/>
      <c r="M12" s="8">
        <f>M11+K12-L12</f>
        <v>337484.86640000006</v>
      </c>
      <c r="N12" s="41"/>
      <c r="O12" s="1" t="s">
        <v>258</v>
      </c>
    </row>
    <row r="13" spans="1:15">
      <c r="A13" s="43">
        <v>10</v>
      </c>
      <c r="B13" s="194">
        <v>46244</v>
      </c>
      <c r="C13" s="22"/>
      <c r="D13" s="22"/>
      <c r="E13" s="257">
        <v>210</v>
      </c>
      <c r="F13" s="8">
        <v>99.6</v>
      </c>
      <c r="G13" s="8">
        <f t="shared" si="4"/>
        <v>20916</v>
      </c>
      <c r="H13" s="9"/>
      <c r="I13" s="9"/>
      <c r="J13" s="8">
        <f t="shared" si="3"/>
        <v>0</v>
      </c>
      <c r="K13" s="8">
        <f t="shared" si="1"/>
        <v>20916</v>
      </c>
      <c r="L13" s="143"/>
      <c r="M13" s="8">
        <f t="shared" si="2"/>
        <v>358400.86640000006</v>
      </c>
      <c r="N13" s="41"/>
      <c r="O13" s="1"/>
    </row>
    <row r="14" spans="1:15">
      <c r="A14" s="43">
        <v>11</v>
      </c>
      <c r="B14" s="194">
        <v>46245</v>
      </c>
      <c r="C14" s="22"/>
      <c r="D14" s="22"/>
      <c r="E14" s="257">
        <v>105</v>
      </c>
      <c r="F14" s="8">
        <v>99.6</v>
      </c>
      <c r="G14" s="8">
        <f t="shared" si="4"/>
        <v>10458</v>
      </c>
      <c r="H14" s="9">
        <v>15</v>
      </c>
      <c r="I14" s="9">
        <v>111.71</v>
      </c>
      <c r="J14" s="8">
        <f t="shared" si="3"/>
        <v>1675.6499999999999</v>
      </c>
      <c r="K14" s="8">
        <f t="shared" si="1"/>
        <v>12133.65</v>
      </c>
      <c r="L14" s="143">
        <v>100000</v>
      </c>
      <c r="M14" s="8">
        <f t="shared" si="2"/>
        <v>270534.51640000008</v>
      </c>
      <c r="N14" s="41"/>
      <c r="O14" s="1"/>
    </row>
    <row r="15" spans="1:15">
      <c r="A15" s="43">
        <v>12</v>
      </c>
      <c r="B15" s="194">
        <v>46246</v>
      </c>
      <c r="C15" s="22"/>
      <c r="D15" s="22"/>
      <c r="E15" s="257">
        <v>360</v>
      </c>
      <c r="F15" s="8">
        <v>99.6</v>
      </c>
      <c r="G15" s="8">
        <f t="shared" si="4"/>
        <v>35856</v>
      </c>
      <c r="H15" s="9"/>
      <c r="I15" s="9"/>
      <c r="J15" s="8">
        <f t="shared" si="3"/>
        <v>0</v>
      </c>
      <c r="K15" s="8">
        <f t="shared" si="1"/>
        <v>35856</v>
      </c>
      <c r="L15" s="143"/>
      <c r="M15" s="8">
        <f t="shared" si="2"/>
        <v>306390.51640000008</v>
      </c>
      <c r="N15" s="41"/>
      <c r="O15" s="1"/>
    </row>
    <row r="16" spans="1:15">
      <c r="A16" s="43">
        <v>13</v>
      </c>
      <c r="B16" s="194">
        <v>46247</v>
      </c>
      <c r="C16" s="22"/>
      <c r="D16" s="22"/>
      <c r="E16" s="257">
        <v>240</v>
      </c>
      <c r="F16" s="8">
        <v>99.6</v>
      </c>
      <c r="G16" s="8">
        <f t="shared" si="4"/>
        <v>23904</v>
      </c>
      <c r="H16" s="433"/>
      <c r="I16" s="9"/>
      <c r="J16" s="8">
        <f t="shared" si="3"/>
        <v>0</v>
      </c>
      <c r="K16" s="8">
        <f t="shared" si="1"/>
        <v>23904</v>
      </c>
      <c r="L16" s="143">
        <v>306000</v>
      </c>
      <c r="M16" s="8">
        <f t="shared" si="2"/>
        <v>24294.51640000008</v>
      </c>
      <c r="N16" s="41"/>
      <c r="O16" s="1"/>
    </row>
    <row r="17" spans="1:15">
      <c r="A17" s="43">
        <v>14</v>
      </c>
      <c r="B17" s="194">
        <v>46248</v>
      </c>
      <c r="C17" s="22"/>
      <c r="D17" s="22"/>
      <c r="E17" s="519">
        <v>100</v>
      </c>
      <c r="F17" s="472">
        <v>99.6</v>
      </c>
      <c r="G17" s="8">
        <f t="shared" si="4"/>
        <v>9960</v>
      </c>
      <c r="H17" s="519">
        <v>13.5</v>
      </c>
      <c r="I17" s="542">
        <v>111.71</v>
      </c>
      <c r="J17" s="8">
        <f t="shared" si="3"/>
        <v>1508.0849999999998</v>
      </c>
      <c r="K17" s="8">
        <f t="shared" si="1"/>
        <v>11468.084999999999</v>
      </c>
      <c r="L17" s="143"/>
      <c r="M17" s="8">
        <f t="shared" si="2"/>
        <v>35762.60140000008</v>
      </c>
      <c r="N17" s="41"/>
      <c r="O17" s="1"/>
    </row>
    <row r="18" spans="1:15">
      <c r="A18" s="43">
        <v>15</v>
      </c>
      <c r="B18" s="194">
        <v>46249</v>
      </c>
      <c r="C18" s="22"/>
      <c r="D18" s="22"/>
      <c r="E18" s="519"/>
      <c r="F18" s="472">
        <v>99.6</v>
      </c>
      <c r="G18" s="8">
        <f t="shared" si="4"/>
        <v>0</v>
      </c>
      <c r="H18" s="519">
        <v>5</v>
      </c>
      <c r="I18" s="542">
        <v>111.71</v>
      </c>
      <c r="J18" s="8">
        <f t="shared" si="3"/>
        <v>558.54999999999995</v>
      </c>
      <c r="K18" s="8">
        <f t="shared" si="1"/>
        <v>558.54999999999995</v>
      </c>
      <c r="L18" s="143"/>
      <c r="M18" s="8">
        <f t="shared" si="2"/>
        <v>36321.151400000083</v>
      </c>
      <c r="N18" s="41"/>
      <c r="O18" s="1"/>
    </row>
    <row r="19" spans="1:15">
      <c r="A19" s="43">
        <v>16</v>
      </c>
      <c r="B19" s="194">
        <v>46250</v>
      </c>
      <c r="C19" s="22"/>
      <c r="D19" s="22"/>
      <c r="E19" s="519">
        <v>355</v>
      </c>
      <c r="F19" s="472">
        <v>99.6</v>
      </c>
      <c r="G19" s="8">
        <f t="shared" si="4"/>
        <v>35358</v>
      </c>
      <c r="H19" s="519">
        <v>5</v>
      </c>
      <c r="I19" s="542">
        <v>111.71</v>
      </c>
      <c r="J19" s="8">
        <f t="shared" si="3"/>
        <v>558.54999999999995</v>
      </c>
      <c r="K19" s="8">
        <f t="shared" si="1"/>
        <v>35916.550000000003</v>
      </c>
      <c r="L19" s="143"/>
      <c r="M19" s="8">
        <f t="shared" si="2"/>
        <v>72237.701400000078</v>
      </c>
      <c r="N19" s="41"/>
      <c r="O19" s="1"/>
    </row>
    <row r="20" spans="1:15">
      <c r="A20" s="43">
        <v>17</v>
      </c>
      <c r="B20" s="194">
        <v>46251</v>
      </c>
      <c r="C20" s="22"/>
      <c r="D20" s="22"/>
      <c r="E20" s="257"/>
      <c r="F20" s="8"/>
      <c r="G20" s="8">
        <f t="shared" si="4"/>
        <v>0</v>
      </c>
      <c r="H20" s="9">
        <v>10</v>
      </c>
      <c r="I20" s="542">
        <v>111.71</v>
      </c>
      <c r="J20" s="8">
        <f t="shared" si="3"/>
        <v>1117.0999999999999</v>
      </c>
      <c r="K20" s="8">
        <f t="shared" si="1"/>
        <v>1117.0999999999999</v>
      </c>
      <c r="L20" s="143"/>
      <c r="M20" s="8">
        <f t="shared" si="2"/>
        <v>73354.801400000084</v>
      </c>
      <c r="N20" s="41"/>
      <c r="O20" s="1"/>
    </row>
    <row r="21" spans="1:15">
      <c r="A21" s="43">
        <v>18</v>
      </c>
      <c r="B21" s="194">
        <v>46252</v>
      </c>
      <c r="C21" s="22"/>
      <c r="D21" s="22"/>
      <c r="E21" s="257"/>
      <c r="F21" s="8"/>
      <c r="G21" s="8">
        <f t="shared" si="4"/>
        <v>0</v>
      </c>
      <c r="H21" s="9">
        <v>5</v>
      </c>
      <c r="I21" s="542">
        <v>111.71</v>
      </c>
      <c r="J21" s="8">
        <f t="shared" si="3"/>
        <v>558.54999999999995</v>
      </c>
      <c r="K21" s="8">
        <f t="shared" si="1"/>
        <v>558.54999999999995</v>
      </c>
      <c r="L21" s="143"/>
      <c r="M21" s="8">
        <f t="shared" si="2"/>
        <v>73913.351400000087</v>
      </c>
      <c r="N21" s="41"/>
      <c r="O21" s="1"/>
    </row>
    <row r="22" spans="1:15">
      <c r="A22" s="43">
        <v>19</v>
      </c>
      <c r="B22" s="194">
        <v>46253</v>
      </c>
      <c r="C22" s="22"/>
      <c r="D22" s="22"/>
      <c r="E22" s="257">
        <v>60</v>
      </c>
      <c r="F22" s="8">
        <v>99.6</v>
      </c>
      <c r="G22" s="8">
        <f t="shared" si="4"/>
        <v>5976</v>
      </c>
      <c r="H22" s="9">
        <v>7.61</v>
      </c>
      <c r="I22" s="542">
        <v>111.71</v>
      </c>
      <c r="J22" s="8">
        <f t="shared" si="3"/>
        <v>850.11310000000003</v>
      </c>
      <c r="K22" s="8">
        <f t="shared" si="1"/>
        <v>6826.1131000000005</v>
      </c>
      <c r="L22" s="143"/>
      <c r="M22" s="8">
        <f t="shared" si="2"/>
        <v>80739.464500000089</v>
      </c>
      <c r="N22" s="41"/>
      <c r="O22" s="1"/>
    </row>
    <row r="23" spans="1:15">
      <c r="A23" s="43">
        <v>20</v>
      </c>
      <c r="B23" s="194">
        <v>46254</v>
      </c>
      <c r="C23" s="22"/>
      <c r="D23" s="22"/>
      <c r="E23" s="257">
        <v>140</v>
      </c>
      <c r="F23" s="8">
        <v>99.6</v>
      </c>
      <c r="G23" s="8">
        <f t="shared" si="4"/>
        <v>13944</v>
      </c>
      <c r="H23" s="9"/>
      <c r="I23" s="9"/>
      <c r="J23" s="8">
        <f t="shared" si="3"/>
        <v>0</v>
      </c>
      <c r="K23" s="8">
        <f t="shared" si="1"/>
        <v>13944</v>
      </c>
      <c r="L23" s="143"/>
      <c r="M23" s="8">
        <f t="shared" si="2"/>
        <v>94683.464500000089</v>
      </c>
      <c r="N23" s="41"/>
      <c r="O23" s="1"/>
    </row>
    <row r="24" spans="1:15">
      <c r="A24" s="43">
        <v>21</v>
      </c>
      <c r="B24" s="194">
        <v>46255</v>
      </c>
      <c r="C24" s="22"/>
      <c r="D24" s="22"/>
      <c r="E24" s="257">
        <v>450</v>
      </c>
      <c r="F24" s="8">
        <v>99.6</v>
      </c>
      <c r="G24" s="8">
        <f t="shared" si="4"/>
        <v>44820</v>
      </c>
      <c r="H24" s="9"/>
      <c r="I24" s="9"/>
      <c r="J24" s="8">
        <f t="shared" si="3"/>
        <v>0</v>
      </c>
      <c r="K24" s="8">
        <f t="shared" si="1"/>
        <v>44820</v>
      </c>
      <c r="L24" s="143"/>
      <c r="M24" s="8">
        <f t="shared" si="2"/>
        <v>139503.46450000009</v>
      </c>
      <c r="N24" s="41"/>
      <c r="O24" s="1"/>
    </row>
    <row r="25" spans="1:15">
      <c r="A25" s="43">
        <v>22</v>
      </c>
      <c r="B25" s="194">
        <v>46256</v>
      </c>
      <c r="C25" s="22"/>
      <c r="D25" s="22"/>
      <c r="E25" s="257">
        <v>40</v>
      </c>
      <c r="F25" s="8">
        <v>99.6</v>
      </c>
      <c r="G25" s="8">
        <f t="shared" si="4"/>
        <v>3984</v>
      </c>
      <c r="H25" s="9">
        <v>10</v>
      </c>
      <c r="I25" s="542">
        <v>111.71</v>
      </c>
      <c r="J25" s="8">
        <f t="shared" si="3"/>
        <v>1117.0999999999999</v>
      </c>
      <c r="K25" s="8">
        <f t="shared" si="1"/>
        <v>5101.1000000000004</v>
      </c>
      <c r="L25" s="143"/>
      <c r="M25" s="8">
        <f t="shared" si="2"/>
        <v>144604.56450000009</v>
      </c>
      <c r="N25" s="41"/>
      <c r="O25" s="1"/>
    </row>
    <row r="26" spans="1:15">
      <c r="A26" s="43">
        <v>23</v>
      </c>
      <c r="B26" s="194">
        <v>46257</v>
      </c>
      <c r="C26" s="22"/>
      <c r="D26" s="22"/>
      <c r="E26" s="257">
        <v>150</v>
      </c>
      <c r="F26" s="8">
        <v>99.6</v>
      </c>
      <c r="G26" s="8">
        <f t="shared" si="4"/>
        <v>14940</v>
      </c>
      <c r="H26" s="9"/>
      <c r="I26" s="9"/>
      <c r="J26" s="8">
        <f t="shared" si="3"/>
        <v>0</v>
      </c>
      <c r="K26" s="8">
        <f t="shared" si="1"/>
        <v>14940</v>
      </c>
      <c r="L26" s="143"/>
      <c r="M26" s="8">
        <f t="shared" si="2"/>
        <v>159544.56450000009</v>
      </c>
      <c r="N26" s="41"/>
      <c r="O26" s="1"/>
    </row>
    <row r="27" spans="1:15">
      <c r="A27" s="43">
        <v>24</v>
      </c>
      <c r="B27" s="194">
        <v>46258</v>
      </c>
      <c r="C27" s="22"/>
      <c r="D27" s="22"/>
      <c r="E27" s="257">
        <v>385</v>
      </c>
      <c r="F27" s="8">
        <v>99.6</v>
      </c>
      <c r="G27" s="8">
        <f t="shared" si="4"/>
        <v>38346</v>
      </c>
      <c r="H27" s="9"/>
      <c r="I27" s="9"/>
      <c r="J27" s="8">
        <f t="shared" si="3"/>
        <v>0</v>
      </c>
      <c r="K27" s="8">
        <f>G27+J27</f>
        <v>38346</v>
      </c>
      <c r="L27" s="143"/>
      <c r="M27" s="8">
        <f>M26+K27-L27</f>
        <v>197890.56450000009</v>
      </c>
      <c r="N27" s="41"/>
      <c r="O27" s="1"/>
    </row>
    <row r="28" spans="1:15">
      <c r="A28" s="43">
        <v>25</v>
      </c>
      <c r="B28" s="194">
        <v>46259</v>
      </c>
      <c r="C28" s="22"/>
      <c r="D28" s="22"/>
      <c r="E28" s="519">
        <v>375</v>
      </c>
      <c r="F28" s="472">
        <v>99.6</v>
      </c>
      <c r="G28" s="8">
        <f t="shared" si="4"/>
        <v>37350</v>
      </c>
      <c r="H28" s="9">
        <v>16.82</v>
      </c>
      <c r="I28" s="9">
        <v>111.71</v>
      </c>
      <c r="J28" s="8">
        <f t="shared" si="3"/>
        <v>1878.9621999999999</v>
      </c>
      <c r="K28" s="8">
        <f t="shared" si="1"/>
        <v>39228.962200000002</v>
      </c>
      <c r="L28" s="143"/>
      <c r="M28" s="8">
        <f t="shared" si="2"/>
        <v>237119.5267000001</v>
      </c>
      <c r="N28" s="41"/>
      <c r="O28" s="1"/>
    </row>
    <row r="29" spans="1:15">
      <c r="A29" s="43">
        <v>26</v>
      </c>
      <c r="B29" s="194">
        <v>46260</v>
      </c>
      <c r="C29" s="22"/>
      <c r="D29" s="22"/>
      <c r="E29" s="519">
        <v>420</v>
      </c>
      <c r="F29" s="472">
        <v>99.6</v>
      </c>
      <c r="G29" s="8">
        <f t="shared" si="4"/>
        <v>41832</v>
      </c>
      <c r="H29" s="9">
        <v>5</v>
      </c>
      <c r="I29" s="9">
        <v>111.71</v>
      </c>
      <c r="J29" s="8">
        <f t="shared" si="3"/>
        <v>558.54999999999995</v>
      </c>
      <c r="K29" s="8">
        <f t="shared" si="1"/>
        <v>42390.55</v>
      </c>
      <c r="L29" s="143"/>
      <c r="M29" s="8">
        <f t="shared" si="2"/>
        <v>279510.07670000009</v>
      </c>
      <c r="N29" s="41"/>
      <c r="O29" s="1"/>
    </row>
    <row r="30" spans="1:15">
      <c r="A30" s="43">
        <v>27</v>
      </c>
      <c r="B30" s="194">
        <v>46261</v>
      </c>
      <c r="C30" s="22"/>
      <c r="D30" s="22"/>
      <c r="E30" s="257">
        <v>145</v>
      </c>
      <c r="F30" s="8">
        <v>99.6</v>
      </c>
      <c r="G30" s="8">
        <f t="shared" si="4"/>
        <v>14442</v>
      </c>
      <c r="H30" s="9">
        <v>20</v>
      </c>
      <c r="I30" s="9">
        <v>111.71</v>
      </c>
      <c r="J30" s="8">
        <f t="shared" si="3"/>
        <v>2234.1999999999998</v>
      </c>
      <c r="K30" s="8">
        <f t="shared" si="1"/>
        <v>16676.2</v>
      </c>
      <c r="L30" s="143"/>
      <c r="M30" s="8">
        <f t="shared" si="2"/>
        <v>296186.2767000001</v>
      </c>
      <c r="N30" s="41"/>
      <c r="O30" s="1"/>
    </row>
    <row r="31" spans="1:15">
      <c r="A31" s="43">
        <v>28</v>
      </c>
      <c r="B31" s="194">
        <v>46262</v>
      </c>
      <c r="C31" s="22"/>
      <c r="D31" s="22"/>
      <c r="E31" s="257">
        <v>265</v>
      </c>
      <c r="F31" s="8">
        <v>99.6</v>
      </c>
      <c r="G31" s="8">
        <f t="shared" si="4"/>
        <v>26394</v>
      </c>
      <c r="H31" s="9">
        <v>10</v>
      </c>
      <c r="I31" s="9">
        <v>111.71</v>
      </c>
      <c r="J31" s="8">
        <f t="shared" si="3"/>
        <v>1117.0999999999999</v>
      </c>
      <c r="K31" s="8">
        <f t="shared" si="1"/>
        <v>27511.1</v>
      </c>
      <c r="L31" s="143"/>
      <c r="M31" s="8">
        <f t="shared" si="2"/>
        <v>323697.37670000008</v>
      </c>
      <c r="N31" s="41"/>
      <c r="O31" s="1"/>
    </row>
    <row r="32" spans="1:15">
      <c r="A32" s="189">
        <v>29</v>
      </c>
      <c r="B32" s="194">
        <v>46263</v>
      </c>
      <c r="C32" s="22"/>
      <c r="D32" s="22"/>
      <c r="E32" s="257">
        <v>335</v>
      </c>
      <c r="F32" s="257">
        <v>99.6</v>
      </c>
      <c r="G32" s="8">
        <f t="shared" si="4"/>
        <v>33366</v>
      </c>
      <c r="H32" s="9">
        <v>5</v>
      </c>
      <c r="I32" s="9">
        <v>111.71</v>
      </c>
      <c r="J32" s="8">
        <f t="shared" si="3"/>
        <v>558.54999999999995</v>
      </c>
      <c r="K32" s="8">
        <f t="shared" si="1"/>
        <v>33924.550000000003</v>
      </c>
      <c r="L32" s="143"/>
      <c r="M32" s="8">
        <f t="shared" si="2"/>
        <v>357621.92670000007</v>
      </c>
      <c r="N32" s="41"/>
      <c r="O32" s="1"/>
    </row>
    <row r="33" spans="1:15">
      <c r="A33" s="189">
        <v>30</v>
      </c>
      <c r="B33" s="194">
        <v>46264</v>
      </c>
      <c r="C33" s="22"/>
      <c r="D33" s="22"/>
      <c r="E33" s="257">
        <v>180</v>
      </c>
      <c r="F33" s="257">
        <v>99.6</v>
      </c>
      <c r="G33" s="8">
        <f t="shared" si="4"/>
        <v>17928</v>
      </c>
      <c r="H33" s="9">
        <v>15</v>
      </c>
      <c r="I33" s="9">
        <v>111.71</v>
      </c>
      <c r="J33" s="8">
        <f t="shared" si="3"/>
        <v>1675.6499999999999</v>
      </c>
      <c r="K33" s="8">
        <f t="shared" si="1"/>
        <v>19603.650000000001</v>
      </c>
      <c r="L33" s="143"/>
      <c r="M33" s="8">
        <f t="shared" si="2"/>
        <v>377225.57670000009</v>
      </c>
      <c r="N33" s="41"/>
      <c r="O33" s="1"/>
    </row>
    <row r="34" spans="1:15">
      <c r="A34" s="189">
        <v>31</v>
      </c>
      <c r="B34" s="194">
        <v>46265</v>
      </c>
      <c r="C34" s="22"/>
      <c r="D34" s="22"/>
      <c r="E34" s="257">
        <v>314</v>
      </c>
      <c r="F34" s="257">
        <v>99.6</v>
      </c>
      <c r="G34" s="8">
        <f t="shared" si="4"/>
        <v>31274.399999999998</v>
      </c>
      <c r="H34" s="9"/>
      <c r="I34" s="9"/>
      <c r="J34" s="8">
        <f t="shared" si="3"/>
        <v>0</v>
      </c>
      <c r="K34" s="8">
        <f t="shared" si="1"/>
        <v>31274.399999999998</v>
      </c>
      <c r="L34" s="143"/>
      <c r="M34" s="8">
        <f t="shared" si="2"/>
        <v>408499.97670000012</v>
      </c>
      <c r="N34" s="41"/>
      <c r="O34" s="1"/>
    </row>
    <row r="35" spans="1:15">
      <c r="A35" s="59"/>
      <c r="B35" s="59"/>
      <c r="C35" s="59"/>
      <c r="D35" s="59"/>
      <c r="E35" s="60">
        <f>SUM(E4:E34)</f>
        <v>6294</v>
      </c>
      <c r="F35" s="60"/>
      <c r="G35" s="60">
        <f>SUM(G4:G34)</f>
        <v>626882.4</v>
      </c>
      <c r="H35" s="60">
        <f>SUM(H4:H34)</f>
        <v>207.93</v>
      </c>
      <c r="I35" s="60"/>
      <c r="J35" s="60">
        <f>SUM(J4:J34)</f>
        <v>23227.860299999997</v>
      </c>
      <c r="K35" s="60">
        <f>SUM(K4:K34)</f>
        <v>650110.26029999997</v>
      </c>
      <c r="L35" s="60">
        <f>SUM(L4:L34)</f>
        <v>406000</v>
      </c>
      <c r="M35" s="60"/>
      <c r="N35" s="60"/>
      <c r="O35" s="56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593"/>
      <c r="C37" s="593"/>
      <c r="D37" s="593"/>
      <c r="E37" s="593"/>
      <c r="F37" s="1"/>
      <c r="G37" s="1"/>
      <c r="H37" s="1"/>
      <c r="I37" s="594"/>
      <c r="J37" s="593"/>
      <c r="K37" s="593"/>
      <c r="L37" s="593"/>
      <c r="M37" s="593"/>
      <c r="N37" s="593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topLeftCell="A18" workbookViewId="0">
      <selection activeCell="M36" sqref="M36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4.5703125" customWidth="1"/>
    <col min="13" max="13" width="11.85546875" bestFit="1" customWidth="1"/>
    <col min="16" max="16" width="11.85546875" bestFit="1" customWidth="1"/>
    <col min="17" max="17" width="14" customWidth="1"/>
  </cols>
  <sheetData>
    <row r="1" spans="1:15" ht="15.75">
      <c r="A1" s="571" t="s">
        <v>142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0"/>
    </row>
    <row r="2" spans="1:15" ht="30.75">
      <c r="A2" s="61" t="s">
        <v>0</v>
      </c>
      <c r="B2" s="80" t="s">
        <v>170</v>
      </c>
      <c r="C2" s="80" t="s">
        <v>171</v>
      </c>
      <c r="D2" s="80" t="s">
        <v>172</v>
      </c>
      <c r="E2" s="80" t="s">
        <v>173</v>
      </c>
      <c r="F2" s="80" t="s">
        <v>174</v>
      </c>
      <c r="G2" s="80" t="s">
        <v>175</v>
      </c>
      <c r="H2" s="80" t="s">
        <v>176</v>
      </c>
      <c r="I2" s="80" t="s">
        <v>174</v>
      </c>
      <c r="J2" s="81" t="s">
        <v>175</v>
      </c>
      <c r="K2" s="120" t="s">
        <v>177</v>
      </c>
      <c r="L2" s="123" t="s">
        <v>178</v>
      </c>
      <c r="M2" s="461" t="s">
        <v>195</v>
      </c>
      <c r="N2" s="80" t="s">
        <v>180</v>
      </c>
      <c r="O2" s="56"/>
    </row>
    <row r="3" spans="1:15">
      <c r="A3" s="140"/>
      <c r="B3" s="141"/>
      <c r="C3" s="141"/>
      <c r="D3" s="128" t="s">
        <v>181</v>
      </c>
      <c r="E3" s="141"/>
      <c r="F3" s="141"/>
      <c r="G3" s="141"/>
      <c r="H3" s="141"/>
      <c r="I3" s="141"/>
      <c r="J3" s="457"/>
      <c r="K3" s="254"/>
      <c r="L3" s="14"/>
      <c r="M3" s="323">
        <v>343880.92190000013</v>
      </c>
      <c r="N3" s="459"/>
      <c r="O3" s="56"/>
    </row>
    <row r="4" spans="1:15">
      <c r="A4" s="43">
        <v>1</v>
      </c>
      <c r="B4" s="194">
        <v>46235</v>
      </c>
      <c r="C4" s="22"/>
      <c r="D4" s="22"/>
      <c r="E4" s="8">
        <v>260</v>
      </c>
      <c r="F4" s="8">
        <v>99.7</v>
      </c>
      <c r="G4" s="8">
        <f>E4*F4</f>
        <v>25922</v>
      </c>
      <c r="H4" s="9"/>
      <c r="I4" s="9"/>
      <c r="J4" s="458">
        <f>H4*I4</f>
        <v>0</v>
      </c>
      <c r="K4" s="8">
        <f>G4+J4</f>
        <v>25922</v>
      </c>
      <c r="L4" s="143"/>
      <c r="M4" s="8">
        <f>M3+K4-L4</f>
        <v>369802.92190000013</v>
      </c>
      <c r="N4" s="460"/>
      <c r="O4" s="1"/>
    </row>
    <row r="5" spans="1:15">
      <c r="A5" s="43">
        <v>2</v>
      </c>
      <c r="B5" s="194">
        <v>46236</v>
      </c>
      <c r="C5" s="22"/>
      <c r="D5" s="22"/>
      <c r="E5" s="8"/>
      <c r="F5" s="8"/>
      <c r="G5" s="8">
        <f t="shared" ref="G5:G35" si="0">E5*F5</f>
        <v>0</v>
      </c>
      <c r="H5" s="9"/>
      <c r="I5" s="9"/>
      <c r="J5" s="458">
        <f t="shared" ref="J5:J35" si="1">H5*I5</f>
        <v>0</v>
      </c>
      <c r="K5" s="8">
        <f t="shared" ref="K5:K35" si="2">G5+J5</f>
        <v>0</v>
      </c>
      <c r="L5" s="143"/>
      <c r="M5" s="8">
        <f t="shared" ref="M5:M15" si="3">M4+K5-L5</f>
        <v>369802.92190000013</v>
      </c>
      <c r="N5" s="460"/>
      <c r="O5" s="1"/>
    </row>
    <row r="6" spans="1:15">
      <c r="A6" s="43">
        <v>3</v>
      </c>
      <c r="B6" s="194">
        <v>46237</v>
      </c>
      <c r="C6" s="22"/>
      <c r="D6" s="22"/>
      <c r="E6" s="8">
        <v>100</v>
      </c>
      <c r="F6" s="8">
        <v>99.7</v>
      </c>
      <c r="G6" s="8">
        <f t="shared" si="0"/>
        <v>9970</v>
      </c>
      <c r="H6" s="9">
        <v>6</v>
      </c>
      <c r="I6" s="9">
        <v>111.82</v>
      </c>
      <c r="J6" s="458">
        <f t="shared" si="1"/>
        <v>670.92</v>
      </c>
      <c r="K6" s="8">
        <f t="shared" si="2"/>
        <v>10640.92</v>
      </c>
      <c r="L6" s="143"/>
      <c r="M6" s="8">
        <f t="shared" si="3"/>
        <v>380443.84190000012</v>
      </c>
      <c r="N6" s="460"/>
      <c r="O6" s="1"/>
    </row>
    <row r="7" spans="1:15">
      <c r="A7" s="43">
        <v>4</v>
      </c>
      <c r="B7" s="194">
        <v>46238</v>
      </c>
      <c r="C7" s="22"/>
      <c r="D7" s="22"/>
      <c r="E7" s="257">
        <v>65</v>
      </c>
      <c r="F7" s="8">
        <v>99.7</v>
      </c>
      <c r="G7" s="8">
        <f>E7*F7</f>
        <v>6480.5</v>
      </c>
      <c r="H7" s="9"/>
      <c r="I7" s="9"/>
      <c r="J7" s="458">
        <f t="shared" si="1"/>
        <v>0</v>
      </c>
      <c r="K7" s="8">
        <f t="shared" si="2"/>
        <v>6480.5</v>
      </c>
      <c r="L7" s="143"/>
      <c r="M7" s="8">
        <f t="shared" si="3"/>
        <v>386924.34190000012</v>
      </c>
      <c r="N7" s="460"/>
      <c r="O7" s="1"/>
    </row>
    <row r="8" spans="1:15">
      <c r="A8" s="43">
        <v>5</v>
      </c>
      <c r="B8" s="194">
        <v>46239</v>
      </c>
      <c r="C8" s="22"/>
      <c r="D8" s="22"/>
      <c r="E8" s="257">
        <v>30</v>
      </c>
      <c r="F8" s="8">
        <v>99.7</v>
      </c>
      <c r="G8" s="8">
        <f>E8*F8</f>
        <v>2991</v>
      </c>
      <c r="H8" s="9"/>
      <c r="I8" s="9"/>
      <c r="J8" s="458">
        <f t="shared" si="1"/>
        <v>0</v>
      </c>
      <c r="K8" s="8">
        <f t="shared" si="2"/>
        <v>2991</v>
      </c>
      <c r="L8" s="143"/>
      <c r="M8" s="8">
        <f t="shared" si="3"/>
        <v>389915.34190000012</v>
      </c>
      <c r="N8" s="460"/>
      <c r="O8" s="1"/>
    </row>
    <row r="9" spans="1:15">
      <c r="A9" s="43">
        <v>6</v>
      </c>
      <c r="B9" s="194">
        <v>46240</v>
      </c>
      <c r="C9" s="22"/>
      <c r="D9" s="22"/>
      <c r="E9" s="257">
        <v>40</v>
      </c>
      <c r="F9" s="257">
        <v>99.7</v>
      </c>
      <c r="G9" s="8">
        <f t="shared" si="0"/>
        <v>3988</v>
      </c>
      <c r="H9" s="9">
        <v>5</v>
      </c>
      <c r="I9" s="9">
        <v>111.82</v>
      </c>
      <c r="J9" s="458">
        <f t="shared" si="1"/>
        <v>559.09999999999991</v>
      </c>
      <c r="K9" s="8">
        <f t="shared" si="2"/>
        <v>4547.1000000000004</v>
      </c>
      <c r="L9" s="143"/>
      <c r="M9" s="8">
        <f t="shared" si="3"/>
        <v>394462.44190000009</v>
      </c>
      <c r="N9" s="460"/>
      <c r="O9" s="1"/>
    </row>
    <row r="10" spans="1:15">
      <c r="A10" s="43">
        <v>7</v>
      </c>
      <c r="B10" s="194">
        <v>46241</v>
      </c>
      <c r="C10" s="22"/>
      <c r="D10" s="22"/>
      <c r="E10" s="257">
        <v>30</v>
      </c>
      <c r="F10" s="257">
        <v>99.7</v>
      </c>
      <c r="G10" s="8">
        <f t="shared" si="0"/>
        <v>2991</v>
      </c>
      <c r="H10" s="9">
        <v>5</v>
      </c>
      <c r="I10" s="9">
        <v>111.82</v>
      </c>
      <c r="J10" s="458">
        <f t="shared" si="1"/>
        <v>559.09999999999991</v>
      </c>
      <c r="K10" s="8">
        <f t="shared" si="2"/>
        <v>3550.1</v>
      </c>
      <c r="L10" s="143"/>
      <c r="M10" s="8">
        <f t="shared" si="3"/>
        <v>398012.54190000007</v>
      </c>
      <c r="N10" s="460"/>
      <c r="O10" s="1"/>
    </row>
    <row r="11" spans="1:15">
      <c r="A11" s="43">
        <v>8</v>
      </c>
      <c r="B11" s="194">
        <v>46242</v>
      </c>
      <c r="C11" s="22"/>
      <c r="D11" s="22"/>
      <c r="E11" s="472">
        <v>115</v>
      </c>
      <c r="F11" s="472">
        <v>99.7</v>
      </c>
      <c r="G11" s="8">
        <f t="shared" si="0"/>
        <v>11465.5</v>
      </c>
      <c r="H11" s="9"/>
      <c r="I11" s="9"/>
      <c r="J11" s="458">
        <f t="shared" si="1"/>
        <v>0</v>
      </c>
      <c r="K11" s="8">
        <f t="shared" si="2"/>
        <v>11465.5</v>
      </c>
      <c r="L11" s="143"/>
      <c r="M11" s="8">
        <f t="shared" si="3"/>
        <v>409478.04190000007</v>
      </c>
      <c r="N11" s="460"/>
      <c r="O11" s="1"/>
    </row>
    <row r="12" spans="1:15">
      <c r="A12" s="43">
        <v>9</v>
      </c>
      <c r="B12" s="194">
        <v>46243</v>
      </c>
      <c r="C12" s="22"/>
      <c r="D12" s="22"/>
      <c r="E12" s="472">
        <v>230</v>
      </c>
      <c r="F12" s="472">
        <v>99.7</v>
      </c>
      <c r="G12" s="8">
        <f t="shared" si="0"/>
        <v>22931</v>
      </c>
      <c r="H12" s="9">
        <v>5</v>
      </c>
      <c r="I12" s="9">
        <v>111.82</v>
      </c>
      <c r="J12" s="8">
        <f t="shared" si="1"/>
        <v>559.09999999999991</v>
      </c>
      <c r="K12" s="16">
        <f t="shared" si="2"/>
        <v>23490.1</v>
      </c>
      <c r="L12" s="462"/>
      <c r="M12" s="16">
        <f t="shared" si="3"/>
        <v>432968.14190000005</v>
      </c>
      <c r="N12" s="41"/>
      <c r="O12" s="1" t="s">
        <v>258</v>
      </c>
    </row>
    <row r="13" spans="1:15">
      <c r="A13" s="43">
        <v>10</v>
      </c>
      <c r="B13" s="194">
        <v>46244</v>
      </c>
      <c r="C13" s="22"/>
      <c r="D13" s="22"/>
      <c r="E13" s="8">
        <v>84</v>
      </c>
      <c r="F13" s="8">
        <v>99.7</v>
      </c>
      <c r="G13" s="8">
        <f t="shared" si="0"/>
        <v>8374.8000000000011</v>
      </c>
      <c r="H13" s="9"/>
      <c r="I13" s="9"/>
      <c r="J13" s="8">
        <f t="shared" si="1"/>
        <v>0</v>
      </c>
      <c r="K13" s="8">
        <f t="shared" si="2"/>
        <v>8374.8000000000011</v>
      </c>
      <c r="L13" s="143"/>
      <c r="M13" s="8">
        <f t="shared" si="3"/>
        <v>441342.94190000003</v>
      </c>
      <c r="N13" s="41"/>
      <c r="O13" s="1"/>
    </row>
    <row r="14" spans="1:15">
      <c r="A14" s="43">
        <v>11</v>
      </c>
      <c r="B14" s="194">
        <v>46245</v>
      </c>
      <c r="C14" s="22"/>
      <c r="D14" s="22"/>
      <c r="E14" s="8">
        <v>166.9</v>
      </c>
      <c r="F14" s="8">
        <v>99.7</v>
      </c>
      <c r="G14" s="8">
        <f t="shared" si="0"/>
        <v>16639.93</v>
      </c>
      <c r="H14" s="9">
        <v>6</v>
      </c>
      <c r="I14" s="9">
        <v>111.82</v>
      </c>
      <c r="J14" s="8">
        <f t="shared" si="1"/>
        <v>670.92</v>
      </c>
      <c r="K14" s="8">
        <f t="shared" si="2"/>
        <v>17310.849999999999</v>
      </c>
      <c r="L14" s="143"/>
      <c r="M14" s="8">
        <f t="shared" si="3"/>
        <v>458653.79190000001</v>
      </c>
      <c r="N14" s="41"/>
      <c r="O14" s="1"/>
    </row>
    <row r="15" spans="1:15">
      <c r="A15" s="43">
        <v>12</v>
      </c>
      <c r="B15" s="194">
        <v>46246</v>
      </c>
      <c r="C15" s="22"/>
      <c r="D15" s="22"/>
      <c r="E15" s="8">
        <v>130</v>
      </c>
      <c r="F15" s="8">
        <v>99.7</v>
      </c>
      <c r="G15" s="8">
        <f t="shared" si="0"/>
        <v>12961</v>
      </c>
      <c r="H15" s="9"/>
      <c r="I15" s="9"/>
      <c r="J15" s="8">
        <f t="shared" si="1"/>
        <v>0</v>
      </c>
      <c r="K15" s="8">
        <f t="shared" si="2"/>
        <v>12961</v>
      </c>
      <c r="L15" s="143"/>
      <c r="M15" s="8">
        <f t="shared" si="3"/>
        <v>471614.79190000001</v>
      </c>
      <c r="N15" s="41"/>
      <c r="O15" s="1"/>
    </row>
    <row r="16" spans="1:15">
      <c r="A16" s="43">
        <v>13</v>
      </c>
      <c r="B16" s="194">
        <v>46247</v>
      </c>
      <c r="C16" s="22"/>
      <c r="D16" s="22"/>
      <c r="E16" s="8">
        <v>228.01</v>
      </c>
      <c r="F16" s="8">
        <v>99.7</v>
      </c>
      <c r="G16" s="8">
        <f t="shared" si="0"/>
        <v>22732.596999999998</v>
      </c>
      <c r="H16" s="9"/>
      <c r="I16" s="9"/>
      <c r="J16" s="8">
        <f t="shared" si="1"/>
        <v>0</v>
      </c>
      <c r="K16" s="8">
        <f t="shared" si="2"/>
        <v>22732.596999999998</v>
      </c>
      <c r="L16" s="143">
        <v>471000</v>
      </c>
      <c r="M16" s="8">
        <f>M15+K16-L16</f>
        <v>23347.38890000002</v>
      </c>
      <c r="N16" s="41"/>
      <c r="O16" s="1"/>
    </row>
    <row r="17" spans="1:21">
      <c r="A17" s="43">
        <v>14</v>
      </c>
      <c r="B17" s="194">
        <v>46248</v>
      </c>
      <c r="C17" s="22"/>
      <c r="D17" s="22"/>
      <c r="E17" s="8"/>
      <c r="F17" s="8"/>
      <c r="G17" s="8">
        <f t="shared" si="0"/>
        <v>0</v>
      </c>
      <c r="H17" s="9"/>
      <c r="I17" s="9"/>
      <c r="J17" s="8">
        <f t="shared" si="1"/>
        <v>0</v>
      </c>
      <c r="K17" s="8">
        <f t="shared" si="2"/>
        <v>0</v>
      </c>
      <c r="L17" s="143"/>
      <c r="M17" s="8">
        <f>M16+K17-L17</f>
        <v>23347.38890000002</v>
      </c>
      <c r="N17" s="41"/>
      <c r="O17" s="1"/>
    </row>
    <row r="18" spans="1:21">
      <c r="A18" s="43">
        <v>15</v>
      </c>
      <c r="B18" s="194">
        <v>46249</v>
      </c>
      <c r="C18" s="22"/>
      <c r="D18" s="22"/>
      <c r="E18" s="8"/>
      <c r="F18" s="8"/>
      <c r="G18" s="8">
        <f t="shared" si="0"/>
        <v>0</v>
      </c>
      <c r="H18" s="9"/>
      <c r="I18" s="9"/>
      <c r="J18" s="8">
        <f t="shared" si="1"/>
        <v>0</v>
      </c>
      <c r="K18" s="8">
        <f t="shared" si="2"/>
        <v>0</v>
      </c>
      <c r="L18" s="143"/>
      <c r="M18" s="8">
        <f t="shared" ref="M18:M36" si="4">M17+K18-L18</f>
        <v>23347.38890000002</v>
      </c>
      <c r="N18" s="41"/>
      <c r="O18" s="1"/>
    </row>
    <row r="19" spans="1:21">
      <c r="A19" s="43">
        <v>16</v>
      </c>
      <c r="B19" s="194">
        <v>46250</v>
      </c>
      <c r="C19" s="22"/>
      <c r="D19" s="22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43"/>
      <c r="M19" s="8">
        <f t="shared" si="4"/>
        <v>23347.38890000002</v>
      </c>
      <c r="N19" s="41"/>
      <c r="O19" s="1"/>
    </row>
    <row r="20" spans="1:21">
      <c r="A20" s="43">
        <v>17</v>
      </c>
      <c r="B20" s="194">
        <v>46251</v>
      </c>
      <c r="C20" s="22"/>
      <c r="D20" s="22"/>
      <c r="E20" s="8"/>
      <c r="F20" s="8"/>
      <c r="G20" s="8">
        <f t="shared" si="0"/>
        <v>0</v>
      </c>
      <c r="H20" s="9">
        <v>5</v>
      </c>
      <c r="I20" s="9">
        <v>111.82</v>
      </c>
      <c r="J20" s="8">
        <f t="shared" si="1"/>
        <v>559.09999999999991</v>
      </c>
      <c r="K20" s="8">
        <f t="shared" si="2"/>
        <v>559.09999999999991</v>
      </c>
      <c r="L20" s="143"/>
      <c r="M20" s="8">
        <f t="shared" si="4"/>
        <v>23906.488900000018</v>
      </c>
      <c r="N20" s="41"/>
      <c r="O20" s="1"/>
    </row>
    <row r="21" spans="1:21">
      <c r="A21" s="43">
        <v>18</v>
      </c>
      <c r="B21" s="194">
        <v>46252</v>
      </c>
      <c r="C21" s="22"/>
      <c r="D21" s="22"/>
      <c r="E21" s="8"/>
      <c r="F21" s="8"/>
      <c r="G21" s="8">
        <f t="shared" si="0"/>
        <v>0</v>
      </c>
      <c r="H21" s="472"/>
      <c r="I21" s="9"/>
      <c r="J21" s="8">
        <f t="shared" si="1"/>
        <v>0</v>
      </c>
      <c r="K21" s="8">
        <f t="shared" si="2"/>
        <v>0</v>
      </c>
      <c r="L21" s="143"/>
      <c r="M21" s="8">
        <f t="shared" si="4"/>
        <v>23906.488900000018</v>
      </c>
      <c r="N21" s="41"/>
      <c r="O21" s="1"/>
    </row>
    <row r="22" spans="1:21">
      <c r="A22" s="43">
        <v>19</v>
      </c>
      <c r="B22" s="194">
        <v>46253</v>
      </c>
      <c r="C22" s="22"/>
      <c r="D22" s="22"/>
      <c r="E22" s="8">
        <v>135</v>
      </c>
      <c r="F22" s="8">
        <v>99.7</v>
      </c>
      <c r="G22" s="8">
        <f t="shared" si="0"/>
        <v>13459.5</v>
      </c>
      <c r="H22" s="472">
        <v>11</v>
      </c>
      <c r="I22" s="9">
        <v>111.82</v>
      </c>
      <c r="J22" s="8">
        <f t="shared" si="1"/>
        <v>1230.02</v>
      </c>
      <c r="K22" s="8">
        <f>G22+J22</f>
        <v>14689.52</v>
      </c>
      <c r="L22" s="143"/>
      <c r="M22" s="8">
        <f t="shared" si="4"/>
        <v>38596.008900000015</v>
      </c>
      <c r="N22" s="41"/>
      <c r="O22" s="1"/>
      <c r="U22">
        <f>70+20+E2690</f>
        <v>90</v>
      </c>
    </row>
    <row r="23" spans="1:21">
      <c r="A23" s="43">
        <v>20</v>
      </c>
      <c r="B23" s="194">
        <v>46254</v>
      </c>
      <c r="C23" s="22"/>
      <c r="D23" s="22"/>
      <c r="E23" s="8"/>
      <c r="F23" s="8"/>
      <c r="G23" s="8">
        <f t="shared" si="0"/>
        <v>0</v>
      </c>
      <c r="H23" s="9">
        <v>6</v>
      </c>
      <c r="I23" s="9">
        <v>111.82</v>
      </c>
      <c r="J23" s="8">
        <f t="shared" si="1"/>
        <v>670.92</v>
      </c>
      <c r="K23" s="8">
        <f t="shared" si="2"/>
        <v>670.92</v>
      </c>
      <c r="L23" s="143"/>
      <c r="M23" s="8">
        <f t="shared" si="4"/>
        <v>39266.928900000014</v>
      </c>
      <c r="N23" s="41"/>
      <c r="O23" s="1"/>
    </row>
    <row r="24" spans="1:21">
      <c r="A24" s="43">
        <v>21</v>
      </c>
      <c r="B24" s="194">
        <v>46255</v>
      </c>
      <c r="C24" s="22"/>
      <c r="D24" s="22"/>
      <c r="E24" s="8">
        <v>35</v>
      </c>
      <c r="F24" s="8">
        <v>99.7</v>
      </c>
      <c r="G24" s="8">
        <f t="shared" si="0"/>
        <v>3489.5</v>
      </c>
      <c r="H24" s="9"/>
      <c r="I24" s="9"/>
      <c r="J24" s="8">
        <f t="shared" si="1"/>
        <v>0</v>
      </c>
      <c r="K24" s="8">
        <f t="shared" si="2"/>
        <v>3489.5</v>
      </c>
      <c r="L24" s="143"/>
      <c r="M24" s="8">
        <f t="shared" si="4"/>
        <v>42756.428900000014</v>
      </c>
      <c r="N24" s="41"/>
      <c r="O24" s="1"/>
    </row>
    <row r="25" spans="1:21">
      <c r="A25" s="43">
        <v>22</v>
      </c>
      <c r="B25" s="194">
        <v>46256</v>
      </c>
      <c r="C25" s="22"/>
      <c r="D25" s="22"/>
      <c r="E25" s="8"/>
      <c r="F25" s="8"/>
      <c r="G25" s="8">
        <f t="shared" si="0"/>
        <v>0</v>
      </c>
      <c r="H25" s="9"/>
      <c r="I25" s="9"/>
      <c r="J25" s="8">
        <f>H25*I25</f>
        <v>0</v>
      </c>
      <c r="K25" s="8">
        <f>G25+J25</f>
        <v>0</v>
      </c>
      <c r="L25" s="143"/>
      <c r="M25" s="8">
        <f t="shared" si="4"/>
        <v>42756.428900000014</v>
      </c>
      <c r="N25" s="41"/>
      <c r="O25" s="1"/>
    </row>
    <row r="26" spans="1:21">
      <c r="A26" s="43">
        <v>23</v>
      </c>
      <c r="B26" s="194">
        <v>46257</v>
      </c>
      <c r="C26" s="22"/>
      <c r="D26" s="22"/>
      <c r="E26" s="8">
        <v>250</v>
      </c>
      <c r="F26" s="8">
        <v>99.7</v>
      </c>
      <c r="G26" s="8">
        <f t="shared" si="0"/>
        <v>24925</v>
      </c>
      <c r="H26" s="9"/>
      <c r="I26" s="9"/>
      <c r="J26" s="8">
        <f t="shared" si="1"/>
        <v>0</v>
      </c>
      <c r="K26" s="8">
        <f>G26+J26</f>
        <v>24925</v>
      </c>
      <c r="L26" s="143"/>
      <c r="M26" s="8">
        <f t="shared" si="4"/>
        <v>67681.428900000014</v>
      </c>
      <c r="N26" s="41"/>
      <c r="O26" s="1"/>
    </row>
    <row r="27" spans="1:21">
      <c r="A27" s="43">
        <v>24</v>
      </c>
      <c r="B27" s="194">
        <v>46258</v>
      </c>
      <c r="C27" s="22"/>
      <c r="D27" s="22"/>
      <c r="E27" s="8">
        <v>200</v>
      </c>
      <c r="F27" s="8">
        <v>99.7</v>
      </c>
      <c r="G27" s="8">
        <f t="shared" si="0"/>
        <v>19940</v>
      </c>
      <c r="H27" s="9">
        <v>5</v>
      </c>
      <c r="I27" s="9">
        <v>111.82</v>
      </c>
      <c r="J27" s="8">
        <f t="shared" si="1"/>
        <v>559.09999999999991</v>
      </c>
      <c r="K27" s="8">
        <f>G27+J27</f>
        <v>20499.099999999999</v>
      </c>
      <c r="L27" s="143"/>
      <c r="M27" s="8">
        <f t="shared" si="4"/>
        <v>88180.528900000005</v>
      </c>
      <c r="N27" s="41"/>
      <c r="O27" s="1"/>
    </row>
    <row r="28" spans="1:21">
      <c r="A28" s="43">
        <v>25</v>
      </c>
      <c r="B28" s="194">
        <v>46259</v>
      </c>
      <c r="C28" s="22"/>
      <c r="D28" s="22"/>
      <c r="E28" s="8"/>
      <c r="F28" s="8"/>
      <c r="G28" s="8">
        <f t="shared" si="0"/>
        <v>0</v>
      </c>
      <c r="H28" s="9"/>
      <c r="I28" s="9"/>
      <c r="J28" s="8">
        <f t="shared" si="1"/>
        <v>0</v>
      </c>
      <c r="K28" s="8">
        <f t="shared" si="2"/>
        <v>0</v>
      </c>
      <c r="L28" s="143"/>
      <c r="M28" s="8">
        <f t="shared" si="4"/>
        <v>88180.528900000005</v>
      </c>
      <c r="N28" s="41"/>
      <c r="O28" s="1"/>
    </row>
    <row r="29" spans="1:21">
      <c r="A29" s="43">
        <v>26</v>
      </c>
      <c r="B29" s="194">
        <v>46260</v>
      </c>
      <c r="C29" s="22"/>
      <c r="D29" s="22"/>
      <c r="E29" s="8">
        <v>100</v>
      </c>
      <c r="F29" s="8">
        <v>99.7</v>
      </c>
      <c r="G29" s="8">
        <f t="shared" si="0"/>
        <v>9970</v>
      </c>
      <c r="H29" s="9">
        <v>5</v>
      </c>
      <c r="I29" s="9">
        <v>111.82</v>
      </c>
      <c r="J29" s="8">
        <f t="shared" si="1"/>
        <v>559.09999999999991</v>
      </c>
      <c r="K29" s="8">
        <f t="shared" si="2"/>
        <v>10529.1</v>
      </c>
      <c r="L29" s="143"/>
      <c r="M29" s="8">
        <f t="shared" si="4"/>
        <v>98709.628900000011</v>
      </c>
      <c r="N29" s="41"/>
      <c r="O29" s="1"/>
    </row>
    <row r="30" spans="1:21">
      <c r="A30" s="43">
        <v>27</v>
      </c>
      <c r="B30" s="194">
        <v>46261</v>
      </c>
      <c r="C30" s="22"/>
      <c r="D30" s="22"/>
      <c r="E30" s="8">
        <v>94</v>
      </c>
      <c r="F30" s="8">
        <v>99.7</v>
      </c>
      <c r="G30" s="8">
        <f t="shared" si="0"/>
        <v>9371.8000000000011</v>
      </c>
      <c r="H30" s="9">
        <v>10</v>
      </c>
      <c r="I30" s="9">
        <v>111.82</v>
      </c>
      <c r="J30" s="8">
        <f t="shared" si="1"/>
        <v>1118.1999999999998</v>
      </c>
      <c r="K30" s="8">
        <f t="shared" si="2"/>
        <v>10490</v>
      </c>
      <c r="L30" s="143"/>
      <c r="M30" s="8">
        <f t="shared" si="4"/>
        <v>109199.62890000001</v>
      </c>
      <c r="N30" s="41"/>
      <c r="O30" s="1"/>
    </row>
    <row r="31" spans="1:21">
      <c r="A31" s="43">
        <v>28</v>
      </c>
      <c r="B31" s="194">
        <v>46262</v>
      </c>
      <c r="C31" s="22"/>
      <c r="D31" s="22"/>
      <c r="E31" s="8"/>
      <c r="F31" s="8"/>
      <c r="G31" s="8">
        <f t="shared" si="0"/>
        <v>0</v>
      </c>
      <c r="H31" s="9"/>
      <c r="I31" s="9"/>
      <c r="J31" s="8">
        <f>H31*I31</f>
        <v>0</v>
      </c>
      <c r="K31" s="8">
        <f t="shared" si="2"/>
        <v>0</v>
      </c>
      <c r="L31" s="143"/>
      <c r="M31" s="8">
        <f t="shared" si="4"/>
        <v>109199.62890000001</v>
      </c>
      <c r="N31" s="41"/>
      <c r="O31" s="1"/>
    </row>
    <row r="32" spans="1:21">
      <c r="A32" s="43">
        <v>29</v>
      </c>
      <c r="B32" s="194">
        <v>46263</v>
      </c>
      <c r="C32" s="22"/>
      <c r="D32" s="22"/>
      <c r="E32" s="8">
        <v>128</v>
      </c>
      <c r="F32" s="8">
        <v>99.7</v>
      </c>
      <c r="G32" s="8">
        <f t="shared" si="0"/>
        <v>12761.6</v>
      </c>
      <c r="H32" s="9"/>
      <c r="I32" s="9"/>
      <c r="J32" s="8">
        <f t="shared" si="1"/>
        <v>0</v>
      </c>
      <c r="K32" s="8">
        <f t="shared" si="2"/>
        <v>12761.6</v>
      </c>
      <c r="L32" s="143"/>
      <c r="M32" s="8">
        <f t="shared" si="4"/>
        <v>121961.22890000002</v>
      </c>
      <c r="N32" s="41"/>
      <c r="O32" s="1"/>
    </row>
    <row r="33" spans="1:16">
      <c r="A33" s="43">
        <v>30</v>
      </c>
      <c r="B33" s="194">
        <v>46264</v>
      </c>
      <c r="C33" s="22"/>
      <c r="D33" s="22"/>
      <c r="E33" s="8">
        <v>100</v>
      </c>
      <c r="F33" s="8">
        <v>99.7</v>
      </c>
      <c r="G33" s="8">
        <f t="shared" si="0"/>
        <v>9970</v>
      </c>
      <c r="H33" s="9"/>
      <c r="I33" s="9"/>
      <c r="J33" s="8">
        <f t="shared" si="1"/>
        <v>0</v>
      </c>
      <c r="K33" s="8">
        <f t="shared" si="2"/>
        <v>9970</v>
      </c>
      <c r="L33" s="143"/>
      <c r="M33" s="8">
        <f t="shared" si="4"/>
        <v>131931.22890000002</v>
      </c>
      <c r="N33" s="41"/>
      <c r="O33" s="1"/>
    </row>
    <row r="34" spans="1:16">
      <c r="A34" s="43">
        <v>31</v>
      </c>
      <c r="B34" s="194">
        <v>46265</v>
      </c>
      <c r="C34" s="22"/>
      <c r="D34" s="22"/>
      <c r="E34" s="8">
        <v>130</v>
      </c>
      <c r="F34" s="8">
        <v>99.7</v>
      </c>
      <c r="G34" s="8">
        <f t="shared" si="0"/>
        <v>12961</v>
      </c>
      <c r="H34" s="9"/>
      <c r="I34" s="9"/>
      <c r="J34" s="8">
        <f t="shared" si="1"/>
        <v>0</v>
      </c>
      <c r="K34" s="8">
        <f t="shared" si="2"/>
        <v>12961</v>
      </c>
      <c r="L34" s="143">
        <v>0</v>
      </c>
      <c r="M34" s="8">
        <f t="shared" si="4"/>
        <v>144892.22890000002</v>
      </c>
      <c r="N34" s="41"/>
      <c r="O34" s="1"/>
    </row>
    <row r="35" spans="1:16">
      <c r="A35" s="43">
        <v>32</v>
      </c>
      <c r="B35" s="194"/>
      <c r="C35" s="22"/>
      <c r="D35" s="22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3">
        <v>0</v>
      </c>
      <c r="M35" s="8">
        <f t="shared" si="4"/>
        <v>144892.22890000002</v>
      </c>
      <c r="N35" s="41"/>
      <c r="O35" s="1"/>
    </row>
    <row r="36" spans="1:16">
      <c r="A36" s="189"/>
      <c r="B36" s="194"/>
      <c r="C36" s="22"/>
      <c r="D36" s="22"/>
      <c r="E36" s="8"/>
      <c r="F36" s="8"/>
      <c r="G36" s="8"/>
      <c r="H36" s="9">
        <v>0</v>
      </c>
      <c r="I36" s="9">
        <v>0</v>
      </c>
      <c r="J36" s="8"/>
      <c r="K36" s="8"/>
      <c r="L36" s="143"/>
      <c r="M36" s="8">
        <f t="shared" si="4"/>
        <v>144892.22890000002</v>
      </c>
      <c r="N36" s="41"/>
      <c r="O36" s="1">
        <v>866821.10920000006</v>
      </c>
      <c r="P36" s="167">
        <f>O36-M36</f>
        <v>721928.88030000008</v>
      </c>
    </row>
    <row r="37" spans="1:16">
      <c r="A37" s="59"/>
      <c r="B37" s="59"/>
      <c r="C37" s="59"/>
      <c r="D37" s="59"/>
      <c r="E37" s="60">
        <f>SUM(E4:E35)</f>
        <v>2650.91</v>
      </c>
      <c r="F37" s="60"/>
      <c r="G37" s="60">
        <f>SUM(G4:G35)</f>
        <v>264295.72700000001</v>
      </c>
      <c r="H37" s="60">
        <f>SUM(H4:H35)</f>
        <v>69</v>
      </c>
      <c r="I37" s="60"/>
      <c r="J37" s="60">
        <f>SUM(J4:J35)</f>
        <v>7715.5800000000008</v>
      </c>
      <c r="K37" s="60">
        <f>SUM(K4:K35)</f>
        <v>272011.30700000003</v>
      </c>
      <c r="L37" s="60">
        <f>SUM(L4:L35)</f>
        <v>471000</v>
      </c>
      <c r="M37" s="60"/>
      <c r="N37" s="60"/>
      <c r="O37" s="56"/>
    </row>
    <row r="38" spans="1:16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6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6">
      <c r="A40" s="1"/>
      <c r="B40" s="593"/>
      <c r="C40" s="593"/>
      <c r="D40" s="593"/>
      <c r="E40" s="593"/>
      <c r="F40" s="1"/>
      <c r="G40" s="1"/>
      <c r="H40" s="1"/>
      <c r="I40" s="594">
        <f>K25+L25</f>
        <v>0</v>
      </c>
      <c r="J40" s="593"/>
      <c r="K40" s="593"/>
      <c r="L40" s="593"/>
      <c r="M40" s="593"/>
      <c r="N40" s="593"/>
      <c r="O40" s="4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5"/>
  <sheetViews>
    <sheetView workbookViewId="0">
      <pane ySplit="2" topLeftCell="A24" activePane="bottomLeft" state="frozen"/>
      <selection pane="bottomLeft" activeCell="M35" sqref="M35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567" t="s">
        <v>144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6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6">
      <c r="A3" s="584" t="s">
        <v>181</v>
      </c>
      <c r="B3" s="584"/>
      <c r="C3" s="584"/>
      <c r="D3" s="584"/>
      <c r="E3" s="584"/>
      <c r="F3" s="584"/>
      <c r="G3" s="584"/>
      <c r="H3" s="584"/>
      <c r="I3" s="584"/>
      <c r="J3" s="584"/>
      <c r="K3" s="92">
        <v>59887.243099999934</v>
      </c>
      <c r="L3" s="14"/>
      <c r="M3" s="14">
        <v>59887.243099999934</v>
      </c>
      <c r="N3" s="226"/>
      <c r="O3" s="56"/>
    </row>
    <row r="4" spans="1:16">
      <c r="A4" s="43">
        <v>1</v>
      </c>
      <c r="B4" s="313">
        <v>46235</v>
      </c>
      <c r="C4" s="64"/>
      <c r="D4" s="152"/>
      <c r="E4" s="62">
        <v>45</v>
      </c>
      <c r="F4" s="62">
        <v>99.64</v>
      </c>
      <c r="G4" s="8">
        <f>E4*F4</f>
        <v>4483.8</v>
      </c>
      <c r="H4" s="62">
        <v>6</v>
      </c>
      <c r="I4" s="63">
        <v>111.77</v>
      </c>
      <c r="J4" s="8">
        <f>H4*I4</f>
        <v>670.62</v>
      </c>
      <c r="K4" s="8">
        <f>G4+J4</f>
        <v>5154.42</v>
      </c>
      <c r="L4" s="65"/>
      <c r="M4" s="65">
        <f t="shared" ref="M4:M21" si="0">M3+K4-L4</f>
        <v>65041.663099999932</v>
      </c>
      <c r="N4" s="447"/>
    </row>
    <row r="5" spans="1:16">
      <c r="A5" s="43">
        <v>2</v>
      </c>
      <c r="B5" s="313">
        <v>46236</v>
      </c>
      <c r="C5" s="64"/>
      <c r="D5" s="64"/>
      <c r="E5" s="62"/>
      <c r="F5" s="62"/>
      <c r="G5" s="8">
        <f t="shared" ref="G5:G35" si="1">E5*F5</f>
        <v>0</v>
      </c>
      <c r="H5" s="62"/>
      <c r="I5" s="63"/>
      <c r="J5" s="8">
        <f t="shared" ref="J5:J35" si="2">H5*I5</f>
        <v>0</v>
      </c>
      <c r="K5" s="8">
        <f t="shared" ref="K5:K35" si="3">G5+J5</f>
        <v>0</v>
      </c>
      <c r="L5" s="65"/>
      <c r="M5" s="65">
        <f t="shared" si="0"/>
        <v>65041.663099999932</v>
      </c>
      <c r="N5" s="448"/>
    </row>
    <row r="6" spans="1:16">
      <c r="A6" s="43">
        <v>3</v>
      </c>
      <c r="B6" s="313">
        <v>46237</v>
      </c>
      <c r="C6" s="64"/>
      <c r="D6" s="64"/>
      <c r="E6" s="62">
        <v>42</v>
      </c>
      <c r="F6" s="62">
        <v>99.64</v>
      </c>
      <c r="G6" s="8">
        <f t="shared" si="1"/>
        <v>4184.88</v>
      </c>
      <c r="H6" s="62"/>
      <c r="I6" s="63"/>
      <c r="J6" s="8">
        <f t="shared" si="2"/>
        <v>0</v>
      </c>
      <c r="K6" s="8">
        <f t="shared" si="3"/>
        <v>4184.88</v>
      </c>
      <c r="L6" s="65"/>
      <c r="M6" s="65">
        <f t="shared" si="0"/>
        <v>69226.543099999937</v>
      </c>
      <c r="N6" s="449"/>
    </row>
    <row r="7" spans="1:16">
      <c r="A7" s="43">
        <v>4</v>
      </c>
      <c r="B7" s="313">
        <v>46238</v>
      </c>
      <c r="C7" s="64"/>
      <c r="D7" s="68"/>
      <c r="E7" s="62"/>
      <c r="F7" s="62"/>
      <c r="G7" s="8">
        <f t="shared" si="1"/>
        <v>0</v>
      </c>
      <c r="H7" s="62">
        <v>5</v>
      </c>
      <c r="I7" s="63">
        <v>111.77</v>
      </c>
      <c r="J7" s="8">
        <f t="shared" si="2"/>
        <v>558.85</v>
      </c>
      <c r="K7" s="8">
        <f t="shared" si="3"/>
        <v>558.85</v>
      </c>
      <c r="L7" s="65"/>
      <c r="M7" s="65">
        <f t="shared" si="0"/>
        <v>69785.393099999943</v>
      </c>
      <c r="N7" s="450"/>
    </row>
    <row r="8" spans="1:16">
      <c r="A8" s="43">
        <v>5</v>
      </c>
      <c r="B8" s="313">
        <v>46239</v>
      </c>
      <c r="C8" s="64"/>
      <c r="D8" s="68"/>
      <c r="E8" s="62">
        <v>22</v>
      </c>
      <c r="F8" s="62">
        <v>99.64</v>
      </c>
      <c r="G8" s="8">
        <f t="shared" si="1"/>
        <v>2192.08</v>
      </c>
      <c r="H8" s="62"/>
      <c r="I8" s="63"/>
      <c r="J8" s="8">
        <f t="shared" si="2"/>
        <v>0</v>
      </c>
      <c r="K8" s="8">
        <f t="shared" si="3"/>
        <v>2192.08</v>
      </c>
      <c r="L8" s="65"/>
      <c r="M8" s="65">
        <f t="shared" si="0"/>
        <v>71977.473099999945</v>
      </c>
      <c r="N8" s="450"/>
      <c r="O8" s="236">
        <v>8497892194</v>
      </c>
      <c r="P8" s="237" t="s">
        <v>259</v>
      </c>
    </row>
    <row r="9" spans="1:16">
      <c r="A9" s="189">
        <v>6</v>
      </c>
      <c r="B9" s="313">
        <v>46240</v>
      </c>
      <c r="C9" s="451"/>
      <c r="D9" s="452"/>
      <c r="E9" s="62">
        <v>20</v>
      </c>
      <c r="F9" s="62">
        <v>99.64</v>
      </c>
      <c r="G9" s="136">
        <f t="shared" si="1"/>
        <v>1992.8</v>
      </c>
      <c r="H9" s="146">
        <v>11</v>
      </c>
      <c r="I9" s="63">
        <v>111.77</v>
      </c>
      <c r="J9" s="17">
        <f t="shared" si="2"/>
        <v>1229.47</v>
      </c>
      <c r="K9" s="17">
        <f t="shared" si="3"/>
        <v>3222.27</v>
      </c>
      <c r="L9" s="137"/>
      <c r="M9" s="137">
        <f t="shared" si="0"/>
        <v>75199.743099999949</v>
      </c>
      <c r="N9" s="38"/>
      <c r="O9" s="66"/>
    </row>
    <row r="10" spans="1:16">
      <c r="A10" s="43">
        <v>7</v>
      </c>
      <c r="B10" s="313">
        <v>46241</v>
      </c>
      <c r="C10" s="67"/>
      <c r="D10" s="68"/>
      <c r="E10" s="146">
        <v>120</v>
      </c>
      <c r="F10" s="146">
        <v>99.64</v>
      </c>
      <c r="G10" s="136">
        <f t="shared" si="1"/>
        <v>11956.8</v>
      </c>
      <c r="H10" s="146"/>
      <c r="I10" s="147"/>
      <c r="J10" s="17">
        <f t="shared" si="2"/>
        <v>0</v>
      </c>
      <c r="K10" s="17">
        <f t="shared" si="3"/>
        <v>11956.8</v>
      </c>
      <c r="L10" s="137"/>
      <c r="M10" s="11">
        <f t="shared" si="0"/>
        <v>87156.543099999952</v>
      </c>
      <c r="N10" s="38"/>
      <c r="O10" s="66"/>
    </row>
    <row r="11" spans="1:16">
      <c r="A11" s="43">
        <v>8</v>
      </c>
      <c r="B11" s="313">
        <v>46242</v>
      </c>
      <c r="C11" s="67"/>
      <c r="D11" s="68"/>
      <c r="E11" s="472">
        <v>40</v>
      </c>
      <c r="F11" s="472">
        <v>99.64</v>
      </c>
      <c r="G11" s="136">
        <f t="shared" si="1"/>
        <v>3985.6</v>
      </c>
      <c r="H11" s="146"/>
      <c r="I11" s="147"/>
      <c r="J11" s="17">
        <f t="shared" si="2"/>
        <v>0</v>
      </c>
      <c r="K11" s="17">
        <f t="shared" si="3"/>
        <v>3985.6</v>
      </c>
      <c r="L11" s="137"/>
      <c r="M11" s="11">
        <f t="shared" si="0"/>
        <v>91142.143099999957</v>
      </c>
      <c r="N11" s="38"/>
      <c r="O11" s="66"/>
    </row>
    <row r="12" spans="1:16">
      <c r="A12" s="43">
        <v>9</v>
      </c>
      <c r="B12" s="313">
        <v>46243</v>
      </c>
      <c r="C12" s="67"/>
      <c r="D12" s="68"/>
      <c r="E12" s="472">
        <v>20</v>
      </c>
      <c r="F12" s="472">
        <v>99.64</v>
      </c>
      <c r="G12" s="136">
        <f t="shared" si="1"/>
        <v>1992.8</v>
      </c>
      <c r="H12" s="146"/>
      <c r="I12" s="147"/>
      <c r="J12" s="17">
        <f t="shared" si="2"/>
        <v>0</v>
      </c>
      <c r="K12" s="17">
        <f t="shared" si="3"/>
        <v>1992.8</v>
      </c>
      <c r="L12" s="137"/>
      <c r="M12" s="11">
        <f t="shared" si="0"/>
        <v>93134.94309999996</v>
      </c>
      <c r="N12" s="38"/>
      <c r="O12" s="66"/>
    </row>
    <row r="13" spans="1:16">
      <c r="A13" s="43">
        <v>10</v>
      </c>
      <c r="B13" s="313">
        <v>46244</v>
      </c>
      <c r="C13" s="67"/>
      <c r="D13" s="68"/>
      <c r="E13" s="146"/>
      <c r="F13" s="146"/>
      <c r="G13" s="136">
        <f t="shared" si="1"/>
        <v>0</v>
      </c>
      <c r="H13" s="146">
        <v>7.06</v>
      </c>
      <c r="I13" s="147">
        <v>111.77</v>
      </c>
      <c r="J13" s="17">
        <f t="shared" si="2"/>
        <v>789.09619999999995</v>
      </c>
      <c r="K13" s="17">
        <f t="shared" si="3"/>
        <v>789.09619999999995</v>
      </c>
      <c r="L13" s="137"/>
      <c r="M13" s="11">
        <f t="shared" si="0"/>
        <v>93924.03929999996</v>
      </c>
      <c r="N13" s="38"/>
      <c r="O13" s="66"/>
    </row>
    <row r="14" spans="1:16">
      <c r="A14" s="43">
        <v>11</v>
      </c>
      <c r="B14" s="313">
        <v>46245</v>
      </c>
      <c r="C14" s="67"/>
      <c r="D14" s="68"/>
      <c r="E14" s="146">
        <v>40</v>
      </c>
      <c r="F14" s="146">
        <v>99.64</v>
      </c>
      <c r="G14" s="136">
        <f t="shared" si="1"/>
        <v>3985.6</v>
      </c>
      <c r="H14" s="146"/>
      <c r="I14" s="147"/>
      <c r="J14" s="17">
        <f t="shared" si="2"/>
        <v>0</v>
      </c>
      <c r="K14" s="17">
        <f t="shared" si="3"/>
        <v>3985.6</v>
      </c>
      <c r="L14" s="137"/>
      <c r="M14" s="11">
        <f t="shared" si="0"/>
        <v>97909.639299999966</v>
      </c>
      <c r="N14" s="38"/>
      <c r="O14" s="66"/>
      <c r="P14">
        <f>535.3/5.36</f>
        <v>99.869402985074615</v>
      </c>
    </row>
    <row r="15" spans="1:16">
      <c r="A15" s="43">
        <v>12</v>
      </c>
      <c r="B15" s="313">
        <v>46246</v>
      </c>
      <c r="C15" s="67"/>
      <c r="D15" s="68"/>
      <c r="E15" s="146">
        <v>20</v>
      </c>
      <c r="F15" s="146">
        <v>99.64</v>
      </c>
      <c r="G15" s="136">
        <f t="shared" si="1"/>
        <v>1992.8</v>
      </c>
      <c r="H15" s="146">
        <v>5</v>
      </c>
      <c r="I15" s="147">
        <v>111.77</v>
      </c>
      <c r="J15" s="17">
        <f t="shared" si="2"/>
        <v>558.85</v>
      </c>
      <c r="K15" s="17">
        <f t="shared" si="3"/>
        <v>2551.65</v>
      </c>
      <c r="L15" s="137"/>
      <c r="M15" s="11">
        <f t="shared" si="0"/>
        <v>100461.28929999996</v>
      </c>
      <c r="N15" s="38"/>
      <c r="O15" s="66"/>
    </row>
    <row r="16" spans="1:16">
      <c r="A16" s="43">
        <v>13</v>
      </c>
      <c r="B16" s="313">
        <v>46247</v>
      </c>
      <c r="C16" s="67"/>
      <c r="D16" s="68"/>
      <c r="E16" s="146">
        <v>20</v>
      </c>
      <c r="F16" s="147">
        <v>99.64</v>
      </c>
      <c r="G16" s="136">
        <f t="shared" si="1"/>
        <v>1992.8</v>
      </c>
      <c r="H16" s="146"/>
      <c r="I16" s="147"/>
      <c r="J16" s="17">
        <f t="shared" si="2"/>
        <v>0</v>
      </c>
      <c r="K16" s="17">
        <f t="shared" si="3"/>
        <v>1992.8</v>
      </c>
      <c r="L16" s="137"/>
      <c r="M16" s="235">
        <f t="shared" si="0"/>
        <v>102454.08929999996</v>
      </c>
      <c r="N16" s="38"/>
      <c r="O16" s="66"/>
    </row>
    <row r="17" spans="1:18">
      <c r="A17" s="43">
        <v>14</v>
      </c>
      <c r="B17" s="313">
        <v>46248</v>
      </c>
      <c r="C17" s="67"/>
      <c r="D17" s="68"/>
      <c r="E17" s="146">
        <v>20</v>
      </c>
      <c r="F17" s="146">
        <v>99.64</v>
      </c>
      <c r="G17" s="136">
        <f t="shared" si="1"/>
        <v>1992.8</v>
      </c>
      <c r="H17" s="146"/>
      <c r="I17" s="147"/>
      <c r="J17" s="17">
        <f t="shared" si="2"/>
        <v>0</v>
      </c>
      <c r="K17" s="17">
        <f t="shared" si="3"/>
        <v>1992.8</v>
      </c>
      <c r="L17" s="137"/>
      <c r="M17" s="11">
        <f t="shared" si="0"/>
        <v>104446.88929999997</v>
      </c>
      <c r="N17" s="38"/>
      <c r="O17" s="66"/>
    </row>
    <row r="18" spans="1:18">
      <c r="A18" s="43">
        <v>15</v>
      </c>
      <c r="B18" s="313">
        <v>46249</v>
      </c>
      <c r="C18" s="67"/>
      <c r="D18" s="68"/>
      <c r="E18" s="146"/>
      <c r="F18" s="146">
        <v>99.64</v>
      </c>
      <c r="G18" s="136">
        <f t="shared" si="1"/>
        <v>0</v>
      </c>
      <c r="H18" s="146"/>
      <c r="I18" s="147"/>
      <c r="J18" s="17">
        <f t="shared" si="2"/>
        <v>0</v>
      </c>
      <c r="K18" s="17">
        <f t="shared" si="3"/>
        <v>0</v>
      </c>
      <c r="L18" s="137"/>
      <c r="M18" s="11">
        <f t="shared" si="0"/>
        <v>104446.88929999997</v>
      </c>
      <c r="N18" s="38"/>
      <c r="O18" s="66"/>
    </row>
    <row r="19" spans="1:18">
      <c r="A19" s="43">
        <v>16</v>
      </c>
      <c r="B19" s="313">
        <v>46250</v>
      </c>
      <c r="C19" s="183"/>
      <c r="D19" s="184"/>
      <c r="E19" s="146">
        <v>40</v>
      </c>
      <c r="F19" s="146">
        <v>99.64</v>
      </c>
      <c r="G19" s="136">
        <f t="shared" si="1"/>
        <v>3985.6</v>
      </c>
      <c r="H19" s="146">
        <v>16</v>
      </c>
      <c r="I19" s="147">
        <v>111.77</v>
      </c>
      <c r="J19" s="17">
        <f t="shared" si="2"/>
        <v>1788.32</v>
      </c>
      <c r="K19" s="17">
        <f t="shared" si="3"/>
        <v>5773.92</v>
      </c>
      <c r="L19" s="137"/>
      <c r="M19" s="12">
        <f t="shared" si="0"/>
        <v>110220.80929999996</v>
      </c>
      <c r="N19" s="185"/>
      <c r="O19" s="66"/>
    </row>
    <row r="20" spans="1:18">
      <c r="A20" s="43">
        <v>17</v>
      </c>
      <c r="B20" s="313">
        <v>46251</v>
      </c>
      <c r="C20" s="64"/>
      <c r="D20" s="68"/>
      <c r="E20" s="146">
        <v>70</v>
      </c>
      <c r="F20" s="146">
        <v>99.64</v>
      </c>
      <c r="G20" s="136">
        <f t="shared" si="1"/>
        <v>6974.8</v>
      </c>
      <c r="H20" s="146"/>
      <c r="I20" s="147">
        <v>111.77</v>
      </c>
      <c r="J20" s="17">
        <f t="shared" si="2"/>
        <v>0</v>
      </c>
      <c r="K20" s="17">
        <f t="shared" si="3"/>
        <v>6974.8</v>
      </c>
      <c r="L20" s="137"/>
      <c r="M20" s="12">
        <f t="shared" si="0"/>
        <v>117195.60929999997</v>
      </c>
      <c r="N20" s="38"/>
      <c r="O20" s="66"/>
    </row>
    <row r="21" spans="1:18">
      <c r="A21" s="43">
        <v>18</v>
      </c>
      <c r="B21" s="313">
        <v>46252</v>
      </c>
      <c r="C21" s="64"/>
      <c r="D21" s="68"/>
      <c r="E21" s="472">
        <v>20</v>
      </c>
      <c r="F21" s="146">
        <v>99.64</v>
      </c>
      <c r="G21" s="136">
        <f t="shared" si="1"/>
        <v>1992.8</v>
      </c>
      <c r="H21" s="146">
        <v>0</v>
      </c>
      <c r="I21" s="147">
        <v>111.77</v>
      </c>
      <c r="J21" s="17">
        <f t="shared" si="2"/>
        <v>0</v>
      </c>
      <c r="K21" s="17">
        <f t="shared" si="3"/>
        <v>1992.8</v>
      </c>
      <c r="L21" s="137"/>
      <c r="M21" s="12">
        <f t="shared" si="0"/>
        <v>119188.40929999997</v>
      </c>
      <c r="N21" s="38"/>
      <c r="O21" s="66"/>
    </row>
    <row r="22" spans="1:18">
      <c r="A22" s="43">
        <v>19</v>
      </c>
      <c r="B22" s="313">
        <v>46253</v>
      </c>
      <c r="C22" s="64"/>
      <c r="D22" s="68"/>
      <c r="E22" s="472">
        <v>20</v>
      </c>
      <c r="F22" s="472">
        <v>99.64</v>
      </c>
      <c r="G22" s="136">
        <f t="shared" si="1"/>
        <v>1992.8</v>
      </c>
      <c r="H22" s="146">
        <v>6</v>
      </c>
      <c r="I22" s="147">
        <v>111.77</v>
      </c>
      <c r="J22" s="17">
        <f t="shared" si="2"/>
        <v>670.62</v>
      </c>
      <c r="K22" s="17">
        <f t="shared" si="3"/>
        <v>2663.42</v>
      </c>
      <c r="L22" s="137"/>
      <c r="M22" s="12">
        <f t="shared" ref="M22:M31" si="4">M21+K22-L22</f>
        <v>121851.82929999997</v>
      </c>
      <c r="N22" s="38"/>
      <c r="O22" s="66"/>
    </row>
    <row r="23" spans="1:18">
      <c r="A23" s="43"/>
      <c r="B23" s="313">
        <v>46254</v>
      </c>
      <c r="C23" s="64"/>
      <c r="D23" s="68"/>
      <c r="E23" s="146">
        <v>20</v>
      </c>
      <c r="F23" s="146">
        <v>99.64</v>
      </c>
      <c r="G23" s="136">
        <f t="shared" si="1"/>
        <v>1992.8</v>
      </c>
      <c r="H23" s="146">
        <v>0</v>
      </c>
      <c r="I23" s="147">
        <v>111.77</v>
      </c>
      <c r="J23" s="17">
        <f t="shared" si="2"/>
        <v>0</v>
      </c>
      <c r="K23" s="17">
        <f t="shared" si="3"/>
        <v>1992.8</v>
      </c>
      <c r="L23" s="137"/>
      <c r="M23" s="12">
        <f t="shared" si="4"/>
        <v>123844.62929999997</v>
      </c>
      <c r="N23" s="38"/>
      <c r="O23" s="66"/>
    </row>
    <row r="24" spans="1:18">
      <c r="A24" s="43">
        <v>20</v>
      </c>
      <c r="B24" s="313">
        <v>46255</v>
      </c>
      <c r="C24" s="64"/>
      <c r="D24" s="68"/>
      <c r="E24" s="146"/>
      <c r="F24" s="146"/>
      <c r="G24" s="136">
        <f t="shared" si="1"/>
        <v>0</v>
      </c>
      <c r="H24" s="146"/>
      <c r="I24" s="147">
        <v>111.77</v>
      </c>
      <c r="J24" s="17">
        <f t="shared" si="2"/>
        <v>0</v>
      </c>
      <c r="K24" s="17">
        <f t="shared" si="3"/>
        <v>0</v>
      </c>
      <c r="L24" s="137"/>
      <c r="M24" s="12">
        <f t="shared" si="4"/>
        <v>123844.62929999997</v>
      </c>
      <c r="N24" s="38"/>
      <c r="O24" s="66"/>
    </row>
    <row r="25" spans="1:18">
      <c r="A25" s="43">
        <v>21</v>
      </c>
      <c r="B25" s="313">
        <v>46256</v>
      </c>
      <c r="C25" s="64"/>
      <c r="D25" s="68"/>
      <c r="E25" s="146"/>
      <c r="F25" s="146"/>
      <c r="G25" s="136">
        <f t="shared" si="1"/>
        <v>0</v>
      </c>
      <c r="H25" s="146"/>
      <c r="I25" s="147">
        <v>111.77</v>
      </c>
      <c r="J25" s="17">
        <f t="shared" si="2"/>
        <v>0</v>
      </c>
      <c r="K25" s="17">
        <f t="shared" si="3"/>
        <v>0</v>
      </c>
      <c r="L25" s="137"/>
      <c r="M25" s="12">
        <f t="shared" si="4"/>
        <v>123844.62929999997</v>
      </c>
      <c r="N25" s="38"/>
      <c r="O25" s="66"/>
    </row>
    <row r="26" spans="1:18">
      <c r="A26" s="43">
        <v>22</v>
      </c>
      <c r="B26" s="313">
        <v>46257</v>
      </c>
      <c r="C26" s="64"/>
      <c r="D26" s="68"/>
      <c r="E26" s="146">
        <v>90</v>
      </c>
      <c r="F26" s="146">
        <v>99.64</v>
      </c>
      <c r="G26" s="136">
        <f t="shared" si="1"/>
        <v>8967.6</v>
      </c>
      <c r="H26" s="146">
        <v>11</v>
      </c>
      <c r="I26" s="147">
        <v>111.77</v>
      </c>
      <c r="J26" s="17">
        <f t="shared" si="2"/>
        <v>1229.47</v>
      </c>
      <c r="K26" s="17">
        <f t="shared" si="3"/>
        <v>10197.07</v>
      </c>
      <c r="L26" s="137"/>
      <c r="M26" s="12">
        <f t="shared" si="4"/>
        <v>134041.69929999998</v>
      </c>
      <c r="N26" s="38"/>
      <c r="O26" s="66"/>
    </row>
    <row r="27" spans="1:18">
      <c r="A27" s="43">
        <v>23</v>
      </c>
      <c r="B27" s="313">
        <v>46258</v>
      </c>
      <c r="C27" s="64"/>
      <c r="D27" s="68"/>
      <c r="E27" s="146"/>
      <c r="F27" s="146"/>
      <c r="G27" s="136">
        <f t="shared" si="1"/>
        <v>0</v>
      </c>
      <c r="H27" s="146"/>
      <c r="I27" s="147"/>
      <c r="J27" s="17">
        <f t="shared" si="2"/>
        <v>0</v>
      </c>
      <c r="K27" s="17">
        <f t="shared" si="3"/>
        <v>0</v>
      </c>
      <c r="L27" s="137"/>
      <c r="M27" s="12">
        <f t="shared" si="4"/>
        <v>134041.69929999998</v>
      </c>
      <c r="N27" s="38"/>
      <c r="O27" s="66"/>
    </row>
    <row r="28" spans="1:18">
      <c r="A28" s="43">
        <v>24</v>
      </c>
      <c r="B28" s="313">
        <v>46259</v>
      </c>
      <c r="C28" s="64"/>
      <c r="D28" s="68"/>
      <c r="E28" s="146">
        <v>70</v>
      </c>
      <c r="F28" s="146">
        <v>99.64</v>
      </c>
      <c r="G28" s="136">
        <f t="shared" si="1"/>
        <v>6974.8</v>
      </c>
      <c r="H28" s="146"/>
      <c r="I28" s="147"/>
      <c r="J28" s="17">
        <f t="shared" si="2"/>
        <v>0</v>
      </c>
      <c r="K28" s="17">
        <f t="shared" si="3"/>
        <v>6974.8</v>
      </c>
      <c r="L28" s="137"/>
      <c r="M28" s="12">
        <f t="shared" si="4"/>
        <v>141016.49929999997</v>
      </c>
      <c r="N28" s="38"/>
      <c r="O28" s="66"/>
      <c r="R28">
        <v>66742</v>
      </c>
    </row>
    <row r="29" spans="1:18">
      <c r="A29" s="211">
        <v>25</v>
      </c>
      <c r="B29" s="313">
        <v>46260</v>
      </c>
      <c r="C29" s="188"/>
      <c r="D29" s="184"/>
      <c r="E29" s="146">
        <v>20</v>
      </c>
      <c r="F29" s="146">
        <v>99.64</v>
      </c>
      <c r="G29" s="136">
        <f t="shared" si="1"/>
        <v>1992.8</v>
      </c>
      <c r="H29" s="146">
        <v>6</v>
      </c>
      <c r="I29" s="147">
        <v>111.77</v>
      </c>
      <c r="J29" s="17">
        <f t="shared" si="2"/>
        <v>670.62</v>
      </c>
      <c r="K29" s="17">
        <f t="shared" si="3"/>
        <v>2663.42</v>
      </c>
      <c r="L29" s="137"/>
      <c r="M29" s="12">
        <f t="shared" si="4"/>
        <v>143679.91929999998</v>
      </c>
      <c r="N29" s="185"/>
      <c r="O29" s="66"/>
    </row>
    <row r="30" spans="1:18">
      <c r="A30" s="43">
        <v>26</v>
      </c>
      <c r="B30" s="313">
        <v>46261</v>
      </c>
      <c r="C30" s="64"/>
      <c r="D30" s="68"/>
      <c r="E30" s="146">
        <v>70</v>
      </c>
      <c r="F30" s="146">
        <v>99.64</v>
      </c>
      <c r="G30" s="136">
        <f t="shared" si="1"/>
        <v>6974.8</v>
      </c>
      <c r="H30" s="146"/>
      <c r="I30" s="147"/>
      <c r="J30" s="17">
        <f t="shared" si="2"/>
        <v>0</v>
      </c>
      <c r="K30" s="17">
        <f t="shared" si="3"/>
        <v>6974.8</v>
      </c>
      <c r="L30" s="137"/>
      <c r="M30" s="12">
        <f t="shared" si="4"/>
        <v>150654.71929999997</v>
      </c>
      <c r="N30" s="38"/>
      <c r="O30" s="66"/>
    </row>
    <row r="31" spans="1:18">
      <c r="A31" s="43">
        <v>27</v>
      </c>
      <c r="B31" s="313">
        <v>46262</v>
      </c>
      <c r="C31" s="64"/>
      <c r="D31" s="68"/>
      <c r="E31" s="146">
        <v>40</v>
      </c>
      <c r="F31" s="146">
        <v>99.64</v>
      </c>
      <c r="G31" s="136">
        <f t="shared" si="1"/>
        <v>3985.6</v>
      </c>
      <c r="H31" s="146"/>
      <c r="I31" s="147"/>
      <c r="J31" s="17">
        <f t="shared" si="2"/>
        <v>0</v>
      </c>
      <c r="K31" s="17">
        <f t="shared" si="3"/>
        <v>3985.6</v>
      </c>
      <c r="L31" s="137">
        <v>150654</v>
      </c>
      <c r="M31" s="12">
        <f t="shared" si="4"/>
        <v>3986.3192999999737</v>
      </c>
      <c r="N31" s="38"/>
      <c r="O31" s="66"/>
    </row>
    <row r="32" spans="1:18">
      <c r="A32" s="43">
        <v>28</v>
      </c>
      <c r="B32" s="313">
        <v>46263</v>
      </c>
      <c r="C32" s="64"/>
      <c r="D32" s="68"/>
      <c r="E32" s="472">
        <v>50</v>
      </c>
      <c r="F32" s="472">
        <v>99.64</v>
      </c>
      <c r="G32" s="136">
        <f t="shared" si="1"/>
        <v>4982</v>
      </c>
      <c r="H32" s="146">
        <v>6</v>
      </c>
      <c r="I32" s="147">
        <v>111.77</v>
      </c>
      <c r="J32" s="17">
        <f t="shared" si="2"/>
        <v>670.62</v>
      </c>
      <c r="K32" s="17">
        <f t="shared" si="3"/>
        <v>5652.62</v>
      </c>
      <c r="L32" s="137"/>
      <c r="M32" s="12">
        <f>M31+K32-L32</f>
        <v>9638.9392999999727</v>
      </c>
      <c r="N32" s="38"/>
      <c r="O32" s="66"/>
    </row>
    <row r="33" spans="1:15">
      <c r="A33" s="43">
        <v>29</v>
      </c>
      <c r="B33" s="313">
        <v>46264</v>
      </c>
      <c r="C33" s="64"/>
      <c r="D33" s="68"/>
      <c r="E33" s="472">
        <v>20</v>
      </c>
      <c r="F33" s="472">
        <v>99.64</v>
      </c>
      <c r="G33" s="136">
        <f t="shared" si="1"/>
        <v>1992.8</v>
      </c>
      <c r="H33" s="146"/>
      <c r="I33" s="147"/>
      <c r="J33" s="17">
        <f t="shared" si="2"/>
        <v>0</v>
      </c>
      <c r="K33" s="17">
        <f t="shared" si="3"/>
        <v>1992.8</v>
      </c>
      <c r="L33" s="456"/>
      <c r="M33" s="12">
        <f>M32+K33-L33</f>
        <v>11631.739299999972</v>
      </c>
      <c r="N33" s="38"/>
      <c r="O33" s="66"/>
    </row>
    <row r="34" spans="1:15">
      <c r="A34" s="43">
        <v>30</v>
      </c>
      <c r="B34" s="313">
        <v>46265</v>
      </c>
      <c r="C34" s="64"/>
      <c r="D34" s="68"/>
      <c r="E34" s="146">
        <v>40</v>
      </c>
      <c r="F34" s="146">
        <v>99.64</v>
      </c>
      <c r="G34" s="136">
        <f t="shared" si="1"/>
        <v>3985.6</v>
      </c>
      <c r="H34" s="146">
        <v>5</v>
      </c>
      <c r="I34" s="147">
        <v>111.77</v>
      </c>
      <c r="J34" s="17">
        <f t="shared" si="2"/>
        <v>558.85</v>
      </c>
      <c r="K34" s="453">
        <f t="shared" si="3"/>
        <v>4544.45</v>
      </c>
      <c r="L34" s="456"/>
      <c r="M34" s="65">
        <f>M33+K34-L34</f>
        <v>16176.189299999973</v>
      </c>
      <c r="N34" s="450"/>
      <c r="O34" s="66"/>
    </row>
    <row r="35" spans="1:15">
      <c r="A35" s="43">
        <v>31</v>
      </c>
      <c r="B35" s="313">
        <v>46266</v>
      </c>
      <c r="C35" s="64"/>
      <c r="D35" s="68"/>
      <c r="E35" s="146"/>
      <c r="F35" s="146"/>
      <c r="G35" s="136">
        <f t="shared" si="1"/>
        <v>0</v>
      </c>
      <c r="H35" s="146"/>
      <c r="I35" s="147"/>
      <c r="J35" s="17">
        <f t="shared" si="2"/>
        <v>0</v>
      </c>
      <c r="K35" s="453">
        <f t="shared" si="3"/>
        <v>0</v>
      </c>
      <c r="L35" s="456"/>
      <c r="M35" s="65">
        <f>M34+K35-L35</f>
        <v>16176.189299999973</v>
      </c>
      <c r="N35" s="450"/>
      <c r="O35" s="66"/>
    </row>
    <row r="36" spans="1:15">
      <c r="A36" s="153"/>
      <c r="B36" s="153"/>
      <c r="C36" s="153"/>
      <c r="D36" s="153"/>
      <c r="E36" s="154">
        <f>SUM(E4:E35)</f>
        <v>979</v>
      </c>
      <c r="F36" s="154"/>
      <c r="G36" s="154">
        <f>SUM(G4:G35)</f>
        <v>97547.560000000041</v>
      </c>
      <c r="H36" s="154">
        <f>SUM(H4:H35)</f>
        <v>84.06</v>
      </c>
      <c r="I36" s="154"/>
      <c r="J36" s="154">
        <f>SUM(J4:J35)</f>
        <v>9395.3862000000008</v>
      </c>
      <c r="K36" s="454">
        <f>SUM(K4:K35)</f>
        <v>106942.94620000002</v>
      </c>
      <c r="L36" s="60">
        <f>SUM(L4:L35)</f>
        <v>150654</v>
      </c>
      <c r="M36" s="60"/>
      <c r="N36" s="455"/>
      <c r="O36" s="56"/>
    </row>
    <row r="37" spans="1:15">
      <c r="A37" s="69"/>
      <c r="B37" s="70"/>
      <c r="C37" s="69"/>
      <c r="D37" s="69"/>
      <c r="E37" s="71"/>
      <c r="F37" s="71"/>
      <c r="G37" s="71"/>
      <c r="H37" s="71"/>
      <c r="I37" s="71"/>
      <c r="J37" s="72"/>
      <c r="K37" s="72"/>
      <c r="L37" s="72"/>
      <c r="M37" s="72"/>
      <c r="N37" s="71"/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A43" s="66"/>
      <c r="B43" s="56"/>
      <c r="C43" s="66"/>
      <c r="D43" s="66"/>
      <c r="E43" s="66"/>
      <c r="F43" s="66"/>
      <c r="G43" s="73"/>
      <c r="H43" s="66"/>
      <c r="I43" s="66"/>
      <c r="J43" s="56"/>
      <c r="K43" s="56"/>
      <c r="L43" s="56"/>
      <c r="M43" s="56"/>
      <c r="N43" s="66"/>
      <c r="O43" s="71"/>
    </row>
    <row r="44" spans="1:15">
      <c r="A44" s="66"/>
      <c r="B44" s="576"/>
      <c r="C44" s="576"/>
      <c r="D44" s="576"/>
      <c r="E44" s="576"/>
      <c r="F44" s="66"/>
      <c r="G44" s="66"/>
      <c r="H44" s="66"/>
      <c r="I44" s="576"/>
      <c r="J44" s="576"/>
      <c r="K44" s="576"/>
      <c r="L44" s="576"/>
      <c r="M44" s="576"/>
      <c r="N44" s="576"/>
      <c r="O44" s="71"/>
    </row>
    <row r="45" spans="1:15">
      <c r="A45" s="66"/>
      <c r="B45" s="56"/>
      <c r="C45" s="66"/>
      <c r="D45" s="66"/>
      <c r="E45" s="66"/>
      <c r="F45" s="66"/>
      <c r="G45" s="66"/>
      <c r="H45" s="66"/>
      <c r="I45" s="66"/>
      <c r="J45" s="56"/>
      <c r="K45" s="56"/>
      <c r="L45" s="56"/>
      <c r="M45" s="56"/>
      <c r="N45" s="66"/>
      <c r="O45" s="71"/>
    </row>
  </sheetData>
  <protectedRanges>
    <protectedRange sqref="E32:E33" name="Range1"/>
  </protectedRanges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topLeftCell="A19" workbookViewId="0">
      <selection activeCell="M41" sqref="M41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19" bestFit="1" customWidth="1"/>
  </cols>
  <sheetData>
    <row r="1" spans="1:16" ht="15.75">
      <c r="A1" s="555" t="s">
        <v>146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</row>
    <row r="2" spans="1:16" ht="30">
      <c r="A2" s="95" t="s">
        <v>0</v>
      </c>
      <c r="B2" s="96" t="s">
        <v>170</v>
      </c>
      <c r="C2" s="96" t="s">
        <v>171</v>
      </c>
      <c r="D2" s="96" t="s">
        <v>172</v>
      </c>
      <c r="E2" s="96" t="s">
        <v>173</v>
      </c>
      <c r="F2" s="96" t="s">
        <v>174</v>
      </c>
      <c r="G2" s="176" t="s">
        <v>175</v>
      </c>
      <c r="H2" s="96" t="s">
        <v>176</v>
      </c>
      <c r="I2" s="96" t="s">
        <v>174</v>
      </c>
      <c r="J2" s="179" t="s">
        <v>175</v>
      </c>
      <c r="K2" s="97" t="s">
        <v>177</v>
      </c>
      <c r="L2" s="135" t="s">
        <v>178</v>
      </c>
      <c r="M2" s="290" t="s">
        <v>195</v>
      </c>
      <c r="N2" s="98" t="s">
        <v>180</v>
      </c>
    </row>
    <row r="3" spans="1:16">
      <c r="A3" s="148"/>
      <c r="B3" s="14"/>
      <c r="C3" s="14"/>
      <c r="D3" s="213" t="s">
        <v>181</v>
      </c>
      <c r="E3" s="14"/>
      <c r="F3" s="14"/>
      <c r="G3" s="177"/>
      <c r="H3" s="14"/>
      <c r="I3" s="14"/>
      <c r="J3" s="177"/>
      <c r="K3">
        <v>442814.45570000139</v>
      </c>
      <c r="L3" s="14"/>
      <c r="M3">
        <v>442814.45570000139</v>
      </c>
      <c r="N3" s="14">
        <v>0</v>
      </c>
      <c r="P3" s="19"/>
    </row>
    <row r="4" spans="1:16">
      <c r="A4" s="189">
        <v>1</v>
      </c>
      <c r="B4" s="212">
        <v>46235</v>
      </c>
      <c r="C4" s="133"/>
      <c r="D4" s="133"/>
      <c r="E4" s="429">
        <v>376.05</v>
      </c>
      <c r="F4" s="430">
        <v>99.29</v>
      </c>
      <c r="G4" s="246">
        <f t="shared" ref="G4:G38" si="0">E4*F4</f>
        <v>37338.004500000003</v>
      </c>
      <c r="H4" s="238"/>
      <c r="I4" s="246"/>
      <c r="J4" s="238">
        <f>H4*I4</f>
        <v>0</v>
      </c>
      <c r="K4" s="246">
        <f>G4+J4</f>
        <v>37338.004500000003</v>
      </c>
      <c r="L4" s="133"/>
      <c r="M4" s="291">
        <f>M3+K4-L4</f>
        <v>480152.46020000137</v>
      </c>
      <c r="N4" s="133"/>
      <c r="O4" s="19"/>
    </row>
    <row r="5" spans="1:16">
      <c r="A5" s="43">
        <v>2</v>
      </c>
      <c r="B5" s="212">
        <v>46236</v>
      </c>
      <c r="C5" s="14"/>
      <c r="D5" s="14"/>
      <c r="E5" s="429">
        <v>35</v>
      </c>
      <c r="F5" s="430">
        <v>99.29</v>
      </c>
      <c r="G5" s="246">
        <f t="shared" ref="G5:G39" si="1">E5*F5</f>
        <v>3475.15</v>
      </c>
      <c r="H5" s="238"/>
      <c r="I5" s="246"/>
      <c r="J5" s="238">
        <f t="shared" ref="J5:J39" si="2">H5*I5</f>
        <v>0</v>
      </c>
      <c r="K5" s="246">
        <f t="shared" ref="K5:K41" si="3">G5+J5</f>
        <v>3475.15</v>
      </c>
      <c r="L5" s="133"/>
      <c r="M5" s="291">
        <f t="shared" ref="M5:M41" si="4">M4+K5-L5</f>
        <v>483627.61020000139</v>
      </c>
      <c r="N5" s="14"/>
    </row>
    <row r="6" spans="1:16">
      <c r="A6" s="43">
        <v>3</v>
      </c>
      <c r="B6" s="212">
        <v>46237</v>
      </c>
      <c r="C6" s="14"/>
      <c r="D6" s="14"/>
      <c r="E6" s="238">
        <v>200</v>
      </c>
      <c r="F6" s="430">
        <v>99.29</v>
      </c>
      <c r="G6" s="246">
        <f t="shared" si="1"/>
        <v>19858</v>
      </c>
      <c r="H6" s="238"/>
      <c r="I6" s="246"/>
      <c r="J6" s="238">
        <f t="shared" si="2"/>
        <v>0</v>
      </c>
      <c r="K6" s="246">
        <f t="shared" si="3"/>
        <v>19858</v>
      </c>
      <c r="L6" s="133"/>
      <c r="M6" s="291">
        <f t="shared" si="4"/>
        <v>503485.61020000139</v>
      </c>
      <c r="N6" s="14"/>
    </row>
    <row r="7" spans="1:16">
      <c r="A7" s="189">
        <v>4</v>
      </c>
      <c r="B7" s="212">
        <v>46238</v>
      </c>
      <c r="C7" s="14"/>
      <c r="D7" s="14"/>
      <c r="E7" s="238">
        <v>498.64</v>
      </c>
      <c r="F7" s="430">
        <v>99.29</v>
      </c>
      <c r="G7" s="246">
        <f t="shared" si="1"/>
        <v>49509.965600000003</v>
      </c>
      <c r="H7" s="238">
        <v>10</v>
      </c>
      <c r="I7" s="246">
        <v>111.38</v>
      </c>
      <c r="J7" s="238">
        <f t="shared" si="2"/>
        <v>1113.8</v>
      </c>
      <c r="K7" s="246">
        <f t="shared" si="3"/>
        <v>50623.765600000006</v>
      </c>
      <c r="L7" s="133"/>
      <c r="M7" s="291">
        <f t="shared" si="4"/>
        <v>554109.37580000143</v>
      </c>
      <c r="N7" s="14"/>
    </row>
    <row r="8" spans="1:16">
      <c r="A8" s="189">
        <v>5</v>
      </c>
      <c r="B8" s="212">
        <v>46239</v>
      </c>
      <c r="C8" s="14"/>
      <c r="D8" s="14"/>
      <c r="E8" s="238"/>
      <c r="F8" s="285"/>
      <c r="G8" s="246">
        <f t="shared" si="1"/>
        <v>0</v>
      </c>
      <c r="H8" s="238"/>
      <c r="I8" s="246"/>
      <c r="J8" s="238">
        <f t="shared" si="2"/>
        <v>0</v>
      </c>
      <c r="K8" s="246">
        <f t="shared" si="3"/>
        <v>0</v>
      </c>
      <c r="L8" s="133">
        <v>300000</v>
      </c>
      <c r="M8" s="291">
        <f t="shared" si="4"/>
        <v>254109.37580000143</v>
      </c>
      <c r="N8" s="14"/>
    </row>
    <row r="9" spans="1:16">
      <c r="A9" s="43">
        <v>6</v>
      </c>
      <c r="B9" s="212">
        <v>46240</v>
      </c>
      <c r="C9" s="14"/>
      <c r="D9" s="14"/>
      <c r="E9" s="238">
        <v>500</v>
      </c>
      <c r="F9" s="285">
        <v>99.29</v>
      </c>
      <c r="G9" s="246">
        <f t="shared" si="1"/>
        <v>49645</v>
      </c>
      <c r="H9" s="238"/>
      <c r="I9" s="246"/>
      <c r="J9" s="238">
        <f t="shared" si="2"/>
        <v>0</v>
      </c>
      <c r="K9" s="246">
        <f t="shared" si="3"/>
        <v>49645</v>
      </c>
      <c r="L9" s="133"/>
      <c r="M9" s="291">
        <f t="shared" si="4"/>
        <v>303754.37580000143</v>
      </c>
      <c r="N9" s="14"/>
    </row>
    <row r="10" spans="1:16">
      <c r="A10" s="43">
        <v>7</v>
      </c>
      <c r="B10" s="212">
        <v>46241</v>
      </c>
      <c r="C10" s="14"/>
      <c r="D10" s="14"/>
      <c r="E10" s="238">
        <v>319.19</v>
      </c>
      <c r="F10" s="285">
        <v>99.29</v>
      </c>
      <c r="G10" s="246">
        <f t="shared" si="1"/>
        <v>31692.375100000001</v>
      </c>
      <c r="H10" s="238"/>
      <c r="I10" s="246"/>
      <c r="J10" s="238">
        <f t="shared" si="2"/>
        <v>0</v>
      </c>
      <c r="K10" s="246">
        <f t="shared" si="3"/>
        <v>31692.375100000001</v>
      </c>
      <c r="L10" s="133"/>
      <c r="M10" s="291">
        <f t="shared" si="4"/>
        <v>335446.75090000144</v>
      </c>
      <c r="N10" s="14"/>
    </row>
    <row r="11" spans="1:16">
      <c r="A11" s="189">
        <v>8</v>
      </c>
      <c r="B11" s="212">
        <v>46242</v>
      </c>
      <c r="C11" s="14"/>
      <c r="D11" s="14"/>
      <c r="E11" s="238"/>
      <c r="F11" s="285"/>
      <c r="G11" s="246">
        <f t="shared" si="1"/>
        <v>0</v>
      </c>
      <c r="H11" s="238"/>
      <c r="I11" s="246"/>
      <c r="J11" s="238">
        <f t="shared" si="2"/>
        <v>0</v>
      </c>
      <c r="K11" s="246">
        <f t="shared" si="3"/>
        <v>0</v>
      </c>
      <c r="L11" s="133"/>
      <c r="M11" s="291">
        <f t="shared" si="4"/>
        <v>335446.75090000144</v>
      </c>
      <c r="N11" s="14"/>
    </row>
    <row r="12" spans="1:16">
      <c r="A12" s="189">
        <v>9</v>
      </c>
      <c r="B12" s="212">
        <v>46243</v>
      </c>
      <c r="C12" s="14"/>
      <c r="D12" s="14"/>
      <c r="E12" s="238">
        <v>524.32000000000005</v>
      </c>
      <c r="F12" s="285">
        <v>99.29</v>
      </c>
      <c r="G12" s="246">
        <f t="shared" si="1"/>
        <v>52059.732800000005</v>
      </c>
      <c r="H12" s="238">
        <v>5</v>
      </c>
      <c r="I12" s="246">
        <v>111.38</v>
      </c>
      <c r="J12" s="238">
        <f t="shared" si="2"/>
        <v>556.9</v>
      </c>
      <c r="K12" s="246">
        <f t="shared" si="3"/>
        <v>52616.632800000007</v>
      </c>
      <c r="L12" s="133"/>
      <c r="M12" s="291">
        <f t="shared" si="4"/>
        <v>388063.38370000146</v>
      </c>
      <c r="N12" s="14"/>
      <c r="P12" s="19"/>
    </row>
    <row r="13" spans="1:16">
      <c r="A13" s="43">
        <v>10</v>
      </c>
      <c r="B13" s="212">
        <v>46244</v>
      </c>
      <c r="C13" s="14"/>
      <c r="D13" s="14"/>
      <c r="E13" s="238">
        <v>50</v>
      </c>
      <c r="F13" s="285">
        <v>99.29</v>
      </c>
      <c r="G13" s="246">
        <f t="shared" si="1"/>
        <v>4964.5</v>
      </c>
      <c r="H13" s="238"/>
      <c r="I13" s="246"/>
      <c r="J13" s="238">
        <f t="shared" si="2"/>
        <v>0</v>
      </c>
      <c r="K13" s="246">
        <f t="shared" si="3"/>
        <v>4964.5</v>
      </c>
      <c r="L13" s="133"/>
      <c r="M13" s="291">
        <f t="shared" si="4"/>
        <v>393027.88370000146</v>
      </c>
      <c r="N13" s="14"/>
    </row>
    <row r="14" spans="1:16">
      <c r="A14" s="43">
        <v>11</v>
      </c>
      <c r="B14" s="212">
        <v>46245</v>
      </c>
      <c r="C14" s="14"/>
      <c r="D14" s="14"/>
      <c r="E14" s="238">
        <v>140.46</v>
      </c>
      <c r="F14" s="285">
        <v>99.29</v>
      </c>
      <c r="G14" s="246">
        <f t="shared" si="1"/>
        <v>13946.273400000002</v>
      </c>
      <c r="H14" s="238"/>
      <c r="I14" s="246"/>
      <c r="J14" s="238">
        <f t="shared" si="2"/>
        <v>0</v>
      </c>
      <c r="K14" s="246">
        <f t="shared" si="3"/>
        <v>13946.273400000002</v>
      </c>
      <c r="L14" s="133"/>
      <c r="M14" s="291">
        <f t="shared" si="4"/>
        <v>406974.15710000147</v>
      </c>
      <c r="N14" s="14"/>
    </row>
    <row r="15" spans="1:16">
      <c r="A15" s="189">
        <v>12</v>
      </c>
      <c r="B15" s="212">
        <v>46246</v>
      </c>
      <c r="C15" s="14"/>
      <c r="D15" s="14"/>
      <c r="E15" s="238"/>
      <c r="F15" s="285"/>
      <c r="G15" s="246">
        <f t="shared" si="1"/>
        <v>0</v>
      </c>
      <c r="H15" s="238"/>
      <c r="I15" s="246"/>
      <c r="J15" s="238">
        <f t="shared" si="2"/>
        <v>0</v>
      </c>
      <c r="K15" s="246">
        <f t="shared" si="3"/>
        <v>0</v>
      </c>
      <c r="L15" s="133"/>
      <c r="M15" s="291">
        <f t="shared" si="4"/>
        <v>406974.15710000147</v>
      </c>
      <c r="N15" s="14"/>
    </row>
    <row r="16" spans="1:16">
      <c r="A16" s="189">
        <v>13</v>
      </c>
      <c r="B16" s="212">
        <v>46247</v>
      </c>
      <c r="C16" s="14"/>
      <c r="D16" s="14"/>
      <c r="E16" s="238">
        <v>577.62</v>
      </c>
      <c r="F16" s="285">
        <v>99.29</v>
      </c>
      <c r="G16" s="246">
        <f t="shared" si="1"/>
        <v>57351.889800000004</v>
      </c>
      <c r="H16" s="238"/>
      <c r="I16" s="246"/>
      <c r="J16" s="238">
        <f t="shared" si="2"/>
        <v>0</v>
      </c>
      <c r="K16" s="246">
        <f t="shared" si="3"/>
        <v>57351.889800000004</v>
      </c>
      <c r="L16" s="133">
        <v>409000</v>
      </c>
      <c r="M16" s="291">
        <f t="shared" si="4"/>
        <v>55326.046900001471</v>
      </c>
      <c r="N16" s="14"/>
    </row>
    <row r="17" spans="1:16">
      <c r="A17" s="43">
        <v>14</v>
      </c>
      <c r="B17" s="212">
        <v>46248</v>
      </c>
      <c r="C17" s="14"/>
      <c r="D17" s="14"/>
      <c r="E17" s="238">
        <v>1323.19</v>
      </c>
      <c r="F17" s="285">
        <v>99.29</v>
      </c>
      <c r="G17" s="246">
        <f t="shared" si="1"/>
        <v>131379.53510000001</v>
      </c>
      <c r="H17" s="238"/>
      <c r="I17" s="246"/>
      <c r="J17" s="238">
        <f t="shared" si="2"/>
        <v>0</v>
      </c>
      <c r="K17" s="246">
        <f t="shared" si="3"/>
        <v>131379.53510000001</v>
      </c>
      <c r="L17" s="133"/>
      <c r="M17" s="291">
        <f t="shared" si="4"/>
        <v>186705.58200000148</v>
      </c>
      <c r="N17" s="14"/>
    </row>
    <row r="18" spans="1:16">
      <c r="A18" s="43">
        <v>15</v>
      </c>
      <c r="B18" s="212">
        <v>46249</v>
      </c>
      <c r="C18" s="14"/>
      <c r="D18" s="14"/>
      <c r="E18" s="238"/>
      <c r="F18" s="285"/>
      <c r="G18" s="246">
        <f t="shared" si="1"/>
        <v>0</v>
      </c>
      <c r="H18" s="238"/>
      <c r="I18" s="246"/>
      <c r="J18" s="238">
        <f t="shared" si="2"/>
        <v>0</v>
      </c>
      <c r="K18" s="246">
        <f t="shared" si="3"/>
        <v>0</v>
      </c>
      <c r="L18" s="133"/>
      <c r="M18" s="291">
        <f t="shared" si="4"/>
        <v>186705.58200000148</v>
      </c>
      <c r="N18" s="14"/>
    </row>
    <row r="19" spans="1:16">
      <c r="A19" s="189">
        <v>16</v>
      </c>
      <c r="B19" s="212">
        <v>46250</v>
      </c>
      <c r="C19" s="14"/>
      <c r="D19" s="14"/>
      <c r="E19" s="238"/>
      <c r="F19" s="285"/>
      <c r="G19" s="246">
        <f t="shared" si="1"/>
        <v>0</v>
      </c>
      <c r="H19" s="238"/>
      <c r="I19" s="246"/>
      <c r="J19" s="238">
        <f t="shared" si="2"/>
        <v>0</v>
      </c>
      <c r="K19" s="246">
        <f t="shared" si="3"/>
        <v>0</v>
      </c>
      <c r="L19" s="133"/>
      <c r="M19" s="291">
        <f t="shared" si="4"/>
        <v>186705.58200000148</v>
      </c>
      <c r="N19" s="14"/>
      <c r="P19" s="255"/>
    </row>
    <row r="20" spans="1:16">
      <c r="A20" s="189">
        <v>17</v>
      </c>
      <c r="B20" s="212">
        <v>46251</v>
      </c>
      <c r="C20" s="14"/>
      <c r="D20" s="14"/>
      <c r="E20" s="238">
        <v>150</v>
      </c>
      <c r="F20" s="285">
        <v>99.29</v>
      </c>
      <c r="G20" s="246">
        <f t="shared" si="1"/>
        <v>14893.500000000002</v>
      </c>
      <c r="H20" s="238"/>
      <c r="I20" s="246"/>
      <c r="J20" s="238">
        <f t="shared" si="2"/>
        <v>0</v>
      </c>
      <c r="K20" s="246">
        <f t="shared" si="3"/>
        <v>14893.500000000002</v>
      </c>
      <c r="L20" s="133"/>
      <c r="M20" s="291">
        <f t="shared" si="4"/>
        <v>201599.08200000148</v>
      </c>
      <c r="N20" s="14"/>
    </row>
    <row r="21" spans="1:16">
      <c r="A21" s="43">
        <v>18</v>
      </c>
      <c r="B21" s="212">
        <v>46252</v>
      </c>
      <c r="C21" s="14"/>
      <c r="D21" s="14"/>
      <c r="E21" s="238"/>
      <c r="F21" s="285"/>
      <c r="G21" s="246">
        <f t="shared" si="1"/>
        <v>0</v>
      </c>
      <c r="H21" s="246">
        <v>10</v>
      </c>
      <c r="I21" s="238">
        <v>111.38</v>
      </c>
      <c r="J21" s="238">
        <f t="shared" si="2"/>
        <v>1113.8</v>
      </c>
      <c r="K21" s="246">
        <f t="shared" si="3"/>
        <v>1113.8</v>
      </c>
      <c r="L21" s="133"/>
      <c r="M21" s="291">
        <f>M20+K21-L21</f>
        <v>202712.88200000147</v>
      </c>
      <c r="N21" s="14"/>
      <c r="P21" s="19"/>
    </row>
    <row r="22" spans="1:16">
      <c r="A22" s="43">
        <v>19</v>
      </c>
      <c r="B22" s="212">
        <v>46253</v>
      </c>
      <c r="C22" s="14"/>
      <c r="D22" s="14"/>
      <c r="E22" s="238">
        <v>420</v>
      </c>
      <c r="F22" s="285">
        <v>99.29</v>
      </c>
      <c r="G22" s="246">
        <f>E22*F22</f>
        <v>41701.800000000003</v>
      </c>
      <c r="H22" s="238">
        <v>15</v>
      </c>
      <c r="I22" s="238">
        <v>111.38</v>
      </c>
      <c r="J22" s="238">
        <f t="shared" si="2"/>
        <v>1670.6999999999998</v>
      </c>
      <c r="K22" s="246">
        <f t="shared" si="3"/>
        <v>43372.5</v>
      </c>
      <c r="L22" s="133"/>
      <c r="M22" s="291">
        <f t="shared" si="4"/>
        <v>246085.38200000147</v>
      </c>
      <c r="N22" s="14"/>
    </row>
    <row r="23" spans="1:16">
      <c r="A23" s="189">
        <v>20</v>
      </c>
      <c r="B23" s="212">
        <v>46254</v>
      </c>
      <c r="C23" s="14"/>
      <c r="D23" s="14"/>
      <c r="E23" s="238">
        <v>400</v>
      </c>
      <c r="F23" s="285">
        <v>99.29</v>
      </c>
      <c r="G23" s="246">
        <f t="shared" si="1"/>
        <v>39716</v>
      </c>
      <c r="H23" s="238">
        <v>5</v>
      </c>
      <c r="I23" s="238">
        <v>121.31</v>
      </c>
      <c r="J23" s="238">
        <f t="shared" si="2"/>
        <v>606.54999999999995</v>
      </c>
      <c r="K23" s="246">
        <f t="shared" si="3"/>
        <v>40322.550000000003</v>
      </c>
      <c r="L23" s="133"/>
      <c r="M23" s="291">
        <f t="shared" si="4"/>
        <v>286407.93200000148</v>
      </c>
      <c r="N23" s="14"/>
    </row>
    <row r="24" spans="1:16">
      <c r="A24" s="189">
        <v>21</v>
      </c>
      <c r="B24" s="212">
        <v>46255</v>
      </c>
      <c r="C24" s="14"/>
      <c r="D24" s="14"/>
      <c r="E24" s="238">
        <v>133.66999999999999</v>
      </c>
      <c r="F24" s="285">
        <v>99.29</v>
      </c>
      <c r="G24" s="246">
        <f t="shared" si="1"/>
        <v>13272.094299999999</v>
      </c>
      <c r="H24" s="238">
        <v>5</v>
      </c>
      <c r="I24" s="238">
        <v>111.38</v>
      </c>
      <c r="J24" s="238">
        <f t="shared" si="2"/>
        <v>556.9</v>
      </c>
      <c r="K24" s="246">
        <f t="shared" si="3"/>
        <v>13828.994299999998</v>
      </c>
      <c r="L24" s="133"/>
      <c r="M24" s="291">
        <f t="shared" si="4"/>
        <v>300236.92630000151</v>
      </c>
      <c r="N24" s="14"/>
    </row>
    <row r="25" spans="1:16">
      <c r="A25" s="43">
        <v>22</v>
      </c>
      <c r="B25" s="212">
        <v>46256</v>
      </c>
      <c r="C25" s="14"/>
      <c r="D25" s="14"/>
      <c r="E25" s="238"/>
      <c r="F25" s="285"/>
      <c r="G25" s="246">
        <f t="shared" si="1"/>
        <v>0</v>
      </c>
      <c r="H25" s="238"/>
      <c r="I25" s="246"/>
      <c r="J25" s="238">
        <f>H25*I25</f>
        <v>0</v>
      </c>
      <c r="K25" s="246">
        <f t="shared" si="3"/>
        <v>0</v>
      </c>
      <c r="L25" s="133"/>
      <c r="M25" s="291">
        <f t="shared" si="4"/>
        <v>300236.92630000151</v>
      </c>
      <c r="N25" s="14"/>
      <c r="P25" s="19"/>
    </row>
    <row r="26" spans="1:16">
      <c r="A26" s="43">
        <v>23</v>
      </c>
      <c r="B26" s="212">
        <v>46257</v>
      </c>
      <c r="C26" s="14"/>
      <c r="D26" s="14"/>
      <c r="E26" s="238">
        <v>148.9</v>
      </c>
      <c r="F26" s="285">
        <v>99.29</v>
      </c>
      <c r="G26" s="246">
        <f t="shared" si="1"/>
        <v>14784.281000000001</v>
      </c>
      <c r="H26" s="238"/>
      <c r="I26" s="246"/>
      <c r="J26" s="238">
        <f t="shared" si="2"/>
        <v>0</v>
      </c>
      <c r="K26" s="246">
        <f t="shared" si="3"/>
        <v>14784.281000000001</v>
      </c>
      <c r="L26" s="133"/>
      <c r="M26" s="291">
        <f t="shared" si="4"/>
        <v>315021.20730000152</v>
      </c>
      <c r="N26" s="14"/>
    </row>
    <row r="27" spans="1:16">
      <c r="A27" s="189">
        <v>24</v>
      </c>
      <c r="B27" s="212">
        <v>46258</v>
      </c>
      <c r="C27" s="14"/>
      <c r="D27" s="14"/>
      <c r="E27" s="238">
        <v>393.39</v>
      </c>
      <c r="F27" s="285">
        <v>99.29</v>
      </c>
      <c r="G27" s="246">
        <f t="shared" si="1"/>
        <v>39059.693100000004</v>
      </c>
      <c r="H27" s="238">
        <v>10</v>
      </c>
      <c r="I27" s="238">
        <v>111.38</v>
      </c>
      <c r="J27" s="238">
        <f t="shared" si="2"/>
        <v>1113.8</v>
      </c>
      <c r="K27" s="246">
        <f t="shared" si="3"/>
        <v>40173.493100000007</v>
      </c>
      <c r="L27" s="133"/>
      <c r="M27" s="291">
        <f t="shared" si="4"/>
        <v>355194.70040000154</v>
      </c>
      <c r="N27" s="14"/>
    </row>
    <row r="28" spans="1:16">
      <c r="A28" s="189">
        <v>25</v>
      </c>
      <c r="B28" s="212">
        <v>46259</v>
      </c>
      <c r="C28" s="14"/>
      <c r="D28" s="14"/>
      <c r="E28" s="238">
        <v>35.049999999999997</v>
      </c>
      <c r="F28" s="285">
        <v>99.29</v>
      </c>
      <c r="G28" s="246">
        <f t="shared" si="1"/>
        <v>3480.1145000000001</v>
      </c>
      <c r="H28" s="238">
        <v>10</v>
      </c>
      <c r="I28" s="238">
        <v>111.38</v>
      </c>
      <c r="J28" s="238">
        <f t="shared" si="2"/>
        <v>1113.8</v>
      </c>
      <c r="K28" s="246">
        <f t="shared" si="3"/>
        <v>4593.9144999999999</v>
      </c>
      <c r="L28" s="133"/>
      <c r="M28" s="291">
        <f t="shared" si="4"/>
        <v>359788.61490000156</v>
      </c>
      <c r="N28" s="14"/>
    </row>
    <row r="29" spans="1:16">
      <c r="A29" s="43">
        <v>26</v>
      </c>
      <c r="B29" s="212">
        <v>46260</v>
      </c>
      <c r="C29" s="14"/>
      <c r="D29" s="14"/>
      <c r="E29" s="238">
        <v>365.59</v>
      </c>
      <c r="F29" s="285">
        <v>99.29</v>
      </c>
      <c r="G29" s="246">
        <f t="shared" si="1"/>
        <v>36299.431100000002</v>
      </c>
      <c r="H29" s="238">
        <v>15</v>
      </c>
      <c r="I29" s="238">
        <v>111.38</v>
      </c>
      <c r="J29" s="238">
        <f t="shared" si="2"/>
        <v>1670.6999999999998</v>
      </c>
      <c r="K29" s="246">
        <f t="shared" si="3"/>
        <v>37970.131099999999</v>
      </c>
      <c r="L29" s="133"/>
      <c r="M29" s="291">
        <f t="shared" si="4"/>
        <v>397758.74600000156</v>
      </c>
      <c r="N29" s="14"/>
    </row>
    <row r="30" spans="1:16">
      <c r="A30" s="43">
        <v>27</v>
      </c>
      <c r="B30" s="212">
        <v>46261</v>
      </c>
      <c r="C30" s="14"/>
      <c r="D30" s="14"/>
      <c r="E30" s="238">
        <v>241.27</v>
      </c>
      <c r="F30" s="285">
        <v>99.29</v>
      </c>
      <c r="G30" s="246">
        <f t="shared" si="1"/>
        <v>23955.698300000004</v>
      </c>
      <c r="H30" s="238">
        <v>10</v>
      </c>
      <c r="I30" s="238">
        <v>111.38</v>
      </c>
      <c r="J30" s="238">
        <f t="shared" si="2"/>
        <v>1113.8</v>
      </c>
      <c r="K30" s="246">
        <f t="shared" si="3"/>
        <v>25069.498300000003</v>
      </c>
      <c r="L30" s="133"/>
      <c r="M30" s="291">
        <f t="shared" si="4"/>
        <v>422828.24430000153</v>
      </c>
      <c r="N30" s="14"/>
      <c r="P30" s="19"/>
    </row>
    <row r="31" spans="1:16">
      <c r="A31" s="189">
        <v>28</v>
      </c>
      <c r="B31" s="212">
        <v>46262</v>
      </c>
      <c r="C31" s="14"/>
      <c r="D31" s="14"/>
      <c r="E31" s="238">
        <v>621.72</v>
      </c>
      <c r="F31" s="285">
        <v>99.29</v>
      </c>
      <c r="G31" s="246">
        <f t="shared" si="1"/>
        <v>61730.578800000003</v>
      </c>
      <c r="H31" s="238"/>
      <c r="I31" s="246"/>
      <c r="J31" s="238">
        <f t="shared" si="2"/>
        <v>0</v>
      </c>
      <c r="K31" s="246">
        <f t="shared" si="3"/>
        <v>61730.578800000003</v>
      </c>
      <c r="L31" s="133">
        <v>400000</v>
      </c>
      <c r="M31" s="291">
        <f t="shared" si="4"/>
        <v>84558.823100001551</v>
      </c>
      <c r="N31" s="14"/>
    </row>
    <row r="32" spans="1:16">
      <c r="A32" s="189">
        <v>29</v>
      </c>
      <c r="B32" s="212">
        <v>46263</v>
      </c>
      <c r="C32" s="14"/>
      <c r="D32" s="14"/>
      <c r="E32" s="238">
        <v>232.61</v>
      </c>
      <c r="F32" s="285">
        <v>99.29</v>
      </c>
      <c r="G32" s="246">
        <f t="shared" si="1"/>
        <v>23095.846900000004</v>
      </c>
      <c r="H32" s="238"/>
      <c r="I32" s="246"/>
      <c r="J32" s="238">
        <f t="shared" si="2"/>
        <v>0</v>
      </c>
      <c r="K32" s="246">
        <f t="shared" si="3"/>
        <v>23095.846900000004</v>
      </c>
      <c r="L32" s="133"/>
      <c r="M32" s="291">
        <f t="shared" si="4"/>
        <v>107654.67000000156</v>
      </c>
      <c r="N32" s="14"/>
    </row>
    <row r="33" spans="1:16">
      <c r="A33" s="43">
        <v>30</v>
      </c>
      <c r="B33" s="212">
        <v>46264</v>
      </c>
      <c r="C33" s="91"/>
      <c r="D33" s="91"/>
      <c r="E33" s="238">
        <v>150</v>
      </c>
      <c r="F33" s="285">
        <v>99.29</v>
      </c>
      <c r="G33" s="246">
        <f t="shared" si="1"/>
        <v>14893.500000000002</v>
      </c>
      <c r="H33" s="238"/>
      <c r="I33" s="246"/>
      <c r="J33" s="238">
        <f t="shared" si="2"/>
        <v>0</v>
      </c>
      <c r="K33" s="246">
        <f t="shared" si="3"/>
        <v>14893.500000000002</v>
      </c>
      <c r="L33" s="133"/>
      <c r="M33" s="291">
        <f t="shared" si="4"/>
        <v>122548.17000000156</v>
      </c>
      <c r="N33" s="91"/>
    </row>
    <row r="34" spans="1:16">
      <c r="A34" s="43">
        <v>31</v>
      </c>
      <c r="B34" s="212">
        <v>46265</v>
      </c>
      <c r="C34" s="14"/>
      <c r="D34" s="14"/>
      <c r="E34" s="238">
        <v>600</v>
      </c>
      <c r="F34" s="285">
        <v>99.29</v>
      </c>
      <c r="G34" s="246">
        <f t="shared" si="1"/>
        <v>59574.000000000007</v>
      </c>
      <c r="H34" s="238"/>
      <c r="I34" s="246"/>
      <c r="J34" s="238">
        <f t="shared" si="2"/>
        <v>0</v>
      </c>
      <c r="K34" s="246">
        <f t="shared" si="3"/>
        <v>59574.000000000007</v>
      </c>
      <c r="L34" s="133"/>
      <c r="M34" s="291">
        <f t="shared" si="4"/>
        <v>182122.17000000156</v>
      </c>
      <c r="N34" s="14"/>
    </row>
    <row r="35" spans="1:16">
      <c r="A35" s="189">
        <v>32</v>
      </c>
      <c r="B35" s="212"/>
      <c r="C35" s="14"/>
      <c r="D35" s="14"/>
      <c r="E35" s="238"/>
      <c r="F35" s="285"/>
      <c r="G35" s="246">
        <f t="shared" si="1"/>
        <v>0</v>
      </c>
      <c r="H35" s="238"/>
      <c r="I35" s="246"/>
      <c r="J35" s="238">
        <f t="shared" si="2"/>
        <v>0</v>
      </c>
      <c r="K35" s="246">
        <f t="shared" si="3"/>
        <v>0</v>
      </c>
      <c r="L35" s="133"/>
      <c r="M35" s="291">
        <f t="shared" si="4"/>
        <v>182122.17000000156</v>
      </c>
      <c r="N35" s="14"/>
    </row>
    <row r="36" spans="1:16">
      <c r="A36" s="189">
        <v>33</v>
      </c>
      <c r="B36" s="212"/>
      <c r="C36" s="14"/>
      <c r="D36" s="14"/>
      <c r="E36" s="238"/>
      <c r="F36" s="285"/>
      <c r="G36" s="246">
        <f t="shared" si="1"/>
        <v>0</v>
      </c>
      <c r="H36" s="238"/>
      <c r="I36" s="246"/>
      <c r="J36" s="238">
        <f t="shared" si="2"/>
        <v>0</v>
      </c>
      <c r="K36" s="246">
        <f t="shared" si="3"/>
        <v>0</v>
      </c>
      <c r="L36" s="133"/>
      <c r="M36" s="291">
        <f t="shared" si="4"/>
        <v>182122.17000000156</v>
      </c>
      <c r="N36" s="14"/>
    </row>
    <row r="37" spans="1:16">
      <c r="A37" s="43">
        <v>34</v>
      </c>
      <c r="B37" s="212"/>
      <c r="C37" s="14"/>
      <c r="D37" s="14"/>
      <c r="E37" s="238"/>
      <c r="F37" s="285"/>
      <c r="G37" s="246">
        <f t="shared" si="1"/>
        <v>0</v>
      </c>
      <c r="H37" s="238"/>
      <c r="I37" s="246"/>
      <c r="J37" s="238">
        <f t="shared" si="2"/>
        <v>0</v>
      </c>
      <c r="K37" s="246">
        <f t="shared" si="3"/>
        <v>0</v>
      </c>
      <c r="L37" s="133"/>
      <c r="M37" s="291">
        <f t="shared" si="4"/>
        <v>182122.17000000156</v>
      </c>
      <c r="N37" s="14"/>
    </row>
    <row r="38" spans="1:16">
      <c r="A38" s="43">
        <v>35</v>
      </c>
      <c r="B38" s="212"/>
      <c r="C38" s="14"/>
      <c r="D38" s="14"/>
      <c r="E38" s="238"/>
      <c r="F38" s="285"/>
      <c r="G38" s="246">
        <f t="shared" si="1"/>
        <v>0</v>
      </c>
      <c r="H38" s="238"/>
      <c r="I38" s="246"/>
      <c r="J38" s="238">
        <f t="shared" si="2"/>
        <v>0</v>
      </c>
      <c r="K38" s="246">
        <f t="shared" si="3"/>
        <v>0</v>
      </c>
      <c r="L38" s="133"/>
      <c r="M38" s="291">
        <f t="shared" si="4"/>
        <v>182122.17000000156</v>
      </c>
      <c r="N38" s="14"/>
    </row>
    <row r="39" spans="1:16">
      <c r="A39" s="189">
        <v>36</v>
      </c>
      <c r="B39" s="212"/>
      <c r="C39" s="14"/>
      <c r="D39" s="14"/>
      <c r="E39" s="238"/>
      <c r="F39" s="285"/>
      <c r="G39" s="246">
        <f t="shared" si="1"/>
        <v>0</v>
      </c>
      <c r="H39" s="238"/>
      <c r="I39" s="246"/>
      <c r="J39" s="238">
        <f t="shared" si="2"/>
        <v>0</v>
      </c>
      <c r="K39" s="246">
        <f t="shared" si="3"/>
        <v>0</v>
      </c>
      <c r="L39" s="133"/>
      <c r="M39" s="291">
        <f t="shared" si="4"/>
        <v>182122.17000000156</v>
      </c>
      <c r="N39" s="91"/>
    </row>
    <row r="40" spans="1:16">
      <c r="A40" s="189">
        <v>37</v>
      </c>
      <c r="B40" s="212"/>
      <c r="C40" s="14"/>
      <c r="D40" s="14"/>
      <c r="E40" s="238"/>
      <c r="F40" s="238"/>
      <c r="G40" s="246">
        <f t="shared" ref="G5:G41" si="5">E40*F40</f>
        <v>0</v>
      </c>
      <c r="H40" s="238"/>
      <c r="I40" s="238"/>
      <c r="J40" s="238">
        <f t="shared" ref="J5:J41" si="6">H40*I40</f>
        <v>0</v>
      </c>
      <c r="K40" s="246">
        <f t="shared" si="3"/>
        <v>0</v>
      </c>
      <c r="L40" s="133"/>
      <c r="M40" s="291">
        <f t="shared" si="4"/>
        <v>182122.17000000156</v>
      </c>
      <c r="N40" s="14"/>
      <c r="P40" s="19"/>
    </row>
    <row r="41" spans="1:16">
      <c r="A41" s="42"/>
      <c r="B41" s="212"/>
      <c r="C41" s="14"/>
      <c r="D41" s="14"/>
      <c r="E41" s="238"/>
      <c r="F41" s="238"/>
      <c r="G41" s="246">
        <f t="shared" si="5"/>
        <v>0</v>
      </c>
      <c r="H41" s="238"/>
      <c r="I41" s="238"/>
      <c r="J41" s="238">
        <f t="shared" si="6"/>
        <v>0</v>
      </c>
      <c r="K41" s="246">
        <f t="shared" si="3"/>
        <v>0</v>
      </c>
      <c r="L41" s="133"/>
      <c r="M41" s="291">
        <f t="shared" si="4"/>
        <v>182122.17000000156</v>
      </c>
      <c r="N41" s="14"/>
      <c r="O41" s="19"/>
      <c r="P41" s="19"/>
    </row>
    <row r="42" spans="1:16">
      <c r="A42" s="174"/>
      <c r="B42" s="174"/>
      <c r="C42" s="174"/>
      <c r="D42" s="174"/>
      <c r="E42" s="174">
        <f>SUM(E4:E39)</f>
        <v>8436.6700000000019</v>
      </c>
      <c r="F42" s="174"/>
      <c r="G42" s="174">
        <f>SUM(G4:G39)</f>
        <v>837676.96430000011</v>
      </c>
      <c r="H42" s="174">
        <f>SUM(H4:H39)</f>
        <v>95</v>
      </c>
      <c r="I42" s="174"/>
      <c r="J42" s="174">
        <f>SUM(J4:J39)</f>
        <v>10630.75</v>
      </c>
      <c r="K42" s="174">
        <f>SUM(K4:K39)</f>
        <v>848307.71429999988</v>
      </c>
      <c r="L42" s="174">
        <f>SUM(L4:L39)</f>
        <v>1109000</v>
      </c>
      <c r="M42" s="174"/>
      <c r="N42" s="174"/>
    </row>
    <row r="43" spans="1:16">
      <c r="P43" s="19"/>
    </row>
  </sheetData>
  <mergeCells count="1">
    <mergeCell ref="A1:N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18" workbookViewId="0">
      <selection activeCell="M34" sqref="M34"/>
    </sheetView>
  </sheetViews>
  <sheetFormatPr defaultRowHeight="15"/>
  <cols>
    <col min="2" max="2" width="10.57031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  <col min="19" max="19" width="10.140625" customWidth="1"/>
  </cols>
  <sheetData>
    <row r="1" spans="1:16" ht="15.75">
      <c r="A1" s="595" t="s">
        <v>260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7"/>
    </row>
    <row r="2" spans="1:16" ht="45" customHeight="1">
      <c r="A2" s="120" t="s">
        <v>0</v>
      </c>
      <c r="B2" s="206" t="s">
        <v>170</v>
      </c>
      <c r="C2" s="206" t="s">
        <v>171</v>
      </c>
      <c r="D2" s="206" t="s">
        <v>194</v>
      </c>
      <c r="E2" s="206" t="s">
        <v>173</v>
      </c>
      <c r="F2" s="206" t="s">
        <v>174</v>
      </c>
      <c r="G2" s="206" t="s">
        <v>175</v>
      </c>
      <c r="H2" s="206" t="s">
        <v>176</v>
      </c>
      <c r="I2" s="206" t="s">
        <v>174</v>
      </c>
      <c r="J2" s="206" t="s">
        <v>175</v>
      </c>
      <c r="K2" s="168" t="s">
        <v>177</v>
      </c>
      <c r="L2" s="168" t="s">
        <v>178</v>
      </c>
      <c r="M2" s="168" t="s">
        <v>195</v>
      </c>
      <c r="N2" s="206" t="s">
        <v>180</v>
      </c>
    </row>
    <row r="3" spans="1:16">
      <c r="A3" s="598" t="s">
        <v>181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600"/>
      <c r="M3" s="598">
        <v>114274.93569999991</v>
      </c>
      <c r="N3" s="600"/>
    </row>
    <row r="4" spans="1:16">
      <c r="A4" s="189">
        <v>1</v>
      </c>
      <c r="B4" s="212">
        <v>46235</v>
      </c>
      <c r="C4" s="37"/>
      <c r="D4" s="37"/>
      <c r="E4" s="257"/>
      <c r="F4" s="285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/>
      <c r="M4" s="37">
        <f>M3+K4-L4</f>
        <v>114274.93569999991</v>
      </c>
      <c r="N4" s="37"/>
    </row>
    <row r="5" spans="1:16">
      <c r="A5" s="43">
        <v>2</v>
      </c>
      <c r="B5" s="212">
        <v>46236</v>
      </c>
      <c r="C5" s="37"/>
      <c r="D5" s="37"/>
      <c r="E5" s="257"/>
      <c r="F5" s="285"/>
      <c r="G5" s="37">
        <f t="shared" ref="G5:G34" si="0">E5*F5</f>
        <v>0</v>
      </c>
      <c r="H5" s="37"/>
      <c r="I5" s="37"/>
      <c r="J5" s="37">
        <f t="shared" ref="J5:J34" si="1">H5*I5</f>
        <v>0</v>
      </c>
      <c r="K5" s="37">
        <f t="shared" ref="K5:K34" si="2">G5+J5</f>
        <v>0</v>
      </c>
      <c r="L5" s="37"/>
      <c r="M5" s="37">
        <f t="shared" ref="M5:M34" si="3">M4+K5-L5</f>
        <v>114274.93569999991</v>
      </c>
      <c r="N5" s="37"/>
    </row>
    <row r="6" spans="1:16">
      <c r="A6" s="43">
        <v>3</v>
      </c>
      <c r="B6" s="212">
        <v>46237</v>
      </c>
      <c r="C6" s="37"/>
      <c r="D6" s="37"/>
      <c r="E6" s="257"/>
      <c r="F6" s="285"/>
      <c r="G6" s="37">
        <f t="shared" si="0"/>
        <v>0</v>
      </c>
      <c r="H6" s="37"/>
      <c r="I6" s="37"/>
      <c r="J6" s="37">
        <f t="shared" si="1"/>
        <v>0</v>
      </c>
      <c r="K6" s="37">
        <f t="shared" si="2"/>
        <v>0</v>
      </c>
      <c r="L6" s="37"/>
      <c r="M6" s="37">
        <f t="shared" si="3"/>
        <v>114274.93569999991</v>
      </c>
      <c r="N6" s="37"/>
    </row>
    <row r="7" spans="1:16">
      <c r="A7" s="43">
        <v>4</v>
      </c>
      <c r="B7" s="212">
        <v>46238</v>
      </c>
      <c r="C7" s="37"/>
      <c r="D7" s="37"/>
      <c r="E7" s="257"/>
      <c r="F7" s="285"/>
      <c r="G7" s="37">
        <f t="shared" si="0"/>
        <v>0</v>
      </c>
      <c r="H7" s="37">
        <v>10</v>
      </c>
      <c r="I7" s="37">
        <v>111.21</v>
      </c>
      <c r="J7" s="37">
        <f t="shared" si="1"/>
        <v>1112.0999999999999</v>
      </c>
      <c r="K7" s="37">
        <f t="shared" si="2"/>
        <v>1112.0999999999999</v>
      </c>
      <c r="L7" s="37"/>
      <c r="M7" s="37">
        <f t="shared" si="3"/>
        <v>115387.03569999992</v>
      </c>
      <c r="N7" s="37"/>
    </row>
    <row r="8" spans="1:16">
      <c r="A8" s="43">
        <v>5</v>
      </c>
      <c r="B8" s="212">
        <v>46239</v>
      </c>
      <c r="C8" s="37"/>
      <c r="D8" s="37"/>
      <c r="E8" s="257"/>
      <c r="F8" s="285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>
        <v>115000</v>
      </c>
      <c r="M8" s="37">
        <f t="shared" si="3"/>
        <v>387.03569999992033</v>
      </c>
      <c r="N8" s="37"/>
    </row>
    <row r="9" spans="1:16">
      <c r="A9" s="43">
        <v>6</v>
      </c>
      <c r="B9" s="212">
        <v>46240</v>
      </c>
      <c r="C9" s="37"/>
      <c r="D9" s="37"/>
      <c r="E9" s="257">
        <v>260.27999999999997</v>
      </c>
      <c r="F9" s="285">
        <v>99.13</v>
      </c>
      <c r="G9" s="37">
        <f t="shared" si="0"/>
        <v>25801.556399999998</v>
      </c>
      <c r="H9" s="37"/>
      <c r="I9" s="37"/>
      <c r="J9" s="37">
        <f t="shared" si="1"/>
        <v>0</v>
      </c>
      <c r="K9" s="37">
        <f t="shared" si="2"/>
        <v>25801.556399999998</v>
      </c>
      <c r="L9" s="37"/>
      <c r="M9" s="37">
        <f t="shared" si="3"/>
        <v>26188.592099999918</v>
      </c>
      <c r="N9" s="37"/>
    </row>
    <row r="10" spans="1:16">
      <c r="A10" s="43">
        <v>7</v>
      </c>
      <c r="B10" s="212">
        <v>46241</v>
      </c>
      <c r="C10" s="37"/>
      <c r="D10" s="37"/>
      <c r="E10" s="257"/>
      <c r="F10" s="285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37">
        <f t="shared" si="3"/>
        <v>26188.592099999918</v>
      </c>
      <c r="N10" s="37"/>
    </row>
    <row r="11" spans="1:16">
      <c r="A11" s="43">
        <v>8</v>
      </c>
      <c r="B11" s="212">
        <v>46242</v>
      </c>
      <c r="C11" s="37"/>
      <c r="D11" s="37"/>
      <c r="E11" s="257"/>
      <c r="F11" s="285"/>
      <c r="G11" s="37">
        <f t="shared" si="0"/>
        <v>0</v>
      </c>
      <c r="H11" s="37">
        <v>5</v>
      </c>
      <c r="I11" s="37">
        <v>111.21</v>
      </c>
      <c r="J11" s="37">
        <f t="shared" si="1"/>
        <v>556.04999999999995</v>
      </c>
      <c r="K11" s="37">
        <f t="shared" si="2"/>
        <v>556.04999999999995</v>
      </c>
      <c r="L11" s="37"/>
      <c r="M11" s="37">
        <f t="shared" si="3"/>
        <v>26744.642099999917</v>
      </c>
      <c r="N11" s="37"/>
      <c r="P11" s="19"/>
    </row>
    <row r="12" spans="1:16">
      <c r="A12" s="43">
        <v>9</v>
      </c>
      <c r="B12" s="212">
        <v>46243</v>
      </c>
      <c r="C12" s="37"/>
      <c r="D12" s="37"/>
      <c r="E12" s="257"/>
      <c r="F12" s="285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/>
      <c r="M12" s="37">
        <f t="shared" si="3"/>
        <v>26744.642099999917</v>
      </c>
      <c r="N12" s="37"/>
    </row>
    <row r="13" spans="1:16">
      <c r="A13" s="43">
        <v>10</v>
      </c>
      <c r="B13" s="212">
        <v>46244</v>
      </c>
      <c r="C13" s="37"/>
      <c r="D13" s="37"/>
      <c r="E13" s="257"/>
      <c r="F13" s="285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/>
      <c r="M13" s="37">
        <f t="shared" si="3"/>
        <v>26744.642099999917</v>
      </c>
      <c r="N13" s="37"/>
    </row>
    <row r="14" spans="1:16">
      <c r="A14" s="43">
        <v>11</v>
      </c>
      <c r="B14" s="212">
        <v>46245</v>
      </c>
      <c r="C14" s="37"/>
      <c r="D14" s="37"/>
      <c r="E14" s="257"/>
      <c r="F14" s="285"/>
      <c r="G14" s="37">
        <f t="shared" si="0"/>
        <v>0</v>
      </c>
      <c r="H14" s="37">
        <v>5</v>
      </c>
      <c r="I14" s="37">
        <v>111.21</v>
      </c>
      <c r="J14" s="37">
        <f t="shared" si="1"/>
        <v>556.04999999999995</v>
      </c>
      <c r="K14" s="37">
        <f t="shared" si="2"/>
        <v>556.04999999999995</v>
      </c>
      <c r="L14" s="37"/>
      <c r="M14" s="37">
        <f t="shared" si="3"/>
        <v>27300.692099999917</v>
      </c>
      <c r="N14" s="37"/>
    </row>
    <row r="15" spans="1:16">
      <c r="A15" s="43">
        <v>12</v>
      </c>
      <c r="B15" s="212">
        <v>46246</v>
      </c>
      <c r="C15" s="37"/>
      <c r="D15" s="37"/>
      <c r="E15" s="257">
        <v>600</v>
      </c>
      <c r="F15" s="285">
        <v>99.13</v>
      </c>
      <c r="G15" s="37">
        <f t="shared" si="0"/>
        <v>59478</v>
      </c>
      <c r="H15" s="37"/>
      <c r="I15" s="37"/>
      <c r="J15" s="37">
        <f t="shared" si="1"/>
        <v>0</v>
      </c>
      <c r="K15" s="37">
        <f t="shared" ref="K15:K25" si="4">G15+J15</f>
        <v>59478</v>
      </c>
      <c r="L15" s="37"/>
      <c r="M15" s="37">
        <f t="shared" si="3"/>
        <v>86778.692099999913</v>
      </c>
      <c r="N15" s="37"/>
    </row>
    <row r="16" spans="1:16">
      <c r="A16" s="43">
        <v>13</v>
      </c>
      <c r="B16" s="212">
        <v>46247</v>
      </c>
      <c r="C16" s="37"/>
      <c r="D16" s="37"/>
      <c r="E16" s="257"/>
      <c r="F16" s="285"/>
      <c r="G16" s="37">
        <f t="shared" si="0"/>
        <v>0</v>
      </c>
      <c r="H16" s="372"/>
      <c r="I16" s="37"/>
      <c r="J16" s="37">
        <f t="shared" si="1"/>
        <v>0</v>
      </c>
      <c r="K16" s="37">
        <f t="shared" si="4"/>
        <v>0</v>
      </c>
      <c r="L16" s="37"/>
      <c r="M16" s="37">
        <f>M15+K16-L16</f>
        <v>86778.692099999913</v>
      </c>
      <c r="N16" s="37"/>
    </row>
    <row r="17" spans="1:14">
      <c r="A17" s="43">
        <v>14</v>
      </c>
      <c r="B17" s="212">
        <v>46248</v>
      </c>
      <c r="C17" s="37"/>
      <c r="D17" s="37"/>
      <c r="E17" s="257">
        <v>440.43</v>
      </c>
      <c r="F17" s="285">
        <v>99.13</v>
      </c>
      <c r="G17" s="37">
        <f t="shared" si="0"/>
        <v>43659.825899999996</v>
      </c>
      <c r="H17" s="37"/>
      <c r="I17" s="37"/>
      <c r="J17" s="37">
        <f t="shared" si="1"/>
        <v>0</v>
      </c>
      <c r="K17" s="37">
        <f t="shared" si="4"/>
        <v>43659.825899999996</v>
      </c>
      <c r="L17" s="37"/>
      <c r="M17" s="37">
        <f t="shared" si="3"/>
        <v>130438.51799999991</v>
      </c>
      <c r="N17" s="37"/>
    </row>
    <row r="18" spans="1:14">
      <c r="A18" s="43">
        <v>15</v>
      </c>
      <c r="B18" s="212">
        <v>46249</v>
      </c>
      <c r="C18" s="37"/>
      <c r="D18" s="37"/>
      <c r="E18" s="257"/>
      <c r="F18" s="285"/>
      <c r="G18" s="37">
        <f t="shared" si="0"/>
        <v>0</v>
      </c>
      <c r="H18" s="37"/>
      <c r="I18" s="37"/>
      <c r="J18" s="37">
        <f t="shared" si="1"/>
        <v>0</v>
      </c>
      <c r="K18" s="37">
        <f t="shared" si="4"/>
        <v>0</v>
      </c>
      <c r="L18" s="37"/>
      <c r="M18" s="37">
        <f t="shared" si="3"/>
        <v>130438.51799999991</v>
      </c>
      <c r="N18" s="37"/>
    </row>
    <row r="19" spans="1:14">
      <c r="A19" s="43">
        <v>16</v>
      </c>
      <c r="B19" s="212">
        <v>46250</v>
      </c>
      <c r="C19" s="37"/>
      <c r="D19" s="37"/>
      <c r="E19" s="257"/>
      <c r="F19" s="285"/>
      <c r="G19" s="37">
        <f t="shared" si="0"/>
        <v>0</v>
      </c>
      <c r="H19" s="37"/>
      <c r="I19" s="37"/>
      <c r="J19" s="37">
        <f t="shared" si="1"/>
        <v>0</v>
      </c>
      <c r="K19" s="37">
        <f t="shared" si="4"/>
        <v>0</v>
      </c>
      <c r="L19" s="37"/>
      <c r="M19" s="37">
        <f t="shared" si="3"/>
        <v>130438.51799999991</v>
      </c>
      <c r="N19" s="37"/>
    </row>
    <row r="20" spans="1:14">
      <c r="A20" s="43">
        <v>17</v>
      </c>
      <c r="B20" s="212">
        <v>46251</v>
      </c>
      <c r="C20" s="37"/>
      <c r="D20" s="37"/>
      <c r="E20" s="257"/>
      <c r="F20" s="285"/>
      <c r="G20" s="37">
        <f t="shared" si="0"/>
        <v>0</v>
      </c>
      <c r="H20" s="37"/>
      <c r="I20" s="37"/>
      <c r="J20" s="37">
        <f t="shared" si="1"/>
        <v>0</v>
      </c>
      <c r="K20" s="37">
        <f t="shared" si="4"/>
        <v>0</v>
      </c>
      <c r="L20" s="37"/>
      <c r="M20" s="37">
        <f t="shared" si="3"/>
        <v>130438.51799999991</v>
      </c>
      <c r="N20" s="37"/>
    </row>
    <row r="21" spans="1:14">
      <c r="A21" s="43">
        <v>18</v>
      </c>
      <c r="B21" s="212">
        <v>46252</v>
      </c>
      <c r="C21" s="37"/>
      <c r="D21" s="37"/>
      <c r="E21" s="257">
        <v>200</v>
      </c>
      <c r="F21" s="285">
        <v>99.13</v>
      </c>
      <c r="G21" s="37">
        <f t="shared" si="0"/>
        <v>19826</v>
      </c>
      <c r="H21" s="37"/>
      <c r="I21" s="37"/>
      <c r="J21" s="37">
        <f t="shared" si="1"/>
        <v>0</v>
      </c>
      <c r="K21" s="37">
        <f t="shared" si="4"/>
        <v>19826</v>
      </c>
      <c r="L21" s="37"/>
      <c r="M21" s="37">
        <f>M20+K21-L21</f>
        <v>150264.51799999992</v>
      </c>
      <c r="N21" s="37"/>
    </row>
    <row r="22" spans="1:14">
      <c r="A22" s="43">
        <v>19</v>
      </c>
      <c r="B22" s="212">
        <v>46253</v>
      </c>
      <c r="C22" s="37"/>
      <c r="D22" s="37"/>
      <c r="E22" s="257"/>
      <c r="F22" s="285"/>
      <c r="G22" s="37">
        <f t="shared" si="0"/>
        <v>0</v>
      </c>
      <c r="H22" s="37"/>
      <c r="I22" s="37"/>
      <c r="J22" s="37">
        <f t="shared" si="1"/>
        <v>0</v>
      </c>
      <c r="K22" s="37">
        <f t="shared" si="4"/>
        <v>0</v>
      </c>
      <c r="L22" s="37"/>
      <c r="M22" s="37">
        <f t="shared" si="3"/>
        <v>150264.51799999992</v>
      </c>
      <c r="N22" s="37"/>
    </row>
    <row r="23" spans="1:14">
      <c r="A23" s="43">
        <v>20</v>
      </c>
      <c r="B23" s="212">
        <v>46254</v>
      </c>
      <c r="C23" s="37"/>
      <c r="D23" s="37"/>
      <c r="E23" s="257">
        <v>37.1</v>
      </c>
      <c r="F23" s="285">
        <v>99.13</v>
      </c>
      <c r="G23" s="37">
        <f t="shared" si="0"/>
        <v>3677.723</v>
      </c>
      <c r="H23" s="37">
        <v>5</v>
      </c>
      <c r="I23" s="37">
        <v>111.21</v>
      </c>
      <c r="J23" s="37">
        <f t="shared" si="1"/>
        <v>556.04999999999995</v>
      </c>
      <c r="K23" s="37">
        <f t="shared" si="4"/>
        <v>4233.7730000000001</v>
      </c>
      <c r="L23" s="37">
        <v>150000</v>
      </c>
      <c r="M23" s="37">
        <f t="shared" si="3"/>
        <v>4498.2909999999101</v>
      </c>
      <c r="N23" s="37"/>
    </row>
    <row r="24" spans="1:14">
      <c r="A24" s="43">
        <v>21</v>
      </c>
      <c r="B24" s="212">
        <v>46255</v>
      </c>
      <c r="C24" s="37"/>
      <c r="D24" s="37"/>
      <c r="E24" s="257"/>
      <c r="F24" s="285"/>
      <c r="G24" s="37">
        <f t="shared" si="0"/>
        <v>0</v>
      </c>
      <c r="H24" s="37">
        <v>5</v>
      </c>
      <c r="I24" s="37">
        <v>111.21</v>
      </c>
      <c r="J24" s="37">
        <f t="shared" si="1"/>
        <v>556.04999999999995</v>
      </c>
      <c r="K24" s="37">
        <f t="shared" si="4"/>
        <v>556.04999999999995</v>
      </c>
      <c r="L24" s="37"/>
      <c r="M24" s="37">
        <f t="shared" si="3"/>
        <v>5054.3409999999103</v>
      </c>
      <c r="N24" s="37"/>
    </row>
    <row r="25" spans="1:14">
      <c r="A25" s="43">
        <v>22</v>
      </c>
      <c r="B25" s="212">
        <v>46256</v>
      </c>
      <c r="C25" s="37"/>
      <c r="D25" s="37"/>
      <c r="E25" s="257">
        <v>90.01</v>
      </c>
      <c r="F25" s="285">
        <v>99.13</v>
      </c>
      <c r="G25" s="37">
        <f t="shared" si="0"/>
        <v>8922.6913000000004</v>
      </c>
      <c r="H25" s="37">
        <v>5</v>
      </c>
      <c r="I25" s="37">
        <v>111.21</v>
      </c>
      <c r="J25" s="37">
        <f t="shared" si="1"/>
        <v>556.04999999999995</v>
      </c>
      <c r="K25" s="37">
        <f t="shared" si="4"/>
        <v>9478.7412999999997</v>
      </c>
      <c r="L25" s="37"/>
      <c r="M25" s="37">
        <f t="shared" si="3"/>
        <v>14533.082299999911</v>
      </c>
      <c r="N25" s="37"/>
    </row>
    <row r="26" spans="1:14">
      <c r="A26" s="43">
        <v>23</v>
      </c>
      <c r="B26" s="212">
        <v>46257</v>
      </c>
      <c r="C26" s="37"/>
      <c r="D26" s="37"/>
      <c r="E26" s="257"/>
      <c r="F26" s="285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/>
      <c r="M26" s="37">
        <f t="shared" si="3"/>
        <v>14533.082299999911</v>
      </c>
      <c r="N26" s="37"/>
    </row>
    <row r="27" spans="1:14">
      <c r="A27" s="43">
        <v>24</v>
      </c>
      <c r="B27" s="212">
        <v>46258</v>
      </c>
      <c r="C27" s="37"/>
      <c r="D27" s="37"/>
      <c r="E27" s="257"/>
      <c r="F27" s="285"/>
      <c r="G27" s="37">
        <f t="shared" si="0"/>
        <v>0</v>
      </c>
      <c r="H27" s="37">
        <v>10</v>
      </c>
      <c r="I27" s="37">
        <v>111.21</v>
      </c>
      <c r="J27" s="37">
        <f t="shared" si="1"/>
        <v>1112.0999999999999</v>
      </c>
      <c r="K27" s="37">
        <f t="shared" si="2"/>
        <v>1112.0999999999999</v>
      </c>
      <c r="L27" s="37"/>
      <c r="M27" s="37">
        <f t="shared" si="3"/>
        <v>15645.182299999911</v>
      </c>
      <c r="N27" s="37"/>
    </row>
    <row r="28" spans="1:14">
      <c r="A28" s="214">
        <v>25</v>
      </c>
      <c r="B28" s="212">
        <v>46259</v>
      </c>
      <c r="C28" s="37"/>
      <c r="D28" s="37"/>
      <c r="E28" s="257">
        <v>173.6</v>
      </c>
      <c r="F28" s="285">
        <v>99.13</v>
      </c>
      <c r="G28" s="37">
        <f t="shared" si="0"/>
        <v>17208.967999999997</v>
      </c>
      <c r="H28" s="37">
        <v>15</v>
      </c>
      <c r="I28" s="37">
        <v>111.21</v>
      </c>
      <c r="J28" s="37">
        <f t="shared" si="1"/>
        <v>1668.1499999999999</v>
      </c>
      <c r="K28" s="37">
        <f t="shared" si="2"/>
        <v>18877.117999999999</v>
      </c>
      <c r="L28" s="37"/>
      <c r="M28" s="37">
        <f t="shared" si="3"/>
        <v>34522.300299999908</v>
      </c>
      <c r="N28" s="37"/>
    </row>
    <row r="29" spans="1:14">
      <c r="A29" s="214">
        <v>26</v>
      </c>
      <c r="B29" s="212">
        <v>46260</v>
      </c>
      <c r="C29" s="37"/>
      <c r="D29" s="37"/>
      <c r="E29" s="257">
        <v>20</v>
      </c>
      <c r="F29" s="285">
        <v>99.13</v>
      </c>
      <c r="G29" s="37">
        <f t="shared" si="0"/>
        <v>1982.6</v>
      </c>
      <c r="H29" s="37">
        <v>5</v>
      </c>
      <c r="I29" s="37">
        <v>111.21</v>
      </c>
      <c r="J29" s="37">
        <f t="shared" si="1"/>
        <v>556.04999999999995</v>
      </c>
      <c r="K29" s="37">
        <f t="shared" si="2"/>
        <v>2538.6499999999996</v>
      </c>
      <c r="L29" s="37"/>
      <c r="M29" s="37">
        <f t="shared" si="3"/>
        <v>37060.950299999909</v>
      </c>
      <c r="N29" s="37"/>
    </row>
    <row r="30" spans="1:14">
      <c r="A30" s="214">
        <v>27</v>
      </c>
      <c r="B30" s="212">
        <v>46261</v>
      </c>
      <c r="C30" s="37"/>
      <c r="D30" s="37"/>
      <c r="E30" s="257">
        <v>484.06</v>
      </c>
      <c r="F30" s="285">
        <v>99.13</v>
      </c>
      <c r="G30" s="37">
        <f t="shared" si="0"/>
        <v>47984.8678</v>
      </c>
      <c r="H30" s="37">
        <v>10</v>
      </c>
      <c r="I30" s="37">
        <v>111.21</v>
      </c>
      <c r="J30" s="37">
        <f t="shared" si="1"/>
        <v>1112.0999999999999</v>
      </c>
      <c r="K30" s="37">
        <f t="shared" si="2"/>
        <v>49096.967799999999</v>
      </c>
      <c r="L30" s="37"/>
      <c r="M30" s="37">
        <f t="shared" si="3"/>
        <v>86157.918099999908</v>
      </c>
      <c r="N30" s="37"/>
    </row>
    <row r="31" spans="1:14">
      <c r="A31" s="214">
        <v>28</v>
      </c>
      <c r="B31" s="212">
        <v>46262</v>
      </c>
      <c r="C31" s="37"/>
      <c r="D31" s="37"/>
      <c r="E31" s="257">
        <v>100</v>
      </c>
      <c r="F31" s="285">
        <v>99.13</v>
      </c>
      <c r="G31" s="37">
        <f t="shared" si="0"/>
        <v>9913</v>
      </c>
      <c r="H31" s="37"/>
      <c r="I31" s="37"/>
      <c r="J31" s="37">
        <f t="shared" si="1"/>
        <v>0</v>
      </c>
      <c r="K31" s="37">
        <f t="shared" si="2"/>
        <v>9913</v>
      </c>
      <c r="L31" s="37">
        <v>86157</v>
      </c>
      <c r="M31" s="37">
        <f t="shared" si="3"/>
        <v>9913.918099999908</v>
      </c>
      <c r="N31" s="37"/>
    </row>
    <row r="32" spans="1:14">
      <c r="A32" s="215">
        <v>29</v>
      </c>
      <c r="B32" s="212">
        <v>46263</v>
      </c>
      <c r="C32" s="37"/>
      <c r="D32" s="37"/>
      <c r="E32" s="257">
        <v>200</v>
      </c>
      <c r="F32" s="285">
        <v>99.13</v>
      </c>
      <c r="G32" s="37">
        <f t="shared" si="0"/>
        <v>19826</v>
      </c>
      <c r="H32" s="37">
        <v>5</v>
      </c>
      <c r="I32" s="37">
        <v>111.21</v>
      </c>
      <c r="J32" s="37">
        <f t="shared" si="1"/>
        <v>556.04999999999995</v>
      </c>
      <c r="K32" s="37">
        <f t="shared" si="2"/>
        <v>20382.05</v>
      </c>
      <c r="L32" s="37"/>
      <c r="M32" s="37">
        <f t="shared" si="3"/>
        <v>30295.968099999907</v>
      </c>
      <c r="N32" s="37"/>
    </row>
    <row r="33" spans="1:14">
      <c r="A33" s="215">
        <v>30</v>
      </c>
      <c r="B33" s="212">
        <v>46264</v>
      </c>
      <c r="C33" s="37"/>
      <c r="D33" s="37"/>
      <c r="E33" s="257">
        <v>10</v>
      </c>
      <c r="F33" s="285">
        <v>99.13</v>
      </c>
      <c r="G33" s="37">
        <f t="shared" si="0"/>
        <v>991.3</v>
      </c>
      <c r="H33" s="37">
        <v>5</v>
      </c>
      <c r="I33" s="37">
        <v>111.21</v>
      </c>
      <c r="J33" s="37">
        <f t="shared" si="1"/>
        <v>556.04999999999995</v>
      </c>
      <c r="K33" s="37">
        <f t="shared" si="2"/>
        <v>1547.35</v>
      </c>
      <c r="L33" s="37"/>
      <c r="M33" s="37">
        <f t="shared" si="3"/>
        <v>31843.318099999906</v>
      </c>
      <c r="N33" s="37"/>
    </row>
    <row r="34" spans="1:14">
      <c r="A34" s="215">
        <v>31</v>
      </c>
      <c r="B34" s="212">
        <v>46265</v>
      </c>
      <c r="C34" s="37"/>
      <c r="D34" s="37"/>
      <c r="E34" s="257"/>
      <c r="F34" s="285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/>
      <c r="M34" s="37">
        <f t="shared" si="3"/>
        <v>31843.318099999906</v>
      </c>
      <c r="N34" s="37"/>
    </row>
    <row r="35" spans="1:14">
      <c r="A35" s="174"/>
      <c r="B35" s="174"/>
      <c r="C35" s="174"/>
      <c r="D35" s="174"/>
      <c r="E35" s="174">
        <f>SUM(E4:E34)</f>
        <v>2615.48</v>
      </c>
      <c r="F35" s="174"/>
      <c r="G35" s="174">
        <f>SUM(G4:G34)</f>
        <v>259272.5324</v>
      </c>
      <c r="H35" s="174">
        <f>SUM(H4:H34)</f>
        <v>85</v>
      </c>
      <c r="I35" s="174"/>
      <c r="J35" s="174">
        <f>SUM(J4:J34)</f>
        <v>9452.8499999999985</v>
      </c>
      <c r="K35" s="174">
        <f>SUM(K4:K34)</f>
        <v>268725.38239999994</v>
      </c>
      <c r="L35" s="174">
        <f>SUM(L4:L34)</f>
        <v>351157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topLeftCell="A22" workbookViewId="0">
      <selection activeCell="M34" sqref="M34"/>
    </sheetView>
  </sheetViews>
  <sheetFormatPr defaultRowHeight="15"/>
  <cols>
    <col min="2" max="2" width="12.5703125" customWidth="1"/>
    <col min="5" max="5" width="9.7109375" bestFit="1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  <col min="18" max="18" width="9.28515625" bestFit="1" customWidth="1"/>
  </cols>
  <sheetData>
    <row r="1" spans="1:16" ht="15.75">
      <c r="A1" s="595" t="s">
        <v>261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7"/>
    </row>
    <row r="2" spans="1:16" ht="30.75">
      <c r="A2" s="120" t="s">
        <v>0</v>
      </c>
      <c r="B2" s="206" t="s">
        <v>170</v>
      </c>
      <c r="C2" s="206" t="s">
        <v>171</v>
      </c>
      <c r="D2" s="206" t="s">
        <v>194</v>
      </c>
      <c r="E2" s="206" t="s">
        <v>173</v>
      </c>
      <c r="F2" s="206" t="s">
        <v>174</v>
      </c>
      <c r="G2" s="206" t="s">
        <v>175</v>
      </c>
      <c r="H2" s="206" t="s">
        <v>176</v>
      </c>
      <c r="I2" s="206" t="s">
        <v>174</v>
      </c>
      <c r="J2" s="206" t="s">
        <v>175</v>
      </c>
      <c r="K2" s="168" t="s">
        <v>177</v>
      </c>
      <c r="L2" s="168" t="s">
        <v>178</v>
      </c>
      <c r="M2" s="168" t="s">
        <v>195</v>
      </c>
      <c r="N2" s="206" t="s">
        <v>180</v>
      </c>
    </row>
    <row r="3" spans="1:16">
      <c r="A3" s="598" t="s">
        <v>181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600"/>
      <c r="M3" s="598">
        <v>1398189.1940000001</v>
      </c>
      <c r="N3" s="600"/>
    </row>
    <row r="4" spans="1:16">
      <c r="A4" s="189">
        <v>1</v>
      </c>
      <c r="B4" s="212">
        <v>46235</v>
      </c>
      <c r="C4" s="37"/>
      <c r="D4" s="37"/>
      <c r="E4" s="257">
        <v>0</v>
      </c>
      <c r="F4" s="285">
        <v>0</v>
      </c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>
        <v>0</v>
      </c>
      <c r="M4" s="37">
        <f>M3+K4-L4</f>
        <v>1398189.1940000001</v>
      </c>
      <c r="N4" s="37"/>
    </row>
    <row r="5" spans="1:16">
      <c r="A5" s="43">
        <v>2</v>
      </c>
      <c r="B5" s="212">
        <v>46236</v>
      </c>
      <c r="C5" s="37"/>
      <c r="D5" s="37"/>
      <c r="E5" s="257">
        <v>1074.9100000000001</v>
      </c>
      <c r="F5" s="285">
        <v>99.13</v>
      </c>
      <c r="G5" s="37">
        <f t="shared" ref="G5:G34" si="0">E5*F5</f>
        <v>106555.82830000001</v>
      </c>
      <c r="H5" s="37"/>
      <c r="I5" s="37"/>
      <c r="J5" s="37">
        <f t="shared" ref="J5:J34" si="1">H5*I5</f>
        <v>0</v>
      </c>
      <c r="K5" s="37">
        <f t="shared" ref="K5:K34" si="2">G5+J5</f>
        <v>106555.82830000001</v>
      </c>
      <c r="L5" s="37">
        <v>0</v>
      </c>
      <c r="M5" s="37">
        <f t="shared" ref="M5:M32" si="3">M4+K5-L5</f>
        <v>1504745.0223000001</v>
      </c>
      <c r="N5" s="37"/>
    </row>
    <row r="6" spans="1:16">
      <c r="A6" s="189">
        <v>3</v>
      </c>
      <c r="B6" s="212">
        <v>46237</v>
      </c>
      <c r="C6" s="37"/>
      <c r="D6" s="37"/>
      <c r="E6" s="257"/>
      <c r="F6" s="285"/>
      <c r="G6" s="37">
        <f t="shared" si="0"/>
        <v>0</v>
      </c>
      <c r="H6" s="37"/>
      <c r="I6" s="37"/>
      <c r="J6" s="37">
        <f t="shared" si="1"/>
        <v>0</v>
      </c>
      <c r="K6" s="37">
        <f>G6+J6</f>
        <v>0</v>
      </c>
      <c r="L6" s="37">
        <v>0</v>
      </c>
      <c r="M6" s="37">
        <f t="shared" si="3"/>
        <v>1504745.0223000001</v>
      </c>
      <c r="N6" s="37"/>
    </row>
    <row r="7" spans="1:16">
      <c r="A7" s="43">
        <v>4</v>
      </c>
      <c r="B7" s="212">
        <v>46238</v>
      </c>
      <c r="C7" s="37"/>
      <c r="D7" s="37"/>
      <c r="E7" s="285">
        <v>1034.53</v>
      </c>
      <c r="F7" s="37">
        <v>99.13</v>
      </c>
      <c r="G7" s="37">
        <f t="shared" si="0"/>
        <v>102552.9589</v>
      </c>
      <c r="H7" s="37"/>
      <c r="I7" s="37"/>
      <c r="J7" s="37">
        <f t="shared" si="1"/>
        <v>0</v>
      </c>
      <c r="K7" s="37">
        <f t="shared" si="2"/>
        <v>102552.9589</v>
      </c>
      <c r="L7" s="37">
        <v>0</v>
      </c>
      <c r="M7" s="37">
        <f t="shared" si="3"/>
        <v>1607297.9812</v>
      </c>
      <c r="N7" s="37"/>
    </row>
    <row r="8" spans="1:16">
      <c r="A8" s="189">
        <v>5</v>
      </c>
      <c r="B8" s="212">
        <v>46239</v>
      </c>
      <c r="C8" s="37"/>
      <c r="D8" s="37"/>
      <c r="E8" s="257"/>
      <c r="F8" s="285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>
        <v>800000</v>
      </c>
      <c r="M8" s="37">
        <f t="shared" si="3"/>
        <v>807297.98120000004</v>
      </c>
      <c r="N8" s="37"/>
    </row>
    <row r="9" spans="1:16">
      <c r="A9" s="43">
        <v>6</v>
      </c>
      <c r="B9" s="212">
        <v>46240</v>
      </c>
      <c r="C9" s="37"/>
      <c r="D9" s="37"/>
      <c r="E9" s="257">
        <v>721.4</v>
      </c>
      <c r="F9" s="285">
        <v>99.13</v>
      </c>
      <c r="G9" s="37">
        <f t="shared" si="0"/>
        <v>71512.381999999998</v>
      </c>
      <c r="H9" s="37"/>
      <c r="I9" s="37"/>
      <c r="J9" s="37">
        <f t="shared" si="1"/>
        <v>0</v>
      </c>
      <c r="K9" s="37">
        <f t="shared" si="2"/>
        <v>71512.381999999998</v>
      </c>
      <c r="L9" s="37">
        <v>0</v>
      </c>
      <c r="M9" s="37">
        <f t="shared" si="3"/>
        <v>878810.36320000002</v>
      </c>
      <c r="N9" s="37"/>
    </row>
    <row r="10" spans="1:16">
      <c r="A10" s="189">
        <v>7</v>
      </c>
      <c r="B10" s="212">
        <v>46241</v>
      </c>
      <c r="C10" s="37"/>
      <c r="D10" s="37"/>
      <c r="E10" s="257"/>
      <c r="F10" s="285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>
        <v>0</v>
      </c>
      <c r="M10" s="37">
        <f t="shared" si="3"/>
        <v>878810.36320000002</v>
      </c>
      <c r="N10" s="37"/>
    </row>
    <row r="11" spans="1:16">
      <c r="A11" s="43">
        <v>8</v>
      </c>
      <c r="B11" s="212">
        <v>46242</v>
      </c>
      <c r="C11" s="37"/>
      <c r="D11" s="37"/>
      <c r="E11" s="257">
        <v>638.45000000000005</v>
      </c>
      <c r="F11" s="285">
        <v>99.13</v>
      </c>
      <c r="G11" s="37">
        <f t="shared" si="0"/>
        <v>63289.548500000004</v>
      </c>
      <c r="H11" s="37"/>
      <c r="I11" s="37"/>
      <c r="J11" s="37">
        <f t="shared" si="1"/>
        <v>0</v>
      </c>
      <c r="K11" s="37">
        <f t="shared" si="2"/>
        <v>63289.548500000004</v>
      </c>
      <c r="L11" s="37">
        <v>0</v>
      </c>
      <c r="M11" s="37">
        <f t="shared" si="3"/>
        <v>942099.91170000006</v>
      </c>
      <c r="N11" s="37"/>
      <c r="P11" s="19"/>
    </row>
    <row r="12" spans="1:16">
      <c r="A12" s="189">
        <v>9</v>
      </c>
      <c r="B12" s="212">
        <v>46243</v>
      </c>
      <c r="C12" s="37"/>
      <c r="D12" s="37"/>
      <c r="E12" s="257"/>
      <c r="F12" s="285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>
        <v>0</v>
      </c>
      <c r="M12" s="37">
        <f t="shared" si="3"/>
        <v>942099.91170000006</v>
      </c>
      <c r="N12" s="37"/>
    </row>
    <row r="13" spans="1:16">
      <c r="A13" s="43">
        <v>10</v>
      </c>
      <c r="B13" s="212">
        <v>46244</v>
      </c>
      <c r="C13" s="37"/>
      <c r="D13" s="37"/>
      <c r="E13" s="257">
        <v>600</v>
      </c>
      <c r="F13" s="285">
        <v>99.13</v>
      </c>
      <c r="G13" s="37">
        <f t="shared" si="0"/>
        <v>59478</v>
      </c>
      <c r="H13" s="37"/>
      <c r="I13" s="37"/>
      <c r="J13" s="37">
        <f t="shared" si="1"/>
        <v>0</v>
      </c>
      <c r="K13" s="37">
        <f t="shared" si="2"/>
        <v>59478</v>
      </c>
      <c r="L13" s="37">
        <v>0</v>
      </c>
      <c r="M13" s="37">
        <f t="shared" si="3"/>
        <v>1001577.9117000001</v>
      </c>
      <c r="N13" s="37"/>
    </row>
    <row r="14" spans="1:16">
      <c r="A14" s="189">
        <v>11</v>
      </c>
      <c r="B14" s="212">
        <v>46245</v>
      </c>
      <c r="C14" s="37"/>
      <c r="D14" s="37"/>
      <c r="E14" s="257"/>
      <c r="F14" s="285"/>
      <c r="G14" s="37">
        <f t="shared" si="0"/>
        <v>0</v>
      </c>
      <c r="H14" s="37"/>
      <c r="I14" s="37"/>
      <c r="J14" s="37">
        <f t="shared" si="1"/>
        <v>0</v>
      </c>
      <c r="K14" s="37">
        <f t="shared" si="2"/>
        <v>0</v>
      </c>
      <c r="L14" s="37">
        <v>0</v>
      </c>
      <c r="M14" s="37">
        <f t="shared" si="3"/>
        <v>1001577.9117000001</v>
      </c>
      <c r="N14" s="37"/>
    </row>
    <row r="15" spans="1:16">
      <c r="A15" s="43">
        <v>12</v>
      </c>
      <c r="B15" s="212">
        <v>46246</v>
      </c>
      <c r="C15" s="37"/>
      <c r="D15" s="37"/>
      <c r="E15" s="257"/>
      <c r="F15" s="285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>
        <v>0</v>
      </c>
      <c r="M15" s="37">
        <f t="shared" si="3"/>
        <v>1001577.9117000001</v>
      </c>
      <c r="N15" s="37"/>
    </row>
    <row r="16" spans="1:16">
      <c r="A16" s="189">
        <v>13</v>
      </c>
      <c r="B16" s="212">
        <v>46247</v>
      </c>
      <c r="C16" s="37"/>
      <c r="D16" s="37"/>
      <c r="E16" s="257"/>
      <c r="F16" s="285"/>
      <c r="G16" s="37">
        <f t="shared" si="0"/>
        <v>0</v>
      </c>
      <c r="H16" s="37"/>
      <c r="I16" s="37"/>
      <c r="J16" s="37">
        <f t="shared" si="1"/>
        <v>0</v>
      </c>
      <c r="K16" s="37">
        <f t="shared" si="2"/>
        <v>0</v>
      </c>
      <c r="L16" s="37">
        <v>0</v>
      </c>
      <c r="M16" s="37">
        <f t="shared" si="3"/>
        <v>1001577.9117000001</v>
      </c>
      <c r="N16" s="37"/>
    </row>
    <row r="17" spans="1:14">
      <c r="A17" s="43">
        <v>14</v>
      </c>
      <c r="B17" s="212">
        <v>46248</v>
      </c>
      <c r="C17" s="37"/>
      <c r="D17" s="37"/>
      <c r="E17" s="257">
        <v>600</v>
      </c>
      <c r="F17" s="285">
        <v>99.13</v>
      </c>
      <c r="G17" s="37">
        <f t="shared" si="0"/>
        <v>59478</v>
      </c>
      <c r="H17" s="37"/>
      <c r="I17" s="37"/>
      <c r="J17" s="37">
        <f t="shared" si="1"/>
        <v>0</v>
      </c>
      <c r="K17" s="37">
        <f t="shared" si="2"/>
        <v>59478</v>
      </c>
      <c r="L17" s="37">
        <v>0</v>
      </c>
      <c r="M17" s="37">
        <f t="shared" si="3"/>
        <v>1061055.9117000001</v>
      </c>
      <c r="N17" s="37"/>
    </row>
    <row r="18" spans="1:14">
      <c r="A18" s="189">
        <v>15</v>
      </c>
      <c r="B18" s="212">
        <v>46249</v>
      </c>
      <c r="C18" s="37"/>
      <c r="D18" s="37"/>
      <c r="E18" s="257"/>
      <c r="F18" s="285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>
        <v>0</v>
      </c>
      <c r="M18" s="37">
        <f t="shared" si="3"/>
        <v>1061055.9117000001</v>
      </c>
      <c r="N18" s="37"/>
    </row>
    <row r="19" spans="1:14">
      <c r="A19" s="43">
        <v>16</v>
      </c>
      <c r="B19" s="212">
        <v>46250</v>
      </c>
      <c r="C19" s="37"/>
      <c r="D19" s="37"/>
      <c r="E19" s="257"/>
      <c r="F19" s="285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>
        <v>0</v>
      </c>
      <c r="M19" s="37">
        <f>M18+K19-L19</f>
        <v>1061055.9117000001</v>
      </c>
      <c r="N19" s="37"/>
    </row>
    <row r="20" spans="1:14">
      <c r="A20" s="189">
        <v>17</v>
      </c>
      <c r="B20" s="212">
        <v>46251</v>
      </c>
      <c r="C20" s="37"/>
      <c r="D20" s="37"/>
      <c r="E20" s="257"/>
      <c r="F20" s="285"/>
      <c r="G20" s="37">
        <f t="shared" si="0"/>
        <v>0</v>
      </c>
      <c r="H20" s="37"/>
      <c r="I20" s="37"/>
      <c r="J20" s="37">
        <f t="shared" si="1"/>
        <v>0</v>
      </c>
      <c r="K20" s="37">
        <f t="shared" si="2"/>
        <v>0</v>
      </c>
      <c r="L20" s="37">
        <v>0</v>
      </c>
      <c r="M20" s="37">
        <f t="shared" si="3"/>
        <v>1061055.9117000001</v>
      </c>
      <c r="N20" s="37"/>
    </row>
    <row r="21" spans="1:14">
      <c r="A21" s="43">
        <v>18</v>
      </c>
      <c r="B21" s="212">
        <v>46252</v>
      </c>
      <c r="C21" s="37"/>
      <c r="D21" s="37"/>
      <c r="E21" s="257"/>
      <c r="F21" s="285"/>
      <c r="G21" s="37">
        <f t="shared" si="0"/>
        <v>0</v>
      </c>
      <c r="H21" s="37"/>
      <c r="I21" s="37"/>
      <c r="J21" s="37">
        <f t="shared" si="1"/>
        <v>0</v>
      </c>
      <c r="K21" s="37">
        <f t="shared" si="2"/>
        <v>0</v>
      </c>
      <c r="L21" s="37">
        <v>0</v>
      </c>
      <c r="M21" s="37">
        <f t="shared" si="3"/>
        <v>1061055.9117000001</v>
      </c>
      <c r="N21" s="37"/>
    </row>
    <row r="22" spans="1:14">
      <c r="A22" s="189">
        <v>19</v>
      </c>
      <c r="B22" s="212">
        <v>46253</v>
      </c>
      <c r="C22" s="37"/>
      <c r="D22" s="37"/>
      <c r="E22" s="257"/>
      <c r="F22" s="285"/>
      <c r="G22" s="37">
        <f t="shared" si="0"/>
        <v>0</v>
      </c>
      <c r="H22" s="37"/>
      <c r="I22" s="37"/>
      <c r="J22" s="37">
        <f t="shared" si="1"/>
        <v>0</v>
      </c>
      <c r="K22" s="37">
        <f t="shared" si="2"/>
        <v>0</v>
      </c>
      <c r="L22" s="37">
        <v>0</v>
      </c>
      <c r="M22" s="37">
        <f t="shared" si="3"/>
        <v>1061055.9117000001</v>
      </c>
      <c r="N22" s="37"/>
    </row>
    <row r="23" spans="1:14">
      <c r="A23" s="43">
        <v>20</v>
      </c>
      <c r="B23" s="212">
        <v>46254</v>
      </c>
      <c r="C23" s="37"/>
      <c r="D23" s="37"/>
      <c r="E23" s="257"/>
      <c r="F23" s="285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>
        <v>0</v>
      </c>
      <c r="M23" s="37">
        <f t="shared" si="3"/>
        <v>1061055.9117000001</v>
      </c>
      <c r="N23" s="37"/>
    </row>
    <row r="24" spans="1:14">
      <c r="A24" s="189">
        <v>21</v>
      </c>
      <c r="B24" s="212">
        <v>46255</v>
      </c>
      <c r="C24" s="37"/>
      <c r="D24" s="37"/>
      <c r="E24" s="257"/>
      <c r="F24" s="285"/>
      <c r="G24" s="37">
        <f t="shared" si="0"/>
        <v>0</v>
      </c>
      <c r="H24" s="37"/>
      <c r="I24" s="37"/>
      <c r="J24" s="37">
        <f t="shared" si="1"/>
        <v>0</v>
      </c>
      <c r="K24" s="37">
        <f t="shared" si="2"/>
        <v>0</v>
      </c>
      <c r="L24" s="37">
        <v>400000</v>
      </c>
      <c r="M24" s="37">
        <f t="shared" si="3"/>
        <v>661055.91170000006</v>
      </c>
      <c r="N24" s="37"/>
    </row>
    <row r="25" spans="1:14">
      <c r="A25" s="43">
        <v>22</v>
      </c>
      <c r="B25" s="212">
        <v>46256</v>
      </c>
      <c r="C25" s="37"/>
      <c r="D25" s="37"/>
      <c r="E25" s="257">
        <v>850</v>
      </c>
      <c r="F25" s="285">
        <v>99.13</v>
      </c>
      <c r="G25" s="37">
        <f t="shared" si="0"/>
        <v>84260.5</v>
      </c>
      <c r="H25" s="37"/>
      <c r="I25" s="37"/>
      <c r="J25" s="37">
        <f t="shared" si="1"/>
        <v>0</v>
      </c>
      <c r="K25" s="37">
        <f t="shared" si="2"/>
        <v>84260.5</v>
      </c>
      <c r="L25" s="37">
        <v>0</v>
      </c>
      <c r="M25" s="37">
        <f t="shared" si="3"/>
        <v>745316.41170000006</v>
      </c>
      <c r="N25" s="37"/>
    </row>
    <row r="26" spans="1:14">
      <c r="A26" s="189">
        <v>23</v>
      </c>
      <c r="B26" s="212">
        <v>46257</v>
      </c>
      <c r="C26" s="37"/>
      <c r="D26" s="37"/>
      <c r="E26" s="257"/>
      <c r="F26" s="285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v>0</v>
      </c>
      <c r="M26" s="37">
        <f t="shared" si="3"/>
        <v>745316.41170000006</v>
      </c>
      <c r="N26" s="37"/>
    </row>
    <row r="27" spans="1:14">
      <c r="A27" s="43">
        <v>24</v>
      </c>
      <c r="B27" s="212">
        <v>46258</v>
      </c>
      <c r="C27" s="37"/>
      <c r="D27" s="37"/>
      <c r="E27" s="257"/>
      <c r="F27" s="285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>
        <v>0</v>
      </c>
      <c r="M27" s="37">
        <f t="shared" si="3"/>
        <v>745316.41170000006</v>
      </c>
      <c r="N27" s="37"/>
    </row>
    <row r="28" spans="1:14">
      <c r="A28" s="189">
        <v>25</v>
      </c>
      <c r="B28" s="212">
        <v>46259</v>
      </c>
      <c r="C28" s="37"/>
      <c r="D28" s="37"/>
      <c r="E28" s="257"/>
      <c r="F28" s="285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>
        <v>0</v>
      </c>
      <c r="M28" s="37">
        <f t="shared" si="3"/>
        <v>745316.41170000006</v>
      </c>
      <c r="N28" s="37"/>
    </row>
    <row r="29" spans="1:14">
      <c r="A29" s="43">
        <v>26</v>
      </c>
      <c r="B29" s="212">
        <v>46260</v>
      </c>
      <c r="C29" s="37"/>
      <c r="D29" s="37"/>
      <c r="E29" s="257">
        <v>650</v>
      </c>
      <c r="F29" s="285">
        <v>99.13</v>
      </c>
      <c r="G29" s="37">
        <f t="shared" si="0"/>
        <v>64434.5</v>
      </c>
      <c r="H29" s="37"/>
      <c r="I29" s="37"/>
      <c r="J29" s="37">
        <f t="shared" si="1"/>
        <v>0</v>
      </c>
      <c r="K29" s="37">
        <f t="shared" si="2"/>
        <v>64434.5</v>
      </c>
      <c r="L29" s="37">
        <v>0</v>
      </c>
      <c r="M29" s="37">
        <f t="shared" si="3"/>
        <v>809750.91170000006</v>
      </c>
      <c r="N29" s="37"/>
    </row>
    <row r="30" spans="1:14">
      <c r="A30" s="189">
        <v>27</v>
      </c>
      <c r="B30" s="212">
        <v>46261</v>
      </c>
      <c r="C30" s="37"/>
      <c r="D30" s="37"/>
      <c r="E30" s="257"/>
      <c r="F30" s="285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>
        <v>0</v>
      </c>
      <c r="M30" s="37">
        <f t="shared" si="3"/>
        <v>809750.91170000006</v>
      </c>
      <c r="N30" s="37"/>
    </row>
    <row r="31" spans="1:14">
      <c r="A31" s="43">
        <v>28</v>
      </c>
      <c r="B31" s="212">
        <v>46262</v>
      </c>
      <c r="C31" s="37"/>
      <c r="D31" s="37"/>
      <c r="E31" s="257"/>
      <c r="F31" s="285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>
        <v>809750</v>
      </c>
      <c r="M31" s="37">
        <f t="shared" si="3"/>
        <v>0.9117000000551343</v>
      </c>
      <c r="N31" s="37"/>
    </row>
    <row r="32" spans="1:14">
      <c r="A32" s="189">
        <v>29</v>
      </c>
      <c r="B32" s="212">
        <v>46263</v>
      </c>
      <c r="C32" s="37"/>
      <c r="D32" s="37"/>
      <c r="E32" s="257">
        <v>1372.95</v>
      </c>
      <c r="F32" s="285">
        <v>99.13</v>
      </c>
      <c r="G32" s="37">
        <f t="shared" si="0"/>
        <v>136100.53349999999</v>
      </c>
      <c r="H32" s="37"/>
      <c r="I32" s="37"/>
      <c r="J32" s="37">
        <f t="shared" si="1"/>
        <v>0</v>
      </c>
      <c r="K32" s="37">
        <f t="shared" si="2"/>
        <v>136100.53349999999</v>
      </c>
      <c r="L32" s="37">
        <v>0</v>
      </c>
      <c r="M32" s="37">
        <f t="shared" si="3"/>
        <v>136101.44520000005</v>
      </c>
      <c r="N32" s="37"/>
    </row>
    <row r="33" spans="1:14">
      <c r="A33" s="43">
        <v>30</v>
      </c>
      <c r="B33" s="212">
        <v>46264</v>
      </c>
      <c r="C33" s="37"/>
      <c r="D33" s="37"/>
      <c r="E33" s="257"/>
      <c r="F33" s="285"/>
      <c r="G33" s="37">
        <f>E33*F33</f>
        <v>0</v>
      </c>
      <c r="H33" s="37"/>
      <c r="I33" s="37"/>
      <c r="J33" s="37">
        <f>H33*I33</f>
        <v>0</v>
      </c>
      <c r="K33" s="37">
        <f>G33+J33</f>
        <v>0</v>
      </c>
      <c r="L33" s="37"/>
      <c r="M33" s="37">
        <f>M32+K33-L33</f>
        <v>136101.44520000005</v>
      </c>
      <c r="N33" s="37"/>
    </row>
    <row r="34" spans="1:14">
      <c r="A34" s="189">
        <v>31</v>
      </c>
      <c r="B34" s="212">
        <v>46265</v>
      </c>
      <c r="C34" s="37"/>
      <c r="D34" s="37"/>
      <c r="E34" s="257"/>
      <c r="F34" s="285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>
        <v>0</v>
      </c>
      <c r="M34" s="37">
        <f>M32+K34-L34</f>
        <v>136101.44520000005</v>
      </c>
      <c r="N34" s="37"/>
    </row>
    <row r="35" spans="1:14">
      <c r="A35" s="174"/>
      <c r="B35" s="174"/>
      <c r="C35" s="174"/>
      <c r="D35" s="174"/>
      <c r="E35" s="174">
        <f>SUM(E4:E34)</f>
        <v>7542.24</v>
      </c>
      <c r="F35" s="174"/>
      <c r="G35" s="174">
        <f>SUM(G4:G34)</f>
        <v>747662.25120000006</v>
      </c>
      <c r="H35" s="174">
        <f>SUM(H4:H34)</f>
        <v>0</v>
      </c>
      <c r="I35" s="174"/>
      <c r="J35" s="174">
        <f>SUM(J4:J34)</f>
        <v>0</v>
      </c>
      <c r="K35" s="174">
        <f>SUM(K4:K34)</f>
        <v>747662.25120000006</v>
      </c>
      <c r="L35" s="174">
        <f>SUM(L4:L34)</f>
        <v>2009750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sheetPr>
    <tabColor rgb="FF002060"/>
  </sheetPr>
  <dimension ref="A1:P35"/>
  <sheetViews>
    <sheetView topLeftCell="A22" workbookViewId="0">
      <selection activeCell="M34" sqref="M34"/>
    </sheetView>
  </sheetViews>
  <sheetFormatPr defaultRowHeight="15"/>
  <cols>
    <col min="2" max="2" width="9.85546875" customWidth="1"/>
    <col min="7" max="7" width="10" customWidth="1"/>
    <col min="11" max="11" width="13.5703125" bestFit="1" customWidth="1"/>
    <col min="12" max="12" width="23.42578125" customWidth="1"/>
    <col min="13" max="13" width="10.5703125" bestFit="1" customWidth="1"/>
    <col min="18" max="18" width="13.7109375" customWidth="1"/>
  </cols>
  <sheetData>
    <row r="1" spans="1:16" ht="15.75">
      <c r="A1" s="595" t="s">
        <v>152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7"/>
    </row>
    <row r="2" spans="1:16" ht="30.75">
      <c r="A2" s="120" t="s">
        <v>0</v>
      </c>
      <c r="B2" s="206" t="s">
        <v>170</v>
      </c>
      <c r="C2" s="206" t="s">
        <v>171</v>
      </c>
      <c r="D2" s="206" t="s">
        <v>194</v>
      </c>
      <c r="E2" s="206" t="s">
        <v>173</v>
      </c>
      <c r="F2" s="206" t="s">
        <v>174</v>
      </c>
      <c r="G2" s="206" t="s">
        <v>175</v>
      </c>
      <c r="H2" s="206" t="s">
        <v>176</v>
      </c>
      <c r="I2" s="206" t="s">
        <v>174</v>
      </c>
      <c r="J2" s="206" t="s">
        <v>175</v>
      </c>
      <c r="K2" s="168" t="s">
        <v>177</v>
      </c>
      <c r="L2" s="168" t="s">
        <v>178</v>
      </c>
      <c r="M2" s="168" t="s">
        <v>195</v>
      </c>
      <c r="N2" s="206" t="s">
        <v>180</v>
      </c>
    </row>
    <row r="3" spans="1:16">
      <c r="A3" s="598" t="s">
        <v>181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600"/>
      <c r="M3" s="598">
        <v>1046236.6956000001</v>
      </c>
      <c r="N3" s="600"/>
    </row>
    <row r="4" spans="1:16">
      <c r="A4" s="189">
        <v>1</v>
      </c>
      <c r="B4" s="212">
        <v>46235</v>
      </c>
      <c r="C4" s="37"/>
      <c r="D4" s="37"/>
      <c r="E4" s="257">
        <v>45.59</v>
      </c>
      <c r="F4" s="285">
        <v>99.37</v>
      </c>
      <c r="G4" s="37">
        <f>E4*F4</f>
        <v>4530.2783000000009</v>
      </c>
      <c r="H4" s="37">
        <v>10</v>
      </c>
      <c r="I4" s="37">
        <v>111.46</v>
      </c>
      <c r="J4" s="37">
        <f>H4*I4</f>
        <v>1114.5999999999999</v>
      </c>
      <c r="K4" s="37">
        <f>G4+J4</f>
        <v>5644.8783000000003</v>
      </c>
      <c r="L4" s="37">
        <v>0</v>
      </c>
      <c r="M4" s="37">
        <f>M3+K4-L4</f>
        <v>1051881.5739000002</v>
      </c>
      <c r="N4" s="37"/>
    </row>
    <row r="5" spans="1:16">
      <c r="A5" s="43">
        <v>2</v>
      </c>
      <c r="B5" s="212">
        <v>46236</v>
      </c>
      <c r="C5" s="37"/>
      <c r="D5" s="37"/>
      <c r="E5" s="257">
        <v>200</v>
      </c>
      <c r="F5" s="285">
        <v>99.37</v>
      </c>
      <c r="G5" s="37">
        <f t="shared" ref="G5:G34" si="0">E5*F5</f>
        <v>19874</v>
      </c>
      <c r="H5" s="37"/>
      <c r="I5" s="37"/>
      <c r="J5" s="37">
        <f t="shared" ref="J5:J33" si="1">H5*I5</f>
        <v>0</v>
      </c>
      <c r="K5" s="37">
        <f t="shared" ref="K5:K33" si="2">G5+J5</f>
        <v>19874</v>
      </c>
      <c r="L5" s="37">
        <v>0</v>
      </c>
      <c r="M5" s="37">
        <f t="shared" ref="M5:M34" si="3">M4+K5-L5</f>
        <v>1071755.5739000002</v>
      </c>
      <c r="N5" s="37"/>
    </row>
    <row r="6" spans="1:16">
      <c r="A6" s="43">
        <v>3</v>
      </c>
      <c r="B6" s="212">
        <v>46237</v>
      </c>
      <c r="C6" s="37"/>
      <c r="D6" s="37"/>
      <c r="E6" s="257">
        <v>196.86</v>
      </c>
      <c r="F6" s="285">
        <v>99.37</v>
      </c>
      <c r="G6" s="37">
        <f t="shared" si="0"/>
        <v>19561.978200000001</v>
      </c>
      <c r="H6" s="37">
        <v>20</v>
      </c>
      <c r="I6" s="37">
        <v>111.46</v>
      </c>
      <c r="J6" s="37">
        <f t="shared" si="1"/>
        <v>2229.1999999999998</v>
      </c>
      <c r="K6" s="37">
        <f>G6+J6</f>
        <v>21791.178200000002</v>
      </c>
      <c r="L6" s="37">
        <v>0</v>
      </c>
      <c r="M6" s="37">
        <f t="shared" si="3"/>
        <v>1093546.7521000002</v>
      </c>
      <c r="N6" s="37"/>
    </row>
    <row r="7" spans="1:16">
      <c r="A7" s="43">
        <v>4</v>
      </c>
      <c r="B7" s="212">
        <v>46238</v>
      </c>
      <c r="C7" s="37"/>
      <c r="D7" s="37"/>
      <c r="E7" s="257">
        <v>410</v>
      </c>
      <c r="F7" s="285">
        <v>99.37</v>
      </c>
      <c r="G7" s="37">
        <f t="shared" si="0"/>
        <v>40741.700000000004</v>
      </c>
      <c r="H7" s="37">
        <v>20</v>
      </c>
      <c r="I7" s="37">
        <v>111.46</v>
      </c>
      <c r="J7" s="37">
        <f t="shared" si="1"/>
        <v>2229.1999999999998</v>
      </c>
      <c r="K7" s="37">
        <f t="shared" si="2"/>
        <v>42970.9</v>
      </c>
      <c r="L7" s="37">
        <v>0</v>
      </c>
      <c r="M7" s="37">
        <f t="shared" si="3"/>
        <v>1136517.6521000001</v>
      </c>
      <c r="N7" s="37"/>
    </row>
    <row r="8" spans="1:16">
      <c r="A8" s="43">
        <v>5</v>
      </c>
      <c r="B8" s="212">
        <v>46239</v>
      </c>
      <c r="C8" s="37"/>
      <c r="D8" s="37"/>
      <c r="E8" s="257">
        <v>28.68</v>
      </c>
      <c r="F8" s="285">
        <v>99.37</v>
      </c>
      <c r="G8" s="37">
        <f t="shared" si="0"/>
        <v>2849.9315999999999</v>
      </c>
      <c r="H8" s="37">
        <v>15</v>
      </c>
      <c r="I8" s="37">
        <v>111.46</v>
      </c>
      <c r="J8" s="37">
        <f t="shared" si="1"/>
        <v>1671.8999999999999</v>
      </c>
      <c r="K8" s="37">
        <f t="shared" si="2"/>
        <v>4521.8315999999995</v>
      </c>
      <c r="L8" s="37">
        <v>800000</v>
      </c>
      <c r="M8" s="37">
        <f t="shared" si="3"/>
        <v>341039.48369999998</v>
      </c>
      <c r="N8" s="37"/>
    </row>
    <row r="9" spans="1:16">
      <c r="A9" s="43">
        <v>6</v>
      </c>
      <c r="B9" s="212">
        <v>46240</v>
      </c>
      <c r="C9" s="37"/>
      <c r="D9" s="37"/>
      <c r="E9" s="257">
        <v>185.27</v>
      </c>
      <c r="F9" s="285">
        <v>99.37</v>
      </c>
      <c r="G9" s="37">
        <f t="shared" si="0"/>
        <v>18410.279900000001</v>
      </c>
      <c r="H9" s="37">
        <v>5</v>
      </c>
      <c r="I9" s="37">
        <v>111.46</v>
      </c>
      <c r="J9" s="37">
        <f t="shared" si="1"/>
        <v>557.29999999999995</v>
      </c>
      <c r="K9" s="37">
        <f t="shared" si="2"/>
        <v>18967.579900000001</v>
      </c>
      <c r="L9" s="37">
        <v>0</v>
      </c>
      <c r="M9" s="37">
        <f t="shared" si="3"/>
        <v>360007.06359999999</v>
      </c>
      <c r="N9" s="37"/>
    </row>
    <row r="10" spans="1:16">
      <c r="A10" s="43">
        <v>7</v>
      </c>
      <c r="B10" s="212">
        <v>46241</v>
      </c>
      <c r="C10" s="37"/>
      <c r="D10" s="37"/>
      <c r="E10" s="257">
        <v>214.74</v>
      </c>
      <c r="F10" s="285">
        <v>99.37</v>
      </c>
      <c r="G10" s="37">
        <f t="shared" si="0"/>
        <v>21338.713800000001</v>
      </c>
      <c r="H10" s="37">
        <v>20</v>
      </c>
      <c r="I10" s="37">
        <v>111.46</v>
      </c>
      <c r="J10" s="37">
        <f t="shared" si="1"/>
        <v>2229.1999999999998</v>
      </c>
      <c r="K10" s="37">
        <f t="shared" si="2"/>
        <v>23567.913800000002</v>
      </c>
      <c r="L10" s="37">
        <v>0</v>
      </c>
      <c r="M10" s="37">
        <f t="shared" si="3"/>
        <v>383574.97739999997</v>
      </c>
      <c r="N10" s="37"/>
    </row>
    <row r="11" spans="1:16">
      <c r="A11" s="43">
        <v>8</v>
      </c>
      <c r="B11" s="212">
        <v>46242</v>
      </c>
      <c r="C11" s="37"/>
      <c r="D11" s="37"/>
      <c r="E11" s="257">
        <v>188.36</v>
      </c>
      <c r="F11" s="285">
        <v>99.37</v>
      </c>
      <c r="G11" s="37">
        <f t="shared" si="0"/>
        <v>18717.333200000001</v>
      </c>
      <c r="H11" s="37">
        <v>15</v>
      </c>
      <c r="I11" s="37">
        <v>111.46</v>
      </c>
      <c r="J11" s="37">
        <f t="shared" si="1"/>
        <v>1671.8999999999999</v>
      </c>
      <c r="K11" s="37">
        <f t="shared" si="2"/>
        <v>20389.233200000002</v>
      </c>
      <c r="L11" s="37">
        <v>0</v>
      </c>
      <c r="M11" s="37">
        <f t="shared" si="3"/>
        <v>403964.21059999999</v>
      </c>
      <c r="N11" s="37"/>
      <c r="P11" s="19"/>
    </row>
    <row r="12" spans="1:16">
      <c r="A12" s="43">
        <v>9</v>
      </c>
      <c r="B12" s="212">
        <v>46243</v>
      </c>
      <c r="C12" s="37"/>
      <c r="D12" s="37"/>
      <c r="E12" s="257"/>
      <c r="F12" s="285"/>
      <c r="G12" s="37">
        <f t="shared" si="0"/>
        <v>0</v>
      </c>
      <c r="H12" s="37">
        <v>5</v>
      </c>
      <c r="I12" s="37">
        <v>111.46</v>
      </c>
      <c r="J12" s="37">
        <f t="shared" si="1"/>
        <v>557.29999999999995</v>
      </c>
      <c r="K12" s="37">
        <f t="shared" si="2"/>
        <v>557.29999999999995</v>
      </c>
      <c r="L12" s="37">
        <v>0</v>
      </c>
      <c r="M12" s="37">
        <f t="shared" si="3"/>
        <v>404521.51059999998</v>
      </c>
      <c r="N12" s="37"/>
    </row>
    <row r="13" spans="1:16">
      <c r="A13" s="43">
        <v>11</v>
      </c>
      <c r="B13" s="212">
        <v>46244</v>
      </c>
      <c r="C13" s="37"/>
      <c r="D13" s="37"/>
      <c r="E13" s="257">
        <v>333.26</v>
      </c>
      <c r="F13" s="285">
        <v>99.37</v>
      </c>
      <c r="G13" s="37">
        <f t="shared" si="0"/>
        <v>33116.046199999997</v>
      </c>
      <c r="H13" s="37">
        <v>10</v>
      </c>
      <c r="I13" s="37">
        <v>111.46</v>
      </c>
      <c r="J13" s="37">
        <f t="shared" si="1"/>
        <v>1114.5999999999999</v>
      </c>
      <c r="K13" s="37">
        <f t="shared" si="2"/>
        <v>34230.646199999996</v>
      </c>
      <c r="L13" s="37">
        <v>0</v>
      </c>
      <c r="M13" s="37">
        <f t="shared" si="3"/>
        <v>438752.1568</v>
      </c>
      <c r="N13" s="37"/>
    </row>
    <row r="14" spans="1:16">
      <c r="A14" s="43">
        <v>12</v>
      </c>
      <c r="B14" s="212">
        <v>46245</v>
      </c>
      <c r="C14" s="37"/>
      <c r="D14" s="37"/>
      <c r="E14" s="257">
        <v>446.76499999999999</v>
      </c>
      <c r="F14" s="285">
        <v>99.37</v>
      </c>
      <c r="G14" s="37">
        <f t="shared" si="0"/>
        <v>44395.038050000003</v>
      </c>
      <c r="H14" s="37">
        <v>30</v>
      </c>
      <c r="I14" s="37">
        <v>111.46</v>
      </c>
      <c r="J14" s="37">
        <f t="shared" si="1"/>
        <v>3343.7999999999997</v>
      </c>
      <c r="K14" s="37">
        <f t="shared" si="2"/>
        <v>47738.838050000006</v>
      </c>
      <c r="L14" s="37">
        <v>0</v>
      </c>
      <c r="M14" s="37">
        <f t="shared" si="3"/>
        <v>486490.99485000002</v>
      </c>
      <c r="N14" s="37"/>
    </row>
    <row r="15" spans="1:16">
      <c r="A15" s="43">
        <v>13</v>
      </c>
      <c r="B15" s="212">
        <v>46246</v>
      </c>
      <c r="C15" s="37"/>
      <c r="D15" s="37"/>
      <c r="E15" s="257">
        <v>1107</v>
      </c>
      <c r="F15" s="285">
        <v>99.37</v>
      </c>
      <c r="G15" s="37">
        <f t="shared" si="0"/>
        <v>110002.59000000001</v>
      </c>
      <c r="H15" s="37">
        <v>20</v>
      </c>
      <c r="I15" s="37">
        <v>111.46</v>
      </c>
      <c r="J15" s="37">
        <f t="shared" si="1"/>
        <v>2229.1999999999998</v>
      </c>
      <c r="K15" s="37">
        <f t="shared" si="2"/>
        <v>112231.79000000001</v>
      </c>
      <c r="L15" s="37">
        <v>0</v>
      </c>
      <c r="M15" s="37">
        <f t="shared" si="3"/>
        <v>598722.78485000005</v>
      </c>
      <c r="N15" s="37"/>
    </row>
    <row r="16" spans="1:16">
      <c r="A16" s="43">
        <v>14</v>
      </c>
      <c r="B16" s="212">
        <v>46247</v>
      </c>
      <c r="C16" s="37"/>
      <c r="D16" s="37"/>
      <c r="E16" s="257">
        <v>400</v>
      </c>
      <c r="F16" s="285">
        <v>99.37</v>
      </c>
      <c r="G16" s="37">
        <f t="shared" si="0"/>
        <v>39748</v>
      </c>
      <c r="H16" s="37">
        <v>15</v>
      </c>
      <c r="I16" s="37">
        <v>111.46</v>
      </c>
      <c r="J16" s="37">
        <f t="shared" si="1"/>
        <v>1671.8999999999999</v>
      </c>
      <c r="K16" s="37">
        <f t="shared" si="2"/>
        <v>41419.9</v>
      </c>
      <c r="L16" s="37">
        <v>0</v>
      </c>
      <c r="M16" s="37">
        <f t="shared" si="3"/>
        <v>640142.68485000008</v>
      </c>
      <c r="N16" s="37"/>
    </row>
    <row r="17" spans="1:14">
      <c r="A17" s="43">
        <v>15</v>
      </c>
      <c r="B17" s="212">
        <v>46248</v>
      </c>
      <c r="C17" s="37"/>
      <c r="D17" s="37"/>
      <c r="E17" s="257">
        <v>333.67</v>
      </c>
      <c r="F17" s="285">
        <v>99.37</v>
      </c>
      <c r="G17" s="37">
        <f t="shared" si="0"/>
        <v>33156.787900000003</v>
      </c>
      <c r="H17" s="37"/>
      <c r="I17" s="37"/>
      <c r="J17" s="37">
        <f t="shared" si="1"/>
        <v>0</v>
      </c>
      <c r="K17" s="37">
        <f t="shared" si="2"/>
        <v>33156.787900000003</v>
      </c>
      <c r="L17" s="37">
        <v>0</v>
      </c>
      <c r="M17" s="37">
        <f t="shared" si="3"/>
        <v>673299.47275000007</v>
      </c>
      <c r="N17" s="37"/>
    </row>
    <row r="18" spans="1:14">
      <c r="A18" s="43">
        <v>16</v>
      </c>
      <c r="B18" s="212">
        <v>46249</v>
      </c>
      <c r="C18" s="37"/>
      <c r="D18" s="37"/>
      <c r="E18" s="257">
        <v>46.51</v>
      </c>
      <c r="F18" s="285">
        <v>99.37</v>
      </c>
      <c r="G18" s="37">
        <f t="shared" si="0"/>
        <v>4621.6986999999999</v>
      </c>
      <c r="H18" s="37"/>
      <c r="I18" s="37"/>
      <c r="J18" s="37">
        <f t="shared" si="1"/>
        <v>0</v>
      </c>
      <c r="K18" s="37">
        <f t="shared" si="2"/>
        <v>4621.6986999999999</v>
      </c>
      <c r="L18" s="37">
        <v>0</v>
      </c>
      <c r="M18" s="37">
        <f t="shared" si="3"/>
        <v>677921.17145000002</v>
      </c>
      <c r="N18" s="37"/>
    </row>
    <row r="19" spans="1:14">
      <c r="A19" s="43">
        <v>17</v>
      </c>
      <c r="B19" s="212">
        <v>46250</v>
      </c>
      <c r="C19" s="37"/>
      <c r="D19" s="37"/>
      <c r="E19" s="257"/>
      <c r="F19" s="285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>
        <v>0</v>
      </c>
      <c r="M19" s="37">
        <f t="shared" si="3"/>
        <v>677921.17145000002</v>
      </c>
      <c r="N19" s="37"/>
    </row>
    <row r="20" spans="1:14">
      <c r="A20" s="43">
        <v>18</v>
      </c>
      <c r="B20" s="212">
        <v>46251</v>
      </c>
      <c r="C20" s="37"/>
      <c r="D20" s="37"/>
      <c r="E20" s="257">
        <v>471.75</v>
      </c>
      <c r="F20" s="285">
        <v>99.37</v>
      </c>
      <c r="G20" s="37">
        <f t="shared" si="0"/>
        <v>46877.797500000001</v>
      </c>
      <c r="H20" s="37">
        <v>37</v>
      </c>
      <c r="I20" s="37">
        <v>111.46</v>
      </c>
      <c r="J20" s="37">
        <f t="shared" si="1"/>
        <v>4124.0199999999995</v>
      </c>
      <c r="K20" s="37">
        <f t="shared" si="2"/>
        <v>51001.817499999997</v>
      </c>
      <c r="L20" s="37">
        <v>0</v>
      </c>
      <c r="M20" s="37">
        <f t="shared" si="3"/>
        <v>728922.98895000003</v>
      </c>
      <c r="N20" s="37"/>
    </row>
    <row r="21" spans="1:14">
      <c r="A21" s="43">
        <v>19</v>
      </c>
      <c r="B21" s="212">
        <v>46252</v>
      </c>
      <c r="C21" s="37"/>
      <c r="D21" s="37"/>
      <c r="E21" s="257">
        <v>111.62</v>
      </c>
      <c r="F21" s="285">
        <v>99.37</v>
      </c>
      <c r="G21" s="37">
        <f t="shared" si="0"/>
        <v>11091.679400000001</v>
      </c>
      <c r="H21" s="37">
        <v>10</v>
      </c>
      <c r="I21" s="37">
        <v>111.46</v>
      </c>
      <c r="J21" s="37">
        <f t="shared" si="1"/>
        <v>1114.5999999999999</v>
      </c>
      <c r="K21" s="37">
        <f t="shared" si="2"/>
        <v>12206.279400000001</v>
      </c>
      <c r="L21" s="37">
        <v>0</v>
      </c>
      <c r="M21" s="37">
        <f>M20+K21-L21</f>
        <v>741129.26835000003</v>
      </c>
      <c r="N21" s="37"/>
    </row>
    <row r="22" spans="1:14">
      <c r="A22" s="43">
        <v>20</v>
      </c>
      <c r="B22" s="212">
        <v>46253</v>
      </c>
      <c r="C22" s="37"/>
      <c r="D22" s="37"/>
      <c r="E22" s="257">
        <v>100</v>
      </c>
      <c r="F22" s="285">
        <v>99.37</v>
      </c>
      <c r="G22" s="37">
        <f t="shared" si="0"/>
        <v>9937</v>
      </c>
      <c r="H22" s="37"/>
      <c r="I22" s="37"/>
      <c r="J22" s="37">
        <f t="shared" si="1"/>
        <v>0</v>
      </c>
      <c r="K22" s="37">
        <f t="shared" si="2"/>
        <v>9937</v>
      </c>
      <c r="L22" s="37">
        <v>0</v>
      </c>
      <c r="M22" s="37">
        <f t="shared" si="3"/>
        <v>751066.26835000003</v>
      </c>
      <c r="N22" s="37"/>
    </row>
    <row r="23" spans="1:14">
      <c r="A23" s="43">
        <v>21</v>
      </c>
      <c r="B23" s="212">
        <v>46254</v>
      </c>
      <c r="C23" s="37"/>
      <c r="D23" s="37"/>
      <c r="E23" s="257"/>
      <c r="F23" s="285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>
        <v>0</v>
      </c>
      <c r="M23" s="37">
        <f t="shared" si="3"/>
        <v>751066.26835000003</v>
      </c>
      <c r="N23" s="37"/>
    </row>
    <row r="24" spans="1:14">
      <c r="A24" s="43">
        <v>22</v>
      </c>
      <c r="B24" s="212">
        <v>46255</v>
      </c>
      <c r="C24" s="37"/>
      <c r="D24" s="37"/>
      <c r="E24" s="257">
        <v>233.74</v>
      </c>
      <c r="F24" s="285">
        <v>99.37</v>
      </c>
      <c r="G24" s="37">
        <f t="shared" si="0"/>
        <v>23226.7438</v>
      </c>
      <c r="H24" s="37"/>
      <c r="I24" s="37"/>
      <c r="J24" s="37">
        <f t="shared" si="1"/>
        <v>0</v>
      </c>
      <c r="K24" s="37">
        <f t="shared" si="2"/>
        <v>23226.7438</v>
      </c>
      <c r="L24" s="37">
        <v>0</v>
      </c>
      <c r="M24" s="37">
        <f t="shared" si="3"/>
        <v>774293.01215000008</v>
      </c>
      <c r="N24" s="37"/>
    </row>
    <row r="25" spans="1:14">
      <c r="A25" s="43">
        <v>23</v>
      </c>
      <c r="B25" s="212">
        <v>46256</v>
      </c>
      <c r="C25" s="37"/>
      <c r="D25" s="37"/>
      <c r="E25" s="257">
        <v>181.24</v>
      </c>
      <c r="F25" s="285">
        <v>99.37</v>
      </c>
      <c r="G25" s="37">
        <f t="shared" si="0"/>
        <v>18009.818800000001</v>
      </c>
      <c r="H25" s="37">
        <v>5</v>
      </c>
      <c r="I25" s="37">
        <v>111.46</v>
      </c>
      <c r="J25" s="37">
        <f t="shared" si="1"/>
        <v>557.29999999999995</v>
      </c>
      <c r="K25" s="37">
        <f t="shared" si="2"/>
        <v>18567.1188</v>
      </c>
      <c r="L25" s="37">
        <v>0</v>
      </c>
      <c r="M25" s="37">
        <f t="shared" si="3"/>
        <v>792860.13095000014</v>
      </c>
      <c r="N25" s="37"/>
    </row>
    <row r="26" spans="1:14">
      <c r="A26" s="43">
        <v>24</v>
      </c>
      <c r="B26" s="212">
        <v>46257</v>
      </c>
      <c r="C26" s="37"/>
      <c r="D26" s="37"/>
      <c r="E26" s="257"/>
      <c r="F26" s="285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v>0</v>
      </c>
      <c r="M26" s="37">
        <f t="shared" si="3"/>
        <v>792860.13095000014</v>
      </c>
      <c r="N26" s="37"/>
    </row>
    <row r="27" spans="1:14">
      <c r="A27" s="214">
        <v>25</v>
      </c>
      <c r="B27" s="212">
        <v>46258</v>
      </c>
      <c r="C27" s="37"/>
      <c r="D27" s="37"/>
      <c r="E27" s="257">
        <v>50</v>
      </c>
      <c r="F27" s="285">
        <v>99.37</v>
      </c>
      <c r="G27" s="37">
        <f t="shared" si="0"/>
        <v>4968.5</v>
      </c>
      <c r="H27" s="37">
        <v>15</v>
      </c>
      <c r="I27" s="37">
        <v>111.46</v>
      </c>
      <c r="J27" s="37">
        <f t="shared" si="1"/>
        <v>1671.8999999999999</v>
      </c>
      <c r="K27" s="37">
        <f t="shared" si="2"/>
        <v>6640.4</v>
      </c>
      <c r="L27" s="37">
        <v>0</v>
      </c>
      <c r="M27" s="37">
        <f t="shared" si="3"/>
        <v>799500.53095000016</v>
      </c>
      <c r="N27" s="37"/>
    </row>
    <row r="28" spans="1:14">
      <c r="A28" s="214">
        <v>26</v>
      </c>
      <c r="B28" s="212">
        <v>46259</v>
      </c>
      <c r="C28" s="37"/>
      <c r="D28" s="37"/>
      <c r="E28" s="257">
        <v>63.98</v>
      </c>
      <c r="F28" s="285">
        <v>99.37</v>
      </c>
      <c r="G28" s="37">
        <f t="shared" si="0"/>
        <v>6357.6926000000003</v>
      </c>
      <c r="H28" s="37">
        <v>2</v>
      </c>
      <c r="I28" s="37">
        <v>111.46</v>
      </c>
      <c r="J28" s="37">
        <f t="shared" si="1"/>
        <v>222.92</v>
      </c>
      <c r="K28" s="37">
        <f t="shared" si="2"/>
        <v>6580.6126000000004</v>
      </c>
      <c r="L28" s="37">
        <v>0</v>
      </c>
      <c r="M28" s="37">
        <f t="shared" si="3"/>
        <v>806081.14355000015</v>
      </c>
      <c r="N28" s="37"/>
    </row>
    <row r="29" spans="1:14">
      <c r="A29" s="214">
        <v>27</v>
      </c>
      <c r="B29" s="212">
        <v>46260</v>
      </c>
      <c r="C29" s="37"/>
      <c r="D29" s="37"/>
      <c r="E29" s="257"/>
      <c r="F29" s="285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>
        <v>0</v>
      </c>
      <c r="M29" s="37">
        <f t="shared" si="3"/>
        <v>806081.14355000015</v>
      </c>
      <c r="N29" s="37"/>
    </row>
    <row r="30" spans="1:14">
      <c r="A30" s="214">
        <v>28</v>
      </c>
      <c r="B30" s="212">
        <v>46261</v>
      </c>
      <c r="C30" s="37"/>
      <c r="D30" s="37"/>
      <c r="E30" s="257"/>
      <c r="F30" s="285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>
        <v>0</v>
      </c>
      <c r="M30" s="37">
        <f t="shared" si="3"/>
        <v>806081.14355000015</v>
      </c>
      <c r="N30" s="37"/>
    </row>
    <row r="31" spans="1:14">
      <c r="A31" s="443">
        <v>29</v>
      </c>
      <c r="B31" s="212">
        <v>46262</v>
      </c>
      <c r="C31" s="205"/>
      <c r="D31" s="205"/>
      <c r="E31" s="423">
        <v>136</v>
      </c>
      <c r="F31" s="285">
        <v>99.37</v>
      </c>
      <c r="G31" s="205">
        <f t="shared" si="0"/>
        <v>13514.32</v>
      </c>
      <c r="H31" s="205">
        <v>5</v>
      </c>
      <c r="I31" s="37">
        <v>111.46</v>
      </c>
      <c r="J31" s="205">
        <f t="shared" si="1"/>
        <v>557.29999999999995</v>
      </c>
      <c r="K31" s="205">
        <f t="shared" si="2"/>
        <v>14071.619999999999</v>
      </c>
      <c r="L31" s="205">
        <v>806081</v>
      </c>
      <c r="M31" s="205">
        <f t="shared" si="3"/>
        <v>14071.763550000149</v>
      </c>
      <c r="N31" s="205"/>
    </row>
    <row r="32" spans="1:14">
      <c r="A32" s="43">
        <v>30</v>
      </c>
      <c r="B32" s="212">
        <v>46263</v>
      </c>
      <c r="C32" s="37"/>
      <c r="D32" s="37"/>
      <c r="E32" s="257">
        <v>921.31</v>
      </c>
      <c r="F32" s="285">
        <v>99.37</v>
      </c>
      <c r="G32" s="37">
        <f t="shared" si="0"/>
        <v>91550.574699999997</v>
      </c>
      <c r="H32" s="37">
        <v>25</v>
      </c>
      <c r="I32" s="37">
        <v>111.46</v>
      </c>
      <c r="J32" s="37">
        <f t="shared" si="1"/>
        <v>2786.5</v>
      </c>
      <c r="K32" s="37">
        <f t="shared" si="2"/>
        <v>94337.074699999997</v>
      </c>
      <c r="L32" s="37">
        <v>0</v>
      </c>
      <c r="M32" s="37">
        <f t="shared" si="3"/>
        <v>108408.83825000015</v>
      </c>
      <c r="N32" s="37"/>
    </row>
    <row r="33" spans="1:14">
      <c r="A33" s="43">
        <v>31</v>
      </c>
      <c r="B33" s="212">
        <v>46264</v>
      </c>
      <c r="C33" s="37"/>
      <c r="D33" s="37"/>
      <c r="E33" s="257">
        <v>79.98</v>
      </c>
      <c r="F33" s="285">
        <v>99.37</v>
      </c>
      <c r="G33" s="37">
        <f t="shared" si="0"/>
        <v>7947.6126000000004</v>
      </c>
      <c r="H33" s="37"/>
      <c r="I33" s="37"/>
      <c r="J33" s="37">
        <f t="shared" si="1"/>
        <v>0</v>
      </c>
      <c r="K33" s="37">
        <f t="shared" si="2"/>
        <v>7947.6126000000004</v>
      </c>
      <c r="L33" s="37">
        <v>0</v>
      </c>
      <c r="M33" s="37">
        <f t="shared" si="3"/>
        <v>116356.45085000014</v>
      </c>
      <c r="N33" s="37"/>
    </row>
    <row r="34" spans="1:14">
      <c r="A34" s="211"/>
      <c r="B34" s="212">
        <v>46265</v>
      </c>
      <c r="C34" s="205"/>
      <c r="D34" s="205"/>
      <c r="E34" s="423">
        <v>267.52999999999997</v>
      </c>
      <c r="F34" s="285">
        <v>99.37</v>
      </c>
      <c r="G34" s="37">
        <f t="shared" si="0"/>
        <v>26584.456099999999</v>
      </c>
      <c r="H34" s="205">
        <v>15</v>
      </c>
      <c r="I34" s="37">
        <v>111.46</v>
      </c>
      <c r="J34" s="205">
        <f t="shared" ref="J34" si="4">H34*I34</f>
        <v>1671.8999999999999</v>
      </c>
      <c r="K34" s="205">
        <f t="shared" ref="K34" si="5">G34+J34</f>
        <v>28256.356100000001</v>
      </c>
      <c r="L34" s="205"/>
      <c r="M34" s="205">
        <f t="shared" si="3"/>
        <v>144612.80695000014</v>
      </c>
      <c r="N34" s="205"/>
    </row>
    <row r="35" spans="1:14">
      <c r="A35" s="444"/>
      <c r="B35" s="445"/>
      <c r="C35" s="445"/>
      <c r="D35" s="445"/>
      <c r="E35" s="445">
        <f>SUM(E4:E34)</f>
        <v>6753.8549999999987</v>
      </c>
      <c r="F35" s="445"/>
      <c r="G35" s="445">
        <f>SUM(G4:G34)</f>
        <v>671130.57134999987</v>
      </c>
      <c r="H35" s="445">
        <f>SUM(H4:H34)</f>
        <v>299</v>
      </c>
      <c r="I35" s="445"/>
      <c r="J35" s="445">
        <f>SUM(J4:J34)</f>
        <v>33326.54</v>
      </c>
      <c r="K35" s="445">
        <f>SUM(K4:K34)</f>
        <v>704457.11135000002</v>
      </c>
      <c r="L35" s="445">
        <f>SUM(L4:L33)</f>
        <v>1606081</v>
      </c>
      <c r="M35" s="445"/>
      <c r="N35" s="44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topLeftCell="A13" workbookViewId="0">
      <selection activeCell="O22" sqref="O22:X36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601" t="s">
        <v>262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</row>
    <row r="2" spans="1:14" ht="45">
      <c r="A2" s="120" t="s">
        <v>0</v>
      </c>
      <c r="B2" s="206" t="s">
        <v>170</v>
      </c>
      <c r="C2" s="206" t="s">
        <v>171</v>
      </c>
      <c r="D2" s="206" t="s">
        <v>194</v>
      </c>
      <c r="E2" s="206" t="s">
        <v>173</v>
      </c>
      <c r="F2" s="206" t="s">
        <v>174</v>
      </c>
      <c r="G2" s="206" t="s">
        <v>175</v>
      </c>
      <c r="H2" s="206" t="s">
        <v>176</v>
      </c>
      <c r="I2" s="206" t="s">
        <v>174</v>
      </c>
      <c r="J2" s="206" t="s">
        <v>175</v>
      </c>
      <c r="K2" s="168" t="s">
        <v>177</v>
      </c>
      <c r="L2" s="168" t="s">
        <v>178</v>
      </c>
      <c r="M2" s="168" t="s">
        <v>195</v>
      </c>
      <c r="N2" s="206" t="s">
        <v>180</v>
      </c>
    </row>
    <row r="3" spans="1:14">
      <c r="A3" s="602" t="s">
        <v>181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>
        <v>0</v>
      </c>
      <c r="N3" s="602"/>
    </row>
    <row r="4" spans="1:14">
      <c r="A4" s="189">
        <v>1</v>
      </c>
      <c r="B4" s="212">
        <v>46235</v>
      </c>
      <c r="C4" s="37"/>
      <c r="D4" s="37"/>
      <c r="E4" s="37">
        <v>20</v>
      </c>
      <c r="F4" s="37">
        <v>99.12</v>
      </c>
      <c r="G4" s="37">
        <f>E4*F4</f>
        <v>1982.4</v>
      </c>
      <c r="H4" s="37"/>
      <c r="I4" s="37"/>
      <c r="J4" s="37">
        <f>H4*I4</f>
        <v>0</v>
      </c>
      <c r="K4" s="37">
        <f>G4+J4</f>
        <v>1982.4</v>
      </c>
      <c r="L4" s="37">
        <f>+K4</f>
        <v>1982.4</v>
      </c>
      <c r="M4" s="37">
        <f>M3+K4-L4</f>
        <v>0</v>
      </c>
      <c r="N4" s="37"/>
    </row>
    <row r="5" spans="1:14">
      <c r="A5" s="43">
        <v>2</v>
      </c>
      <c r="B5" s="212">
        <v>46236</v>
      </c>
      <c r="C5" s="37"/>
      <c r="D5" s="37"/>
      <c r="E5" s="37"/>
      <c r="F5" s="37"/>
      <c r="G5" s="37">
        <f t="shared" ref="G5:G34" si="0">E5*F5</f>
        <v>0</v>
      </c>
      <c r="H5" s="37"/>
      <c r="I5" s="37"/>
      <c r="J5" s="37">
        <f t="shared" ref="J5:J34" si="1">H5*I5</f>
        <v>0</v>
      </c>
      <c r="K5" s="37">
        <f t="shared" ref="K5:K34" si="2">G5+J5</f>
        <v>0</v>
      </c>
      <c r="L5" s="37">
        <f t="shared" ref="L5:L32" si="3">+K5</f>
        <v>0</v>
      </c>
      <c r="M5" s="37">
        <f t="shared" ref="M5:M34" si="4">M4+K5-L5</f>
        <v>0</v>
      </c>
      <c r="N5" s="37"/>
    </row>
    <row r="6" spans="1:14">
      <c r="A6" s="43">
        <v>3</v>
      </c>
      <c r="B6" s="212">
        <v>46237</v>
      </c>
      <c r="C6" s="37"/>
      <c r="D6" s="37"/>
      <c r="E6" s="37"/>
      <c r="F6" s="37"/>
      <c r="G6" s="37">
        <f t="shared" si="0"/>
        <v>0</v>
      </c>
      <c r="H6" s="37"/>
      <c r="I6" s="37"/>
      <c r="J6" s="37">
        <f t="shared" si="1"/>
        <v>0</v>
      </c>
      <c r="K6" s="37">
        <f t="shared" si="2"/>
        <v>0</v>
      </c>
      <c r="L6" s="37">
        <f t="shared" si="3"/>
        <v>0</v>
      </c>
      <c r="M6" s="37">
        <f t="shared" si="4"/>
        <v>0</v>
      </c>
      <c r="N6" s="37"/>
    </row>
    <row r="7" spans="1:14">
      <c r="A7" s="43">
        <v>4</v>
      </c>
      <c r="B7" s="212">
        <v>46238</v>
      </c>
      <c r="C7" s="37"/>
      <c r="D7" s="37"/>
      <c r="E7" s="37">
        <v>20</v>
      </c>
      <c r="F7" s="37">
        <v>99.12</v>
      </c>
      <c r="G7" s="37">
        <f t="shared" si="0"/>
        <v>1982.4</v>
      </c>
      <c r="H7" s="37">
        <v>7</v>
      </c>
      <c r="I7" s="37">
        <v>111.2</v>
      </c>
      <c r="J7" s="37">
        <f t="shared" si="1"/>
        <v>778.4</v>
      </c>
      <c r="K7" s="37">
        <f t="shared" si="2"/>
        <v>2760.8</v>
      </c>
      <c r="L7" s="37">
        <f t="shared" si="3"/>
        <v>2760.8</v>
      </c>
      <c r="M7" s="37">
        <f t="shared" si="4"/>
        <v>0</v>
      </c>
      <c r="N7" s="37"/>
    </row>
    <row r="8" spans="1:14">
      <c r="A8" s="43">
        <v>5</v>
      </c>
      <c r="B8" s="212">
        <v>46239</v>
      </c>
      <c r="C8" s="37"/>
      <c r="D8" s="37"/>
      <c r="E8" s="37"/>
      <c r="F8" s="37"/>
      <c r="G8" s="37">
        <f t="shared" si="0"/>
        <v>0</v>
      </c>
      <c r="H8" s="37">
        <v>5</v>
      </c>
      <c r="I8" s="37">
        <v>111.2</v>
      </c>
      <c r="J8" s="37">
        <f t="shared" si="1"/>
        <v>556</v>
      </c>
      <c r="K8" s="37">
        <f t="shared" si="2"/>
        <v>556</v>
      </c>
      <c r="L8" s="37">
        <f t="shared" si="3"/>
        <v>556</v>
      </c>
      <c r="M8" s="37">
        <f t="shared" si="4"/>
        <v>0</v>
      </c>
      <c r="N8" s="37"/>
    </row>
    <row r="9" spans="1:14">
      <c r="A9" s="43">
        <v>6</v>
      </c>
      <c r="B9" s="212">
        <v>46240</v>
      </c>
      <c r="C9" s="37"/>
      <c r="D9" s="37"/>
      <c r="E9" s="37"/>
      <c r="F9" s="37"/>
      <c r="G9" s="37">
        <f t="shared" si="0"/>
        <v>0</v>
      </c>
      <c r="H9" s="37">
        <v>3</v>
      </c>
      <c r="I9" s="37">
        <v>111.2</v>
      </c>
      <c r="J9" s="37">
        <f t="shared" si="1"/>
        <v>333.6</v>
      </c>
      <c r="K9" s="37">
        <f t="shared" si="2"/>
        <v>333.6</v>
      </c>
      <c r="L9" s="37">
        <f t="shared" si="3"/>
        <v>333.6</v>
      </c>
      <c r="M9" s="37">
        <f t="shared" si="4"/>
        <v>0</v>
      </c>
      <c r="N9" s="37"/>
    </row>
    <row r="10" spans="1:14">
      <c r="A10" s="43">
        <v>7</v>
      </c>
      <c r="B10" s="212">
        <v>46241</v>
      </c>
      <c r="C10" s="37"/>
      <c r="D10" s="37"/>
      <c r="E10" s="37"/>
      <c r="F10" s="37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>
        <f t="shared" si="3"/>
        <v>0</v>
      </c>
      <c r="M10" s="37">
        <f t="shared" si="4"/>
        <v>0</v>
      </c>
      <c r="N10" s="37"/>
    </row>
    <row r="11" spans="1:14">
      <c r="A11" s="43">
        <v>8</v>
      </c>
      <c r="B11" s="212">
        <v>46242</v>
      </c>
      <c r="C11" s="37"/>
      <c r="D11" s="37"/>
      <c r="E11" s="37"/>
      <c r="F11" s="37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>
        <f t="shared" si="3"/>
        <v>0</v>
      </c>
      <c r="M11" s="37">
        <f t="shared" si="4"/>
        <v>0</v>
      </c>
      <c r="N11" s="37"/>
    </row>
    <row r="12" spans="1:14">
      <c r="A12" s="43">
        <v>9</v>
      </c>
      <c r="B12" s="212">
        <v>46243</v>
      </c>
      <c r="C12" s="37"/>
      <c r="D12" s="37"/>
      <c r="E12" s="37"/>
      <c r="F12" s="37"/>
      <c r="G12" s="37">
        <f t="shared" si="0"/>
        <v>0</v>
      </c>
      <c r="H12" s="37"/>
      <c r="I12" s="37"/>
      <c r="J12" s="37">
        <f t="shared" si="1"/>
        <v>0</v>
      </c>
      <c r="K12" s="37">
        <f t="shared" si="2"/>
        <v>0</v>
      </c>
      <c r="L12" s="37">
        <f t="shared" si="3"/>
        <v>0</v>
      </c>
      <c r="M12" s="37">
        <f t="shared" si="4"/>
        <v>0</v>
      </c>
      <c r="N12" s="37"/>
    </row>
    <row r="13" spans="1:14">
      <c r="A13" s="43">
        <v>10</v>
      </c>
      <c r="B13" s="212">
        <v>46244</v>
      </c>
      <c r="C13" s="37"/>
      <c r="D13" s="37"/>
      <c r="E13" s="37"/>
      <c r="F13" s="37"/>
      <c r="G13" s="37">
        <f t="shared" si="0"/>
        <v>0</v>
      </c>
      <c r="H13" s="37">
        <v>5</v>
      </c>
      <c r="I13" s="37">
        <v>111.2</v>
      </c>
      <c r="J13" s="37">
        <f t="shared" si="1"/>
        <v>556</v>
      </c>
      <c r="K13" s="37">
        <f t="shared" si="2"/>
        <v>556</v>
      </c>
      <c r="L13" s="37">
        <f t="shared" si="3"/>
        <v>556</v>
      </c>
      <c r="M13" s="37">
        <f t="shared" si="4"/>
        <v>0</v>
      </c>
      <c r="N13" s="37"/>
    </row>
    <row r="14" spans="1:14">
      <c r="A14" s="43">
        <v>11</v>
      </c>
      <c r="B14" s="212">
        <v>46245</v>
      </c>
      <c r="C14" s="37"/>
      <c r="D14" s="37"/>
      <c r="E14" s="37"/>
      <c r="F14" s="37"/>
      <c r="G14" s="37">
        <f t="shared" si="0"/>
        <v>0</v>
      </c>
      <c r="H14" s="37"/>
      <c r="I14" s="37"/>
      <c r="J14" s="37">
        <f t="shared" si="1"/>
        <v>0</v>
      </c>
      <c r="K14" s="37">
        <f t="shared" si="2"/>
        <v>0</v>
      </c>
      <c r="L14" s="37">
        <f t="shared" si="3"/>
        <v>0</v>
      </c>
      <c r="M14" s="37">
        <f t="shared" si="4"/>
        <v>0</v>
      </c>
      <c r="N14" s="37"/>
    </row>
    <row r="15" spans="1:14">
      <c r="A15" s="43">
        <v>12</v>
      </c>
      <c r="B15" s="212">
        <v>46246</v>
      </c>
      <c r="C15" s="37"/>
      <c r="D15" s="37"/>
      <c r="E15" s="37"/>
      <c r="F15" s="37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>
        <f t="shared" si="3"/>
        <v>0</v>
      </c>
      <c r="M15" s="37">
        <f t="shared" si="4"/>
        <v>0</v>
      </c>
      <c r="N15" s="37"/>
    </row>
    <row r="16" spans="1:14">
      <c r="A16" s="43">
        <v>13</v>
      </c>
      <c r="B16" s="212">
        <v>46247</v>
      </c>
      <c r="C16" s="37"/>
      <c r="D16" s="37"/>
      <c r="E16" s="37">
        <v>20</v>
      </c>
      <c r="F16" s="37">
        <v>99.12</v>
      </c>
      <c r="G16" s="37">
        <f t="shared" si="0"/>
        <v>1982.4</v>
      </c>
      <c r="H16" s="37"/>
      <c r="I16" s="37"/>
      <c r="J16" s="37">
        <f t="shared" si="1"/>
        <v>0</v>
      </c>
      <c r="K16" s="37">
        <f t="shared" si="2"/>
        <v>1982.4</v>
      </c>
      <c r="L16" s="37">
        <f t="shared" si="3"/>
        <v>1982.4</v>
      </c>
      <c r="M16" s="37">
        <f t="shared" si="4"/>
        <v>0</v>
      </c>
      <c r="N16" s="37"/>
    </row>
    <row r="17" spans="1:14">
      <c r="A17" s="43">
        <v>14</v>
      </c>
      <c r="B17" s="212">
        <v>46248</v>
      </c>
      <c r="C17" s="37"/>
      <c r="D17" s="37"/>
      <c r="E17" s="37"/>
      <c r="F17" s="37"/>
      <c r="G17" s="37">
        <f t="shared" si="0"/>
        <v>0</v>
      </c>
      <c r="H17" s="37"/>
      <c r="I17" s="37"/>
      <c r="J17" s="37">
        <f t="shared" si="1"/>
        <v>0</v>
      </c>
      <c r="K17" s="37">
        <f t="shared" si="2"/>
        <v>0</v>
      </c>
      <c r="L17" s="37">
        <f t="shared" si="3"/>
        <v>0</v>
      </c>
      <c r="M17" s="37">
        <f t="shared" si="4"/>
        <v>0</v>
      </c>
      <c r="N17" s="37"/>
    </row>
    <row r="18" spans="1:14">
      <c r="A18" s="43">
        <v>15</v>
      </c>
      <c r="B18" s="212">
        <v>46249</v>
      </c>
      <c r="C18" s="37"/>
      <c r="D18" s="37"/>
      <c r="E18" s="37"/>
      <c r="F18" s="37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>
        <f t="shared" si="3"/>
        <v>0</v>
      </c>
      <c r="M18" s="37">
        <f t="shared" si="4"/>
        <v>0</v>
      </c>
      <c r="N18" s="37"/>
    </row>
    <row r="19" spans="1:14">
      <c r="A19" s="43">
        <v>16</v>
      </c>
      <c r="B19" s="212">
        <v>46250</v>
      </c>
      <c r="C19" s="37"/>
      <c r="D19" s="37"/>
      <c r="E19" s="37"/>
      <c r="F19" s="37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>
        <f t="shared" si="3"/>
        <v>0</v>
      </c>
      <c r="M19" s="37">
        <f t="shared" si="4"/>
        <v>0</v>
      </c>
      <c r="N19" s="37"/>
    </row>
    <row r="20" spans="1:14">
      <c r="A20" s="43">
        <v>17</v>
      </c>
      <c r="B20" s="212">
        <v>46251</v>
      </c>
      <c r="C20" s="37"/>
      <c r="D20" s="37"/>
      <c r="E20" s="37"/>
      <c r="F20" s="37"/>
      <c r="G20" s="37">
        <f t="shared" si="0"/>
        <v>0</v>
      </c>
      <c r="H20" s="37">
        <v>10</v>
      </c>
      <c r="I20" s="37">
        <v>111.2</v>
      </c>
      <c r="J20" s="37">
        <f t="shared" si="1"/>
        <v>1112</v>
      </c>
      <c r="K20" s="37">
        <f t="shared" si="2"/>
        <v>1112</v>
      </c>
      <c r="L20" s="37">
        <f t="shared" si="3"/>
        <v>1112</v>
      </c>
      <c r="M20" s="37">
        <f t="shared" si="4"/>
        <v>0</v>
      </c>
      <c r="N20" s="37"/>
    </row>
    <row r="21" spans="1:14">
      <c r="A21" s="43">
        <v>18</v>
      </c>
      <c r="B21" s="212">
        <v>46252</v>
      </c>
      <c r="C21" s="37"/>
      <c r="D21" s="37"/>
      <c r="E21" s="37"/>
      <c r="F21" s="37"/>
      <c r="G21" s="37">
        <f t="shared" si="0"/>
        <v>0</v>
      </c>
      <c r="H21" s="37"/>
      <c r="I21" s="37"/>
      <c r="J21" s="37">
        <f t="shared" si="1"/>
        <v>0</v>
      </c>
      <c r="K21" s="37">
        <f t="shared" si="2"/>
        <v>0</v>
      </c>
      <c r="L21" s="37">
        <f t="shared" si="3"/>
        <v>0</v>
      </c>
      <c r="M21" s="37">
        <f t="shared" si="4"/>
        <v>0</v>
      </c>
      <c r="N21" s="37"/>
    </row>
    <row r="22" spans="1:14">
      <c r="A22" s="43">
        <v>19</v>
      </c>
      <c r="B22" s="212">
        <v>46253</v>
      </c>
      <c r="C22" s="37"/>
      <c r="D22" s="37"/>
      <c r="E22" s="37"/>
      <c r="F22" s="37"/>
      <c r="G22" s="37">
        <f t="shared" si="0"/>
        <v>0</v>
      </c>
      <c r="H22" s="37"/>
      <c r="I22" s="37"/>
      <c r="J22" s="37">
        <f t="shared" si="1"/>
        <v>0</v>
      </c>
      <c r="K22" s="37">
        <f t="shared" si="2"/>
        <v>0</v>
      </c>
      <c r="L22" s="37">
        <f t="shared" si="3"/>
        <v>0</v>
      </c>
      <c r="M22" s="37">
        <f t="shared" si="4"/>
        <v>0</v>
      </c>
      <c r="N22" s="37"/>
    </row>
    <row r="23" spans="1:14">
      <c r="A23" s="43">
        <v>20</v>
      </c>
      <c r="B23" s="212">
        <v>46254</v>
      </c>
      <c r="C23" s="37"/>
      <c r="D23" s="37"/>
      <c r="E23" s="37"/>
      <c r="F23" s="37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>
        <f t="shared" si="3"/>
        <v>0</v>
      </c>
      <c r="M23" s="37">
        <f t="shared" si="4"/>
        <v>0</v>
      </c>
      <c r="N23" s="37"/>
    </row>
    <row r="24" spans="1:14">
      <c r="A24" s="43">
        <v>21</v>
      </c>
      <c r="B24" s="212">
        <v>46255</v>
      </c>
      <c r="C24" s="37"/>
      <c r="D24" s="37"/>
      <c r="E24" s="37">
        <v>20.18</v>
      </c>
      <c r="F24" s="37">
        <v>99.12</v>
      </c>
      <c r="G24" s="37">
        <f t="shared" si="0"/>
        <v>2000.2416000000001</v>
      </c>
      <c r="H24" s="37"/>
      <c r="I24" s="37"/>
      <c r="J24" s="37">
        <f t="shared" si="1"/>
        <v>0</v>
      </c>
      <c r="K24" s="37">
        <f t="shared" si="2"/>
        <v>2000.2416000000001</v>
      </c>
      <c r="L24" s="37">
        <f t="shared" si="3"/>
        <v>2000.2416000000001</v>
      </c>
      <c r="M24" s="37">
        <f t="shared" si="4"/>
        <v>0</v>
      </c>
      <c r="N24" s="37"/>
    </row>
    <row r="25" spans="1:14">
      <c r="A25" s="43">
        <v>22</v>
      </c>
      <c r="B25" s="212">
        <v>46256</v>
      </c>
      <c r="C25" s="37"/>
      <c r="D25" s="37"/>
      <c r="E25" s="37"/>
      <c r="F25" s="37"/>
      <c r="G25" s="37">
        <f t="shared" si="0"/>
        <v>0</v>
      </c>
      <c r="H25" s="37"/>
      <c r="I25" s="37"/>
      <c r="J25" s="37">
        <f t="shared" si="1"/>
        <v>0</v>
      </c>
      <c r="K25" s="37">
        <f t="shared" si="2"/>
        <v>0</v>
      </c>
      <c r="L25" s="37">
        <f t="shared" si="3"/>
        <v>0</v>
      </c>
      <c r="M25" s="37">
        <f t="shared" si="4"/>
        <v>0</v>
      </c>
      <c r="N25" s="37"/>
    </row>
    <row r="26" spans="1:14">
      <c r="A26" s="43">
        <v>23</v>
      </c>
      <c r="B26" s="212">
        <v>46257</v>
      </c>
      <c r="C26" s="37"/>
      <c r="D26" s="37"/>
      <c r="E26" s="37"/>
      <c r="F26" s="37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f t="shared" si="3"/>
        <v>0</v>
      </c>
      <c r="M26" s="37">
        <f t="shared" si="4"/>
        <v>0</v>
      </c>
      <c r="N26" s="37"/>
    </row>
    <row r="27" spans="1:14">
      <c r="A27" s="43">
        <v>24</v>
      </c>
      <c r="B27" s="212">
        <v>46258</v>
      </c>
      <c r="C27" s="37"/>
      <c r="D27" s="37"/>
      <c r="E27" s="37"/>
      <c r="F27" s="37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>
        <f t="shared" si="3"/>
        <v>0</v>
      </c>
      <c r="M27" s="37">
        <f t="shared" si="4"/>
        <v>0</v>
      </c>
      <c r="N27" s="37"/>
    </row>
    <row r="28" spans="1:14">
      <c r="A28" s="214">
        <v>25</v>
      </c>
      <c r="B28" s="212">
        <v>46259</v>
      </c>
      <c r="C28" s="37"/>
      <c r="D28" s="37"/>
      <c r="E28" s="37">
        <v>30</v>
      </c>
      <c r="F28" s="37">
        <v>99.12</v>
      </c>
      <c r="G28" s="37">
        <f t="shared" si="0"/>
        <v>2973.6000000000004</v>
      </c>
      <c r="H28" s="37"/>
      <c r="I28" s="37"/>
      <c r="J28" s="37">
        <f t="shared" si="1"/>
        <v>0</v>
      </c>
      <c r="K28" s="37">
        <f t="shared" si="2"/>
        <v>2973.6000000000004</v>
      </c>
      <c r="L28" s="37">
        <f t="shared" si="3"/>
        <v>2973.6000000000004</v>
      </c>
      <c r="M28" s="37">
        <f t="shared" si="4"/>
        <v>0</v>
      </c>
      <c r="N28" s="37"/>
    </row>
    <row r="29" spans="1:14">
      <c r="A29" s="214">
        <v>26</v>
      </c>
      <c r="B29" s="212">
        <v>46260</v>
      </c>
      <c r="C29" s="37"/>
      <c r="D29" s="37"/>
      <c r="E29" s="37"/>
      <c r="F29" s="37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>
        <f t="shared" si="3"/>
        <v>0</v>
      </c>
      <c r="M29" s="37">
        <f t="shared" si="4"/>
        <v>0</v>
      </c>
      <c r="N29" s="37"/>
    </row>
    <row r="30" spans="1:14">
      <c r="A30" s="214">
        <v>27</v>
      </c>
      <c r="B30" s="212">
        <v>46261</v>
      </c>
      <c r="C30" s="37"/>
      <c r="D30" s="37"/>
      <c r="E30" s="37">
        <v>20</v>
      </c>
      <c r="F30" s="37">
        <v>99.12</v>
      </c>
      <c r="G30" s="37">
        <f t="shared" si="0"/>
        <v>1982.4</v>
      </c>
      <c r="H30" s="37"/>
      <c r="I30" s="37"/>
      <c r="J30" s="37">
        <f t="shared" si="1"/>
        <v>0</v>
      </c>
      <c r="K30" s="37">
        <f t="shared" si="2"/>
        <v>1982.4</v>
      </c>
      <c r="L30" s="37">
        <f t="shared" si="3"/>
        <v>1982.4</v>
      </c>
      <c r="M30" s="37">
        <f t="shared" si="4"/>
        <v>0</v>
      </c>
      <c r="N30" s="37"/>
    </row>
    <row r="31" spans="1:14">
      <c r="A31" s="214">
        <v>28</v>
      </c>
      <c r="B31" s="212">
        <v>46262</v>
      </c>
      <c r="C31" s="37"/>
      <c r="D31" s="37"/>
      <c r="E31" s="37">
        <v>30</v>
      </c>
      <c r="F31" s="37">
        <v>99.12</v>
      </c>
      <c r="G31" s="37">
        <f t="shared" si="0"/>
        <v>2973.6000000000004</v>
      </c>
      <c r="H31" s="37">
        <v>10</v>
      </c>
      <c r="I31" s="37">
        <v>111.2</v>
      </c>
      <c r="J31" s="37">
        <f t="shared" si="1"/>
        <v>1112</v>
      </c>
      <c r="K31" s="37">
        <f t="shared" si="2"/>
        <v>4085.6000000000004</v>
      </c>
      <c r="L31" s="37">
        <f t="shared" si="3"/>
        <v>4085.6000000000004</v>
      </c>
      <c r="M31" s="37">
        <f t="shared" si="4"/>
        <v>0</v>
      </c>
      <c r="N31" s="37"/>
    </row>
    <row r="32" spans="1:14">
      <c r="A32" s="215">
        <v>29</v>
      </c>
      <c r="B32" s="212">
        <v>46263</v>
      </c>
      <c r="C32" s="37"/>
      <c r="D32" s="37"/>
      <c r="E32" s="37"/>
      <c r="F32" s="37"/>
      <c r="G32" s="37">
        <f t="shared" si="0"/>
        <v>0</v>
      </c>
      <c r="H32" s="37"/>
      <c r="I32" s="37"/>
      <c r="J32" s="37">
        <f t="shared" si="1"/>
        <v>0</v>
      </c>
      <c r="K32" s="37">
        <f t="shared" si="2"/>
        <v>0</v>
      </c>
      <c r="L32" s="37">
        <f t="shared" si="3"/>
        <v>0</v>
      </c>
      <c r="M32" s="37">
        <f t="shared" si="4"/>
        <v>0</v>
      </c>
      <c r="N32" s="37"/>
    </row>
    <row r="33" spans="1:14">
      <c r="A33" s="215">
        <v>30</v>
      </c>
      <c r="B33" s="212">
        <v>46264</v>
      </c>
      <c r="C33" s="37"/>
      <c r="D33" s="37"/>
      <c r="E33" s="37"/>
      <c r="F33" s="37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>
        <f t="shared" ref="L33:L34" si="5">+K33</f>
        <v>0</v>
      </c>
      <c r="M33" s="37">
        <f t="shared" si="4"/>
        <v>0</v>
      </c>
      <c r="N33" s="37"/>
    </row>
    <row r="34" spans="1:14">
      <c r="A34" s="215">
        <v>31</v>
      </c>
      <c r="B34" s="212">
        <v>46265</v>
      </c>
      <c r="C34" s="37"/>
      <c r="D34" s="37"/>
      <c r="E34" s="37"/>
      <c r="F34" s="37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>
        <f t="shared" si="5"/>
        <v>0</v>
      </c>
      <c r="M34" s="37">
        <f t="shared" si="4"/>
        <v>0</v>
      </c>
      <c r="N34" s="37"/>
    </row>
    <row r="35" spans="1:14">
      <c r="A35" s="174"/>
      <c r="B35" s="174"/>
      <c r="C35" s="174"/>
      <c r="D35" s="174"/>
      <c r="E35" s="174">
        <f>SUM(E4:E34)</f>
        <v>160.18</v>
      </c>
      <c r="F35" s="174"/>
      <c r="G35" s="174">
        <f>SUM(G4:G34)</f>
        <v>15877.0416</v>
      </c>
      <c r="H35" s="174">
        <f>SUM(H4:H34)</f>
        <v>40</v>
      </c>
      <c r="I35" s="174"/>
      <c r="J35" s="174">
        <f>SUM(J4:J34)</f>
        <v>4448</v>
      </c>
      <c r="K35" s="174">
        <f>SUM(K4:K34)</f>
        <v>20325.0416</v>
      </c>
      <c r="L35" s="174">
        <f>SUM(L4:L34)</f>
        <v>20325.0416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8"/>
  <sheetViews>
    <sheetView workbookViewId="0">
      <pane ySplit="2" topLeftCell="A34" activePane="bottomLeft" state="frozen"/>
      <selection pane="bottomLeft" activeCell="M47" sqref="M47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99" bestFit="1" customWidth="1"/>
    <col min="8" max="8" width="11.140625" style="5" customWidth="1"/>
    <col min="9" max="9" width="9.140625" style="5"/>
    <col min="10" max="10" width="10.85546875" style="99" bestFit="1" customWidth="1"/>
    <col min="11" max="11" width="12.85546875" style="5" customWidth="1"/>
    <col min="12" max="12" width="13.5703125" style="99" bestFit="1" customWidth="1"/>
    <col min="13" max="13" width="13.5703125" style="99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581" t="s">
        <v>263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6" ht="18" customHeight="1">
      <c r="A2" s="61" t="s">
        <v>0</v>
      </c>
      <c r="B2" s="80" t="s">
        <v>170</v>
      </c>
      <c r="C2" s="80" t="s">
        <v>171</v>
      </c>
      <c r="D2" s="80" t="s">
        <v>194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178</v>
      </c>
      <c r="M2" s="123" t="s">
        <v>195</v>
      </c>
      <c r="N2" s="80" t="s">
        <v>180</v>
      </c>
    </row>
    <row r="3" spans="1:16" ht="18" customHeight="1">
      <c r="A3" s="603" t="s">
        <v>181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282"/>
      <c r="N3" s="281">
        <v>20180.948599999974</v>
      </c>
      <c r="P3" s="99"/>
    </row>
    <row r="4" spans="1:16">
      <c r="A4" s="6">
        <v>1</v>
      </c>
      <c r="B4" s="212">
        <v>46235</v>
      </c>
      <c r="C4" s="6"/>
      <c r="D4" s="6"/>
      <c r="E4" s="62">
        <v>45.57</v>
      </c>
      <c r="F4" s="6">
        <v>99.32</v>
      </c>
      <c r="G4" s="63">
        <f>E4*F4</f>
        <v>4526.0123999999996</v>
      </c>
      <c r="H4" s="299">
        <v>5</v>
      </c>
      <c r="I4" s="307">
        <v>111.42</v>
      </c>
      <c r="J4" s="63">
        <f>H4*I4</f>
        <v>557.1</v>
      </c>
      <c r="K4" s="63">
        <f>G4+J4</f>
        <v>5083.1124</v>
      </c>
      <c r="L4" s="63"/>
      <c r="M4" s="283">
        <f>N3+K4-L4</f>
        <v>25264.060999999972</v>
      </c>
      <c r="N4" s="43"/>
    </row>
    <row r="5" spans="1:16">
      <c r="A5" s="6">
        <v>2</v>
      </c>
      <c r="B5" s="212">
        <v>46236</v>
      </c>
      <c r="C5" s="6"/>
      <c r="D5" s="6"/>
      <c r="E5" s="62"/>
      <c r="F5" s="6"/>
      <c r="G5" s="63">
        <f t="shared" ref="G5:G32" si="0">E5*F5</f>
        <v>0</v>
      </c>
      <c r="H5" s="299"/>
      <c r="I5" s="307"/>
      <c r="J5" s="63">
        <f t="shared" ref="J5:J46" si="1">H5*I5</f>
        <v>0</v>
      </c>
      <c r="K5" s="63">
        <f t="shared" ref="K5:L46" si="2">G5+J5</f>
        <v>0</v>
      </c>
      <c r="L5" s="63"/>
      <c r="M5" s="144">
        <f>M4+K5-L5</f>
        <v>25264.060999999972</v>
      </c>
      <c r="N5" s="43"/>
    </row>
    <row r="6" spans="1:16">
      <c r="A6" s="6">
        <v>3</v>
      </c>
      <c r="B6" s="212">
        <v>46237</v>
      </c>
      <c r="C6" s="6"/>
      <c r="D6" s="6"/>
      <c r="E6" s="62"/>
      <c r="F6" s="6"/>
      <c r="G6" s="63">
        <f t="shared" si="0"/>
        <v>0</v>
      </c>
      <c r="H6" s="299"/>
      <c r="I6" s="307"/>
      <c r="J6" s="63">
        <f t="shared" si="1"/>
        <v>0</v>
      </c>
      <c r="K6" s="63">
        <f t="shared" si="2"/>
        <v>0</v>
      </c>
      <c r="L6" s="63"/>
      <c r="M6" s="144">
        <f t="shared" ref="M6:M7" si="3">M5+K6-L6</f>
        <v>25264.060999999972</v>
      </c>
      <c r="N6" s="43"/>
    </row>
    <row r="7" spans="1:16">
      <c r="A7" s="6">
        <v>4</v>
      </c>
      <c r="B7" s="212">
        <v>46238</v>
      </c>
      <c r="C7" s="6"/>
      <c r="D7" s="6"/>
      <c r="E7" s="62"/>
      <c r="F7" s="6"/>
      <c r="G7" s="63">
        <f t="shared" si="0"/>
        <v>0</v>
      </c>
      <c r="H7" s="62"/>
      <c r="I7" s="307"/>
      <c r="J7" s="63">
        <f t="shared" si="1"/>
        <v>0</v>
      </c>
      <c r="K7" s="63">
        <f t="shared" si="2"/>
        <v>0</v>
      </c>
      <c r="L7" s="63"/>
      <c r="M7" s="144">
        <f t="shared" si="3"/>
        <v>25264.060999999972</v>
      </c>
      <c r="N7" s="43"/>
    </row>
    <row r="8" spans="1:16">
      <c r="A8" s="6">
        <v>5</v>
      </c>
      <c r="B8" s="212">
        <v>46239</v>
      </c>
      <c r="C8" s="6"/>
      <c r="D8" s="6"/>
      <c r="E8" s="62"/>
      <c r="F8" s="6"/>
      <c r="G8" s="63">
        <f t="shared" si="0"/>
        <v>0</v>
      </c>
      <c r="H8" s="62"/>
      <c r="I8" s="307"/>
      <c r="J8" s="63">
        <f t="shared" si="1"/>
        <v>0</v>
      </c>
      <c r="K8" s="63">
        <f t="shared" si="2"/>
        <v>0</v>
      </c>
      <c r="L8" s="63"/>
      <c r="M8" s="144">
        <f>M7+K8-L8</f>
        <v>25264.060999999972</v>
      </c>
      <c r="N8" s="43"/>
    </row>
    <row r="9" spans="1:16">
      <c r="A9" s="6">
        <v>6</v>
      </c>
      <c r="B9" s="212">
        <v>46240</v>
      </c>
      <c r="C9" s="6"/>
      <c r="D9" s="6"/>
      <c r="E9" s="62">
        <v>133</v>
      </c>
      <c r="F9" s="6">
        <v>99.32</v>
      </c>
      <c r="G9" s="63">
        <f t="shared" si="0"/>
        <v>13209.56</v>
      </c>
      <c r="H9" s="62"/>
      <c r="I9" s="307"/>
      <c r="J9" s="63">
        <f t="shared" si="1"/>
        <v>0</v>
      </c>
      <c r="K9" s="63">
        <f t="shared" si="2"/>
        <v>13209.56</v>
      </c>
      <c r="L9" s="63"/>
      <c r="M9" s="144">
        <f t="shared" ref="M9:M47" si="4">M8+K9-L9</f>
        <v>38473.62099999997</v>
      </c>
      <c r="N9" s="43"/>
    </row>
    <row r="10" spans="1:16">
      <c r="A10" s="6">
        <v>7</v>
      </c>
      <c r="B10" s="212">
        <v>46241</v>
      </c>
      <c r="C10" s="6"/>
      <c r="D10" s="6"/>
      <c r="E10" s="62">
        <v>27.43</v>
      </c>
      <c r="F10" s="6">
        <v>99.32</v>
      </c>
      <c r="G10" s="63">
        <f t="shared" si="0"/>
        <v>2724.3475999999996</v>
      </c>
      <c r="H10" s="62">
        <v>10</v>
      </c>
      <c r="I10" s="307">
        <v>111.42</v>
      </c>
      <c r="J10" s="63">
        <f t="shared" si="1"/>
        <v>1114.2</v>
      </c>
      <c r="K10" s="63">
        <f t="shared" si="2"/>
        <v>3838.5475999999999</v>
      </c>
      <c r="L10" s="63"/>
      <c r="M10" s="144">
        <f t="shared" si="4"/>
        <v>42312.168599999968</v>
      </c>
      <c r="N10" s="43"/>
    </row>
    <row r="11" spans="1:16">
      <c r="A11" s="6">
        <v>8</v>
      </c>
      <c r="B11" s="212">
        <v>46242</v>
      </c>
      <c r="C11" s="6"/>
      <c r="D11" s="6"/>
      <c r="E11" s="62"/>
      <c r="F11" s="6"/>
      <c r="G11" s="63">
        <f t="shared" si="0"/>
        <v>0</v>
      </c>
      <c r="H11" s="62"/>
      <c r="I11" s="307"/>
      <c r="J11" s="63">
        <f t="shared" si="1"/>
        <v>0</v>
      </c>
      <c r="K11" s="63">
        <f t="shared" si="2"/>
        <v>0</v>
      </c>
      <c r="L11" s="63">
        <v>25000</v>
      </c>
      <c r="M11" s="144">
        <f t="shared" si="4"/>
        <v>17312.168599999968</v>
      </c>
      <c r="N11" s="43"/>
    </row>
    <row r="12" spans="1:16">
      <c r="A12" s="6">
        <v>9</v>
      </c>
      <c r="B12" s="212">
        <v>46243</v>
      </c>
      <c r="C12" s="6"/>
      <c r="D12" s="6"/>
      <c r="E12" s="62">
        <v>35.880000000000003</v>
      </c>
      <c r="F12" s="6">
        <v>99.32</v>
      </c>
      <c r="G12" s="63">
        <f t="shared" si="0"/>
        <v>3563.6016</v>
      </c>
      <c r="H12" s="62"/>
      <c r="I12" s="307"/>
      <c r="J12" s="63">
        <f t="shared" si="1"/>
        <v>0</v>
      </c>
      <c r="K12" s="63">
        <f t="shared" si="2"/>
        <v>3563.6016</v>
      </c>
      <c r="L12" s="63"/>
      <c r="M12" s="144">
        <f t="shared" si="4"/>
        <v>20875.77019999997</v>
      </c>
      <c r="N12" s="43"/>
    </row>
    <row r="13" spans="1:16">
      <c r="A13" s="6">
        <v>10</v>
      </c>
      <c r="B13" s="212">
        <v>46244</v>
      </c>
      <c r="C13" s="6"/>
      <c r="D13" s="6"/>
      <c r="E13" s="62">
        <v>30</v>
      </c>
      <c r="F13" s="6">
        <v>99.32</v>
      </c>
      <c r="G13" s="63">
        <f t="shared" si="0"/>
        <v>2979.6</v>
      </c>
      <c r="H13" s="62">
        <v>5</v>
      </c>
      <c r="I13" s="307">
        <v>111.42</v>
      </c>
      <c r="J13" s="63">
        <f t="shared" si="1"/>
        <v>557.1</v>
      </c>
      <c r="K13" s="63">
        <f t="shared" si="2"/>
        <v>3536.7</v>
      </c>
      <c r="L13" s="63"/>
      <c r="M13" s="144">
        <f t="shared" si="4"/>
        <v>24412.470199999971</v>
      </c>
      <c r="N13" s="43"/>
    </row>
    <row r="14" spans="1:16">
      <c r="A14" s="6">
        <v>11</v>
      </c>
      <c r="B14" s="212">
        <v>46245</v>
      </c>
      <c r="C14" s="6"/>
      <c r="D14" s="6"/>
      <c r="E14" s="62">
        <v>45</v>
      </c>
      <c r="F14" s="6">
        <v>99.32</v>
      </c>
      <c r="G14" s="63">
        <f t="shared" si="0"/>
        <v>4469.3999999999996</v>
      </c>
      <c r="H14" s="62">
        <v>17.38</v>
      </c>
      <c r="I14" s="307">
        <v>111.42</v>
      </c>
      <c r="J14" s="63">
        <f t="shared" si="1"/>
        <v>1936.4795999999999</v>
      </c>
      <c r="K14" s="63">
        <f t="shared" si="2"/>
        <v>6405.8795999999993</v>
      </c>
      <c r="L14" s="63"/>
      <c r="M14" s="144">
        <f t="shared" si="4"/>
        <v>30818.349799999971</v>
      </c>
      <c r="N14" s="43"/>
    </row>
    <row r="15" spans="1:16">
      <c r="A15" s="6">
        <v>12</v>
      </c>
      <c r="B15" s="212">
        <v>46246</v>
      </c>
      <c r="C15" s="6"/>
      <c r="D15" s="6"/>
      <c r="E15" s="62">
        <v>43.49</v>
      </c>
      <c r="F15" s="6">
        <v>99.32</v>
      </c>
      <c r="G15" s="63">
        <f t="shared" si="0"/>
        <v>4319.4268000000002</v>
      </c>
      <c r="H15" s="62"/>
      <c r="I15" s="307"/>
      <c r="J15" s="63">
        <f t="shared" si="1"/>
        <v>0</v>
      </c>
      <c r="K15" s="63">
        <f t="shared" si="2"/>
        <v>4319.4268000000002</v>
      </c>
      <c r="L15" s="63"/>
      <c r="M15" s="144">
        <f t="shared" si="4"/>
        <v>35137.776599999968</v>
      </c>
      <c r="N15" s="43"/>
    </row>
    <row r="16" spans="1:16">
      <c r="A16" s="6">
        <v>13</v>
      </c>
      <c r="B16" s="212">
        <v>46247</v>
      </c>
      <c r="C16" s="6"/>
      <c r="D16" s="6"/>
      <c r="E16" s="62">
        <v>20</v>
      </c>
      <c r="F16" s="6">
        <v>99.32</v>
      </c>
      <c r="G16" s="63">
        <f t="shared" si="0"/>
        <v>1986.3999999999999</v>
      </c>
      <c r="H16" s="299">
        <v>5</v>
      </c>
      <c r="I16" s="307">
        <v>111.42</v>
      </c>
      <c r="J16" s="63">
        <f t="shared" si="1"/>
        <v>557.1</v>
      </c>
      <c r="K16" s="63">
        <f t="shared" si="2"/>
        <v>2543.5</v>
      </c>
      <c r="L16" s="63">
        <v>35000</v>
      </c>
      <c r="M16" s="144">
        <f t="shared" si="4"/>
        <v>2681.2765999999683</v>
      </c>
      <c r="N16" s="43"/>
    </row>
    <row r="17" spans="1:14">
      <c r="A17" s="6">
        <v>14</v>
      </c>
      <c r="B17" s="212">
        <v>46248</v>
      </c>
      <c r="C17" s="6"/>
      <c r="D17" s="6"/>
      <c r="E17" s="62">
        <v>28.39</v>
      </c>
      <c r="F17" s="6">
        <v>99.32</v>
      </c>
      <c r="G17" s="63">
        <f t="shared" si="0"/>
        <v>2819.6947999999998</v>
      </c>
      <c r="H17" s="62"/>
      <c r="I17" s="307"/>
      <c r="J17" s="63">
        <f t="shared" si="1"/>
        <v>0</v>
      </c>
      <c r="K17" s="63">
        <f t="shared" si="2"/>
        <v>2819.6947999999998</v>
      </c>
      <c r="L17" s="63"/>
      <c r="M17" s="144">
        <f t="shared" si="4"/>
        <v>5500.9713999999676</v>
      </c>
      <c r="N17" s="43"/>
    </row>
    <row r="18" spans="1:14">
      <c r="A18" s="6">
        <v>15</v>
      </c>
      <c r="B18" s="212">
        <v>46249</v>
      </c>
      <c r="C18" s="6"/>
      <c r="D18" s="6"/>
      <c r="E18" s="62"/>
      <c r="F18" s="6">
        <v>99.32</v>
      </c>
      <c r="G18" s="63">
        <f t="shared" si="0"/>
        <v>0</v>
      </c>
      <c r="H18" s="62"/>
      <c r="I18" s="307"/>
      <c r="J18" s="63">
        <f t="shared" si="1"/>
        <v>0</v>
      </c>
      <c r="K18" s="63">
        <f t="shared" si="2"/>
        <v>0</v>
      </c>
      <c r="L18" s="63"/>
      <c r="M18" s="144">
        <f t="shared" si="4"/>
        <v>5500.9713999999676</v>
      </c>
      <c r="N18" s="43"/>
    </row>
    <row r="19" spans="1:14">
      <c r="A19" s="6">
        <v>16</v>
      </c>
      <c r="B19" s="212">
        <v>46250</v>
      </c>
      <c r="C19" s="6"/>
      <c r="D19" s="6"/>
      <c r="E19" s="62">
        <v>73.786000000000001</v>
      </c>
      <c r="F19" s="6">
        <v>99.32</v>
      </c>
      <c r="G19" s="63">
        <f t="shared" si="0"/>
        <v>7328.4255199999998</v>
      </c>
      <c r="H19" s="62"/>
      <c r="I19" s="307"/>
      <c r="J19" s="63">
        <f t="shared" si="1"/>
        <v>0</v>
      </c>
      <c r="K19" s="63">
        <f t="shared" si="2"/>
        <v>7328.4255199999998</v>
      </c>
      <c r="L19" s="63"/>
      <c r="M19" s="144">
        <f t="shared" si="4"/>
        <v>12829.396919999966</v>
      </c>
      <c r="N19" s="43"/>
    </row>
    <row r="20" spans="1:14">
      <c r="A20" s="6">
        <v>17</v>
      </c>
      <c r="B20" s="212">
        <v>46251</v>
      </c>
      <c r="C20" s="6"/>
      <c r="D20" s="6"/>
      <c r="E20" s="62"/>
      <c r="F20" s="6"/>
      <c r="G20" s="63">
        <f t="shared" si="0"/>
        <v>0</v>
      </c>
      <c r="H20" s="62"/>
      <c r="I20" s="307"/>
      <c r="J20" s="63">
        <f t="shared" si="1"/>
        <v>0</v>
      </c>
      <c r="K20" s="63">
        <f t="shared" si="2"/>
        <v>0</v>
      </c>
      <c r="L20" s="63"/>
      <c r="M20" s="144">
        <f t="shared" si="4"/>
        <v>12829.396919999966</v>
      </c>
      <c r="N20" s="43"/>
    </row>
    <row r="21" spans="1:14">
      <c r="A21" s="6">
        <v>18</v>
      </c>
      <c r="B21" s="212">
        <v>46252</v>
      </c>
      <c r="C21" s="6"/>
      <c r="D21" s="6"/>
      <c r="E21" s="62">
        <v>5</v>
      </c>
      <c r="F21" s="6">
        <v>99.32</v>
      </c>
      <c r="G21" s="63">
        <f t="shared" si="0"/>
        <v>496.59999999999997</v>
      </c>
      <c r="H21" s="62"/>
      <c r="I21" s="307"/>
      <c r="J21" s="63"/>
      <c r="K21" s="63">
        <f t="shared" si="2"/>
        <v>496.59999999999997</v>
      </c>
      <c r="L21" s="63"/>
      <c r="M21" s="144">
        <f t="shared" ref="M21:M23" si="5">M20+K21-L21</f>
        <v>13325.996919999967</v>
      </c>
      <c r="N21" s="43"/>
    </row>
    <row r="22" spans="1:14">
      <c r="A22" s="6">
        <v>19</v>
      </c>
      <c r="B22" s="212">
        <v>46253</v>
      </c>
      <c r="C22" s="6"/>
      <c r="D22" s="6"/>
      <c r="E22" s="62"/>
      <c r="F22" s="6"/>
      <c r="G22" s="63">
        <f t="shared" si="0"/>
        <v>0</v>
      </c>
      <c r="H22" s="62"/>
      <c r="I22" s="307"/>
      <c r="J22" s="63">
        <f t="shared" si="1"/>
        <v>0</v>
      </c>
      <c r="K22" s="63">
        <f t="shared" si="2"/>
        <v>0</v>
      </c>
      <c r="L22" s="63"/>
      <c r="M22" s="144">
        <f t="shared" si="5"/>
        <v>13325.996919999967</v>
      </c>
      <c r="N22" s="43"/>
    </row>
    <row r="23" spans="1:14">
      <c r="A23" s="6">
        <v>20</v>
      </c>
      <c r="B23" s="212">
        <v>46254</v>
      </c>
      <c r="C23" s="6"/>
      <c r="D23" s="6"/>
      <c r="E23" s="62">
        <v>185.60999999999999</v>
      </c>
      <c r="F23" s="6">
        <v>99.32</v>
      </c>
      <c r="G23" s="63">
        <f t="shared" si="0"/>
        <v>18434.785199999998</v>
      </c>
      <c r="H23" s="62">
        <v>5</v>
      </c>
      <c r="I23" s="307">
        <v>111.42</v>
      </c>
      <c r="J23" s="63">
        <f t="shared" si="1"/>
        <v>557.1</v>
      </c>
      <c r="K23" s="63">
        <f t="shared" si="2"/>
        <v>18991.885199999997</v>
      </c>
      <c r="L23" s="63"/>
      <c r="M23" s="144">
        <f t="shared" si="5"/>
        <v>32317.882119999966</v>
      </c>
      <c r="N23" s="43"/>
    </row>
    <row r="24" spans="1:14">
      <c r="A24" s="6">
        <v>21</v>
      </c>
      <c r="B24" s="212">
        <v>46255</v>
      </c>
      <c r="C24" s="6"/>
      <c r="D24" s="6"/>
      <c r="E24" s="62">
        <v>48.14</v>
      </c>
      <c r="F24" s="6">
        <v>99.32</v>
      </c>
      <c r="G24" s="63">
        <f t="shared" si="0"/>
        <v>4781.2647999999999</v>
      </c>
      <c r="H24" s="62"/>
      <c r="I24" s="307"/>
      <c r="J24" s="63">
        <f t="shared" si="1"/>
        <v>0</v>
      </c>
      <c r="K24" s="63">
        <f t="shared" si="2"/>
        <v>4781.2647999999999</v>
      </c>
      <c r="L24" s="63"/>
      <c r="M24" s="144">
        <f t="shared" si="4"/>
        <v>37099.146919999963</v>
      </c>
      <c r="N24" s="43"/>
    </row>
    <row r="25" spans="1:14">
      <c r="A25" s="6">
        <v>22</v>
      </c>
      <c r="B25" s="212">
        <v>46256</v>
      </c>
      <c r="C25" s="6"/>
      <c r="D25" s="6"/>
      <c r="E25" s="62">
        <v>30</v>
      </c>
      <c r="F25" s="6">
        <v>99.32</v>
      </c>
      <c r="G25" s="63">
        <f t="shared" si="0"/>
        <v>2979.6</v>
      </c>
      <c r="H25" s="62"/>
      <c r="I25" s="307"/>
      <c r="J25" s="63">
        <f t="shared" si="1"/>
        <v>0</v>
      </c>
      <c r="K25" s="63">
        <f t="shared" si="2"/>
        <v>2979.6</v>
      </c>
      <c r="L25" s="63"/>
      <c r="M25" s="144">
        <f t="shared" si="4"/>
        <v>40078.746919999961</v>
      </c>
      <c r="N25" s="43"/>
    </row>
    <row r="26" spans="1:14">
      <c r="A26" s="6">
        <v>23</v>
      </c>
      <c r="B26" s="212">
        <v>46257</v>
      </c>
      <c r="C26" s="6"/>
      <c r="D26" s="6"/>
      <c r="E26" s="62">
        <v>50</v>
      </c>
      <c r="F26" s="6">
        <v>99.32</v>
      </c>
      <c r="G26" s="63">
        <f t="shared" si="0"/>
        <v>4966</v>
      </c>
      <c r="H26" s="62">
        <v>7.27</v>
      </c>
      <c r="I26" s="307">
        <v>111.42</v>
      </c>
      <c r="J26" s="63">
        <f t="shared" si="1"/>
        <v>810.02339999999992</v>
      </c>
      <c r="K26" s="63">
        <f t="shared" si="2"/>
        <v>5776.0234</v>
      </c>
      <c r="L26" s="63"/>
      <c r="M26" s="144">
        <f t="shared" si="4"/>
        <v>45854.77031999996</v>
      </c>
      <c r="N26" s="43"/>
    </row>
    <row r="27" spans="1:14">
      <c r="A27" s="6">
        <v>24</v>
      </c>
      <c r="B27" s="212">
        <v>46258</v>
      </c>
      <c r="C27" s="6"/>
      <c r="D27" s="6"/>
      <c r="E27" s="62"/>
      <c r="F27" s="6"/>
      <c r="G27" s="63"/>
      <c r="H27" s="62">
        <v>8.01</v>
      </c>
      <c r="I27" s="307">
        <v>111.42</v>
      </c>
      <c r="J27" s="63">
        <f t="shared" si="1"/>
        <v>892.4742</v>
      </c>
      <c r="K27" s="63">
        <f t="shared" si="2"/>
        <v>892.4742</v>
      </c>
      <c r="L27" s="63"/>
      <c r="M27" s="144">
        <f t="shared" si="4"/>
        <v>46747.244519999957</v>
      </c>
      <c r="N27" s="43"/>
    </row>
    <row r="28" spans="1:14">
      <c r="A28" s="6">
        <v>25</v>
      </c>
      <c r="B28" s="212">
        <v>46259</v>
      </c>
      <c r="C28" s="6"/>
      <c r="D28" s="6"/>
      <c r="E28" s="62">
        <v>122.92</v>
      </c>
      <c r="F28" s="6">
        <v>99.32</v>
      </c>
      <c r="G28" s="63">
        <f t="shared" si="0"/>
        <v>12208.4144</v>
      </c>
      <c r="H28" s="62"/>
      <c r="I28" s="307"/>
      <c r="J28" s="63">
        <f t="shared" si="1"/>
        <v>0</v>
      </c>
      <c r="K28" s="63">
        <f t="shared" si="2"/>
        <v>12208.4144</v>
      </c>
      <c r="L28" s="63"/>
      <c r="M28" s="144">
        <f t="shared" si="4"/>
        <v>58955.658919999958</v>
      </c>
      <c r="N28" s="43"/>
    </row>
    <row r="29" spans="1:14">
      <c r="A29" s="6">
        <v>26</v>
      </c>
      <c r="B29" s="212">
        <v>46260</v>
      </c>
      <c r="C29" s="6"/>
      <c r="D29" s="6"/>
      <c r="E29" s="62">
        <v>40</v>
      </c>
      <c r="F29" s="6">
        <v>99.32</v>
      </c>
      <c r="G29" s="63">
        <f t="shared" si="0"/>
        <v>3972.7999999999997</v>
      </c>
      <c r="H29" s="62"/>
      <c r="I29" s="307"/>
      <c r="J29" s="63">
        <f t="shared" si="1"/>
        <v>0</v>
      </c>
      <c r="K29" s="63">
        <f t="shared" si="2"/>
        <v>3972.7999999999997</v>
      </c>
      <c r="L29" s="63"/>
      <c r="M29" s="144">
        <f t="shared" si="4"/>
        <v>62928.458919999961</v>
      </c>
      <c r="N29" s="43"/>
    </row>
    <row r="30" spans="1:14">
      <c r="A30" s="6">
        <v>27</v>
      </c>
      <c r="B30" s="212">
        <v>46261</v>
      </c>
      <c r="C30" s="6"/>
      <c r="D30" s="6"/>
      <c r="E30" s="62">
        <v>44.7</v>
      </c>
      <c r="F30" s="6">
        <v>99.32</v>
      </c>
      <c r="G30" s="63">
        <f t="shared" si="0"/>
        <v>4439.6040000000003</v>
      </c>
      <c r="H30" s="62"/>
      <c r="I30" s="307"/>
      <c r="J30" s="63">
        <f t="shared" si="1"/>
        <v>0</v>
      </c>
      <c r="K30" s="63">
        <f t="shared" si="2"/>
        <v>4439.6040000000003</v>
      </c>
      <c r="L30" s="63">
        <v>30000</v>
      </c>
      <c r="M30" s="144">
        <f t="shared" si="4"/>
        <v>37368.062919999968</v>
      </c>
      <c r="N30" s="43"/>
    </row>
    <row r="31" spans="1:14">
      <c r="A31" s="6">
        <v>28</v>
      </c>
      <c r="B31" s="212">
        <v>46262</v>
      </c>
      <c r="C31" s="6"/>
      <c r="D31" s="6"/>
      <c r="E31" s="62">
        <v>38.65</v>
      </c>
      <c r="F31" s="6">
        <v>99.32</v>
      </c>
      <c r="G31" s="63">
        <f t="shared" si="0"/>
        <v>3838.7179999999994</v>
      </c>
      <c r="H31" s="62"/>
      <c r="I31" s="307"/>
      <c r="J31" s="63">
        <f t="shared" si="1"/>
        <v>0</v>
      </c>
      <c r="K31" s="63">
        <f t="shared" si="2"/>
        <v>3838.7179999999994</v>
      </c>
      <c r="L31" s="63"/>
      <c r="M31" s="144">
        <f t="shared" si="4"/>
        <v>41206.780919999968</v>
      </c>
      <c r="N31" s="43"/>
    </row>
    <row r="32" spans="1:14">
      <c r="A32" s="6">
        <v>29</v>
      </c>
      <c r="B32" s="212">
        <v>46263</v>
      </c>
      <c r="C32" s="6"/>
      <c r="D32" s="6"/>
      <c r="E32" s="6">
        <v>49.03</v>
      </c>
      <c r="F32" s="63">
        <v>99.12</v>
      </c>
      <c r="G32" s="63">
        <f t="shared" si="0"/>
        <v>4859.8536000000004</v>
      </c>
      <c r="H32" s="62"/>
      <c r="I32" s="307"/>
      <c r="J32" s="63">
        <f t="shared" si="1"/>
        <v>0</v>
      </c>
      <c r="K32" s="63">
        <f t="shared" si="2"/>
        <v>4859.8536000000004</v>
      </c>
      <c r="L32" s="63"/>
      <c r="M32" s="144">
        <f t="shared" si="4"/>
        <v>46066.634519999971</v>
      </c>
      <c r="N32" s="43"/>
    </row>
    <row r="33" spans="1:16">
      <c r="A33" s="6">
        <v>30</v>
      </c>
      <c r="B33" s="212">
        <v>46264</v>
      </c>
      <c r="C33" s="6"/>
      <c r="D33" s="6"/>
      <c r="E33" s="62"/>
      <c r="F33" s="6"/>
      <c r="G33" s="63">
        <f t="shared" ref="G5:G46" si="6">E33*F33</f>
        <v>0</v>
      </c>
      <c r="H33" s="62">
        <v>5</v>
      </c>
      <c r="I33" s="307">
        <v>111.42</v>
      </c>
      <c r="J33" s="63">
        <f t="shared" si="1"/>
        <v>557.1</v>
      </c>
      <c r="K33" s="63">
        <f t="shared" si="2"/>
        <v>557.1</v>
      </c>
      <c r="L33" s="63"/>
      <c r="M33" s="144">
        <f t="shared" si="4"/>
        <v>46623.734519999969</v>
      </c>
      <c r="N33" s="43"/>
    </row>
    <row r="34" spans="1:16">
      <c r="A34" s="6">
        <v>31</v>
      </c>
      <c r="B34" s="212">
        <v>46265</v>
      </c>
      <c r="C34" s="6"/>
      <c r="D34" s="6"/>
      <c r="E34" s="62">
        <v>26.51</v>
      </c>
      <c r="F34" s="6">
        <v>99.32</v>
      </c>
      <c r="G34" s="63">
        <f t="shared" si="6"/>
        <v>2632.9731999999999</v>
      </c>
      <c r="H34" s="62">
        <v>5</v>
      </c>
      <c r="I34" s="307">
        <v>111.42</v>
      </c>
      <c r="J34" s="63">
        <f t="shared" si="1"/>
        <v>557.1</v>
      </c>
      <c r="K34" s="63">
        <f t="shared" si="2"/>
        <v>3190.0731999999998</v>
      </c>
      <c r="L34" s="63">
        <v>40000</v>
      </c>
      <c r="M34" s="144">
        <f t="shared" si="4"/>
        <v>9813.807719999968</v>
      </c>
      <c r="N34" s="43"/>
    </row>
    <row r="35" spans="1:16">
      <c r="A35" s="6">
        <v>32</v>
      </c>
      <c r="B35" s="212"/>
      <c r="C35" s="6"/>
      <c r="D35" s="6"/>
      <c r="E35" s="62"/>
      <c r="F35" s="6"/>
      <c r="G35" s="63">
        <f t="shared" si="6"/>
        <v>0</v>
      </c>
      <c r="H35" s="62"/>
      <c r="I35" s="307"/>
      <c r="J35" s="63">
        <f t="shared" si="1"/>
        <v>0</v>
      </c>
      <c r="K35" s="63">
        <f t="shared" si="2"/>
        <v>0</v>
      </c>
      <c r="L35" s="63"/>
      <c r="M35" s="144">
        <f t="shared" si="4"/>
        <v>9813.807719999968</v>
      </c>
      <c r="N35" s="43"/>
    </row>
    <row r="36" spans="1:16">
      <c r="A36" s="6">
        <v>33</v>
      </c>
      <c r="B36" s="212"/>
      <c r="C36" s="6"/>
      <c r="D36" s="6"/>
      <c r="E36" s="62"/>
      <c r="F36" s="6"/>
      <c r="G36" s="63">
        <f t="shared" si="6"/>
        <v>0</v>
      </c>
      <c r="H36" s="62"/>
      <c r="I36" s="6"/>
      <c r="J36" s="63">
        <f t="shared" si="1"/>
        <v>0</v>
      </c>
      <c r="K36" s="63">
        <f t="shared" si="2"/>
        <v>0</v>
      </c>
      <c r="L36" s="63"/>
      <c r="M36" s="144">
        <f t="shared" si="4"/>
        <v>9813.807719999968</v>
      </c>
      <c r="N36" s="43"/>
    </row>
    <row r="37" spans="1:16">
      <c r="A37" s="6">
        <v>34</v>
      </c>
      <c r="B37" s="212"/>
      <c r="C37" s="6"/>
      <c r="D37" s="6"/>
      <c r="E37" s="62"/>
      <c r="F37" s="6"/>
      <c r="G37" s="63">
        <f t="shared" si="6"/>
        <v>0</v>
      </c>
      <c r="H37" s="62"/>
      <c r="I37" s="6"/>
      <c r="J37" s="63">
        <f t="shared" si="1"/>
        <v>0</v>
      </c>
      <c r="K37" s="63">
        <f t="shared" si="2"/>
        <v>0</v>
      </c>
      <c r="L37" s="63"/>
      <c r="M37" s="144">
        <f t="shared" si="4"/>
        <v>9813.807719999968</v>
      </c>
      <c r="N37" s="43"/>
    </row>
    <row r="38" spans="1:16">
      <c r="A38" s="6">
        <v>35</v>
      </c>
      <c r="B38" s="75"/>
      <c r="C38" s="6"/>
      <c r="D38" s="6"/>
      <c r="E38" s="62"/>
      <c r="F38" s="6"/>
      <c r="G38" s="63">
        <f t="shared" si="6"/>
        <v>0</v>
      </c>
      <c r="H38" s="62"/>
      <c r="I38" s="6"/>
      <c r="J38" s="63">
        <f t="shared" si="1"/>
        <v>0</v>
      </c>
      <c r="K38" s="63">
        <f t="shared" si="2"/>
        <v>0</v>
      </c>
      <c r="L38" s="63"/>
      <c r="M38" s="144">
        <f t="shared" si="4"/>
        <v>9813.807719999968</v>
      </c>
      <c r="N38" s="43"/>
    </row>
    <row r="39" spans="1:16">
      <c r="A39" s="6">
        <v>36</v>
      </c>
      <c r="B39" s="75"/>
      <c r="C39" s="6"/>
      <c r="D39" s="6"/>
      <c r="E39" s="62"/>
      <c r="F39" s="6"/>
      <c r="G39" s="63">
        <f t="shared" si="6"/>
        <v>0</v>
      </c>
      <c r="H39" s="62"/>
      <c r="I39" s="6"/>
      <c r="J39" s="63">
        <f t="shared" si="1"/>
        <v>0</v>
      </c>
      <c r="K39" s="63">
        <f t="shared" si="2"/>
        <v>0</v>
      </c>
      <c r="L39" s="63"/>
      <c r="M39" s="144">
        <f t="shared" si="4"/>
        <v>9813.807719999968</v>
      </c>
      <c r="N39" s="43"/>
    </row>
    <row r="40" spans="1:16">
      <c r="A40" s="6">
        <v>37</v>
      </c>
      <c r="B40" s="75"/>
      <c r="C40" s="6"/>
      <c r="D40" s="6"/>
      <c r="E40" s="62"/>
      <c r="F40" s="6"/>
      <c r="G40" s="63">
        <f t="shared" si="6"/>
        <v>0</v>
      </c>
      <c r="H40" s="62"/>
      <c r="I40" s="6"/>
      <c r="J40" s="63">
        <f t="shared" si="1"/>
        <v>0</v>
      </c>
      <c r="K40" s="63">
        <f t="shared" si="2"/>
        <v>0</v>
      </c>
      <c r="L40" s="63"/>
      <c r="M40" s="144">
        <f t="shared" si="4"/>
        <v>9813.807719999968</v>
      </c>
      <c r="N40" s="43"/>
    </row>
    <row r="41" spans="1:16">
      <c r="A41" s="6">
        <v>38</v>
      </c>
      <c r="B41" s="75"/>
      <c r="C41" s="6"/>
      <c r="D41" s="6"/>
      <c r="E41" s="62"/>
      <c r="F41" s="6"/>
      <c r="G41" s="63">
        <f t="shared" si="6"/>
        <v>0</v>
      </c>
      <c r="H41" s="62"/>
      <c r="I41" s="6"/>
      <c r="J41" s="63">
        <f>H41*I41</f>
        <v>0</v>
      </c>
      <c r="K41" s="63">
        <f>G41+J41</f>
        <v>0</v>
      </c>
      <c r="L41" s="63"/>
      <c r="M41" s="144">
        <f t="shared" si="4"/>
        <v>9813.807719999968</v>
      </c>
      <c r="N41" s="43"/>
    </row>
    <row r="42" spans="1:16">
      <c r="A42" s="6">
        <v>39</v>
      </c>
      <c r="B42" s="75"/>
      <c r="C42" s="6"/>
      <c r="D42" s="6"/>
      <c r="E42" s="62"/>
      <c r="F42" s="6"/>
      <c r="G42" s="63">
        <f t="shared" si="6"/>
        <v>0</v>
      </c>
      <c r="H42" s="62"/>
      <c r="I42" s="6"/>
      <c r="J42" s="63">
        <f t="shared" si="1"/>
        <v>0</v>
      </c>
      <c r="K42" s="63">
        <f t="shared" si="2"/>
        <v>0</v>
      </c>
      <c r="L42" s="63"/>
      <c r="M42" s="144">
        <f t="shared" si="4"/>
        <v>9813.807719999968</v>
      </c>
      <c r="N42" s="43"/>
    </row>
    <row r="43" spans="1:16">
      <c r="A43" s="6">
        <v>40</v>
      </c>
      <c r="B43" s="75"/>
      <c r="C43" s="6"/>
      <c r="D43" s="6"/>
      <c r="E43" s="62"/>
      <c r="F43" s="6"/>
      <c r="G43" s="63">
        <f t="shared" si="6"/>
        <v>0</v>
      </c>
      <c r="H43" s="62"/>
      <c r="I43" s="6"/>
      <c r="J43" s="63">
        <f t="shared" si="1"/>
        <v>0</v>
      </c>
      <c r="K43" s="63">
        <f t="shared" si="2"/>
        <v>0</v>
      </c>
      <c r="L43" s="63"/>
      <c r="M43" s="144">
        <f t="shared" si="4"/>
        <v>9813.807719999968</v>
      </c>
      <c r="N43" s="43"/>
    </row>
    <row r="44" spans="1:16">
      <c r="A44" s="6">
        <v>41</v>
      </c>
      <c r="B44" s="163"/>
      <c r="C44" s="162"/>
      <c r="D44" s="6"/>
      <c r="E44" s="62"/>
      <c r="F44" s="6"/>
      <c r="G44" s="63">
        <f t="shared" si="6"/>
        <v>0</v>
      </c>
      <c r="H44" s="62"/>
      <c r="I44" s="6"/>
      <c r="J44" s="63">
        <f t="shared" si="1"/>
        <v>0</v>
      </c>
      <c r="K44" s="63">
        <f t="shared" si="2"/>
        <v>0</v>
      </c>
      <c r="L44" s="63"/>
      <c r="M44" s="144">
        <f t="shared" si="4"/>
        <v>9813.807719999968</v>
      </c>
      <c r="N44" s="43"/>
    </row>
    <row r="45" spans="1:16">
      <c r="A45" s="6">
        <v>42</v>
      </c>
      <c r="B45" s="6"/>
      <c r="C45" s="6"/>
      <c r="D45" s="6"/>
      <c r="E45" s="62"/>
      <c r="F45" s="6"/>
      <c r="G45" s="63">
        <f t="shared" si="6"/>
        <v>0</v>
      </c>
      <c r="H45" s="62"/>
      <c r="I45" s="6"/>
      <c r="J45" s="63">
        <f t="shared" si="1"/>
        <v>0</v>
      </c>
      <c r="K45" s="63">
        <f t="shared" si="2"/>
        <v>0</v>
      </c>
      <c r="L45" s="63"/>
      <c r="M45" s="144">
        <f t="shared" si="4"/>
        <v>9813.807719999968</v>
      </c>
      <c r="N45" s="43"/>
      <c r="P45" s="436"/>
    </row>
    <row r="46" spans="1:16">
      <c r="A46" s="6">
        <v>43</v>
      </c>
      <c r="B46" s="162"/>
      <c r="C46" s="162"/>
      <c r="D46" s="6"/>
      <c r="E46" s="62"/>
      <c r="F46" s="6"/>
      <c r="G46" s="63">
        <f t="shared" si="6"/>
        <v>0</v>
      </c>
      <c r="H46" s="62"/>
      <c r="I46" s="6"/>
      <c r="J46" s="63">
        <f t="shared" si="1"/>
        <v>0</v>
      </c>
      <c r="K46" s="63">
        <f t="shared" si="2"/>
        <v>0</v>
      </c>
      <c r="L46" s="63"/>
      <c r="M46" s="144">
        <f t="shared" si="4"/>
        <v>9813.807719999968</v>
      </c>
      <c r="N46" s="43"/>
    </row>
    <row r="47" spans="1:16">
      <c r="A47" s="6">
        <v>44</v>
      </c>
      <c r="B47" s="162"/>
      <c r="C47" s="162"/>
      <c r="D47" s="6"/>
      <c r="E47" s="62"/>
      <c r="F47" s="6"/>
      <c r="G47" s="63">
        <f t="shared" ref="G47" si="7">E47*F47</f>
        <v>0</v>
      </c>
      <c r="H47" s="62"/>
      <c r="I47" s="6"/>
      <c r="J47" s="63">
        <f>H47*I47</f>
        <v>0</v>
      </c>
      <c r="K47" s="63">
        <f t="shared" ref="K47" si="8">G47+J47</f>
        <v>0</v>
      </c>
      <c r="L47" s="155"/>
      <c r="M47" s="144">
        <f t="shared" si="4"/>
        <v>9813.807719999968</v>
      </c>
      <c r="N47" s="43"/>
    </row>
    <row r="48" spans="1:16">
      <c r="A48" s="59"/>
      <c r="B48" s="59"/>
      <c r="C48" s="59"/>
      <c r="D48" s="59"/>
      <c r="E48" s="60">
        <f>SUM(E4:E47)</f>
        <v>1123.106</v>
      </c>
      <c r="F48" s="60"/>
      <c r="G48" s="60">
        <f>SUM(G4:G47)</f>
        <v>111537.08192</v>
      </c>
      <c r="H48" s="60">
        <f>SUM(H4:H47)</f>
        <v>72.66</v>
      </c>
      <c r="I48" s="60"/>
      <c r="J48" s="60">
        <f>SUM(J4:J47)</f>
        <v>8095.7772000000014</v>
      </c>
      <c r="K48" s="60">
        <f>SUM(K4:K47)</f>
        <v>119632.85912000001</v>
      </c>
      <c r="L48" s="60">
        <f>SUM(L4:L47)</f>
        <v>130000</v>
      </c>
      <c r="M48" s="60"/>
      <c r="N48" s="60"/>
      <c r="O48" s="56"/>
    </row>
  </sheetData>
  <mergeCells count="2">
    <mergeCell ref="A1:N1"/>
    <mergeCell ref="A3:L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N36"/>
  <sheetViews>
    <sheetView workbookViewId="0">
      <pane ySplit="2" topLeftCell="A23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" width="9.140625" style="5"/>
    <col min="17" max="17" width="13.5703125" style="5" customWidth="1"/>
    <col min="18" max="16384" width="9.140625" style="5"/>
  </cols>
  <sheetData>
    <row r="1" spans="1:14" ht="15.75">
      <c r="A1" s="555" t="s">
        <v>158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</row>
    <row r="2" spans="1:14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</row>
    <row r="3" spans="1:14">
      <c r="A3" s="148"/>
      <c r="B3" s="14" t="s">
        <v>181</v>
      </c>
      <c r="C3" s="149"/>
      <c r="D3" s="149"/>
      <c r="E3" s="149"/>
      <c r="F3" s="149"/>
      <c r="G3" s="149"/>
      <c r="H3" s="149"/>
      <c r="I3" s="149"/>
      <c r="J3" s="150"/>
      <c r="K3" s="77">
        <v>118310.1755000001</v>
      </c>
      <c r="L3" s="151"/>
      <c r="M3" s="77">
        <v>118310.1755000001</v>
      </c>
      <c r="N3" s="149"/>
    </row>
    <row r="4" spans="1:14">
      <c r="A4" s="189">
        <v>1</v>
      </c>
      <c r="B4" s="212">
        <v>46235</v>
      </c>
      <c r="C4" s="64"/>
      <c r="D4" s="152"/>
      <c r="E4" s="62">
        <v>20</v>
      </c>
      <c r="F4" s="6">
        <v>99.12</v>
      </c>
      <c r="G4" s="8">
        <f>E4*F4</f>
        <v>1982.4</v>
      </c>
      <c r="H4" s="62">
        <v>7</v>
      </c>
      <c r="I4" s="6">
        <v>111.19</v>
      </c>
      <c r="J4" s="8">
        <f>H4*I4</f>
        <v>778.32999999999993</v>
      </c>
      <c r="K4" s="8">
        <f>G4+J4</f>
        <v>2760.73</v>
      </c>
      <c r="L4" s="65"/>
      <c r="M4" s="65">
        <f>M3+K4-L4</f>
        <v>121070.9055000001</v>
      </c>
      <c r="N4" s="38"/>
    </row>
    <row r="5" spans="1:14">
      <c r="A5" s="43">
        <v>2</v>
      </c>
      <c r="B5" s="212">
        <v>46236</v>
      </c>
      <c r="C5" s="64"/>
      <c r="D5" s="68"/>
      <c r="E5" s="62">
        <v>40</v>
      </c>
      <c r="F5" s="6">
        <v>99.12</v>
      </c>
      <c r="G5" s="8">
        <f t="shared" ref="G5:G34" si="0">E5*F5</f>
        <v>3964.8</v>
      </c>
      <c r="H5" s="62"/>
      <c r="I5" s="6"/>
      <c r="J5" s="8">
        <f t="shared" ref="J5:J34" si="1">H5*I5</f>
        <v>0</v>
      </c>
      <c r="K5" s="8">
        <f t="shared" ref="K5:K34" si="2">G5+J5</f>
        <v>3964.8</v>
      </c>
      <c r="L5" s="65"/>
      <c r="M5" s="65">
        <f t="shared" ref="M5:M19" si="3">M4+K5-L5</f>
        <v>125035.7055000001</v>
      </c>
      <c r="N5" s="38"/>
    </row>
    <row r="6" spans="1:14">
      <c r="A6" s="43">
        <v>3</v>
      </c>
      <c r="B6" s="212">
        <v>46237</v>
      </c>
      <c r="C6" s="64"/>
      <c r="D6" s="68"/>
      <c r="E6" s="62"/>
      <c r="F6" s="6"/>
      <c r="G6" s="8">
        <f t="shared" si="0"/>
        <v>0</v>
      </c>
      <c r="H6" s="62"/>
      <c r="I6" s="6"/>
      <c r="J6" s="8">
        <f t="shared" si="1"/>
        <v>0</v>
      </c>
      <c r="K6" s="8">
        <f t="shared" si="2"/>
        <v>0</v>
      </c>
      <c r="L6" s="65"/>
      <c r="M6" s="65">
        <f t="shared" si="3"/>
        <v>125035.7055000001</v>
      </c>
      <c r="N6" s="38"/>
    </row>
    <row r="7" spans="1:14">
      <c r="A7" s="43">
        <v>4</v>
      </c>
      <c r="B7" s="212">
        <v>46238</v>
      </c>
      <c r="C7" s="64"/>
      <c r="D7" s="68"/>
      <c r="E7" s="62"/>
      <c r="F7" s="6"/>
      <c r="G7" s="8">
        <f t="shared" si="0"/>
        <v>0</v>
      </c>
      <c r="H7" s="62"/>
      <c r="I7" s="6"/>
      <c r="J7" s="8">
        <f t="shared" si="1"/>
        <v>0</v>
      </c>
      <c r="K7" s="8">
        <f t="shared" si="2"/>
        <v>0</v>
      </c>
      <c r="L7" s="65"/>
      <c r="M7" s="65">
        <f t="shared" si="3"/>
        <v>125035.7055000001</v>
      </c>
      <c r="N7" s="38"/>
    </row>
    <row r="8" spans="1:14">
      <c r="A8" s="43">
        <v>5</v>
      </c>
      <c r="B8" s="212">
        <v>46239</v>
      </c>
      <c r="C8" s="64"/>
      <c r="D8" s="68"/>
      <c r="E8" s="62">
        <v>20</v>
      </c>
      <c r="F8" s="6">
        <v>99.12</v>
      </c>
      <c r="G8" s="8">
        <f t="shared" si="0"/>
        <v>1982.4</v>
      </c>
      <c r="H8" s="62">
        <v>5</v>
      </c>
      <c r="I8" s="307">
        <v>111.19</v>
      </c>
      <c r="J8" s="8">
        <f t="shared" si="1"/>
        <v>555.95000000000005</v>
      </c>
      <c r="K8" s="8">
        <f t="shared" si="2"/>
        <v>2538.3500000000004</v>
      </c>
      <c r="L8" s="65"/>
      <c r="M8" s="65">
        <f t="shared" si="3"/>
        <v>127574.0555000001</v>
      </c>
      <c r="N8" s="38"/>
    </row>
    <row r="9" spans="1:14">
      <c r="A9" s="43">
        <v>6</v>
      </c>
      <c r="B9" s="212">
        <v>46240</v>
      </c>
      <c r="C9" s="64"/>
      <c r="D9" s="68"/>
      <c r="E9" s="62">
        <v>20</v>
      </c>
      <c r="F9" s="6">
        <v>99.12</v>
      </c>
      <c r="G9" s="8">
        <f t="shared" si="0"/>
        <v>1982.4</v>
      </c>
      <c r="H9" s="62">
        <v>5.67</v>
      </c>
      <c r="I9" s="307">
        <v>111.19</v>
      </c>
      <c r="J9" s="8">
        <f t="shared" si="1"/>
        <v>630.44729999999993</v>
      </c>
      <c r="K9" s="8">
        <f t="shared" si="2"/>
        <v>2612.8472999999999</v>
      </c>
      <c r="L9" s="65"/>
      <c r="M9" s="65">
        <f t="shared" si="3"/>
        <v>130186.9028000001</v>
      </c>
      <c r="N9" s="38"/>
    </row>
    <row r="10" spans="1:14">
      <c r="A10" s="43">
        <v>7</v>
      </c>
      <c r="B10" s="212">
        <v>46241</v>
      </c>
      <c r="C10" s="64"/>
      <c r="D10" s="68"/>
      <c r="E10" s="62">
        <v>50</v>
      </c>
      <c r="F10" s="6">
        <v>99.12</v>
      </c>
      <c r="G10" s="8">
        <f t="shared" si="0"/>
        <v>4956</v>
      </c>
      <c r="H10" s="62"/>
      <c r="I10" s="6"/>
      <c r="J10" s="8">
        <f t="shared" si="1"/>
        <v>0</v>
      </c>
      <c r="K10" s="8">
        <f t="shared" ref="K10:K11" si="4">G10+J10</f>
        <v>4956</v>
      </c>
      <c r="L10" s="65"/>
      <c r="M10" s="65">
        <f t="shared" si="3"/>
        <v>135142.9028000001</v>
      </c>
      <c r="N10" s="38"/>
    </row>
    <row r="11" spans="1:14">
      <c r="A11" s="43">
        <v>8</v>
      </c>
      <c r="B11" s="212">
        <v>46242</v>
      </c>
      <c r="C11" s="64"/>
      <c r="D11" s="68"/>
      <c r="E11" s="62">
        <v>52.46</v>
      </c>
      <c r="F11" s="6">
        <v>99.12</v>
      </c>
      <c r="G11" s="8">
        <f t="shared" ref="G11" si="5">E11*F11</f>
        <v>5199.8352000000004</v>
      </c>
      <c r="H11" s="62">
        <v>5</v>
      </c>
      <c r="I11" s="6">
        <v>111.19</v>
      </c>
      <c r="J11" s="8">
        <f t="shared" si="1"/>
        <v>555.95000000000005</v>
      </c>
      <c r="K11" s="8">
        <f t="shared" si="4"/>
        <v>5755.7852000000003</v>
      </c>
      <c r="L11" s="65"/>
      <c r="M11" s="65">
        <f t="shared" si="3"/>
        <v>140898.68800000011</v>
      </c>
      <c r="N11" s="38"/>
    </row>
    <row r="12" spans="1:14">
      <c r="A12" s="43">
        <v>9</v>
      </c>
      <c r="B12" s="212">
        <v>46243</v>
      </c>
      <c r="C12" s="64"/>
      <c r="D12" s="68"/>
      <c r="E12" s="62">
        <v>0</v>
      </c>
      <c r="F12" s="6">
        <v>99.12</v>
      </c>
      <c r="G12" s="8">
        <f t="shared" si="0"/>
        <v>0</v>
      </c>
      <c r="H12" s="62">
        <v>0</v>
      </c>
      <c r="I12" s="6">
        <v>111.19</v>
      </c>
      <c r="J12" s="8">
        <f t="shared" si="1"/>
        <v>0</v>
      </c>
      <c r="K12" s="8">
        <f t="shared" si="2"/>
        <v>0</v>
      </c>
      <c r="L12" s="65"/>
      <c r="M12" s="65">
        <f t="shared" si="3"/>
        <v>140898.68800000011</v>
      </c>
      <c r="N12" s="38"/>
    </row>
    <row r="13" spans="1:14">
      <c r="A13" s="43">
        <v>10</v>
      </c>
      <c r="B13" s="212">
        <v>46244</v>
      </c>
      <c r="C13" s="180"/>
      <c r="D13" s="181"/>
      <c r="E13" s="62">
        <v>115.77000000000001</v>
      </c>
      <c r="F13" s="6">
        <v>99.12</v>
      </c>
      <c r="G13" s="8">
        <f t="shared" si="0"/>
        <v>11475.122400000002</v>
      </c>
      <c r="H13" s="62">
        <v>10</v>
      </c>
      <c r="I13" s="6">
        <v>111.19</v>
      </c>
      <c r="J13" s="8">
        <f t="shared" si="1"/>
        <v>1111.9000000000001</v>
      </c>
      <c r="K13" s="8">
        <f t="shared" si="2"/>
        <v>12587.022400000002</v>
      </c>
      <c r="L13" s="65"/>
      <c r="M13" s="65">
        <f>M12+K13-L13</f>
        <v>153485.7104000001</v>
      </c>
      <c r="N13" s="38"/>
    </row>
    <row r="14" spans="1:14">
      <c r="A14" s="43">
        <v>11</v>
      </c>
      <c r="B14" s="212">
        <v>46245</v>
      </c>
      <c r="C14" s="169"/>
      <c r="D14" s="169"/>
      <c r="E14" s="299">
        <v>45.61</v>
      </c>
      <c r="F14" s="307">
        <v>99.12</v>
      </c>
      <c r="G14" s="8">
        <f t="shared" si="0"/>
        <v>4520.8631999999998</v>
      </c>
      <c r="H14" s="62"/>
      <c r="I14" s="6"/>
      <c r="J14" s="8">
        <f t="shared" si="1"/>
        <v>0</v>
      </c>
      <c r="K14" s="8">
        <f t="shared" si="2"/>
        <v>4520.8631999999998</v>
      </c>
      <c r="L14" s="65"/>
      <c r="M14" s="65">
        <f t="shared" si="3"/>
        <v>158006.57360000009</v>
      </c>
      <c r="N14" s="38"/>
    </row>
    <row r="15" spans="1:14">
      <c r="A15" s="43">
        <v>12</v>
      </c>
      <c r="B15" s="212">
        <v>46246</v>
      </c>
      <c r="C15" s="169"/>
      <c r="D15" s="169"/>
      <c r="E15" s="299"/>
      <c r="F15" s="307"/>
      <c r="G15" s="8">
        <f t="shared" si="0"/>
        <v>0</v>
      </c>
      <c r="H15" s="62">
        <v>8</v>
      </c>
      <c r="I15" s="6">
        <v>111.19</v>
      </c>
      <c r="J15" s="8">
        <f t="shared" si="1"/>
        <v>889.52</v>
      </c>
      <c r="K15" s="8">
        <f t="shared" si="2"/>
        <v>889.52</v>
      </c>
      <c r="L15" s="65"/>
      <c r="M15" s="65">
        <f>M14+K15-L15</f>
        <v>158896.09360000008</v>
      </c>
      <c r="N15" s="38"/>
    </row>
    <row r="16" spans="1:14">
      <c r="A16" s="43">
        <v>13</v>
      </c>
      <c r="B16" s="212">
        <v>46247</v>
      </c>
      <c r="C16" s="169"/>
      <c r="D16" s="169"/>
      <c r="E16" s="62">
        <v>20</v>
      </c>
      <c r="F16" s="6">
        <v>99.12</v>
      </c>
      <c r="G16" s="8">
        <f t="shared" si="0"/>
        <v>1982.4</v>
      </c>
      <c r="H16" s="62">
        <v>5</v>
      </c>
      <c r="I16" s="6">
        <v>111.19</v>
      </c>
      <c r="J16" s="8">
        <f t="shared" si="1"/>
        <v>555.95000000000005</v>
      </c>
      <c r="K16" s="8">
        <f t="shared" si="2"/>
        <v>2538.3500000000004</v>
      </c>
      <c r="L16" s="65"/>
      <c r="M16" s="65">
        <f t="shared" si="3"/>
        <v>161434.44360000009</v>
      </c>
      <c r="N16" s="38"/>
    </row>
    <row r="17" spans="1:14">
      <c r="A17" s="43">
        <v>14</v>
      </c>
      <c r="B17" s="212">
        <v>46248</v>
      </c>
      <c r="C17" s="169"/>
      <c r="D17" s="169"/>
      <c r="E17" s="62">
        <v>50</v>
      </c>
      <c r="F17" s="6">
        <v>99.12</v>
      </c>
      <c r="G17" s="8">
        <f t="shared" si="0"/>
        <v>4956</v>
      </c>
      <c r="H17" s="299">
        <v>0</v>
      </c>
      <c r="I17" s="6">
        <v>111.19</v>
      </c>
      <c r="J17" s="8">
        <f t="shared" si="1"/>
        <v>0</v>
      </c>
      <c r="K17" s="8">
        <f t="shared" si="2"/>
        <v>4956</v>
      </c>
      <c r="L17" s="65"/>
      <c r="M17" s="65">
        <f t="shared" si="3"/>
        <v>166390.44360000009</v>
      </c>
      <c r="N17" s="38"/>
    </row>
    <row r="18" spans="1:14">
      <c r="A18" s="43">
        <v>15</v>
      </c>
      <c r="B18" s="212">
        <v>46249</v>
      </c>
      <c r="C18" s="169"/>
      <c r="D18" s="169"/>
      <c r="E18" s="62">
        <v>70</v>
      </c>
      <c r="F18" s="6">
        <v>99.12</v>
      </c>
      <c r="G18" s="8">
        <f t="shared" si="0"/>
        <v>6938.4000000000005</v>
      </c>
      <c r="H18" s="62">
        <v>4.49</v>
      </c>
      <c r="I18" s="6">
        <v>111.19</v>
      </c>
      <c r="J18" s="8">
        <f t="shared" si="1"/>
        <v>499.24310000000003</v>
      </c>
      <c r="K18" s="8">
        <f t="shared" si="2"/>
        <v>7437.6431000000002</v>
      </c>
      <c r="L18" s="65"/>
      <c r="M18" s="65">
        <f t="shared" si="3"/>
        <v>173828.08670000007</v>
      </c>
      <c r="N18" s="38"/>
    </row>
    <row r="19" spans="1:14">
      <c r="A19" s="43">
        <v>16</v>
      </c>
      <c r="B19" s="212">
        <v>46250</v>
      </c>
      <c r="C19" s="169"/>
      <c r="D19" s="169"/>
      <c r="E19" s="62"/>
      <c r="F19" s="6"/>
      <c r="G19" s="8">
        <f t="shared" si="0"/>
        <v>0</v>
      </c>
      <c r="H19" s="62"/>
      <c r="I19" s="6"/>
      <c r="J19" s="8">
        <f t="shared" si="1"/>
        <v>0</v>
      </c>
      <c r="K19" s="8">
        <f t="shared" si="2"/>
        <v>0</v>
      </c>
      <c r="L19" s="65"/>
      <c r="M19" s="65">
        <f t="shared" si="3"/>
        <v>173828.08670000007</v>
      </c>
      <c r="N19" s="38"/>
    </row>
    <row r="20" spans="1:14">
      <c r="A20" s="43">
        <v>17</v>
      </c>
      <c r="B20" s="212">
        <v>46251</v>
      </c>
      <c r="C20" s="169"/>
      <c r="D20" s="169"/>
      <c r="E20" s="62">
        <v>20</v>
      </c>
      <c r="F20" s="6">
        <v>99.12</v>
      </c>
      <c r="G20" s="8">
        <f t="shared" si="0"/>
        <v>1982.4</v>
      </c>
      <c r="H20" s="62">
        <v>6.77</v>
      </c>
      <c r="I20" s="6">
        <v>111.19</v>
      </c>
      <c r="J20" s="8">
        <f t="shared" si="1"/>
        <v>752.7562999999999</v>
      </c>
      <c r="K20" s="8">
        <f t="shared" si="2"/>
        <v>2735.1563000000001</v>
      </c>
      <c r="L20" s="65"/>
      <c r="M20" s="65">
        <f t="shared" ref="M20:M34" si="6">M19+K20-L20</f>
        <v>176563.24300000007</v>
      </c>
      <c r="N20" s="38"/>
    </row>
    <row r="21" spans="1:14">
      <c r="A21" s="43">
        <v>18</v>
      </c>
      <c r="B21" s="212">
        <v>46252</v>
      </c>
      <c r="C21" s="169"/>
      <c r="D21" s="169"/>
      <c r="E21" s="62"/>
      <c r="F21" s="6"/>
      <c r="G21" s="8">
        <f t="shared" si="0"/>
        <v>0</v>
      </c>
      <c r="H21" s="62"/>
      <c r="I21" s="6"/>
      <c r="J21" s="8">
        <f t="shared" si="1"/>
        <v>0</v>
      </c>
      <c r="K21" s="8">
        <f t="shared" si="2"/>
        <v>0</v>
      </c>
      <c r="L21" s="65"/>
      <c r="M21" s="65">
        <f t="shared" si="6"/>
        <v>176563.24300000007</v>
      </c>
      <c r="N21" s="38"/>
    </row>
    <row r="22" spans="1:14">
      <c r="A22" s="43">
        <v>19</v>
      </c>
      <c r="B22" s="212">
        <v>46253</v>
      </c>
      <c r="C22" s="169"/>
      <c r="D22" s="169"/>
      <c r="E22" s="62">
        <v>20.010000000000002</v>
      </c>
      <c r="F22" s="6">
        <v>99.12</v>
      </c>
      <c r="G22" s="8">
        <f t="shared" si="0"/>
        <v>1983.3912000000003</v>
      </c>
      <c r="H22" s="62">
        <v>5</v>
      </c>
      <c r="I22" s="6">
        <v>111.19</v>
      </c>
      <c r="J22" s="8">
        <f t="shared" si="1"/>
        <v>555.95000000000005</v>
      </c>
      <c r="K22" s="8">
        <f t="shared" ref="K22" si="7">G22+J22</f>
        <v>2539.3412000000003</v>
      </c>
      <c r="L22" s="65"/>
      <c r="M22" s="65">
        <f t="shared" si="6"/>
        <v>179102.58420000007</v>
      </c>
      <c r="N22" s="38"/>
    </row>
    <row r="23" spans="1:14">
      <c r="A23" s="43">
        <v>20</v>
      </c>
      <c r="B23" s="212">
        <v>46254</v>
      </c>
      <c r="C23" s="169"/>
      <c r="D23" s="169"/>
      <c r="E23" s="62">
        <v>182.05</v>
      </c>
      <c r="F23" s="6">
        <v>99.12</v>
      </c>
      <c r="G23" s="8">
        <f t="shared" si="0"/>
        <v>18044.796000000002</v>
      </c>
      <c r="H23" s="62"/>
      <c r="I23" s="6"/>
      <c r="J23" s="8">
        <f t="shared" si="1"/>
        <v>0</v>
      </c>
      <c r="K23" s="8">
        <f t="shared" si="2"/>
        <v>18044.796000000002</v>
      </c>
      <c r="L23" s="65"/>
      <c r="M23" s="65">
        <f t="shared" si="6"/>
        <v>197147.38020000007</v>
      </c>
      <c r="N23" s="38"/>
    </row>
    <row r="24" spans="1:14">
      <c r="A24" s="43">
        <v>21</v>
      </c>
      <c r="B24" s="212">
        <v>46255</v>
      </c>
      <c r="C24" s="169"/>
      <c r="D24" s="169"/>
      <c r="E24" s="62">
        <v>50</v>
      </c>
      <c r="F24" s="6">
        <v>99.12</v>
      </c>
      <c r="G24" s="8">
        <f t="shared" si="0"/>
        <v>4956</v>
      </c>
      <c r="H24" s="62">
        <v>6.21</v>
      </c>
      <c r="I24" s="6">
        <v>111.19</v>
      </c>
      <c r="J24" s="8">
        <f t="shared" si="1"/>
        <v>690.48990000000003</v>
      </c>
      <c r="K24" s="8">
        <f t="shared" si="2"/>
        <v>5646.4899000000005</v>
      </c>
      <c r="L24" s="65"/>
      <c r="M24" s="65">
        <f t="shared" si="6"/>
        <v>202793.87010000006</v>
      </c>
      <c r="N24" s="38"/>
    </row>
    <row r="25" spans="1:14">
      <c r="A25" s="43">
        <v>22</v>
      </c>
      <c r="B25" s="212">
        <v>46256</v>
      </c>
      <c r="C25" s="169"/>
      <c r="D25" s="169"/>
      <c r="E25" s="62">
        <v>21.18</v>
      </c>
      <c r="F25" s="6">
        <v>99.12</v>
      </c>
      <c r="G25" s="8">
        <f t="shared" si="0"/>
        <v>2099.3616000000002</v>
      </c>
      <c r="H25" s="62"/>
      <c r="I25" s="6"/>
      <c r="J25" s="8">
        <f t="shared" si="1"/>
        <v>0</v>
      </c>
      <c r="K25" s="8">
        <f t="shared" si="2"/>
        <v>2099.3616000000002</v>
      </c>
      <c r="L25" s="65"/>
      <c r="M25" s="65">
        <f t="shared" si="6"/>
        <v>204893.23170000006</v>
      </c>
      <c r="N25" s="38"/>
    </row>
    <row r="26" spans="1:14">
      <c r="A26" s="43">
        <v>23</v>
      </c>
      <c r="B26" s="212">
        <v>46257</v>
      </c>
      <c r="C26" s="203"/>
      <c r="D26" s="203"/>
      <c r="E26" s="62">
        <v>20</v>
      </c>
      <c r="F26" s="6">
        <v>99.12</v>
      </c>
      <c r="G26" s="8">
        <f t="shared" si="0"/>
        <v>1982.4</v>
      </c>
      <c r="H26" s="62"/>
      <c r="I26" s="6"/>
      <c r="J26" s="8">
        <f t="shared" si="1"/>
        <v>0</v>
      </c>
      <c r="K26" s="8">
        <f t="shared" si="2"/>
        <v>1982.4</v>
      </c>
      <c r="L26" s="65"/>
      <c r="M26" s="65">
        <f t="shared" si="6"/>
        <v>206875.63170000006</v>
      </c>
      <c r="N26" s="204"/>
    </row>
    <row r="27" spans="1:14">
      <c r="A27" s="43">
        <v>24</v>
      </c>
      <c r="B27" s="212">
        <v>46258</v>
      </c>
      <c r="C27" s="203"/>
      <c r="D27" s="203"/>
      <c r="E27" s="62">
        <v>70</v>
      </c>
      <c r="F27" s="6">
        <v>99.12</v>
      </c>
      <c r="G27" s="8">
        <f t="shared" si="0"/>
        <v>6938.4000000000005</v>
      </c>
      <c r="H27" s="62"/>
      <c r="I27" s="6"/>
      <c r="J27" s="8">
        <f t="shared" si="1"/>
        <v>0</v>
      </c>
      <c r="K27" s="8">
        <f t="shared" si="2"/>
        <v>6938.4000000000005</v>
      </c>
      <c r="L27" s="65"/>
      <c r="M27" s="65">
        <f t="shared" si="6"/>
        <v>213814.03170000005</v>
      </c>
      <c r="N27" s="204"/>
    </row>
    <row r="28" spans="1:14">
      <c r="A28" s="214">
        <v>25</v>
      </c>
      <c r="B28" s="212">
        <v>46259</v>
      </c>
      <c r="C28" s="203"/>
      <c r="D28" s="203"/>
      <c r="E28" s="299">
        <v>43.9</v>
      </c>
      <c r="F28" s="307">
        <v>99.12</v>
      </c>
      <c r="G28" s="8">
        <f t="shared" si="0"/>
        <v>4351.3680000000004</v>
      </c>
      <c r="H28" s="62">
        <v>5.88</v>
      </c>
      <c r="I28" s="6">
        <v>111.19</v>
      </c>
      <c r="J28" s="8">
        <f t="shared" si="1"/>
        <v>653.79719999999998</v>
      </c>
      <c r="K28" s="8">
        <f t="shared" si="2"/>
        <v>5005.1652000000004</v>
      </c>
      <c r="L28" s="65"/>
      <c r="M28" s="65">
        <f>M27+K28-L28</f>
        <v>218819.19690000004</v>
      </c>
      <c r="N28" s="204"/>
    </row>
    <row r="29" spans="1:14">
      <c r="A29" s="214">
        <v>26</v>
      </c>
      <c r="B29" s="212">
        <v>46260</v>
      </c>
      <c r="C29" s="203"/>
      <c r="D29" s="203"/>
      <c r="E29" s="299"/>
      <c r="F29" s="307"/>
      <c r="G29" s="8">
        <f t="shared" si="0"/>
        <v>0</v>
      </c>
      <c r="H29" s="62"/>
      <c r="I29" s="6"/>
      <c r="J29" s="8">
        <f t="shared" si="1"/>
        <v>0</v>
      </c>
      <c r="K29" s="8">
        <f t="shared" si="2"/>
        <v>0</v>
      </c>
      <c r="L29" s="65"/>
      <c r="M29" s="65">
        <f t="shared" si="6"/>
        <v>218819.19690000004</v>
      </c>
      <c r="N29" s="204"/>
    </row>
    <row r="30" spans="1:14">
      <c r="A30" s="214">
        <v>27</v>
      </c>
      <c r="B30" s="212">
        <v>46261</v>
      </c>
      <c r="C30" s="203"/>
      <c r="D30" s="203"/>
      <c r="E30" s="299"/>
      <c r="F30" s="307"/>
      <c r="G30" s="8">
        <f t="shared" si="0"/>
        <v>0</v>
      </c>
      <c r="H30" s="62"/>
      <c r="I30" s="6"/>
      <c r="J30" s="8">
        <f t="shared" si="1"/>
        <v>0</v>
      </c>
      <c r="K30" s="8">
        <f t="shared" si="2"/>
        <v>0</v>
      </c>
      <c r="L30" s="65"/>
      <c r="M30" s="65">
        <f t="shared" si="6"/>
        <v>218819.19690000004</v>
      </c>
      <c r="N30" s="204"/>
    </row>
    <row r="31" spans="1:14">
      <c r="A31" s="214">
        <v>28</v>
      </c>
      <c r="B31" s="212">
        <v>46262</v>
      </c>
      <c r="C31" s="203"/>
      <c r="D31" s="203"/>
      <c r="E31" s="299">
        <v>20</v>
      </c>
      <c r="F31" s="307">
        <v>99.12</v>
      </c>
      <c r="G31" s="8">
        <f t="shared" si="0"/>
        <v>1982.4</v>
      </c>
      <c r="H31" s="62">
        <v>12.8</v>
      </c>
      <c r="I31" s="6">
        <v>111.19</v>
      </c>
      <c r="J31" s="8">
        <f t="shared" si="1"/>
        <v>1423.232</v>
      </c>
      <c r="K31" s="8">
        <f t="shared" si="2"/>
        <v>3405.6320000000001</v>
      </c>
      <c r="L31" s="65">
        <v>218819</v>
      </c>
      <c r="M31" s="65">
        <f t="shared" si="6"/>
        <v>3405.8289000000514</v>
      </c>
      <c r="N31" s="204"/>
    </row>
    <row r="32" spans="1:14">
      <c r="A32" s="215">
        <v>29</v>
      </c>
      <c r="B32" s="212">
        <v>46263</v>
      </c>
      <c r="C32" s="203"/>
      <c r="D32" s="203"/>
      <c r="E32" s="62"/>
      <c r="F32" s="6"/>
      <c r="G32" s="8">
        <f t="shared" si="0"/>
        <v>0</v>
      </c>
      <c r="H32" s="62">
        <v>5</v>
      </c>
      <c r="I32" s="6">
        <v>111.19</v>
      </c>
      <c r="J32" s="8">
        <f t="shared" si="1"/>
        <v>555.95000000000005</v>
      </c>
      <c r="K32" s="8">
        <f t="shared" si="2"/>
        <v>555.95000000000005</v>
      </c>
      <c r="L32" s="65"/>
      <c r="M32" s="65">
        <f t="shared" si="6"/>
        <v>3961.7789000000512</v>
      </c>
      <c r="N32" s="204"/>
    </row>
    <row r="33" spans="1:14">
      <c r="A33" s="215">
        <v>30</v>
      </c>
      <c r="B33" s="212">
        <v>46264</v>
      </c>
      <c r="C33" s="203"/>
      <c r="D33" s="203"/>
      <c r="E33" s="62"/>
      <c r="F33" s="6"/>
      <c r="G33" s="8">
        <f t="shared" si="0"/>
        <v>0</v>
      </c>
      <c r="H33" s="62"/>
      <c r="I33" s="6"/>
      <c r="J33" s="8">
        <f t="shared" si="1"/>
        <v>0</v>
      </c>
      <c r="K33" s="8">
        <f t="shared" si="2"/>
        <v>0</v>
      </c>
      <c r="L33" s="65"/>
      <c r="M33" s="65">
        <f t="shared" si="6"/>
        <v>3961.7789000000512</v>
      </c>
      <c r="N33" s="204"/>
    </row>
    <row r="34" spans="1:14">
      <c r="A34" s="215">
        <v>31</v>
      </c>
      <c r="B34" s="212">
        <v>46265</v>
      </c>
      <c r="C34" s="203"/>
      <c r="D34" s="203"/>
      <c r="E34" s="62"/>
      <c r="F34" s="6"/>
      <c r="G34" s="8">
        <f t="shared" si="0"/>
        <v>0</v>
      </c>
      <c r="H34" s="62"/>
      <c r="I34" s="6"/>
      <c r="J34" s="8">
        <f t="shared" si="1"/>
        <v>0</v>
      </c>
      <c r="K34" s="8">
        <f t="shared" si="2"/>
        <v>0</v>
      </c>
      <c r="L34" s="65"/>
      <c r="M34" s="65">
        <f t="shared" si="6"/>
        <v>3961.7789000000512</v>
      </c>
      <c r="N34" s="204"/>
    </row>
    <row r="35" spans="1:14">
      <c r="A35" s="153"/>
      <c r="B35" s="153"/>
      <c r="C35" s="153"/>
      <c r="D35" s="153"/>
      <c r="E35" s="154">
        <f>SUM(E4:E34)</f>
        <v>950.98</v>
      </c>
      <c r="F35" s="154"/>
      <c r="G35" s="154">
        <f>SUM(G4:G34)</f>
        <v>94261.137600000002</v>
      </c>
      <c r="H35" s="154">
        <f>SUM(H4:H34)</f>
        <v>91.82</v>
      </c>
      <c r="I35" s="154"/>
      <c r="J35" s="154">
        <f>SUM(J4:J34)</f>
        <v>10209.465800000002</v>
      </c>
      <c r="K35" s="154">
        <f>SUM(K4:K34)</f>
        <v>104470.60339999999</v>
      </c>
      <c r="L35" s="154">
        <f>SUM(L4:L34)</f>
        <v>218819</v>
      </c>
      <c r="M35" s="154"/>
      <c r="N35" s="154"/>
    </row>
    <row r="36" spans="1:14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</row>
  </sheetData>
  <mergeCells count="1">
    <mergeCell ref="A1:N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37"/>
  <sheetViews>
    <sheetView topLeftCell="A19" workbookViewId="0">
      <selection activeCell="M34" sqref="M34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  <col min="17" max="17" width="9.140625" bestFit="1" customWidth="1"/>
  </cols>
  <sheetData>
    <row r="1" spans="1:15" ht="15.75">
      <c r="A1" s="581" t="s">
        <v>160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"/>
    </row>
    <row r="2" spans="1:15" ht="30.75">
      <c r="A2" s="61" t="s">
        <v>0</v>
      </c>
      <c r="B2" s="80" t="s">
        <v>170</v>
      </c>
      <c r="C2" s="80" t="s">
        <v>171</v>
      </c>
      <c r="D2" s="80" t="s">
        <v>194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178</v>
      </c>
      <c r="M2" s="82" t="s">
        <v>195</v>
      </c>
      <c r="N2" s="80" t="s">
        <v>180</v>
      </c>
      <c r="O2" s="5"/>
    </row>
    <row r="3" spans="1:15">
      <c r="A3" s="603" t="s">
        <v>181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5">
        <v>23593.439999999988</v>
      </c>
      <c r="N3" s="605"/>
      <c r="O3" s="5"/>
    </row>
    <row r="4" spans="1:15">
      <c r="A4" s="189">
        <v>1</v>
      </c>
      <c r="B4" s="212"/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155">
        <v>0</v>
      </c>
      <c r="M4" s="144">
        <f>M3+K4-L4</f>
        <v>23593.439999999988</v>
      </c>
      <c r="N4" s="43"/>
      <c r="O4" s="5"/>
    </row>
    <row r="5" spans="1:15">
      <c r="A5" s="43">
        <v>2</v>
      </c>
      <c r="B5" s="212"/>
      <c r="C5" s="6"/>
      <c r="D5" s="6"/>
      <c r="E5" s="62"/>
      <c r="F5" s="6"/>
      <c r="G5" s="63">
        <f t="shared" ref="G5:G17" si="0">E5*F5</f>
        <v>0</v>
      </c>
      <c r="H5" s="62"/>
      <c r="I5" s="6"/>
      <c r="J5" s="63">
        <f t="shared" ref="J5:J20" si="1">H5*I5</f>
        <v>0</v>
      </c>
      <c r="K5" s="63">
        <f t="shared" ref="K5:K20" si="2">G5+J5</f>
        <v>0</v>
      </c>
      <c r="L5" s="155">
        <v>0</v>
      </c>
      <c r="M5" s="144">
        <f t="shared" ref="M5:M20" si="3">M4+K5-L5</f>
        <v>23593.439999999988</v>
      </c>
      <c r="N5" s="43"/>
      <c r="O5" s="5"/>
    </row>
    <row r="6" spans="1:15">
      <c r="A6" s="43">
        <v>3</v>
      </c>
      <c r="B6" s="212"/>
      <c r="C6" s="6"/>
      <c r="D6" s="6"/>
      <c r="E6" s="62"/>
      <c r="F6" s="6"/>
      <c r="G6" s="63">
        <f t="shared" si="0"/>
        <v>0</v>
      </c>
      <c r="H6" s="62"/>
      <c r="I6" s="6"/>
      <c r="J6" s="63">
        <f t="shared" si="1"/>
        <v>0</v>
      </c>
      <c r="K6" s="63">
        <f t="shared" si="2"/>
        <v>0</v>
      </c>
      <c r="L6" s="155">
        <v>0</v>
      </c>
      <c r="M6" s="144">
        <f t="shared" si="3"/>
        <v>23593.439999999988</v>
      </c>
      <c r="N6" s="43"/>
      <c r="O6" s="5"/>
    </row>
    <row r="7" spans="1:15">
      <c r="A7" s="43">
        <v>4</v>
      </c>
      <c r="B7" s="212"/>
      <c r="C7" s="6"/>
      <c r="D7" s="6"/>
      <c r="E7" s="62"/>
      <c r="F7" s="6"/>
      <c r="G7" s="63">
        <f t="shared" si="0"/>
        <v>0</v>
      </c>
      <c r="H7" s="62"/>
      <c r="I7" s="6"/>
      <c r="J7" s="63">
        <f t="shared" si="1"/>
        <v>0</v>
      </c>
      <c r="K7" s="63">
        <f t="shared" si="2"/>
        <v>0</v>
      </c>
      <c r="L7" s="155">
        <v>0</v>
      </c>
      <c r="M7" s="144">
        <f t="shared" si="3"/>
        <v>23593.439999999988</v>
      </c>
      <c r="N7" s="43"/>
      <c r="O7" s="5"/>
    </row>
    <row r="8" spans="1:15">
      <c r="A8" s="43">
        <v>5</v>
      </c>
      <c r="B8" s="212">
        <v>46239</v>
      </c>
      <c r="C8" s="6"/>
      <c r="D8" s="6"/>
      <c r="E8" s="62">
        <v>30</v>
      </c>
      <c r="F8" s="6">
        <v>99.07</v>
      </c>
      <c r="G8" s="63">
        <f t="shared" si="0"/>
        <v>2972.1</v>
      </c>
      <c r="H8" s="62"/>
      <c r="I8" s="6"/>
      <c r="J8" s="63">
        <f t="shared" si="1"/>
        <v>0</v>
      </c>
      <c r="K8" s="63">
        <f t="shared" si="2"/>
        <v>2972.1</v>
      </c>
      <c r="L8" s="155">
        <v>0</v>
      </c>
      <c r="M8" s="144">
        <f t="shared" si="3"/>
        <v>26565.539999999986</v>
      </c>
      <c r="N8" s="43"/>
      <c r="O8" s="5"/>
    </row>
    <row r="9" spans="1:15">
      <c r="A9" s="43">
        <v>6</v>
      </c>
      <c r="B9" s="212"/>
      <c r="C9" s="6"/>
      <c r="D9" s="6"/>
      <c r="E9" s="62"/>
      <c r="F9" s="6"/>
      <c r="G9" s="63">
        <f t="shared" si="0"/>
        <v>0</v>
      </c>
      <c r="H9" s="62"/>
      <c r="I9" s="6"/>
      <c r="J9" s="63">
        <f t="shared" si="1"/>
        <v>0</v>
      </c>
      <c r="K9" s="63">
        <f t="shared" si="2"/>
        <v>0</v>
      </c>
      <c r="L9" s="155">
        <v>0</v>
      </c>
      <c r="M9" s="144">
        <f t="shared" si="3"/>
        <v>26565.539999999986</v>
      </c>
      <c r="N9" s="43"/>
      <c r="O9" s="5"/>
    </row>
    <row r="10" spans="1:15">
      <c r="A10" s="43">
        <v>7</v>
      </c>
      <c r="B10" s="212"/>
      <c r="C10" s="6"/>
      <c r="D10" s="6"/>
      <c r="E10" s="62"/>
      <c r="F10" s="6"/>
      <c r="G10" s="63">
        <f t="shared" si="0"/>
        <v>0</v>
      </c>
      <c r="H10" s="62"/>
      <c r="I10" s="6"/>
      <c r="J10" s="63">
        <f t="shared" si="1"/>
        <v>0</v>
      </c>
      <c r="K10" s="63">
        <f t="shared" si="2"/>
        <v>0</v>
      </c>
      <c r="L10" s="155">
        <v>0</v>
      </c>
      <c r="M10" s="144">
        <f t="shared" si="3"/>
        <v>26565.539999999986</v>
      </c>
      <c r="N10" s="43"/>
      <c r="O10" s="5"/>
    </row>
    <row r="11" spans="1:15">
      <c r="A11" s="43">
        <v>8</v>
      </c>
      <c r="B11" s="212">
        <v>46242</v>
      </c>
      <c r="C11" s="6"/>
      <c r="D11" s="6"/>
      <c r="E11" s="62">
        <v>50</v>
      </c>
      <c r="F11" s="6">
        <v>99.07</v>
      </c>
      <c r="G11" s="63">
        <f t="shared" si="0"/>
        <v>4953.5</v>
      </c>
      <c r="H11" s="62"/>
      <c r="I11" s="6"/>
      <c r="J11" s="63">
        <f t="shared" si="1"/>
        <v>0</v>
      </c>
      <c r="K11" s="63">
        <f t="shared" si="2"/>
        <v>4953.5</v>
      </c>
      <c r="L11" s="155">
        <v>0</v>
      </c>
      <c r="M11" s="144">
        <f t="shared" si="3"/>
        <v>31519.039999999986</v>
      </c>
      <c r="N11" s="43"/>
      <c r="O11" s="5"/>
    </row>
    <row r="12" spans="1:15">
      <c r="A12" s="43">
        <v>9</v>
      </c>
      <c r="B12" s="212">
        <v>46244</v>
      </c>
      <c r="C12" s="6"/>
      <c r="D12" s="6"/>
      <c r="E12" s="62">
        <v>120</v>
      </c>
      <c r="F12" s="6">
        <v>99.07</v>
      </c>
      <c r="G12" s="63">
        <f t="shared" si="0"/>
        <v>11888.4</v>
      </c>
      <c r="H12" s="62"/>
      <c r="I12" s="6"/>
      <c r="J12" s="63">
        <f t="shared" si="1"/>
        <v>0</v>
      </c>
      <c r="K12" s="63">
        <f t="shared" si="2"/>
        <v>11888.4</v>
      </c>
      <c r="L12" s="155">
        <v>0</v>
      </c>
      <c r="M12" s="144">
        <f t="shared" si="3"/>
        <v>43407.439999999988</v>
      </c>
      <c r="N12" s="43"/>
      <c r="O12" s="5"/>
    </row>
    <row r="13" spans="1:15">
      <c r="A13" s="43">
        <v>10</v>
      </c>
      <c r="B13" s="212">
        <v>46246</v>
      </c>
      <c r="C13" s="6"/>
      <c r="D13" s="6"/>
      <c r="E13" s="62">
        <v>30</v>
      </c>
      <c r="F13" s="6">
        <v>99.07</v>
      </c>
      <c r="G13" s="63">
        <f t="shared" si="0"/>
        <v>2972.1</v>
      </c>
      <c r="H13" s="62"/>
      <c r="I13" s="6"/>
      <c r="J13" s="63">
        <f t="shared" si="1"/>
        <v>0</v>
      </c>
      <c r="K13" s="63">
        <f t="shared" si="2"/>
        <v>2972.1</v>
      </c>
      <c r="L13" s="155">
        <v>0</v>
      </c>
      <c r="M13" s="144">
        <f t="shared" si="3"/>
        <v>46379.539999999986</v>
      </c>
      <c r="N13" s="43"/>
      <c r="O13" s="5"/>
    </row>
    <row r="14" spans="1:15">
      <c r="A14" s="43">
        <v>11</v>
      </c>
      <c r="B14" s="212">
        <v>46247</v>
      </c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>
        <v>46380</v>
      </c>
      <c r="M14" s="144">
        <f t="shared" si="3"/>
        <v>-0.4600000000136788</v>
      </c>
      <c r="N14" s="43"/>
      <c r="O14" s="5"/>
    </row>
    <row r="15" spans="1:15">
      <c r="A15" s="43">
        <v>12</v>
      </c>
      <c r="B15" s="212">
        <v>46252</v>
      </c>
      <c r="C15" s="6"/>
      <c r="D15" s="6"/>
      <c r="E15" s="62">
        <v>60</v>
      </c>
      <c r="F15" s="6">
        <v>99.07</v>
      </c>
      <c r="G15" s="63">
        <f t="shared" si="0"/>
        <v>5944.2</v>
      </c>
      <c r="H15" s="62"/>
      <c r="I15" s="6"/>
      <c r="J15" s="63">
        <f t="shared" si="1"/>
        <v>0</v>
      </c>
      <c r="K15" s="63">
        <f t="shared" si="2"/>
        <v>5944.2</v>
      </c>
      <c r="L15" s="155">
        <v>0</v>
      </c>
      <c r="M15" s="144">
        <f t="shared" si="3"/>
        <v>5943.7399999999861</v>
      </c>
      <c r="N15" s="43"/>
      <c r="O15" s="5"/>
    </row>
    <row r="16" spans="1:15">
      <c r="A16" s="43">
        <v>13</v>
      </c>
      <c r="B16" s="212">
        <v>46262</v>
      </c>
      <c r="C16" s="6"/>
      <c r="D16" s="6"/>
      <c r="E16" s="62">
        <v>40</v>
      </c>
      <c r="F16" s="6">
        <v>99.07</v>
      </c>
      <c r="G16" s="63">
        <f t="shared" si="0"/>
        <v>3962.7999999999997</v>
      </c>
      <c r="H16" s="62"/>
      <c r="I16" s="6"/>
      <c r="J16" s="63">
        <f t="shared" si="1"/>
        <v>0</v>
      </c>
      <c r="K16" s="63">
        <f t="shared" si="2"/>
        <v>3962.7999999999997</v>
      </c>
      <c r="L16" s="155">
        <v>0</v>
      </c>
      <c r="M16" s="144">
        <f t="shared" si="3"/>
        <v>9906.5399999999863</v>
      </c>
      <c r="N16" s="43"/>
      <c r="O16" s="5"/>
    </row>
    <row r="17" spans="1:15">
      <c r="A17" s="43">
        <v>14</v>
      </c>
      <c r="B17" s="212"/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>
        <v>0</v>
      </c>
      <c r="M17" s="144">
        <f t="shared" si="3"/>
        <v>9906.5399999999863</v>
      </c>
      <c r="N17" s="43"/>
      <c r="O17" s="5"/>
    </row>
    <row r="18" spans="1:15">
      <c r="A18" s="43">
        <v>15</v>
      </c>
      <c r="B18" s="212"/>
      <c r="C18" s="6"/>
      <c r="D18" s="6"/>
      <c r="E18" s="62"/>
      <c r="F18" s="6"/>
      <c r="G18" s="63">
        <f t="shared" ref="G18:G19" si="4">E18*F18</f>
        <v>0</v>
      </c>
      <c r="H18" s="62"/>
      <c r="I18" s="6"/>
      <c r="J18" s="63">
        <f t="shared" si="1"/>
        <v>0</v>
      </c>
      <c r="K18" s="63">
        <f t="shared" si="2"/>
        <v>0</v>
      </c>
      <c r="L18" s="155">
        <v>0</v>
      </c>
      <c r="M18" s="144">
        <f>M17+K18-L18</f>
        <v>9906.5399999999863</v>
      </c>
      <c r="N18" s="43"/>
      <c r="O18" s="5"/>
    </row>
    <row r="19" spans="1:15">
      <c r="A19" s="43">
        <v>16</v>
      </c>
      <c r="B19" s="212"/>
      <c r="C19" s="6"/>
      <c r="D19" s="6"/>
      <c r="E19" s="62"/>
      <c r="F19" s="6"/>
      <c r="G19" s="63">
        <f t="shared" si="4"/>
        <v>0</v>
      </c>
      <c r="H19" s="62"/>
      <c r="I19" s="6"/>
      <c r="J19" s="63">
        <f t="shared" si="1"/>
        <v>0</v>
      </c>
      <c r="K19" s="63">
        <f t="shared" si="2"/>
        <v>0</v>
      </c>
      <c r="L19" s="155">
        <v>0</v>
      </c>
      <c r="M19" s="144">
        <f t="shared" si="3"/>
        <v>9906.5399999999863</v>
      </c>
      <c r="N19" s="43"/>
      <c r="O19" s="5"/>
    </row>
    <row r="20" spans="1:15">
      <c r="A20" s="43">
        <v>17</v>
      </c>
      <c r="B20" s="212"/>
      <c r="C20" s="6"/>
      <c r="D20" s="6"/>
      <c r="E20" s="62"/>
      <c r="F20" s="6"/>
      <c r="G20" s="63">
        <f>E20*F20</f>
        <v>0</v>
      </c>
      <c r="H20" s="62"/>
      <c r="I20" s="6"/>
      <c r="J20" s="63">
        <f t="shared" si="1"/>
        <v>0</v>
      </c>
      <c r="K20" s="63">
        <f t="shared" si="2"/>
        <v>0</v>
      </c>
      <c r="L20" s="155">
        <v>0</v>
      </c>
      <c r="M20" s="144">
        <f t="shared" si="3"/>
        <v>9906.5399999999863</v>
      </c>
      <c r="N20" s="43"/>
      <c r="O20" s="5"/>
    </row>
    <row r="21" spans="1:15">
      <c r="A21" s="43">
        <v>18</v>
      </c>
      <c r="B21" s="212"/>
      <c r="C21" s="6"/>
      <c r="D21" s="6"/>
      <c r="E21" s="62"/>
      <c r="F21" s="6"/>
      <c r="G21" s="63">
        <f>E21*F21</f>
        <v>0</v>
      </c>
      <c r="H21" s="62"/>
      <c r="I21" s="6"/>
      <c r="J21" s="63">
        <f>H21*I21</f>
        <v>0</v>
      </c>
      <c r="K21" s="63">
        <f>G21+J21</f>
        <v>0</v>
      </c>
      <c r="L21" s="155">
        <v>0</v>
      </c>
      <c r="M21" s="144">
        <f>M20+K21-L21</f>
        <v>9906.5399999999863</v>
      </c>
      <c r="N21" s="43"/>
      <c r="O21" s="5"/>
    </row>
    <row r="22" spans="1:15">
      <c r="A22" s="43">
        <v>19</v>
      </c>
      <c r="B22" s="212"/>
      <c r="C22" s="6"/>
      <c r="D22" s="6"/>
      <c r="E22" s="62"/>
      <c r="F22" s="6"/>
      <c r="G22" s="63">
        <f>E22*F22</f>
        <v>0</v>
      </c>
      <c r="H22" s="62"/>
      <c r="I22" s="6"/>
      <c r="J22" s="63">
        <f>H22*I22</f>
        <v>0</v>
      </c>
      <c r="K22" s="63">
        <f>G22+J22</f>
        <v>0</v>
      </c>
      <c r="L22" s="155">
        <v>0</v>
      </c>
      <c r="M22" s="144">
        <f>M21+K22-L22</f>
        <v>9906.5399999999863</v>
      </c>
      <c r="N22" s="43"/>
      <c r="O22" s="5"/>
    </row>
    <row r="23" spans="1:15">
      <c r="A23" s="43">
        <v>20</v>
      </c>
      <c r="B23" s="212"/>
      <c r="C23" s="6"/>
      <c r="D23" s="6"/>
      <c r="E23" s="62"/>
      <c r="F23" s="6"/>
      <c r="G23" s="63">
        <f>E23*F23</f>
        <v>0</v>
      </c>
      <c r="H23" s="62"/>
      <c r="I23" s="6"/>
      <c r="J23" s="63">
        <f>H23*I23</f>
        <v>0</v>
      </c>
      <c r="K23" s="63">
        <f>G23+J23</f>
        <v>0</v>
      </c>
      <c r="L23" s="155">
        <v>0</v>
      </c>
      <c r="M23" s="144">
        <f>M22+K23-L23</f>
        <v>9906.5399999999863</v>
      </c>
      <c r="N23" s="43"/>
      <c r="O23" s="5"/>
    </row>
    <row r="24" spans="1:15">
      <c r="A24" s="43">
        <v>21</v>
      </c>
      <c r="B24" s="212"/>
      <c r="C24" s="6"/>
      <c r="D24" s="6"/>
      <c r="E24" s="62"/>
      <c r="F24" s="6"/>
      <c r="G24" s="63">
        <f>E24*F24</f>
        <v>0</v>
      </c>
      <c r="H24" s="62"/>
      <c r="I24" s="6"/>
      <c r="J24" s="63">
        <f>H24*I24</f>
        <v>0</v>
      </c>
      <c r="K24" s="63">
        <f>G24+J24</f>
        <v>0</v>
      </c>
      <c r="L24" s="155">
        <v>0</v>
      </c>
      <c r="M24" s="144">
        <f>M23+K24-L24</f>
        <v>9906.5399999999863</v>
      </c>
      <c r="N24" s="43"/>
      <c r="O24" s="5"/>
    </row>
    <row r="25" spans="1:15">
      <c r="A25" s="43">
        <v>22</v>
      </c>
      <c r="B25" s="212"/>
      <c r="C25" s="6"/>
      <c r="D25" s="6"/>
      <c r="E25" s="62"/>
      <c r="F25" s="6"/>
      <c r="G25" s="63">
        <f>E25*F25</f>
        <v>0</v>
      </c>
      <c r="H25" s="62"/>
      <c r="I25" s="6"/>
      <c r="J25" s="63">
        <f>H25*I25</f>
        <v>0</v>
      </c>
      <c r="K25" s="63">
        <f>G25+J25</f>
        <v>0</v>
      </c>
      <c r="L25" s="155">
        <v>0</v>
      </c>
      <c r="M25" s="144">
        <f>M24+K25-L25</f>
        <v>9906.5399999999863</v>
      </c>
      <c r="N25" s="43"/>
      <c r="O25" s="5"/>
    </row>
    <row r="26" spans="1:15">
      <c r="A26" s="43">
        <v>23</v>
      </c>
      <c r="B26" s="212"/>
      <c r="C26" s="6"/>
      <c r="D26" s="6"/>
      <c r="E26" s="62"/>
      <c r="F26" s="6"/>
      <c r="G26" s="63">
        <f>E26*F26</f>
        <v>0</v>
      </c>
      <c r="H26" s="62"/>
      <c r="I26" s="6"/>
      <c r="J26" s="63">
        <f>H26*I26</f>
        <v>0</v>
      </c>
      <c r="K26" s="63">
        <f>G26+J26</f>
        <v>0</v>
      </c>
      <c r="L26" s="155">
        <v>0</v>
      </c>
      <c r="M26" s="144">
        <f>M25+K26-L26</f>
        <v>9906.5399999999863</v>
      </c>
      <c r="N26" s="43"/>
      <c r="O26" s="5"/>
    </row>
    <row r="27" spans="1:15">
      <c r="A27" s="43">
        <v>24</v>
      </c>
      <c r="B27" s="212"/>
      <c r="C27" s="6"/>
      <c r="D27" s="6"/>
      <c r="E27" s="62"/>
      <c r="F27" s="6"/>
      <c r="G27" s="63">
        <f>E27*F27</f>
        <v>0</v>
      </c>
      <c r="H27" s="62"/>
      <c r="I27" s="6"/>
      <c r="J27" s="63">
        <f>H27*I27</f>
        <v>0</v>
      </c>
      <c r="K27" s="63">
        <f>G27+J27</f>
        <v>0</v>
      </c>
      <c r="L27" s="155">
        <v>0</v>
      </c>
      <c r="M27" s="144">
        <f>M26+K27-L27</f>
        <v>9906.5399999999863</v>
      </c>
      <c r="N27" s="6"/>
      <c r="O27" s="5"/>
    </row>
    <row r="28" spans="1:15">
      <c r="A28" s="214">
        <v>25</v>
      </c>
      <c r="B28" s="212"/>
      <c r="C28" s="6"/>
      <c r="D28" s="6"/>
      <c r="E28" s="62"/>
      <c r="F28" s="6"/>
      <c r="G28" s="63">
        <f>E28*F28</f>
        <v>0</v>
      </c>
      <c r="H28" s="62"/>
      <c r="I28" s="6"/>
      <c r="J28" s="63">
        <f>H28*I28</f>
        <v>0</v>
      </c>
      <c r="K28" s="63">
        <f>G28+J28</f>
        <v>0</v>
      </c>
      <c r="L28" s="155">
        <v>0</v>
      </c>
      <c r="M28" s="144">
        <f>M27+K28-L28</f>
        <v>9906.5399999999863</v>
      </c>
      <c r="N28" s="6"/>
      <c r="O28" s="5"/>
    </row>
    <row r="29" spans="1:15">
      <c r="A29" s="214">
        <v>26</v>
      </c>
      <c r="B29" s="212"/>
      <c r="C29" s="6"/>
      <c r="D29" s="6"/>
      <c r="E29" s="62"/>
      <c r="F29" s="6"/>
      <c r="G29" s="63">
        <f>E29*F29</f>
        <v>0</v>
      </c>
      <c r="H29" s="62"/>
      <c r="I29" s="6"/>
      <c r="J29" s="63">
        <f>H29*I29</f>
        <v>0</v>
      </c>
      <c r="K29" s="63">
        <f>G29+J29</f>
        <v>0</v>
      </c>
      <c r="L29" s="155">
        <v>0</v>
      </c>
      <c r="M29" s="144">
        <f>M28+K29-L29</f>
        <v>9906.5399999999863</v>
      </c>
      <c r="N29" s="6"/>
      <c r="O29" s="5"/>
    </row>
    <row r="30" spans="1:15">
      <c r="A30" s="214">
        <v>27</v>
      </c>
      <c r="B30" s="212"/>
      <c r="C30" s="6"/>
      <c r="D30" s="6"/>
      <c r="E30" s="62"/>
      <c r="F30" s="6"/>
      <c r="G30" s="63">
        <f>E30*F30</f>
        <v>0</v>
      </c>
      <c r="H30" s="62"/>
      <c r="I30" s="6"/>
      <c r="J30" s="63">
        <f>H30*I30</f>
        <v>0</v>
      </c>
      <c r="K30" s="63">
        <f>G30+J30</f>
        <v>0</v>
      </c>
      <c r="L30" s="155">
        <v>0</v>
      </c>
      <c r="M30" s="144">
        <f>M29+K30-L30</f>
        <v>9906.5399999999863</v>
      </c>
      <c r="N30" s="6"/>
      <c r="O30" s="5"/>
    </row>
    <row r="31" spans="1:15">
      <c r="A31" s="214">
        <v>28</v>
      </c>
      <c r="B31" s="212"/>
      <c r="C31" s="6"/>
      <c r="D31" s="6"/>
      <c r="E31" s="62"/>
      <c r="F31" s="6"/>
      <c r="G31" s="63">
        <f>E31*F31</f>
        <v>0</v>
      </c>
      <c r="H31" s="62"/>
      <c r="I31" s="6"/>
      <c r="J31" s="63">
        <f>H31*I31</f>
        <v>0</v>
      </c>
      <c r="K31" s="63">
        <f>G31+J31</f>
        <v>0</v>
      </c>
      <c r="L31" s="155">
        <v>0</v>
      </c>
      <c r="M31" s="144">
        <f>M30+K31-L31</f>
        <v>9906.5399999999863</v>
      </c>
      <c r="N31" s="6"/>
      <c r="O31" s="5"/>
    </row>
    <row r="32" spans="1:15">
      <c r="A32" s="215">
        <v>29</v>
      </c>
      <c r="B32" s="212"/>
      <c r="C32" s="6"/>
      <c r="D32" s="6"/>
      <c r="E32" s="62"/>
      <c r="F32" s="6"/>
      <c r="G32" s="63">
        <f>E32*F32</f>
        <v>0</v>
      </c>
      <c r="H32" s="62"/>
      <c r="I32" s="6"/>
      <c r="J32" s="63">
        <f>H32*I32</f>
        <v>0</v>
      </c>
      <c r="K32" s="63">
        <f>G32+J32</f>
        <v>0</v>
      </c>
      <c r="L32" s="155">
        <v>0</v>
      </c>
      <c r="M32" s="144">
        <f>M31+K32-L32</f>
        <v>9906.5399999999863</v>
      </c>
      <c r="N32" s="6"/>
      <c r="O32" s="5"/>
    </row>
    <row r="33" spans="1:15">
      <c r="A33" s="215">
        <v>30</v>
      </c>
      <c r="B33" s="212"/>
      <c r="C33" s="6"/>
      <c r="D33" s="6"/>
      <c r="E33" s="62"/>
      <c r="F33" s="6"/>
      <c r="G33" s="63">
        <f>E33*F33</f>
        <v>0</v>
      </c>
      <c r="H33" s="62"/>
      <c r="I33" s="6"/>
      <c r="J33" s="63">
        <f>H33*I33</f>
        <v>0</v>
      </c>
      <c r="K33" s="63">
        <f>G33+J33</f>
        <v>0</v>
      </c>
      <c r="L33" s="155">
        <v>0</v>
      </c>
      <c r="M33" s="144">
        <f>M32+K33-L33</f>
        <v>9906.5399999999863</v>
      </c>
      <c r="N33" s="6"/>
      <c r="O33" s="5"/>
    </row>
    <row r="34" spans="1:15">
      <c r="A34" s="215">
        <v>31</v>
      </c>
      <c r="B34" s="212"/>
      <c r="C34" s="6"/>
      <c r="D34" s="6"/>
      <c r="E34" s="62"/>
      <c r="F34" s="6"/>
      <c r="G34" s="63">
        <f>E34*F34</f>
        <v>0</v>
      </c>
      <c r="H34" s="62"/>
      <c r="I34" s="6"/>
      <c r="J34" s="63">
        <f>H34*I34</f>
        <v>0</v>
      </c>
      <c r="K34" s="63">
        <f>G34+J34</f>
        <v>0</v>
      </c>
      <c r="L34" s="155">
        <v>0</v>
      </c>
      <c r="M34" s="144">
        <f>M33+K34-L34</f>
        <v>9906.5399999999863</v>
      </c>
      <c r="N34" s="6"/>
      <c r="O34" s="5"/>
    </row>
    <row r="35" spans="1:15">
      <c r="A35" s="59"/>
      <c r="B35" s="59"/>
      <c r="C35" s="59"/>
      <c r="D35" s="59"/>
      <c r="E35" s="60">
        <f>SUM(E4:E34)</f>
        <v>330</v>
      </c>
      <c r="F35" s="60"/>
      <c r="G35" s="60">
        <f>SUM(G4:G34)</f>
        <v>32693.1</v>
      </c>
      <c r="H35" s="60">
        <f>SUM(H4:H34)</f>
        <v>0</v>
      </c>
      <c r="I35" s="60"/>
      <c r="J35" s="60">
        <f>SUM(J4:J34)</f>
        <v>0</v>
      </c>
      <c r="K35" s="60">
        <f>SUM(K4:K34)</f>
        <v>32693.1</v>
      </c>
      <c r="L35" s="60">
        <f>SUM(L4:L34)</f>
        <v>46380</v>
      </c>
      <c r="M35" s="60"/>
      <c r="N35" s="60"/>
      <c r="O35" s="56"/>
    </row>
    <row r="36" spans="1:15">
      <c r="A36" s="5"/>
      <c r="B36" s="5"/>
      <c r="C36" s="5"/>
      <c r="D36" s="5"/>
      <c r="E36" s="5"/>
      <c r="F36" s="5"/>
      <c r="G36" s="99"/>
      <c r="H36" s="5"/>
      <c r="I36" s="5"/>
      <c r="J36" s="99"/>
      <c r="K36" s="5"/>
      <c r="L36" s="99"/>
      <c r="M36" s="99"/>
      <c r="N36" s="5"/>
      <c r="O36" s="5"/>
    </row>
    <row r="37" spans="1:15">
      <c r="A37" s="5"/>
      <c r="B37" s="5"/>
      <c r="C37" s="5"/>
      <c r="D37" s="5"/>
      <c r="E37" s="5"/>
      <c r="F37" s="5"/>
      <c r="G37" s="99"/>
      <c r="H37" s="5"/>
      <c r="I37" s="5"/>
      <c r="J37" s="99"/>
      <c r="K37" s="5"/>
      <c r="L37" s="99"/>
      <c r="M37" s="99"/>
      <c r="N37" s="5"/>
      <c r="O37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topLeftCell="A25" workbookViewId="0">
      <selection activeCell="M49" sqref="M49"/>
    </sheetView>
  </sheetViews>
  <sheetFormatPr defaultRowHeight="15"/>
  <cols>
    <col min="2" max="2" width="10.85546875" bestFit="1" customWidth="1"/>
    <col min="4" max="4" width="11.5703125" customWidth="1"/>
    <col min="7" max="7" width="11.85546875" bestFit="1" customWidth="1"/>
    <col min="11" max="11" width="13.5703125" bestFit="1" customWidth="1"/>
    <col min="12" max="12" width="12.42578125" bestFit="1" customWidth="1"/>
    <col min="13" max="13" width="11.5703125" bestFit="1" customWidth="1"/>
    <col min="19" max="19" width="14.7109375" customWidth="1"/>
  </cols>
  <sheetData>
    <row r="1" spans="1:15" ht="15.75">
      <c r="A1" s="581" t="s">
        <v>162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"/>
    </row>
    <row r="2" spans="1:15" ht="45">
      <c r="A2" s="61" t="s">
        <v>0</v>
      </c>
      <c r="B2" s="80" t="s">
        <v>170</v>
      </c>
      <c r="C2" s="80" t="s">
        <v>171</v>
      </c>
      <c r="D2" s="80" t="s">
        <v>194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178</v>
      </c>
      <c r="M2" s="82" t="s">
        <v>195</v>
      </c>
      <c r="N2" s="80" t="s">
        <v>180</v>
      </c>
      <c r="O2" s="5"/>
    </row>
    <row r="3" spans="1:15">
      <c r="A3" s="603" t="s">
        <v>181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6"/>
      <c r="M3" s="605">
        <v>184308.74940000003</v>
      </c>
      <c r="N3" s="607"/>
      <c r="O3" s="5"/>
    </row>
    <row r="4" spans="1:15">
      <c r="A4" s="189">
        <v>1</v>
      </c>
      <c r="B4" s="212">
        <v>46235</v>
      </c>
      <c r="C4" s="6"/>
      <c r="D4" s="6"/>
      <c r="E4" s="62">
        <v>45</v>
      </c>
      <c r="F4" s="6">
        <v>99.23</v>
      </c>
      <c r="G4" s="63">
        <f>E4*F4</f>
        <v>4465.3500000000004</v>
      </c>
      <c r="H4" s="62">
        <v>5</v>
      </c>
      <c r="I4" s="6">
        <v>120.75</v>
      </c>
      <c r="J4" s="63">
        <f>H4*I4</f>
        <v>603.75</v>
      </c>
      <c r="K4" s="63">
        <f>G4+J4</f>
        <v>5069.1000000000004</v>
      </c>
      <c r="L4" s="284">
        <v>0</v>
      </c>
      <c r="M4" s="144">
        <f>M3+K4-L4</f>
        <v>189377.84940000004</v>
      </c>
      <c r="N4" s="43"/>
      <c r="O4" s="5"/>
    </row>
    <row r="5" spans="1:15">
      <c r="A5" s="43">
        <v>2</v>
      </c>
      <c r="B5" s="212">
        <v>46236</v>
      </c>
      <c r="C5" s="6"/>
      <c r="D5" s="6"/>
      <c r="E5" s="62">
        <v>50</v>
      </c>
      <c r="F5" s="6">
        <v>99.23</v>
      </c>
      <c r="G5" s="63">
        <f t="shared" ref="G5:G34" si="0">E5*F5</f>
        <v>4961.5</v>
      </c>
      <c r="H5" s="62">
        <v>5</v>
      </c>
      <c r="I5" s="6">
        <v>120.75</v>
      </c>
      <c r="J5" s="63">
        <f t="shared" ref="J5:J34" si="1">H5*I5</f>
        <v>603.75</v>
      </c>
      <c r="K5" s="63">
        <f t="shared" ref="K5:K41" si="2">G5+J5</f>
        <v>5565.25</v>
      </c>
      <c r="L5" s="284">
        <v>0</v>
      </c>
      <c r="M5" s="144">
        <f t="shared" ref="M5:M49" si="3">M4+K5-L5</f>
        <v>194943.09940000004</v>
      </c>
      <c r="N5" s="43"/>
      <c r="O5" s="5"/>
    </row>
    <row r="6" spans="1:15">
      <c r="A6" s="43">
        <v>3</v>
      </c>
      <c r="B6" s="212">
        <v>46237</v>
      </c>
      <c r="C6" s="6"/>
      <c r="D6" s="6" t="s">
        <v>264</v>
      </c>
      <c r="E6" s="62"/>
      <c r="F6" s="6"/>
      <c r="G6" s="63">
        <f t="shared" si="0"/>
        <v>0</v>
      </c>
      <c r="I6" s="6"/>
      <c r="J6" s="63">
        <f>H6*I6</f>
        <v>0</v>
      </c>
      <c r="K6" s="63">
        <f t="shared" si="2"/>
        <v>0</v>
      </c>
      <c r="L6" s="284">
        <v>0</v>
      </c>
      <c r="M6" s="144">
        <f t="shared" si="3"/>
        <v>194943.09940000004</v>
      </c>
      <c r="N6" s="43"/>
      <c r="O6" s="5"/>
    </row>
    <row r="7" spans="1:15">
      <c r="A7" s="189">
        <v>4</v>
      </c>
      <c r="B7" s="212">
        <v>46238</v>
      </c>
      <c r="C7" s="6"/>
      <c r="D7" s="6"/>
      <c r="E7" s="62">
        <v>8</v>
      </c>
      <c r="F7" s="6">
        <v>99.23</v>
      </c>
      <c r="G7" s="63">
        <f t="shared" si="0"/>
        <v>793.84</v>
      </c>
      <c r="H7" s="62"/>
      <c r="I7" s="6"/>
      <c r="J7" s="63">
        <f t="shared" si="1"/>
        <v>0</v>
      </c>
      <c r="K7" s="63">
        <f t="shared" si="2"/>
        <v>793.84</v>
      </c>
      <c r="L7" s="284">
        <v>0</v>
      </c>
      <c r="M7" s="144">
        <f t="shared" si="3"/>
        <v>195736.93940000003</v>
      </c>
      <c r="N7" s="43"/>
      <c r="O7" s="5"/>
    </row>
    <row r="8" spans="1:15">
      <c r="A8" s="43">
        <v>5</v>
      </c>
      <c r="B8" s="212">
        <v>46239</v>
      </c>
      <c r="C8" s="6"/>
      <c r="D8" s="6"/>
      <c r="E8" s="62">
        <v>115</v>
      </c>
      <c r="F8" s="6">
        <v>99.23</v>
      </c>
      <c r="G8" s="63">
        <f t="shared" si="0"/>
        <v>11411.45</v>
      </c>
      <c r="H8" s="62"/>
      <c r="I8" s="6"/>
      <c r="J8" s="63">
        <f t="shared" si="1"/>
        <v>0</v>
      </c>
      <c r="K8" s="63">
        <f t="shared" si="2"/>
        <v>11411.45</v>
      </c>
      <c r="L8" s="284"/>
      <c r="M8" s="144">
        <f t="shared" si="3"/>
        <v>207148.38940000004</v>
      </c>
      <c r="N8" s="43"/>
      <c r="O8" s="5"/>
    </row>
    <row r="9" spans="1:15">
      <c r="A9" s="43">
        <v>6</v>
      </c>
      <c r="B9" s="212">
        <v>46240</v>
      </c>
      <c r="C9" s="6"/>
      <c r="D9" s="6"/>
      <c r="E9" s="62">
        <v>105</v>
      </c>
      <c r="F9" s="6">
        <v>99.23</v>
      </c>
      <c r="G9" s="63">
        <f t="shared" si="0"/>
        <v>10419.15</v>
      </c>
      <c r="H9" s="62"/>
      <c r="I9" s="6"/>
      <c r="J9" s="63">
        <f t="shared" si="1"/>
        <v>0</v>
      </c>
      <c r="K9" s="63">
        <f t="shared" si="2"/>
        <v>10419.15</v>
      </c>
      <c r="L9" s="284"/>
      <c r="M9" s="144">
        <f t="shared" si="3"/>
        <v>217567.53940000004</v>
      </c>
      <c r="N9" s="43"/>
      <c r="O9" s="5"/>
    </row>
    <row r="10" spans="1:15">
      <c r="A10" s="189">
        <v>7</v>
      </c>
      <c r="B10" s="212">
        <v>46241</v>
      </c>
      <c r="C10" s="6"/>
      <c r="D10" s="6"/>
      <c r="E10" s="62">
        <v>37</v>
      </c>
      <c r="F10" s="6">
        <v>99.23</v>
      </c>
      <c r="G10" s="63">
        <f t="shared" si="0"/>
        <v>3671.51</v>
      </c>
      <c r="H10" s="62"/>
      <c r="I10" s="6"/>
      <c r="J10" s="63">
        <f t="shared" si="1"/>
        <v>0</v>
      </c>
      <c r="K10" s="63">
        <f t="shared" si="2"/>
        <v>3671.51</v>
      </c>
      <c r="L10" s="284"/>
      <c r="M10" s="144">
        <f t="shared" si="3"/>
        <v>221239.04940000005</v>
      </c>
      <c r="N10" s="43"/>
      <c r="O10" s="5"/>
    </row>
    <row r="11" spans="1:15">
      <c r="A11" s="43">
        <v>8</v>
      </c>
      <c r="B11" s="212">
        <v>46242</v>
      </c>
      <c r="C11" s="6"/>
      <c r="D11" s="6"/>
      <c r="E11" s="62">
        <v>147</v>
      </c>
      <c r="F11" s="6">
        <v>99.23</v>
      </c>
      <c r="G11" s="63">
        <f t="shared" si="0"/>
        <v>14586.810000000001</v>
      </c>
      <c r="H11" s="62"/>
      <c r="I11" s="6"/>
      <c r="J11" s="63">
        <f>H11*I11</f>
        <v>0</v>
      </c>
      <c r="K11" s="63">
        <f t="shared" si="2"/>
        <v>14586.810000000001</v>
      </c>
      <c r="L11" s="284"/>
      <c r="M11" s="144">
        <f t="shared" si="3"/>
        <v>235825.85940000004</v>
      </c>
      <c r="N11" s="43"/>
      <c r="O11" s="5"/>
    </row>
    <row r="12" spans="1:15">
      <c r="A12" s="43">
        <v>9</v>
      </c>
      <c r="B12" s="212">
        <v>46243</v>
      </c>
      <c r="C12" s="6"/>
      <c r="D12" s="6"/>
      <c r="E12" s="62">
        <v>106</v>
      </c>
      <c r="F12" s="6">
        <v>99.23</v>
      </c>
      <c r="G12" s="63">
        <f t="shared" si="0"/>
        <v>10518.380000000001</v>
      </c>
      <c r="H12" s="62"/>
      <c r="I12" s="6"/>
      <c r="J12" s="63">
        <f t="shared" ref="J12:J30" si="4">H12*I12</f>
        <v>0</v>
      </c>
      <c r="K12" s="63">
        <f t="shared" si="2"/>
        <v>10518.380000000001</v>
      </c>
      <c r="L12" s="284"/>
      <c r="M12" s="144">
        <f t="shared" si="3"/>
        <v>246344.23940000005</v>
      </c>
      <c r="N12" s="43"/>
      <c r="O12" s="5"/>
    </row>
    <row r="13" spans="1:15">
      <c r="A13" s="189">
        <v>10</v>
      </c>
      <c r="B13" s="212">
        <v>46244</v>
      </c>
      <c r="C13" s="6"/>
      <c r="D13" s="6"/>
      <c r="E13" s="62">
        <v>79.23</v>
      </c>
      <c r="F13" s="6">
        <v>99.23</v>
      </c>
      <c r="G13" s="63">
        <f t="shared" si="0"/>
        <v>7861.9929000000011</v>
      </c>
      <c r="H13" s="62">
        <v>5</v>
      </c>
      <c r="I13" s="6">
        <v>111.32</v>
      </c>
      <c r="J13" s="63">
        <f t="shared" si="4"/>
        <v>556.59999999999991</v>
      </c>
      <c r="K13" s="63">
        <f t="shared" si="2"/>
        <v>8418.5929000000015</v>
      </c>
      <c r="L13" s="284"/>
      <c r="M13" s="144">
        <f t="shared" si="3"/>
        <v>254762.83230000004</v>
      </c>
      <c r="N13" s="43"/>
      <c r="O13" s="5"/>
    </row>
    <row r="14" spans="1:15">
      <c r="A14" s="43">
        <v>11</v>
      </c>
      <c r="B14" s="212">
        <v>46245</v>
      </c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4"/>
        <v>0</v>
      </c>
      <c r="K14" s="63">
        <f t="shared" si="2"/>
        <v>0</v>
      </c>
      <c r="L14" s="284"/>
      <c r="M14" s="144">
        <f t="shared" si="3"/>
        <v>254762.83230000004</v>
      </c>
      <c r="N14" s="43"/>
      <c r="O14" s="5"/>
    </row>
    <row r="15" spans="1:15">
      <c r="A15" s="43"/>
      <c r="B15" s="212">
        <v>46246</v>
      </c>
      <c r="C15" s="6"/>
      <c r="D15" s="6"/>
      <c r="E15" s="62">
        <v>45</v>
      </c>
      <c r="F15" s="6">
        <v>99.23</v>
      </c>
      <c r="G15" s="63">
        <f t="shared" si="0"/>
        <v>4465.3500000000004</v>
      </c>
      <c r="H15" s="62">
        <v>5</v>
      </c>
      <c r="I15" s="6">
        <v>111.32</v>
      </c>
      <c r="J15" s="63">
        <f t="shared" si="4"/>
        <v>556.59999999999991</v>
      </c>
      <c r="K15" s="63">
        <f t="shared" si="2"/>
        <v>5021.9500000000007</v>
      </c>
      <c r="L15" s="284"/>
      <c r="M15" s="144">
        <f t="shared" si="3"/>
        <v>259784.78230000005</v>
      </c>
      <c r="N15" s="43"/>
      <c r="O15" s="5"/>
    </row>
    <row r="16" spans="1:15">
      <c r="A16" s="43">
        <v>12</v>
      </c>
      <c r="B16" s="212">
        <v>46247</v>
      </c>
      <c r="C16" s="6"/>
      <c r="D16" s="6"/>
      <c r="E16" s="62">
        <v>27.7</v>
      </c>
      <c r="F16" s="6">
        <v>99.23</v>
      </c>
      <c r="G16" s="63">
        <f t="shared" si="0"/>
        <v>2748.6709999999998</v>
      </c>
      <c r="H16" s="62"/>
      <c r="I16" s="6"/>
      <c r="J16" s="63">
        <f t="shared" si="4"/>
        <v>0</v>
      </c>
      <c r="K16" s="63">
        <f t="shared" si="2"/>
        <v>2748.6709999999998</v>
      </c>
      <c r="L16" s="284"/>
      <c r="M16" s="144">
        <f t="shared" si="3"/>
        <v>262533.45330000005</v>
      </c>
      <c r="N16" s="43"/>
      <c r="O16" s="5"/>
    </row>
    <row r="17" spans="1:15">
      <c r="A17" s="189">
        <v>13</v>
      </c>
      <c r="B17" s="212">
        <v>46248</v>
      </c>
      <c r="C17" s="6"/>
      <c r="D17" s="6"/>
      <c r="E17" s="62">
        <v>40</v>
      </c>
      <c r="F17" s="6">
        <v>99.23</v>
      </c>
      <c r="G17" s="63">
        <f t="shared" si="0"/>
        <v>3969.2000000000003</v>
      </c>
      <c r="H17" s="62"/>
      <c r="I17" s="6"/>
      <c r="J17" s="63">
        <f t="shared" si="4"/>
        <v>0</v>
      </c>
      <c r="K17" s="63">
        <f t="shared" si="2"/>
        <v>3969.2000000000003</v>
      </c>
      <c r="L17" s="284"/>
      <c r="M17" s="144">
        <f t="shared" si="3"/>
        <v>266502.65330000006</v>
      </c>
      <c r="N17" s="43"/>
      <c r="O17" s="5"/>
    </row>
    <row r="18" spans="1:15">
      <c r="A18" s="43">
        <v>14</v>
      </c>
      <c r="B18" s="212">
        <v>46249</v>
      </c>
      <c r="C18" s="6"/>
      <c r="D18" s="6"/>
      <c r="E18" s="299">
        <v>45</v>
      </c>
      <c r="F18" s="6">
        <v>99.23</v>
      </c>
      <c r="G18" s="63">
        <f t="shared" si="0"/>
        <v>4465.3500000000004</v>
      </c>
      <c r="H18" s="62"/>
      <c r="I18" s="6"/>
      <c r="J18" s="63">
        <f t="shared" si="4"/>
        <v>0</v>
      </c>
      <c r="K18" s="63">
        <f t="shared" si="2"/>
        <v>4465.3500000000004</v>
      </c>
      <c r="L18" s="284"/>
      <c r="M18" s="144">
        <f t="shared" si="3"/>
        <v>270968.00330000004</v>
      </c>
      <c r="N18" s="43"/>
      <c r="O18" s="5"/>
    </row>
    <row r="19" spans="1:15">
      <c r="A19" s="43"/>
      <c r="B19" s="212">
        <v>46250</v>
      </c>
      <c r="C19" s="6"/>
      <c r="D19" s="6"/>
      <c r="E19" s="299">
        <v>60</v>
      </c>
      <c r="F19" s="6">
        <v>99.23</v>
      </c>
      <c r="G19" s="63">
        <f t="shared" si="0"/>
        <v>5953.8</v>
      </c>
      <c r="H19" s="62"/>
      <c r="I19" s="6"/>
      <c r="J19" s="63">
        <f t="shared" si="4"/>
        <v>0</v>
      </c>
      <c r="K19" s="63">
        <f t="shared" si="2"/>
        <v>5953.8</v>
      </c>
      <c r="L19" s="284"/>
      <c r="M19" s="144">
        <f t="shared" si="3"/>
        <v>276921.80330000003</v>
      </c>
      <c r="N19" s="43"/>
      <c r="O19" s="5"/>
    </row>
    <row r="20" spans="1:15">
      <c r="A20" s="43">
        <v>15</v>
      </c>
      <c r="B20" s="212">
        <v>46251</v>
      </c>
      <c r="C20" s="6"/>
      <c r="D20" s="6"/>
      <c r="E20" s="62">
        <v>120</v>
      </c>
      <c r="F20" s="6">
        <v>99.23</v>
      </c>
      <c r="G20" s="63">
        <f t="shared" si="0"/>
        <v>11907.6</v>
      </c>
      <c r="H20" s="62">
        <v>5</v>
      </c>
      <c r="I20" s="6">
        <v>111.32</v>
      </c>
      <c r="J20" s="63">
        <f t="shared" si="4"/>
        <v>556.59999999999991</v>
      </c>
      <c r="K20" s="63">
        <f t="shared" si="2"/>
        <v>12464.2</v>
      </c>
      <c r="L20" s="284"/>
      <c r="M20" s="144">
        <f t="shared" si="3"/>
        <v>289386.00330000004</v>
      </c>
      <c r="N20" s="43"/>
      <c r="O20" s="5"/>
    </row>
    <row r="21" spans="1:15">
      <c r="A21" s="189">
        <v>16</v>
      </c>
      <c r="B21" s="212">
        <v>46252</v>
      </c>
      <c r="C21" s="6"/>
      <c r="D21" s="6"/>
      <c r="E21" s="62">
        <v>46</v>
      </c>
      <c r="F21" s="6">
        <v>99.23</v>
      </c>
      <c r="G21" s="63">
        <f t="shared" si="0"/>
        <v>4564.58</v>
      </c>
      <c r="H21" s="62"/>
      <c r="I21" s="6"/>
      <c r="J21" s="63">
        <f t="shared" si="4"/>
        <v>0</v>
      </c>
      <c r="K21" s="63">
        <f t="shared" si="2"/>
        <v>4564.58</v>
      </c>
      <c r="L21" s="284"/>
      <c r="M21" s="144">
        <f t="shared" si="3"/>
        <v>293950.58330000006</v>
      </c>
      <c r="N21" s="43"/>
      <c r="O21" s="5"/>
    </row>
    <row r="22" spans="1:15">
      <c r="A22" s="43">
        <v>17</v>
      </c>
      <c r="B22" s="212">
        <v>46253</v>
      </c>
      <c r="C22" s="6"/>
      <c r="D22" s="6"/>
      <c r="E22" s="62">
        <v>240</v>
      </c>
      <c r="F22" s="6">
        <v>99.23</v>
      </c>
      <c r="G22" s="63">
        <f t="shared" si="0"/>
        <v>23815.200000000001</v>
      </c>
      <c r="H22" s="62">
        <v>5</v>
      </c>
      <c r="I22" s="6">
        <v>111.32</v>
      </c>
      <c r="J22" s="63">
        <f t="shared" si="4"/>
        <v>556.59999999999991</v>
      </c>
      <c r="K22" s="63">
        <f t="shared" si="2"/>
        <v>24371.8</v>
      </c>
      <c r="L22" s="284"/>
      <c r="M22" s="144">
        <f t="shared" si="3"/>
        <v>318322.38330000004</v>
      </c>
      <c r="N22" s="43"/>
      <c r="O22" s="5"/>
    </row>
    <row r="23" spans="1:15">
      <c r="A23" s="43">
        <v>18</v>
      </c>
      <c r="B23" s="212">
        <v>46254</v>
      </c>
      <c r="C23" s="6"/>
      <c r="D23" s="6"/>
      <c r="E23" s="62"/>
      <c r="F23" s="6"/>
      <c r="G23" s="63">
        <f t="shared" si="0"/>
        <v>0</v>
      </c>
      <c r="H23" s="62"/>
      <c r="I23" s="6"/>
      <c r="J23" s="63">
        <f t="shared" si="4"/>
        <v>0</v>
      </c>
      <c r="K23" s="63">
        <f t="shared" si="2"/>
        <v>0</v>
      </c>
      <c r="L23" s="284"/>
      <c r="M23" s="144">
        <f t="shared" si="3"/>
        <v>318322.38330000004</v>
      </c>
      <c r="N23" s="43"/>
      <c r="O23" s="5"/>
    </row>
    <row r="24" spans="1:15">
      <c r="A24" s="189">
        <v>19</v>
      </c>
      <c r="B24" s="212">
        <v>46255</v>
      </c>
      <c r="C24" s="6"/>
      <c r="D24" s="6"/>
      <c r="E24" s="62">
        <v>71</v>
      </c>
      <c r="F24" s="6">
        <v>99.23</v>
      </c>
      <c r="G24" s="63">
        <f t="shared" si="0"/>
        <v>7045.33</v>
      </c>
      <c r="H24" s="62"/>
      <c r="I24" s="6"/>
      <c r="J24" s="63">
        <f t="shared" si="4"/>
        <v>0</v>
      </c>
      <c r="K24" s="63">
        <f t="shared" si="2"/>
        <v>7045.33</v>
      </c>
      <c r="L24" s="284"/>
      <c r="M24" s="144">
        <f t="shared" si="3"/>
        <v>325367.71330000006</v>
      </c>
      <c r="N24" s="43"/>
      <c r="O24" s="5"/>
    </row>
    <row r="25" spans="1:15">
      <c r="A25" s="43">
        <v>20</v>
      </c>
      <c r="B25" s="212">
        <v>46256</v>
      </c>
      <c r="C25" s="6"/>
      <c r="D25" s="6"/>
      <c r="E25" s="62"/>
      <c r="F25" s="6"/>
      <c r="G25" s="63">
        <f t="shared" si="0"/>
        <v>0</v>
      </c>
      <c r="H25" s="62"/>
      <c r="I25" s="6"/>
      <c r="J25" s="63">
        <f t="shared" si="4"/>
        <v>0</v>
      </c>
      <c r="K25" s="63">
        <f t="shared" si="2"/>
        <v>0</v>
      </c>
      <c r="L25" s="284"/>
      <c r="M25" s="144">
        <f t="shared" si="3"/>
        <v>325367.71330000006</v>
      </c>
      <c r="N25" s="43"/>
      <c r="O25" s="5"/>
    </row>
    <row r="26" spans="1:15">
      <c r="A26" s="43">
        <v>21</v>
      </c>
      <c r="B26" s="212">
        <v>46257</v>
      </c>
      <c r="C26" s="6"/>
      <c r="D26" s="6"/>
      <c r="E26" s="62">
        <v>55</v>
      </c>
      <c r="F26" s="6">
        <v>99.23</v>
      </c>
      <c r="G26" s="63">
        <f t="shared" si="0"/>
        <v>5457.6500000000005</v>
      </c>
      <c r="H26" s="62"/>
      <c r="I26" s="6"/>
      <c r="J26" s="63">
        <f t="shared" si="4"/>
        <v>0</v>
      </c>
      <c r="K26" s="63">
        <f t="shared" si="2"/>
        <v>5457.6500000000005</v>
      </c>
      <c r="L26" s="284"/>
      <c r="M26" s="144">
        <f t="shared" si="3"/>
        <v>330825.36330000008</v>
      </c>
      <c r="N26" s="43"/>
      <c r="O26" s="5"/>
    </row>
    <row r="27" spans="1:15">
      <c r="A27" s="189">
        <v>22</v>
      </c>
      <c r="B27" s="212">
        <v>46258</v>
      </c>
      <c r="C27" s="6"/>
      <c r="D27" s="6"/>
      <c r="E27" s="62"/>
      <c r="F27" s="6"/>
      <c r="G27" s="63">
        <f t="shared" si="0"/>
        <v>0</v>
      </c>
      <c r="H27" s="62"/>
      <c r="I27" s="6"/>
      <c r="J27" s="63">
        <f t="shared" si="4"/>
        <v>0</v>
      </c>
      <c r="K27" s="63">
        <f t="shared" si="2"/>
        <v>0</v>
      </c>
      <c r="L27" s="284"/>
      <c r="M27" s="144">
        <f t="shared" si="3"/>
        <v>330825.36330000008</v>
      </c>
      <c r="N27" s="43"/>
      <c r="O27" s="5"/>
    </row>
    <row r="28" spans="1:15">
      <c r="A28" s="43">
        <v>23</v>
      </c>
      <c r="B28" s="212">
        <v>46259</v>
      </c>
      <c r="C28" s="6"/>
      <c r="D28" s="6"/>
      <c r="E28" s="62">
        <v>47</v>
      </c>
      <c r="F28" s="6">
        <v>99.12</v>
      </c>
      <c r="G28" s="63">
        <f t="shared" si="0"/>
        <v>4658.6400000000003</v>
      </c>
      <c r="H28" s="62">
        <v>5</v>
      </c>
      <c r="I28" s="6">
        <v>111.32</v>
      </c>
      <c r="J28" s="63">
        <f t="shared" si="4"/>
        <v>556.59999999999991</v>
      </c>
      <c r="K28" s="63">
        <f t="shared" si="2"/>
        <v>5215.24</v>
      </c>
      <c r="L28" s="284"/>
      <c r="M28" s="144">
        <f t="shared" si="3"/>
        <v>336040.60330000008</v>
      </c>
      <c r="N28" s="43"/>
      <c r="O28" s="5"/>
    </row>
    <row r="29" spans="1:15">
      <c r="A29" s="43">
        <v>24</v>
      </c>
      <c r="B29" s="212">
        <v>46260</v>
      </c>
      <c r="C29" s="6"/>
      <c r="D29" s="6"/>
      <c r="E29" s="62"/>
      <c r="F29" s="6"/>
      <c r="G29" s="63">
        <f t="shared" si="0"/>
        <v>0</v>
      </c>
      <c r="H29" s="62">
        <v>5</v>
      </c>
      <c r="I29" s="6">
        <v>111.32</v>
      </c>
      <c r="J29" s="63">
        <f t="shared" si="4"/>
        <v>556.59999999999991</v>
      </c>
      <c r="K29" s="63">
        <f t="shared" si="2"/>
        <v>556.59999999999991</v>
      </c>
      <c r="L29" s="284"/>
      <c r="M29" s="144">
        <f t="shared" si="3"/>
        <v>336597.20330000005</v>
      </c>
      <c r="N29" s="43"/>
      <c r="O29" s="5"/>
    </row>
    <row r="30" spans="1:15">
      <c r="A30" s="189">
        <v>25</v>
      </c>
      <c r="B30" s="212">
        <v>46261</v>
      </c>
      <c r="C30" s="6"/>
      <c r="D30" s="6"/>
      <c r="E30" s="62"/>
      <c r="F30" s="6"/>
      <c r="G30" s="63">
        <f t="shared" si="0"/>
        <v>0</v>
      </c>
      <c r="H30" s="62"/>
      <c r="I30" s="6"/>
      <c r="J30" s="63">
        <f t="shared" si="4"/>
        <v>0</v>
      </c>
      <c r="K30" s="63">
        <f t="shared" si="2"/>
        <v>0</v>
      </c>
      <c r="L30" s="284"/>
      <c r="M30" s="144">
        <f t="shared" si="3"/>
        <v>336597.20330000005</v>
      </c>
      <c r="N30" s="43"/>
      <c r="O30" s="5"/>
    </row>
    <row r="31" spans="1:15">
      <c r="A31" s="43">
        <v>26</v>
      </c>
      <c r="B31" s="212">
        <v>46262</v>
      </c>
      <c r="C31" s="6"/>
      <c r="D31" s="6"/>
      <c r="E31" s="62">
        <v>45</v>
      </c>
      <c r="F31" s="6">
        <v>99.12</v>
      </c>
      <c r="G31" s="63">
        <f t="shared" si="0"/>
        <v>4460.4000000000005</v>
      </c>
      <c r="H31" s="62"/>
      <c r="I31" s="6"/>
      <c r="J31" s="63">
        <f t="shared" si="1"/>
        <v>0</v>
      </c>
      <c r="K31" s="63">
        <f t="shared" si="2"/>
        <v>4460.4000000000005</v>
      </c>
      <c r="L31" s="284">
        <v>336597</v>
      </c>
      <c r="M31" s="144">
        <f t="shared" si="3"/>
        <v>4460.6033000000753</v>
      </c>
      <c r="N31" s="43"/>
      <c r="O31" s="5"/>
    </row>
    <row r="32" spans="1:15">
      <c r="A32" s="43">
        <v>27</v>
      </c>
      <c r="B32" s="212">
        <v>46263</v>
      </c>
      <c r="C32" s="6"/>
      <c r="D32" s="6"/>
      <c r="E32" s="62">
        <v>37.79</v>
      </c>
      <c r="F32" s="6">
        <v>99.12</v>
      </c>
      <c r="G32" s="63">
        <f t="shared" si="0"/>
        <v>3745.7447999999999</v>
      </c>
      <c r="H32" s="62"/>
      <c r="I32" s="6"/>
      <c r="J32" s="63">
        <f t="shared" si="1"/>
        <v>0</v>
      </c>
      <c r="K32" s="63">
        <f t="shared" si="2"/>
        <v>3745.7447999999999</v>
      </c>
      <c r="L32" s="284"/>
      <c r="M32" s="144">
        <f t="shared" si="3"/>
        <v>8206.3481000000756</v>
      </c>
      <c r="N32" s="43"/>
      <c r="O32" s="5"/>
    </row>
    <row r="33" spans="1:15">
      <c r="A33" s="189">
        <v>28</v>
      </c>
      <c r="B33" s="212">
        <v>46264</v>
      </c>
      <c r="C33" s="6"/>
      <c r="D33" s="6"/>
      <c r="E33" s="62"/>
      <c r="F33" s="6"/>
      <c r="G33" s="63">
        <f t="shared" si="0"/>
        <v>0</v>
      </c>
      <c r="H33" s="62"/>
      <c r="I33" s="6"/>
      <c r="J33" s="63">
        <f t="shared" si="1"/>
        <v>0</v>
      </c>
      <c r="K33" s="63">
        <f t="shared" si="2"/>
        <v>0</v>
      </c>
      <c r="L33" s="284"/>
      <c r="M33" s="144">
        <f t="shared" si="3"/>
        <v>8206.3481000000756</v>
      </c>
      <c r="N33" s="43"/>
      <c r="O33" s="5"/>
    </row>
    <row r="34" spans="1:15">
      <c r="A34" s="43">
        <v>29</v>
      </c>
      <c r="B34" s="212">
        <v>46265</v>
      </c>
      <c r="C34" s="6"/>
      <c r="D34" s="6"/>
      <c r="E34" s="62">
        <v>96.18</v>
      </c>
      <c r="F34" s="6">
        <v>99.12</v>
      </c>
      <c r="G34" s="63">
        <f t="shared" si="0"/>
        <v>9533.361600000002</v>
      </c>
      <c r="H34" s="62">
        <v>3</v>
      </c>
      <c r="I34" s="6">
        <v>111.32</v>
      </c>
      <c r="J34" s="63">
        <f t="shared" si="1"/>
        <v>333.96</v>
      </c>
      <c r="K34" s="63">
        <f t="shared" si="2"/>
        <v>9867.3216000000011</v>
      </c>
      <c r="L34" s="284"/>
      <c r="M34" s="144">
        <f t="shared" si="3"/>
        <v>18073.669700000079</v>
      </c>
      <c r="N34" s="43"/>
      <c r="O34" s="5"/>
    </row>
    <row r="35" spans="1:15">
      <c r="A35" s="43">
        <v>30</v>
      </c>
      <c r="B35" s="212"/>
      <c r="C35" s="6"/>
      <c r="D35" s="6"/>
      <c r="E35" s="62"/>
      <c r="F35" s="6"/>
      <c r="G35" s="63">
        <f t="shared" ref="G5:G41" si="5">E35*F35</f>
        <v>0</v>
      </c>
      <c r="H35" s="62"/>
      <c r="I35" s="6"/>
      <c r="J35" s="63">
        <f t="shared" ref="J35:J41" si="6">H35*I35</f>
        <v>0</v>
      </c>
      <c r="K35" s="63">
        <f t="shared" si="2"/>
        <v>0</v>
      </c>
      <c r="L35" s="284"/>
      <c r="M35" s="144">
        <f t="shared" si="3"/>
        <v>18073.669700000079</v>
      </c>
      <c r="N35" s="43"/>
      <c r="O35" s="5"/>
    </row>
    <row r="36" spans="1:15">
      <c r="A36" s="189">
        <v>31</v>
      </c>
      <c r="B36" s="212"/>
      <c r="C36" s="6"/>
      <c r="D36" s="6"/>
      <c r="E36" s="62"/>
      <c r="F36" s="6"/>
      <c r="G36" s="63">
        <f t="shared" si="5"/>
        <v>0</v>
      </c>
      <c r="H36" s="62"/>
      <c r="I36" s="6"/>
      <c r="J36" s="63">
        <f t="shared" si="6"/>
        <v>0</v>
      </c>
      <c r="K36" s="63">
        <f t="shared" si="2"/>
        <v>0</v>
      </c>
      <c r="L36" s="284"/>
      <c r="M36" s="144">
        <f t="shared" si="3"/>
        <v>18073.669700000079</v>
      </c>
      <c r="N36" s="43"/>
      <c r="O36" s="5"/>
    </row>
    <row r="37" spans="1:15">
      <c r="A37" s="43">
        <v>32</v>
      </c>
      <c r="B37" s="212"/>
      <c r="C37" s="6"/>
      <c r="D37" s="6"/>
      <c r="E37" s="62"/>
      <c r="F37" s="6"/>
      <c r="G37" s="63">
        <f t="shared" si="5"/>
        <v>0</v>
      </c>
      <c r="H37" s="62"/>
      <c r="I37" s="6"/>
      <c r="J37" s="63">
        <f t="shared" si="6"/>
        <v>0</v>
      </c>
      <c r="K37" s="63">
        <f t="shared" si="2"/>
        <v>0</v>
      </c>
      <c r="L37" s="284"/>
      <c r="M37" s="144">
        <f t="shared" si="3"/>
        <v>18073.669700000079</v>
      </c>
      <c r="N37" s="43"/>
      <c r="O37" s="5"/>
    </row>
    <row r="38" spans="1:15">
      <c r="A38" s="43">
        <v>33</v>
      </c>
      <c r="B38" s="212"/>
      <c r="C38" s="6"/>
      <c r="D38" s="6"/>
      <c r="E38" s="62"/>
      <c r="F38" s="6"/>
      <c r="G38" s="63">
        <f t="shared" si="5"/>
        <v>0</v>
      </c>
      <c r="H38" s="62"/>
      <c r="I38" s="6"/>
      <c r="J38" s="63">
        <f t="shared" si="6"/>
        <v>0</v>
      </c>
      <c r="K38" s="63">
        <f t="shared" si="2"/>
        <v>0</v>
      </c>
      <c r="L38" s="284"/>
      <c r="M38" s="144">
        <f t="shared" si="3"/>
        <v>18073.669700000079</v>
      </c>
      <c r="N38" s="43"/>
      <c r="O38" s="5"/>
    </row>
    <row r="39" spans="1:15">
      <c r="A39" s="189">
        <v>34</v>
      </c>
      <c r="B39" s="212"/>
      <c r="C39" s="6"/>
      <c r="D39" s="6"/>
      <c r="E39" s="62"/>
      <c r="F39" s="6"/>
      <c r="G39" s="63">
        <f t="shared" si="5"/>
        <v>0</v>
      </c>
      <c r="H39" s="62"/>
      <c r="I39" s="6"/>
      <c r="J39" s="63">
        <f t="shared" si="6"/>
        <v>0</v>
      </c>
      <c r="K39" s="63">
        <f t="shared" si="2"/>
        <v>0</v>
      </c>
      <c r="L39" s="284"/>
      <c r="M39" s="144">
        <f t="shared" si="3"/>
        <v>18073.669700000079</v>
      </c>
      <c r="N39" s="43"/>
      <c r="O39" s="5"/>
    </row>
    <row r="40" spans="1:15">
      <c r="A40" s="43">
        <v>35</v>
      </c>
      <c r="B40" s="212"/>
      <c r="C40" s="6"/>
      <c r="D40" s="6"/>
      <c r="E40" s="62"/>
      <c r="F40" s="6"/>
      <c r="G40" s="63">
        <f t="shared" si="5"/>
        <v>0</v>
      </c>
      <c r="H40" s="62"/>
      <c r="I40" s="6"/>
      <c r="J40" s="63">
        <f t="shared" si="6"/>
        <v>0</v>
      </c>
      <c r="K40" s="63">
        <f t="shared" si="2"/>
        <v>0</v>
      </c>
      <c r="L40" s="284"/>
      <c r="M40" s="144">
        <f t="shared" si="3"/>
        <v>18073.669700000079</v>
      </c>
      <c r="N40" s="43"/>
      <c r="O40" s="5"/>
    </row>
    <row r="41" spans="1:15">
      <c r="A41" s="43">
        <v>36</v>
      </c>
      <c r="B41" s="212"/>
      <c r="C41" s="6"/>
      <c r="D41" s="6"/>
      <c r="E41" s="62"/>
      <c r="F41" s="6"/>
      <c r="G41" s="63">
        <f t="shared" si="5"/>
        <v>0</v>
      </c>
      <c r="H41" s="62"/>
      <c r="I41" s="6"/>
      <c r="J41" s="63">
        <f t="shared" si="6"/>
        <v>0</v>
      </c>
      <c r="K41" s="63">
        <f t="shared" si="2"/>
        <v>0</v>
      </c>
      <c r="L41" s="284"/>
      <c r="M41" s="144">
        <f t="shared" si="3"/>
        <v>18073.669700000079</v>
      </c>
      <c r="N41" s="6"/>
      <c r="O41" s="5"/>
    </row>
    <row r="42" spans="1:15">
      <c r="A42" s="189">
        <v>37</v>
      </c>
      <c r="B42" s="212"/>
      <c r="C42" s="6"/>
      <c r="D42" s="6"/>
      <c r="E42" s="62"/>
      <c r="F42" s="6"/>
      <c r="G42" s="63">
        <f t="shared" ref="G25:G49" si="7">E42*F42</f>
        <v>0</v>
      </c>
      <c r="H42" s="62"/>
      <c r="I42" s="6"/>
      <c r="J42" s="63">
        <f t="shared" ref="J25:J49" si="8">H42*I42</f>
        <v>0</v>
      </c>
      <c r="K42" s="63">
        <f t="shared" ref="K42:K49" si="9">G42+J42</f>
        <v>0</v>
      </c>
      <c r="L42" s="284"/>
      <c r="M42" s="144">
        <f t="shared" si="3"/>
        <v>18073.669700000079</v>
      </c>
      <c r="N42" s="6"/>
      <c r="O42" s="5"/>
    </row>
    <row r="43" spans="1:15">
      <c r="A43" s="43">
        <v>38</v>
      </c>
      <c r="B43" s="212"/>
      <c r="C43" s="6"/>
      <c r="D43" s="6"/>
      <c r="E43" s="62"/>
      <c r="F43" s="6"/>
      <c r="G43" s="63">
        <f t="shared" si="7"/>
        <v>0</v>
      </c>
      <c r="H43" s="62"/>
      <c r="I43" s="6"/>
      <c r="J43" s="63">
        <f t="shared" si="8"/>
        <v>0</v>
      </c>
      <c r="K43" s="63">
        <f t="shared" si="9"/>
        <v>0</v>
      </c>
      <c r="L43" s="284"/>
      <c r="M43" s="144">
        <f t="shared" si="3"/>
        <v>18073.669700000079</v>
      </c>
      <c r="N43" s="6"/>
      <c r="O43" s="5"/>
    </row>
    <row r="44" spans="1:15">
      <c r="A44" s="43">
        <v>39</v>
      </c>
      <c r="B44" s="212"/>
      <c r="C44" s="6"/>
      <c r="D44" s="6"/>
      <c r="E44" s="62"/>
      <c r="F44" s="6"/>
      <c r="G44" s="63">
        <f t="shared" si="7"/>
        <v>0</v>
      </c>
      <c r="H44" s="62"/>
      <c r="I44" s="6"/>
      <c r="J44" s="63">
        <f t="shared" si="8"/>
        <v>0</v>
      </c>
      <c r="K44" s="63">
        <f t="shared" si="9"/>
        <v>0</v>
      </c>
      <c r="L44" s="284"/>
      <c r="M44" s="144">
        <f t="shared" si="3"/>
        <v>18073.669700000079</v>
      </c>
      <c r="N44" s="6"/>
      <c r="O44" s="5"/>
    </row>
    <row r="45" spans="1:15">
      <c r="A45" s="189">
        <v>40</v>
      </c>
      <c r="B45" s="212"/>
      <c r="C45" s="6"/>
      <c r="D45" s="6"/>
      <c r="E45" s="62"/>
      <c r="F45" s="6"/>
      <c r="G45" s="63">
        <f t="shared" si="7"/>
        <v>0</v>
      </c>
      <c r="H45" s="62"/>
      <c r="I45" s="6"/>
      <c r="J45" s="63">
        <f t="shared" si="8"/>
        <v>0</v>
      </c>
      <c r="K45" s="63">
        <f t="shared" si="9"/>
        <v>0</v>
      </c>
      <c r="L45" s="284"/>
      <c r="M45" s="144">
        <f t="shared" si="3"/>
        <v>18073.669700000079</v>
      </c>
      <c r="N45" s="6"/>
      <c r="O45" s="5"/>
    </row>
    <row r="46" spans="1:15">
      <c r="A46" s="43">
        <v>41</v>
      </c>
      <c r="B46" s="163"/>
      <c r="C46" s="162"/>
      <c r="D46" s="6"/>
      <c r="E46" s="62"/>
      <c r="F46" s="6"/>
      <c r="G46" s="63">
        <f t="shared" si="7"/>
        <v>0</v>
      </c>
      <c r="H46" s="62"/>
      <c r="I46" s="6"/>
      <c r="J46" s="63">
        <f t="shared" si="8"/>
        <v>0</v>
      </c>
      <c r="K46" s="63">
        <f t="shared" si="9"/>
        <v>0</v>
      </c>
      <c r="L46" s="284"/>
      <c r="M46" s="144">
        <f t="shared" si="3"/>
        <v>18073.669700000079</v>
      </c>
      <c r="N46" s="162"/>
      <c r="O46" s="5"/>
    </row>
    <row r="47" spans="1:15">
      <c r="A47" s="43">
        <v>42</v>
      </c>
      <c r="B47" s="6"/>
      <c r="C47" s="6"/>
      <c r="D47" s="6"/>
      <c r="E47" s="62"/>
      <c r="F47" s="6"/>
      <c r="G47" s="63">
        <f t="shared" si="7"/>
        <v>0</v>
      </c>
      <c r="H47" s="62"/>
      <c r="I47" s="6"/>
      <c r="J47" s="63">
        <f t="shared" si="8"/>
        <v>0</v>
      </c>
      <c r="K47" s="63">
        <f t="shared" si="9"/>
        <v>0</v>
      </c>
      <c r="L47" s="284">
        <v>0</v>
      </c>
      <c r="M47" s="144">
        <f t="shared" si="3"/>
        <v>18073.669700000079</v>
      </c>
      <c r="N47" s="6"/>
      <c r="O47" s="5"/>
    </row>
    <row r="48" spans="1:15">
      <c r="A48" s="189">
        <v>43</v>
      </c>
      <c r="B48" s="162"/>
      <c r="C48" s="162"/>
      <c r="D48" s="6"/>
      <c r="E48" s="62"/>
      <c r="F48" s="6"/>
      <c r="G48" s="63">
        <f t="shared" si="7"/>
        <v>0</v>
      </c>
      <c r="H48" s="62"/>
      <c r="I48" s="6"/>
      <c r="J48" s="63">
        <f t="shared" si="8"/>
        <v>0</v>
      </c>
      <c r="K48" s="164">
        <f t="shared" si="9"/>
        <v>0</v>
      </c>
      <c r="L48" s="155"/>
      <c r="M48" s="144">
        <f t="shared" si="3"/>
        <v>18073.669700000079</v>
      </c>
      <c r="N48" s="162"/>
      <c r="O48" s="5"/>
    </row>
    <row r="49" spans="1:15">
      <c r="A49" s="43"/>
      <c r="B49" s="162"/>
      <c r="C49" s="162"/>
      <c r="D49" s="6"/>
      <c r="E49" s="62"/>
      <c r="F49" s="6"/>
      <c r="G49" s="63">
        <f t="shared" si="7"/>
        <v>0</v>
      </c>
      <c r="H49" s="62"/>
      <c r="I49" s="6"/>
      <c r="J49" s="63">
        <f t="shared" si="8"/>
        <v>0</v>
      </c>
      <c r="K49" s="164">
        <f t="shared" si="9"/>
        <v>0</v>
      </c>
      <c r="L49" s="165"/>
      <c r="M49" s="144">
        <f t="shared" si="3"/>
        <v>18073.669700000079</v>
      </c>
      <c r="N49" s="162"/>
      <c r="O49" s="5"/>
    </row>
    <row r="50" spans="1:15">
      <c r="A50" s="59"/>
      <c r="B50" s="59"/>
      <c r="C50" s="59"/>
      <c r="D50" s="59"/>
      <c r="E50" s="60">
        <f>SUM(E4:E49)</f>
        <v>1667.9</v>
      </c>
      <c r="F50" s="60"/>
      <c r="G50" s="60">
        <f>SUM(G4:G49)</f>
        <v>165480.8603</v>
      </c>
      <c r="H50" s="60">
        <f>SUM(H4:H49)</f>
        <v>43</v>
      </c>
      <c r="I50" s="60"/>
      <c r="J50" s="60">
        <f>SUM(J4:J49)</f>
        <v>4881.0599999999995</v>
      </c>
      <c r="K50" s="60">
        <f>SUM(K4:K49)</f>
        <v>170361.92029999997</v>
      </c>
      <c r="L50" s="60">
        <f>SUM(L4:L49)</f>
        <v>336597</v>
      </c>
      <c r="M50" s="60"/>
      <c r="N50" s="60"/>
      <c r="O50" s="56"/>
    </row>
    <row r="51" spans="1:15">
      <c r="A51" s="5"/>
      <c r="B51" s="5"/>
      <c r="C51" s="5"/>
      <c r="D51" s="5"/>
      <c r="E51" s="5"/>
      <c r="F51" s="5"/>
      <c r="G51" s="99"/>
      <c r="H51" s="5"/>
      <c r="I51" s="5"/>
      <c r="J51" s="99"/>
      <c r="K51" s="5"/>
      <c r="L51" s="99"/>
      <c r="M51" s="99"/>
      <c r="N51" s="5"/>
      <c r="O51" s="5"/>
    </row>
    <row r="52" spans="1:15">
      <c r="A52" s="5"/>
      <c r="B52" s="5"/>
      <c r="C52" s="5"/>
      <c r="D52" s="5"/>
      <c r="E52" s="5"/>
      <c r="F52" s="5"/>
      <c r="G52" s="99"/>
      <c r="H52" s="5"/>
      <c r="I52" s="5"/>
      <c r="J52" s="99"/>
      <c r="K52" s="5"/>
      <c r="L52" s="99"/>
      <c r="M52" s="99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18" workbookViewId="0">
      <selection activeCell="M42" sqref="M42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581" t="s">
        <v>164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"/>
    </row>
    <row r="2" spans="1:15" ht="45">
      <c r="A2" s="61" t="s">
        <v>0</v>
      </c>
      <c r="B2" s="80" t="s">
        <v>170</v>
      </c>
      <c r="C2" s="80" t="s">
        <v>171</v>
      </c>
      <c r="D2" s="80" t="s">
        <v>194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178</v>
      </c>
      <c r="M2" s="82" t="s">
        <v>195</v>
      </c>
      <c r="N2" s="80" t="s">
        <v>180</v>
      </c>
      <c r="O2" s="5"/>
    </row>
    <row r="3" spans="1:15">
      <c r="A3" s="603" t="s">
        <v>181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6"/>
      <c r="M3" s="605">
        <v>28530.320299999974</v>
      </c>
      <c r="N3" s="607"/>
      <c r="O3" s="5"/>
    </row>
    <row r="4" spans="1:15">
      <c r="A4" s="189">
        <v>1</v>
      </c>
      <c r="B4" s="212">
        <v>46235</v>
      </c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155"/>
      <c r="M4" s="287">
        <f>M3+K4-L4</f>
        <v>28530.320299999974</v>
      </c>
      <c r="N4" s="43"/>
      <c r="O4" s="5"/>
    </row>
    <row r="5" spans="1:15">
      <c r="A5" s="43">
        <v>2</v>
      </c>
      <c r="B5" s="212">
        <v>46236</v>
      </c>
      <c r="C5" s="6"/>
      <c r="D5" s="6"/>
      <c r="E5" s="62">
        <v>37.979999999999997</v>
      </c>
      <c r="F5" s="6">
        <v>99.28</v>
      </c>
      <c r="G5" s="63">
        <f t="shared" ref="G5:G34" si="0">E5*F5</f>
        <v>3770.6543999999999</v>
      </c>
      <c r="H5" s="62"/>
      <c r="I5" s="6"/>
      <c r="J5" s="63">
        <f t="shared" ref="J5:J41" si="1">H5*I5</f>
        <v>0</v>
      </c>
      <c r="K5" s="63">
        <f t="shared" ref="K5:L41" si="2">G5+J5</f>
        <v>3770.6543999999999</v>
      </c>
      <c r="L5" s="155"/>
      <c r="M5" s="287">
        <f t="shared" ref="M5:M18" si="3">M4+K5-L5</f>
        <v>32300.974699999973</v>
      </c>
      <c r="N5" s="43"/>
      <c r="O5" s="5"/>
    </row>
    <row r="6" spans="1:15">
      <c r="A6" s="43">
        <v>3</v>
      </c>
      <c r="B6" s="212">
        <v>46237</v>
      </c>
      <c r="C6" s="6"/>
      <c r="D6" s="6"/>
      <c r="E6" s="62">
        <v>41.93</v>
      </c>
      <c r="F6" s="6">
        <v>99.28</v>
      </c>
      <c r="G6" s="63">
        <f t="shared" si="0"/>
        <v>4162.8104000000003</v>
      </c>
      <c r="H6" s="62"/>
      <c r="I6" s="6"/>
      <c r="J6" s="63">
        <f t="shared" si="1"/>
        <v>0</v>
      </c>
      <c r="K6" s="63">
        <f t="shared" si="2"/>
        <v>4162.8104000000003</v>
      </c>
      <c r="L6" s="155"/>
      <c r="M6" s="287">
        <f t="shared" si="3"/>
        <v>36463.785099999972</v>
      </c>
      <c r="N6" s="43"/>
      <c r="O6" s="5"/>
    </row>
    <row r="7" spans="1:15">
      <c r="A7" s="43">
        <v>4</v>
      </c>
      <c r="B7" s="212">
        <v>46238</v>
      </c>
      <c r="C7" s="162"/>
      <c r="D7" s="162"/>
      <c r="E7" s="62"/>
      <c r="F7" s="6"/>
      <c r="G7" s="63">
        <f t="shared" si="0"/>
        <v>0</v>
      </c>
      <c r="H7" s="6"/>
      <c r="I7" s="63"/>
      <c r="J7" s="63">
        <f t="shared" si="1"/>
        <v>0</v>
      </c>
      <c r="K7" s="63">
        <f t="shared" si="2"/>
        <v>0</v>
      </c>
      <c r="L7" s="155"/>
      <c r="M7" s="287">
        <f t="shared" si="3"/>
        <v>36463.785099999972</v>
      </c>
      <c r="N7" s="43"/>
      <c r="O7" s="5"/>
    </row>
    <row r="8" spans="1:15">
      <c r="A8" s="214">
        <v>5</v>
      </c>
      <c r="B8" s="212">
        <v>46239</v>
      </c>
      <c r="C8" s="6"/>
      <c r="D8" s="6"/>
      <c r="E8" s="62"/>
      <c r="F8" s="6"/>
      <c r="G8" s="63">
        <f t="shared" si="0"/>
        <v>0</v>
      </c>
      <c r="H8" s="62">
        <v>11</v>
      </c>
      <c r="I8" s="6">
        <v>111.38</v>
      </c>
      <c r="J8" s="63">
        <f t="shared" si="1"/>
        <v>1225.1799999999998</v>
      </c>
      <c r="K8" s="63">
        <f t="shared" si="2"/>
        <v>1225.1799999999998</v>
      </c>
      <c r="L8" s="155">
        <v>36000</v>
      </c>
      <c r="M8" s="287">
        <f t="shared" si="3"/>
        <v>1688.9650999999722</v>
      </c>
      <c r="N8" s="43"/>
      <c r="O8" s="5"/>
    </row>
    <row r="9" spans="1:15">
      <c r="A9" s="214">
        <v>6</v>
      </c>
      <c r="B9" s="212">
        <v>46240</v>
      </c>
      <c r="C9" s="6"/>
      <c r="D9" s="6"/>
      <c r="E9" s="62"/>
      <c r="F9" s="6"/>
      <c r="G9" s="63">
        <f t="shared" si="0"/>
        <v>0</v>
      </c>
      <c r="H9" s="62"/>
      <c r="I9" s="6"/>
      <c r="J9" s="63">
        <f t="shared" si="1"/>
        <v>0</v>
      </c>
      <c r="K9" s="63">
        <f t="shared" si="2"/>
        <v>0</v>
      </c>
      <c r="L9" s="155"/>
      <c r="M9" s="287">
        <f t="shared" si="3"/>
        <v>1688.9650999999722</v>
      </c>
      <c r="N9" s="43"/>
      <c r="O9" s="5"/>
    </row>
    <row r="10" spans="1:15">
      <c r="A10" s="214">
        <v>7</v>
      </c>
      <c r="B10" s="212">
        <v>46241</v>
      </c>
      <c r="C10" s="6"/>
      <c r="D10" s="6"/>
      <c r="E10" s="62">
        <v>37.729999999999997</v>
      </c>
      <c r="F10" s="6">
        <v>99.28</v>
      </c>
      <c r="G10" s="63">
        <f t="shared" si="0"/>
        <v>3745.8343999999997</v>
      </c>
      <c r="H10" s="62"/>
      <c r="I10" s="6"/>
      <c r="J10" s="63">
        <f t="shared" si="1"/>
        <v>0</v>
      </c>
      <c r="K10" s="63">
        <f t="shared" si="2"/>
        <v>3745.8343999999997</v>
      </c>
      <c r="L10" s="155"/>
      <c r="M10" s="287">
        <f t="shared" si="3"/>
        <v>5434.7994999999719</v>
      </c>
      <c r="N10" s="43"/>
      <c r="O10" s="5"/>
    </row>
    <row r="11" spans="1:15">
      <c r="A11" s="214">
        <v>8</v>
      </c>
      <c r="B11" s="212">
        <v>46242</v>
      </c>
      <c r="C11" s="6"/>
      <c r="D11" s="6"/>
      <c r="E11" s="62"/>
      <c r="F11" s="6"/>
      <c r="G11" s="63">
        <f t="shared" si="0"/>
        <v>0</v>
      </c>
      <c r="H11" s="62"/>
      <c r="I11" s="6"/>
      <c r="J11" s="63">
        <f t="shared" si="1"/>
        <v>0</v>
      </c>
      <c r="K11" s="63">
        <f>G11+J11</f>
        <v>0</v>
      </c>
      <c r="L11" s="155"/>
      <c r="M11" s="287">
        <f t="shared" si="3"/>
        <v>5434.7994999999719</v>
      </c>
      <c r="N11" s="43"/>
      <c r="O11" s="5"/>
    </row>
    <row r="12" spans="1:15">
      <c r="A12" s="214">
        <v>9</v>
      </c>
      <c r="B12" s="212">
        <v>46243</v>
      </c>
      <c r="C12" s="6"/>
      <c r="D12" s="6"/>
      <c r="E12" s="62"/>
      <c r="F12" s="6"/>
      <c r="G12" s="63">
        <f t="shared" si="0"/>
        <v>0</v>
      </c>
      <c r="H12" s="62"/>
      <c r="I12" s="6"/>
      <c r="J12" s="63">
        <f t="shared" si="1"/>
        <v>0</v>
      </c>
      <c r="K12" s="63">
        <f>G12+J12</f>
        <v>0</v>
      </c>
      <c r="L12" s="155"/>
      <c r="M12" s="287">
        <f t="shared" si="3"/>
        <v>5434.7994999999719</v>
      </c>
      <c r="N12" s="43"/>
      <c r="O12" s="5"/>
    </row>
    <row r="13" spans="1:15">
      <c r="A13" s="214">
        <v>10</v>
      </c>
      <c r="B13" s="212">
        <v>46244</v>
      </c>
      <c r="C13" s="6"/>
      <c r="D13" s="6"/>
      <c r="E13" s="62"/>
      <c r="F13" s="6"/>
      <c r="G13" s="63">
        <f t="shared" si="0"/>
        <v>0</v>
      </c>
      <c r="H13" s="62">
        <v>5</v>
      </c>
      <c r="I13" s="6">
        <v>111.38</v>
      </c>
      <c r="J13" s="63">
        <f t="shared" si="1"/>
        <v>556.9</v>
      </c>
      <c r="K13" s="63">
        <f>G13+J13</f>
        <v>556.9</v>
      </c>
      <c r="L13" s="155"/>
      <c r="M13" s="287">
        <f t="shared" si="3"/>
        <v>5991.6994999999715</v>
      </c>
      <c r="N13" s="43"/>
      <c r="O13" s="5"/>
    </row>
    <row r="14" spans="1:15">
      <c r="A14" s="214">
        <v>11</v>
      </c>
      <c r="B14" s="212">
        <v>46245</v>
      </c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/>
      <c r="M14" s="287">
        <f t="shared" si="3"/>
        <v>5991.6994999999715</v>
      </c>
      <c r="N14" s="43"/>
      <c r="O14" s="5"/>
    </row>
    <row r="15" spans="1:15">
      <c r="A15" s="214">
        <v>12</v>
      </c>
      <c r="B15" s="212">
        <v>46246</v>
      </c>
      <c r="C15" s="6"/>
      <c r="D15" s="6"/>
      <c r="E15" s="62"/>
      <c r="F15" s="6"/>
      <c r="G15" s="63">
        <f t="shared" si="0"/>
        <v>0</v>
      </c>
      <c r="H15" s="62"/>
      <c r="I15" s="6"/>
      <c r="J15" s="63">
        <f t="shared" si="1"/>
        <v>0</v>
      </c>
      <c r="K15" s="63">
        <f t="shared" si="2"/>
        <v>0</v>
      </c>
      <c r="L15" s="155"/>
      <c r="M15" s="287">
        <f t="shared" si="3"/>
        <v>5991.6994999999715</v>
      </c>
      <c r="N15" s="43"/>
      <c r="O15" s="5"/>
    </row>
    <row r="16" spans="1:15">
      <c r="A16" s="214">
        <v>13</v>
      </c>
      <c r="B16" s="212">
        <v>46247</v>
      </c>
      <c r="C16" s="6"/>
      <c r="D16" s="6"/>
      <c r="E16" s="62"/>
      <c r="F16" s="6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63"/>
      <c r="M16" s="287">
        <f t="shared" si="3"/>
        <v>5991.6994999999715</v>
      </c>
      <c r="N16" s="43"/>
      <c r="O16" s="5"/>
    </row>
    <row r="17" spans="1:15">
      <c r="A17" s="214">
        <v>14</v>
      </c>
      <c r="B17" s="212">
        <v>46248</v>
      </c>
      <c r="C17" s="6"/>
      <c r="D17" s="6"/>
      <c r="E17" s="62"/>
      <c r="F17" s="6"/>
      <c r="G17" s="63">
        <f t="shared" si="0"/>
        <v>0</v>
      </c>
      <c r="H17" s="62">
        <v>4.5</v>
      </c>
      <c r="I17" s="6">
        <v>111.38</v>
      </c>
      <c r="J17" s="63">
        <f t="shared" si="1"/>
        <v>501.21</v>
      </c>
      <c r="K17" s="63">
        <f t="shared" si="2"/>
        <v>501.21</v>
      </c>
      <c r="L17" s="155"/>
      <c r="M17" s="287">
        <f t="shared" si="3"/>
        <v>6492.9094999999716</v>
      </c>
      <c r="N17" s="43"/>
      <c r="O17" s="5"/>
    </row>
    <row r="18" spans="1:15">
      <c r="A18" s="214">
        <v>15</v>
      </c>
      <c r="B18" s="212">
        <v>46249</v>
      </c>
      <c r="C18" s="6"/>
      <c r="D18" s="6"/>
      <c r="E18" s="62">
        <v>36.700000000000003</v>
      </c>
      <c r="F18" s="6">
        <v>99.28</v>
      </c>
      <c r="G18" s="63">
        <f t="shared" si="0"/>
        <v>3643.5760000000005</v>
      </c>
      <c r="H18" s="62"/>
      <c r="I18" s="6"/>
      <c r="J18" s="63">
        <f t="shared" si="1"/>
        <v>0</v>
      </c>
      <c r="K18" s="63">
        <f t="shared" si="2"/>
        <v>3643.5760000000005</v>
      </c>
      <c r="L18" s="155"/>
      <c r="M18" s="287">
        <f t="shared" si="3"/>
        <v>10136.485499999972</v>
      </c>
      <c r="N18" s="43"/>
      <c r="O18" s="5"/>
    </row>
    <row r="19" spans="1:15">
      <c r="A19" s="214">
        <v>16</v>
      </c>
      <c r="B19" s="212">
        <v>46250</v>
      </c>
      <c r="C19" s="6"/>
      <c r="D19" s="6"/>
      <c r="E19" s="62"/>
      <c r="F19" s="6"/>
      <c r="G19" s="63">
        <f t="shared" si="0"/>
        <v>0</v>
      </c>
      <c r="H19" s="62">
        <v>5</v>
      </c>
      <c r="I19" s="6">
        <v>111.38</v>
      </c>
      <c r="J19" s="63">
        <f t="shared" si="1"/>
        <v>556.9</v>
      </c>
      <c r="K19" s="63">
        <f t="shared" si="2"/>
        <v>556.9</v>
      </c>
      <c r="L19" s="155"/>
      <c r="M19" s="288">
        <f t="shared" ref="M15:M42" si="4">M18+K19-L19</f>
        <v>10693.385499999971</v>
      </c>
      <c r="N19" s="43"/>
      <c r="O19" s="5"/>
    </row>
    <row r="20" spans="1:15">
      <c r="A20" s="214">
        <v>17</v>
      </c>
      <c r="B20" s="212">
        <v>46251</v>
      </c>
      <c r="C20" s="6"/>
      <c r="D20" s="6"/>
      <c r="E20" s="62">
        <v>50</v>
      </c>
      <c r="F20" s="6">
        <v>99.28</v>
      </c>
      <c r="G20" s="63">
        <f t="shared" si="0"/>
        <v>4964</v>
      </c>
      <c r="H20" s="62">
        <v>9.1300000000000008</v>
      </c>
      <c r="I20" s="6">
        <v>111.38</v>
      </c>
      <c r="J20" s="63">
        <f t="shared" si="1"/>
        <v>1016.8994</v>
      </c>
      <c r="K20" s="63">
        <f t="shared" si="2"/>
        <v>5980.8994000000002</v>
      </c>
      <c r="L20" s="155"/>
      <c r="M20" s="288">
        <f t="shared" si="4"/>
        <v>16674.28489999997</v>
      </c>
      <c r="N20" s="43"/>
      <c r="O20" s="5"/>
    </row>
    <row r="21" spans="1:15">
      <c r="A21" s="214">
        <v>18</v>
      </c>
      <c r="B21" s="212">
        <v>46252</v>
      </c>
      <c r="C21" s="6"/>
      <c r="D21" s="6"/>
      <c r="E21" s="62">
        <v>64</v>
      </c>
      <c r="F21" s="6">
        <v>99.28</v>
      </c>
      <c r="G21" s="63">
        <f t="shared" si="0"/>
        <v>6353.92</v>
      </c>
      <c r="H21" s="62"/>
      <c r="I21" s="6"/>
      <c r="J21" s="63">
        <f t="shared" si="1"/>
        <v>0</v>
      </c>
      <c r="K21" s="63">
        <f t="shared" si="2"/>
        <v>6353.92</v>
      </c>
      <c r="L21" s="155"/>
      <c r="M21" s="288">
        <f t="shared" si="4"/>
        <v>23028.204899999968</v>
      </c>
      <c r="N21" s="43"/>
      <c r="O21" s="5"/>
    </row>
    <row r="22" spans="1:15">
      <c r="A22" s="214">
        <v>19</v>
      </c>
      <c r="B22" s="212">
        <v>46253</v>
      </c>
      <c r="C22" s="6"/>
      <c r="D22" s="6"/>
      <c r="E22" s="62"/>
      <c r="F22" s="6"/>
      <c r="G22" s="63">
        <f t="shared" si="0"/>
        <v>0</v>
      </c>
      <c r="H22" s="62"/>
      <c r="I22" s="6"/>
      <c r="J22" s="63">
        <f t="shared" si="1"/>
        <v>0</v>
      </c>
      <c r="K22" s="63">
        <f t="shared" si="2"/>
        <v>0</v>
      </c>
      <c r="L22" s="155"/>
      <c r="M22" s="288">
        <f t="shared" si="4"/>
        <v>23028.204899999968</v>
      </c>
      <c r="N22" s="43"/>
      <c r="O22" s="5"/>
    </row>
    <row r="23" spans="1:15">
      <c r="A23" s="214">
        <v>20</v>
      </c>
      <c r="B23" s="212">
        <v>46254</v>
      </c>
      <c r="C23" s="6"/>
      <c r="D23" s="6"/>
      <c r="E23" s="62"/>
      <c r="F23" s="6"/>
      <c r="G23" s="63">
        <f t="shared" si="0"/>
        <v>0</v>
      </c>
      <c r="H23" s="62"/>
      <c r="I23" s="6"/>
      <c r="J23" s="63">
        <f t="shared" si="1"/>
        <v>0</v>
      </c>
      <c r="K23" s="63">
        <f t="shared" si="2"/>
        <v>0</v>
      </c>
      <c r="L23" s="155"/>
      <c r="M23" s="288">
        <f t="shared" si="4"/>
        <v>23028.204899999968</v>
      </c>
      <c r="N23" s="43"/>
      <c r="O23" s="5"/>
    </row>
    <row r="24" spans="1:15">
      <c r="A24" s="214">
        <v>21</v>
      </c>
      <c r="B24" s="212">
        <v>46255</v>
      </c>
      <c r="C24" s="6"/>
      <c r="D24" s="6"/>
      <c r="E24" s="62"/>
      <c r="F24" s="6"/>
      <c r="G24" s="63">
        <f t="shared" si="0"/>
        <v>0</v>
      </c>
      <c r="H24" s="62"/>
      <c r="I24" s="6"/>
      <c r="J24" s="63">
        <f t="shared" si="1"/>
        <v>0</v>
      </c>
      <c r="K24" s="63">
        <f t="shared" si="2"/>
        <v>0</v>
      </c>
      <c r="L24" s="155"/>
      <c r="M24" s="288">
        <f t="shared" si="4"/>
        <v>23028.204899999968</v>
      </c>
      <c r="N24" s="43"/>
      <c r="O24" s="5"/>
    </row>
    <row r="25" spans="1:15">
      <c r="A25" s="43">
        <v>22</v>
      </c>
      <c r="B25" s="212">
        <v>46256</v>
      </c>
      <c r="C25" s="314"/>
      <c r="D25" s="314"/>
      <c r="E25" s="62">
        <v>41.1</v>
      </c>
      <c r="F25" s="6">
        <v>99.28</v>
      </c>
      <c r="G25" s="63">
        <f t="shared" si="0"/>
        <v>4080.4080000000004</v>
      </c>
      <c r="H25" s="62"/>
      <c r="I25" s="6"/>
      <c r="J25" s="63">
        <f t="shared" si="1"/>
        <v>0</v>
      </c>
      <c r="K25" s="63">
        <f t="shared" si="2"/>
        <v>4080.4080000000004</v>
      </c>
      <c r="L25" s="155"/>
      <c r="M25" s="251">
        <f t="shared" si="4"/>
        <v>27108.612899999967</v>
      </c>
      <c r="N25" s="43"/>
      <c r="O25" s="5"/>
    </row>
    <row r="26" spans="1:15">
      <c r="A26" s="43">
        <v>23</v>
      </c>
      <c r="B26" s="212">
        <v>46257</v>
      </c>
      <c r="C26" s="6"/>
      <c r="D26" s="6"/>
      <c r="E26" s="62"/>
      <c r="F26" s="6"/>
      <c r="G26" s="63">
        <f t="shared" si="0"/>
        <v>0</v>
      </c>
      <c r="H26" s="62">
        <v>6.29</v>
      </c>
      <c r="I26" s="6">
        <v>111.38</v>
      </c>
      <c r="J26" s="63">
        <f t="shared" si="1"/>
        <v>700.58019999999999</v>
      </c>
      <c r="K26" s="63">
        <f t="shared" si="2"/>
        <v>700.58019999999999</v>
      </c>
      <c r="L26" s="155"/>
      <c r="M26" s="251">
        <f t="shared" si="4"/>
        <v>27809.193099999968</v>
      </c>
      <c r="N26" s="6"/>
      <c r="O26" s="5"/>
    </row>
    <row r="27" spans="1:15">
      <c r="A27" s="43">
        <v>24</v>
      </c>
      <c r="B27" s="212">
        <v>46258</v>
      </c>
      <c r="C27" s="6"/>
      <c r="D27" s="6"/>
      <c r="E27" s="62"/>
      <c r="F27" s="6"/>
      <c r="G27" s="63">
        <f t="shared" si="0"/>
        <v>0</v>
      </c>
      <c r="H27" s="62"/>
      <c r="I27" s="6"/>
      <c r="J27" s="63">
        <f t="shared" si="1"/>
        <v>0</v>
      </c>
      <c r="K27" s="63">
        <f t="shared" si="2"/>
        <v>0</v>
      </c>
      <c r="L27" s="155"/>
      <c r="M27" s="251">
        <f t="shared" si="4"/>
        <v>27809.193099999968</v>
      </c>
      <c r="N27" s="6"/>
      <c r="O27" s="5"/>
    </row>
    <row r="28" spans="1:15">
      <c r="A28" s="214">
        <v>25</v>
      </c>
      <c r="B28" s="212">
        <v>46259</v>
      </c>
      <c r="C28" s="6"/>
      <c r="D28" s="6"/>
      <c r="E28" s="62"/>
      <c r="F28" s="6"/>
      <c r="G28" s="63">
        <f t="shared" si="0"/>
        <v>0</v>
      </c>
      <c r="H28" s="62"/>
      <c r="I28" s="6"/>
      <c r="J28" s="63">
        <f t="shared" si="1"/>
        <v>0</v>
      </c>
      <c r="K28" s="63">
        <f t="shared" si="2"/>
        <v>0</v>
      </c>
      <c r="L28" s="155"/>
      <c r="M28" s="251">
        <f t="shared" si="4"/>
        <v>27809.193099999968</v>
      </c>
      <c r="N28" s="6"/>
      <c r="O28" s="5"/>
    </row>
    <row r="29" spans="1:15">
      <c r="A29" s="214">
        <v>26</v>
      </c>
      <c r="B29" s="212">
        <v>46260</v>
      </c>
      <c r="C29" s="6"/>
      <c r="D29" s="6"/>
      <c r="E29" s="62">
        <v>51.45</v>
      </c>
      <c r="F29" s="6">
        <v>99.23</v>
      </c>
      <c r="G29" s="63">
        <f t="shared" si="0"/>
        <v>5105.3835000000008</v>
      </c>
      <c r="H29" s="62"/>
      <c r="I29" s="6"/>
      <c r="J29" s="63">
        <f t="shared" si="1"/>
        <v>0</v>
      </c>
      <c r="K29" s="63">
        <f t="shared" si="2"/>
        <v>5105.3835000000008</v>
      </c>
      <c r="L29" s="155"/>
      <c r="M29" s="251">
        <f t="shared" si="4"/>
        <v>32914.576599999971</v>
      </c>
      <c r="N29" s="6"/>
      <c r="O29" s="5"/>
    </row>
    <row r="30" spans="1:15">
      <c r="A30" s="214">
        <v>27</v>
      </c>
      <c r="B30" s="212">
        <v>46261</v>
      </c>
      <c r="C30" s="6"/>
      <c r="D30" s="6"/>
      <c r="E30" s="62"/>
      <c r="F30" s="6"/>
      <c r="G30" s="63">
        <f t="shared" si="0"/>
        <v>0</v>
      </c>
      <c r="H30" s="62"/>
      <c r="I30" s="6"/>
      <c r="J30" s="63">
        <f t="shared" si="1"/>
        <v>0</v>
      </c>
      <c r="K30" s="63">
        <f t="shared" si="2"/>
        <v>0</v>
      </c>
      <c r="L30" s="155"/>
      <c r="M30" s="251">
        <f t="shared" si="4"/>
        <v>32914.576599999971</v>
      </c>
      <c r="N30" s="6"/>
      <c r="O30" s="5"/>
    </row>
    <row r="31" spans="1:15">
      <c r="A31" s="214">
        <v>28</v>
      </c>
      <c r="B31" s="212">
        <v>46262</v>
      </c>
      <c r="C31" s="6"/>
      <c r="D31" s="6"/>
      <c r="E31" s="62"/>
      <c r="F31" s="6"/>
      <c r="G31" s="63">
        <f t="shared" si="0"/>
        <v>0</v>
      </c>
      <c r="H31" s="62">
        <v>5</v>
      </c>
      <c r="I31" s="6">
        <v>111.38</v>
      </c>
      <c r="J31" s="63">
        <f t="shared" si="1"/>
        <v>556.9</v>
      </c>
      <c r="K31" s="63">
        <f t="shared" si="2"/>
        <v>556.9</v>
      </c>
      <c r="L31" s="155">
        <v>32954</v>
      </c>
      <c r="M31" s="251">
        <f t="shared" si="4"/>
        <v>517.47659999997268</v>
      </c>
      <c r="N31" s="6"/>
      <c r="O31" s="5"/>
    </row>
    <row r="32" spans="1:15">
      <c r="A32" s="215">
        <v>29</v>
      </c>
      <c r="B32" s="212">
        <v>46263</v>
      </c>
      <c r="C32" s="6"/>
      <c r="D32" s="6"/>
      <c r="E32" s="62"/>
      <c r="F32" s="6"/>
      <c r="G32" s="63">
        <f t="shared" si="0"/>
        <v>0</v>
      </c>
      <c r="H32" s="6"/>
      <c r="I32" s="63"/>
      <c r="J32" s="63">
        <f t="shared" si="1"/>
        <v>0</v>
      </c>
      <c r="K32" s="63">
        <f t="shared" si="2"/>
        <v>0</v>
      </c>
      <c r="L32" s="155"/>
      <c r="M32" s="251">
        <f t="shared" si="4"/>
        <v>517.47659999997268</v>
      </c>
      <c r="N32" s="6"/>
      <c r="O32" s="5"/>
    </row>
    <row r="33" spans="1:15">
      <c r="A33" s="215">
        <v>30</v>
      </c>
      <c r="B33" s="212">
        <v>46264</v>
      </c>
      <c r="C33" s="6"/>
      <c r="D33" s="6"/>
      <c r="E33" s="62"/>
      <c r="F33" s="6"/>
      <c r="G33" s="63">
        <f t="shared" si="0"/>
        <v>0</v>
      </c>
      <c r="H33" s="62"/>
      <c r="I33" s="6"/>
      <c r="J33" s="63">
        <f t="shared" si="1"/>
        <v>0</v>
      </c>
      <c r="K33" s="63">
        <f t="shared" si="2"/>
        <v>0</v>
      </c>
      <c r="L33" s="155"/>
      <c r="M33" s="251">
        <f t="shared" si="4"/>
        <v>517.47659999997268</v>
      </c>
      <c r="N33" s="6"/>
      <c r="O33" s="5"/>
    </row>
    <row r="34" spans="1:15">
      <c r="A34" s="215">
        <v>31</v>
      </c>
      <c r="B34" s="212">
        <v>46265</v>
      </c>
      <c r="C34" s="6"/>
      <c r="D34" s="6"/>
      <c r="E34" s="62"/>
      <c r="F34" s="6"/>
      <c r="G34" s="63">
        <f t="shared" si="0"/>
        <v>0</v>
      </c>
      <c r="H34" s="62">
        <v>5.12</v>
      </c>
      <c r="I34" s="6">
        <v>111.38</v>
      </c>
      <c r="J34" s="63">
        <f t="shared" si="1"/>
        <v>570.26559999999995</v>
      </c>
      <c r="K34" s="63">
        <f t="shared" si="2"/>
        <v>570.26559999999995</v>
      </c>
      <c r="L34" s="155"/>
      <c r="M34" s="251">
        <f t="shared" si="4"/>
        <v>1087.7421999999726</v>
      </c>
      <c r="N34" s="6"/>
      <c r="O34" s="5"/>
    </row>
    <row r="35" spans="1:15">
      <c r="A35" s="6">
        <v>35</v>
      </c>
      <c r="B35" s="75"/>
      <c r="C35" s="6"/>
      <c r="D35" s="6"/>
      <c r="E35" s="62"/>
      <c r="F35" s="6"/>
      <c r="G35" s="63">
        <v>0</v>
      </c>
      <c r="H35" s="62"/>
      <c r="I35" s="6"/>
      <c r="J35" s="63">
        <f t="shared" si="1"/>
        <v>0</v>
      </c>
      <c r="K35" s="63">
        <f t="shared" si="2"/>
        <v>0</v>
      </c>
      <c r="L35" s="155"/>
      <c r="M35" s="251">
        <f t="shared" si="4"/>
        <v>1087.7421999999726</v>
      </c>
      <c r="N35" s="6"/>
      <c r="O35" s="5"/>
    </row>
    <row r="36" spans="1:15">
      <c r="A36" s="6">
        <v>36</v>
      </c>
      <c r="B36" s="75"/>
      <c r="C36" s="6"/>
      <c r="D36" s="6"/>
      <c r="E36" s="62"/>
      <c r="F36" s="6"/>
      <c r="G36" s="63">
        <v>0</v>
      </c>
      <c r="H36" s="62"/>
      <c r="I36" s="6"/>
      <c r="J36" s="63">
        <f t="shared" si="1"/>
        <v>0</v>
      </c>
      <c r="K36" s="63">
        <f t="shared" si="2"/>
        <v>0</v>
      </c>
      <c r="L36" s="155"/>
      <c r="M36" s="251">
        <f t="shared" si="4"/>
        <v>1087.7421999999726</v>
      </c>
      <c r="N36" s="6"/>
      <c r="O36" s="5"/>
    </row>
    <row r="37" spans="1:15">
      <c r="A37" s="6">
        <v>37</v>
      </c>
      <c r="B37" s="75"/>
      <c r="C37" s="6"/>
      <c r="D37" s="6"/>
      <c r="E37" s="62"/>
      <c r="F37" s="6"/>
      <c r="G37" s="63">
        <v>0</v>
      </c>
      <c r="H37" s="62"/>
      <c r="I37" s="6"/>
      <c r="J37" s="63">
        <f t="shared" si="1"/>
        <v>0</v>
      </c>
      <c r="K37" s="63">
        <f t="shared" si="2"/>
        <v>0</v>
      </c>
      <c r="L37" s="155"/>
      <c r="M37" s="251">
        <f t="shared" si="4"/>
        <v>1087.7421999999726</v>
      </c>
      <c r="N37" s="6"/>
      <c r="O37" s="5"/>
    </row>
    <row r="38" spans="1:15">
      <c r="A38" s="6">
        <v>38</v>
      </c>
      <c r="B38" s="75"/>
      <c r="C38" s="6"/>
      <c r="D38" s="6"/>
      <c r="E38" s="62"/>
      <c r="F38" s="6"/>
      <c r="G38" s="63">
        <v>0</v>
      </c>
      <c r="H38" s="62"/>
      <c r="I38" s="6"/>
      <c r="J38" s="63">
        <f t="shared" si="1"/>
        <v>0</v>
      </c>
      <c r="K38" s="63">
        <f t="shared" si="2"/>
        <v>0</v>
      </c>
      <c r="L38" s="155"/>
      <c r="M38" s="251">
        <f t="shared" si="4"/>
        <v>1087.7421999999726</v>
      </c>
      <c r="N38" s="6"/>
      <c r="O38" s="5"/>
    </row>
    <row r="39" spans="1:15">
      <c r="A39" s="162">
        <v>39</v>
      </c>
      <c r="B39" s="163"/>
      <c r="C39" s="162"/>
      <c r="D39" s="6"/>
      <c r="E39" s="62"/>
      <c r="F39" s="6"/>
      <c r="G39" s="63">
        <v>0</v>
      </c>
      <c r="H39" s="62"/>
      <c r="I39" s="6"/>
      <c r="J39" s="63">
        <f t="shared" si="1"/>
        <v>0</v>
      </c>
      <c r="K39" s="63">
        <f t="shared" si="2"/>
        <v>0</v>
      </c>
      <c r="L39" s="155"/>
      <c r="M39" s="251">
        <f t="shared" si="4"/>
        <v>1087.7421999999726</v>
      </c>
      <c r="N39" s="162"/>
      <c r="O39" s="5"/>
    </row>
    <row r="40" spans="1:15">
      <c r="A40" s="6">
        <v>40</v>
      </c>
      <c r="B40" s="6"/>
      <c r="C40" s="6"/>
      <c r="D40" s="6"/>
      <c r="E40" s="62"/>
      <c r="F40" s="6"/>
      <c r="G40" s="63">
        <v>0</v>
      </c>
      <c r="H40" s="62"/>
      <c r="I40" s="6"/>
      <c r="J40" s="63">
        <f t="shared" si="1"/>
        <v>0</v>
      </c>
      <c r="K40" s="63">
        <f t="shared" si="2"/>
        <v>0</v>
      </c>
      <c r="L40" s="155"/>
      <c r="M40" s="251">
        <f t="shared" si="4"/>
        <v>1087.7421999999726</v>
      </c>
      <c r="N40" s="6"/>
      <c r="O40" s="5"/>
    </row>
    <row r="41" spans="1:15">
      <c r="A41" s="162">
        <v>41</v>
      </c>
      <c r="B41" s="162"/>
      <c r="C41" s="162"/>
      <c r="D41" s="6"/>
      <c r="E41" s="62"/>
      <c r="F41" s="6"/>
      <c r="G41" s="63">
        <v>0</v>
      </c>
      <c r="H41" s="62"/>
      <c r="I41" s="6"/>
      <c r="J41" s="63">
        <f t="shared" si="1"/>
        <v>0</v>
      </c>
      <c r="K41" s="63">
        <f t="shared" si="2"/>
        <v>0</v>
      </c>
      <c r="L41" s="155"/>
      <c r="M41" s="251">
        <f t="shared" si="4"/>
        <v>1087.7421999999726</v>
      </c>
      <c r="N41" s="162"/>
      <c r="O41" s="5"/>
    </row>
    <row r="42" spans="1:15">
      <c r="A42" s="162">
        <v>42</v>
      </c>
      <c r="B42" s="162"/>
      <c r="C42" s="162"/>
      <c r="D42" s="6"/>
      <c r="E42" s="62"/>
      <c r="F42" s="6"/>
      <c r="G42" s="63">
        <f t="shared" ref="G42" si="5">E42*F42</f>
        <v>0</v>
      </c>
      <c r="H42" s="62"/>
      <c r="I42" s="6"/>
      <c r="J42" s="63">
        <f t="shared" ref="J42" si="6">H42*I42</f>
        <v>0</v>
      </c>
      <c r="K42" s="164">
        <f t="shared" ref="K42" si="7">G42+J42</f>
        <v>0</v>
      </c>
      <c r="L42" s="165"/>
      <c r="M42" s="251">
        <f t="shared" si="4"/>
        <v>1087.7421999999726</v>
      </c>
      <c r="N42" s="162"/>
      <c r="O42" s="5"/>
    </row>
    <row r="43" spans="1:15">
      <c r="A43" s="59"/>
      <c r="B43" s="59"/>
      <c r="C43" s="59"/>
      <c r="D43" s="59"/>
      <c r="E43" s="60">
        <f>SUM(E4:E42)</f>
        <v>360.89</v>
      </c>
      <c r="F43" s="60"/>
      <c r="G43" s="60">
        <f>SUM(G4:G42)</f>
        <v>35826.5867</v>
      </c>
      <c r="H43" s="60">
        <f>SUM(H4:H42)</f>
        <v>51.04</v>
      </c>
      <c r="I43" s="60"/>
      <c r="J43" s="60">
        <f>SUM(J4:J42)</f>
        <v>5684.8351999999995</v>
      </c>
      <c r="K43" s="60">
        <f>SUM(K4:K42)</f>
        <v>41511.421900000001</v>
      </c>
      <c r="L43" s="60">
        <f>SUM(L4:L42)</f>
        <v>68954</v>
      </c>
      <c r="M43" s="60"/>
      <c r="N43" s="60"/>
      <c r="O43" s="56"/>
    </row>
    <row r="44" spans="1:15">
      <c r="A44" s="5"/>
      <c r="B44" s="5"/>
      <c r="C44" s="5"/>
      <c r="D44" s="5"/>
      <c r="E44" s="5"/>
      <c r="F44" s="5"/>
      <c r="G44" s="99"/>
      <c r="H44" s="5"/>
      <c r="I44" s="5"/>
      <c r="J44" s="99"/>
      <c r="K44" s="5"/>
      <c r="L44" s="99"/>
      <c r="M44" s="99"/>
      <c r="N44" s="5"/>
      <c r="O44" s="5"/>
    </row>
    <row r="45" spans="1:15">
      <c r="A45" s="5"/>
      <c r="B45" s="5"/>
      <c r="C45" s="5"/>
      <c r="D45" s="5"/>
      <c r="E45" s="5"/>
      <c r="F45" s="5"/>
      <c r="G45" s="99"/>
      <c r="H45" s="5"/>
      <c r="I45" s="5"/>
      <c r="J45" s="99"/>
      <c r="K45" s="5"/>
      <c r="L45" s="99"/>
      <c r="M45" s="99"/>
      <c r="N45" s="5"/>
      <c r="O45" s="5"/>
    </row>
    <row r="47" spans="1:15">
      <c r="L47" s="16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3"/>
  <sheetViews>
    <sheetView topLeftCell="A6" workbookViewId="0">
      <selection activeCell="Q45" sqref="Q45:Q49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581" t="s">
        <v>166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8" ht="45">
      <c r="A2" s="61" t="s">
        <v>0</v>
      </c>
      <c r="B2" s="80" t="s">
        <v>170</v>
      </c>
      <c r="C2" s="80" t="s">
        <v>171</v>
      </c>
      <c r="D2" s="80" t="s">
        <v>194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178</v>
      </c>
      <c r="M2" s="82" t="s">
        <v>195</v>
      </c>
      <c r="N2" s="80" t="s">
        <v>180</v>
      </c>
    </row>
    <row r="3" spans="1:18">
      <c r="A3" s="603" t="s">
        <v>181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6"/>
      <c r="M3" s="605">
        <v>121032.20740000001</v>
      </c>
      <c r="N3" s="607"/>
    </row>
    <row r="4" spans="1:18">
      <c r="A4" s="189">
        <v>1</v>
      </c>
      <c r="B4" s="212">
        <v>46235</v>
      </c>
      <c r="C4" s="6"/>
      <c r="D4" s="6"/>
      <c r="E4" s="62">
        <v>33.53</v>
      </c>
      <c r="F4" s="299">
        <v>99.44</v>
      </c>
      <c r="G4" s="63">
        <f>E4*F4</f>
        <v>3334.2231999999999</v>
      </c>
      <c r="H4" s="62"/>
      <c r="I4" s="6"/>
      <c r="J4" s="63">
        <f>H4*I4</f>
        <v>0</v>
      </c>
      <c r="K4" s="63">
        <f>G4+J4</f>
        <v>3334.2231999999999</v>
      </c>
      <c r="L4" s="155">
        <v>0</v>
      </c>
      <c r="M4" s="144">
        <f>M3+K4-L4</f>
        <v>124366.43060000001</v>
      </c>
      <c r="N4" s="43"/>
    </row>
    <row r="5" spans="1:18">
      <c r="A5" s="43">
        <v>2</v>
      </c>
      <c r="B5" s="212">
        <v>46236</v>
      </c>
      <c r="C5" s="6"/>
      <c r="D5" s="6"/>
      <c r="E5" s="62"/>
      <c r="F5" s="299"/>
      <c r="G5" s="63">
        <f t="shared" ref="G5:G38" si="0">E5*F5</f>
        <v>0</v>
      </c>
      <c r="H5" s="62"/>
      <c r="I5" s="6"/>
      <c r="J5" s="63">
        <f t="shared" ref="J5:J40" si="1">H5*I5</f>
        <v>0</v>
      </c>
      <c r="K5" s="63">
        <f t="shared" ref="K5:K40" si="2">G5+J5</f>
        <v>0</v>
      </c>
      <c r="L5" s="155">
        <v>0</v>
      </c>
      <c r="M5" s="144">
        <f t="shared" ref="M5:M33" si="3">M4+K5-L5</f>
        <v>124366.43060000001</v>
      </c>
      <c r="N5" s="43"/>
    </row>
    <row r="6" spans="1:18">
      <c r="A6" s="43">
        <v>3</v>
      </c>
      <c r="B6" s="212">
        <v>46237</v>
      </c>
      <c r="C6" s="6"/>
      <c r="D6" s="6"/>
      <c r="E6" s="62"/>
      <c r="F6" s="299"/>
      <c r="G6" s="63">
        <f t="shared" si="0"/>
        <v>0</v>
      </c>
      <c r="H6" s="62">
        <v>5</v>
      </c>
      <c r="I6" s="6">
        <v>111.55</v>
      </c>
      <c r="J6" s="63">
        <f t="shared" si="1"/>
        <v>557.75</v>
      </c>
      <c r="K6" s="63">
        <f t="shared" si="2"/>
        <v>557.75</v>
      </c>
      <c r="L6" s="155">
        <v>0</v>
      </c>
      <c r="M6" s="144">
        <f t="shared" si="3"/>
        <v>124924.18060000001</v>
      </c>
      <c r="N6" s="43"/>
    </row>
    <row r="7" spans="1:18">
      <c r="A7" s="43">
        <v>4</v>
      </c>
      <c r="B7" s="212">
        <v>46238</v>
      </c>
      <c r="C7" s="6"/>
      <c r="D7" s="6"/>
      <c r="E7" s="62">
        <v>90.83</v>
      </c>
      <c r="F7" s="299">
        <v>99.44</v>
      </c>
      <c r="G7" s="63">
        <f t="shared" si="0"/>
        <v>9032.1351999999988</v>
      </c>
      <c r="H7" s="62"/>
      <c r="I7" s="6"/>
      <c r="J7" s="63">
        <f t="shared" si="1"/>
        <v>0</v>
      </c>
      <c r="K7" s="63">
        <f t="shared" si="2"/>
        <v>9032.1351999999988</v>
      </c>
      <c r="L7" s="155">
        <v>0</v>
      </c>
      <c r="M7" s="144">
        <f>M6+K7-L7</f>
        <v>133956.31580000001</v>
      </c>
      <c r="N7" s="43"/>
    </row>
    <row r="8" spans="1:18">
      <c r="A8" s="43">
        <v>5</v>
      </c>
      <c r="B8" s="212">
        <v>46239</v>
      </c>
      <c r="C8" s="6"/>
      <c r="D8" s="6"/>
      <c r="E8" s="62"/>
      <c r="F8" s="299"/>
      <c r="G8" s="63">
        <f t="shared" si="0"/>
        <v>0</v>
      </c>
      <c r="H8" s="62"/>
      <c r="I8" s="6"/>
      <c r="J8" s="63">
        <f t="shared" si="1"/>
        <v>0</v>
      </c>
      <c r="K8" s="63">
        <f t="shared" si="2"/>
        <v>0</v>
      </c>
      <c r="L8" s="155">
        <v>0</v>
      </c>
      <c r="M8" s="144">
        <f t="shared" si="3"/>
        <v>133956.31580000001</v>
      </c>
      <c r="N8" s="43"/>
    </row>
    <row r="9" spans="1:18">
      <c r="A9" s="43">
        <v>6</v>
      </c>
      <c r="B9" s="212">
        <v>46240</v>
      </c>
      <c r="C9" s="6"/>
      <c r="D9" s="6"/>
      <c r="E9" s="62"/>
      <c r="F9" s="299"/>
      <c r="G9" s="63">
        <f t="shared" si="0"/>
        <v>0</v>
      </c>
      <c r="H9" s="62">
        <v>5.84</v>
      </c>
      <c r="I9" s="6">
        <v>111.5</v>
      </c>
      <c r="J9" s="63">
        <f t="shared" si="1"/>
        <v>651.16</v>
      </c>
      <c r="K9" s="63">
        <f t="shared" si="2"/>
        <v>651.16</v>
      </c>
      <c r="L9" s="155">
        <v>0</v>
      </c>
      <c r="M9" s="144">
        <f t="shared" si="3"/>
        <v>134607.47580000001</v>
      </c>
      <c r="N9" s="43"/>
    </row>
    <row r="10" spans="1:18">
      <c r="A10" s="43">
        <v>7</v>
      </c>
      <c r="B10" s="212">
        <v>46241</v>
      </c>
      <c r="C10" s="6"/>
      <c r="D10" s="6"/>
      <c r="E10" s="62"/>
      <c r="F10" s="299"/>
      <c r="G10" s="63">
        <f t="shared" si="0"/>
        <v>0</v>
      </c>
      <c r="H10" s="62">
        <v>2.69</v>
      </c>
      <c r="I10" s="6">
        <v>111.55</v>
      </c>
      <c r="J10" s="63">
        <f t="shared" si="1"/>
        <v>300.06950000000001</v>
      </c>
      <c r="K10" s="63">
        <f t="shared" si="2"/>
        <v>300.06950000000001</v>
      </c>
      <c r="L10" s="155">
        <v>0</v>
      </c>
      <c r="M10" s="144">
        <f t="shared" si="3"/>
        <v>134907.54530000003</v>
      </c>
      <c r="N10" s="43"/>
    </row>
    <row r="11" spans="1:18">
      <c r="A11" s="43">
        <v>8</v>
      </c>
      <c r="B11" s="212">
        <v>46242</v>
      </c>
      <c r="C11" s="6"/>
      <c r="D11" s="6"/>
      <c r="E11" s="62"/>
      <c r="F11" s="299"/>
      <c r="G11" s="63">
        <f t="shared" si="0"/>
        <v>0</v>
      </c>
      <c r="H11" s="62"/>
      <c r="I11" s="6"/>
      <c r="J11" s="63">
        <f t="shared" si="1"/>
        <v>0</v>
      </c>
      <c r="K11" s="63">
        <f t="shared" si="2"/>
        <v>0</v>
      </c>
      <c r="L11" s="155">
        <v>0</v>
      </c>
      <c r="M11" s="144">
        <f t="shared" si="3"/>
        <v>134907.54530000003</v>
      </c>
      <c r="N11" s="43"/>
    </row>
    <row r="12" spans="1:18">
      <c r="A12" s="43">
        <v>9</v>
      </c>
      <c r="B12" s="212">
        <v>46243</v>
      </c>
      <c r="C12" s="6"/>
      <c r="D12" s="6"/>
      <c r="E12" s="62"/>
      <c r="F12" s="299"/>
      <c r="G12" s="63">
        <f t="shared" si="0"/>
        <v>0</v>
      </c>
      <c r="H12" s="62"/>
      <c r="I12" s="6"/>
      <c r="J12" s="63">
        <f t="shared" si="1"/>
        <v>0</v>
      </c>
      <c r="K12" s="63">
        <f t="shared" si="2"/>
        <v>0</v>
      </c>
      <c r="L12" s="155">
        <v>0</v>
      </c>
      <c r="M12" s="144">
        <f t="shared" si="3"/>
        <v>134907.54530000003</v>
      </c>
      <c r="N12" s="43"/>
      <c r="R12" s="231"/>
    </row>
    <row r="13" spans="1:18">
      <c r="A13" s="43">
        <v>10</v>
      </c>
      <c r="B13" s="212">
        <v>46244</v>
      </c>
      <c r="C13" s="6"/>
      <c r="D13" s="6"/>
      <c r="E13" s="62"/>
      <c r="F13" s="299"/>
      <c r="G13" s="63">
        <f t="shared" si="0"/>
        <v>0</v>
      </c>
      <c r="H13" s="62">
        <v>8</v>
      </c>
      <c r="I13" s="6">
        <v>111.55</v>
      </c>
      <c r="J13" s="63">
        <f t="shared" si="1"/>
        <v>892.4</v>
      </c>
      <c r="K13" s="63">
        <f t="shared" si="2"/>
        <v>892.4</v>
      </c>
      <c r="L13" s="155">
        <v>0</v>
      </c>
      <c r="M13" s="144">
        <f t="shared" si="3"/>
        <v>135799.94530000002</v>
      </c>
      <c r="N13" s="43"/>
    </row>
    <row r="14" spans="1:18">
      <c r="A14" s="43">
        <v>11</v>
      </c>
      <c r="B14" s="212">
        <v>46245</v>
      </c>
      <c r="C14" s="6"/>
      <c r="D14" s="6"/>
      <c r="E14" s="62"/>
      <c r="F14" s="299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>
        <v>0</v>
      </c>
      <c r="M14" s="144">
        <f t="shared" si="3"/>
        <v>135799.94530000002</v>
      </c>
      <c r="N14" s="43"/>
    </row>
    <row r="15" spans="1:18">
      <c r="A15" s="43">
        <v>12</v>
      </c>
      <c r="B15" s="212">
        <v>46246</v>
      </c>
      <c r="C15" s="6"/>
      <c r="D15" s="6"/>
      <c r="E15" s="62"/>
      <c r="F15" s="299"/>
      <c r="G15" s="63">
        <f t="shared" si="0"/>
        <v>0</v>
      </c>
      <c r="H15" s="62">
        <v>10.42</v>
      </c>
      <c r="I15" s="6">
        <v>111.55</v>
      </c>
      <c r="J15" s="63">
        <f t="shared" si="1"/>
        <v>1162.3509999999999</v>
      </c>
      <c r="K15" s="63">
        <f t="shared" si="2"/>
        <v>1162.3509999999999</v>
      </c>
      <c r="L15" s="155">
        <v>0</v>
      </c>
      <c r="M15" s="144">
        <f>M14+K15-L15</f>
        <v>136962.29630000002</v>
      </c>
      <c r="N15" s="43"/>
    </row>
    <row r="16" spans="1:18">
      <c r="A16" s="43">
        <v>13</v>
      </c>
      <c r="B16" s="212">
        <v>46247</v>
      </c>
      <c r="C16" s="6"/>
      <c r="D16" s="6"/>
      <c r="E16" s="62"/>
      <c r="F16" s="299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155">
        <v>0</v>
      </c>
      <c r="M16" s="144">
        <f t="shared" si="3"/>
        <v>136962.29630000002</v>
      </c>
      <c r="N16" s="43"/>
    </row>
    <row r="17" spans="1:14">
      <c r="A17" s="43">
        <v>14</v>
      </c>
      <c r="B17" s="212">
        <v>46248</v>
      </c>
      <c r="C17" s="6"/>
      <c r="D17" s="6"/>
      <c r="E17" s="62"/>
      <c r="F17" s="299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>
        <v>0</v>
      </c>
      <c r="M17" s="144">
        <f t="shared" si="3"/>
        <v>136962.29630000002</v>
      </c>
      <c r="N17" s="43"/>
    </row>
    <row r="18" spans="1:14">
      <c r="A18" s="43">
        <v>15</v>
      </c>
      <c r="B18" s="212">
        <v>46249</v>
      </c>
      <c r="C18" s="6"/>
      <c r="D18" s="6"/>
      <c r="E18" s="62"/>
      <c r="F18" s="299"/>
      <c r="G18" s="63">
        <f t="shared" si="0"/>
        <v>0</v>
      </c>
      <c r="H18" s="62"/>
      <c r="I18" s="6"/>
      <c r="J18" s="63">
        <f t="shared" si="1"/>
        <v>0</v>
      </c>
      <c r="K18" s="63">
        <f t="shared" si="2"/>
        <v>0</v>
      </c>
      <c r="L18" s="155">
        <v>0</v>
      </c>
      <c r="M18" s="144">
        <f t="shared" si="3"/>
        <v>136962.29630000002</v>
      </c>
      <c r="N18" s="43"/>
    </row>
    <row r="19" spans="1:14">
      <c r="A19" s="43">
        <v>16</v>
      </c>
      <c r="B19" s="212">
        <v>46250</v>
      </c>
      <c r="C19" s="6"/>
      <c r="D19" s="6"/>
      <c r="E19" s="62"/>
      <c r="F19" s="299"/>
      <c r="G19" s="63">
        <f t="shared" si="0"/>
        <v>0</v>
      </c>
      <c r="H19" s="62"/>
      <c r="I19" s="6"/>
      <c r="J19" s="63">
        <f t="shared" si="1"/>
        <v>0</v>
      </c>
      <c r="K19" s="63">
        <f t="shared" si="2"/>
        <v>0</v>
      </c>
      <c r="L19" s="155">
        <v>0</v>
      </c>
      <c r="M19" s="144">
        <f t="shared" si="3"/>
        <v>136962.29630000002</v>
      </c>
      <c r="N19" s="43"/>
    </row>
    <row r="20" spans="1:14">
      <c r="A20" s="43">
        <v>17</v>
      </c>
      <c r="B20" s="212">
        <v>46251</v>
      </c>
      <c r="C20" s="6"/>
      <c r="D20" s="6"/>
      <c r="E20" s="62"/>
      <c r="F20" s="299"/>
      <c r="G20" s="63">
        <f t="shared" si="0"/>
        <v>0</v>
      </c>
      <c r="H20" s="62"/>
      <c r="I20" s="6"/>
      <c r="J20" s="63">
        <f t="shared" si="1"/>
        <v>0</v>
      </c>
      <c r="K20" s="63">
        <f t="shared" si="2"/>
        <v>0</v>
      </c>
      <c r="L20" s="155">
        <v>0</v>
      </c>
      <c r="M20" s="144">
        <f t="shared" si="3"/>
        <v>136962.29630000002</v>
      </c>
      <c r="N20" s="43"/>
    </row>
    <row r="21" spans="1:14">
      <c r="A21" s="43">
        <v>18</v>
      </c>
      <c r="B21" s="212">
        <v>46252</v>
      </c>
      <c r="C21" s="6"/>
      <c r="D21" s="6"/>
      <c r="E21" s="62">
        <v>36.76</v>
      </c>
      <c r="F21" s="299">
        <v>99.44</v>
      </c>
      <c r="G21" s="63">
        <f t="shared" si="0"/>
        <v>3655.4143999999997</v>
      </c>
      <c r="H21" s="62"/>
      <c r="I21" s="6"/>
      <c r="J21" s="63">
        <f t="shared" si="1"/>
        <v>0</v>
      </c>
      <c r="K21" s="63">
        <f t="shared" si="2"/>
        <v>3655.4143999999997</v>
      </c>
      <c r="L21" s="155">
        <v>0</v>
      </c>
      <c r="M21" s="144">
        <f t="shared" si="3"/>
        <v>140617.71070000003</v>
      </c>
      <c r="N21" s="43"/>
    </row>
    <row r="22" spans="1:14">
      <c r="A22" s="43">
        <v>19</v>
      </c>
      <c r="B22" s="212">
        <v>46253</v>
      </c>
      <c r="C22" s="6"/>
      <c r="D22" s="6"/>
      <c r="E22" s="62"/>
      <c r="F22" s="299"/>
      <c r="G22" s="63">
        <f t="shared" si="0"/>
        <v>0</v>
      </c>
      <c r="H22" s="62"/>
      <c r="I22" s="6"/>
      <c r="J22" s="63">
        <f t="shared" si="1"/>
        <v>0</v>
      </c>
      <c r="K22" s="63">
        <f t="shared" si="2"/>
        <v>0</v>
      </c>
      <c r="L22" s="155">
        <v>0</v>
      </c>
      <c r="M22" s="144">
        <f t="shared" si="3"/>
        <v>140617.71070000003</v>
      </c>
      <c r="N22" s="43"/>
    </row>
    <row r="23" spans="1:14">
      <c r="A23" s="43">
        <v>20</v>
      </c>
      <c r="B23" s="212">
        <v>46254</v>
      </c>
      <c r="C23" s="6"/>
      <c r="D23" s="6"/>
      <c r="E23" s="62">
        <v>45</v>
      </c>
      <c r="F23" s="299">
        <v>99.44</v>
      </c>
      <c r="G23" s="63">
        <f>E23*F23</f>
        <v>4474.8</v>
      </c>
      <c r="H23" s="62">
        <v>8</v>
      </c>
      <c r="I23" s="6">
        <v>111.55</v>
      </c>
      <c r="J23" s="63">
        <f t="shared" si="1"/>
        <v>892.4</v>
      </c>
      <c r="K23" s="63">
        <f t="shared" si="2"/>
        <v>5367.2</v>
      </c>
      <c r="L23" s="155">
        <v>100000</v>
      </c>
      <c r="M23" s="144">
        <f t="shared" si="3"/>
        <v>45984.910700000037</v>
      </c>
      <c r="N23" s="43"/>
    </row>
    <row r="24" spans="1:14">
      <c r="A24" s="43">
        <v>21</v>
      </c>
      <c r="B24" s="212">
        <v>46255</v>
      </c>
      <c r="C24" s="6"/>
      <c r="D24" s="6"/>
      <c r="E24" s="62"/>
      <c r="F24" s="299"/>
      <c r="G24" s="63">
        <f t="shared" si="0"/>
        <v>0</v>
      </c>
      <c r="H24" s="62">
        <v>6.73</v>
      </c>
      <c r="I24" s="6">
        <v>111.55</v>
      </c>
      <c r="J24" s="63">
        <f t="shared" si="1"/>
        <v>750.73149999999998</v>
      </c>
      <c r="K24" s="63">
        <f t="shared" si="2"/>
        <v>750.73149999999998</v>
      </c>
      <c r="L24" s="155">
        <v>0</v>
      </c>
      <c r="M24" s="144">
        <f>M23+K24-L24</f>
        <v>46735.642200000038</v>
      </c>
      <c r="N24" s="43"/>
    </row>
    <row r="25" spans="1:14">
      <c r="A25" s="43">
        <v>22</v>
      </c>
      <c r="B25" s="212">
        <v>46256</v>
      </c>
      <c r="C25" s="6"/>
      <c r="D25" s="6"/>
      <c r="E25" s="62"/>
      <c r="F25" s="299"/>
      <c r="G25" s="63">
        <f t="shared" si="0"/>
        <v>0</v>
      </c>
      <c r="H25" s="62"/>
      <c r="I25" s="6"/>
      <c r="J25" s="63">
        <f t="shared" si="1"/>
        <v>0</v>
      </c>
      <c r="K25" s="63">
        <f t="shared" si="2"/>
        <v>0</v>
      </c>
      <c r="L25" s="155">
        <v>0</v>
      </c>
      <c r="M25" s="144">
        <f t="shared" si="3"/>
        <v>46735.642200000038</v>
      </c>
      <c r="N25" s="43"/>
    </row>
    <row r="26" spans="1:14">
      <c r="A26" s="43">
        <v>23</v>
      </c>
      <c r="B26" s="212">
        <v>46257</v>
      </c>
      <c r="C26" s="6"/>
      <c r="D26" s="6"/>
      <c r="E26" s="62"/>
      <c r="F26" s="299"/>
      <c r="G26" s="63">
        <f t="shared" si="0"/>
        <v>0</v>
      </c>
      <c r="H26" s="62"/>
      <c r="I26" s="6"/>
      <c r="J26" s="63">
        <f t="shared" si="1"/>
        <v>0</v>
      </c>
      <c r="K26" s="63">
        <f t="shared" si="2"/>
        <v>0</v>
      </c>
      <c r="L26" s="155">
        <v>0</v>
      </c>
      <c r="M26" s="144">
        <f t="shared" si="3"/>
        <v>46735.642200000038</v>
      </c>
      <c r="N26" s="6"/>
    </row>
    <row r="27" spans="1:14">
      <c r="A27" s="43">
        <v>24</v>
      </c>
      <c r="B27" s="212">
        <v>46258</v>
      </c>
      <c r="C27" s="6"/>
      <c r="D27" s="6"/>
      <c r="E27" s="62"/>
      <c r="F27" s="299"/>
      <c r="G27" s="63">
        <f t="shared" si="0"/>
        <v>0</v>
      </c>
      <c r="H27" s="62"/>
      <c r="I27" s="6"/>
      <c r="J27" s="63">
        <f t="shared" si="1"/>
        <v>0</v>
      </c>
      <c r="K27" s="63">
        <f t="shared" si="2"/>
        <v>0</v>
      </c>
      <c r="L27" s="155">
        <v>0</v>
      </c>
      <c r="M27" s="144">
        <f t="shared" si="3"/>
        <v>46735.642200000038</v>
      </c>
      <c r="N27" s="6"/>
    </row>
    <row r="28" spans="1:14">
      <c r="A28" s="214">
        <v>25</v>
      </c>
      <c r="B28" s="212">
        <v>46259</v>
      </c>
      <c r="C28" s="6"/>
      <c r="D28" s="6"/>
      <c r="E28" s="62">
        <v>10</v>
      </c>
      <c r="F28" s="299">
        <v>99.44</v>
      </c>
      <c r="G28" s="63">
        <f t="shared" si="0"/>
        <v>994.4</v>
      </c>
      <c r="H28" s="62"/>
      <c r="I28" s="6"/>
      <c r="J28" s="63">
        <f t="shared" si="1"/>
        <v>0</v>
      </c>
      <c r="K28" s="63">
        <f t="shared" si="2"/>
        <v>994.4</v>
      </c>
      <c r="L28" s="155">
        <v>0</v>
      </c>
      <c r="M28" s="144">
        <f t="shared" si="3"/>
        <v>47730.04220000004</v>
      </c>
      <c r="N28" s="6"/>
    </row>
    <row r="29" spans="1:14">
      <c r="A29" s="214">
        <v>26</v>
      </c>
      <c r="B29" s="212">
        <v>46260</v>
      </c>
      <c r="C29" s="6"/>
      <c r="D29" s="6"/>
      <c r="E29" s="62">
        <v>30.78</v>
      </c>
      <c r="F29" s="299">
        <v>99.44</v>
      </c>
      <c r="G29" s="63">
        <f t="shared" si="0"/>
        <v>3060.7631999999999</v>
      </c>
      <c r="H29" s="62"/>
      <c r="I29" s="6"/>
      <c r="J29" s="63">
        <f t="shared" si="1"/>
        <v>0</v>
      </c>
      <c r="K29" s="63">
        <f t="shared" si="2"/>
        <v>3060.7631999999999</v>
      </c>
      <c r="L29" s="155">
        <v>0</v>
      </c>
      <c r="M29" s="144">
        <f t="shared" si="3"/>
        <v>50790.805400000041</v>
      </c>
      <c r="N29" s="6"/>
    </row>
    <row r="30" spans="1:14">
      <c r="A30" s="214">
        <v>27</v>
      </c>
      <c r="B30" s="212">
        <v>46261</v>
      </c>
      <c r="C30" s="6"/>
      <c r="D30" s="6"/>
      <c r="E30" s="62">
        <v>34.49</v>
      </c>
      <c r="F30" s="299">
        <v>99.44</v>
      </c>
      <c r="G30" s="63">
        <f t="shared" si="0"/>
        <v>3429.6856000000002</v>
      </c>
      <c r="H30" s="62"/>
      <c r="I30" s="6"/>
      <c r="J30" s="63">
        <f t="shared" si="1"/>
        <v>0</v>
      </c>
      <c r="K30" s="63">
        <f t="shared" si="2"/>
        <v>3429.6856000000002</v>
      </c>
      <c r="L30" s="155">
        <v>0</v>
      </c>
      <c r="M30" s="144">
        <f t="shared" si="3"/>
        <v>54220.491000000038</v>
      </c>
      <c r="N30" s="6"/>
    </row>
    <row r="31" spans="1:14">
      <c r="A31" s="214">
        <v>28</v>
      </c>
      <c r="B31" s="212">
        <v>46262</v>
      </c>
      <c r="C31" s="6"/>
      <c r="D31" s="6"/>
      <c r="E31" s="62">
        <v>35</v>
      </c>
      <c r="F31" s="299">
        <v>99.44</v>
      </c>
      <c r="G31" s="63">
        <f t="shared" si="0"/>
        <v>3480.4</v>
      </c>
      <c r="H31" s="62">
        <v>6.27</v>
      </c>
      <c r="I31" s="6">
        <v>111.55</v>
      </c>
      <c r="J31" s="63">
        <f t="shared" si="1"/>
        <v>699.41849999999988</v>
      </c>
      <c r="K31" s="63">
        <f t="shared" si="2"/>
        <v>4179.8185000000003</v>
      </c>
      <c r="L31" s="155">
        <v>54220</v>
      </c>
      <c r="M31" s="144">
        <f t="shared" si="3"/>
        <v>4180.3095000000394</v>
      </c>
      <c r="N31" s="6"/>
    </row>
    <row r="32" spans="1:14">
      <c r="A32" s="215">
        <v>29</v>
      </c>
      <c r="B32" s="212">
        <v>46263</v>
      </c>
      <c r="C32" s="6"/>
      <c r="D32" s="6"/>
      <c r="E32" s="299">
        <f>85.48</f>
        <v>85.48</v>
      </c>
      <c r="F32" s="550">
        <v>99.44</v>
      </c>
      <c r="G32" s="63">
        <f t="shared" si="0"/>
        <v>8500.1311999999998</v>
      </c>
      <c r="H32" s="62"/>
      <c r="I32" s="6"/>
      <c r="J32" s="63">
        <f t="shared" si="1"/>
        <v>0</v>
      </c>
      <c r="K32" s="63">
        <f t="shared" si="2"/>
        <v>8500.1311999999998</v>
      </c>
      <c r="L32" s="155">
        <v>0</v>
      </c>
      <c r="M32" s="144">
        <f t="shared" si="3"/>
        <v>12680.440700000039</v>
      </c>
      <c r="N32" s="6"/>
    </row>
    <row r="33" spans="1:14">
      <c r="A33" s="215">
        <v>30</v>
      </c>
      <c r="B33" s="212">
        <v>46264</v>
      </c>
      <c r="C33" s="6"/>
      <c r="D33" s="6"/>
      <c r="E33" s="299">
        <v>30</v>
      </c>
      <c r="F33" s="550">
        <v>99.44</v>
      </c>
      <c r="G33" s="63">
        <f t="shared" si="0"/>
        <v>2983.2</v>
      </c>
      <c r="H33" s="62"/>
      <c r="I33" s="6"/>
      <c r="J33" s="63">
        <f t="shared" si="1"/>
        <v>0</v>
      </c>
      <c r="K33" s="63">
        <f t="shared" si="2"/>
        <v>2983.2</v>
      </c>
      <c r="L33" s="155">
        <v>0</v>
      </c>
      <c r="M33" s="144">
        <f t="shared" si="3"/>
        <v>15663.64070000004</v>
      </c>
      <c r="N33" s="6"/>
    </row>
    <row r="34" spans="1:14">
      <c r="A34" s="215">
        <v>31</v>
      </c>
      <c r="B34" s="212">
        <v>46265</v>
      </c>
      <c r="C34" s="6"/>
      <c r="D34" s="6"/>
      <c r="E34" s="62"/>
      <c r="F34" s="299"/>
      <c r="G34" s="63">
        <f t="shared" si="0"/>
        <v>0</v>
      </c>
      <c r="H34" s="62"/>
      <c r="I34" s="6"/>
      <c r="J34" s="63">
        <f t="shared" si="1"/>
        <v>0</v>
      </c>
      <c r="K34" s="63">
        <f t="shared" si="2"/>
        <v>0</v>
      </c>
      <c r="L34" s="155">
        <v>0</v>
      </c>
      <c r="M34" s="144">
        <f t="shared" ref="M34:M39" si="4">M33+K34-L34</f>
        <v>15663.64070000004</v>
      </c>
      <c r="N34" s="6"/>
    </row>
    <row r="35" spans="1:14">
      <c r="A35" s="6">
        <v>35</v>
      </c>
      <c r="B35" s="75"/>
      <c r="C35" s="6"/>
      <c r="D35" s="6"/>
      <c r="E35" s="62"/>
      <c r="F35" s="299"/>
      <c r="G35" s="63">
        <f t="shared" si="0"/>
        <v>0</v>
      </c>
      <c r="H35" s="62"/>
      <c r="I35" s="6"/>
      <c r="J35" s="63">
        <f t="shared" si="1"/>
        <v>0</v>
      </c>
      <c r="K35" s="63">
        <f t="shared" si="2"/>
        <v>0</v>
      </c>
      <c r="L35" s="155">
        <v>0</v>
      </c>
      <c r="M35" s="144">
        <f t="shared" si="4"/>
        <v>15663.64070000004</v>
      </c>
      <c r="N35" s="6"/>
    </row>
    <row r="36" spans="1:14">
      <c r="A36" s="6">
        <v>36</v>
      </c>
      <c r="B36" s="75"/>
      <c r="C36" s="6"/>
      <c r="D36" s="6"/>
      <c r="E36" s="62"/>
      <c r="F36" s="299"/>
      <c r="G36" s="63">
        <f t="shared" si="0"/>
        <v>0</v>
      </c>
      <c r="H36" s="62"/>
      <c r="I36" s="6"/>
      <c r="J36" s="63">
        <f t="shared" si="1"/>
        <v>0</v>
      </c>
      <c r="K36" s="63">
        <f t="shared" si="2"/>
        <v>0</v>
      </c>
      <c r="L36" s="155">
        <v>0</v>
      </c>
      <c r="M36" s="144">
        <f t="shared" si="4"/>
        <v>15663.64070000004</v>
      </c>
      <c r="N36" s="6"/>
    </row>
    <row r="37" spans="1:14">
      <c r="A37" s="6">
        <v>37</v>
      </c>
      <c r="B37" s="75"/>
      <c r="C37" s="6"/>
      <c r="D37" s="6"/>
      <c r="E37" s="62"/>
      <c r="F37" s="299"/>
      <c r="G37" s="63">
        <f t="shared" si="0"/>
        <v>0</v>
      </c>
      <c r="H37" s="62"/>
      <c r="I37" s="6"/>
      <c r="J37" s="63">
        <f t="shared" si="1"/>
        <v>0</v>
      </c>
      <c r="K37" s="63">
        <f t="shared" si="2"/>
        <v>0</v>
      </c>
      <c r="L37" s="155">
        <v>0</v>
      </c>
      <c r="M37" s="144">
        <f t="shared" si="4"/>
        <v>15663.64070000004</v>
      </c>
      <c r="N37" s="6"/>
    </row>
    <row r="38" spans="1:14">
      <c r="A38" s="6">
        <v>38</v>
      </c>
      <c r="B38" s="75"/>
      <c r="C38" s="6"/>
      <c r="D38" s="6"/>
      <c r="E38" s="62"/>
      <c r="F38" s="299"/>
      <c r="G38" s="63">
        <f t="shared" si="0"/>
        <v>0</v>
      </c>
      <c r="H38" s="62"/>
      <c r="I38" s="6"/>
      <c r="J38" s="63">
        <f t="shared" si="1"/>
        <v>0</v>
      </c>
      <c r="K38" s="63">
        <f t="shared" si="2"/>
        <v>0</v>
      </c>
      <c r="L38" s="155">
        <v>0</v>
      </c>
      <c r="M38" s="144">
        <f t="shared" si="4"/>
        <v>15663.64070000004</v>
      </c>
      <c r="N38" s="6"/>
    </row>
    <row r="39" spans="1:14">
      <c r="A39" s="162">
        <v>39</v>
      </c>
      <c r="B39" s="163"/>
      <c r="C39" s="162"/>
      <c r="D39" s="6"/>
      <c r="E39" s="62"/>
      <c r="F39" s="299"/>
      <c r="G39" s="63">
        <f t="shared" ref="G5:G40" si="5">E39*F39</f>
        <v>0</v>
      </c>
      <c r="H39" s="62"/>
      <c r="I39" s="6"/>
      <c r="J39" s="63">
        <f t="shared" si="1"/>
        <v>0</v>
      </c>
      <c r="K39" s="63">
        <f t="shared" si="2"/>
        <v>0</v>
      </c>
      <c r="L39" s="155">
        <v>0</v>
      </c>
      <c r="M39" s="144">
        <f>M38+K39-L39</f>
        <v>15663.64070000004</v>
      </c>
      <c r="N39" s="162"/>
    </row>
    <row r="40" spans="1:14">
      <c r="A40" s="6">
        <v>40</v>
      </c>
      <c r="B40" s="6"/>
      <c r="C40" s="6"/>
      <c r="D40" s="6"/>
      <c r="E40" s="62"/>
      <c r="F40" s="299"/>
      <c r="G40" s="63">
        <f t="shared" ref="G40:G42" si="6">E40*F40</f>
        <v>0</v>
      </c>
      <c r="H40" s="62"/>
      <c r="I40" s="6"/>
      <c r="J40" s="63">
        <f t="shared" si="1"/>
        <v>0</v>
      </c>
      <c r="K40" s="63">
        <f t="shared" si="2"/>
        <v>0</v>
      </c>
      <c r="L40" s="155">
        <v>0</v>
      </c>
      <c r="M40" s="144">
        <v>0</v>
      </c>
      <c r="N40" s="6"/>
    </row>
    <row r="41" spans="1:14">
      <c r="A41" s="162">
        <v>41</v>
      </c>
      <c r="B41" s="162"/>
      <c r="C41" s="162"/>
      <c r="D41" s="6"/>
      <c r="E41" s="62"/>
      <c r="F41" s="299"/>
      <c r="G41" s="63">
        <f t="shared" si="6"/>
        <v>0</v>
      </c>
      <c r="H41" s="62"/>
      <c r="I41" s="6"/>
      <c r="J41" s="63">
        <f t="shared" ref="J5:J41" si="7">H41*I41</f>
        <v>0</v>
      </c>
      <c r="K41" s="63">
        <f t="shared" ref="K5:K41" si="8">G41+J41</f>
        <v>0</v>
      </c>
      <c r="L41" s="155">
        <v>0</v>
      </c>
      <c r="M41" s="166">
        <v>0</v>
      </c>
      <c r="N41" s="162"/>
    </row>
    <row r="42" spans="1:14">
      <c r="A42" s="162">
        <v>42</v>
      </c>
      <c r="B42" s="162"/>
      <c r="C42" s="162"/>
      <c r="D42" s="6"/>
      <c r="E42" s="62"/>
      <c r="F42" s="299"/>
      <c r="G42" s="63">
        <f t="shared" si="6"/>
        <v>0</v>
      </c>
      <c r="H42" s="62"/>
      <c r="I42" s="6"/>
      <c r="J42" s="63">
        <f t="shared" ref="J42" si="9">H42*I42</f>
        <v>0</v>
      </c>
      <c r="K42" s="164">
        <f t="shared" ref="K42" si="10">G42+J42</f>
        <v>0</v>
      </c>
      <c r="L42" s="165">
        <f t="shared" ref="L42" si="11">+K42</f>
        <v>0</v>
      </c>
      <c r="M42" s="166">
        <v>0</v>
      </c>
      <c r="N42" s="162"/>
    </row>
    <row r="43" spans="1:14">
      <c r="A43" s="59"/>
      <c r="B43" s="59"/>
      <c r="C43" s="59"/>
      <c r="D43" s="59"/>
      <c r="E43" s="60">
        <f>SUM(E4:E42)</f>
        <v>431.87</v>
      </c>
      <c r="F43" s="60"/>
      <c r="G43" s="60">
        <f>SUM(G4:G42)</f>
        <v>42945.152799999996</v>
      </c>
      <c r="H43" s="60">
        <f>SUM(H4:H42)</f>
        <v>52.95</v>
      </c>
      <c r="I43" s="60"/>
      <c r="J43" s="60">
        <f>SUM(J4:J42)</f>
        <v>5906.2804999999989</v>
      </c>
      <c r="K43" s="60">
        <f>SUM(K4:K42)</f>
        <v>48851.433300000004</v>
      </c>
      <c r="L43" s="60">
        <f>SUM(L4:L42)</f>
        <v>154220</v>
      </c>
      <c r="M43" s="60"/>
      <c r="N43" s="6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17" activePane="bottomLeft" state="frozen"/>
      <selection pane="bottomLeft" activeCell="H34" sqref="H34:I34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567" t="s">
        <v>168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79"/>
    </row>
    <row r="2" spans="1:15" ht="16.5" customHeight="1">
      <c r="A2" s="95" t="s">
        <v>0</v>
      </c>
      <c r="B2" s="96" t="s">
        <v>170</v>
      </c>
      <c r="C2" s="96" t="s">
        <v>171</v>
      </c>
      <c r="D2" s="96" t="s">
        <v>194</v>
      </c>
      <c r="E2" s="96" t="s">
        <v>173</v>
      </c>
      <c r="F2" s="96" t="s">
        <v>174</v>
      </c>
      <c r="G2" s="96" t="s">
        <v>175</v>
      </c>
      <c r="H2" s="96" t="s">
        <v>176</v>
      </c>
      <c r="I2" s="96" t="s">
        <v>174</v>
      </c>
      <c r="J2" s="134" t="s">
        <v>175</v>
      </c>
      <c r="K2" s="97" t="s">
        <v>177</v>
      </c>
      <c r="L2" s="135" t="s">
        <v>178</v>
      </c>
      <c r="M2" s="138" t="s">
        <v>195</v>
      </c>
      <c r="N2" s="98" t="s">
        <v>180</v>
      </c>
      <c r="O2" s="56"/>
    </row>
    <row r="3" spans="1:15" ht="16.5" customHeight="1">
      <c r="A3" s="568" t="s">
        <v>181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/>
      <c r="M3" s="143">
        <v>0</v>
      </c>
      <c r="N3" s="149"/>
      <c r="O3" s="56"/>
    </row>
    <row r="4" spans="1:15">
      <c r="A4" s="189">
        <v>1</v>
      </c>
      <c r="B4" s="212">
        <v>46204</v>
      </c>
      <c r="C4" s="64"/>
      <c r="D4" s="152"/>
      <c r="E4" s="62"/>
      <c r="F4" s="62"/>
      <c r="G4" s="8">
        <f>E4*F4</f>
        <v>0</v>
      </c>
      <c r="H4" s="62"/>
      <c r="I4" s="63"/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5">
      <c r="A5" s="43">
        <v>2</v>
      </c>
      <c r="B5" s="212">
        <v>46205</v>
      </c>
      <c r="C5" s="64"/>
      <c r="D5" s="152"/>
      <c r="E5" s="62"/>
      <c r="F5" s="62"/>
      <c r="G5" s="8">
        <f t="shared" ref="G5:G34" si="0">E5*F5</f>
        <v>0</v>
      </c>
      <c r="H5" s="62"/>
      <c r="I5" s="63"/>
      <c r="J5" s="8">
        <f t="shared" ref="J5:J8" si="1">H5*I5</f>
        <v>0</v>
      </c>
      <c r="K5" s="8">
        <f t="shared" ref="K5:K33" si="2">G5+J5</f>
        <v>0</v>
      </c>
      <c r="L5" s="65">
        <f t="shared" ref="L5:L33" si="3">+K5</f>
        <v>0</v>
      </c>
      <c r="M5" s="65">
        <v>0</v>
      </c>
      <c r="N5" s="8"/>
    </row>
    <row r="6" spans="1:15">
      <c r="A6" s="43">
        <v>3</v>
      </c>
      <c r="B6" s="212">
        <v>46206</v>
      </c>
      <c r="C6" s="64"/>
      <c r="D6" s="152"/>
      <c r="E6" s="62"/>
      <c r="F6" s="62"/>
      <c r="G6" s="8">
        <f t="shared" si="0"/>
        <v>0</v>
      </c>
      <c r="H6" s="62"/>
      <c r="I6" s="63"/>
      <c r="J6" s="8">
        <f t="shared" si="1"/>
        <v>0</v>
      </c>
      <c r="K6" s="8">
        <f t="shared" si="2"/>
        <v>0</v>
      </c>
      <c r="L6" s="65">
        <f t="shared" si="3"/>
        <v>0</v>
      </c>
      <c r="M6" s="65">
        <v>0</v>
      </c>
      <c r="N6" s="8"/>
    </row>
    <row r="7" spans="1:15">
      <c r="A7" s="43">
        <v>4</v>
      </c>
      <c r="B7" s="212">
        <v>46207</v>
      </c>
      <c r="C7" s="64"/>
      <c r="D7" s="152"/>
      <c r="E7" s="62"/>
      <c r="F7" s="62"/>
      <c r="G7" s="8">
        <f t="shared" si="0"/>
        <v>0</v>
      </c>
      <c r="H7" s="62"/>
      <c r="I7" s="63"/>
      <c r="J7" s="8">
        <f t="shared" ref="J7" si="4">H7*I7</f>
        <v>0</v>
      </c>
      <c r="K7" s="8">
        <f t="shared" si="2"/>
        <v>0</v>
      </c>
      <c r="L7" s="65">
        <f t="shared" si="3"/>
        <v>0</v>
      </c>
      <c r="M7" s="65">
        <v>0</v>
      </c>
      <c r="N7" s="8"/>
    </row>
    <row r="8" spans="1:15">
      <c r="A8" s="43">
        <v>5</v>
      </c>
      <c r="B8" s="212">
        <v>46208</v>
      </c>
      <c r="C8" s="64"/>
      <c r="D8" s="152"/>
      <c r="E8" s="62"/>
      <c r="F8" s="62"/>
      <c r="G8" s="8">
        <f t="shared" ref="G8:G33" si="5">E8*F8</f>
        <v>0</v>
      </c>
      <c r="H8" s="62"/>
      <c r="I8" s="63"/>
      <c r="J8" s="8">
        <f t="shared" ref="J8:J33" si="6">H8*I8</f>
        <v>0</v>
      </c>
      <c r="K8" s="8">
        <f t="shared" ref="K8:K33" si="7">G8+J8</f>
        <v>0</v>
      </c>
      <c r="L8" s="65">
        <f t="shared" si="3"/>
        <v>0</v>
      </c>
      <c r="M8" s="65">
        <v>0</v>
      </c>
      <c r="N8" s="8"/>
      <c r="O8" s="66"/>
    </row>
    <row r="9" spans="1:15">
      <c r="A9" s="43">
        <v>6</v>
      </c>
      <c r="B9" s="212">
        <v>46209</v>
      </c>
      <c r="C9" s="64"/>
      <c r="D9" s="152"/>
      <c r="E9" s="62"/>
      <c r="F9" s="62"/>
      <c r="G9" s="8">
        <f t="shared" si="5"/>
        <v>0</v>
      </c>
      <c r="H9" s="62"/>
      <c r="I9" s="63"/>
      <c r="J9" s="8">
        <f t="shared" si="6"/>
        <v>0</v>
      </c>
      <c r="K9" s="8">
        <f t="shared" si="7"/>
        <v>0</v>
      </c>
      <c r="L9" s="65">
        <f t="shared" si="3"/>
        <v>0</v>
      </c>
      <c r="M9" s="65">
        <v>0</v>
      </c>
      <c r="N9" s="8"/>
      <c r="O9" s="66"/>
    </row>
    <row r="10" spans="1:15">
      <c r="A10" s="43">
        <v>7</v>
      </c>
      <c r="B10" s="212">
        <v>46210</v>
      </c>
      <c r="C10" s="64"/>
      <c r="D10" s="152"/>
      <c r="E10" s="62"/>
      <c r="F10" s="62"/>
      <c r="G10" s="465">
        <f t="shared" si="5"/>
        <v>0</v>
      </c>
      <c r="H10" s="63">
        <v>9.0500000000000007</v>
      </c>
      <c r="I10" s="8">
        <v>110.44</v>
      </c>
      <c r="J10" s="8">
        <f t="shared" si="6"/>
        <v>999.48200000000008</v>
      </c>
      <c r="K10" s="465">
        <f t="shared" si="7"/>
        <v>999.48200000000008</v>
      </c>
      <c r="L10" s="466">
        <f t="shared" si="3"/>
        <v>999.48200000000008</v>
      </c>
      <c r="M10" s="65">
        <v>0</v>
      </c>
      <c r="N10" s="8"/>
      <c r="O10" s="66"/>
    </row>
    <row r="11" spans="1:15">
      <c r="A11" s="43">
        <v>8</v>
      </c>
      <c r="B11" s="212">
        <v>46211</v>
      </c>
      <c r="C11" s="64"/>
      <c r="D11" s="152"/>
      <c r="E11" s="62"/>
      <c r="F11" s="62"/>
      <c r="G11" s="8">
        <f t="shared" si="5"/>
        <v>0</v>
      </c>
      <c r="H11" s="62"/>
      <c r="I11" s="63"/>
      <c r="J11" s="8">
        <f t="shared" si="6"/>
        <v>0</v>
      </c>
      <c r="K11" s="8">
        <f t="shared" si="7"/>
        <v>0</v>
      </c>
      <c r="L11" s="65">
        <f t="shared" si="3"/>
        <v>0</v>
      </c>
      <c r="M11" s="65">
        <v>0</v>
      </c>
      <c r="N11" s="8"/>
      <c r="O11" s="66"/>
    </row>
    <row r="12" spans="1:15">
      <c r="A12" s="43">
        <v>9</v>
      </c>
      <c r="B12" s="212">
        <v>46212</v>
      </c>
      <c r="C12" s="64"/>
      <c r="D12" s="152"/>
      <c r="E12" s="62"/>
      <c r="F12" s="62"/>
      <c r="G12" s="8">
        <f>E12*F12</f>
        <v>0</v>
      </c>
      <c r="H12" s="62"/>
      <c r="I12" s="63"/>
      <c r="J12" s="8">
        <f t="shared" si="6"/>
        <v>0</v>
      </c>
      <c r="K12" s="8">
        <f t="shared" si="7"/>
        <v>0</v>
      </c>
      <c r="L12" s="65">
        <f t="shared" si="3"/>
        <v>0</v>
      </c>
      <c r="M12" s="65">
        <v>0</v>
      </c>
      <c r="N12" s="8"/>
      <c r="O12" s="66"/>
    </row>
    <row r="13" spans="1:15">
      <c r="A13" s="43">
        <v>10</v>
      </c>
      <c r="B13" s="212">
        <v>46213</v>
      </c>
      <c r="C13" s="64"/>
      <c r="D13" s="152"/>
      <c r="E13" s="62"/>
      <c r="F13" s="62"/>
      <c r="G13" s="8">
        <f>E13*F13</f>
        <v>0</v>
      </c>
      <c r="H13" s="62"/>
      <c r="I13" s="63"/>
      <c r="J13" s="8">
        <f t="shared" si="6"/>
        <v>0</v>
      </c>
      <c r="K13" s="8">
        <f t="shared" si="7"/>
        <v>0</v>
      </c>
      <c r="L13" s="65">
        <f t="shared" si="3"/>
        <v>0</v>
      </c>
      <c r="M13" s="65">
        <v>0</v>
      </c>
      <c r="N13" s="8"/>
      <c r="O13" s="66"/>
    </row>
    <row r="14" spans="1:15">
      <c r="A14" s="43">
        <v>11</v>
      </c>
      <c r="B14" s="212">
        <v>46214</v>
      </c>
      <c r="C14" s="64"/>
      <c r="D14" s="152"/>
      <c r="E14" s="62"/>
      <c r="F14" s="62"/>
      <c r="G14" s="8">
        <f t="shared" si="5"/>
        <v>0</v>
      </c>
      <c r="H14" s="62"/>
      <c r="I14" s="63"/>
      <c r="J14" s="8">
        <f t="shared" si="6"/>
        <v>0</v>
      </c>
      <c r="K14" s="8">
        <f t="shared" si="7"/>
        <v>0</v>
      </c>
      <c r="L14" s="65">
        <f t="shared" si="3"/>
        <v>0</v>
      </c>
      <c r="M14" s="65">
        <v>0</v>
      </c>
      <c r="N14" s="8"/>
      <c r="O14" s="66"/>
    </row>
    <row r="15" spans="1:15">
      <c r="A15" s="43">
        <v>12</v>
      </c>
      <c r="B15" s="212">
        <v>46215</v>
      </c>
      <c r="C15" s="64"/>
      <c r="D15" s="152"/>
      <c r="E15" s="62"/>
      <c r="F15" s="62"/>
      <c r="G15" s="8">
        <f t="shared" si="5"/>
        <v>0</v>
      </c>
      <c r="H15" s="62"/>
      <c r="I15" s="63"/>
      <c r="J15" s="8">
        <f t="shared" si="6"/>
        <v>0</v>
      </c>
      <c r="K15" s="8">
        <f t="shared" si="7"/>
        <v>0</v>
      </c>
      <c r="L15" s="65">
        <f t="shared" si="3"/>
        <v>0</v>
      </c>
      <c r="M15" s="65">
        <v>0</v>
      </c>
      <c r="N15" s="8"/>
      <c r="O15" s="66"/>
    </row>
    <row r="16" spans="1:15">
      <c r="A16" s="43">
        <v>13</v>
      </c>
      <c r="B16" s="212">
        <v>46216</v>
      </c>
      <c r="C16" s="64"/>
      <c r="D16" s="152"/>
      <c r="E16" s="62"/>
      <c r="F16" s="62"/>
      <c r="G16" s="8">
        <f t="shared" si="5"/>
        <v>0</v>
      </c>
      <c r="H16" s="62"/>
      <c r="I16" s="63"/>
      <c r="J16" s="8">
        <f t="shared" si="6"/>
        <v>0</v>
      </c>
      <c r="K16" s="8">
        <f t="shared" si="7"/>
        <v>0</v>
      </c>
      <c r="L16" s="65">
        <f t="shared" si="3"/>
        <v>0</v>
      </c>
      <c r="M16" s="65">
        <v>0</v>
      </c>
      <c r="N16" s="8"/>
      <c r="O16" s="66"/>
    </row>
    <row r="17" spans="1:15">
      <c r="A17" s="43">
        <v>14</v>
      </c>
      <c r="B17" s="212">
        <v>46217</v>
      </c>
      <c r="C17" s="64"/>
      <c r="D17" s="152"/>
      <c r="E17" s="62">
        <v>50.82</v>
      </c>
      <c r="F17" s="62">
        <v>98.39</v>
      </c>
      <c r="G17" s="8">
        <f t="shared" si="5"/>
        <v>5000.1797999999999</v>
      </c>
      <c r="H17" s="62"/>
      <c r="I17" s="63"/>
      <c r="J17" s="8">
        <f t="shared" si="6"/>
        <v>0</v>
      </c>
      <c r="K17" s="8">
        <f t="shared" si="7"/>
        <v>5000.1797999999999</v>
      </c>
      <c r="L17" s="65">
        <f t="shared" si="3"/>
        <v>5000.1797999999999</v>
      </c>
      <c r="M17" s="65">
        <v>0</v>
      </c>
      <c r="N17" s="8"/>
      <c r="O17" s="66"/>
    </row>
    <row r="18" spans="1:15">
      <c r="A18" s="43">
        <v>15</v>
      </c>
      <c r="B18" s="212">
        <v>46218</v>
      </c>
      <c r="C18" s="64"/>
      <c r="D18" s="152"/>
      <c r="E18" s="62"/>
      <c r="F18" s="62"/>
      <c r="G18" s="8">
        <f t="shared" si="5"/>
        <v>0</v>
      </c>
      <c r="H18" s="62"/>
      <c r="I18" s="63"/>
      <c r="J18" s="8">
        <f t="shared" si="6"/>
        <v>0</v>
      </c>
      <c r="K18" s="8">
        <f t="shared" si="7"/>
        <v>0</v>
      </c>
      <c r="L18" s="65">
        <f t="shared" si="3"/>
        <v>0</v>
      </c>
      <c r="M18" s="65"/>
      <c r="N18" s="8"/>
      <c r="O18" s="66"/>
    </row>
    <row r="19" spans="1:15">
      <c r="A19" s="43">
        <v>16</v>
      </c>
      <c r="B19" s="212">
        <v>46219</v>
      </c>
      <c r="C19" s="64"/>
      <c r="D19" s="152"/>
      <c r="E19" s="62"/>
      <c r="F19" s="62"/>
      <c r="G19" s="8">
        <f t="shared" si="5"/>
        <v>0</v>
      </c>
      <c r="H19" s="62"/>
      <c r="I19" s="63"/>
      <c r="J19" s="8">
        <f t="shared" si="6"/>
        <v>0</v>
      </c>
      <c r="K19" s="8">
        <f t="shared" si="7"/>
        <v>0</v>
      </c>
      <c r="L19" s="65">
        <f>+K19</f>
        <v>0</v>
      </c>
      <c r="M19" s="65">
        <v>0</v>
      </c>
      <c r="N19" s="8"/>
      <c r="O19" s="66"/>
    </row>
    <row r="20" spans="1:15">
      <c r="A20" s="43">
        <v>17</v>
      </c>
      <c r="B20" s="212">
        <v>46220</v>
      </c>
      <c r="C20" s="64"/>
      <c r="D20" s="152"/>
      <c r="E20" s="62"/>
      <c r="F20" s="62"/>
      <c r="G20" s="8">
        <f t="shared" si="5"/>
        <v>0</v>
      </c>
      <c r="H20" s="62"/>
      <c r="I20" s="63"/>
      <c r="J20" s="8">
        <f t="shared" si="6"/>
        <v>0</v>
      </c>
      <c r="K20" s="8">
        <f t="shared" si="7"/>
        <v>0</v>
      </c>
      <c r="L20" s="65">
        <f t="shared" si="3"/>
        <v>0</v>
      </c>
      <c r="M20" s="65">
        <v>0</v>
      </c>
      <c r="N20" s="8"/>
      <c r="O20" s="66"/>
    </row>
    <row r="21" spans="1:15">
      <c r="A21" s="43">
        <v>18</v>
      </c>
      <c r="B21" s="212">
        <v>46221</v>
      </c>
      <c r="C21" s="64"/>
      <c r="D21" s="152"/>
      <c r="E21" s="62"/>
      <c r="F21" s="62"/>
      <c r="G21" s="8">
        <f t="shared" si="5"/>
        <v>0</v>
      </c>
      <c r="H21" s="62"/>
      <c r="I21" s="63"/>
      <c r="J21" s="8">
        <f t="shared" si="6"/>
        <v>0</v>
      </c>
      <c r="K21" s="8">
        <f t="shared" si="7"/>
        <v>0</v>
      </c>
      <c r="L21" s="65">
        <f t="shared" si="3"/>
        <v>0</v>
      </c>
      <c r="M21" s="65">
        <v>0</v>
      </c>
      <c r="N21" s="8"/>
      <c r="O21" s="66"/>
    </row>
    <row r="22" spans="1:15">
      <c r="A22" s="43">
        <v>19</v>
      </c>
      <c r="B22" s="212">
        <v>46222</v>
      </c>
      <c r="C22" s="64"/>
      <c r="D22" s="152"/>
      <c r="E22" s="62"/>
      <c r="F22" s="62"/>
      <c r="G22" s="8">
        <f t="shared" si="5"/>
        <v>0</v>
      </c>
      <c r="H22" s="62"/>
      <c r="I22" s="63"/>
      <c r="J22" s="8">
        <f t="shared" si="6"/>
        <v>0</v>
      </c>
      <c r="K22" s="8">
        <f t="shared" si="7"/>
        <v>0</v>
      </c>
      <c r="L22" s="65">
        <f t="shared" si="3"/>
        <v>0</v>
      </c>
      <c r="M22" s="65">
        <v>0</v>
      </c>
      <c r="N22" s="8"/>
      <c r="O22" s="66"/>
    </row>
    <row r="23" spans="1:15">
      <c r="A23" s="43">
        <v>20</v>
      </c>
      <c r="B23" s="212">
        <v>46223</v>
      </c>
      <c r="C23" s="64"/>
      <c r="D23" s="152"/>
      <c r="E23" s="62"/>
      <c r="F23" s="62"/>
      <c r="G23" s="8">
        <f t="shared" si="5"/>
        <v>0</v>
      </c>
      <c r="H23" s="62"/>
      <c r="I23" s="63"/>
      <c r="J23" s="8">
        <f t="shared" si="6"/>
        <v>0</v>
      </c>
      <c r="K23" s="8">
        <f t="shared" si="7"/>
        <v>0</v>
      </c>
      <c r="L23" s="65">
        <f t="shared" si="3"/>
        <v>0</v>
      </c>
      <c r="M23" s="65">
        <v>0</v>
      </c>
      <c r="N23" s="8"/>
      <c r="O23" s="66"/>
    </row>
    <row r="24" spans="1:15">
      <c r="A24" s="43">
        <v>21</v>
      </c>
      <c r="B24" s="212">
        <v>46224</v>
      </c>
      <c r="C24" s="64"/>
      <c r="D24" s="152"/>
      <c r="E24" s="62"/>
      <c r="F24" s="62"/>
      <c r="G24" s="8">
        <f t="shared" si="5"/>
        <v>0</v>
      </c>
      <c r="H24" s="62"/>
      <c r="I24" s="63"/>
      <c r="J24" s="8">
        <f t="shared" si="6"/>
        <v>0</v>
      </c>
      <c r="K24" s="8">
        <f t="shared" si="7"/>
        <v>0</v>
      </c>
      <c r="L24" s="65">
        <f t="shared" si="3"/>
        <v>0</v>
      </c>
      <c r="M24" s="65">
        <v>0</v>
      </c>
      <c r="N24" s="8"/>
      <c r="O24" s="66"/>
    </row>
    <row r="25" spans="1:15">
      <c r="A25" s="43">
        <v>22</v>
      </c>
      <c r="B25" s="212">
        <v>46225</v>
      </c>
      <c r="C25" s="64"/>
      <c r="D25" s="152"/>
      <c r="E25" s="62"/>
      <c r="F25" s="62"/>
      <c r="G25" s="8">
        <f t="shared" si="5"/>
        <v>0</v>
      </c>
      <c r="H25" s="62"/>
      <c r="I25" s="63"/>
      <c r="J25" s="8">
        <f t="shared" si="6"/>
        <v>0</v>
      </c>
      <c r="K25" s="8">
        <f t="shared" si="7"/>
        <v>0</v>
      </c>
      <c r="L25" s="65">
        <f t="shared" si="3"/>
        <v>0</v>
      </c>
      <c r="M25" s="65">
        <v>0</v>
      </c>
      <c r="N25" s="8"/>
      <c r="O25" s="66"/>
    </row>
    <row r="26" spans="1:15">
      <c r="A26" s="43">
        <v>23</v>
      </c>
      <c r="B26" s="212">
        <v>46226</v>
      </c>
      <c r="C26" s="64"/>
      <c r="D26" s="152"/>
      <c r="E26" s="62"/>
      <c r="F26" s="62"/>
      <c r="G26" s="8">
        <f t="shared" si="5"/>
        <v>0</v>
      </c>
      <c r="H26" s="62"/>
      <c r="I26" s="63"/>
      <c r="J26" s="8">
        <f t="shared" si="6"/>
        <v>0</v>
      </c>
      <c r="K26" s="8">
        <f t="shared" si="7"/>
        <v>0</v>
      </c>
      <c r="L26" s="65">
        <f t="shared" si="3"/>
        <v>0</v>
      </c>
      <c r="M26" s="65">
        <v>0</v>
      </c>
      <c r="N26" s="8"/>
      <c r="O26" s="66"/>
    </row>
    <row r="27" spans="1:15">
      <c r="A27" s="43">
        <v>24</v>
      </c>
      <c r="B27" s="212">
        <v>46227</v>
      </c>
      <c r="C27" s="64"/>
      <c r="D27" s="152"/>
      <c r="E27" s="62"/>
      <c r="F27" s="62"/>
      <c r="G27" s="8">
        <f t="shared" si="5"/>
        <v>0</v>
      </c>
      <c r="H27" s="62">
        <v>9.0500000000000007</v>
      </c>
      <c r="I27" s="63">
        <v>110.44</v>
      </c>
      <c r="J27" s="8">
        <f t="shared" si="6"/>
        <v>999.48200000000008</v>
      </c>
      <c r="K27" s="8">
        <f t="shared" si="7"/>
        <v>999.48200000000008</v>
      </c>
      <c r="L27" s="65">
        <f t="shared" si="3"/>
        <v>999.48200000000008</v>
      </c>
      <c r="M27" s="65">
        <v>0</v>
      </c>
      <c r="N27" s="8"/>
      <c r="O27" s="66"/>
    </row>
    <row r="28" spans="1:15">
      <c r="A28" s="214">
        <v>25</v>
      </c>
      <c r="B28" s="212">
        <v>46228</v>
      </c>
      <c r="C28" s="64"/>
      <c r="D28" s="152"/>
      <c r="E28" s="62"/>
      <c r="F28" s="62"/>
      <c r="G28" s="8">
        <f t="shared" si="5"/>
        <v>0</v>
      </c>
      <c r="H28" s="62"/>
      <c r="I28" s="63"/>
      <c r="J28" s="8">
        <f t="shared" si="6"/>
        <v>0</v>
      </c>
      <c r="K28" s="8">
        <f t="shared" si="7"/>
        <v>0</v>
      </c>
      <c r="L28" s="65">
        <f t="shared" si="3"/>
        <v>0</v>
      </c>
      <c r="M28" s="65">
        <v>0</v>
      </c>
      <c r="N28" s="8"/>
      <c r="O28" s="66"/>
    </row>
    <row r="29" spans="1:15">
      <c r="A29" s="214">
        <v>26</v>
      </c>
      <c r="B29" s="212">
        <v>46229</v>
      </c>
      <c r="C29" s="64"/>
      <c r="D29" s="152"/>
      <c r="E29" s="62"/>
      <c r="F29" s="62"/>
      <c r="G29" s="8">
        <f t="shared" si="5"/>
        <v>0</v>
      </c>
      <c r="H29" s="62"/>
      <c r="I29" s="63"/>
      <c r="J29" s="8">
        <f t="shared" si="6"/>
        <v>0</v>
      </c>
      <c r="K29" s="8">
        <f t="shared" si="7"/>
        <v>0</v>
      </c>
      <c r="L29" s="65">
        <f t="shared" si="3"/>
        <v>0</v>
      </c>
      <c r="M29" s="65">
        <v>0</v>
      </c>
      <c r="N29" s="8"/>
      <c r="O29" s="66"/>
    </row>
    <row r="30" spans="1:15">
      <c r="A30" s="214">
        <v>27</v>
      </c>
      <c r="B30" s="212">
        <v>46230</v>
      </c>
      <c r="C30" s="64"/>
      <c r="D30" s="152"/>
      <c r="E30" s="62"/>
      <c r="F30" s="62"/>
      <c r="G30" s="8">
        <f t="shared" si="5"/>
        <v>0</v>
      </c>
      <c r="H30" s="62"/>
      <c r="I30" s="63"/>
      <c r="J30" s="8">
        <f t="shared" si="6"/>
        <v>0</v>
      </c>
      <c r="K30" s="8">
        <f t="shared" si="7"/>
        <v>0</v>
      </c>
      <c r="L30" s="65">
        <f t="shared" si="3"/>
        <v>0</v>
      </c>
      <c r="M30" s="65">
        <v>0</v>
      </c>
      <c r="N30" s="8"/>
      <c r="O30" s="66"/>
    </row>
    <row r="31" spans="1:15">
      <c r="A31" s="214">
        <v>28</v>
      </c>
      <c r="B31" s="212">
        <v>46231</v>
      </c>
      <c r="C31" s="64"/>
      <c r="D31" s="152"/>
      <c r="E31" s="62"/>
      <c r="F31" s="62"/>
      <c r="G31" s="8">
        <f t="shared" si="5"/>
        <v>0</v>
      </c>
      <c r="H31" s="62"/>
      <c r="I31" s="63"/>
      <c r="J31" s="8">
        <f t="shared" si="6"/>
        <v>0</v>
      </c>
      <c r="K31" s="8">
        <f t="shared" si="7"/>
        <v>0</v>
      </c>
      <c r="L31" s="65">
        <f t="shared" si="3"/>
        <v>0</v>
      </c>
      <c r="M31" s="65">
        <v>0</v>
      </c>
      <c r="N31" s="8"/>
      <c r="O31" s="66"/>
    </row>
    <row r="32" spans="1:15">
      <c r="A32" s="215">
        <v>29</v>
      </c>
      <c r="B32" s="212">
        <v>46232</v>
      </c>
      <c r="C32" s="64"/>
      <c r="D32" s="152"/>
      <c r="E32" s="62"/>
      <c r="F32" s="62"/>
      <c r="G32" s="8">
        <f t="shared" si="5"/>
        <v>0</v>
      </c>
      <c r="H32" s="62"/>
      <c r="I32" s="63"/>
      <c r="J32" s="8">
        <f t="shared" si="6"/>
        <v>0</v>
      </c>
      <c r="K32" s="8">
        <f t="shared" si="7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5">
        <v>30</v>
      </c>
      <c r="B33" s="212">
        <v>46233</v>
      </c>
      <c r="C33" s="64"/>
      <c r="D33" s="152"/>
      <c r="E33" s="62"/>
      <c r="F33" s="62"/>
      <c r="G33" s="8">
        <f t="shared" si="5"/>
        <v>0</v>
      </c>
      <c r="H33" s="62"/>
      <c r="I33" s="63"/>
      <c r="J33" s="8">
        <f t="shared" si="6"/>
        <v>0</v>
      </c>
      <c r="K33" s="8">
        <f t="shared" si="7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5">
        <v>31</v>
      </c>
      <c r="B34" s="212">
        <v>46234</v>
      </c>
      <c r="C34" s="64"/>
      <c r="D34" s="152"/>
      <c r="E34" s="62"/>
      <c r="F34" s="62"/>
      <c r="G34" s="8">
        <f t="shared" si="0"/>
        <v>0</v>
      </c>
      <c r="H34" s="62">
        <v>9.0500000000000007</v>
      </c>
      <c r="I34" s="63">
        <v>110.44</v>
      </c>
      <c r="J34" s="8">
        <f t="shared" ref="J9:J34" si="8">H34*I34</f>
        <v>999.48200000000008</v>
      </c>
      <c r="K34" s="8">
        <f t="shared" ref="K34" si="9">G34+J34</f>
        <v>999.48200000000008</v>
      </c>
      <c r="L34" s="65">
        <f t="shared" ref="L34" si="10">+K34</f>
        <v>999.48200000000008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60">
        <f>SUM(E4:E34)</f>
        <v>50.82</v>
      </c>
      <c r="F35" s="60"/>
      <c r="G35" s="60">
        <f>SUM(G4:G34)</f>
        <v>5000.1797999999999</v>
      </c>
      <c r="H35" s="60">
        <f>SUM(H4:H34)</f>
        <v>27.150000000000002</v>
      </c>
      <c r="I35" s="60"/>
      <c r="J35" s="60">
        <f>SUM(J4:J34)</f>
        <v>2998.4460000000004</v>
      </c>
      <c r="K35" s="60">
        <f>SUM(K4:K34)</f>
        <v>7998.6257999999998</v>
      </c>
      <c r="L35" s="60">
        <f>SUM(L4:L34)</f>
        <v>7998.6257999999998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76"/>
      <c r="C43" s="576"/>
      <c r="D43" s="576"/>
      <c r="E43" s="576"/>
      <c r="F43" s="66"/>
      <c r="G43" s="66"/>
      <c r="H43" s="66"/>
      <c r="I43" s="576"/>
      <c r="J43" s="576"/>
      <c r="K43" s="576"/>
      <c r="L43" s="576"/>
      <c r="M43" s="576"/>
      <c r="N43" s="576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06"/>
  <sheetViews>
    <sheetView workbookViewId="0">
      <pane ySplit="3" topLeftCell="A91" activePane="bottomLeft" state="frozen"/>
      <selection pane="bottomLeft" activeCell="C104" sqref="C104"/>
    </sheetView>
  </sheetViews>
  <sheetFormatPr defaultRowHeight="15"/>
  <cols>
    <col min="1" max="1" width="15" customWidth="1"/>
    <col min="2" max="2" width="18.7109375" customWidth="1"/>
    <col min="3" max="3" width="63.5703125" bestFit="1" customWidth="1"/>
    <col min="4" max="4" width="15.5703125" customWidth="1"/>
    <col min="5" max="5" width="12.28515625" style="178" customWidth="1"/>
    <col min="6" max="6" width="12.85546875" style="178" customWidth="1"/>
    <col min="7" max="7" width="12.5703125" style="178" bestFit="1" customWidth="1"/>
    <col min="8" max="8" width="12.5703125" style="178" customWidth="1"/>
    <col min="9" max="10" width="9.140625" style="178"/>
    <col min="11" max="11" width="18.7109375" style="178" customWidth="1"/>
    <col min="12" max="12" width="24.140625" style="178" customWidth="1"/>
    <col min="13" max="13" width="16.5703125" style="178" customWidth="1"/>
    <col min="14" max="14" width="19.85546875" style="178" customWidth="1"/>
    <col min="15" max="15" width="13.42578125" style="178" customWidth="1"/>
    <col min="16" max="16" width="11.42578125" style="178" bestFit="1" customWidth="1"/>
    <col min="17" max="21" width="9.140625" style="178"/>
  </cols>
  <sheetData>
    <row r="1" spans="1:16" ht="15.75">
      <c r="A1" s="239" t="s">
        <v>265</v>
      </c>
      <c r="B1" s="239"/>
      <c r="C1" s="239"/>
      <c r="D1" s="239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 spans="1:16" ht="26.25" customHeight="1">
      <c r="A2" s="61" t="s">
        <v>0</v>
      </c>
      <c r="B2" s="80" t="s">
        <v>170</v>
      </c>
      <c r="C2" s="80" t="s">
        <v>266</v>
      </c>
      <c r="D2" s="80" t="s">
        <v>267</v>
      </c>
      <c r="E2" s="271" t="s">
        <v>173</v>
      </c>
      <c r="F2" s="271" t="s">
        <v>174</v>
      </c>
      <c r="G2" s="272" t="s">
        <v>175</v>
      </c>
      <c r="H2" s="271" t="s">
        <v>176</v>
      </c>
      <c r="I2" s="271" t="s">
        <v>174</v>
      </c>
      <c r="J2" s="272" t="s">
        <v>175</v>
      </c>
      <c r="K2" s="273" t="s">
        <v>177</v>
      </c>
      <c r="L2" s="274" t="s">
        <v>268</v>
      </c>
      <c r="M2" s="275" t="s">
        <v>195</v>
      </c>
      <c r="N2" s="271" t="s">
        <v>180</v>
      </c>
      <c r="O2" s="271" t="s">
        <v>269</v>
      </c>
    </row>
    <row r="3" spans="1:16" ht="15.75">
      <c r="A3" s="240" t="s">
        <v>181</v>
      </c>
      <c r="B3" s="240"/>
      <c r="C3" s="240"/>
      <c r="D3" s="240"/>
      <c r="E3" s="276"/>
      <c r="F3" s="276"/>
      <c r="G3" s="276"/>
      <c r="H3" s="276"/>
      <c r="I3" s="276"/>
      <c r="J3" s="276"/>
      <c r="K3" s="294">
        <v>0</v>
      </c>
      <c r="L3" s="294"/>
      <c r="M3" s="294"/>
      <c r="N3" s="294"/>
      <c r="O3" s="379"/>
    </row>
    <row r="4" spans="1:16">
      <c r="A4" s="378">
        <v>1</v>
      </c>
      <c r="B4" s="216">
        <v>46235</v>
      </c>
      <c r="C4" s="371" t="s">
        <v>270</v>
      </c>
      <c r="D4" s="371" t="s">
        <v>271</v>
      </c>
      <c r="E4" s="277">
        <v>5.76</v>
      </c>
      <c r="F4" s="277">
        <v>104.7</v>
      </c>
      <c r="G4" s="277">
        <f>E4*F4</f>
        <v>603.072</v>
      </c>
      <c r="H4" s="101">
        <v>10</v>
      </c>
      <c r="I4" s="101">
        <v>116.99</v>
      </c>
      <c r="J4" s="277">
        <f>H4*I4</f>
        <v>1169.8999999999999</v>
      </c>
      <c r="K4" s="277">
        <f t="shared" ref="K4" si="0">G4+J4</f>
        <v>1772.9719999999998</v>
      </c>
      <c r="L4" s="278"/>
      <c r="M4" s="278">
        <f>K3+L4-K4</f>
        <v>-1772.9719999999998</v>
      </c>
      <c r="N4" s="278"/>
      <c r="O4" s="278"/>
      <c r="P4" s="178" t="s">
        <v>272</v>
      </c>
    </row>
    <row r="5" spans="1:16">
      <c r="A5" s="14">
        <v>2</v>
      </c>
      <c r="B5" s="216">
        <v>46235</v>
      </c>
      <c r="C5" s="371" t="s">
        <v>273</v>
      </c>
      <c r="D5" s="371" t="s">
        <v>271</v>
      </c>
      <c r="E5" s="101">
        <v>30</v>
      </c>
      <c r="F5" s="101">
        <v>104.67</v>
      </c>
      <c r="G5" s="277">
        <f>E5*F5</f>
        <v>3140.1</v>
      </c>
      <c r="H5" s="101"/>
      <c r="I5" s="101"/>
      <c r="J5" s="277">
        <f t="shared" ref="J5:J73" si="1">H5*I5</f>
        <v>0</v>
      </c>
      <c r="K5" s="277">
        <f>G5+J5</f>
        <v>3140.1</v>
      </c>
      <c r="L5" s="278"/>
      <c r="M5" s="277">
        <f>M4+L5-K5</f>
        <v>-4913.0720000000001</v>
      </c>
      <c r="N5" s="277"/>
      <c r="O5" s="277"/>
    </row>
    <row r="6" spans="1:16">
      <c r="A6" s="14">
        <v>3</v>
      </c>
      <c r="B6" s="216">
        <v>46235</v>
      </c>
      <c r="C6" s="389" t="s">
        <v>274</v>
      </c>
      <c r="D6" s="389" t="s">
        <v>271</v>
      </c>
      <c r="E6" s="177">
        <v>50</v>
      </c>
      <c r="F6" s="177">
        <v>104.7</v>
      </c>
      <c r="G6" s="277">
        <f>E6*F6</f>
        <v>5235</v>
      </c>
      <c r="H6" s="101"/>
      <c r="I6" s="101"/>
      <c r="J6" s="277">
        <f t="shared" si="1"/>
        <v>0</v>
      </c>
      <c r="K6" s="277">
        <f>G6+J6</f>
        <v>5235</v>
      </c>
      <c r="L6" s="278"/>
      <c r="M6" s="277">
        <f>M5+L6-K6</f>
        <v>-10148.072</v>
      </c>
      <c r="N6" s="277"/>
      <c r="O6" s="277"/>
    </row>
    <row r="7" spans="1:16">
      <c r="A7" s="378">
        <v>4</v>
      </c>
      <c r="B7" s="216">
        <v>46235</v>
      </c>
      <c r="C7" s="389" t="s">
        <v>275</v>
      </c>
      <c r="D7" s="389" t="s">
        <v>271</v>
      </c>
      <c r="E7" s="177">
        <v>0</v>
      </c>
      <c r="F7" s="177">
        <v>0</v>
      </c>
      <c r="G7" s="277">
        <f>E7*F7</f>
        <v>0</v>
      </c>
      <c r="H7" s="277">
        <v>8.57</v>
      </c>
      <c r="I7" s="101">
        <v>117.62</v>
      </c>
      <c r="J7" s="277">
        <f t="shared" si="1"/>
        <v>1008.0034000000001</v>
      </c>
      <c r="K7" s="277">
        <f>G7+J7</f>
        <v>1008.0034000000001</v>
      </c>
      <c r="L7" s="278"/>
      <c r="M7" s="277">
        <f>M6+L7-K7</f>
        <v>-11156.0754</v>
      </c>
      <c r="N7" s="277"/>
      <c r="O7" s="277"/>
    </row>
    <row r="8" spans="1:16">
      <c r="A8" s="14">
        <v>5</v>
      </c>
      <c r="B8" s="216">
        <v>46236</v>
      </c>
      <c r="C8" s="389" t="s">
        <v>270</v>
      </c>
      <c r="D8" s="389" t="s">
        <v>271</v>
      </c>
      <c r="E8" s="177">
        <v>10</v>
      </c>
      <c r="F8" s="177">
        <v>104.7</v>
      </c>
      <c r="G8" s="277">
        <f>E8*F8</f>
        <v>1047</v>
      </c>
      <c r="H8" s="277"/>
      <c r="I8" s="101"/>
      <c r="J8" s="277">
        <f t="shared" si="1"/>
        <v>0</v>
      </c>
      <c r="K8" s="277">
        <f>G8+J8</f>
        <v>1047</v>
      </c>
      <c r="L8" s="278"/>
      <c r="M8" s="277">
        <f>M7+L8-K8</f>
        <v>-12203.0754</v>
      </c>
      <c r="N8" s="277"/>
      <c r="O8" s="277"/>
    </row>
    <row r="9" spans="1:16">
      <c r="A9" s="14">
        <v>6</v>
      </c>
      <c r="B9" s="216">
        <v>46236</v>
      </c>
      <c r="C9" s="389" t="s">
        <v>275</v>
      </c>
      <c r="D9" s="389" t="s">
        <v>271</v>
      </c>
      <c r="E9" s="277"/>
      <c r="F9" s="277"/>
      <c r="G9" s="277">
        <f>E9*F9</f>
        <v>0</v>
      </c>
      <c r="H9" s="277">
        <v>5</v>
      </c>
      <c r="I9" s="101">
        <v>117.62</v>
      </c>
      <c r="J9" s="277">
        <f t="shared" si="1"/>
        <v>588.1</v>
      </c>
      <c r="K9" s="277">
        <f>G9+J9</f>
        <v>588.1</v>
      </c>
      <c r="L9" s="278"/>
      <c r="M9" s="277">
        <f>M8+L9-K9</f>
        <v>-12791.1754</v>
      </c>
      <c r="N9" s="277"/>
      <c r="O9" s="277"/>
    </row>
    <row r="10" spans="1:16">
      <c r="A10" s="378">
        <v>7</v>
      </c>
      <c r="B10" s="216">
        <v>46237</v>
      </c>
      <c r="C10" s="389" t="s">
        <v>270</v>
      </c>
      <c r="D10" s="389" t="s">
        <v>271</v>
      </c>
      <c r="E10" s="277"/>
      <c r="F10" s="277"/>
      <c r="G10" s="277">
        <f>E10*F10</f>
        <v>0</v>
      </c>
      <c r="H10" s="101">
        <v>8</v>
      </c>
      <c r="I10" s="101">
        <v>116.99</v>
      </c>
      <c r="J10" s="277">
        <f t="shared" si="1"/>
        <v>935.92</v>
      </c>
      <c r="K10" s="277">
        <f>G10+J10</f>
        <v>935.92</v>
      </c>
      <c r="L10" s="278"/>
      <c r="M10" s="277">
        <f>M9+L10-K10</f>
        <v>-13727.0954</v>
      </c>
      <c r="N10" s="277"/>
      <c r="O10" s="277"/>
    </row>
    <row r="11" spans="1:16">
      <c r="A11" s="14">
        <v>8</v>
      </c>
      <c r="B11" s="216">
        <v>46237</v>
      </c>
      <c r="C11" s="389" t="s">
        <v>276</v>
      </c>
      <c r="D11" s="389" t="s">
        <v>271</v>
      </c>
      <c r="E11" s="277">
        <v>28.7</v>
      </c>
      <c r="F11" s="277">
        <v>104.54</v>
      </c>
      <c r="G11" s="277">
        <f>E11*F11</f>
        <v>3000.2980000000002</v>
      </c>
      <c r="H11" s="101"/>
      <c r="I11" s="101"/>
      <c r="J11" s="277">
        <f t="shared" si="1"/>
        <v>0</v>
      </c>
      <c r="K11" s="277">
        <f>G11+J11</f>
        <v>3000.2980000000002</v>
      </c>
      <c r="L11" s="278"/>
      <c r="M11" s="277">
        <f>M10+L11-K11</f>
        <v>-16727.393400000001</v>
      </c>
      <c r="N11" s="277"/>
      <c r="O11" s="277"/>
    </row>
    <row r="12" spans="1:16">
      <c r="A12" s="14">
        <v>9</v>
      </c>
      <c r="B12" s="216">
        <v>46237</v>
      </c>
      <c r="C12" s="389" t="s">
        <v>277</v>
      </c>
      <c r="D12" s="389" t="s">
        <v>271</v>
      </c>
      <c r="E12" s="277"/>
      <c r="F12" s="277"/>
      <c r="G12" s="277">
        <f>E12*F12</f>
        <v>0</v>
      </c>
      <c r="H12" s="101">
        <v>30.01</v>
      </c>
      <c r="I12" s="101">
        <v>116.9</v>
      </c>
      <c r="J12" s="277">
        <f t="shared" si="1"/>
        <v>3508.1690000000003</v>
      </c>
      <c r="K12" s="277">
        <f>G12+J12</f>
        <v>3508.1690000000003</v>
      </c>
      <c r="L12" s="278"/>
      <c r="M12" s="277">
        <f>M11+L12-K12</f>
        <v>-20235.562400000003</v>
      </c>
      <c r="N12" s="277"/>
      <c r="O12" s="277"/>
    </row>
    <row r="13" spans="1:16">
      <c r="A13" s="378">
        <v>10</v>
      </c>
      <c r="B13" s="216">
        <v>46237</v>
      </c>
      <c r="C13" s="389" t="s">
        <v>278</v>
      </c>
      <c r="D13" s="389" t="s">
        <v>44</v>
      </c>
      <c r="E13" s="101">
        <v>39</v>
      </c>
      <c r="F13" s="101">
        <v>103.85</v>
      </c>
      <c r="G13" s="277">
        <f>E13*F13</f>
        <v>4050.1499999999996</v>
      </c>
      <c r="H13" s="101"/>
      <c r="I13" s="101"/>
      <c r="J13" s="277">
        <f t="shared" si="1"/>
        <v>0</v>
      </c>
      <c r="K13" s="277">
        <f>G13+J13</f>
        <v>4050.1499999999996</v>
      </c>
      <c r="L13" s="278"/>
      <c r="M13" s="277">
        <f>M12+L13-K13</f>
        <v>-24285.712400000004</v>
      </c>
      <c r="N13" s="277"/>
      <c r="O13" s="277"/>
    </row>
    <row r="14" spans="1:16">
      <c r="A14" s="14">
        <v>11</v>
      </c>
      <c r="B14" s="216">
        <v>46237</v>
      </c>
      <c r="C14" s="389" t="s">
        <v>279</v>
      </c>
      <c r="D14" s="389" t="s">
        <v>280</v>
      </c>
      <c r="E14">
        <v>109.95</v>
      </c>
      <c r="F14" s="101">
        <v>100.05</v>
      </c>
      <c r="G14" s="277">
        <f>E14*F14</f>
        <v>11000.497499999999</v>
      </c>
      <c r="H14" s="101">
        <v>6.02</v>
      </c>
      <c r="I14" s="101">
        <v>112.07</v>
      </c>
      <c r="J14" s="277">
        <f t="shared" si="1"/>
        <v>674.66139999999996</v>
      </c>
      <c r="K14" s="277">
        <f>G14+J14</f>
        <v>11675.158899999999</v>
      </c>
      <c r="L14" s="278"/>
      <c r="M14" s="277">
        <f>M13+L14-K14</f>
        <v>-35960.871299999999</v>
      </c>
      <c r="N14" s="277"/>
      <c r="O14" s="277"/>
    </row>
    <row r="15" spans="1:16">
      <c r="A15" s="14">
        <v>12</v>
      </c>
      <c r="B15" s="216">
        <v>46237</v>
      </c>
      <c r="C15" s="389" t="s">
        <v>281</v>
      </c>
      <c r="D15" s="389" t="s">
        <v>271</v>
      </c>
      <c r="E15" s="277">
        <v>30</v>
      </c>
      <c r="F15" s="277">
        <v>105.4</v>
      </c>
      <c r="G15" s="277">
        <f>E15*F15</f>
        <v>3162</v>
      </c>
      <c r="H15" s="101"/>
      <c r="I15" s="101"/>
      <c r="J15" s="277">
        <f t="shared" si="1"/>
        <v>0</v>
      </c>
      <c r="K15" s="277">
        <f>G15+J15</f>
        <v>3162</v>
      </c>
      <c r="L15" s="278"/>
      <c r="M15" s="277">
        <f>M14+L15-K15</f>
        <v>-39122.871299999999</v>
      </c>
      <c r="N15" s="277"/>
      <c r="O15" s="277"/>
    </row>
    <row r="16" spans="1:16">
      <c r="A16" s="378">
        <v>13</v>
      </c>
      <c r="B16" s="216">
        <v>46237</v>
      </c>
      <c r="C16" s="389" t="s">
        <v>275</v>
      </c>
      <c r="D16" s="389" t="s">
        <v>271</v>
      </c>
      <c r="E16" s="277">
        <v>44.13</v>
      </c>
      <c r="F16" s="277">
        <v>105.29</v>
      </c>
      <c r="G16" s="277">
        <f>E16*F16</f>
        <v>4646.4477000000006</v>
      </c>
      <c r="H16" s="101"/>
      <c r="I16" s="101"/>
      <c r="J16" s="277">
        <f t="shared" si="1"/>
        <v>0</v>
      </c>
      <c r="K16" s="277">
        <f>G16+J16</f>
        <v>4646.4477000000006</v>
      </c>
      <c r="L16" s="278"/>
      <c r="M16" s="277">
        <f>M15+L16-K16</f>
        <v>-43769.319000000003</v>
      </c>
      <c r="N16" s="277"/>
      <c r="O16" s="277"/>
    </row>
    <row r="17" spans="1:15">
      <c r="A17" s="14">
        <v>14</v>
      </c>
      <c r="B17" s="216">
        <v>46237</v>
      </c>
      <c r="C17" s="389" t="s">
        <v>282</v>
      </c>
      <c r="D17" s="389" t="s">
        <v>40</v>
      </c>
      <c r="E17" s="277"/>
      <c r="F17" s="277"/>
      <c r="G17" s="277">
        <f>E17*F17</f>
        <v>0</v>
      </c>
      <c r="H17" s="101">
        <v>4.79</v>
      </c>
      <c r="I17" s="101">
        <v>115.69</v>
      </c>
      <c r="J17" s="277">
        <f t="shared" si="1"/>
        <v>554.15509999999995</v>
      </c>
      <c r="K17" s="277">
        <f>G17+J17</f>
        <v>554.15509999999995</v>
      </c>
      <c r="L17" s="278"/>
      <c r="M17" s="277">
        <f>M16+L17-K17</f>
        <v>-44323.474100000007</v>
      </c>
      <c r="N17" s="277"/>
      <c r="O17" s="277"/>
    </row>
    <row r="18" spans="1:15">
      <c r="A18" s="14">
        <v>15</v>
      </c>
      <c r="B18" s="216">
        <v>46237</v>
      </c>
      <c r="C18" s="389" t="s">
        <v>283</v>
      </c>
      <c r="D18" s="389" t="s">
        <v>53</v>
      </c>
      <c r="E18" s="277">
        <v>50</v>
      </c>
      <c r="F18" s="277">
        <v>99.62</v>
      </c>
      <c r="G18" s="277">
        <f>E18*F18</f>
        <v>4981</v>
      </c>
      <c r="H18" s="101"/>
      <c r="I18" s="101"/>
      <c r="J18" s="277">
        <f t="shared" si="1"/>
        <v>0</v>
      </c>
      <c r="K18" s="277">
        <f>G18+J18</f>
        <v>4981</v>
      </c>
      <c r="L18" s="278"/>
      <c r="M18" s="277">
        <f>M17+L18-K18</f>
        <v>-49304.474100000007</v>
      </c>
      <c r="N18" s="277"/>
      <c r="O18" s="277"/>
    </row>
    <row r="19" spans="1:15">
      <c r="A19" s="378">
        <v>16</v>
      </c>
      <c r="B19" s="216">
        <v>46238</v>
      </c>
      <c r="C19" s="389" t="s">
        <v>284</v>
      </c>
      <c r="D19" s="389" t="s">
        <v>271</v>
      </c>
      <c r="E19" s="277">
        <v>30</v>
      </c>
      <c r="F19" s="277">
        <v>105.33</v>
      </c>
      <c r="G19" s="277">
        <f>E19*F19</f>
        <v>3159.9</v>
      </c>
      <c r="H19" s="101"/>
      <c r="I19" s="101"/>
      <c r="J19" s="277">
        <f t="shared" si="1"/>
        <v>0</v>
      </c>
      <c r="K19" s="277">
        <f>G19+J19</f>
        <v>3159.9</v>
      </c>
      <c r="L19" s="278"/>
      <c r="M19" s="277">
        <f>M18+L19-K19</f>
        <v>-52464.374100000008</v>
      </c>
      <c r="N19" s="277"/>
      <c r="O19" s="277"/>
    </row>
    <row r="20" spans="1:15">
      <c r="A20" s="14">
        <v>17</v>
      </c>
      <c r="B20" s="216">
        <v>46238</v>
      </c>
      <c r="C20" s="389" t="s">
        <v>279</v>
      </c>
      <c r="D20" s="389" t="s">
        <v>280</v>
      </c>
      <c r="E20" s="277">
        <v>35</v>
      </c>
      <c r="F20" s="277">
        <v>100.05</v>
      </c>
      <c r="G20" s="277">
        <f>E20*F20</f>
        <v>3501.75</v>
      </c>
      <c r="H20" s="101"/>
      <c r="I20" s="101"/>
      <c r="J20" s="277">
        <f t="shared" si="1"/>
        <v>0</v>
      </c>
      <c r="K20" s="277">
        <f>G20+J20</f>
        <v>3501.75</v>
      </c>
      <c r="L20" s="278"/>
      <c r="M20" s="277">
        <f>M19+L20-K20</f>
        <v>-55966.124100000008</v>
      </c>
      <c r="N20" s="277"/>
      <c r="O20" s="277"/>
    </row>
    <row r="21" spans="1:15">
      <c r="A21" s="14">
        <v>18</v>
      </c>
      <c r="B21" s="216">
        <v>46238</v>
      </c>
      <c r="C21" s="389" t="s">
        <v>281</v>
      </c>
      <c r="D21" s="389" t="s">
        <v>271</v>
      </c>
      <c r="E21" s="277">
        <v>70</v>
      </c>
      <c r="F21" s="277">
        <v>105.4</v>
      </c>
      <c r="G21" s="277">
        <f>E21*F21</f>
        <v>7378</v>
      </c>
      <c r="H21" s="101"/>
      <c r="I21" s="101"/>
      <c r="J21" s="277">
        <f t="shared" si="1"/>
        <v>0</v>
      </c>
      <c r="K21" s="277">
        <f>G21+J21</f>
        <v>7378</v>
      </c>
      <c r="L21" s="278"/>
      <c r="M21" s="277">
        <f>M20+L21-K21</f>
        <v>-63344.124100000008</v>
      </c>
      <c r="N21" s="277"/>
      <c r="O21" s="277"/>
    </row>
    <row r="22" spans="1:15">
      <c r="A22" s="378">
        <v>19</v>
      </c>
      <c r="B22" s="216">
        <v>46238</v>
      </c>
      <c r="C22" s="389" t="s">
        <v>285</v>
      </c>
      <c r="D22" s="389" t="s">
        <v>271</v>
      </c>
      <c r="E22" s="277">
        <v>36.65</v>
      </c>
      <c r="F22" s="277">
        <v>105.59</v>
      </c>
      <c r="G22" s="277">
        <f>E22*F22</f>
        <v>3869.8735000000001</v>
      </c>
      <c r="H22" s="101">
        <v>4.71</v>
      </c>
      <c r="I22" s="101">
        <v>117.98</v>
      </c>
      <c r="J22" s="277">
        <f t="shared" si="1"/>
        <v>555.68579999999997</v>
      </c>
      <c r="K22" s="277">
        <f>G22+J22</f>
        <v>4425.5592999999999</v>
      </c>
      <c r="L22" s="278"/>
      <c r="M22" s="277">
        <f>M21+L22-K22</f>
        <v>-67769.683400000009</v>
      </c>
      <c r="N22" s="277"/>
      <c r="O22" s="277"/>
    </row>
    <row r="23" spans="1:15">
      <c r="A23" s="14">
        <v>20</v>
      </c>
      <c r="B23" s="216">
        <v>46238</v>
      </c>
      <c r="C23" s="389" t="s">
        <v>286</v>
      </c>
      <c r="D23" s="389" t="s">
        <v>271</v>
      </c>
      <c r="E23" s="277">
        <v>50</v>
      </c>
      <c r="F23" s="277">
        <v>105.01</v>
      </c>
      <c r="G23" s="277">
        <f>E23*F23</f>
        <v>5250.5</v>
      </c>
      <c r="H23" s="101">
        <v>5</v>
      </c>
      <c r="I23" s="101">
        <v>117.32</v>
      </c>
      <c r="J23" s="277">
        <f t="shared" si="1"/>
        <v>586.59999999999991</v>
      </c>
      <c r="K23" s="277">
        <f>G23+J23</f>
        <v>5837.1</v>
      </c>
      <c r="L23" s="278"/>
      <c r="M23" s="277">
        <f>M22+L23-K23</f>
        <v>-73606.783400000015</v>
      </c>
      <c r="N23" s="277"/>
      <c r="O23" s="277"/>
    </row>
    <row r="24" spans="1:15">
      <c r="A24" s="14">
        <v>21</v>
      </c>
      <c r="B24" s="216">
        <v>46238</v>
      </c>
      <c r="C24" s="389" t="s">
        <v>287</v>
      </c>
      <c r="D24" s="389" t="s">
        <v>271</v>
      </c>
      <c r="E24" s="277">
        <v>130</v>
      </c>
      <c r="F24" s="277">
        <v>105.35</v>
      </c>
      <c r="G24" s="277">
        <f>E24*F24</f>
        <v>13695.5</v>
      </c>
      <c r="H24" s="101"/>
      <c r="I24" s="101"/>
      <c r="J24" s="277">
        <f t="shared" si="1"/>
        <v>0</v>
      </c>
      <c r="K24" s="277">
        <f>G24+J24</f>
        <v>13695.5</v>
      </c>
      <c r="L24" s="278"/>
      <c r="M24" s="277">
        <f>M23+L24-K24</f>
        <v>-87302.283400000015</v>
      </c>
      <c r="N24" s="277"/>
      <c r="O24" s="277"/>
    </row>
    <row r="25" spans="1:15">
      <c r="A25" s="378">
        <v>22</v>
      </c>
      <c r="B25" s="216">
        <v>46239</v>
      </c>
      <c r="C25" s="389" t="s">
        <v>288</v>
      </c>
      <c r="D25" s="389" t="s">
        <v>51</v>
      </c>
      <c r="E25" s="101">
        <v>29.7</v>
      </c>
      <c r="F25" s="277">
        <v>100.07</v>
      </c>
      <c r="G25" s="277">
        <f>E25*F25</f>
        <v>2972.0789999999997</v>
      </c>
      <c r="H25" s="101"/>
      <c r="I25" s="101"/>
      <c r="J25" s="277">
        <f t="shared" si="1"/>
        <v>0</v>
      </c>
      <c r="K25" s="277">
        <f>G25+J25</f>
        <v>2972.0789999999997</v>
      </c>
      <c r="L25" s="278"/>
      <c r="M25" s="277">
        <f>M24+L25-K25</f>
        <v>-90274.362400000013</v>
      </c>
      <c r="N25" s="277"/>
      <c r="O25" s="277"/>
    </row>
    <row r="26" spans="1:15">
      <c r="A26" s="14">
        <v>23</v>
      </c>
      <c r="B26" s="216">
        <v>46239</v>
      </c>
      <c r="C26" s="389" t="s">
        <v>279</v>
      </c>
      <c r="D26" s="389" t="s">
        <v>280</v>
      </c>
      <c r="E26" s="277">
        <v>35</v>
      </c>
      <c r="F26" s="277">
        <v>100.05</v>
      </c>
      <c r="G26" s="277">
        <f>E26*F26</f>
        <v>3501.75</v>
      </c>
      <c r="H26" s="101"/>
      <c r="I26" s="101"/>
      <c r="J26" s="277">
        <f t="shared" si="1"/>
        <v>0</v>
      </c>
      <c r="K26" s="277">
        <f>G26+J26</f>
        <v>3501.75</v>
      </c>
      <c r="L26" s="278"/>
      <c r="M26" s="277">
        <f>M25+L26-K26</f>
        <v>-93776.112400000013</v>
      </c>
      <c r="N26" s="277"/>
      <c r="O26" s="277"/>
    </row>
    <row r="27" spans="1:15">
      <c r="A27" s="14">
        <v>24</v>
      </c>
      <c r="B27" s="216">
        <v>46239</v>
      </c>
      <c r="C27" s="389" t="s">
        <v>285</v>
      </c>
      <c r="D27" s="389" t="s">
        <v>271</v>
      </c>
      <c r="E27" s="277">
        <v>28.41</v>
      </c>
      <c r="F27" s="277">
        <v>105.59</v>
      </c>
      <c r="G27" s="277">
        <f>E27*F27</f>
        <v>2999.8119000000002</v>
      </c>
      <c r="H27" s="101"/>
      <c r="I27" s="101"/>
      <c r="J27" s="277">
        <f t="shared" si="1"/>
        <v>0</v>
      </c>
      <c r="K27" s="277">
        <f>G27+J27</f>
        <v>2999.8119000000002</v>
      </c>
      <c r="L27" s="278"/>
      <c r="M27" s="277">
        <f>M26+L27-K27</f>
        <v>-96775.924300000013</v>
      </c>
      <c r="N27" s="277"/>
      <c r="O27" s="277"/>
    </row>
    <row r="28" spans="1:15">
      <c r="A28" s="378">
        <v>25</v>
      </c>
      <c r="B28" s="216">
        <v>46239</v>
      </c>
      <c r="C28" s="389" t="s">
        <v>275</v>
      </c>
      <c r="D28" s="389" t="s">
        <v>271</v>
      </c>
      <c r="E28" s="277"/>
      <c r="F28" s="277"/>
      <c r="G28" s="277">
        <f>E28*F28</f>
        <v>0</v>
      </c>
      <c r="H28" s="101">
        <v>4</v>
      </c>
      <c r="I28" s="101">
        <v>117.62</v>
      </c>
      <c r="J28" s="277">
        <f t="shared" si="1"/>
        <v>470.48</v>
      </c>
      <c r="K28" s="277">
        <f>G28+J28</f>
        <v>470.48</v>
      </c>
      <c r="L28" s="278"/>
      <c r="M28" s="277">
        <f>M27+L28-K28</f>
        <v>-97246.404300000009</v>
      </c>
      <c r="N28" s="277"/>
      <c r="O28" s="277"/>
    </row>
    <row r="29" spans="1:15" ht="14.25" customHeight="1">
      <c r="A29" s="14">
        <v>26</v>
      </c>
      <c r="B29" s="216">
        <v>46239</v>
      </c>
      <c r="C29" s="389" t="s">
        <v>286</v>
      </c>
      <c r="D29" s="389" t="s">
        <v>271</v>
      </c>
      <c r="E29" s="277">
        <v>38.090000000000003</v>
      </c>
      <c r="F29" s="277">
        <v>105.01</v>
      </c>
      <c r="G29" s="277">
        <f>E29*F29</f>
        <v>3999.8309000000004</v>
      </c>
      <c r="H29" s="101"/>
      <c r="I29" s="101"/>
      <c r="J29" s="277">
        <f t="shared" si="1"/>
        <v>0</v>
      </c>
      <c r="K29" s="277">
        <f>G29+J29</f>
        <v>3999.8309000000004</v>
      </c>
      <c r="L29" s="278"/>
      <c r="M29" s="277">
        <f>M28+L29-K29</f>
        <v>-101246.23520000001</v>
      </c>
      <c r="N29" s="277"/>
      <c r="O29" s="277"/>
    </row>
    <row r="30" spans="1:15">
      <c r="A30" s="14">
        <v>27</v>
      </c>
      <c r="B30" s="216">
        <v>46240</v>
      </c>
      <c r="C30" s="389" t="s">
        <v>270</v>
      </c>
      <c r="D30" s="389" t="s">
        <v>271</v>
      </c>
      <c r="E30" s="277">
        <v>44.35</v>
      </c>
      <c r="F30" s="277">
        <v>104.7</v>
      </c>
      <c r="G30" s="277">
        <f>E30*F30</f>
        <v>4643.4450000000006</v>
      </c>
      <c r="H30" s="101">
        <v>5</v>
      </c>
      <c r="I30" s="101">
        <v>116.99</v>
      </c>
      <c r="J30" s="277">
        <f t="shared" si="1"/>
        <v>584.94999999999993</v>
      </c>
      <c r="K30" s="277">
        <f>G30+J30</f>
        <v>5228.3950000000004</v>
      </c>
      <c r="L30" s="278"/>
      <c r="M30" s="277">
        <f>M29+L30-K30</f>
        <v>-106474.63020000001</v>
      </c>
      <c r="N30" s="277"/>
      <c r="O30" s="277"/>
    </row>
    <row r="31" spans="1:15">
      <c r="A31" s="378">
        <v>28</v>
      </c>
      <c r="B31" s="216">
        <v>46240</v>
      </c>
      <c r="C31" s="389" t="s">
        <v>289</v>
      </c>
      <c r="D31" s="389" t="s">
        <v>40</v>
      </c>
      <c r="E31" s="277"/>
      <c r="F31" s="277"/>
      <c r="G31" s="277">
        <f>E31*F31</f>
        <v>0</v>
      </c>
      <c r="H31" s="101">
        <v>4.63</v>
      </c>
      <c r="I31" s="101">
        <v>115.69</v>
      </c>
      <c r="J31" s="277">
        <f t="shared" si="1"/>
        <v>535.64469999999994</v>
      </c>
      <c r="K31" s="277">
        <f>G31+J31</f>
        <v>535.64469999999994</v>
      </c>
      <c r="L31" s="278"/>
      <c r="M31" s="277">
        <f>M30+L31-K31</f>
        <v>-107010.27490000002</v>
      </c>
      <c r="N31" s="277"/>
      <c r="O31" s="277"/>
    </row>
    <row r="32" spans="1:15">
      <c r="A32" s="14">
        <v>29</v>
      </c>
      <c r="B32" s="216">
        <v>46240</v>
      </c>
      <c r="C32" s="389" t="s">
        <v>281</v>
      </c>
      <c r="D32" s="389" t="s">
        <v>271</v>
      </c>
      <c r="E32" s="101">
        <v>130</v>
      </c>
      <c r="F32" s="101">
        <v>105.4</v>
      </c>
      <c r="G32" s="277">
        <f>E32*F32</f>
        <v>13702</v>
      </c>
      <c r="H32" s="101">
        <v>5.01</v>
      </c>
      <c r="I32" s="101">
        <v>117.74</v>
      </c>
      <c r="J32" s="277">
        <f t="shared" si="1"/>
        <v>589.87739999999997</v>
      </c>
      <c r="K32" s="277">
        <f>G32+J32</f>
        <v>14291.877399999999</v>
      </c>
      <c r="L32" s="278"/>
      <c r="M32" s="277">
        <f>M31+L32-K32</f>
        <v>-121302.15230000002</v>
      </c>
      <c r="N32" s="277"/>
      <c r="O32" s="277"/>
    </row>
    <row r="33" spans="1:16">
      <c r="A33" s="14">
        <v>30</v>
      </c>
      <c r="B33" s="216">
        <v>46240</v>
      </c>
      <c r="C33" s="389" t="s">
        <v>290</v>
      </c>
      <c r="D33" s="389" t="s">
        <v>271</v>
      </c>
      <c r="E33" s="101">
        <v>30</v>
      </c>
      <c r="F33" s="101">
        <v>104.62</v>
      </c>
      <c r="G33" s="277">
        <f>E33*F33</f>
        <v>3138.6000000000004</v>
      </c>
      <c r="H33" s="101"/>
      <c r="I33" s="101"/>
      <c r="J33" s="277">
        <f t="shared" si="1"/>
        <v>0</v>
      </c>
      <c r="K33" s="277">
        <f>G33+J33</f>
        <v>3138.6000000000004</v>
      </c>
      <c r="L33" s="278"/>
      <c r="M33" s="277">
        <f>M32+L33-K33</f>
        <v>-124440.75230000002</v>
      </c>
      <c r="N33" s="277"/>
      <c r="O33" s="277"/>
    </row>
    <row r="34" spans="1:16">
      <c r="A34" s="378">
        <v>31</v>
      </c>
      <c r="B34" s="216">
        <v>46240</v>
      </c>
      <c r="C34" s="389" t="s">
        <v>285</v>
      </c>
      <c r="D34" s="389" t="s">
        <v>271</v>
      </c>
      <c r="E34" s="101">
        <v>95.01</v>
      </c>
      <c r="F34" s="101">
        <v>105.59</v>
      </c>
      <c r="G34" s="277">
        <f>E34*F34</f>
        <v>10032.1059</v>
      </c>
      <c r="H34" s="101">
        <v>3</v>
      </c>
      <c r="I34" s="101">
        <v>117.98</v>
      </c>
      <c r="J34" s="277">
        <f t="shared" si="1"/>
        <v>353.94</v>
      </c>
      <c r="K34" s="277">
        <f>G34+J34</f>
        <v>10386.045900000001</v>
      </c>
      <c r="L34" s="278"/>
      <c r="M34" s="277">
        <f>M33+L34-K34</f>
        <v>-134826.79820000002</v>
      </c>
      <c r="N34" s="277"/>
      <c r="O34" s="277"/>
    </row>
    <row r="35" spans="1:16">
      <c r="A35" s="14">
        <v>32</v>
      </c>
      <c r="B35" s="216">
        <v>46240</v>
      </c>
      <c r="C35" s="389" t="s">
        <v>283</v>
      </c>
      <c r="D35" s="389" t="s">
        <v>53</v>
      </c>
      <c r="E35" s="101">
        <v>40</v>
      </c>
      <c r="F35" s="101">
        <v>99.62</v>
      </c>
      <c r="G35" s="277">
        <f>E35*F35</f>
        <v>3984.8</v>
      </c>
      <c r="H35" s="101"/>
      <c r="I35" s="101"/>
      <c r="J35" s="277">
        <f t="shared" si="1"/>
        <v>0</v>
      </c>
      <c r="K35" s="277">
        <f>G35+J35</f>
        <v>3984.8</v>
      </c>
      <c r="L35" s="278"/>
      <c r="M35" s="277">
        <f>M34+L35-K35</f>
        <v>-138811.59820000001</v>
      </c>
      <c r="N35" s="277"/>
      <c r="O35" s="277"/>
    </row>
    <row r="36" spans="1:16">
      <c r="A36" s="14">
        <v>33</v>
      </c>
      <c r="B36" s="216">
        <v>46241</v>
      </c>
      <c r="C36" s="389" t="s">
        <v>291</v>
      </c>
      <c r="D36" s="389" t="s">
        <v>292</v>
      </c>
      <c r="E36" s="277">
        <v>30</v>
      </c>
      <c r="F36" s="277">
        <v>100.01</v>
      </c>
      <c r="G36" s="277">
        <f>E36*F36</f>
        <v>3000.3</v>
      </c>
      <c r="H36" s="101"/>
      <c r="I36" s="101"/>
      <c r="J36" s="277">
        <f t="shared" si="1"/>
        <v>0</v>
      </c>
      <c r="K36" s="277">
        <f>G36+J36</f>
        <v>3000.3</v>
      </c>
      <c r="L36" s="278"/>
      <c r="M36" s="277">
        <f>M35+L36-K36</f>
        <v>-141811.8982</v>
      </c>
      <c r="N36" s="277"/>
      <c r="O36" s="277"/>
    </row>
    <row r="37" spans="1:16">
      <c r="A37" s="378">
        <v>34</v>
      </c>
      <c r="B37" s="216">
        <v>46241</v>
      </c>
      <c r="C37" s="389" t="s">
        <v>293</v>
      </c>
      <c r="D37" s="389" t="s">
        <v>51</v>
      </c>
      <c r="E37" s="277">
        <v>29.79</v>
      </c>
      <c r="F37" s="277">
        <v>98.41</v>
      </c>
      <c r="G37" s="277">
        <f>E37*F37</f>
        <v>2931.6338999999998</v>
      </c>
      <c r="H37" s="101"/>
      <c r="I37" s="101"/>
      <c r="J37" s="277">
        <f t="shared" si="1"/>
        <v>0</v>
      </c>
      <c r="K37" s="277">
        <f>G37+J37</f>
        <v>2931.6338999999998</v>
      </c>
      <c r="L37" s="278"/>
      <c r="M37" s="277">
        <f>M36+L37-K37</f>
        <v>-144743.53209999998</v>
      </c>
      <c r="N37" s="277"/>
      <c r="O37" s="277"/>
    </row>
    <row r="38" spans="1:16">
      <c r="A38" s="14">
        <v>35</v>
      </c>
      <c r="B38" s="216">
        <v>46241</v>
      </c>
      <c r="C38" s="389" t="s">
        <v>294</v>
      </c>
      <c r="D38" s="389" t="s">
        <v>280</v>
      </c>
      <c r="E38" s="101">
        <v>82</v>
      </c>
      <c r="F38" s="101">
        <v>98.79</v>
      </c>
      <c r="G38" s="277">
        <f>E38*F38</f>
        <v>8100.7800000000007</v>
      </c>
      <c r="H38" s="101"/>
      <c r="I38" s="101"/>
      <c r="J38" s="277">
        <f t="shared" si="1"/>
        <v>0</v>
      </c>
      <c r="K38" s="277">
        <f>G38+J38</f>
        <v>8100.7800000000007</v>
      </c>
      <c r="L38" s="278"/>
      <c r="M38" s="277">
        <f>M37+L38-K38</f>
        <v>-152844.31209999998</v>
      </c>
      <c r="N38" s="277"/>
      <c r="O38" s="277"/>
    </row>
    <row r="39" spans="1:16">
      <c r="A39" s="14">
        <v>36</v>
      </c>
      <c r="B39" s="216">
        <v>46241</v>
      </c>
      <c r="C39" s="389" t="s">
        <v>295</v>
      </c>
      <c r="D39" s="389" t="s">
        <v>296</v>
      </c>
      <c r="E39" s="101">
        <v>0</v>
      </c>
      <c r="F39" s="101"/>
      <c r="G39" s="277">
        <f>E39*F39</f>
        <v>0</v>
      </c>
      <c r="H39" s="101">
        <v>35</v>
      </c>
      <c r="I39" s="101">
        <v>111.86</v>
      </c>
      <c r="J39" s="277">
        <f t="shared" si="1"/>
        <v>3915.1</v>
      </c>
      <c r="K39" s="277">
        <f>G39+J39</f>
        <v>3915.1</v>
      </c>
      <c r="L39" s="278"/>
      <c r="M39" s="277">
        <f>M38+L39-K39</f>
        <v>-156759.41209999999</v>
      </c>
      <c r="N39" s="277"/>
      <c r="O39" s="277"/>
    </row>
    <row r="40" spans="1:16">
      <c r="A40" s="378">
        <v>37</v>
      </c>
      <c r="B40" s="216">
        <v>46241</v>
      </c>
      <c r="C40" s="389" t="s">
        <v>285</v>
      </c>
      <c r="D40" s="389" t="s">
        <v>271</v>
      </c>
      <c r="E40" s="101"/>
      <c r="F40" s="101"/>
      <c r="G40" s="277">
        <f>E40*F40</f>
        <v>0</v>
      </c>
      <c r="H40" s="101">
        <v>5</v>
      </c>
      <c r="I40" s="101">
        <v>117.98</v>
      </c>
      <c r="J40" s="277">
        <f t="shared" si="1"/>
        <v>589.9</v>
      </c>
      <c r="K40" s="277">
        <f>G40+J40</f>
        <v>589.9</v>
      </c>
      <c r="L40" s="278"/>
      <c r="M40" s="277">
        <f>M39+L40-K40</f>
        <v>-157349.31209999998</v>
      </c>
      <c r="N40" s="277"/>
      <c r="O40" s="277"/>
    </row>
    <row r="41" spans="1:16">
      <c r="A41" s="14">
        <v>38</v>
      </c>
      <c r="B41" s="216">
        <v>46241</v>
      </c>
      <c r="C41" s="389" t="s">
        <v>286</v>
      </c>
      <c r="D41" s="389" t="s">
        <v>271</v>
      </c>
      <c r="E41" s="101">
        <v>80</v>
      </c>
      <c r="F41" s="101">
        <v>105.01</v>
      </c>
      <c r="G41" s="277">
        <f>E41*F41</f>
        <v>8400.8000000000011</v>
      </c>
      <c r="H41" s="101">
        <v>5</v>
      </c>
      <c r="I41" s="101">
        <v>117.32</v>
      </c>
      <c r="J41" s="277">
        <f t="shared" si="1"/>
        <v>586.59999999999991</v>
      </c>
      <c r="K41" s="277">
        <f>G41+J41</f>
        <v>8987.4000000000015</v>
      </c>
      <c r="L41" s="278"/>
      <c r="M41" s="277">
        <f>M40+L41-K41</f>
        <v>-166336.71209999998</v>
      </c>
      <c r="N41" s="277"/>
      <c r="O41" s="277"/>
    </row>
    <row r="42" spans="1:16">
      <c r="A42" s="14">
        <v>39</v>
      </c>
      <c r="B42" s="216">
        <v>46242</v>
      </c>
      <c r="C42" s="371" t="s">
        <v>270</v>
      </c>
      <c r="D42" s="371" t="s">
        <v>271</v>
      </c>
      <c r="E42" s="277">
        <v>4.78</v>
      </c>
      <c r="F42" s="277">
        <v>104.7</v>
      </c>
      <c r="G42" s="277">
        <f>E42*F42</f>
        <v>500.46600000000007</v>
      </c>
      <c r="H42" s="101">
        <v>5</v>
      </c>
      <c r="I42" s="101">
        <v>116.99</v>
      </c>
      <c r="J42" s="277">
        <f t="shared" si="1"/>
        <v>584.94999999999993</v>
      </c>
      <c r="K42" s="277">
        <f>G42+J42</f>
        <v>1085.4159999999999</v>
      </c>
      <c r="L42" s="278"/>
      <c r="M42" s="277">
        <f>M41+L42-K42</f>
        <v>-167422.12809999997</v>
      </c>
      <c r="N42" s="277"/>
      <c r="O42" s="277"/>
    </row>
    <row r="43" spans="1:16">
      <c r="A43" s="378">
        <v>40</v>
      </c>
      <c r="B43" s="398">
        <v>46242</v>
      </c>
      <c r="C43" s="371" t="s">
        <v>297</v>
      </c>
      <c r="D43" s="371" t="s">
        <v>53</v>
      </c>
      <c r="E43" s="277">
        <v>34</v>
      </c>
      <c r="F43" s="277">
        <v>98.79</v>
      </c>
      <c r="G43" s="277">
        <f>E43*F43</f>
        <v>3358.86</v>
      </c>
      <c r="H43" s="101"/>
      <c r="I43" s="101"/>
      <c r="J43" s="277">
        <f t="shared" si="1"/>
        <v>0</v>
      </c>
      <c r="K43" s="277">
        <f>G43+J43</f>
        <v>3358.86</v>
      </c>
      <c r="L43" s="278"/>
      <c r="M43" s="277">
        <f>M42+L43-K43</f>
        <v>-170780.98809999996</v>
      </c>
      <c r="N43" s="277"/>
      <c r="O43" s="277"/>
    </row>
    <row r="44" spans="1:16">
      <c r="A44" s="94">
        <v>41</v>
      </c>
      <c r="B44" s="216">
        <v>46242</v>
      </c>
      <c r="C44" s="371" t="s">
        <v>298</v>
      </c>
      <c r="D44" s="371" t="s">
        <v>271</v>
      </c>
      <c r="E44" s="393">
        <v>150.01</v>
      </c>
      <c r="F44" s="391">
        <v>104.93</v>
      </c>
      <c r="G44" s="277">
        <f>E44*F44</f>
        <v>15740.549300000001</v>
      </c>
      <c r="H44" s="101"/>
      <c r="I44" s="101"/>
      <c r="J44" s="277">
        <f t="shared" si="1"/>
        <v>0</v>
      </c>
      <c r="K44" s="277">
        <f>G44+J44</f>
        <v>15740.549300000001</v>
      </c>
      <c r="L44" s="278"/>
      <c r="M44" s="277">
        <f>M43+L44-K44</f>
        <v>-186521.53739999997</v>
      </c>
      <c r="N44" s="277"/>
      <c r="O44" s="277">
        <v>564582.48</v>
      </c>
      <c r="P44" s="370">
        <f>O44-M44</f>
        <v>751104.01740000001</v>
      </c>
    </row>
    <row r="45" spans="1:16">
      <c r="A45" s="94">
        <v>42</v>
      </c>
      <c r="B45" s="216">
        <v>46242</v>
      </c>
      <c r="C45" s="371" t="s">
        <v>299</v>
      </c>
      <c r="D45" s="371" t="s">
        <v>40</v>
      </c>
      <c r="E45" s="394"/>
      <c r="F45" s="101"/>
      <c r="G45" s="277">
        <f>E45*F45</f>
        <v>0</v>
      </c>
      <c r="H45" s="101">
        <v>3.78</v>
      </c>
      <c r="I45" s="101">
        <v>115.69</v>
      </c>
      <c r="J45" s="277">
        <f t="shared" si="1"/>
        <v>437.30819999999994</v>
      </c>
      <c r="K45" s="277">
        <f>G45+J45</f>
        <v>437.30819999999994</v>
      </c>
      <c r="L45" s="278"/>
      <c r="M45" s="277">
        <f>M44+L45-K45</f>
        <v>-186958.84559999997</v>
      </c>
      <c r="N45" s="277"/>
      <c r="O45" s="277"/>
    </row>
    <row r="46" spans="1:16">
      <c r="A46" s="292">
        <v>43</v>
      </c>
      <c r="B46" s="216">
        <v>46242</v>
      </c>
      <c r="C46" s="371" t="s">
        <v>279</v>
      </c>
      <c r="D46" s="371" t="s">
        <v>280</v>
      </c>
      <c r="E46" s="296">
        <v>39.979999999999997</v>
      </c>
      <c r="F46" s="373">
        <v>100.05</v>
      </c>
      <c r="G46" s="277">
        <f>E46*F46</f>
        <v>3999.9989999999998</v>
      </c>
      <c r="H46" s="390">
        <v>6</v>
      </c>
      <c r="I46" s="101">
        <v>112.07</v>
      </c>
      <c r="J46" s="277">
        <f t="shared" si="1"/>
        <v>672.42</v>
      </c>
      <c r="K46" s="277">
        <f>G46+J46</f>
        <v>4672.4189999999999</v>
      </c>
      <c r="L46" s="278"/>
      <c r="M46" s="277">
        <f>M45+L46-K46</f>
        <v>-191631.26459999997</v>
      </c>
      <c r="N46" s="277">
        <v>458115.19</v>
      </c>
      <c r="O46" s="277">
        <f>N46-M46</f>
        <v>649746.45459999994</v>
      </c>
    </row>
    <row r="47" spans="1:16">
      <c r="A47" s="94">
        <v>44</v>
      </c>
      <c r="B47" s="216">
        <v>46242</v>
      </c>
      <c r="C47" s="371" t="s">
        <v>281</v>
      </c>
      <c r="D47" s="371" t="s">
        <v>271</v>
      </c>
      <c r="E47" s="362">
        <v>15</v>
      </c>
      <c r="F47" s="391">
        <v>105.4</v>
      </c>
      <c r="G47" s="277">
        <f>E47*F47</f>
        <v>1581</v>
      </c>
      <c r="H47" s="101"/>
      <c r="I47" s="373"/>
      <c r="J47" s="277">
        <f t="shared" si="1"/>
        <v>0</v>
      </c>
      <c r="K47" s="277">
        <f>G47+J47</f>
        <v>1581</v>
      </c>
      <c r="L47" s="278"/>
      <c r="M47" s="277">
        <f>M46+L47-K47</f>
        <v>-193212.26459999997</v>
      </c>
      <c r="N47" s="277"/>
      <c r="O47" s="277"/>
    </row>
    <row r="48" spans="1:16">
      <c r="A48" s="94">
        <v>45</v>
      </c>
      <c r="B48" s="216">
        <v>46242</v>
      </c>
      <c r="C48" s="371" t="s">
        <v>285</v>
      </c>
      <c r="D48" s="371" t="s">
        <v>271</v>
      </c>
      <c r="E48" s="394"/>
      <c r="F48" s="101"/>
      <c r="G48" s="277">
        <f>E48*F48</f>
        <v>0</v>
      </c>
      <c r="H48" s="293">
        <v>9</v>
      </c>
      <c r="I48" s="101">
        <v>117.98</v>
      </c>
      <c r="J48" s="277">
        <f t="shared" si="1"/>
        <v>1061.82</v>
      </c>
      <c r="K48" s="277">
        <f>G48+J48</f>
        <v>1061.82</v>
      </c>
      <c r="L48" s="278"/>
      <c r="M48" s="277">
        <f>M47+L48-K48</f>
        <v>-194274.08459999997</v>
      </c>
      <c r="N48" s="277"/>
      <c r="O48" s="277"/>
    </row>
    <row r="49" spans="1:15">
      <c r="A49" s="292">
        <v>46</v>
      </c>
      <c r="B49" s="216">
        <v>46243</v>
      </c>
      <c r="C49" s="371" t="s">
        <v>285</v>
      </c>
      <c r="D49" s="371" t="s">
        <v>271</v>
      </c>
      <c r="E49" s="296"/>
      <c r="F49" s="373"/>
      <c r="G49" s="277">
        <f>E49*F49</f>
        <v>0</v>
      </c>
      <c r="H49" s="217">
        <v>2.0299999999999998</v>
      </c>
      <c r="I49" s="101">
        <v>117.98</v>
      </c>
      <c r="J49" s="277">
        <f t="shared" si="1"/>
        <v>239.49939999999998</v>
      </c>
      <c r="K49" s="277">
        <f>G49+J49</f>
        <v>239.49939999999998</v>
      </c>
      <c r="L49" s="278"/>
      <c r="M49" s="277">
        <f>M48+L49-K49</f>
        <v>-194513.58399999997</v>
      </c>
      <c r="N49" s="277"/>
      <c r="O49" s="277"/>
    </row>
    <row r="50" spans="1:15">
      <c r="A50" s="94">
        <v>47</v>
      </c>
      <c r="B50" s="216">
        <v>46244</v>
      </c>
      <c r="C50" s="371" t="s">
        <v>300</v>
      </c>
      <c r="D50" s="371" t="s">
        <v>51</v>
      </c>
      <c r="E50" s="308">
        <v>48.96</v>
      </c>
      <c r="F50" s="101">
        <v>100.07</v>
      </c>
      <c r="G50" s="277">
        <f>E50*F50</f>
        <v>4899.4272000000001</v>
      </c>
      <c r="H50" s="41"/>
      <c r="I50" s="373"/>
      <c r="J50" s="277">
        <f t="shared" si="1"/>
        <v>0</v>
      </c>
      <c r="K50" s="277">
        <f>G50+J50</f>
        <v>4899.4272000000001</v>
      </c>
      <c r="L50" s="278"/>
      <c r="M50" s="277">
        <f>M49+L50-K50</f>
        <v>-199413.01119999998</v>
      </c>
      <c r="N50" s="277"/>
      <c r="O50" s="277"/>
    </row>
    <row r="51" spans="1:15">
      <c r="A51" s="94">
        <v>48</v>
      </c>
      <c r="B51" s="216">
        <v>46244</v>
      </c>
      <c r="C51" s="371" t="s">
        <v>299</v>
      </c>
      <c r="D51" s="371" t="s">
        <v>40</v>
      </c>
      <c r="E51" s="296"/>
      <c r="F51" s="373"/>
      <c r="G51" s="277">
        <f>E51*F51</f>
        <v>0</v>
      </c>
      <c r="H51" s="399">
        <v>1.82</v>
      </c>
      <c r="I51" s="101">
        <v>115.69</v>
      </c>
      <c r="J51" s="277">
        <f t="shared" si="1"/>
        <v>210.5558</v>
      </c>
      <c r="K51" s="277">
        <f>G51+J51</f>
        <v>210.5558</v>
      </c>
      <c r="L51" s="278"/>
      <c r="M51" s="277">
        <f>M50+L51-K51</f>
        <v>-199623.56699999998</v>
      </c>
      <c r="N51" s="277"/>
      <c r="O51" s="277"/>
    </row>
    <row r="52" spans="1:15">
      <c r="A52" s="292">
        <v>49</v>
      </c>
      <c r="B52" s="216">
        <v>46244</v>
      </c>
      <c r="C52" s="371" t="s">
        <v>290</v>
      </c>
      <c r="D52" s="371" t="s">
        <v>271</v>
      </c>
      <c r="E52" s="296">
        <v>19.12</v>
      </c>
      <c r="F52" s="101">
        <v>104.62</v>
      </c>
      <c r="G52" s="277">
        <f>E52*F52</f>
        <v>2000.3344000000002</v>
      </c>
      <c r="H52" s="101"/>
      <c r="I52" s="373"/>
      <c r="J52" s="277">
        <f t="shared" si="1"/>
        <v>0</v>
      </c>
      <c r="K52" s="277">
        <f>G52+J52</f>
        <v>2000.3344000000002</v>
      </c>
      <c r="L52" s="278"/>
      <c r="M52" s="277">
        <f>M51+L52-K52</f>
        <v>-201623.90139999997</v>
      </c>
      <c r="N52" s="277"/>
      <c r="O52" s="277"/>
    </row>
    <row r="53" spans="1:15">
      <c r="A53" s="94">
        <v>50</v>
      </c>
      <c r="B53" s="216">
        <v>46245</v>
      </c>
      <c r="C53" s="371" t="s">
        <v>270</v>
      </c>
      <c r="D53" s="371" t="s">
        <v>271</v>
      </c>
      <c r="E53" s="296">
        <v>35</v>
      </c>
      <c r="F53" s="373">
        <v>104.7</v>
      </c>
      <c r="G53" s="277">
        <f>E53*F53</f>
        <v>3664.5</v>
      </c>
      <c r="H53" s="293"/>
      <c r="I53" s="101"/>
      <c r="J53" s="277">
        <f t="shared" si="1"/>
        <v>0</v>
      </c>
      <c r="K53" s="277">
        <f>G53+J53</f>
        <v>3664.5</v>
      </c>
      <c r="L53" s="278"/>
      <c r="M53" s="277">
        <f>M52+L53-K53</f>
        <v>-205288.40139999997</v>
      </c>
      <c r="N53" s="277"/>
      <c r="O53" s="277"/>
    </row>
    <row r="54" spans="1:15">
      <c r="A54" s="94">
        <v>51</v>
      </c>
      <c r="B54" s="216">
        <v>46245</v>
      </c>
      <c r="C54" s="371" t="s">
        <v>301</v>
      </c>
      <c r="D54" s="371" t="s">
        <v>53</v>
      </c>
      <c r="E54" s="393">
        <v>44.94</v>
      </c>
      <c r="F54" s="373">
        <v>100.15</v>
      </c>
      <c r="G54" s="277">
        <f>E54*F54</f>
        <v>4500.741</v>
      </c>
      <c r="H54" s="390"/>
      <c r="I54" s="390"/>
      <c r="J54" s="391">
        <f t="shared" si="1"/>
        <v>0</v>
      </c>
      <c r="K54" s="277">
        <f>G54+J54</f>
        <v>4500.741</v>
      </c>
      <c r="L54" s="278"/>
      <c r="M54" s="277">
        <f>M53+L54-K54</f>
        <v>-209789.14239999998</v>
      </c>
      <c r="N54" s="277"/>
      <c r="O54" s="277"/>
    </row>
    <row r="55" spans="1:15">
      <c r="A55" s="401">
        <v>52</v>
      </c>
      <c r="B55" s="402">
        <v>46245</v>
      </c>
      <c r="C55" s="371" t="s">
        <v>299</v>
      </c>
      <c r="D55" s="371" t="s">
        <v>40</v>
      </c>
      <c r="E55" s="101"/>
      <c r="F55" s="101"/>
      <c r="G55" s="277">
        <f>E55*F55</f>
        <v>0</v>
      </c>
      <c r="H55" s="101">
        <v>3.89</v>
      </c>
      <c r="I55" s="101">
        <v>115.69</v>
      </c>
      <c r="J55" s="277">
        <f t="shared" si="1"/>
        <v>450.03410000000002</v>
      </c>
      <c r="K55" s="277">
        <f>G55+J55</f>
        <v>450.03410000000002</v>
      </c>
      <c r="L55" s="405"/>
      <c r="M55" s="277">
        <f>M54+L55-K55</f>
        <v>-210239.17649999997</v>
      </c>
      <c r="N55" s="277"/>
      <c r="O55" s="277"/>
    </row>
    <row r="56" spans="1:15">
      <c r="A56" s="14">
        <v>53</v>
      </c>
      <c r="B56" s="403">
        <v>46245</v>
      </c>
      <c r="C56" s="371" t="s">
        <v>285</v>
      </c>
      <c r="D56" s="371" t="s">
        <v>271</v>
      </c>
      <c r="E56" s="101">
        <v>28.41</v>
      </c>
      <c r="F56" s="101">
        <v>105.59</v>
      </c>
      <c r="G56" s="277">
        <f>E56*F56</f>
        <v>2999.8119000000002</v>
      </c>
      <c r="H56" s="101">
        <v>2</v>
      </c>
      <c r="I56" s="101">
        <v>117.98</v>
      </c>
      <c r="J56" s="277">
        <f t="shared" si="1"/>
        <v>235.96</v>
      </c>
      <c r="K56" s="277">
        <f>G56+J56</f>
        <v>3235.7719000000002</v>
      </c>
      <c r="L56" s="406"/>
      <c r="M56" s="279">
        <f>M55+L56-K56</f>
        <v>-213474.94839999996</v>
      </c>
      <c r="N56" s="277"/>
      <c r="O56" s="277"/>
    </row>
    <row r="57" spans="1:15" ht="15" customHeight="1">
      <c r="A57" s="14">
        <v>54</v>
      </c>
      <c r="B57" s="403">
        <v>46246</v>
      </c>
      <c r="C57" s="371" t="s">
        <v>302</v>
      </c>
      <c r="D57" s="371" t="s">
        <v>303</v>
      </c>
      <c r="E57" s="101">
        <v>39.67</v>
      </c>
      <c r="F57" s="101">
        <v>104.95</v>
      </c>
      <c r="G57" s="277">
        <f>E57*F57</f>
        <v>4163.3665000000001</v>
      </c>
      <c r="H57" s="101"/>
      <c r="I57" s="101"/>
      <c r="J57" s="277">
        <f t="shared" si="1"/>
        <v>0</v>
      </c>
      <c r="K57" s="277">
        <f>G57+J57</f>
        <v>4163.3665000000001</v>
      </c>
      <c r="L57" s="406"/>
      <c r="M57" s="279">
        <f>M56+L57-K57</f>
        <v>-217638.31489999997</v>
      </c>
      <c r="N57" s="277"/>
      <c r="O57" s="277"/>
    </row>
    <row r="58" spans="1:15" ht="15" customHeight="1">
      <c r="A58" s="14">
        <v>55</v>
      </c>
      <c r="B58" s="403">
        <v>46246</v>
      </c>
      <c r="C58" s="371" t="s">
        <v>270</v>
      </c>
      <c r="D58" s="371" t="s">
        <v>271</v>
      </c>
      <c r="E58" s="101">
        <v>30</v>
      </c>
      <c r="F58" s="101">
        <v>104.7</v>
      </c>
      <c r="G58" s="277">
        <f>E58*F58</f>
        <v>3141</v>
      </c>
      <c r="H58" s="101"/>
      <c r="I58" s="101"/>
      <c r="J58" s="277">
        <f t="shared" si="1"/>
        <v>0</v>
      </c>
      <c r="K58" s="277">
        <f>G58+J58</f>
        <v>3141</v>
      </c>
      <c r="L58" s="406"/>
      <c r="M58" s="279">
        <f>M57+L58-K58</f>
        <v>-220779.31489999997</v>
      </c>
      <c r="N58" s="277"/>
      <c r="O58" s="277"/>
    </row>
    <row r="59" spans="1:15" ht="15" customHeight="1">
      <c r="A59" s="14">
        <v>56</v>
      </c>
      <c r="B59" s="403">
        <v>46246</v>
      </c>
      <c r="C59" s="371" t="s">
        <v>304</v>
      </c>
      <c r="D59" s="371" t="s">
        <v>271</v>
      </c>
      <c r="E59" s="101">
        <v>9.57</v>
      </c>
      <c r="F59" s="101">
        <v>104.51</v>
      </c>
      <c r="G59" s="277">
        <f>E59*F59</f>
        <v>1000.1607000000001</v>
      </c>
      <c r="H59" s="101"/>
      <c r="I59" s="101"/>
      <c r="J59" s="277">
        <f t="shared" si="1"/>
        <v>0</v>
      </c>
      <c r="K59" s="277">
        <f>G59+J59</f>
        <v>1000.1607000000001</v>
      </c>
      <c r="L59" s="406"/>
      <c r="M59" s="279">
        <f>M58+L59-K59</f>
        <v>-221779.47559999998</v>
      </c>
      <c r="N59" s="277"/>
      <c r="O59" s="277"/>
    </row>
    <row r="60" spans="1:15" ht="15" customHeight="1">
      <c r="A60" s="14">
        <v>57</v>
      </c>
      <c r="B60" s="403">
        <v>46246</v>
      </c>
      <c r="C60" s="371" t="s">
        <v>279</v>
      </c>
      <c r="D60" s="371" t="s">
        <v>280</v>
      </c>
      <c r="E60" s="101">
        <v>68.040000000000006</v>
      </c>
      <c r="F60" s="101">
        <v>100.05</v>
      </c>
      <c r="G60" s="277">
        <f>E60*F60</f>
        <v>6807.402</v>
      </c>
      <c r="H60" s="101">
        <v>10</v>
      </c>
      <c r="I60" s="101">
        <v>112.07</v>
      </c>
      <c r="J60" s="277">
        <f t="shared" si="1"/>
        <v>1120.6999999999998</v>
      </c>
      <c r="K60" s="277">
        <f>G60+J60</f>
        <v>7928.1019999999999</v>
      </c>
      <c r="L60" s="406"/>
      <c r="M60" s="279">
        <f>M59+L60-K60</f>
        <v>-229707.57759999999</v>
      </c>
      <c r="N60" s="277"/>
      <c r="O60" s="277"/>
    </row>
    <row r="61" spans="1:15" ht="15" customHeight="1">
      <c r="A61" s="14">
        <v>58</v>
      </c>
      <c r="B61" s="403">
        <v>46246</v>
      </c>
      <c r="C61" s="371" t="s">
        <v>285</v>
      </c>
      <c r="D61" s="371" t="s">
        <v>271</v>
      </c>
      <c r="E61" s="101"/>
      <c r="F61" s="101"/>
      <c r="G61" s="277">
        <f>E61*F61</f>
        <v>0</v>
      </c>
      <c r="H61" s="101">
        <v>3</v>
      </c>
      <c r="I61" s="101">
        <v>117.98</v>
      </c>
      <c r="J61" s="277">
        <f t="shared" si="1"/>
        <v>353.94</v>
      </c>
      <c r="K61" s="277">
        <f>G61+J61</f>
        <v>353.94</v>
      </c>
      <c r="L61" s="406"/>
      <c r="M61" s="279">
        <f>M60+L61-K61</f>
        <v>-230061.51759999999</v>
      </c>
      <c r="N61" s="277"/>
      <c r="O61" s="277"/>
    </row>
    <row r="62" spans="1:15" ht="15" customHeight="1">
      <c r="A62" s="14">
        <v>59</v>
      </c>
      <c r="B62" s="403">
        <v>46246</v>
      </c>
      <c r="C62" s="371" t="s">
        <v>286</v>
      </c>
      <c r="D62" s="371" t="s">
        <v>271</v>
      </c>
      <c r="E62" s="101"/>
      <c r="F62" s="101"/>
      <c r="G62" s="277">
        <f>E62*F62</f>
        <v>0</v>
      </c>
      <c r="H62" s="101">
        <v>5</v>
      </c>
      <c r="I62" s="101">
        <v>117.32</v>
      </c>
      <c r="J62" s="277">
        <f t="shared" si="1"/>
        <v>586.59999999999991</v>
      </c>
      <c r="K62" s="277">
        <f>G62+J62</f>
        <v>586.59999999999991</v>
      </c>
      <c r="L62" s="406"/>
      <c r="M62" s="279">
        <f>M61+L62-K62</f>
        <v>-230648.1176</v>
      </c>
      <c r="N62" s="277"/>
      <c r="O62" s="277"/>
    </row>
    <row r="63" spans="1:15">
      <c r="A63" s="378">
        <v>60</v>
      </c>
      <c r="B63" s="403">
        <v>46247</v>
      </c>
      <c r="C63" s="101" t="s">
        <v>299</v>
      </c>
      <c r="D63" s="101" t="s">
        <v>305</v>
      </c>
      <c r="E63" s="277">
        <v>47.57</v>
      </c>
      <c r="F63" s="101">
        <v>103.82</v>
      </c>
      <c r="G63" s="277">
        <f>E63*F63</f>
        <v>4938.7173999999995</v>
      </c>
      <c r="H63" s="101"/>
      <c r="I63" s="101"/>
      <c r="J63" s="277">
        <f t="shared" si="1"/>
        <v>0</v>
      </c>
      <c r="K63" s="277">
        <f>G63+J63</f>
        <v>4938.7173999999995</v>
      </c>
      <c r="L63" s="406"/>
      <c r="M63" s="279">
        <f>M62+L63-K63</f>
        <v>-235586.83499999999</v>
      </c>
      <c r="N63" s="277"/>
      <c r="O63" s="277"/>
    </row>
    <row r="64" spans="1:15">
      <c r="A64" s="380">
        <v>61</v>
      </c>
      <c r="B64" s="404">
        <v>46247</v>
      </c>
      <c r="C64" s="101" t="s">
        <v>285</v>
      </c>
      <c r="D64" s="101" t="s">
        <v>271</v>
      </c>
      <c r="E64" s="277">
        <v>40</v>
      </c>
      <c r="F64" s="101">
        <v>105.59</v>
      </c>
      <c r="G64" s="277">
        <f>E64*F64</f>
        <v>4223.6000000000004</v>
      </c>
      <c r="H64" s="101">
        <v>5</v>
      </c>
      <c r="I64" s="101">
        <v>117.98</v>
      </c>
      <c r="J64" s="277">
        <f t="shared" si="1"/>
        <v>589.9</v>
      </c>
      <c r="K64" s="277">
        <f>G64+J64</f>
        <v>4813.5</v>
      </c>
      <c r="L64" s="407"/>
      <c r="M64" s="279">
        <f>M63+L64-K64</f>
        <v>-240400.33499999999</v>
      </c>
      <c r="N64" s="277"/>
      <c r="O64" s="277"/>
    </row>
    <row r="65" spans="1:15">
      <c r="A65" s="94">
        <v>62</v>
      </c>
      <c r="B65" s="403">
        <v>46247</v>
      </c>
      <c r="C65" s="101" t="s">
        <v>306</v>
      </c>
      <c r="D65" s="101" t="s">
        <v>53</v>
      </c>
      <c r="E65" s="101">
        <v>39.799999999999997</v>
      </c>
      <c r="F65" s="101">
        <v>100.07</v>
      </c>
      <c r="G65" s="277">
        <f>E65*F65</f>
        <v>3982.7859999999996</v>
      </c>
      <c r="H65" s="101"/>
      <c r="I65" s="101"/>
      <c r="J65" s="277">
        <f t="shared" si="1"/>
        <v>0</v>
      </c>
      <c r="K65" s="277">
        <f>G65+J65</f>
        <v>3982.7859999999996</v>
      </c>
      <c r="L65" s="406"/>
      <c r="M65" s="279">
        <f>M64+L65-K65</f>
        <v>-244383.12099999998</v>
      </c>
      <c r="N65" s="277"/>
      <c r="O65" s="277"/>
    </row>
    <row r="66" spans="1:15">
      <c r="A66" s="292">
        <v>63</v>
      </c>
      <c r="B66" s="216">
        <v>46247</v>
      </c>
      <c r="C66" s="293" t="s">
        <v>300</v>
      </c>
      <c r="D66" s="293" t="s">
        <v>51</v>
      </c>
      <c r="E66" s="308">
        <v>36.729999999999997</v>
      </c>
      <c r="F66" s="373">
        <v>100.07</v>
      </c>
      <c r="G66" s="277">
        <f>E66*F66</f>
        <v>3675.5710999999997</v>
      </c>
      <c r="H66" s="400"/>
      <c r="I66" s="293"/>
      <c r="J66" s="280">
        <f t="shared" si="1"/>
        <v>0</v>
      </c>
      <c r="K66" s="277">
        <f>G66+J66</f>
        <v>3675.5710999999997</v>
      </c>
      <c r="L66" s="278"/>
      <c r="M66" s="279">
        <f>M65+L66-K66</f>
        <v>-248058.69209999999</v>
      </c>
      <c r="N66" s="277"/>
      <c r="O66" s="277"/>
    </row>
    <row r="67" spans="1:15">
      <c r="A67" s="94">
        <v>64</v>
      </c>
      <c r="B67" s="216">
        <v>46248</v>
      </c>
      <c r="C67" s="101" t="s">
        <v>307</v>
      </c>
      <c r="D67" s="101" t="s">
        <v>308</v>
      </c>
      <c r="E67" s="362">
        <v>285.39</v>
      </c>
      <c r="F67" s="391">
        <v>105.12</v>
      </c>
      <c r="G67" s="277">
        <f>E67*F67</f>
        <v>30000.196800000002</v>
      </c>
      <c r="H67" s="101"/>
      <c r="I67" s="373"/>
      <c r="J67" s="277">
        <f t="shared" si="1"/>
        <v>0</v>
      </c>
      <c r="K67" s="277">
        <f>G67+J67</f>
        <v>30000.196800000002</v>
      </c>
      <c r="L67" s="278"/>
      <c r="M67" s="279">
        <f>M66+L67-K67</f>
        <v>-278058.88889999996</v>
      </c>
      <c r="N67" s="277"/>
      <c r="O67" s="277"/>
    </row>
    <row r="68" spans="1:15">
      <c r="A68" s="94">
        <v>65</v>
      </c>
      <c r="B68" s="216">
        <v>46248</v>
      </c>
      <c r="C68" s="101" t="s">
        <v>285</v>
      </c>
      <c r="D68" s="101" t="s">
        <v>271</v>
      </c>
      <c r="E68" s="396">
        <v>30</v>
      </c>
      <c r="F68" s="101">
        <v>105.59</v>
      </c>
      <c r="G68" s="277">
        <f>E68*F68</f>
        <v>3167.7000000000003</v>
      </c>
      <c r="H68" s="400"/>
      <c r="I68" s="390"/>
      <c r="J68" s="277">
        <f t="shared" si="1"/>
        <v>0</v>
      </c>
      <c r="K68" s="277">
        <f>G68+J68</f>
        <v>3167.7000000000003</v>
      </c>
      <c r="L68" s="278"/>
      <c r="M68" s="279">
        <f>M67+L68-K68</f>
        <v>-281226.58889999997</v>
      </c>
      <c r="N68" s="277"/>
      <c r="O68" s="277"/>
    </row>
    <row r="69" spans="1:15">
      <c r="A69" s="292">
        <v>66</v>
      </c>
      <c r="B69" s="216">
        <v>46248</v>
      </c>
      <c r="C69" s="101" t="s">
        <v>309</v>
      </c>
      <c r="D69" s="101" t="s">
        <v>271</v>
      </c>
      <c r="E69" s="279">
        <v>30</v>
      </c>
      <c r="F69" s="373">
        <v>104.98</v>
      </c>
      <c r="G69" s="277">
        <f>E69*F69</f>
        <v>3149.4</v>
      </c>
      <c r="H69" s="392"/>
      <c r="I69" s="390"/>
      <c r="J69" s="277">
        <f t="shared" si="1"/>
        <v>0</v>
      </c>
      <c r="K69" s="277">
        <f>G69+J69</f>
        <v>3149.4</v>
      </c>
      <c r="L69" s="278"/>
      <c r="M69" s="279">
        <f>M68+L69-K69</f>
        <v>-284375.9889</v>
      </c>
      <c r="N69" s="277"/>
      <c r="O69" s="277"/>
    </row>
    <row r="70" spans="1:15">
      <c r="A70" s="94">
        <v>67</v>
      </c>
      <c r="B70" s="216">
        <v>46249</v>
      </c>
      <c r="C70" s="101" t="s">
        <v>279</v>
      </c>
      <c r="D70" s="101" t="s">
        <v>280</v>
      </c>
      <c r="E70" s="279">
        <v>31.26</v>
      </c>
      <c r="F70" s="277">
        <v>100.05</v>
      </c>
      <c r="G70" s="277">
        <f>E70*F70</f>
        <v>3127.5630000000001</v>
      </c>
      <c r="H70" s="392"/>
      <c r="I70" s="101"/>
      <c r="J70" s="277">
        <f t="shared" si="1"/>
        <v>0</v>
      </c>
      <c r="K70" s="277">
        <f>G70+J70</f>
        <v>3127.5630000000001</v>
      </c>
      <c r="L70" s="278"/>
      <c r="M70" s="279">
        <f>M69+L70-K70</f>
        <v>-287503.55190000002</v>
      </c>
      <c r="N70" s="357"/>
      <c r="O70" s="277"/>
    </row>
    <row r="71" spans="1:15">
      <c r="A71" s="94">
        <v>68</v>
      </c>
      <c r="B71" s="216">
        <v>46249</v>
      </c>
      <c r="C71" s="101" t="s">
        <v>283</v>
      </c>
      <c r="D71" s="101" t="s">
        <v>53</v>
      </c>
      <c r="E71" s="395">
        <v>30.11</v>
      </c>
      <c r="F71" s="390">
        <v>99.62</v>
      </c>
      <c r="G71" s="277">
        <f>E71*F71</f>
        <v>2999.5581999999999</v>
      </c>
      <c r="H71" s="101"/>
      <c r="I71" s="373"/>
      <c r="J71" s="277">
        <f t="shared" si="1"/>
        <v>0</v>
      </c>
      <c r="K71" s="277">
        <f>G71+J71</f>
        <v>2999.5581999999999</v>
      </c>
      <c r="L71" s="278"/>
      <c r="M71" s="279">
        <f>M70+L71-K71</f>
        <v>-290503.11010000005</v>
      </c>
      <c r="N71" s="177"/>
      <c r="O71" s="177"/>
    </row>
    <row r="72" spans="1:15">
      <c r="A72" s="292">
        <v>69</v>
      </c>
      <c r="B72" s="216">
        <v>46250</v>
      </c>
      <c r="C72" s="101" t="s">
        <v>277</v>
      </c>
      <c r="D72" s="101" t="s">
        <v>271</v>
      </c>
      <c r="E72" s="397">
        <v>14.34</v>
      </c>
      <c r="F72" s="101">
        <v>104.62</v>
      </c>
      <c r="G72" s="277">
        <f>E72*F72</f>
        <v>1500.2508</v>
      </c>
      <c r="H72" s="293"/>
      <c r="I72" s="101"/>
      <c r="J72" s="277">
        <f t="shared" si="1"/>
        <v>0</v>
      </c>
      <c r="K72" s="277">
        <f>G72+J72</f>
        <v>1500.2508</v>
      </c>
      <c r="L72" s="278"/>
      <c r="M72" s="279">
        <f>M71+L72-K72</f>
        <v>-292003.36090000003</v>
      </c>
      <c r="N72" s="177"/>
      <c r="O72" s="177"/>
    </row>
    <row r="73" spans="1:15">
      <c r="A73" s="408">
        <v>70</v>
      </c>
      <c r="B73" s="398">
        <v>46250</v>
      </c>
      <c r="C73" s="390" t="s">
        <v>310</v>
      </c>
      <c r="D73" s="390" t="s">
        <v>48</v>
      </c>
      <c r="E73" s="409">
        <v>53.92</v>
      </c>
      <c r="F73" s="373">
        <v>103.84</v>
      </c>
      <c r="G73" s="277">
        <f>E73*F73</f>
        <v>5599.0528000000004</v>
      </c>
      <c r="H73" s="391"/>
      <c r="I73" s="391"/>
      <c r="J73" s="391">
        <f t="shared" si="1"/>
        <v>0</v>
      </c>
      <c r="K73" s="277">
        <f>G73+J73</f>
        <v>5599.0528000000004</v>
      </c>
      <c r="L73" s="410"/>
      <c r="M73" s="279">
        <f>M72+L73-K73</f>
        <v>-297602.41370000003</v>
      </c>
      <c r="N73" s="177"/>
      <c r="O73" s="177"/>
    </row>
    <row r="74" spans="1:15">
      <c r="A74" s="14">
        <v>71</v>
      </c>
      <c r="B74" s="216">
        <v>46250</v>
      </c>
      <c r="C74" s="41" t="s">
        <v>285</v>
      </c>
      <c r="D74" s="41" t="s">
        <v>271</v>
      </c>
      <c r="E74" s="41"/>
      <c r="F74" s="41"/>
      <c r="G74" s="277">
        <f>E74*F74</f>
        <v>0</v>
      </c>
      <c r="H74" s="277">
        <v>4</v>
      </c>
      <c r="I74" s="41">
        <v>117.98</v>
      </c>
      <c r="J74" s="277">
        <f t="shared" ref="J74:J97" si="2">H74*I74</f>
        <v>471.92</v>
      </c>
      <c r="K74" s="277">
        <f>G74+J74</f>
        <v>471.92</v>
      </c>
      <c r="L74" s="278"/>
      <c r="M74" s="279">
        <f>M73+L74-K74</f>
        <v>-298074.33370000002</v>
      </c>
      <c r="N74" s="177"/>
      <c r="O74" s="177"/>
    </row>
    <row r="75" spans="1:15">
      <c r="A75" s="378">
        <v>72</v>
      </c>
      <c r="B75" s="216">
        <v>46250</v>
      </c>
      <c r="C75" s="41" t="s">
        <v>282</v>
      </c>
      <c r="D75" s="41" t="s">
        <v>305</v>
      </c>
      <c r="E75" s="41">
        <v>41.67</v>
      </c>
      <c r="F75" s="41">
        <v>103.82</v>
      </c>
      <c r="G75" s="277">
        <f>E75*F75</f>
        <v>4326.1794</v>
      </c>
      <c r="H75" s="277"/>
      <c r="I75" s="277"/>
      <c r="J75" s="277">
        <f t="shared" si="2"/>
        <v>0</v>
      </c>
      <c r="K75" s="277">
        <f>G75+J75</f>
        <v>4326.1794</v>
      </c>
      <c r="L75" s="278"/>
      <c r="M75" s="279">
        <f>M74+L75-K75</f>
        <v>-302400.51310000004</v>
      </c>
      <c r="N75" s="177"/>
      <c r="O75" s="177"/>
    </row>
    <row r="76" spans="1:15">
      <c r="A76" s="14">
        <v>73</v>
      </c>
      <c r="B76" s="216">
        <v>46251</v>
      </c>
      <c r="C76" s="41" t="s">
        <v>311</v>
      </c>
      <c r="D76" s="41" t="s">
        <v>51</v>
      </c>
      <c r="E76" s="41">
        <v>49.1</v>
      </c>
      <c r="F76" s="41">
        <v>99.79</v>
      </c>
      <c r="G76" s="277">
        <f>E76*F76</f>
        <v>4899.6890000000003</v>
      </c>
      <c r="H76" s="101"/>
      <c r="I76" s="101"/>
      <c r="J76" s="277">
        <f t="shared" si="2"/>
        <v>0</v>
      </c>
      <c r="K76" s="277">
        <f>G76+J76</f>
        <v>4899.6890000000003</v>
      </c>
      <c r="L76" s="278"/>
      <c r="M76" s="279">
        <f>M75+L76-K76</f>
        <v>-307300.20210000005</v>
      </c>
      <c r="N76" s="177"/>
      <c r="O76" s="177"/>
    </row>
    <row r="77" spans="1:15">
      <c r="A77" s="14">
        <v>74</v>
      </c>
      <c r="B77" s="216">
        <v>46251</v>
      </c>
      <c r="C77" s="41" t="s">
        <v>289</v>
      </c>
      <c r="D77" s="41" t="s">
        <v>40</v>
      </c>
      <c r="E77" s="41"/>
      <c r="F77" s="41"/>
      <c r="G77" s="277">
        <f>E77*F77</f>
        <v>0</v>
      </c>
      <c r="H77" s="101">
        <v>3.89</v>
      </c>
      <c r="I77" s="101">
        <v>115.69</v>
      </c>
      <c r="J77" s="277">
        <f t="shared" si="2"/>
        <v>450.03410000000002</v>
      </c>
      <c r="K77" s="277">
        <f>G77+J77</f>
        <v>450.03410000000002</v>
      </c>
      <c r="L77" s="278"/>
      <c r="M77" s="279">
        <f>M76+L77-K77</f>
        <v>-307750.23620000004</v>
      </c>
      <c r="N77" s="177"/>
      <c r="O77" s="177"/>
    </row>
    <row r="78" spans="1:15">
      <c r="A78" s="378">
        <v>75</v>
      </c>
      <c r="B78" s="216">
        <v>46251</v>
      </c>
      <c r="C78" s="41" t="s">
        <v>307</v>
      </c>
      <c r="D78" s="41" t="s">
        <v>308</v>
      </c>
      <c r="E78" s="41">
        <v>285.39</v>
      </c>
      <c r="F78" s="41">
        <v>105.12</v>
      </c>
      <c r="G78" s="277">
        <f>E78*F78</f>
        <v>30000.196800000002</v>
      </c>
      <c r="H78" s="277"/>
      <c r="I78" s="277"/>
      <c r="J78" s="277">
        <f t="shared" si="2"/>
        <v>0</v>
      </c>
      <c r="K78" s="277">
        <f>G78+J78</f>
        <v>30000.196800000002</v>
      </c>
      <c r="L78" s="278"/>
      <c r="M78" s="279">
        <f>M77+L78-K78</f>
        <v>-337750.43300000002</v>
      </c>
      <c r="N78" s="177"/>
      <c r="O78" s="177"/>
    </row>
    <row r="79" spans="1:15">
      <c r="A79" s="378">
        <v>76</v>
      </c>
      <c r="B79" s="381">
        <v>46251</v>
      </c>
      <c r="C79" s="298" t="s">
        <v>279</v>
      </c>
      <c r="D79" s="298" t="s">
        <v>280</v>
      </c>
      <c r="E79" s="280">
        <v>124.61</v>
      </c>
      <c r="F79" s="280">
        <v>100.05</v>
      </c>
      <c r="G79" s="280">
        <f>E79*F79</f>
        <v>12467.2305</v>
      </c>
      <c r="H79" s="280">
        <v>12</v>
      </c>
      <c r="I79" s="280">
        <v>112.07</v>
      </c>
      <c r="J79" s="280">
        <f t="shared" si="2"/>
        <v>1344.84</v>
      </c>
      <c r="K79" s="277">
        <f>G79+J79</f>
        <v>13812.0705</v>
      </c>
      <c r="L79" s="411"/>
      <c r="M79" s="279">
        <f>M78+L79-K79</f>
        <v>-351562.50349999999</v>
      </c>
      <c r="N79" s="177"/>
      <c r="O79" s="177"/>
    </row>
    <row r="80" spans="1:15">
      <c r="A80" s="378">
        <v>77</v>
      </c>
      <c r="B80" s="216">
        <v>46251</v>
      </c>
      <c r="C80" s="14" t="s">
        <v>285</v>
      </c>
      <c r="D80" s="160" t="s">
        <v>271</v>
      </c>
      <c r="E80" s="277">
        <v>14.21</v>
      </c>
      <c r="F80" s="277">
        <v>105.59</v>
      </c>
      <c r="G80" s="277">
        <f>E80*F80</f>
        <v>1500.4339000000002</v>
      </c>
      <c r="H80" s="277"/>
      <c r="I80" s="277"/>
      <c r="J80" s="277">
        <f t="shared" si="2"/>
        <v>0</v>
      </c>
      <c r="K80" s="277">
        <f>G80+J80</f>
        <v>1500.4339000000002</v>
      </c>
      <c r="L80" s="278"/>
      <c r="M80" s="279">
        <f>M79+L80-K80</f>
        <v>-353062.9374</v>
      </c>
      <c r="N80" s="177"/>
      <c r="O80" s="177"/>
    </row>
    <row r="81" spans="1:15">
      <c r="A81" s="378">
        <v>78</v>
      </c>
      <c r="B81" s="216">
        <v>46252</v>
      </c>
      <c r="C81" s="160" t="s">
        <v>299</v>
      </c>
      <c r="D81" s="160" t="s">
        <v>44</v>
      </c>
      <c r="E81" s="277">
        <v>38.1</v>
      </c>
      <c r="F81" s="277">
        <v>103.82</v>
      </c>
      <c r="G81" s="277">
        <f>E81*F81</f>
        <v>3955.5419999999999</v>
      </c>
      <c r="H81" s="277"/>
      <c r="I81" s="277"/>
      <c r="J81" s="277">
        <f t="shared" si="2"/>
        <v>0</v>
      </c>
      <c r="K81" s="277">
        <f>G81+J81</f>
        <v>3955.5419999999999</v>
      </c>
      <c r="L81" s="278"/>
      <c r="M81" s="279">
        <f>M80+L81-K81</f>
        <v>-357018.47940000001</v>
      </c>
      <c r="N81" s="177"/>
      <c r="O81" s="177"/>
    </row>
    <row r="82" spans="1:15">
      <c r="A82" s="378">
        <v>79</v>
      </c>
      <c r="B82" s="216">
        <v>46252</v>
      </c>
      <c r="C82" s="160" t="s">
        <v>285</v>
      </c>
      <c r="D82" s="160" t="s">
        <v>271</v>
      </c>
      <c r="E82" s="277">
        <v>47.35</v>
      </c>
      <c r="F82" s="277">
        <v>105.59</v>
      </c>
      <c r="G82" s="277">
        <f>E82*F82</f>
        <v>4999.6865000000007</v>
      </c>
      <c r="H82" s="277">
        <v>9.73</v>
      </c>
      <c r="I82" s="277">
        <v>117.98</v>
      </c>
      <c r="J82" s="277">
        <f t="shared" si="2"/>
        <v>1147.9454000000001</v>
      </c>
      <c r="K82" s="277">
        <f>G82+J82</f>
        <v>6147.6319000000003</v>
      </c>
      <c r="L82" s="278"/>
      <c r="M82" s="279">
        <f>M81+L82-K82</f>
        <v>-363166.11129999999</v>
      </c>
      <c r="N82" s="177"/>
      <c r="O82" s="177"/>
    </row>
    <row r="83" spans="1:15">
      <c r="A83" s="378">
        <v>80</v>
      </c>
      <c r="B83" s="216">
        <v>46252</v>
      </c>
      <c r="C83" s="160" t="s">
        <v>286</v>
      </c>
      <c r="D83" s="160" t="s">
        <v>271</v>
      </c>
      <c r="E83" s="277"/>
      <c r="F83" s="277"/>
      <c r="G83" s="277">
        <f>E83*F83</f>
        <v>0</v>
      </c>
      <c r="H83" s="277">
        <v>5</v>
      </c>
      <c r="I83" s="277">
        <v>117.32</v>
      </c>
      <c r="J83" s="277">
        <f>H83*I83</f>
        <v>586.59999999999991</v>
      </c>
      <c r="K83" s="277">
        <f t="shared" ref="K75:K98" si="3">G83+J83</f>
        <v>586.59999999999991</v>
      </c>
      <c r="L83" s="278"/>
      <c r="M83" s="279">
        <f>M82+L83-K83</f>
        <v>-363752.71129999997</v>
      </c>
      <c r="N83" s="177"/>
      <c r="O83" s="177"/>
    </row>
    <row r="84" spans="1:15">
      <c r="A84" s="378">
        <v>81</v>
      </c>
      <c r="B84" s="216">
        <v>46252</v>
      </c>
      <c r="C84" s="160" t="s">
        <v>300</v>
      </c>
      <c r="D84" s="160" t="s">
        <v>51</v>
      </c>
      <c r="E84" s="277">
        <v>49.96</v>
      </c>
      <c r="F84" s="277">
        <v>100.07</v>
      </c>
      <c r="G84" s="277">
        <f>E84*F84</f>
        <v>4999.4971999999998</v>
      </c>
      <c r="H84" s="277"/>
      <c r="I84" s="277"/>
      <c r="J84" s="277">
        <f>H84*I84</f>
        <v>0</v>
      </c>
      <c r="K84" s="277">
        <f t="shared" si="3"/>
        <v>4999.4971999999998</v>
      </c>
      <c r="L84" s="278"/>
      <c r="M84" s="279">
        <f>M83+L84-K84</f>
        <v>-368752.20849999995</v>
      </c>
      <c r="N84" s="177"/>
      <c r="O84" s="177"/>
    </row>
    <row r="85" spans="1:15">
      <c r="A85" s="378">
        <v>82</v>
      </c>
      <c r="B85" s="216">
        <v>46253</v>
      </c>
      <c r="C85" s="160" t="s">
        <v>312</v>
      </c>
      <c r="D85" s="160" t="s">
        <v>271</v>
      </c>
      <c r="E85" s="277">
        <v>38.14</v>
      </c>
      <c r="F85" s="277">
        <v>104.88</v>
      </c>
      <c r="G85" s="277">
        <f>E85*F85</f>
        <v>4000.1232</v>
      </c>
      <c r="H85" s="277"/>
      <c r="I85" s="277"/>
      <c r="J85" s="277">
        <f>H85*I85</f>
        <v>0</v>
      </c>
      <c r="K85" s="277">
        <f t="shared" si="3"/>
        <v>4000.1232</v>
      </c>
      <c r="L85" s="278"/>
      <c r="M85" s="279">
        <f>M84+L85-K85</f>
        <v>-372752.33169999992</v>
      </c>
      <c r="N85" s="177"/>
      <c r="O85" s="177"/>
    </row>
    <row r="86" spans="1:15">
      <c r="A86" s="378">
        <v>83</v>
      </c>
      <c r="B86" s="216">
        <v>46253</v>
      </c>
      <c r="C86" s="160" t="s">
        <v>313</v>
      </c>
      <c r="D86" s="160" t="s">
        <v>53</v>
      </c>
      <c r="E86" s="277">
        <v>44.63</v>
      </c>
      <c r="F86" s="277">
        <v>99.95</v>
      </c>
      <c r="G86" s="277">
        <f>E86*F86</f>
        <v>4460.7685000000001</v>
      </c>
      <c r="H86" s="277"/>
      <c r="I86" s="277"/>
      <c r="J86" s="277">
        <f>H86*I86</f>
        <v>0</v>
      </c>
      <c r="K86" s="277">
        <f t="shared" si="3"/>
        <v>4460.7685000000001</v>
      </c>
      <c r="L86" s="278"/>
      <c r="M86" s="279">
        <f>M85+L86-K86</f>
        <v>-377213.10019999993</v>
      </c>
      <c r="N86" s="177"/>
      <c r="O86" s="177"/>
    </row>
    <row r="87" spans="1:15">
      <c r="A87" s="378">
        <v>84</v>
      </c>
      <c r="B87" s="216">
        <v>46253</v>
      </c>
      <c r="C87" s="160" t="s">
        <v>279</v>
      </c>
      <c r="D87" s="160" t="s">
        <v>280</v>
      </c>
      <c r="E87" s="277"/>
      <c r="F87" s="277"/>
      <c r="G87" s="277">
        <f>E87*F87</f>
        <v>0</v>
      </c>
      <c r="H87" s="277">
        <v>7</v>
      </c>
      <c r="I87" s="277">
        <v>112.07</v>
      </c>
      <c r="J87" s="277">
        <f t="shared" ref="J87:J91" si="4">H87*I87</f>
        <v>784.49</v>
      </c>
      <c r="K87" s="277">
        <f t="shared" si="3"/>
        <v>784.49</v>
      </c>
      <c r="L87" s="278"/>
      <c r="M87" s="279">
        <f>M86+L87-K87</f>
        <v>-377997.59019999992</v>
      </c>
      <c r="N87" s="177"/>
      <c r="O87" s="177"/>
    </row>
    <row r="88" spans="1:15">
      <c r="A88" s="378">
        <v>85</v>
      </c>
      <c r="B88" s="216">
        <v>46254</v>
      </c>
      <c r="C88" s="160" t="s">
        <v>288</v>
      </c>
      <c r="D88" s="160" t="s">
        <v>314</v>
      </c>
      <c r="E88" s="277">
        <v>10</v>
      </c>
      <c r="F88" s="277">
        <v>100.07</v>
      </c>
      <c r="G88" s="277">
        <f>E88*F88</f>
        <v>1000.6999999999999</v>
      </c>
      <c r="H88" s="277"/>
      <c r="I88" s="277"/>
      <c r="J88" s="277">
        <f t="shared" si="4"/>
        <v>0</v>
      </c>
      <c r="K88" s="277">
        <f t="shared" si="3"/>
        <v>1000.6999999999999</v>
      </c>
      <c r="L88" s="278"/>
      <c r="M88" s="279">
        <f>M87+L88-K88</f>
        <v>-378998.29019999993</v>
      </c>
      <c r="N88" s="177"/>
      <c r="O88" s="177"/>
    </row>
    <row r="89" spans="1:15">
      <c r="A89" s="378">
        <v>86</v>
      </c>
      <c r="B89" s="216">
        <v>46254</v>
      </c>
      <c r="C89" s="160" t="s">
        <v>299</v>
      </c>
      <c r="D89" s="160" t="s">
        <v>40</v>
      </c>
      <c r="E89" s="277"/>
      <c r="F89" s="277"/>
      <c r="G89" s="277">
        <f>E89*F89</f>
        <v>0</v>
      </c>
      <c r="H89" s="277">
        <v>4.33</v>
      </c>
      <c r="I89" s="277">
        <v>115.69</v>
      </c>
      <c r="J89" s="277">
        <f t="shared" si="4"/>
        <v>500.93770000000001</v>
      </c>
      <c r="K89" s="277">
        <f t="shared" si="3"/>
        <v>500.93770000000001</v>
      </c>
      <c r="L89" s="278"/>
      <c r="M89" s="279">
        <f>M88+L89-K89</f>
        <v>-379499.22789999994</v>
      </c>
      <c r="N89" s="177"/>
      <c r="O89" s="177"/>
    </row>
    <row r="90" spans="1:15">
      <c r="A90" s="378">
        <v>87</v>
      </c>
      <c r="B90" s="216">
        <v>46254</v>
      </c>
      <c r="C90" s="160" t="s">
        <v>315</v>
      </c>
      <c r="D90" s="160" t="s">
        <v>51</v>
      </c>
      <c r="E90" s="277">
        <v>40.33</v>
      </c>
      <c r="F90" s="277">
        <v>99.18</v>
      </c>
      <c r="G90" s="277">
        <f>E90*F90</f>
        <v>3999.9294</v>
      </c>
      <c r="H90" s="391"/>
      <c r="I90" s="391"/>
      <c r="J90" s="277">
        <f t="shared" si="4"/>
        <v>0</v>
      </c>
      <c r="K90" s="277">
        <f t="shared" si="3"/>
        <v>3999.9294</v>
      </c>
      <c r="L90" s="278"/>
      <c r="M90" s="279">
        <f>M89+L90-K90</f>
        <v>-383499.15729999996</v>
      </c>
      <c r="N90" s="177"/>
      <c r="O90" s="177"/>
    </row>
    <row r="91" spans="1:15">
      <c r="A91" s="378">
        <v>88</v>
      </c>
      <c r="B91" s="216">
        <v>46255</v>
      </c>
      <c r="C91" s="160" t="s">
        <v>285</v>
      </c>
      <c r="D91" s="160" t="s">
        <v>271</v>
      </c>
      <c r="E91" s="277"/>
      <c r="F91" s="277"/>
      <c r="G91" s="545">
        <f>E91*F91</f>
        <v>0</v>
      </c>
      <c r="H91" s="101">
        <v>3</v>
      </c>
      <c r="I91" s="101">
        <v>117.98</v>
      </c>
      <c r="J91" s="279">
        <f t="shared" si="4"/>
        <v>353.94</v>
      </c>
      <c r="K91" s="277">
        <f t="shared" si="3"/>
        <v>353.94</v>
      </c>
      <c r="L91" s="277"/>
      <c r="M91" s="279">
        <f>M90+L91-K91</f>
        <v>-383853.09729999996</v>
      </c>
      <c r="N91" s="177"/>
      <c r="O91" s="177"/>
    </row>
    <row r="92" spans="1:15">
      <c r="A92" s="378">
        <v>89</v>
      </c>
      <c r="B92" s="381">
        <v>46255</v>
      </c>
      <c r="C92" s="382" t="s">
        <v>286</v>
      </c>
      <c r="D92" s="298" t="s">
        <v>271</v>
      </c>
      <c r="E92" s="280"/>
      <c r="F92" s="280"/>
      <c r="G92" s="546">
        <f>E92*F92</f>
        <v>0</v>
      </c>
      <c r="H92" s="101">
        <v>5</v>
      </c>
      <c r="I92" s="101">
        <v>117.32</v>
      </c>
      <c r="J92" s="362">
        <f t="shared" si="2"/>
        <v>586.59999999999991</v>
      </c>
      <c r="K92" s="277">
        <f t="shared" si="3"/>
        <v>586.59999999999991</v>
      </c>
      <c r="L92" s="280"/>
      <c r="M92" s="279">
        <f>M91+L92-K92</f>
        <v>-384439.69729999994</v>
      </c>
      <c r="N92" s="383"/>
      <c r="O92" s="383"/>
    </row>
    <row r="93" spans="1:15">
      <c r="A93" s="378">
        <v>90</v>
      </c>
      <c r="B93" s="216">
        <v>46256</v>
      </c>
      <c r="C93" s="297" t="s">
        <v>316</v>
      </c>
      <c r="D93" s="160" t="s">
        <v>48</v>
      </c>
      <c r="E93" s="277">
        <v>43.76</v>
      </c>
      <c r="F93" s="277">
        <v>104.87</v>
      </c>
      <c r="G93" s="545">
        <f>E93*F93</f>
        <v>4589.1112000000003</v>
      </c>
      <c r="H93" s="277"/>
      <c r="I93" s="277"/>
      <c r="J93" s="279">
        <f t="shared" si="2"/>
        <v>0</v>
      </c>
      <c r="K93" s="277">
        <f t="shared" si="3"/>
        <v>4589.1112000000003</v>
      </c>
      <c r="L93" s="277"/>
      <c r="M93" s="279">
        <f>M92+L93-K93</f>
        <v>-389028.80849999993</v>
      </c>
      <c r="N93" s="177"/>
      <c r="O93" s="177"/>
    </row>
    <row r="94" spans="1:15">
      <c r="A94" s="378">
        <v>91</v>
      </c>
      <c r="B94" s="216">
        <v>46256</v>
      </c>
      <c r="C94" s="297" t="s">
        <v>283</v>
      </c>
      <c r="D94" s="160" t="s">
        <v>53</v>
      </c>
      <c r="E94" s="277">
        <v>45</v>
      </c>
      <c r="F94" s="277">
        <v>99.62</v>
      </c>
      <c r="G94" s="277">
        <f>E94*F94</f>
        <v>4482.9000000000005</v>
      </c>
      <c r="H94" s="280"/>
      <c r="I94" s="280"/>
      <c r="J94" s="277">
        <f t="shared" si="2"/>
        <v>0</v>
      </c>
      <c r="K94" s="277">
        <f t="shared" si="3"/>
        <v>4482.9000000000005</v>
      </c>
      <c r="L94" s="277"/>
      <c r="M94" s="279">
        <f>M93+L94-K94</f>
        <v>-393511.70849999995</v>
      </c>
      <c r="N94" s="177"/>
      <c r="O94" s="177"/>
    </row>
    <row r="95" spans="1:15">
      <c r="A95" s="378">
        <v>92</v>
      </c>
      <c r="B95" s="216">
        <v>46258</v>
      </c>
      <c r="C95" s="297" t="s">
        <v>317</v>
      </c>
      <c r="D95" s="160" t="s">
        <v>53</v>
      </c>
      <c r="E95" s="277">
        <v>40</v>
      </c>
      <c r="F95" s="277">
        <v>98.94</v>
      </c>
      <c r="G95" s="277">
        <f t="shared" ref="G95:G99" si="5">E95*F95</f>
        <v>3957.6</v>
      </c>
      <c r="H95" s="277"/>
      <c r="I95" s="277"/>
      <c r="J95" s="277">
        <f t="shared" si="2"/>
        <v>0</v>
      </c>
      <c r="K95" s="277">
        <f t="shared" si="3"/>
        <v>3957.6</v>
      </c>
      <c r="L95" s="277"/>
      <c r="M95" s="279">
        <f>M94+L95-K95</f>
        <v>-397469.30849999993</v>
      </c>
      <c r="N95" s="365"/>
      <c r="O95" s="365"/>
    </row>
    <row r="96" spans="1:15">
      <c r="A96" s="378">
        <v>93</v>
      </c>
      <c r="B96" s="216">
        <v>46258</v>
      </c>
      <c r="C96" s="297" t="s">
        <v>278</v>
      </c>
      <c r="D96" s="160" t="s">
        <v>48</v>
      </c>
      <c r="E96" s="277">
        <v>53.05</v>
      </c>
      <c r="F96" s="277">
        <v>103.85</v>
      </c>
      <c r="G96" s="277">
        <f t="shared" si="5"/>
        <v>5509.2424999999994</v>
      </c>
      <c r="H96" s="277"/>
      <c r="I96" s="277"/>
      <c r="J96" s="277">
        <f t="shared" si="2"/>
        <v>0</v>
      </c>
      <c r="K96" s="277">
        <f t="shared" si="3"/>
        <v>5509.2424999999994</v>
      </c>
      <c r="L96" s="277"/>
      <c r="M96" s="279">
        <f>M95+L96-K96</f>
        <v>-402978.55099999992</v>
      </c>
      <c r="N96" s="177"/>
      <c r="O96" s="177"/>
    </row>
    <row r="97" spans="1:15">
      <c r="A97" s="378">
        <v>94</v>
      </c>
      <c r="B97" s="216">
        <v>46258</v>
      </c>
      <c r="C97" s="297" t="s">
        <v>279</v>
      </c>
      <c r="D97" s="160" t="s">
        <v>280</v>
      </c>
      <c r="E97" s="277">
        <v>69</v>
      </c>
      <c r="F97" s="277">
        <v>100.05</v>
      </c>
      <c r="G97" s="277">
        <f t="shared" si="5"/>
        <v>6903.45</v>
      </c>
      <c r="H97" s="277">
        <v>5</v>
      </c>
      <c r="I97" s="277">
        <v>112.07</v>
      </c>
      <c r="J97" s="277">
        <f t="shared" si="2"/>
        <v>560.34999999999991</v>
      </c>
      <c r="K97" s="277">
        <f t="shared" si="3"/>
        <v>7463.7999999999993</v>
      </c>
      <c r="L97" s="277"/>
      <c r="M97" s="279">
        <f>M96+L97-K97</f>
        <v>-410442.35099999991</v>
      </c>
      <c r="N97" s="357">
        <v>78625.02</v>
      </c>
      <c r="O97" s="357">
        <f>N97-M97</f>
        <v>489067.37099999993</v>
      </c>
    </row>
    <row r="98" spans="1:15">
      <c r="A98" s="386">
        <v>95</v>
      </c>
      <c r="B98" s="547">
        <v>46258</v>
      </c>
      <c r="C98" s="297" t="s">
        <v>285</v>
      </c>
      <c r="D98" s="297" t="s">
        <v>271</v>
      </c>
      <c r="E98" s="391"/>
      <c r="F98" s="391"/>
      <c r="G98" s="277">
        <f t="shared" si="5"/>
        <v>0</v>
      </c>
      <c r="H98" s="391">
        <v>5</v>
      </c>
      <c r="I98" s="391">
        <v>117.98</v>
      </c>
      <c r="J98" s="391"/>
      <c r="K98" s="391">
        <f t="shared" si="3"/>
        <v>0</v>
      </c>
      <c r="L98" s="391"/>
      <c r="M98" s="393">
        <f>M97+L98-K98</f>
        <v>-410442.35099999991</v>
      </c>
      <c r="N98" s="413"/>
      <c r="O98" s="413"/>
    </row>
    <row r="99" spans="1:15">
      <c r="A99" s="14">
        <v>96</v>
      </c>
      <c r="B99" s="548">
        <v>46258</v>
      </c>
      <c r="C99" s="14" t="s">
        <v>300</v>
      </c>
      <c r="D99" s="14" t="s">
        <v>51</v>
      </c>
      <c r="E99" s="177">
        <v>46.97</v>
      </c>
      <c r="F99" s="177">
        <v>100.07</v>
      </c>
      <c r="G99" s="277">
        <f t="shared" si="5"/>
        <v>4700.2878999999994</v>
      </c>
      <c r="H99" s="177"/>
      <c r="I99" s="177"/>
      <c r="J99" s="177"/>
      <c r="K99" s="177"/>
      <c r="L99" s="177"/>
      <c r="M99" s="177"/>
      <c r="N99" s="177"/>
      <c r="O99" s="177"/>
    </row>
    <row r="100" spans="1:15">
      <c r="A100" s="14">
        <v>97</v>
      </c>
      <c r="B100" s="14"/>
      <c r="C100" s="14"/>
      <c r="D100" s="14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</row>
    <row r="101" spans="1:15">
      <c r="A101" s="14">
        <v>98</v>
      </c>
      <c r="B101" s="14"/>
      <c r="C101" s="14"/>
      <c r="D101" s="14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</row>
    <row r="102" spans="1:15">
      <c r="A102" s="14">
        <v>99</v>
      </c>
      <c r="B102" s="14"/>
      <c r="C102" s="14"/>
      <c r="D102" s="14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</row>
    <row r="103" spans="1:15">
      <c r="A103" s="14">
        <v>100</v>
      </c>
      <c r="B103" s="14"/>
      <c r="C103" s="14"/>
      <c r="D103" s="14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</row>
    <row r="104" spans="1:15">
      <c r="E104" s="370"/>
    </row>
    <row r="106" spans="1:15">
      <c r="E106" s="370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32"/>
  <sheetViews>
    <sheetView topLeftCell="D6" workbookViewId="0">
      <selection activeCell="H47" sqref="H47"/>
    </sheetView>
  </sheetViews>
  <sheetFormatPr defaultRowHeight="15"/>
  <cols>
    <col min="1" max="1" width="9.140625" style="5"/>
    <col min="2" max="2" width="11.5703125" style="5" customWidth="1"/>
    <col min="3" max="3" width="61.140625" style="5" bestFit="1" customWidth="1"/>
    <col min="4" max="4" width="36.5703125" style="5" customWidth="1"/>
    <col min="5" max="5" width="15.7109375" style="5" customWidth="1"/>
    <col min="6" max="6" width="9.140625" style="5"/>
    <col min="7" max="7" width="22.42578125" style="5" customWidth="1"/>
    <col min="8" max="8" width="22.140625" style="5" customWidth="1"/>
    <col min="9" max="9" width="17.7109375" style="5" bestFit="1" customWidth="1"/>
    <col min="10" max="10" width="10.42578125" style="5" bestFit="1" customWidth="1"/>
    <col min="11" max="11" width="15.42578125" style="5" customWidth="1"/>
    <col min="12" max="12" width="17.7109375" style="5" customWidth="1"/>
    <col min="13" max="13" width="12.7109375" style="5" customWidth="1"/>
    <col min="14" max="14" width="15.140625" style="5" customWidth="1"/>
    <col min="15" max="15" width="20.5703125" style="5" customWidth="1"/>
    <col min="16" max="16384" width="9.140625" style="5"/>
  </cols>
  <sheetData>
    <row r="1" spans="1:15" ht="15.75">
      <c r="A1" s="581" t="s">
        <v>318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</row>
    <row r="2" spans="1:15">
      <c r="A2" s="61" t="s">
        <v>0</v>
      </c>
      <c r="B2" s="80" t="s">
        <v>170</v>
      </c>
      <c r="C2" s="80" t="s">
        <v>266</v>
      </c>
      <c r="D2" s="80" t="s">
        <v>267</v>
      </c>
      <c r="E2" s="80" t="s">
        <v>173</v>
      </c>
      <c r="F2" s="80" t="s">
        <v>174</v>
      </c>
      <c r="G2" s="87" t="s">
        <v>175</v>
      </c>
      <c r="H2" s="80" t="s">
        <v>176</v>
      </c>
      <c r="I2" s="80" t="s">
        <v>174</v>
      </c>
      <c r="J2" s="87" t="s">
        <v>175</v>
      </c>
      <c r="K2" s="61" t="s">
        <v>177</v>
      </c>
      <c r="L2" s="88" t="s">
        <v>268</v>
      </c>
      <c r="M2" s="82" t="s">
        <v>195</v>
      </c>
      <c r="N2" s="80" t="s">
        <v>180</v>
      </c>
      <c r="O2" s="80" t="s">
        <v>269</v>
      </c>
    </row>
    <row r="3" spans="1:15">
      <c r="A3" s="608" t="s">
        <v>181</v>
      </c>
      <c r="B3" s="608"/>
      <c r="C3" s="608"/>
      <c r="D3" s="608"/>
      <c r="E3" s="608"/>
      <c r="F3" s="608"/>
      <c r="G3" s="608"/>
      <c r="H3" s="608"/>
      <c r="I3" s="608"/>
      <c r="J3" s="608"/>
      <c r="K3" s="99">
        <v>47524.82</v>
      </c>
      <c r="L3" s="217"/>
      <c r="M3" s="99">
        <v>47524.82</v>
      </c>
      <c r="N3" s="162"/>
      <c r="O3" s="162"/>
    </row>
    <row r="4" spans="1:15" ht="15.75">
      <c r="A4" s="6">
        <v>1</v>
      </c>
      <c r="B4" s="75"/>
      <c r="C4" s="414"/>
      <c r="D4" s="609"/>
      <c r="E4" s="418"/>
      <c r="F4" s="418"/>
      <c r="G4" s="418">
        <f>E4*F4</f>
        <v>0</v>
      </c>
      <c r="H4" s="420"/>
      <c r="I4" s="420"/>
      <c r="J4" s="420">
        <f>H4*I4</f>
        <v>0</v>
      </c>
      <c r="K4" s="420">
        <f>G4+J4</f>
        <v>0</v>
      </c>
      <c r="L4" s="414">
        <v>150000</v>
      </c>
      <c r="M4" s="415">
        <f>SUM(M3+L4-K4)</f>
        <v>197524.82</v>
      </c>
      <c r="N4" s="6"/>
      <c r="O4" s="6"/>
    </row>
    <row r="5" spans="1:15" ht="15.75">
      <c r="A5" s="6">
        <v>2</v>
      </c>
      <c r="B5" s="75" t="s">
        <v>319</v>
      </c>
      <c r="C5" s="414" t="s">
        <v>320</v>
      </c>
      <c r="D5" s="609" t="s">
        <v>321</v>
      </c>
      <c r="E5" s="418">
        <v>1734.1</v>
      </c>
      <c r="F5" s="418">
        <v>103.8</v>
      </c>
      <c r="G5" s="418">
        <f>E5*F5</f>
        <v>179999.58</v>
      </c>
      <c r="H5" s="420"/>
      <c r="I5" s="420"/>
      <c r="J5" s="420">
        <f>H5*I5</f>
        <v>0</v>
      </c>
      <c r="K5" s="420">
        <f>G5+J5</f>
        <v>179999.58</v>
      </c>
      <c r="L5" s="414"/>
      <c r="M5" s="415">
        <f t="shared" ref="M5:M57" si="0">SUM(M4+L5-K5)</f>
        <v>17525.24000000002</v>
      </c>
      <c r="N5" s="6"/>
      <c r="O5" s="6"/>
    </row>
    <row r="6" spans="1:15" ht="15.75">
      <c r="A6" s="6">
        <v>3</v>
      </c>
      <c r="B6" s="75" t="s">
        <v>322</v>
      </c>
      <c r="C6" s="414" t="s">
        <v>323</v>
      </c>
      <c r="D6" s="441" t="s">
        <v>324</v>
      </c>
      <c r="E6" s="414">
        <v>70</v>
      </c>
      <c r="F6" s="418">
        <v>103.76</v>
      </c>
      <c r="G6" s="418">
        <f>E6*F6</f>
        <v>7263.2000000000007</v>
      </c>
      <c r="H6" s="610"/>
      <c r="I6" s="610"/>
      <c r="J6" s="420">
        <f t="shared" ref="J6:J9" si="1">H6*I6</f>
        <v>0</v>
      </c>
      <c r="K6" s="420">
        <f t="shared" ref="K6:K94" si="2">G6+J6</f>
        <v>7263.2000000000007</v>
      </c>
      <c r="L6" s="414"/>
      <c r="M6" s="415">
        <f t="shared" si="0"/>
        <v>10262.040000000019</v>
      </c>
      <c r="N6" s="6"/>
      <c r="O6" s="6"/>
    </row>
    <row r="7" spans="1:15" ht="15.75">
      <c r="A7" s="6">
        <v>4</v>
      </c>
      <c r="B7" s="75" t="s">
        <v>325</v>
      </c>
      <c r="C7" s="414" t="s">
        <v>320</v>
      </c>
      <c r="D7" s="441" t="s">
        <v>321</v>
      </c>
      <c r="E7" s="414">
        <v>3853.56</v>
      </c>
      <c r="F7" s="418">
        <v>103.8</v>
      </c>
      <c r="G7" s="418">
        <f>E7*F7</f>
        <v>399999.52799999999</v>
      </c>
      <c r="H7" s="610"/>
      <c r="I7" s="610"/>
      <c r="J7" s="420">
        <f t="shared" si="1"/>
        <v>0</v>
      </c>
      <c r="K7" s="420">
        <f t="shared" si="2"/>
        <v>399999.52799999999</v>
      </c>
      <c r="L7" s="414">
        <v>500000</v>
      </c>
      <c r="M7" s="415">
        <f t="shared" si="0"/>
        <v>110262.51200000005</v>
      </c>
      <c r="N7" s="6"/>
      <c r="O7" s="6"/>
    </row>
    <row r="8" spans="1:15" ht="15.75">
      <c r="A8" s="6">
        <v>5</v>
      </c>
      <c r="B8" s="75" t="s">
        <v>326</v>
      </c>
      <c r="C8" s="414" t="s">
        <v>327</v>
      </c>
      <c r="D8" s="441" t="s">
        <v>328</v>
      </c>
      <c r="E8" s="414">
        <v>3021.45</v>
      </c>
      <c r="F8" s="414">
        <v>99.29</v>
      </c>
      <c r="G8" s="418">
        <f>E8*F8</f>
        <v>299999.77049999998</v>
      </c>
      <c r="H8" s="610"/>
      <c r="I8" s="610"/>
      <c r="J8" s="420">
        <f t="shared" si="1"/>
        <v>0</v>
      </c>
      <c r="K8" s="420">
        <f t="shared" si="2"/>
        <v>299999.77049999998</v>
      </c>
      <c r="L8" s="414"/>
      <c r="M8" s="415">
        <f t="shared" si="0"/>
        <v>-189737.25849999994</v>
      </c>
      <c r="N8" s="6"/>
      <c r="O8" s="6"/>
    </row>
    <row r="9" spans="1:15" ht="15.75">
      <c r="A9" s="6">
        <v>6</v>
      </c>
      <c r="B9" s="75" t="s">
        <v>326</v>
      </c>
      <c r="C9" s="414" t="s">
        <v>329</v>
      </c>
      <c r="D9" s="440" t="s">
        <v>330</v>
      </c>
      <c r="E9" s="414">
        <v>3026.03</v>
      </c>
      <c r="F9" s="414">
        <v>99.14</v>
      </c>
      <c r="G9" s="418">
        <f>E9*F9</f>
        <v>300000.61420000001</v>
      </c>
      <c r="H9" s="610"/>
      <c r="I9" s="610"/>
      <c r="J9" s="420">
        <f t="shared" si="1"/>
        <v>0</v>
      </c>
      <c r="K9" s="420">
        <f t="shared" si="2"/>
        <v>300000.61420000001</v>
      </c>
      <c r="L9" s="414"/>
      <c r="M9" s="415">
        <f t="shared" si="0"/>
        <v>-489737.87269999995</v>
      </c>
      <c r="N9" s="6"/>
      <c r="O9" s="6"/>
    </row>
    <row r="10" spans="1:15" ht="15.75">
      <c r="A10" s="6">
        <v>7</v>
      </c>
      <c r="B10" s="75" t="s">
        <v>326</v>
      </c>
      <c r="C10" s="414" t="s">
        <v>323</v>
      </c>
      <c r="D10" s="441" t="s">
        <v>324</v>
      </c>
      <c r="E10" s="414">
        <v>70</v>
      </c>
      <c r="F10" s="414">
        <v>103.76</v>
      </c>
      <c r="G10" s="418">
        <f>E10*F10</f>
        <v>7263.2000000000007</v>
      </c>
      <c r="H10" s="610"/>
      <c r="I10" s="610"/>
      <c r="J10" s="420">
        <f t="shared" ref="J6:J55" si="3">H10*I10</f>
        <v>0</v>
      </c>
      <c r="K10" s="420">
        <f t="shared" si="2"/>
        <v>7263.2000000000007</v>
      </c>
      <c r="L10" s="414"/>
      <c r="M10" s="415">
        <f t="shared" si="0"/>
        <v>-497001.07269999996</v>
      </c>
      <c r="N10" s="6"/>
      <c r="O10" s="6"/>
    </row>
    <row r="11" spans="1:15" ht="15.75">
      <c r="A11" s="6">
        <v>8</v>
      </c>
      <c r="B11" s="75" t="s">
        <v>331</v>
      </c>
      <c r="C11" s="414"/>
      <c r="D11" s="441"/>
      <c r="E11" s="414"/>
      <c r="F11" s="414"/>
      <c r="G11" s="418"/>
      <c r="H11" s="610"/>
      <c r="I11" s="610"/>
      <c r="J11" s="420"/>
      <c r="K11" s="420"/>
      <c r="L11" s="414">
        <v>600000</v>
      </c>
      <c r="M11" s="415">
        <f t="shared" si="0"/>
        <v>102998.92730000004</v>
      </c>
      <c r="N11" s="6"/>
      <c r="O11" s="6"/>
    </row>
    <row r="12" spans="1:15" ht="15.75">
      <c r="A12" s="6">
        <v>9</v>
      </c>
      <c r="B12" s="75" t="s">
        <v>332</v>
      </c>
      <c r="C12" s="414" t="s">
        <v>323</v>
      </c>
      <c r="D12" s="441" t="s">
        <v>324</v>
      </c>
      <c r="E12" s="414">
        <v>140</v>
      </c>
      <c r="F12" s="414">
        <v>103.76</v>
      </c>
      <c r="G12" s="418">
        <f t="shared" ref="G12:G55" si="4">E12*F12</f>
        <v>14526.400000000001</v>
      </c>
      <c r="H12" s="610"/>
      <c r="I12" s="610"/>
      <c r="J12" s="420">
        <f t="shared" si="3"/>
        <v>0</v>
      </c>
      <c r="K12" s="420">
        <f t="shared" si="2"/>
        <v>14526.400000000001</v>
      </c>
      <c r="L12" s="414"/>
      <c r="M12" s="415">
        <f t="shared" si="0"/>
        <v>88472.527300000045</v>
      </c>
      <c r="N12" s="6"/>
      <c r="O12" s="6"/>
    </row>
    <row r="13" spans="1:15" ht="15.75">
      <c r="A13" s="6">
        <v>10</v>
      </c>
      <c r="B13" s="75" t="s">
        <v>333</v>
      </c>
      <c r="C13" s="414" t="s">
        <v>320</v>
      </c>
      <c r="D13" s="609" t="s">
        <v>321</v>
      </c>
      <c r="E13" s="414">
        <v>1445.09</v>
      </c>
      <c r="F13" s="414">
        <v>103.8</v>
      </c>
      <c r="G13" s="418">
        <f t="shared" si="4"/>
        <v>150000.34199999998</v>
      </c>
      <c r="H13" s="610"/>
      <c r="I13" s="610"/>
      <c r="J13" s="420">
        <f t="shared" si="3"/>
        <v>0</v>
      </c>
      <c r="K13" s="420">
        <f t="shared" si="2"/>
        <v>150000.34199999998</v>
      </c>
      <c r="L13" s="414">
        <v>94900</v>
      </c>
      <c r="M13" s="415">
        <f t="shared" si="0"/>
        <v>33372.18530000007</v>
      </c>
      <c r="N13" s="6"/>
      <c r="O13" s="6"/>
    </row>
    <row r="14" spans="1:15" ht="15.75">
      <c r="A14" s="6">
        <v>11</v>
      </c>
      <c r="B14" s="75" t="s">
        <v>334</v>
      </c>
      <c r="C14" s="414" t="s">
        <v>323</v>
      </c>
      <c r="D14" s="441" t="s">
        <v>324</v>
      </c>
      <c r="E14" s="414">
        <v>70</v>
      </c>
      <c r="F14" s="414">
        <v>103.76</v>
      </c>
      <c r="G14" s="418">
        <f t="shared" si="4"/>
        <v>7263.2000000000007</v>
      </c>
      <c r="H14" s="610"/>
      <c r="I14" s="610"/>
      <c r="J14" s="420">
        <f t="shared" si="3"/>
        <v>0</v>
      </c>
      <c r="K14" s="420">
        <f t="shared" si="2"/>
        <v>7263.2000000000007</v>
      </c>
      <c r="L14" s="267"/>
      <c r="M14" s="415">
        <f t="shared" si="0"/>
        <v>26108.985300000069</v>
      </c>
      <c r="N14" s="6"/>
      <c r="O14" s="6"/>
    </row>
    <row r="15" spans="1:15" ht="15.75">
      <c r="A15" s="6">
        <v>12</v>
      </c>
      <c r="B15" s="75" t="s">
        <v>335</v>
      </c>
      <c r="C15" s="414" t="s">
        <v>336</v>
      </c>
      <c r="D15" s="441" t="s">
        <v>328</v>
      </c>
      <c r="E15" s="414">
        <v>100</v>
      </c>
      <c r="F15" s="414">
        <v>99.87</v>
      </c>
      <c r="G15" s="418">
        <f t="shared" si="4"/>
        <v>9987</v>
      </c>
      <c r="H15" s="610">
        <v>17</v>
      </c>
      <c r="I15" s="610">
        <v>112.06</v>
      </c>
      <c r="J15" s="420">
        <f t="shared" si="3"/>
        <v>1905.02</v>
      </c>
      <c r="K15" s="420">
        <f t="shared" si="2"/>
        <v>11892.02</v>
      </c>
      <c r="L15" s="414">
        <v>350000</v>
      </c>
      <c r="M15" s="415">
        <f t="shared" si="0"/>
        <v>364216.96530000004</v>
      </c>
      <c r="N15" s="6"/>
      <c r="O15" s="6"/>
    </row>
    <row r="16" spans="1:15" ht="15.75">
      <c r="A16" s="6">
        <v>13</v>
      </c>
      <c r="B16" s="75" t="s">
        <v>335</v>
      </c>
      <c r="C16" s="414" t="s">
        <v>337</v>
      </c>
      <c r="D16" s="440" t="s">
        <v>338</v>
      </c>
      <c r="E16" s="468">
        <v>1004.02</v>
      </c>
      <c r="F16" s="468">
        <v>99.6</v>
      </c>
      <c r="G16" s="418">
        <f t="shared" si="4"/>
        <v>100000.39199999999</v>
      </c>
      <c r="H16" s="610"/>
      <c r="I16" s="610"/>
      <c r="J16" s="420">
        <f t="shared" si="3"/>
        <v>0</v>
      </c>
      <c r="K16" s="420">
        <f t="shared" si="2"/>
        <v>100000.39199999999</v>
      </c>
      <c r="L16" s="358"/>
      <c r="M16" s="415">
        <f t="shared" si="0"/>
        <v>264216.57330000005</v>
      </c>
      <c r="N16" s="6"/>
      <c r="O16" s="6"/>
    </row>
    <row r="17" spans="1:15" ht="15.75">
      <c r="A17" s="6">
        <v>14</v>
      </c>
      <c r="B17" s="75" t="s">
        <v>335</v>
      </c>
      <c r="C17" s="414" t="s">
        <v>323</v>
      </c>
      <c r="D17" s="441" t="s">
        <v>324</v>
      </c>
      <c r="E17" s="414"/>
      <c r="F17" s="414"/>
      <c r="G17" s="418">
        <f t="shared" si="4"/>
        <v>0</v>
      </c>
      <c r="H17" s="610">
        <v>62.82</v>
      </c>
      <c r="I17" s="610">
        <v>115.62</v>
      </c>
      <c r="J17" s="420">
        <f t="shared" si="3"/>
        <v>7263.2484000000004</v>
      </c>
      <c r="K17" s="420">
        <f t="shared" si="2"/>
        <v>7263.2484000000004</v>
      </c>
      <c r="L17" s="63"/>
      <c r="M17" s="415">
        <f t="shared" si="0"/>
        <v>256953.32490000004</v>
      </c>
      <c r="N17" s="6"/>
      <c r="O17" s="6"/>
    </row>
    <row r="18" spans="1:15" ht="15.75">
      <c r="A18" s="6">
        <v>15</v>
      </c>
      <c r="B18" s="75" t="s">
        <v>339</v>
      </c>
      <c r="C18" s="414" t="s">
        <v>340</v>
      </c>
      <c r="D18" s="440" t="s">
        <v>341</v>
      </c>
      <c r="E18" s="414">
        <v>1697.7</v>
      </c>
      <c r="F18" s="414">
        <v>105.25</v>
      </c>
      <c r="G18" s="418">
        <f t="shared" si="4"/>
        <v>178682.92500000002</v>
      </c>
      <c r="H18" s="610"/>
      <c r="I18" s="610"/>
      <c r="J18" s="420">
        <f t="shared" si="3"/>
        <v>0</v>
      </c>
      <c r="K18" s="420">
        <f t="shared" si="2"/>
        <v>178682.92500000002</v>
      </c>
      <c r="L18" s="63"/>
      <c r="M18" s="415">
        <f t="shared" si="0"/>
        <v>78270.399900000019</v>
      </c>
      <c r="N18" s="6"/>
      <c r="O18" s="6"/>
    </row>
    <row r="19" spans="1:15" ht="15.75">
      <c r="A19" s="6">
        <v>16</v>
      </c>
      <c r="B19" s="75" t="s">
        <v>342</v>
      </c>
      <c r="C19" s="414" t="s">
        <v>327</v>
      </c>
      <c r="D19" s="441" t="s">
        <v>328</v>
      </c>
      <c r="E19" s="414">
        <v>4119.24</v>
      </c>
      <c r="F19" s="414">
        <v>99.29</v>
      </c>
      <c r="G19" s="418">
        <f t="shared" si="4"/>
        <v>408999.33960000001</v>
      </c>
      <c r="H19" s="610"/>
      <c r="I19" s="610"/>
      <c r="J19" s="420">
        <f t="shared" si="3"/>
        <v>0</v>
      </c>
      <c r="K19" s="420">
        <f t="shared" si="2"/>
        <v>408999.33960000001</v>
      </c>
      <c r="L19" s="63">
        <v>6827138</v>
      </c>
      <c r="M19" s="415">
        <f t="shared" si="0"/>
        <v>6496409.0603</v>
      </c>
      <c r="N19" s="6"/>
      <c r="O19" s="6"/>
    </row>
    <row r="20" spans="1:15" ht="15.75">
      <c r="A20" s="6">
        <v>17</v>
      </c>
      <c r="B20" s="75" t="s">
        <v>342</v>
      </c>
      <c r="C20" s="414" t="s">
        <v>343</v>
      </c>
      <c r="D20" s="467" t="s">
        <v>321</v>
      </c>
      <c r="E20" s="6">
        <v>6743.73</v>
      </c>
      <c r="F20" s="6">
        <v>103.8</v>
      </c>
      <c r="G20" s="418">
        <f t="shared" si="4"/>
        <v>699999.17399999988</v>
      </c>
      <c r="H20" s="610"/>
      <c r="I20" s="610"/>
      <c r="J20" s="420">
        <f t="shared" si="3"/>
        <v>0</v>
      </c>
      <c r="K20" s="420">
        <f t="shared" si="2"/>
        <v>699999.17399999988</v>
      </c>
      <c r="L20" s="63"/>
      <c r="M20" s="415">
        <f t="shared" si="0"/>
        <v>5796409.8863000004</v>
      </c>
      <c r="N20" s="6"/>
      <c r="O20" s="6"/>
    </row>
    <row r="21" spans="1:15" ht="15.75">
      <c r="A21" s="6">
        <v>18</v>
      </c>
      <c r="B21" s="75" t="s">
        <v>342</v>
      </c>
      <c r="C21" s="414" t="s">
        <v>337</v>
      </c>
      <c r="D21" s="467" t="s">
        <v>338</v>
      </c>
      <c r="E21" s="6">
        <v>3072.3</v>
      </c>
      <c r="F21" s="6">
        <v>99.6</v>
      </c>
      <c r="G21" s="418">
        <f t="shared" si="4"/>
        <v>306001.08</v>
      </c>
      <c r="H21" s="610"/>
      <c r="I21" s="610"/>
      <c r="J21" s="420">
        <f t="shared" si="3"/>
        <v>0</v>
      </c>
      <c r="K21" s="420">
        <f t="shared" si="2"/>
        <v>306001.08</v>
      </c>
      <c r="L21" s="63"/>
      <c r="M21" s="415">
        <f t="shared" si="0"/>
        <v>5490408.8063000003</v>
      </c>
      <c r="N21" s="6"/>
      <c r="O21" s="6"/>
    </row>
    <row r="22" spans="1:15" ht="15.75">
      <c r="A22" s="6">
        <v>19</v>
      </c>
      <c r="B22" s="75" t="s">
        <v>342</v>
      </c>
      <c r="C22" s="414" t="s">
        <v>329</v>
      </c>
      <c r="D22" s="467" t="s">
        <v>330</v>
      </c>
      <c r="E22" s="414">
        <v>4317</v>
      </c>
      <c r="F22" s="414">
        <v>99.14</v>
      </c>
      <c r="G22" s="418">
        <f t="shared" si="4"/>
        <v>427987.38</v>
      </c>
      <c r="H22" s="610"/>
      <c r="I22" s="610"/>
      <c r="J22" s="420">
        <f t="shared" si="3"/>
        <v>0</v>
      </c>
      <c r="K22" s="420">
        <f t="shared" si="2"/>
        <v>427987.38</v>
      </c>
      <c r="L22" s="63"/>
      <c r="M22" s="415">
        <f t="shared" si="0"/>
        <v>5062421.4263000004</v>
      </c>
      <c r="N22" s="6"/>
      <c r="O22" s="6"/>
    </row>
    <row r="23" spans="1:15" ht="15.75">
      <c r="A23" s="6">
        <v>20</v>
      </c>
      <c r="B23" s="75" t="s">
        <v>342</v>
      </c>
      <c r="C23" s="414" t="s">
        <v>344</v>
      </c>
      <c r="D23" s="467" t="s">
        <v>345</v>
      </c>
      <c r="E23" s="414">
        <v>4724.18</v>
      </c>
      <c r="F23" s="414">
        <v>99.7</v>
      </c>
      <c r="G23" s="418">
        <f t="shared" si="4"/>
        <v>471000.74600000004</v>
      </c>
      <c r="H23" s="610"/>
      <c r="I23" s="610"/>
      <c r="J23" s="420">
        <f t="shared" si="3"/>
        <v>0</v>
      </c>
      <c r="K23" s="420">
        <f t="shared" si="2"/>
        <v>471000.74600000004</v>
      </c>
      <c r="L23" s="63"/>
      <c r="M23" s="415">
        <f t="shared" si="0"/>
        <v>4591420.6803000001</v>
      </c>
      <c r="N23" s="6"/>
      <c r="O23" s="6"/>
    </row>
    <row r="24" spans="1:15" ht="15.75">
      <c r="A24" s="6">
        <v>21</v>
      </c>
      <c r="B24" s="75" t="s">
        <v>342</v>
      </c>
      <c r="C24" s="414" t="s">
        <v>346</v>
      </c>
      <c r="D24" s="440" t="s">
        <v>347</v>
      </c>
      <c r="E24" s="414">
        <v>7018.97</v>
      </c>
      <c r="F24" s="414">
        <v>99.73</v>
      </c>
      <c r="G24" s="418">
        <f t="shared" si="4"/>
        <v>700001.87810000009</v>
      </c>
      <c r="H24" s="610"/>
      <c r="I24" s="610"/>
      <c r="J24" s="420">
        <f t="shared" si="3"/>
        <v>0</v>
      </c>
      <c r="K24" s="420">
        <f t="shared" si="2"/>
        <v>700001.87810000009</v>
      </c>
      <c r="L24" s="63"/>
      <c r="M24" s="415">
        <f t="shared" si="0"/>
        <v>3891418.8021999998</v>
      </c>
      <c r="N24" s="6"/>
      <c r="O24" s="6"/>
    </row>
    <row r="25" spans="1:15" ht="15.75">
      <c r="A25" s="6">
        <v>22</v>
      </c>
      <c r="B25" s="75" t="s">
        <v>348</v>
      </c>
      <c r="C25" s="414" t="s">
        <v>343</v>
      </c>
      <c r="D25" s="467" t="s">
        <v>321</v>
      </c>
      <c r="E25" s="414">
        <v>30193.93</v>
      </c>
      <c r="F25" s="414">
        <v>103.8</v>
      </c>
      <c r="G25" s="418">
        <f t="shared" si="4"/>
        <v>3134129.9339999999</v>
      </c>
      <c r="H25" s="610"/>
      <c r="I25" s="610"/>
      <c r="J25" s="420">
        <f t="shared" si="3"/>
        <v>0</v>
      </c>
      <c r="K25" s="420">
        <f t="shared" si="2"/>
        <v>3134129.9339999999</v>
      </c>
      <c r="L25" s="63"/>
      <c r="M25" s="415">
        <f t="shared" si="0"/>
        <v>757288.86819999991</v>
      </c>
      <c r="N25" s="6"/>
      <c r="O25" s="6"/>
    </row>
    <row r="26" spans="1:15" ht="15.75">
      <c r="A26" s="6">
        <v>23</v>
      </c>
      <c r="B26" s="75" t="s">
        <v>348</v>
      </c>
      <c r="C26" s="414" t="s">
        <v>349</v>
      </c>
      <c r="D26" s="467" t="s">
        <v>350</v>
      </c>
      <c r="E26" s="414">
        <v>478.84</v>
      </c>
      <c r="F26" s="414">
        <v>104.42</v>
      </c>
      <c r="G26" s="418">
        <f t="shared" si="4"/>
        <v>50000.472799999996</v>
      </c>
      <c r="H26" s="610"/>
      <c r="I26" s="610"/>
      <c r="J26" s="420">
        <f t="shared" si="3"/>
        <v>0</v>
      </c>
      <c r="K26" s="420">
        <f t="shared" si="2"/>
        <v>50000.472799999996</v>
      </c>
      <c r="L26" s="63"/>
      <c r="M26" s="415">
        <f t="shared" si="0"/>
        <v>707288.39539999992</v>
      </c>
      <c r="N26" s="6"/>
      <c r="O26" s="6"/>
    </row>
    <row r="27" spans="1:15" ht="15.75">
      <c r="A27" s="6">
        <v>24</v>
      </c>
      <c r="B27" s="75" t="s">
        <v>348</v>
      </c>
      <c r="C27" s="414" t="s">
        <v>340</v>
      </c>
      <c r="D27" s="440" t="s">
        <v>341</v>
      </c>
      <c r="E27" s="414">
        <v>176.22</v>
      </c>
      <c r="F27" s="414">
        <v>105.25</v>
      </c>
      <c r="G27" s="418">
        <f t="shared" si="4"/>
        <v>18547.154999999999</v>
      </c>
      <c r="H27" s="610"/>
      <c r="I27" s="610"/>
      <c r="J27" s="420">
        <f t="shared" si="3"/>
        <v>0</v>
      </c>
      <c r="K27" s="420">
        <f t="shared" si="2"/>
        <v>18547.154999999999</v>
      </c>
      <c r="L27" s="63"/>
      <c r="M27" s="415">
        <f t="shared" si="0"/>
        <v>688741.24039999989</v>
      </c>
      <c r="N27" s="6"/>
      <c r="O27" s="6"/>
    </row>
    <row r="28" spans="1:15" ht="15.75">
      <c r="A28" s="6">
        <v>25</v>
      </c>
      <c r="B28" s="75" t="s">
        <v>348</v>
      </c>
      <c r="C28" s="414" t="s">
        <v>351</v>
      </c>
      <c r="D28" s="440" t="s">
        <v>352</v>
      </c>
      <c r="E28" s="414">
        <v>3019.62</v>
      </c>
      <c r="F28" s="414">
        <v>99.35</v>
      </c>
      <c r="G28" s="418">
        <f t="shared" si="4"/>
        <v>299999.24699999997</v>
      </c>
      <c r="H28" s="610"/>
      <c r="I28" s="610"/>
      <c r="J28" s="420">
        <f t="shared" si="3"/>
        <v>0</v>
      </c>
      <c r="K28" s="420">
        <f t="shared" si="2"/>
        <v>299999.24699999997</v>
      </c>
      <c r="L28" s="63"/>
      <c r="M28" s="415">
        <f t="shared" si="0"/>
        <v>388741.99339999992</v>
      </c>
      <c r="N28" s="6"/>
      <c r="O28" s="6"/>
    </row>
    <row r="29" spans="1:15" ht="15.75">
      <c r="A29" s="6">
        <v>26</v>
      </c>
      <c r="B29" s="75" t="s">
        <v>348</v>
      </c>
      <c r="C29" s="414" t="s">
        <v>336</v>
      </c>
      <c r="D29" s="440" t="s">
        <v>328</v>
      </c>
      <c r="E29" s="469">
        <v>200</v>
      </c>
      <c r="F29" s="469">
        <v>99.87</v>
      </c>
      <c r="G29" s="418">
        <f t="shared" si="4"/>
        <v>19974</v>
      </c>
      <c r="H29" s="610"/>
      <c r="I29" s="610"/>
      <c r="J29" s="420">
        <f t="shared" si="3"/>
        <v>0</v>
      </c>
      <c r="K29" s="420">
        <f t="shared" si="2"/>
        <v>19974</v>
      </c>
      <c r="L29" s="63"/>
      <c r="M29" s="415">
        <f t="shared" si="0"/>
        <v>368767.99339999992</v>
      </c>
      <c r="N29" s="6"/>
      <c r="O29" s="6"/>
    </row>
    <row r="30" spans="1:15" ht="15.75">
      <c r="A30" s="6">
        <v>27</v>
      </c>
      <c r="B30" s="75" t="s">
        <v>348</v>
      </c>
      <c r="C30" s="414" t="s">
        <v>323</v>
      </c>
      <c r="D30" s="440" t="s">
        <v>324</v>
      </c>
      <c r="E30" s="414">
        <v>70</v>
      </c>
      <c r="F30" s="414">
        <v>103.76</v>
      </c>
      <c r="G30" s="418">
        <f t="shared" si="4"/>
        <v>7263.2000000000007</v>
      </c>
      <c r="H30" s="610"/>
      <c r="I30" s="610"/>
      <c r="J30" s="420">
        <f t="shared" si="3"/>
        <v>0</v>
      </c>
      <c r="K30" s="420">
        <f t="shared" si="2"/>
        <v>7263.2000000000007</v>
      </c>
      <c r="L30" s="63"/>
      <c r="M30" s="415">
        <f t="shared" si="0"/>
        <v>361504.79339999991</v>
      </c>
      <c r="N30" s="6"/>
      <c r="O30" s="6"/>
    </row>
    <row r="31" spans="1:15" ht="15.75">
      <c r="A31" s="6">
        <v>28</v>
      </c>
      <c r="B31" s="75" t="s">
        <v>353</v>
      </c>
      <c r="C31" s="414" t="s">
        <v>336</v>
      </c>
      <c r="D31" s="440" t="s">
        <v>328</v>
      </c>
      <c r="E31" s="414">
        <v>29.17</v>
      </c>
      <c r="F31" s="414">
        <v>99.87</v>
      </c>
      <c r="G31" s="418">
        <f t="shared" si="4"/>
        <v>2913.2079000000003</v>
      </c>
      <c r="H31" s="610"/>
      <c r="I31" s="610"/>
      <c r="J31" s="420">
        <f t="shared" si="3"/>
        <v>0</v>
      </c>
      <c r="K31" s="420">
        <f t="shared" si="2"/>
        <v>2913.2079000000003</v>
      </c>
      <c r="L31" s="41"/>
      <c r="M31" s="415">
        <f t="shared" si="0"/>
        <v>358591.58549999993</v>
      </c>
      <c r="N31" s="6"/>
      <c r="O31" s="6"/>
    </row>
    <row r="32" spans="1:15" ht="15.75">
      <c r="A32" s="6">
        <v>29</v>
      </c>
      <c r="B32" s="75" t="s">
        <v>353</v>
      </c>
      <c r="C32" s="414" t="s">
        <v>323</v>
      </c>
      <c r="D32" s="440" t="s">
        <v>324</v>
      </c>
      <c r="E32" s="414">
        <v>140</v>
      </c>
      <c r="F32" s="414">
        <v>103.76</v>
      </c>
      <c r="G32" s="418">
        <f t="shared" si="4"/>
        <v>14526.400000000001</v>
      </c>
      <c r="H32" s="610"/>
      <c r="I32" s="610"/>
      <c r="J32" s="420">
        <f t="shared" si="3"/>
        <v>0</v>
      </c>
      <c r="K32" s="420">
        <f t="shared" si="2"/>
        <v>14526.400000000001</v>
      </c>
      <c r="L32" s="41"/>
      <c r="M32" s="415">
        <f t="shared" si="0"/>
        <v>344065.18549999991</v>
      </c>
      <c r="N32" s="6"/>
      <c r="O32" s="6"/>
    </row>
    <row r="33" spans="1:15" ht="15.75">
      <c r="A33" s="6">
        <v>30</v>
      </c>
      <c r="B33" s="75" t="s">
        <v>354</v>
      </c>
      <c r="C33" s="414" t="s">
        <v>323</v>
      </c>
      <c r="D33" s="440" t="s">
        <v>324</v>
      </c>
      <c r="E33" s="414">
        <v>70</v>
      </c>
      <c r="F33" s="414">
        <v>103.76</v>
      </c>
      <c r="G33" s="418">
        <f t="shared" si="4"/>
        <v>7263.2000000000007</v>
      </c>
      <c r="H33" s="419">
        <v>31.41</v>
      </c>
      <c r="I33" s="419">
        <v>115.62</v>
      </c>
      <c r="J33" s="420">
        <f t="shared" si="3"/>
        <v>3631.6242000000002</v>
      </c>
      <c r="K33" s="420">
        <f>G33+J33</f>
        <v>10894.824200000001</v>
      </c>
      <c r="L33" s="41"/>
      <c r="M33" s="415">
        <f t="shared" si="0"/>
        <v>333170.36129999993</v>
      </c>
      <c r="N33" s="6"/>
      <c r="O33" s="6"/>
    </row>
    <row r="34" spans="1:15" ht="15.75">
      <c r="A34" s="6">
        <v>31</v>
      </c>
      <c r="B34" s="75" t="s">
        <v>355</v>
      </c>
      <c r="C34" s="414" t="s">
        <v>336</v>
      </c>
      <c r="D34" s="440" t="s">
        <v>328</v>
      </c>
      <c r="E34" s="414">
        <v>200</v>
      </c>
      <c r="F34" s="414">
        <v>99.87</v>
      </c>
      <c r="G34" s="418">
        <f t="shared" si="4"/>
        <v>19974</v>
      </c>
      <c r="H34" s="610"/>
      <c r="I34" s="610"/>
      <c r="J34" s="420">
        <f t="shared" si="3"/>
        <v>0</v>
      </c>
      <c r="K34" s="420">
        <f>G34+J34</f>
        <v>19974</v>
      </c>
      <c r="L34" s="41"/>
      <c r="M34" s="415">
        <f t="shared" si="0"/>
        <v>313196.36129999993</v>
      </c>
      <c r="N34" s="6"/>
      <c r="O34" s="6"/>
    </row>
    <row r="35" spans="1:15" ht="15.75">
      <c r="A35" s="6">
        <v>32</v>
      </c>
      <c r="B35" s="75" t="s">
        <v>356</v>
      </c>
      <c r="C35" s="414" t="s">
        <v>323</v>
      </c>
      <c r="D35" s="440" t="s">
        <v>324</v>
      </c>
      <c r="E35" s="414">
        <v>70</v>
      </c>
      <c r="F35" s="414">
        <v>103.76</v>
      </c>
      <c r="G35" s="418">
        <f t="shared" si="4"/>
        <v>7263.2000000000007</v>
      </c>
      <c r="H35" s="610"/>
      <c r="I35" s="610"/>
      <c r="J35" s="420">
        <f t="shared" si="3"/>
        <v>0</v>
      </c>
      <c r="K35" s="420">
        <f t="shared" si="2"/>
        <v>7263.2000000000007</v>
      </c>
      <c r="L35" s="41"/>
      <c r="M35" s="415">
        <f t="shared" si="0"/>
        <v>305933.16129999992</v>
      </c>
      <c r="N35" s="6"/>
      <c r="O35" s="6"/>
    </row>
    <row r="36" spans="1:15" ht="15.75">
      <c r="A36" s="6">
        <v>33</v>
      </c>
      <c r="B36" s="75" t="s">
        <v>357</v>
      </c>
      <c r="C36" s="414" t="s">
        <v>323</v>
      </c>
      <c r="D36" s="440" t="s">
        <v>324</v>
      </c>
      <c r="E36" s="414">
        <v>50</v>
      </c>
      <c r="F36" s="414">
        <v>103.76</v>
      </c>
      <c r="G36" s="418">
        <f t="shared" si="4"/>
        <v>5188</v>
      </c>
      <c r="H36" s="610"/>
      <c r="I36" s="610"/>
      <c r="J36" s="420">
        <f t="shared" si="3"/>
        <v>0</v>
      </c>
      <c r="K36" s="420">
        <f t="shared" si="2"/>
        <v>5188</v>
      </c>
      <c r="L36" s="41"/>
      <c r="M36" s="415">
        <f t="shared" si="0"/>
        <v>300745.16129999992</v>
      </c>
      <c r="N36" s="6"/>
      <c r="O36" s="6"/>
    </row>
    <row r="37" spans="1:15" ht="15.75">
      <c r="A37" s="6">
        <v>34</v>
      </c>
      <c r="B37" s="75" t="s">
        <v>358</v>
      </c>
      <c r="C37" s="414" t="s">
        <v>340</v>
      </c>
      <c r="D37" s="440" t="s">
        <v>341</v>
      </c>
      <c r="E37" s="414">
        <v>1900.24</v>
      </c>
      <c r="F37" s="414">
        <v>105.25</v>
      </c>
      <c r="G37" s="418">
        <f t="shared" si="4"/>
        <v>200000.26</v>
      </c>
      <c r="H37" s="610"/>
      <c r="I37" s="610"/>
      <c r="J37" s="420">
        <f t="shared" si="3"/>
        <v>0</v>
      </c>
      <c r="K37" s="420">
        <f t="shared" si="2"/>
        <v>200000.26</v>
      </c>
      <c r="L37" s="41"/>
      <c r="M37" s="415">
        <f t="shared" si="0"/>
        <v>100744.90129999991</v>
      </c>
      <c r="N37" s="6"/>
      <c r="O37" s="6"/>
    </row>
    <row r="38" spans="1:15" ht="15.75">
      <c r="A38" s="6">
        <v>35</v>
      </c>
      <c r="B38" s="75" t="s">
        <v>358</v>
      </c>
      <c r="C38" s="414" t="s">
        <v>323</v>
      </c>
      <c r="D38" s="440" t="s">
        <v>324</v>
      </c>
      <c r="E38" s="414">
        <v>100</v>
      </c>
      <c r="F38" s="414">
        <v>103.76</v>
      </c>
      <c r="G38" s="418">
        <f t="shared" si="4"/>
        <v>10376</v>
      </c>
      <c r="H38" s="610"/>
      <c r="I38" s="419"/>
      <c r="J38" s="420">
        <f t="shared" si="3"/>
        <v>0</v>
      </c>
      <c r="K38" s="420">
        <f t="shared" si="2"/>
        <v>10376</v>
      </c>
      <c r="L38" s="41"/>
      <c r="M38" s="415">
        <f t="shared" si="0"/>
        <v>90368.90129999991</v>
      </c>
      <c r="N38" s="6"/>
      <c r="O38" s="6"/>
    </row>
    <row r="39" spans="1:15" ht="15.75">
      <c r="A39" s="6">
        <v>36</v>
      </c>
      <c r="B39" s="75" t="s">
        <v>359</v>
      </c>
      <c r="C39" s="414" t="s">
        <v>340</v>
      </c>
      <c r="D39" s="440" t="s">
        <v>341</v>
      </c>
      <c r="E39" s="414">
        <v>313.73</v>
      </c>
      <c r="F39" s="414">
        <v>105.25</v>
      </c>
      <c r="G39" s="418">
        <v>33020</v>
      </c>
      <c r="H39" s="610"/>
      <c r="I39" s="419"/>
      <c r="J39" s="420">
        <f t="shared" si="3"/>
        <v>0</v>
      </c>
      <c r="K39" s="420">
        <f t="shared" si="2"/>
        <v>33020</v>
      </c>
      <c r="L39" s="41"/>
      <c r="M39" s="415">
        <f t="shared" si="0"/>
        <v>57348.90129999991</v>
      </c>
      <c r="N39" s="6"/>
      <c r="O39" s="6"/>
    </row>
    <row r="40" spans="1:15" ht="15.75">
      <c r="A40" s="6">
        <v>37</v>
      </c>
      <c r="B40" s="75" t="s">
        <v>360</v>
      </c>
      <c r="C40" s="414" t="s">
        <v>323</v>
      </c>
      <c r="D40" s="440" t="s">
        <v>324</v>
      </c>
      <c r="E40" s="414">
        <v>100</v>
      </c>
      <c r="F40" s="414">
        <v>103.76</v>
      </c>
      <c r="G40" s="418">
        <f t="shared" si="4"/>
        <v>10376</v>
      </c>
      <c r="H40" s="610"/>
      <c r="I40" s="610"/>
      <c r="J40" s="420">
        <f t="shared" si="3"/>
        <v>0</v>
      </c>
      <c r="K40" s="420">
        <f t="shared" si="2"/>
        <v>10376</v>
      </c>
      <c r="L40" s="41"/>
      <c r="M40" s="415">
        <f t="shared" si="0"/>
        <v>46972.90129999991</v>
      </c>
      <c r="N40" s="6"/>
      <c r="O40" s="6"/>
    </row>
    <row r="41" spans="1:15" ht="15.75">
      <c r="A41" s="6">
        <v>38</v>
      </c>
      <c r="B41" s="75" t="s">
        <v>360</v>
      </c>
      <c r="C41" s="414" t="s">
        <v>327</v>
      </c>
      <c r="D41" s="440" t="s">
        <v>328</v>
      </c>
      <c r="E41" s="414">
        <v>4028.6</v>
      </c>
      <c r="F41" s="414">
        <v>99.29</v>
      </c>
      <c r="G41" s="554">
        <f t="shared" si="4"/>
        <v>399999.69400000002</v>
      </c>
      <c r="H41" s="610"/>
      <c r="I41" s="610"/>
      <c r="J41" s="420">
        <f t="shared" si="3"/>
        <v>0</v>
      </c>
      <c r="K41" s="420">
        <f t="shared" si="2"/>
        <v>399999.69400000002</v>
      </c>
      <c r="L41" s="41"/>
      <c r="M41" s="415">
        <f t="shared" si="0"/>
        <v>-353026.79270000011</v>
      </c>
      <c r="N41" s="6"/>
      <c r="O41" s="6"/>
    </row>
    <row r="42" spans="1:15" ht="15.75">
      <c r="A42" s="6">
        <v>39</v>
      </c>
      <c r="B42" s="75" t="s">
        <v>360</v>
      </c>
      <c r="C42" s="414" t="s">
        <v>329</v>
      </c>
      <c r="D42" s="467" t="s">
        <v>330</v>
      </c>
      <c r="E42" s="414">
        <v>4034.71</v>
      </c>
      <c r="F42" s="414">
        <v>99.14</v>
      </c>
      <c r="G42" s="554">
        <f t="shared" si="4"/>
        <v>400001.14939999999</v>
      </c>
      <c r="H42" s="610"/>
      <c r="I42" s="610"/>
      <c r="J42" s="420">
        <f t="shared" si="3"/>
        <v>0</v>
      </c>
      <c r="K42" s="420">
        <f t="shared" si="2"/>
        <v>400001.14939999999</v>
      </c>
      <c r="L42" s="41"/>
      <c r="M42" s="415">
        <f t="shared" si="0"/>
        <v>-753027.9421000001</v>
      </c>
      <c r="N42" s="6"/>
      <c r="O42" s="6"/>
    </row>
    <row r="43" spans="1:15" ht="15.75">
      <c r="A43" s="6">
        <v>40</v>
      </c>
      <c r="B43" s="75" t="s">
        <v>361</v>
      </c>
      <c r="C43" s="414" t="s">
        <v>336</v>
      </c>
      <c r="D43" s="440" t="s">
        <v>328</v>
      </c>
      <c r="E43" s="414">
        <v>160</v>
      </c>
      <c r="F43" s="414">
        <v>99.87</v>
      </c>
      <c r="G43" s="418">
        <f t="shared" si="4"/>
        <v>15979.2</v>
      </c>
      <c r="H43" s="610">
        <v>35</v>
      </c>
      <c r="I43" s="610">
        <v>112.06</v>
      </c>
      <c r="J43" s="420">
        <f t="shared" si="3"/>
        <v>3922.1</v>
      </c>
      <c r="K43" s="420">
        <f t="shared" si="2"/>
        <v>19901.3</v>
      </c>
      <c r="L43" s="41"/>
      <c r="M43" s="415">
        <f t="shared" si="0"/>
        <v>-772929.24210000015</v>
      </c>
      <c r="N43" s="6"/>
      <c r="O43" s="6"/>
    </row>
    <row r="44" spans="1:15" ht="15.75">
      <c r="A44" s="6">
        <v>41</v>
      </c>
      <c r="B44" s="75" t="s">
        <v>362</v>
      </c>
      <c r="C44" s="414" t="s">
        <v>323</v>
      </c>
      <c r="D44" s="440" t="s">
        <v>324</v>
      </c>
      <c r="E44" s="414">
        <v>70</v>
      </c>
      <c r="F44" s="414">
        <v>103.76</v>
      </c>
      <c r="G44" s="418">
        <f t="shared" si="4"/>
        <v>7263.2000000000007</v>
      </c>
      <c r="H44" s="610"/>
      <c r="I44" s="610"/>
      <c r="J44" s="420">
        <f t="shared" si="3"/>
        <v>0</v>
      </c>
      <c r="K44" s="420">
        <f t="shared" si="2"/>
        <v>7263.2000000000007</v>
      </c>
      <c r="L44" s="41"/>
      <c r="M44" s="415">
        <f t="shared" si="0"/>
        <v>-780192.4421000001</v>
      </c>
      <c r="N44" s="6"/>
      <c r="O44" s="6"/>
    </row>
    <row r="45" spans="1:15" ht="15.75">
      <c r="A45" s="6">
        <v>42</v>
      </c>
      <c r="B45" s="75"/>
      <c r="C45" s="414"/>
      <c r="D45" s="440"/>
      <c r="F45" s="414"/>
      <c r="G45" s="418">
        <f t="shared" si="4"/>
        <v>0</v>
      </c>
      <c r="H45" s="610"/>
      <c r="I45" s="610"/>
      <c r="J45" s="420">
        <f t="shared" si="3"/>
        <v>0</v>
      </c>
      <c r="K45" s="420">
        <f t="shared" si="2"/>
        <v>0</v>
      </c>
      <c r="L45" s="41"/>
      <c r="M45" s="415">
        <f t="shared" si="0"/>
        <v>-780192.4421000001</v>
      </c>
      <c r="N45" s="6"/>
      <c r="O45" s="6"/>
    </row>
    <row r="46" spans="1:15" ht="15.75">
      <c r="A46" s="6">
        <v>43</v>
      </c>
      <c r="B46" s="75"/>
      <c r="C46" s="414"/>
      <c r="D46" s="440"/>
      <c r="E46" s="414"/>
      <c r="F46" s="414"/>
      <c r="G46" s="418">
        <f t="shared" si="4"/>
        <v>0</v>
      </c>
      <c r="H46" s="610"/>
      <c r="I46" s="610"/>
      <c r="J46" s="420">
        <f t="shared" si="3"/>
        <v>0</v>
      </c>
      <c r="K46" s="420">
        <f t="shared" si="2"/>
        <v>0</v>
      </c>
      <c r="L46" s="41"/>
      <c r="M46" s="415">
        <f t="shared" si="0"/>
        <v>-780192.4421000001</v>
      </c>
      <c r="N46" s="6"/>
      <c r="O46" s="6"/>
    </row>
    <row r="47" spans="1:15" ht="15.75">
      <c r="A47" s="6">
        <v>44</v>
      </c>
      <c r="B47" s="75"/>
      <c r="C47" s="414"/>
      <c r="D47" s="440"/>
      <c r="E47" s="414"/>
      <c r="F47" s="414"/>
      <c r="G47" s="418">
        <f t="shared" si="4"/>
        <v>0</v>
      </c>
      <c r="H47" s="610"/>
      <c r="I47" s="610"/>
      <c r="J47" s="420">
        <f t="shared" si="3"/>
        <v>0</v>
      </c>
      <c r="K47" s="420">
        <f t="shared" si="2"/>
        <v>0</v>
      </c>
      <c r="L47" s="44"/>
      <c r="M47" s="415">
        <f t="shared" si="0"/>
        <v>-780192.4421000001</v>
      </c>
      <c r="N47" s="6"/>
      <c r="O47" s="6"/>
    </row>
    <row r="48" spans="1:15" ht="15.75">
      <c r="A48" s="6">
        <v>45</v>
      </c>
      <c r="B48" s="75"/>
      <c r="C48" s="414"/>
      <c r="D48" s="440"/>
      <c r="E48" s="414"/>
      <c r="F48" s="414"/>
      <c r="G48" s="418">
        <f t="shared" si="4"/>
        <v>0</v>
      </c>
      <c r="H48" s="610"/>
      <c r="I48" s="610"/>
      <c r="J48" s="420">
        <f t="shared" si="3"/>
        <v>0</v>
      </c>
      <c r="K48" s="420">
        <f t="shared" si="2"/>
        <v>0</v>
      </c>
      <c r="L48" s="44"/>
      <c r="M48" s="415">
        <f t="shared" si="0"/>
        <v>-780192.4421000001</v>
      </c>
      <c r="N48" s="6"/>
      <c r="O48" s="6"/>
    </row>
    <row r="49" spans="1:15" ht="15.75">
      <c r="A49" s="6">
        <v>46</v>
      </c>
      <c r="B49" s="75"/>
      <c r="C49" s="414"/>
      <c r="D49" s="440"/>
      <c r="E49" s="414"/>
      <c r="F49" s="414"/>
      <c r="G49" s="418">
        <f t="shared" si="4"/>
        <v>0</v>
      </c>
      <c r="H49" s="610"/>
      <c r="I49" s="610"/>
      <c r="J49" s="420">
        <f t="shared" si="3"/>
        <v>0</v>
      </c>
      <c r="K49" s="420">
        <f t="shared" si="2"/>
        <v>0</v>
      </c>
      <c r="L49" s="44"/>
      <c r="M49" s="415">
        <f t="shared" si="0"/>
        <v>-780192.4421000001</v>
      </c>
      <c r="N49" s="6"/>
      <c r="O49" s="6"/>
    </row>
    <row r="50" spans="1:15" ht="15.75">
      <c r="A50" s="6">
        <v>47</v>
      </c>
      <c r="B50" s="75"/>
      <c r="C50" s="414"/>
      <c r="D50" s="440"/>
      <c r="E50" s="414"/>
      <c r="F50" s="414"/>
      <c r="G50" s="418">
        <f t="shared" si="4"/>
        <v>0</v>
      </c>
      <c r="H50" s="610"/>
      <c r="I50" s="610"/>
      <c r="J50" s="420">
        <f t="shared" si="3"/>
        <v>0</v>
      </c>
      <c r="K50" s="420">
        <f t="shared" si="2"/>
        <v>0</v>
      </c>
      <c r="L50" s="44"/>
      <c r="M50" s="415">
        <f t="shared" si="0"/>
        <v>-780192.4421000001</v>
      </c>
      <c r="N50" s="6"/>
      <c r="O50" s="6"/>
    </row>
    <row r="51" spans="1:15" ht="15.75">
      <c r="A51" s="6">
        <v>48</v>
      </c>
      <c r="B51" s="75"/>
      <c r="C51" s="414"/>
      <c r="D51" s="440"/>
      <c r="E51" s="414"/>
      <c r="F51" s="414"/>
      <c r="G51" s="418">
        <f t="shared" si="4"/>
        <v>0</v>
      </c>
      <c r="H51" s="414"/>
      <c r="I51" s="414"/>
      <c r="J51" s="420">
        <f t="shared" si="3"/>
        <v>0</v>
      </c>
      <c r="K51" s="420">
        <f t="shared" si="2"/>
        <v>0</v>
      </c>
      <c r="L51" s="44"/>
      <c r="M51" s="415">
        <f t="shared" si="0"/>
        <v>-780192.4421000001</v>
      </c>
      <c r="N51" s="6"/>
      <c r="O51" s="6"/>
    </row>
    <row r="52" spans="1:15" ht="15.75">
      <c r="A52" s="6">
        <v>49</v>
      </c>
      <c r="B52" s="75"/>
      <c r="C52" s="414"/>
      <c r="D52" s="440"/>
      <c r="E52" s="414"/>
      <c r="F52" s="414"/>
      <c r="G52" s="418">
        <f t="shared" si="4"/>
        <v>0</v>
      </c>
      <c r="H52" s="414"/>
      <c r="I52" s="414"/>
      <c r="J52" s="420">
        <f t="shared" si="3"/>
        <v>0</v>
      </c>
      <c r="K52" s="420">
        <f t="shared" si="2"/>
        <v>0</v>
      </c>
      <c r="L52" s="44"/>
      <c r="M52" s="415">
        <f t="shared" si="0"/>
        <v>-780192.4421000001</v>
      </c>
      <c r="N52" s="6"/>
      <c r="O52" s="6"/>
    </row>
    <row r="53" spans="1:15" ht="15.75">
      <c r="A53" s="6">
        <v>50</v>
      </c>
      <c r="B53" s="75"/>
      <c r="C53" s="414"/>
      <c r="D53" s="440"/>
      <c r="E53" s="414"/>
      <c r="F53" s="414"/>
      <c r="G53" s="418">
        <f t="shared" si="4"/>
        <v>0</v>
      </c>
      <c r="H53" s="414"/>
      <c r="I53" s="414"/>
      <c r="J53" s="420">
        <f t="shared" si="3"/>
        <v>0</v>
      </c>
      <c r="K53" s="420">
        <f t="shared" si="2"/>
        <v>0</v>
      </c>
      <c r="L53" s="44"/>
      <c r="M53" s="415">
        <f t="shared" si="0"/>
        <v>-780192.4421000001</v>
      </c>
      <c r="N53" s="6"/>
      <c r="O53" s="6"/>
    </row>
    <row r="54" spans="1:15" ht="15.75">
      <c r="A54" s="6">
        <v>51</v>
      </c>
      <c r="B54" s="75"/>
      <c r="C54" s="414"/>
      <c r="D54" s="440"/>
      <c r="E54" s="414"/>
      <c r="F54" s="414"/>
      <c r="G54" s="418">
        <f t="shared" si="4"/>
        <v>0</v>
      </c>
      <c r="H54" s="414"/>
      <c r="I54" s="414"/>
      <c r="J54" s="420">
        <f t="shared" si="3"/>
        <v>0</v>
      </c>
      <c r="K54" s="420">
        <f t="shared" si="2"/>
        <v>0</v>
      </c>
      <c r="L54" s="44"/>
      <c r="M54" s="415">
        <f t="shared" si="0"/>
        <v>-780192.4421000001</v>
      </c>
      <c r="N54" s="6"/>
      <c r="O54" s="6"/>
    </row>
    <row r="55" spans="1:15" ht="15.75">
      <c r="A55" s="6">
        <v>52</v>
      </c>
      <c r="B55" s="75"/>
      <c r="C55" s="414"/>
      <c r="D55" s="440"/>
      <c r="E55" s="414"/>
      <c r="F55" s="414"/>
      <c r="G55" s="418">
        <f t="shared" si="4"/>
        <v>0</v>
      </c>
      <c r="H55" s="414"/>
      <c r="I55" s="414"/>
      <c r="J55" s="420">
        <f t="shared" si="3"/>
        <v>0</v>
      </c>
      <c r="K55" s="420">
        <f t="shared" si="2"/>
        <v>0</v>
      </c>
      <c r="L55" s="44"/>
      <c r="M55" s="415">
        <f t="shared" si="0"/>
        <v>-780192.4421000001</v>
      </c>
      <c r="N55" s="6"/>
      <c r="O55" s="6"/>
    </row>
    <row r="56" spans="1:15" ht="15.75">
      <c r="A56" s="6">
        <v>53</v>
      </c>
      <c r="B56" s="75"/>
      <c r="C56" s="414"/>
      <c r="D56" s="440"/>
      <c r="E56" s="414"/>
      <c r="F56" s="414"/>
      <c r="G56" s="414"/>
      <c r="H56" s="414"/>
      <c r="I56" s="414"/>
      <c r="J56" s="414"/>
      <c r="K56" s="420"/>
      <c r="L56" s="44"/>
      <c r="M56" s="415">
        <f t="shared" si="0"/>
        <v>-780192.4421000001</v>
      </c>
      <c r="N56" s="6"/>
      <c r="O56" s="6"/>
    </row>
    <row r="57" spans="1:15" ht="15.75">
      <c r="A57" s="6">
        <v>54</v>
      </c>
      <c r="B57" s="75"/>
      <c r="C57" s="414"/>
      <c r="D57" s="440"/>
      <c r="E57" s="414"/>
      <c r="F57" s="414"/>
      <c r="G57" s="414"/>
      <c r="H57" s="414"/>
      <c r="I57" s="414"/>
      <c r="J57" s="414"/>
      <c r="K57" s="420"/>
      <c r="L57" s="44"/>
      <c r="M57" s="415">
        <f t="shared" si="0"/>
        <v>-780192.4421000001</v>
      </c>
      <c r="N57" s="6"/>
      <c r="O57" s="6"/>
    </row>
    <row r="58" spans="1:15" ht="15.75">
      <c r="A58" s="6">
        <v>55</v>
      </c>
      <c r="B58" s="75"/>
      <c r="C58" s="414"/>
      <c r="D58" s="440"/>
      <c r="E58" s="414"/>
      <c r="F58" s="414"/>
      <c r="G58" s="414"/>
      <c r="H58" s="414"/>
      <c r="I58" s="414"/>
      <c r="J58" s="414"/>
      <c r="K58" s="420"/>
      <c r="L58" s="44"/>
      <c r="M58" s="415"/>
      <c r="N58" s="6"/>
      <c r="O58" s="6"/>
    </row>
    <row r="59" spans="1:15" ht="15.75">
      <c r="A59" s="6">
        <v>56</v>
      </c>
      <c r="B59" s="75"/>
      <c r="C59" s="414"/>
      <c r="D59" s="440"/>
      <c r="E59" s="414"/>
      <c r="F59" s="414"/>
      <c r="G59" s="414"/>
      <c r="H59" s="414"/>
      <c r="I59" s="414"/>
      <c r="J59" s="414"/>
      <c r="K59" s="420"/>
      <c r="L59" s="44"/>
      <c r="M59" s="415"/>
      <c r="N59" s="6"/>
      <c r="O59" s="6"/>
    </row>
    <row r="60" spans="1:15" ht="15.75">
      <c r="A60" s="6">
        <v>57</v>
      </c>
      <c r="B60" s="75"/>
      <c r="C60" s="414"/>
      <c r="D60" s="440"/>
      <c r="E60" s="414"/>
      <c r="F60" s="414"/>
      <c r="G60" s="414"/>
      <c r="H60" s="414"/>
      <c r="I60" s="414"/>
      <c r="J60" s="414"/>
      <c r="K60" s="420"/>
      <c r="L60" s="44"/>
      <c r="M60" s="415"/>
      <c r="N60" s="6"/>
      <c r="O60" s="6"/>
    </row>
    <row r="61" spans="1:15" ht="15.75">
      <c r="A61" s="6">
        <v>58</v>
      </c>
      <c r="B61" s="75"/>
      <c r="C61" s="414"/>
      <c r="D61" s="440"/>
      <c r="E61" s="414"/>
      <c r="F61" s="414"/>
      <c r="G61" s="414"/>
      <c r="H61" s="414"/>
      <c r="I61" s="414"/>
      <c r="J61" s="414"/>
      <c r="K61" s="420"/>
      <c r="L61" s="44"/>
      <c r="M61" s="415"/>
      <c r="N61" s="6"/>
      <c r="O61" s="6"/>
    </row>
    <row r="62" spans="1:15" ht="15.75">
      <c r="A62" s="6">
        <v>59</v>
      </c>
      <c r="B62" s="75"/>
      <c r="C62" s="414"/>
      <c r="D62" s="440"/>
      <c r="E62" s="414"/>
      <c r="F62" s="414"/>
      <c r="G62" s="414"/>
      <c r="H62" s="414"/>
      <c r="I62" s="414"/>
      <c r="J62" s="414"/>
      <c r="K62" s="420"/>
      <c r="L62" s="44"/>
      <c r="M62" s="415"/>
      <c r="N62" s="6"/>
      <c r="O62" s="6"/>
    </row>
    <row r="63" spans="1:15" ht="15.75">
      <c r="A63" s="6">
        <v>60</v>
      </c>
      <c r="B63" s="75"/>
      <c r="C63" s="414"/>
      <c r="D63" s="440"/>
      <c r="E63" s="414"/>
      <c r="F63" s="414"/>
      <c r="G63" s="414"/>
      <c r="H63" s="414"/>
      <c r="I63" s="414"/>
      <c r="J63" s="414"/>
      <c r="K63" s="420"/>
      <c r="L63" s="44"/>
      <c r="M63" s="415"/>
      <c r="N63" s="6"/>
      <c r="O63" s="6"/>
    </row>
    <row r="64" spans="1:15" ht="15.75">
      <c r="A64" s="6">
        <v>61</v>
      </c>
      <c r="B64" s="75"/>
      <c r="C64" s="414"/>
      <c r="D64" s="440"/>
      <c r="E64" s="414"/>
      <c r="F64" s="414"/>
      <c r="G64" s="414"/>
      <c r="H64" s="414"/>
      <c r="I64" s="414"/>
      <c r="J64" s="414"/>
      <c r="K64" s="420"/>
      <c r="L64" s="44"/>
      <c r="M64" s="415"/>
      <c r="N64" s="6"/>
      <c r="O64" s="6"/>
    </row>
    <row r="65" spans="1:15" ht="15.75">
      <c r="A65" s="6">
        <v>62</v>
      </c>
      <c r="B65" s="75"/>
      <c r="C65" s="414"/>
      <c r="D65" s="440"/>
      <c r="E65" s="414"/>
      <c r="F65" s="414"/>
      <c r="G65" s="414"/>
      <c r="H65" s="414"/>
      <c r="I65" s="414"/>
      <c r="J65" s="414"/>
      <c r="K65" s="420"/>
      <c r="L65" s="44"/>
      <c r="M65" s="415"/>
      <c r="N65" s="6"/>
      <c r="O65" s="6"/>
    </row>
    <row r="66" spans="1:15" ht="15.75">
      <c r="A66" s="6">
        <v>63</v>
      </c>
      <c r="B66" s="75"/>
      <c r="C66" s="414"/>
      <c r="D66" s="440"/>
      <c r="E66" s="414"/>
      <c r="F66" s="414"/>
      <c r="G66" s="414"/>
      <c r="H66" s="414"/>
      <c r="I66" s="414"/>
      <c r="J66" s="414"/>
      <c r="K66" s="420"/>
      <c r="L66" s="44"/>
      <c r="M66" s="415"/>
      <c r="N66" s="6"/>
      <c r="O66" s="6"/>
    </row>
    <row r="67" spans="1:15" ht="15.75">
      <c r="A67" s="6">
        <v>64</v>
      </c>
      <c r="B67" s="75"/>
      <c r="C67" s="414"/>
      <c r="D67" s="440"/>
      <c r="E67" s="414"/>
      <c r="F67" s="414"/>
      <c r="G67" s="414"/>
      <c r="H67" s="414"/>
      <c r="I67" s="414"/>
      <c r="J67" s="414"/>
      <c r="K67" s="420"/>
      <c r="L67" s="44"/>
      <c r="M67" s="415"/>
      <c r="N67" s="6"/>
      <c r="O67" s="6"/>
    </row>
    <row r="68" spans="1:15" ht="15.75">
      <c r="A68" s="6">
        <v>65</v>
      </c>
      <c r="B68" s="75"/>
      <c r="C68" s="414"/>
      <c r="D68" s="440"/>
      <c r="E68" s="414"/>
      <c r="F68" s="414"/>
      <c r="G68" s="414"/>
      <c r="H68" s="414"/>
      <c r="I68" s="414"/>
      <c r="J68" s="414"/>
      <c r="K68" s="420"/>
      <c r="L68" s="44"/>
      <c r="M68" s="415"/>
      <c r="N68" s="6"/>
      <c r="O68" s="6"/>
    </row>
    <row r="69" spans="1:15" ht="15.75">
      <c r="A69" s="6">
        <v>66</v>
      </c>
      <c r="B69" s="75"/>
      <c r="C69" s="414"/>
      <c r="D69" s="440"/>
      <c r="E69" s="414"/>
      <c r="F69" s="414"/>
      <c r="G69" s="414"/>
      <c r="H69" s="414"/>
      <c r="I69" s="414"/>
      <c r="J69" s="414"/>
      <c r="K69" s="420"/>
      <c r="L69" s="44"/>
      <c r="M69" s="415"/>
      <c r="N69" s="6"/>
      <c r="O69" s="6"/>
    </row>
    <row r="70" spans="1:15" ht="15.75">
      <c r="A70" s="6">
        <v>67</v>
      </c>
      <c r="B70" s="75"/>
      <c r="C70" s="414"/>
      <c r="D70" s="440"/>
      <c r="E70" s="414"/>
      <c r="F70" s="414"/>
      <c r="G70" s="414"/>
      <c r="H70" s="414"/>
      <c r="I70" s="414"/>
      <c r="J70" s="414"/>
      <c r="K70" s="420"/>
      <c r="L70" s="44"/>
      <c r="M70" s="415"/>
      <c r="N70" s="6"/>
      <c r="O70" s="6"/>
    </row>
    <row r="71" spans="1:15" ht="15.75">
      <c r="A71" s="6">
        <v>68</v>
      </c>
      <c r="B71" s="75"/>
      <c r="C71" s="414"/>
      <c r="D71" s="440"/>
      <c r="E71" s="414"/>
      <c r="F71" s="414"/>
      <c r="G71" s="414"/>
      <c r="H71" s="610"/>
      <c r="I71" s="610"/>
      <c r="J71" s="414"/>
      <c r="K71" s="420"/>
      <c r="L71" s="44"/>
      <c r="M71" s="415"/>
      <c r="N71" s="6"/>
      <c r="O71" s="6"/>
    </row>
    <row r="72" spans="1:15" ht="15.75">
      <c r="A72" s="6">
        <v>69</v>
      </c>
      <c r="B72" s="75"/>
      <c r="C72" s="414"/>
      <c r="D72" s="440"/>
      <c r="E72" s="414"/>
      <c r="F72" s="414"/>
      <c r="G72" s="414"/>
      <c r="H72" s="610"/>
      <c r="I72" s="610"/>
      <c r="J72" s="414"/>
      <c r="K72" s="420"/>
      <c r="L72" s="44"/>
      <c r="M72" s="415"/>
      <c r="N72" s="6"/>
      <c r="O72" s="6"/>
    </row>
    <row r="73" spans="1:15" ht="15.75">
      <c r="A73" s="6">
        <v>70</v>
      </c>
      <c r="B73" s="75"/>
      <c r="C73" s="414"/>
      <c r="D73" s="440"/>
      <c r="E73" s="414"/>
      <c r="F73" s="414"/>
      <c r="G73" s="414"/>
      <c r="H73" s="611"/>
      <c r="I73" s="611"/>
      <c r="J73" s="414"/>
      <c r="K73" s="420"/>
      <c r="L73" s="44"/>
      <c r="M73" s="415"/>
      <c r="N73" s="6"/>
      <c r="O73" s="6"/>
    </row>
    <row r="74" spans="1:15" ht="15.75">
      <c r="A74" s="6">
        <v>71</v>
      </c>
      <c r="B74" s="75"/>
      <c r="C74" s="414"/>
      <c r="D74" s="414"/>
      <c r="E74" s="414"/>
      <c r="F74" s="414"/>
      <c r="G74" s="414"/>
      <c r="H74" s="611"/>
      <c r="I74" s="611"/>
      <c r="J74" s="414"/>
      <c r="K74" s="420"/>
      <c r="L74" s="44"/>
      <c r="M74" s="415"/>
      <c r="N74" s="6"/>
      <c r="O74" s="6"/>
    </row>
    <row r="75" spans="1:15" ht="15.75">
      <c r="A75" s="6">
        <v>72</v>
      </c>
      <c r="B75" s="75"/>
      <c r="C75" s="414"/>
      <c r="D75" s="414"/>
      <c r="E75" s="414"/>
      <c r="F75" s="414"/>
      <c r="G75" s="414"/>
      <c r="H75" s="611"/>
      <c r="I75" s="611"/>
      <c r="J75" s="414"/>
      <c r="K75" s="420"/>
      <c r="L75" s="44"/>
      <c r="M75" s="415"/>
      <c r="N75" s="6"/>
      <c r="O75" s="6"/>
    </row>
    <row r="76" spans="1:15" ht="15.75">
      <c r="A76" s="6">
        <v>73</v>
      </c>
      <c r="B76" s="75"/>
      <c r="C76" s="414"/>
      <c r="D76" s="414"/>
      <c r="E76" s="414"/>
      <c r="F76" s="414"/>
      <c r="G76" s="414"/>
      <c r="H76" s="611"/>
      <c r="I76" s="611"/>
      <c r="J76" s="414"/>
      <c r="K76" s="420"/>
      <c r="L76" s="44"/>
      <c r="M76" s="415"/>
      <c r="N76" s="6"/>
      <c r="O76" s="6"/>
    </row>
    <row r="77" spans="1:15" ht="15.75">
      <c r="A77" s="6">
        <v>74</v>
      </c>
      <c r="B77" s="75"/>
      <c r="C77" s="414"/>
      <c r="D77" s="414"/>
      <c r="E77" s="414"/>
      <c r="F77" s="414"/>
      <c r="G77" s="414"/>
      <c r="H77" s="419"/>
      <c r="I77" s="419"/>
      <c r="J77" s="414"/>
      <c r="K77" s="420"/>
      <c r="L77" s="44"/>
      <c r="M77" s="415"/>
      <c r="N77" s="6"/>
      <c r="O77" s="6"/>
    </row>
    <row r="78" spans="1:15" ht="15.75">
      <c r="A78" s="6">
        <v>75</v>
      </c>
      <c r="B78" s="75"/>
      <c r="C78" s="414"/>
      <c r="D78" s="414"/>
      <c r="E78" s="414"/>
      <c r="F78" s="414"/>
      <c r="G78" s="414"/>
      <c r="H78" s="611"/>
      <c r="I78" s="611"/>
      <c r="J78" s="414"/>
      <c r="K78" s="420"/>
      <c r="L78" s="44"/>
      <c r="M78" s="415"/>
      <c r="N78" s="6"/>
      <c r="O78" s="6"/>
    </row>
    <row r="79" spans="1:15" ht="15.75">
      <c r="A79" s="6">
        <v>76</v>
      </c>
      <c r="B79" s="75"/>
      <c r="C79" s="414"/>
      <c r="D79" s="414"/>
      <c r="E79" s="414"/>
      <c r="F79" s="414"/>
      <c r="G79" s="414"/>
      <c r="H79" s="611"/>
      <c r="I79" s="611"/>
      <c r="J79" s="414"/>
      <c r="K79" s="420"/>
      <c r="L79" s="44"/>
      <c r="M79" s="415"/>
      <c r="N79" s="6"/>
      <c r="O79" s="63"/>
    </row>
    <row r="80" spans="1:15" ht="15.75">
      <c r="A80" s="6">
        <v>77</v>
      </c>
      <c r="B80" s="416"/>
      <c r="C80" s="414"/>
      <c r="D80" s="414"/>
      <c r="E80" s="414"/>
      <c r="F80" s="414"/>
      <c r="G80" s="414"/>
      <c r="H80" s="612"/>
      <c r="I80" s="612"/>
      <c r="J80" s="414"/>
      <c r="K80" s="420"/>
      <c r="L80" s="44"/>
      <c r="M80" s="415"/>
      <c r="N80" s="162"/>
      <c r="O80" s="162"/>
    </row>
    <row r="81" spans="1:15" ht="15.75">
      <c r="A81" s="6">
        <v>78</v>
      </c>
      <c r="B81" s="416"/>
      <c r="C81" s="414"/>
      <c r="D81" s="414"/>
      <c r="E81" s="414"/>
      <c r="F81" s="414"/>
      <c r="G81" s="414"/>
      <c r="H81" s="419"/>
      <c r="I81" s="419"/>
      <c r="J81" s="414"/>
      <c r="K81" s="420"/>
      <c r="L81" s="44"/>
      <c r="M81" s="415"/>
      <c r="N81" s="162"/>
      <c r="O81" s="162"/>
    </row>
    <row r="82" spans="1:15" ht="15.75">
      <c r="A82" s="6">
        <v>79</v>
      </c>
      <c r="B82" s="417"/>
      <c r="C82" s="414"/>
      <c r="D82" s="414"/>
      <c r="E82" s="414"/>
      <c r="F82" s="414"/>
      <c r="G82" s="414"/>
      <c r="H82" s="611"/>
      <c r="I82" s="611"/>
      <c r="J82" s="414"/>
      <c r="K82" s="420"/>
      <c r="L82" s="44"/>
      <c r="M82" s="415"/>
      <c r="N82" s="6"/>
      <c r="O82" s="6"/>
    </row>
    <row r="83" spans="1:15" ht="15.75">
      <c r="A83" s="6">
        <v>80</v>
      </c>
      <c r="B83" s="417"/>
      <c r="C83" s="414"/>
      <c r="D83" s="414"/>
      <c r="E83" s="414"/>
      <c r="F83" s="414"/>
      <c r="G83" s="414"/>
      <c r="H83" s="611"/>
      <c r="I83" s="611"/>
      <c r="J83" s="414"/>
      <c r="K83" s="420"/>
      <c r="L83" s="44"/>
      <c r="M83" s="415"/>
      <c r="N83" s="6"/>
      <c r="O83" s="6"/>
    </row>
    <row r="84" spans="1:15" ht="15.75">
      <c r="A84" s="6">
        <v>81</v>
      </c>
      <c r="B84" s="417"/>
      <c r="C84" s="414"/>
      <c r="D84" s="414"/>
      <c r="E84" s="414"/>
      <c r="F84" s="414"/>
      <c r="G84" s="414"/>
      <c r="H84" s="611"/>
      <c r="I84" s="611"/>
      <c r="J84" s="414"/>
      <c r="K84" s="420"/>
      <c r="L84" s="44"/>
      <c r="M84" s="415"/>
      <c r="N84" s="6"/>
      <c r="O84" s="6"/>
    </row>
    <row r="85" spans="1:15" ht="15.75">
      <c r="A85" s="6">
        <v>82</v>
      </c>
      <c r="B85" s="417"/>
      <c r="C85" s="414"/>
      <c r="D85" s="414"/>
      <c r="E85" s="414"/>
      <c r="F85" s="414"/>
      <c r="G85" s="414"/>
      <c r="H85" s="611"/>
      <c r="I85" s="611"/>
      <c r="J85" s="414"/>
      <c r="K85" s="420"/>
      <c r="L85" s="44"/>
      <c r="M85" s="415"/>
      <c r="N85" s="6"/>
      <c r="O85" s="6"/>
    </row>
    <row r="86" spans="1:15" ht="15.75">
      <c r="A86" s="6">
        <v>83</v>
      </c>
      <c r="B86" s="417"/>
      <c r="C86" s="414"/>
      <c r="D86" s="414"/>
      <c r="E86" s="414"/>
      <c r="F86" s="414"/>
      <c r="G86" s="414"/>
      <c r="H86" s="611"/>
      <c r="I86" s="611"/>
      <c r="J86" s="414"/>
      <c r="K86" s="420"/>
      <c r="L86" s="44"/>
      <c r="M86" s="415"/>
      <c r="N86" s="6"/>
      <c r="O86" s="6"/>
    </row>
    <row r="87" spans="1:15" ht="15.75">
      <c r="A87" s="6">
        <v>84</v>
      </c>
      <c r="B87" s="417"/>
      <c r="C87" s="414"/>
      <c r="D87" s="414"/>
      <c r="E87" s="414"/>
      <c r="F87" s="414"/>
      <c r="G87" s="414"/>
      <c r="H87" s="611"/>
      <c r="I87" s="611"/>
      <c r="J87" s="414"/>
      <c r="K87" s="420"/>
      <c r="L87" s="44"/>
      <c r="M87" s="415"/>
      <c r="N87" s="6"/>
      <c r="O87" s="6"/>
    </row>
    <row r="88" spans="1:15" ht="15.75">
      <c r="A88" s="6">
        <v>85</v>
      </c>
      <c r="B88" s="417"/>
      <c r="C88" s="414"/>
      <c r="D88" s="414"/>
      <c r="E88" s="414"/>
      <c r="F88" s="414"/>
      <c r="G88" s="414"/>
      <c r="H88" s="611"/>
      <c r="I88" s="611"/>
      <c r="J88" s="414"/>
      <c r="K88" s="420"/>
      <c r="L88" s="44"/>
      <c r="M88" s="415"/>
      <c r="N88" s="6"/>
      <c r="O88" s="6"/>
    </row>
    <row r="89" spans="1:15" ht="15.75">
      <c r="A89" s="6">
        <v>86</v>
      </c>
      <c r="B89" s="417"/>
      <c r="C89" s="414"/>
      <c r="D89" s="414"/>
      <c r="E89" s="414"/>
      <c r="F89" s="414"/>
      <c r="G89" s="414"/>
      <c r="H89" s="611"/>
      <c r="I89" s="611"/>
      <c r="J89" s="414"/>
      <c r="K89" s="420"/>
      <c r="L89" s="44"/>
      <c r="M89" s="415"/>
      <c r="N89" s="6"/>
      <c r="O89" s="6"/>
    </row>
    <row r="90" spans="1:15" ht="15.75">
      <c r="A90" s="6">
        <v>87</v>
      </c>
      <c r="B90" s="417"/>
      <c r="C90" s="414"/>
      <c r="D90" s="414"/>
      <c r="E90" s="414"/>
      <c r="F90" s="414"/>
      <c r="G90" s="414"/>
      <c r="H90" s="611"/>
      <c r="I90" s="611"/>
      <c r="J90" s="414"/>
      <c r="K90" s="420"/>
      <c r="L90" s="44"/>
      <c r="M90" s="415"/>
      <c r="N90" s="6"/>
      <c r="O90" s="6"/>
    </row>
    <row r="91" spans="1:15" ht="15.75">
      <c r="A91" s="6">
        <v>88</v>
      </c>
      <c r="B91" s="417"/>
      <c r="C91" s="414"/>
      <c r="D91" s="414"/>
      <c r="E91" s="414"/>
      <c r="F91" s="414"/>
      <c r="G91" s="414"/>
      <c r="H91" s="611"/>
      <c r="I91" s="419"/>
      <c r="J91" s="414"/>
      <c r="K91" s="420"/>
      <c r="L91" s="44"/>
      <c r="M91" s="415"/>
      <c r="N91" s="6"/>
      <c r="O91" s="6"/>
    </row>
    <row r="92" spans="1:15" ht="15.75">
      <c r="A92" s="6">
        <v>89</v>
      </c>
      <c r="B92" s="417"/>
      <c r="C92" s="414"/>
      <c r="D92" s="414"/>
      <c r="E92" s="414"/>
      <c r="F92" s="414"/>
      <c r="G92" s="414"/>
      <c r="H92" s="611"/>
      <c r="I92" s="611"/>
      <c r="J92" s="414"/>
      <c r="K92" s="420"/>
      <c r="L92" s="44"/>
      <c r="M92" s="415"/>
      <c r="N92" s="6"/>
      <c r="O92" s="6"/>
    </row>
    <row r="93" spans="1:15" ht="15.75">
      <c r="A93" s="6">
        <v>90</v>
      </c>
      <c r="B93" s="417"/>
      <c r="C93" s="414"/>
      <c r="D93" s="414"/>
      <c r="E93" s="414"/>
      <c r="F93" s="414"/>
      <c r="G93" s="414"/>
      <c r="H93" s="611"/>
      <c r="I93" s="611"/>
      <c r="J93" s="414"/>
      <c r="K93" s="420"/>
      <c r="L93" s="44"/>
      <c r="M93" s="415"/>
      <c r="N93" s="6"/>
      <c r="O93" s="6"/>
    </row>
    <row r="94" spans="1:15" ht="15.75">
      <c r="A94" s="6">
        <v>91</v>
      </c>
      <c r="B94" s="417"/>
      <c r="C94" s="414"/>
      <c r="D94" s="414"/>
      <c r="E94" s="414"/>
      <c r="F94" s="414"/>
      <c r="G94" s="414"/>
      <c r="H94" s="611"/>
      <c r="I94" s="611"/>
      <c r="J94" s="414"/>
      <c r="K94" s="420"/>
      <c r="L94" s="44"/>
      <c r="M94" s="415"/>
      <c r="N94" s="6"/>
      <c r="O94" s="6"/>
    </row>
    <row r="95" spans="1:15" ht="15.75">
      <c r="A95" s="6">
        <v>92</v>
      </c>
      <c r="B95" s="417"/>
      <c r="C95" s="414"/>
      <c r="D95" s="414"/>
      <c r="E95" s="414"/>
      <c r="F95" s="414"/>
      <c r="G95" s="414"/>
      <c r="H95" s="611"/>
      <c r="I95" s="611"/>
      <c r="J95" s="414"/>
      <c r="K95" s="420"/>
      <c r="L95" s="44"/>
      <c r="M95" s="415"/>
      <c r="N95" s="6"/>
      <c r="O95" s="6"/>
    </row>
    <row r="96" spans="1:15" ht="15.75">
      <c r="A96" s="6">
        <v>93</v>
      </c>
      <c r="B96" s="417"/>
      <c r="C96" s="414"/>
      <c r="D96" s="414"/>
      <c r="E96" s="414"/>
      <c r="F96" s="414"/>
      <c r="G96" s="414"/>
      <c r="H96" s="611"/>
      <c r="I96" s="419"/>
      <c r="J96" s="414"/>
      <c r="K96" s="420"/>
      <c r="L96" s="44"/>
      <c r="M96" s="415"/>
      <c r="N96" s="6"/>
      <c r="O96" s="6"/>
    </row>
    <row r="97" spans="1:15" ht="15.75">
      <c r="A97" s="6">
        <v>94</v>
      </c>
      <c r="B97" s="6"/>
      <c r="C97" s="6"/>
      <c r="D97" s="611"/>
      <c r="E97" s="611"/>
      <c r="F97" s="611"/>
      <c r="G97" s="611"/>
      <c r="H97" s="611"/>
      <c r="I97" s="611"/>
      <c r="J97" s="414"/>
      <c r="K97" s="420"/>
      <c r="L97" s="44"/>
      <c r="M97" s="415"/>
      <c r="N97" s="6"/>
      <c r="O97" s="6"/>
    </row>
    <row r="98" spans="1:15" ht="15.75">
      <c r="A98" s="6">
        <v>95</v>
      </c>
      <c r="B98" s="6"/>
      <c r="C98" s="6"/>
      <c r="D98" s="6"/>
      <c r="E98" s="6"/>
      <c r="F98" s="6"/>
      <c r="G98" s="6"/>
      <c r="H98" s="6"/>
      <c r="I98" s="6"/>
      <c r="J98" s="414"/>
      <c r="K98" s="420"/>
      <c r="L98" s="44"/>
      <c r="M98" s="415"/>
      <c r="N98" s="6"/>
      <c r="O98" s="6"/>
    </row>
    <row r="99" spans="1:15" ht="15.75">
      <c r="A99" s="6">
        <v>96</v>
      </c>
      <c r="B99" s="6"/>
      <c r="C99" s="6"/>
      <c r="D99" s="6"/>
      <c r="E99" s="6"/>
      <c r="F99" s="6"/>
      <c r="G99" s="6"/>
      <c r="H99" s="6"/>
      <c r="I99" s="6"/>
      <c r="J99" s="414"/>
      <c r="K99" s="420"/>
      <c r="L99" s="44"/>
      <c r="M99" s="415"/>
      <c r="N99" s="6"/>
      <c r="O99" s="6"/>
    </row>
    <row r="100" spans="1:15" ht="15.75">
      <c r="A100" s="6">
        <v>97</v>
      </c>
      <c r="B100" s="6"/>
      <c r="C100" s="6"/>
      <c r="D100" s="6"/>
      <c r="E100" s="6"/>
      <c r="F100" s="6"/>
      <c r="G100" s="6"/>
      <c r="H100" s="6"/>
      <c r="I100" s="6"/>
      <c r="J100" s="414"/>
      <c r="K100" s="420"/>
      <c r="L100" s="44"/>
      <c r="M100" s="415"/>
      <c r="N100" s="6"/>
      <c r="O100" s="6"/>
    </row>
    <row r="101" spans="1:15" ht="15.75">
      <c r="A101" s="6">
        <v>98</v>
      </c>
      <c r="B101" s="6"/>
      <c r="C101" s="6"/>
      <c r="D101" s="6"/>
      <c r="E101" s="6"/>
      <c r="F101" s="6"/>
      <c r="G101" s="6"/>
      <c r="H101" s="6"/>
      <c r="I101" s="6"/>
      <c r="J101" s="414"/>
      <c r="K101" s="420"/>
      <c r="L101" s="44"/>
      <c r="M101" s="415"/>
      <c r="N101" s="6"/>
      <c r="O101" s="6"/>
    </row>
    <row r="102" spans="1:15" ht="15.75">
      <c r="A102" s="6">
        <v>99</v>
      </c>
      <c r="B102" s="6"/>
      <c r="C102" s="6"/>
      <c r="D102" s="6"/>
      <c r="E102" s="6"/>
      <c r="F102" s="6"/>
      <c r="G102" s="6"/>
      <c r="H102" s="6"/>
      <c r="I102" s="6"/>
      <c r="J102" s="414"/>
      <c r="K102" s="420"/>
      <c r="L102" s="44"/>
      <c r="M102" s="415"/>
      <c r="N102" s="6"/>
      <c r="O102" s="6"/>
    </row>
    <row r="103" spans="1:15" ht="15.75">
      <c r="A103" s="6">
        <v>100</v>
      </c>
      <c r="B103" s="6"/>
      <c r="C103" s="6"/>
      <c r="D103" s="6"/>
      <c r="E103" s="6"/>
      <c r="F103" s="6"/>
      <c r="G103" s="6"/>
      <c r="H103" s="6"/>
      <c r="I103" s="6"/>
      <c r="J103" s="414"/>
      <c r="K103" s="420"/>
      <c r="L103" s="44"/>
      <c r="M103" s="415"/>
      <c r="N103" s="6"/>
      <c r="O103" s="6"/>
    </row>
    <row r="104" spans="1:15" ht="15.75">
      <c r="A104" s="6">
        <v>101</v>
      </c>
      <c r="B104" s="6"/>
      <c r="C104" s="6"/>
      <c r="D104" s="6"/>
      <c r="E104" s="6"/>
      <c r="F104" s="6"/>
      <c r="G104" s="6"/>
      <c r="H104" s="6"/>
      <c r="I104" s="6"/>
      <c r="J104" s="414"/>
      <c r="K104" s="420"/>
      <c r="L104" s="44"/>
      <c r="M104" s="415"/>
      <c r="N104" s="6"/>
      <c r="O104" s="6"/>
    </row>
    <row r="105" spans="1:15" ht="15.75">
      <c r="A105" s="6">
        <v>102</v>
      </c>
      <c r="B105" s="6"/>
      <c r="C105" s="6"/>
      <c r="D105" s="6"/>
      <c r="E105" s="6"/>
      <c r="F105" s="6"/>
      <c r="G105" s="6"/>
      <c r="H105" s="6"/>
      <c r="I105" s="6"/>
      <c r="J105" s="414"/>
      <c r="K105" s="420"/>
      <c r="L105" s="44"/>
      <c r="M105" s="6"/>
      <c r="N105" s="6"/>
      <c r="O105" s="6"/>
    </row>
    <row r="106" spans="1:15" ht="15.75">
      <c r="A106" s="6">
        <v>103</v>
      </c>
      <c r="B106" s="6"/>
      <c r="C106" s="6"/>
      <c r="D106" s="6"/>
      <c r="E106" s="6"/>
      <c r="F106" s="6"/>
      <c r="G106" s="6"/>
      <c r="H106" s="6"/>
      <c r="I106" s="6"/>
      <c r="J106" s="414"/>
      <c r="K106" s="420"/>
      <c r="L106" s="44"/>
      <c r="M106" s="6"/>
      <c r="N106" s="6"/>
      <c r="O106" s="6"/>
    </row>
    <row r="107" spans="1:15" ht="15.75">
      <c r="A107" s="6">
        <v>104</v>
      </c>
      <c r="B107" s="6"/>
      <c r="C107" s="6"/>
      <c r="D107" s="6"/>
      <c r="E107" s="6"/>
      <c r="F107" s="6"/>
      <c r="G107" s="6"/>
      <c r="H107" s="6"/>
      <c r="I107" s="6"/>
      <c r="J107" s="414"/>
      <c r="K107" s="420"/>
      <c r="L107" s="44"/>
      <c r="M107" s="6"/>
      <c r="N107" s="6"/>
      <c r="O107" s="6"/>
    </row>
    <row r="108" spans="1:15" ht="15.75">
      <c r="A108" s="6">
        <v>105</v>
      </c>
      <c r="B108" s="6"/>
      <c r="C108" s="6"/>
      <c r="D108" s="6"/>
      <c r="E108" s="6"/>
      <c r="F108" s="6"/>
      <c r="G108" s="6"/>
      <c r="H108" s="6"/>
      <c r="I108" s="6"/>
      <c r="J108" s="414"/>
      <c r="K108" s="420"/>
      <c r="L108" s="44"/>
      <c r="M108" s="6"/>
      <c r="N108" s="6"/>
      <c r="O108" s="6"/>
    </row>
    <row r="109" spans="1:15" ht="15.75">
      <c r="A109" s="6">
        <v>106</v>
      </c>
      <c r="B109" s="6"/>
      <c r="C109" s="6"/>
      <c r="D109" s="6"/>
      <c r="E109" s="6"/>
      <c r="F109" s="6"/>
      <c r="G109" s="6"/>
      <c r="H109" s="6"/>
      <c r="I109" s="6"/>
      <c r="J109" s="414"/>
      <c r="K109" s="420"/>
      <c r="L109" s="44"/>
      <c r="M109" s="6"/>
      <c r="N109" s="6"/>
      <c r="O109" s="6"/>
    </row>
    <row r="110" spans="1:15" ht="15.75">
      <c r="A110" s="6">
        <v>107</v>
      </c>
      <c r="B110" s="6"/>
      <c r="C110" s="6"/>
      <c r="D110" s="6"/>
      <c r="E110" s="6"/>
      <c r="F110" s="6"/>
      <c r="G110" s="6"/>
      <c r="H110" s="6"/>
      <c r="I110" s="6"/>
      <c r="J110" s="414"/>
      <c r="K110" s="420"/>
      <c r="L110" s="44"/>
      <c r="M110" s="6"/>
      <c r="N110" s="6"/>
      <c r="O110" s="6"/>
    </row>
    <row r="111" spans="1:15" ht="15.75">
      <c r="A111" s="6">
        <v>108</v>
      </c>
      <c r="B111" s="6"/>
      <c r="C111" s="6"/>
      <c r="D111" s="6"/>
      <c r="E111" s="6"/>
      <c r="F111" s="6"/>
      <c r="G111" s="6"/>
      <c r="H111" s="6"/>
      <c r="I111" s="6"/>
      <c r="J111" s="414"/>
      <c r="K111" s="420"/>
      <c r="L111" s="44"/>
      <c r="M111" s="6"/>
      <c r="N111" s="6"/>
      <c r="O111" s="6"/>
    </row>
    <row r="112" spans="1:15">
      <c r="A112" s="6">
        <v>109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>
        <v>110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>
        <v>111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>
        <v>112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6">
        <v>113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6">
        <v>114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</row>
    <row r="118" spans="1:15">
      <c r="A118" s="6">
        <v>115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>
        <v>116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>
        <v>117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>
        <v>118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>
        <v>119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>
        <v>120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>
        <v>121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>
        <v>122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>
        <v>123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>
        <v>124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>
        <v>125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>
        <v>126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>
        <v>127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>
        <v>128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>
      <c r="A132" s="6">
        <v>129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A2:A7"/>
  <sheetViews>
    <sheetView workbookViewId="0">
      <selection activeCell="G8" sqref="G8"/>
    </sheetView>
  </sheetViews>
  <sheetFormatPr defaultRowHeight="15"/>
  <cols>
    <col min="2" max="2" width="11.7109375" customWidth="1"/>
  </cols>
  <sheetData>
    <row r="2" ht="30" customHeight="1"/>
    <row r="3" ht="30" customHeight="1"/>
    <row r="4" ht="30" customHeight="1"/>
    <row r="5" ht="30" customHeight="1"/>
    <row r="6" ht="30" customHeight="1"/>
    <row r="7" ht="30" customHeight="1"/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C14-6E7E-415C-A7E3-EBB67030E1DA}">
  <dimension ref="A1"/>
  <sheetViews>
    <sheetView workbookViewId="0">
      <selection sqref="A1:B1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2026-10-12T07:04:52Z</dcterms:modified>
  <cp:category/>
  <cp:contentStatus/>
</cp:coreProperties>
</file>