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33089" documentId="8_{21E78461-8472-4FC4-9B9A-C4551723630E}" xr6:coauthVersionLast="47" xr6:coauthVersionMax="47" xr10:uidLastSave="{4D20DEE8-E607-4A86-B7E5-7A6383E659D0}"/>
  <bookViews>
    <workbookView xWindow="-60" yWindow="-60" windowWidth="15480" windowHeight="11640" firstSheet="10" activeTab="36" xr2:uid="{00000000-000D-0000-FFFF-FFFF00000000}"/>
  </bookViews>
  <sheets>
    <sheet name=" MIs" sheetId="84" state="hidden" r:id="rId1"/>
    <sheet name=" July-26" sheetId="56" r:id="rId2"/>
    <sheet name="HO(DG)" sheetId="81" r:id="rId3"/>
    <sheet name="Khammam-1" sheetId="50" r:id="rId4"/>
    <sheet name="Khammam-2" sheetId="47" r:id="rId5"/>
    <sheet name="Khammam-3" sheetId="82" r:id="rId6"/>
    <sheet name=" Khammam&amp;Cash" sheetId="95" r:id="rId7"/>
    <sheet name="Jadcherla-4" sheetId="78" r:id="rId8"/>
    <sheet name=" Sangareddy-2" sheetId="89" r:id="rId9"/>
    <sheet name=" Sangareddy-3" sheetId="93" r:id="rId10"/>
    <sheet name="Narayankhed" sheetId="98" r:id="rId11"/>
    <sheet name="Dindi" sheetId="58" r:id="rId12"/>
    <sheet name="Multiple bunks(KKD)" sheetId="65" r:id="rId13"/>
    <sheet name=" Pitapram(KKD)" sheetId="105" r:id="rId14"/>
    <sheet name="Yeleshwaram(KKD)" sheetId="104" r:id="rId15"/>
    <sheet name="Madana palli" sheetId="71" r:id="rId16"/>
    <sheet name="Kadur" sheetId="7" r:id="rId17"/>
    <sheet name="YG Gudda" sheetId="62" r:id="rId18"/>
    <sheet name=" YG Gudda-2" sheetId="103" r:id="rId19"/>
    <sheet name="Hosadurga -2" sheetId="52" r:id="rId20"/>
    <sheet name="Hiriyur(VJNL)" sheetId="3" r:id="rId21"/>
    <sheet name="Malebenur(KUWSDB)" sheetId="16" r:id="rId22"/>
    <sheet name="Molakamuru" sheetId="63" r:id="rId23"/>
    <sheet name="Chellakere -1" sheetId="68" r:id="rId24"/>
    <sheet name=" Chellakere-PKG-9" sheetId="73" r:id="rId25"/>
    <sheet name=" Chennagiri" sheetId="74" r:id="rId26"/>
    <sheet name="Khanapur" sheetId="24" r:id="rId27"/>
    <sheet name="Munavali-2" sheetId="80" r:id="rId28"/>
    <sheet name=" Munavali" sheetId="99" r:id="rId29"/>
    <sheet name="Borgaon" sheetId="10" r:id="rId30"/>
    <sheet name="Ugar,Khagwad,Kudichi" sheetId="11" r:id="rId31"/>
    <sheet name="shedbal" sheetId="101" r:id="rId32"/>
    <sheet name="Kabbur" sheetId="40" r:id="rId33"/>
    <sheet name="kumta" sheetId="25" r:id="rId34"/>
    <sheet name=" Jalgaon-1" sheetId="22" r:id="rId35"/>
    <sheet name="Jalgoan-2" sheetId="85" r:id="rId36"/>
    <sheet name="MKBD" sheetId="14" r:id="rId37"/>
    <sheet name=" Haveri-2" sheetId="75" r:id="rId38"/>
    <sheet name=" Guttal-2" sheetId="79" r:id="rId39"/>
    <sheet name="Rattihali-2" sheetId="76" r:id="rId40"/>
    <sheet name="Gajendragada" sheetId="12" r:id="rId41"/>
    <sheet name="Gokak Dharwad PKG 3" sheetId="41" r:id="rId42"/>
    <sheet name="Ankalgi" sheetId="60" r:id="rId43"/>
    <sheet name=" TR Associates" sheetId="83" r:id="rId44"/>
    <sheet name="SHRI DESHPANDE" sheetId="100" r:id="rId45"/>
    <sheet name=" Shankeshwar" sheetId="57" r:id="rId46"/>
    <sheet name=" Talikote" sheetId="26" r:id="rId47"/>
    <sheet name="Chadchan" sheetId="9" r:id="rId48"/>
    <sheet name="Sindagi" sheetId="33" r:id="rId49"/>
    <sheet name="Muddebhihal-2" sheetId="69" r:id="rId50"/>
    <sheet name="Alemela" sheetId="35" r:id="rId51"/>
    <sheet name="Nalatwad" sheetId="51" r:id="rId52"/>
    <sheet name="Srirangapatna" sheetId="19" r:id="rId53"/>
    <sheet name="BPCL July-26" sheetId="44" r:id="rId54"/>
    <sheet name=" HPCL JUly -26" sheetId="45" r:id="rId55"/>
    <sheet name="Sheet1" sheetId="86" r:id="rId56"/>
    <sheet name="Sheet2" sheetId="102" r:id="rId57"/>
  </sheets>
  <definedNames>
    <definedName name="_xlnm._FilterDatabase" localSheetId="54" hidden="1">' HPCL JUly -26'!$A$1:$P$75</definedName>
    <definedName name="_xlnm._FilterDatabase" localSheetId="53" hidden="1">'BPCL July-26'!$A$4:$U$4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80" l="1"/>
  <c r="M33" i="80"/>
  <c r="M34" i="80"/>
  <c r="M35" i="80"/>
  <c r="M36" i="80"/>
  <c r="M37" i="80"/>
  <c r="K40" i="80"/>
  <c r="E40" i="80"/>
  <c r="G6" i="45"/>
  <c r="K6" i="45"/>
  <c r="K7" i="45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J5" i="45"/>
  <c r="J6" i="45"/>
  <c r="J7" i="45"/>
  <c r="J8" i="45"/>
  <c r="J9" i="45"/>
  <c r="J10" i="45"/>
  <c r="J11" i="45"/>
  <c r="J12" i="45"/>
  <c r="J13" i="45"/>
  <c r="J14" i="45"/>
  <c r="J15" i="45"/>
  <c r="J16" i="45"/>
  <c r="J17" i="45"/>
  <c r="J18" i="45"/>
  <c r="J19" i="45"/>
  <c r="J20" i="45"/>
  <c r="J21" i="45"/>
  <c r="J22" i="45"/>
  <c r="J23" i="45"/>
  <c r="J24" i="45"/>
  <c r="J25" i="45"/>
  <c r="J26" i="45"/>
  <c r="J27" i="45"/>
  <c r="J28" i="45"/>
  <c r="J29" i="45"/>
  <c r="J30" i="45"/>
  <c r="J31" i="45"/>
  <c r="J32" i="45"/>
  <c r="J33" i="45"/>
  <c r="J34" i="45"/>
  <c r="J35" i="45"/>
  <c r="J36" i="45"/>
  <c r="J37" i="45"/>
  <c r="J38" i="45"/>
  <c r="J39" i="45"/>
  <c r="J40" i="45"/>
  <c r="J41" i="45"/>
  <c r="J42" i="45"/>
  <c r="J43" i="45"/>
  <c r="J44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G5" i="45"/>
  <c r="K5" i="45" s="1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J4" i="45"/>
  <c r="G4" i="45"/>
  <c r="K4" i="45" s="1"/>
  <c r="M4" i="45" s="1"/>
  <c r="M5" i="45" s="1"/>
  <c r="M6" i="45" s="1"/>
  <c r="M7" i="45" s="1"/>
  <c r="M8" i="45" s="1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M22" i="45" s="1"/>
  <c r="M23" i="45" s="1"/>
  <c r="M24" i="45" s="1"/>
  <c r="M25" i="45" s="1"/>
  <c r="M26" i="45" s="1"/>
  <c r="M27" i="45" s="1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M39" i="45" s="1"/>
  <c r="M40" i="45" s="1"/>
  <c r="M41" i="45" s="1"/>
  <c r="M42" i="45" s="1"/>
  <c r="M43" i="45" s="1"/>
  <c r="M44" i="45" s="1"/>
  <c r="M45" i="45" s="1"/>
  <c r="M46" i="45" s="1"/>
  <c r="M47" i="45" s="1"/>
  <c r="M48" i="45" s="1"/>
  <c r="M49" i="45" s="1"/>
  <c r="M50" i="45" s="1"/>
  <c r="M51" i="45" s="1"/>
  <c r="M52" i="45" s="1"/>
  <c r="M53" i="45" s="1"/>
  <c r="M54" i="45" s="1"/>
  <c r="M55" i="45" s="1"/>
  <c r="M56" i="45" s="1"/>
  <c r="M57" i="45" s="1"/>
  <c r="M58" i="45" s="1"/>
  <c r="O26" i="50"/>
  <c r="K177" i="44"/>
  <c r="J175" i="44"/>
  <c r="J176" i="44"/>
  <c r="J177" i="44"/>
  <c r="G177" i="44"/>
  <c r="K176" i="44"/>
  <c r="G176" i="44"/>
  <c r="K175" i="44"/>
  <c r="G174" i="44"/>
  <c r="G175" i="44"/>
  <c r="K174" i="44"/>
  <c r="J173" i="44"/>
  <c r="J174" i="44"/>
  <c r="K173" i="44"/>
  <c r="G173" i="44"/>
  <c r="G172" i="44"/>
  <c r="K172" i="44"/>
  <c r="J171" i="44"/>
  <c r="J172" i="44"/>
  <c r="K171" i="44"/>
  <c r="G171" i="44"/>
  <c r="K170" i="44"/>
  <c r="J170" i="44"/>
  <c r="G169" i="44"/>
  <c r="G170" i="44"/>
  <c r="J169" i="44"/>
  <c r="K169" i="44"/>
  <c r="J166" i="44"/>
  <c r="J167" i="44"/>
  <c r="J168" i="44"/>
  <c r="K168" i="44"/>
  <c r="G168" i="44"/>
  <c r="K167" i="44"/>
  <c r="K166" i="44"/>
  <c r="G165" i="44"/>
  <c r="G166" i="44"/>
  <c r="G167" i="44"/>
  <c r="K165" i="44"/>
  <c r="J162" i="44"/>
  <c r="J163" i="44"/>
  <c r="J164" i="44"/>
  <c r="J165" i="44"/>
  <c r="K164" i="44"/>
  <c r="G164" i="44"/>
  <c r="K163" i="44"/>
  <c r="G163" i="44"/>
  <c r="O33" i="47"/>
  <c r="K162" i="44"/>
  <c r="G159" i="44"/>
  <c r="G160" i="44"/>
  <c r="G161" i="44"/>
  <c r="G162" i="44"/>
  <c r="K161" i="44"/>
  <c r="J161" i="44"/>
  <c r="K160" i="44"/>
  <c r="J160" i="44"/>
  <c r="K159" i="44"/>
  <c r="J157" i="44"/>
  <c r="J158" i="44"/>
  <c r="J159" i="44"/>
  <c r="K158" i="44"/>
  <c r="G158" i="44"/>
  <c r="G156" i="44"/>
  <c r="G157" i="44"/>
  <c r="K157" i="44"/>
  <c r="K156" i="44"/>
  <c r="J156" i="44"/>
  <c r="K155" i="44"/>
  <c r="J155" i="44"/>
  <c r="G154" i="44"/>
  <c r="G155" i="44"/>
  <c r="J152" i="44"/>
  <c r="J153" i="44"/>
  <c r="J154" i="44"/>
  <c r="K154" i="44"/>
  <c r="K153" i="44"/>
  <c r="G153" i="44"/>
  <c r="K152" i="44"/>
  <c r="G152" i="44"/>
  <c r="K151" i="44"/>
  <c r="G151" i="44"/>
  <c r="G150" i="44"/>
  <c r="K149" i="44"/>
  <c r="G149" i="44"/>
  <c r="K148" i="44"/>
  <c r="J144" i="44"/>
  <c r="J145" i="44"/>
  <c r="J146" i="44"/>
  <c r="J147" i="44"/>
  <c r="J148" i="44"/>
  <c r="J149" i="44"/>
  <c r="J150" i="44"/>
  <c r="J151" i="44"/>
  <c r="G148" i="44"/>
  <c r="K147" i="44"/>
  <c r="K146" i="44"/>
  <c r="G147" i="44"/>
  <c r="G146" i="44"/>
  <c r="J143" i="44"/>
  <c r="G140" i="44"/>
  <c r="G141" i="44"/>
  <c r="G142" i="44"/>
  <c r="G143" i="44"/>
  <c r="K143" i="44" s="1"/>
  <c r="G144" i="44"/>
  <c r="K144" i="44" s="1"/>
  <c r="G145" i="44"/>
  <c r="K145" i="44" s="1"/>
  <c r="K142" i="44"/>
  <c r="J142" i="44"/>
  <c r="K141" i="44"/>
  <c r="J140" i="44"/>
  <c r="J141" i="44"/>
  <c r="K140" i="44"/>
  <c r="K139" i="44"/>
  <c r="J139" i="44"/>
  <c r="G138" i="44"/>
  <c r="G139" i="44"/>
  <c r="K138" i="44"/>
  <c r="J138" i="44"/>
  <c r="J137" i="44"/>
  <c r="G137" i="44"/>
  <c r="J136" i="44"/>
  <c r="G136" i="44"/>
  <c r="J135" i="44"/>
  <c r="G133" i="44"/>
  <c r="G134" i="44"/>
  <c r="G135" i="44"/>
  <c r="K134" i="44"/>
  <c r="J134" i="44"/>
  <c r="J133" i="44"/>
  <c r="K131" i="44"/>
  <c r="K132" i="44"/>
  <c r="K133" i="44"/>
  <c r="J131" i="44"/>
  <c r="J132" i="44"/>
  <c r="G132" i="44"/>
  <c r="G130" i="44"/>
  <c r="G131" i="44"/>
  <c r="J128" i="44"/>
  <c r="J129" i="44"/>
  <c r="J130" i="44"/>
  <c r="K150" i="44"/>
  <c r="K137" i="44"/>
  <c r="K136" i="44"/>
  <c r="J127" i="44"/>
  <c r="J126" i="44"/>
  <c r="J125" i="44"/>
  <c r="J124" i="44"/>
  <c r="J123" i="44"/>
  <c r="J122" i="44"/>
  <c r="J121" i="44"/>
  <c r="J120" i="44"/>
  <c r="J119" i="44"/>
  <c r="J118" i="44"/>
  <c r="J117" i="44"/>
  <c r="J116" i="44"/>
  <c r="J115" i="44"/>
  <c r="J114" i="44"/>
  <c r="K130" i="44"/>
  <c r="G129" i="44"/>
  <c r="K129" i="44" s="1"/>
  <c r="G128" i="44"/>
  <c r="K128" i="44" s="1"/>
  <c r="G127" i="44"/>
  <c r="K127" i="44" s="1"/>
  <c r="G126" i="44"/>
  <c r="K126" i="44" s="1"/>
  <c r="G125" i="44"/>
  <c r="K125" i="44" s="1"/>
  <c r="G124" i="44"/>
  <c r="K124" i="44" s="1"/>
  <c r="G123" i="44"/>
  <c r="K123" i="44" s="1"/>
  <c r="G122" i="44"/>
  <c r="K122" i="44" s="1"/>
  <c r="G121" i="44"/>
  <c r="K121" i="44" s="1"/>
  <c r="G120" i="44"/>
  <c r="K120" i="44" s="1"/>
  <c r="G119" i="44"/>
  <c r="K119" i="44" s="1"/>
  <c r="G118" i="44"/>
  <c r="K118" i="44" s="1"/>
  <c r="G117" i="44"/>
  <c r="K117" i="44" s="1"/>
  <c r="G116" i="44"/>
  <c r="K116" i="44" s="1"/>
  <c r="G115" i="44"/>
  <c r="K115" i="44" s="1"/>
  <c r="G114" i="44"/>
  <c r="K114" i="44" s="1"/>
  <c r="J113" i="44"/>
  <c r="J112" i="44"/>
  <c r="J111" i="44"/>
  <c r="J110" i="44"/>
  <c r="J109" i="44"/>
  <c r="J108" i="44"/>
  <c r="J107" i="44"/>
  <c r="J106" i="44"/>
  <c r="J105" i="44"/>
  <c r="J104" i="44"/>
  <c r="J103" i="44"/>
  <c r="G113" i="44"/>
  <c r="G112" i="44"/>
  <c r="K112" i="44" s="1"/>
  <c r="G111" i="44"/>
  <c r="K111" i="44" s="1"/>
  <c r="G110" i="44"/>
  <c r="K110" i="44" s="1"/>
  <c r="G109" i="44"/>
  <c r="G108" i="44"/>
  <c r="G107" i="44"/>
  <c r="K107" i="44" s="1"/>
  <c r="G106" i="44"/>
  <c r="K106" i="44" s="1"/>
  <c r="G105" i="44"/>
  <c r="K105" i="44" s="1"/>
  <c r="G104" i="44"/>
  <c r="K104" i="44" s="1"/>
  <c r="G103" i="44"/>
  <c r="K103" i="44" s="1"/>
  <c r="J229" i="44"/>
  <c r="J102" i="44"/>
  <c r="J101" i="44"/>
  <c r="J100" i="44"/>
  <c r="J99" i="44"/>
  <c r="J98" i="44"/>
  <c r="J97" i="44"/>
  <c r="G229" i="44"/>
  <c r="K229" i="44" s="1"/>
  <c r="G102" i="44"/>
  <c r="K102" i="44" s="1"/>
  <c r="G101" i="44"/>
  <c r="K101" i="44" s="1"/>
  <c r="G100" i="44"/>
  <c r="K100" i="44" s="1"/>
  <c r="G99" i="44"/>
  <c r="K99" i="44" s="1"/>
  <c r="G98" i="44"/>
  <c r="K98" i="44" s="1"/>
  <c r="G97" i="44"/>
  <c r="K97" i="44" s="1"/>
  <c r="G96" i="44"/>
  <c r="K96" i="44" s="1"/>
  <c r="G95" i="44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22" i="33"/>
  <c r="J14" i="56"/>
  <c r="G14" i="56"/>
  <c r="E14" i="56"/>
  <c r="K289" i="65"/>
  <c r="J289" i="65"/>
  <c r="G289" i="65"/>
  <c r="H14" i="56"/>
  <c r="F14" i="56"/>
  <c r="D14" i="56"/>
  <c r="H289" i="65"/>
  <c r="E289" i="65"/>
  <c r="M289" i="65"/>
  <c r="K288" i="65"/>
  <c r="L288" i="65" s="1"/>
  <c r="F288" i="65"/>
  <c r="K287" i="65"/>
  <c r="L287" i="65" s="1"/>
  <c r="I287" i="65"/>
  <c r="K286" i="65"/>
  <c r="L286" i="65" s="1"/>
  <c r="I286" i="65"/>
  <c r="K285" i="65"/>
  <c r="L285" i="65" s="1"/>
  <c r="I285" i="65"/>
  <c r="K284" i="65"/>
  <c r="L284" i="65" s="1"/>
  <c r="F284" i="65"/>
  <c r="K283" i="65"/>
  <c r="L283" i="65" s="1"/>
  <c r="F283" i="65"/>
  <c r="K282" i="65"/>
  <c r="L282" i="65" s="1"/>
  <c r="F282" i="65"/>
  <c r="K281" i="65"/>
  <c r="L281" i="65" s="1"/>
  <c r="F281" i="65"/>
  <c r="K280" i="65"/>
  <c r="L280" i="65" s="1"/>
  <c r="F280" i="65"/>
  <c r="K279" i="65"/>
  <c r="L279" i="65" s="1"/>
  <c r="F279" i="65"/>
  <c r="K278" i="65"/>
  <c r="L278" i="65" s="1"/>
  <c r="K277" i="65"/>
  <c r="L277" i="65" s="1"/>
  <c r="F277" i="65"/>
  <c r="K276" i="65"/>
  <c r="L276" i="65" s="1"/>
  <c r="I276" i="65"/>
  <c r="K275" i="65"/>
  <c r="L275" i="65" s="1"/>
  <c r="I275" i="65"/>
  <c r="K274" i="65"/>
  <c r="I274" i="65"/>
  <c r="K273" i="65"/>
  <c r="F273" i="65"/>
  <c r="K272" i="65"/>
  <c r="F272" i="65"/>
  <c r="K271" i="65"/>
  <c r="I271" i="65"/>
  <c r="K270" i="65"/>
  <c r="I270" i="65"/>
  <c r="K269" i="65"/>
  <c r="F269" i="65"/>
  <c r="K268" i="65"/>
  <c r="F268" i="65"/>
  <c r="K267" i="65"/>
  <c r="F267" i="65"/>
  <c r="K266" i="65"/>
  <c r="I266" i="65"/>
  <c r="K265" i="65"/>
  <c r="F265" i="65"/>
  <c r="K264" i="65"/>
  <c r="F264" i="65"/>
  <c r="K263" i="65"/>
  <c r="K262" i="65"/>
  <c r="K261" i="65"/>
  <c r="K260" i="65"/>
  <c r="G259" i="65"/>
  <c r="K259" i="65" s="1"/>
  <c r="K258" i="65"/>
  <c r="I258" i="65"/>
  <c r="K257" i="65"/>
  <c r="F257" i="65"/>
  <c r="K256" i="65"/>
  <c r="F256" i="65"/>
  <c r="K255" i="65"/>
  <c r="I255" i="65"/>
  <c r="K254" i="65"/>
  <c r="F254" i="65"/>
  <c r="K253" i="65"/>
  <c r="F253" i="65"/>
  <c r="K252" i="65"/>
  <c r="F252" i="65"/>
  <c r="K251" i="65"/>
  <c r="F251" i="65"/>
  <c r="K250" i="65"/>
  <c r="I250" i="65"/>
  <c r="K249" i="65"/>
  <c r="F249" i="65"/>
  <c r="K248" i="65"/>
  <c r="I248" i="65"/>
  <c r="K247" i="65"/>
  <c r="F247" i="65"/>
  <c r="K246" i="65"/>
  <c r="I246" i="65"/>
  <c r="K245" i="65"/>
  <c r="F245" i="65"/>
  <c r="K244" i="65"/>
  <c r="F244" i="65"/>
  <c r="K243" i="65"/>
  <c r="I243" i="65"/>
  <c r="K242" i="65"/>
  <c r="F242" i="65"/>
  <c r="K241" i="65"/>
  <c r="I241" i="65"/>
  <c r="K240" i="65"/>
  <c r="F240" i="65"/>
  <c r="K239" i="65"/>
  <c r="I239" i="65"/>
  <c r="K238" i="65"/>
  <c r="F238" i="65"/>
  <c r="K237" i="65"/>
  <c r="F237" i="65"/>
  <c r="K236" i="65"/>
  <c r="F236" i="65"/>
  <c r="K235" i="65"/>
  <c r="I235" i="65"/>
  <c r="K234" i="65"/>
  <c r="F234" i="65"/>
  <c r="K233" i="65"/>
  <c r="F233" i="65"/>
  <c r="K232" i="65"/>
  <c r="F232" i="65"/>
  <c r="K231" i="65"/>
  <c r="I231" i="65"/>
  <c r="K230" i="65"/>
  <c r="F230" i="65"/>
  <c r="K229" i="65"/>
  <c r="F229" i="65"/>
  <c r="K228" i="65"/>
  <c r="F228" i="65"/>
  <c r="K227" i="65"/>
  <c r="F227" i="65"/>
  <c r="K226" i="65"/>
  <c r="F226" i="65"/>
  <c r="K225" i="65"/>
  <c r="F225" i="65"/>
  <c r="K224" i="65"/>
  <c r="I224" i="65"/>
  <c r="K223" i="65"/>
  <c r="I223" i="65"/>
  <c r="K222" i="65"/>
  <c r="I222" i="65"/>
  <c r="K221" i="65"/>
  <c r="F221" i="65"/>
  <c r="K220" i="65"/>
  <c r="F220" i="65"/>
  <c r="K219" i="65"/>
  <c r="I219" i="65"/>
  <c r="K218" i="65"/>
  <c r="I218" i="65"/>
  <c r="K217" i="65"/>
  <c r="F217" i="65"/>
  <c r="K216" i="65"/>
  <c r="F216" i="65"/>
  <c r="K215" i="65"/>
  <c r="I215" i="65"/>
  <c r="K214" i="65"/>
  <c r="F214" i="65"/>
  <c r="K213" i="65"/>
  <c r="F213" i="65"/>
  <c r="K212" i="65"/>
  <c r="F212" i="65"/>
  <c r="K211" i="65"/>
  <c r="I211" i="65"/>
  <c r="K210" i="65"/>
  <c r="F210" i="65"/>
  <c r="K209" i="65"/>
  <c r="F209" i="65"/>
  <c r="K208" i="65"/>
  <c r="F208" i="65"/>
  <c r="K207" i="65"/>
  <c r="I207" i="65"/>
  <c r="K206" i="65"/>
  <c r="I206" i="65"/>
  <c r="K205" i="65"/>
  <c r="I205" i="65"/>
  <c r="K204" i="65"/>
  <c r="I204" i="65"/>
  <c r="K203" i="65"/>
  <c r="I203" i="65"/>
  <c r="J202" i="65"/>
  <c r="K202" i="65" s="1"/>
  <c r="F202" i="65"/>
  <c r="J201" i="65"/>
  <c r="K201" i="65" s="1"/>
  <c r="F201" i="65"/>
  <c r="J200" i="65"/>
  <c r="K200" i="65" s="1"/>
  <c r="F200" i="65"/>
  <c r="J199" i="65"/>
  <c r="K199" i="65" s="1"/>
  <c r="F199" i="65"/>
  <c r="J198" i="65"/>
  <c r="K198" i="65" s="1"/>
  <c r="F198" i="65"/>
  <c r="I197" i="65"/>
  <c r="G197" i="65"/>
  <c r="K197" i="65" s="1"/>
  <c r="J196" i="65"/>
  <c r="K196" i="65" s="1"/>
  <c r="F196" i="65"/>
  <c r="I195" i="65"/>
  <c r="G195" i="65"/>
  <c r="K195" i="65" s="1"/>
  <c r="J194" i="65"/>
  <c r="K194" i="65" s="1"/>
  <c r="F194" i="65"/>
  <c r="J193" i="65"/>
  <c r="K193" i="65" s="1"/>
  <c r="F193" i="65"/>
  <c r="I192" i="65"/>
  <c r="G192" i="65"/>
  <c r="K192" i="65" s="1"/>
  <c r="J191" i="65"/>
  <c r="K191" i="65" s="1"/>
  <c r="F191" i="65"/>
  <c r="J190" i="65"/>
  <c r="K190" i="65" s="1"/>
  <c r="F190" i="65"/>
  <c r="J189" i="65"/>
  <c r="K189" i="65" s="1"/>
  <c r="F189" i="65"/>
  <c r="J188" i="65"/>
  <c r="K188" i="65" s="1"/>
  <c r="F188" i="65"/>
  <c r="I187" i="65"/>
  <c r="G187" i="65"/>
  <c r="K187" i="65" s="1"/>
  <c r="J186" i="65"/>
  <c r="K186" i="65" s="1"/>
  <c r="F186" i="65"/>
  <c r="J185" i="65"/>
  <c r="K185" i="65" s="1"/>
  <c r="F185" i="65"/>
  <c r="K184" i="65"/>
  <c r="F184" i="65"/>
  <c r="J183" i="65"/>
  <c r="K183" i="65" s="1"/>
  <c r="F183" i="65"/>
  <c r="J182" i="65"/>
  <c r="K182" i="65" s="1"/>
  <c r="F182" i="65"/>
  <c r="J181" i="65"/>
  <c r="K181" i="65" s="1"/>
  <c r="F181" i="65"/>
  <c r="J180" i="65"/>
  <c r="K180" i="65" s="1"/>
  <c r="F180" i="65"/>
  <c r="I179" i="65"/>
  <c r="G179" i="65"/>
  <c r="K179" i="65" s="1"/>
  <c r="J178" i="65"/>
  <c r="K178" i="65" s="1"/>
  <c r="F178" i="65"/>
  <c r="I177" i="65"/>
  <c r="G177" i="65"/>
  <c r="K177" i="65" s="1"/>
  <c r="J176" i="65"/>
  <c r="K176" i="65" s="1"/>
  <c r="F176" i="65"/>
  <c r="I175" i="65"/>
  <c r="G175" i="65"/>
  <c r="K175" i="65" s="1"/>
  <c r="J174" i="65"/>
  <c r="K174" i="65" s="1"/>
  <c r="F174" i="65"/>
  <c r="J173" i="65"/>
  <c r="K173" i="65" s="1"/>
  <c r="F173" i="65"/>
  <c r="I172" i="65"/>
  <c r="G172" i="65"/>
  <c r="K172" i="65" s="1"/>
  <c r="J171" i="65"/>
  <c r="K171" i="65" s="1"/>
  <c r="F171" i="65"/>
  <c r="J170" i="65"/>
  <c r="K170" i="65" s="1"/>
  <c r="F170" i="65"/>
  <c r="J169" i="65"/>
  <c r="K169" i="65" s="1"/>
  <c r="F169" i="65"/>
  <c r="J168" i="65"/>
  <c r="K168" i="65" s="1"/>
  <c r="F168" i="65"/>
  <c r="J167" i="65"/>
  <c r="K167" i="65" s="1"/>
  <c r="F167" i="65"/>
  <c r="J166" i="65"/>
  <c r="K166" i="65" s="1"/>
  <c r="F166" i="65"/>
  <c r="J165" i="65"/>
  <c r="K165" i="65" s="1"/>
  <c r="F165" i="65"/>
  <c r="J164" i="65"/>
  <c r="K164" i="65" s="1"/>
  <c r="F164" i="65"/>
  <c r="I163" i="65"/>
  <c r="G163" i="65"/>
  <c r="K163" i="65" s="1"/>
  <c r="J162" i="65"/>
  <c r="K162" i="65" s="1"/>
  <c r="F162" i="65"/>
  <c r="I161" i="65"/>
  <c r="G161" i="65"/>
  <c r="K161" i="65" s="1"/>
  <c r="J160" i="65"/>
  <c r="K160" i="65" s="1"/>
  <c r="F160" i="65"/>
  <c r="I159" i="65"/>
  <c r="G159" i="65"/>
  <c r="K159" i="65" s="1"/>
  <c r="I158" i="65"/>
  <c r="G158" i="65"/>
  <c r="K158" i="65" s="1"/>
  <c r="J157" i="65"/>
  <c r="K157" i="65" s="1"/>
  <c r="F157" i="65"/>
  <c r="I156" i="65"/>
  <c r="G156" i="65"/>
  <c r="K156" i="65" s="1"/>
  <c r="J155" i="65"/>
  <c r="K155" i="65" s="1"/>
  <c r="F155" i="65"/>
  <c r="I154" i="65"/>
  <c r="G154" i="65"/>
  <c r="K154" i="65" s="1"/>
  <c r="J153" i="65"/>
  <c r="K153" i="65" s="1"/>
  <c r="F153" i="65"/>
  <c r="J152" i="65"/>
  <c r="K152" i="65" s="1"/>
  <c r="F152" i="65"/>
  <c r="J151" i="65"/>
  <c r="K151" i="65" s="1"/>
  <c r="F151" i="65"/>
  <c r="I150" i="65"/>
  <c r="G150" i="65"/>
  <c r="K150" i="65" s="1"/>
  <c r="J149" i="65"/>
  <c r="K149" i="65" s="1"/>
  <c r="F149" i="65"/>
  <c r="K148" i="65"/>
  <c r="I148" i="65"/>
  <c r="J147" i="65"/>
  <c r="K147" i="65" s="1"/>
  <c r="F147" i="65"/>
  <c r="J146" i="65"/>
  <c r="K146" i="65" s="1"/>
  <c r="F146" i="65"/>
  <c r="I145" i="65"/>
  <c r="G145" i="65"/>
  <c r="K145" i="65" s="1"/>
  <c r="I144" i="65"/>
  <c r="G144" i="65"/>
  <c r="K144" i="65" s="1"/>
  <c r="I143" i="65"/>
  <c r="G143" i="65"/>
  <c r="K143" i="65" s="1"/>
  <c r="J142" i="65"/>
  <c r="K142" i="65" s="1"/>
  <c r="F142" i="65"/>
  <c r="J141" i="65"/>
  <c r="K141" i="65" s="1"/>
  <c r="F141" i="65"/>
  <c r="I140" i="65"/>
  <c r="G140" i="65"/>
  <c r="K140" i="65" s="1"/>
  <c r="I139" i="65"/>
  <c r="G139" i="65"/>
  <c r="K139" i="65" s="1"/>
  <c r="J138" i="65"/>
  <c r="K138" i="65" s="1"/>
  <c r="F138" i="65"/>
  <c r="J137" i="65"/>
  <c r="K137" i="65" s="1"/>
  <c r="F137" i="65"/>
  <c r="J136" i="65"/>
  <c r="K136" i="65" s="1"/>
  <c r="F136" i="65"/>
  <c r="I135" i="65"/>
  <c r="G135" i="65"/>
  <c r="K135" i="65" s="1"/>
  <c r="I134" i="65"/>
  <c r="G134" i="65"/>
  <c r="K134" i="65" s="1"/>
  <c r="I133" i="65"/>
  <c r="G133" i="65"/>
  <c r="K133" i="65" s="1"/>
  <c r="J132" i="65"/>
  <c r="K132" i="65" s="1"/>
  <c r="F132" i="65"/>
  <c r="I131" i="65"/>
  <c r="G131" i="65"/>
  <c r="K131" i="65" s="1"/>
  <c r="J130" i="65"/>
  <c r="K130" i="65" s="1"/>
  <c r="F130" i="65"/>
  <c r="J129" i="65"/>
  <c r="K129" i="65" s="1"/>
  <c r="F129" i="65"/>
  <c r="J128" i="65"/>
  <c r="K128" i="65" s="1"/>
  <c r="F128" i="65"/>
  <c r="J127" i="65"/>
  <c r="K127" i="65" s="1"/>
  <c r="F127" i="65"/>
  <c r="J126" i="65"/>
  <c r="K126" i="65" s="1"/>
  <c r="F126" i="65"/>
  <c r="J125" i="65"/>
  <c r="K125" i="65" s="1"/>
  <c r="F125" i="65"/>
  <c r="J124" i="65"/>
  <c r="K124" i="65" s="1"/>
  <c r="F124" i="65"/>
  <c r="J123" i="65"/>
  <c r="K123" i="65" s="1"/>
  <c r="F123" i="65"/>
  <c r="G122" i="65"/>
  <c r="K122" i="65" s="1"/>
  <c r="J121" i="65"/>
  <c r="K121" i="65" s="1"/>
  <c r="F121" i="65"/>
  <c r="G120" i="65"/>
  <c r="K120" i="65" s="1"/>
  <c r="G119" i="65"/>
  <c r="K119" i="65" s="1"/>
  <c r="J118" i="65"/>
  <c r="K118" i="65" s="1"/>
  <c r="F118" i="65"/>
  <c r="J117" i="65"/>
  <c r="K117" i="65" s="1"/>
  <c r="F117" i="65"/>
  <c r="J116" i="65"/>
  <c r="K116" i="65" s="1"/>
  <c r="F116" i="65"/>
  <c r="J115" i="65"/>
  <c r="K115" i="65" s="1"/>
  <c r="F115" i="65"/>
  <c r="J114" i="65"/>
  <c r="K114" i="65" s="1"/>
  <c r="F114" i="65"/>
  <c r="J113" i="65"/>
  <c r="K113" i="65" s="1"/>
  <c r="F113" i="65"/>
  <c r="K112" i="65"/>
  <c r="J111" i="65"/>
  <c r="K111" i="65" s="1"/>
  <c r="F111" i="65"/>
  <c r="J110" i="65"/>
  <c r="K110" i="65" s="1"/>
  <c r="F110" i="65"/>
  <c r="J109" i="65"/>
  <c r="K109" i="65" s="1"/>
  <c r="F109" i="65"/>
  <c r="J108" i="65"/>
  <c r="K108" i="65" s="1"/>
  <c r="F108" i="65"/>
  <c r="J107" i="65"/>
  <c r="K107" i="65" s="1"/>
  <c r="F107" i="65"/>
  <c r="J106" i="65"/>
  <c r="K106" i="65" s="1"/>
  <c r="F106" i="65"/>
  <c r="J105" i="65"/>
  <c r="K105" i="65" s="1"/>
  <c r="F105" i="65"/>
  <c r="J104" i="65"/>
  <c r="K104" i="65" s="1"/>
  <c r="F104" i="65"/>
  <c r="J103" i="65"/>
  <c r="K103" i="65" s="1"/>
  <c r="F103" i="65"/>
  <c r="J102" i="65"/>
  <c r="K102" i="65" s="1"/>
  <c r="F102" i="65"/>
  <c r="J101" i="65"/>
  <c r="K101" i="65" s="1"/>
  <c r="F101" i="65"/>
  <c r="J100" i="65"/>
  <c r="K100" i="65" s="1"/>
  <c r="F100" i="65"/>
  <c r="J99" i="65"/>
  <c r="K99" i="65" s="1"/>
  <c r="F99" i="65"/>
  <c r="K98" i="65"/>
  <c r="I98" i="65"/>
  <c r="J97" i="65"/>
  <c r="K97" i="65" s="1"/>
  <c r="F97" i="65"/>
  <c r="J96" i="65"/>
  <c r="K96" i="65" s="1"/>
  <c r="F96" i="65"/>
  <c r="J95" i="65"/>
  <c r="K95" i="65" s="1"/>
  <c r="F95" i="65"/>
  <c r="I94" i="65"/>
  <c r="G94" i="65"/>
  <c r="K94" i="65" s="1"/>
  <c r="J93" i="65"/>
  <c r="K93" i="65" s="1"/>
  <c r="F93" i="65"/>
  <c r="I92" i="65"/>
  <c r="G92" i="65"/>
  <c r="K92" i="65" s="1"/>
  <c r="J91" i="65"/>
  <c r="K91" i="65" s="1"/>
  <c r="F91" i="65"/>
  <c r="J90" i="65"/>
  <c r="K90" i="65" s="1"/>
  <c r="F90" i="65"/>
  <c r="I89" i="65"/>
  <c r="G89" i="65"/>
  <c r="K89" i="65" s="1"/>
  <c r="J88" i="65"/>
  <c r="K88" i="65" s="1"/>
  <c r="F88" i="65"/>
  <c r="J87" i="65"/>
  <c r="K87" i="65" s="1"/>
  <c r="F87" i="65"/>
  <c r="I86" i="65"/>
  <c r="G86" i="65"/>
  <c r="K86" i="65" s="1"/>
  <c r="J85" i="65"/>
  <c r="K85" i="65" s="1"/>
  <c r="F85" i="65"/>
  <c r="I84" i="65"/>
  <c r="G84" i="65"/>
  <c r="K84" i="65" s="1"/>
  <c r="J83" i="65"/>
  <c r="K83" i="65" s="1"/>
  <c r="F83" i="65"/>
  <c r="J82" i="65"/>
  <c r="K82" i="65" s="1"/>
  <c r="F82" i="65"/>
  <c r="J81" i="65"/>
  <c r="K81" i="65" s="1"/>
  <c r="F81" i="65"/>
  <c r="I80" i="65"/>
  <c r="G80" i="65"/>
  <c r="K80" i="65" s="1"/>
  <c r="I79" i="65"/>
  <c r="G79" i="65"/>
  <c r="K79" i="65" s="1"/>
  <c r="I78" i="65"/>
  <c r="G78" i="65"/>
  <c r="K78" i="65" s="1"/>
  <c r="I77" i="65"/>
  <c r="G77" i="65"/>
  <c r="K77" i="65" s="1"/>
  <c r="J76" i="65"/>
  <c r="K76" i="65" s="1"/>
  <c r="F76" i="65"/>
  <c r="I75" i="65"/>
  <c r="G75" i="65"/>
  <c r="K75" i="65" s="1"/>
  <c r="J74" i="65"/>
  <c r="K74" i="65" s="1"/>
  <c r="F74" i="65"/>
  <c r="J73" i="65"/>
  <c r="K73" i="65" s="1"/>
  <c r="F73" i="65"/>
  <c r="J72" i="65"/>
  <c r="K72" i="65" s="1"/>
  <c r="F72" i="65"/>
  <c r="J71" i="65"/>
  <c r="K71" i="65" s="1"/>
  <c r="F71" i="65"/>
  <c r="J70" i="65"/>
  <c r="K70" i="65" s="1"/>
  <c r="F70" i="65"/>
  <c r="J69" i="65"/>
  <c r="K69" i="65" s="1"/>
  <c r="F69" i="65"/>
  <c r="J68" i="65"/>
  <c r="K68" i="65" s="1"/>
  <c r="F68" i="65"/>
  <c r="J67" i="65"/>
  <c r="K67" i="65" s="1"/>
  <c r="F67" i="65"/>
  <c r="I66" i="65"/>
  <c r="G66" i="65"/>
  <c r="K66" i="65" s="1"/>
  <c r="J65" i="65"/>
  <c r="K65" i="65" s="1"/>
  <c r="F65" i="65"/>
  <c r="J64" i="65"/>
  <c r="K64" i="65" s="1"/>
  <c r="F64" i="65"/>
  <c r="J63" i="65"/>
  <c r="K63" i="65" s="1"/>
  <c r="F63" i="65"/>
  <c r="K62" i="65"/>
  <c r="I62" i="65"/>
  <c r="J61" i="65"/>
  <c r="K61" i="65" s="1"/>
  <c r="F61" i="65"/>
  <c r="I60" i="65"/>
  <c r="G60" i="65"/>
  <c r="K60" i="65" s="1"/>
  <c r="K59" i="65"/>
  <c r="F59" i="65"/>
  <c r="J58" i="65"/>
  <c r="K58" i="65" s="1"/>
  <c r="F58" i="65"/>
  <c r="J57" i="65"/>
  <c r="K57" i="65" s="1"/>
  <c r="F57" i="65"/>
  <c r="I56" i="65"/>
  <c r="G56" i="65"/>
  <c r="K56" i="65" s="1"/>
  <c r="I55" i="65"/>
  <c r="G55" i="65"/>
  <c r="K55" i="65" s="1"/>
  <c r="I54" i="65"/>
  <c r="G54" i="65"/>
  <c r="K54" i="65" s="1"/>
  <c r="I53" i="65"/>
  <c r="G53" i="65"/>
  <c r="K53" i="65" s="1"/>
  <c r="J52" i="65"/>
  <c r="K52" i="65" s="1"/>
  <c r="F52" i="65"/>
  <c r="I51" i="65"/>
  <c r="G51" i="65"/>
  <c r="K51" i="65" s="1"/>
  <c r="J50" i="65"/>
  <c r="K50" i="65" s="1"/>
  <c r="F50" i="65"/>
  <c r="J49" i="65"/>
  <c r="K49" i="65" s="1"/>
  <c r="F49" i="65"/>
  <c r="I48" i="65"/>
  <c r="G48" i="65"/>
  <c r="K48" i="65" s="1"/>
  <c r="J47" i="65"/>
  <c r="K47" i="65" s="1"/>
  <c r="F47" i="65"/>
  <c r="J46" i="65"/>
  <c r="K46" i="65" s="1"/>
  <c r="F46" i="65"/>
  <c r="J45" i="65"/>
  <c r="K45" i="65" s="1"/>
  <c r="J44" i="65"/>
  <c r="K44" i="65" s="1"/>
  <c r="F44" i="65"/>
  <c r="I43" i="65"/>
  <c r="G43" i="65"/>
  <c r="K43" i="65" s="1"/>
  <c r="J42" i="65"/>
  <c r="G42" i="65"/>
  <c r="K42" i="65" s="1"/>
  <c r="J41" i="65"/>
  <c r="G41" i="65"/>
  <c r="K41" i="65" s="1"/>
  <c r="J40" i="65"/>
  <c r="G40" i="65"/>
  <c r="K40" i="65" s="1"/>
  <c r="J39" i="65"/>
  <c r="G39" i="65"/>
  <c r="K39" i="65" s="1"/>
  <c r="J38" i="65"/>
  <c r="G38" i="65"/>
  <c r="K38" i="65" s="1"/>
  <c r="J37" i="65"/>
  <c r="G37" i="65"/>
  <c r="K37" i="65" s="1"/>
  <c r="J36" i="65"/>
  <c r="G36" i="65"/>
  <c r="K36" i="65" s="1"/>
  <c r="J35" i="65"/>
  <c r="G35" i="65"/>
  <c r="K35" i="65" s="1"/>
  <c r="J34" i="65"/>
  <c r="G34" i="65"/>
  <c r="K34" i="65" s="1"/>
  <c r="J33" i="65"/>
  <c r="G33" i="65"/>
  <c r="K33" i="65" s="1"/>
  <c r="J32" i="65"/>
  <c r="G32" i="65"/>
  <c r="K32" i="65" s="1"/>
  <c r="J31" i="65"/>
  <c r="G31" i="65"/>
  <c r="K31" i="65" s="1"/>
  <c r="J30" i="65"/>
  <c r="G30" i="65"/>
  <c r="K30" i="65" s="1"/>
  <c r="J29" i="65"/>
  <c r="K29" i="65" s="1"/>
  <c r="F29" i="65"/>
  <c r="J28" i="65"/>
  <c r="K28" i="65" s="1"/>
  <c r="F28" i="65"/>
  <c r="I27" i="65"/>
  <c r="G27" i="65"/>
  <c r="K27" i="65" s="1"/>
  <c r="I26" i="65"/>
  <c r="G26" i="65"/>
  <c r="K26" i="65" s="1"/>
  <c r="I25" i="65"/>
  <c r="G25" i="65"/>
  <c r="K25" i="65" s="1"/>
  <c r="J24" i="65"/>
  <c r="K24" i="65" s="1"/>
  <c r="F24" i="65"/>
  <c r="I23" i="65"/>
  <c r="G23" i="65"/>
  <c r="K23" i="65" s="1"/>
  <c r="J22" i="65"/>
  <c r="K22" i="65" s="1"/>
  <c r="F22" i="65"/>
  <c r="J21" i="65"/>
  <c r="K21" i="65" s="1"/>
  <c r="F21" i="65"/>
  <c r="J20" i="65"/>
  <c r="K20" i="65" s="1"/>
  <c r="F20" i="65"/>
  <c r="J19" i="65"/>
  <c r="K19" i="65" s="1"/>
  <c r="F19" i="65"/>
  <c r="J18" i="65"/>
  <c r="K18" i="65" s="1"/>
  <c r="F18" i="65"/>
  <c r="I17" i="65"/>
  <c r="G17" i="65"/>
  <c r="K17" i="65" s="1"/>
  <c r="I16" i="65"/>
  <c r="G16" i="65"/>
  <c r="K16" i="65" s="1"/>
  <c r="J15" i="65"/>
  <c r="K15" i="65" s="1"/>
  <c r="F15" i="65"/>
  <c r="J14" i="65"/>
  <c r="K14" i="65" s="1"/>
  <c r="F14" i="65"/>
  <c r="J13" i="65"/>
  <c r="K13" i="65" s="1"/>
  <c r="F13" i="65"/>
  <c r="J12" i="65"/>
  <c r="K12" i="65" s="1"/>
  <c r="F12" i="65"/>
  <c r="J11" i="65"/>
  <c r="K11" i="65" s="1"/>
  <c r="F11" i="65"/>
  <c r="J10" i="65"/>
  <c r="K10" i="65" s="1"/>
  <c r="F10" i="65"/>
  <c r="J9" i="65"/>
  <c r="G9" i="65"/>
  <c r="K9" i="65" s="1"/>
  <c r="J8" i="65"/>
  <c r="G8" i="65"/>
  <c r="K8" i="65" s="1"/>
  <c r="J7" i="65"/>
  <c r="K7" i="65" s="1"/>
  <c r="F7" i="65"/>
  <c r="J6" i="65"/>
  <c r="K6" i="65" s="1"/>
  <c r="F6" i="65"/>
  <c r="J5" i="65"/>
  <c r="K5" i="65" s="1"/>
  <c r="F5" i="65"/>
  <c r="J4" i="65"/>
  <c r="K4" i="65" s="1"/>
  <c r="F4" i="65"/>
  <c r="L274" i="65"/>
  <c r="L273" i="65"/>
  <c r="L272" i="65"/>
  <c r="L271" i="65"/>
  <c r="L270" i="65"/>
  <c r="L269" i="65"/>
  <c r="L268" i="65"/>
  <c r="L267" i="65"/>
  <c r="L266" i="65"/>
  <c r="L265" i="65"/>
  <c r="L264" i="65"/>
  <c r="L263" i="65"/>
  <c r="L262" i="65"/>
  <c r="L261" i="65"/>
  <c r="L260" i="65"/>
  <c r="L259" i="65"/>
  <c r="L258" i="65"/>
  <c r="L257" i="65"/>
  <c r="L256" i="65"/>
  <c r="L255" i="65"/>
  <c r="L254" i="65"/>
  <c r="L253" i="65"/>
  <c r="L252" i="65"/>
  <c r="L251" i="65"/>
  <c r="L250" i="65"/>
  <c r="L249" i="65"/>
  <c r="L248" i="65"/>
  <c r="L247" i="65"/>
  <c r="L246" i="65"/>
  <c r="L245" i="65"/>
  <c r="L244" i="65"/>
  <c r="L243" i="65"/>
  <c r="L242" i="65"/>
  <c r="L241" i="65"/>
  <c r="L240" i="65"/>
  <c r="L239" i="65"/>
  <c r="L238" i="65"/>
  <c r="L237" i="65"/>
  <c r="L236" i="65"/>
  <c r="L235" i="65"/>
  <c r="L234" i="65"/>
  <c r="L233" i="65"/>
  <c r="L232" i="65"/>
  <c r="L231" i="65"/>
  <c r="L230" i="65"/>
  <c r="L229" i="65"/>
  <c r="L228" i="65"/>
  <c r="L227" i="65"/>
  <c r="L226" i="65"/>
  <c r="L225" i="65"/>
  <c r="L224" i="65"/>
  <c r="L223" i="65"/>
  <c r="L34" i="81"/>
  <c r="J34" i="25"/>
  <c r="G34" i="100"/>
  <c r="G32" i="76"/>
  <c r="J32" i="76"/>
  <c r="K32" i="76"/>
  <c r="M32" i="76"/>
  <c r="E37" i="76"/>
  <c r="H37" i="76"/>
  <c r="J31" i="75"/>
  <c r="K31" i="16"/>
  <c r="G30" i="105"/>
  <c r="J28" i="78"/>
  <c r="J28" i="89"/>
  <c r="E28" i="9"/>
  <c r="L28" i="16"/>
  <c r="L222" i="65"/>
  <c r="L221" i="65"/>
  <c r="L220" i="65"/>
  <c r="L219" i="65"/>
  <c r="L218" i="65"/>
  <c r="L217" i="65"/>
  <c r="L216" i="65"/>
  <c r="J24" i="75"/>
  <c r="J25" i="75"/>
  <c r="J26" i="75"/>
  <c r="J27" i="75"/>
  <c r="L23" i="16"/>
  <c r="L215" i="65"/>
  <c r="L214" i="65"/>
  <c r="L213" i="65"/>
  <c r="L212" i="65"/>
  <c r="L211" i="65"/>
  <c r="L210" i="65"/>
  <c r="L209" i="65"/>
  <c r="L208" i="65"/>
  <c r="L207" i="65"/>
  <c r="L206" i="65"/>
  <c r="L205" i="65"/>
  <c r="L204" i="65"/>
  <c r="L203" i="65"/>
  <c r="L202" i="65"/>
  <c r="L201" i="65"/>
  <c r="L200" i="65"/>
  <c r="L199" i="65"/>
  <c r="L198" i="65"/>
  <c r="L197" i="65"/>
  <c r="L196" i="65"/>
  <c r="L195" i="65"/>
  <c r="L194" i="65"/>
  <c r="L193" i="65"/>
  <c r="L192" i="65"/>
  <c r="L191" i="65"/>
  <c r="L190" i="65"/>
  <c r="L189" i="65"/>
  <c r="L188" i="65"/>
  <c r="L187" i="65"/>
  <c r="L186" i="65"/>
  <c r="L185" i="65"/>
  <c r="L184" i="65"/>
  <c r="L183" i="65"/>
  <c r="L182" i="65"/>
  <c r="L181" i="65"/>
  <c r="L180" i="65"/>
  <c r="L179" i="65"/>
  <c r="L178" i="65"/>
  <c r="L177" i="65"/>
  <c r="L176" i="65"/>
  <c r="L175" i="65"/>
  <c r="L174" i="65"/>
  <c r="L173" i="65"/>
  <c r="L172" i="65"/>
  <c r="L171" i="65"/>
  <c r="L170" i="65"/>
  <c r="L169" i="65"/>
  <c r="L168" i="65"/>
  <c r="L167" i="65"/>
  <c r="L166" i="65"/>
  <c r="L165" i="65"/>
  <c r="L164" i="65"/>
  <c r="L163" i="65"/>
  <c r="L162" i="65"/>
  <c r="L161" i="65"/>
  <c r="L160" i="65"/>
  <c r="L159" i="65"/>
  <c r="L158" i="65"/>
  <c r="L157" i="65"/>
  <c r="L156" i="65"/>
  <c r="L155" i="65"/>
  <c r="L154" i="65"/>
  <c r="L153" i="65"/>
  <c r="L152" i="65"/>
  <c r="L151" i="65"/>
  <c r="L150" i="65"/>
  <c r="L149" i="65"/>
  <c r="L148" i="65"/>
  <c r="L147" i="65"/>
  <c r="L146" i="65"/>
  <c r="L145" i="65"/>
  <c r="L144" i="65"/>
  <c r="L143" i="65"/>
  <c r="L142" i="65"/>
  <c r="L141" i="65"/>
  <c r="L140" i="65"/>
  <c r="L139" i="65"/>
  <c r="L138" i="65"/>
  <c r="L137" i="65"/>
  <c r="L136" i="65"/>
  <c r="L135" i="65"/>
  <c r="L134" i="65"/>
  <c r="L133" i="65"/>
  <c r="L132" i="65"/>
  <c r="L131" i="65"/>
  <c r="L130" i="65"/>
  <c r="L129" i="65"/>
  <c r="L128" i="65"/>
  <c r="L127" i="65"/>
  <c r="L126" i="65"/>
  <c r="L125" i="65"/>
  <c r="L124" i="65"/>
  <c r="L123" i="65"/>
  <c r="L122" i="65"/>
  <c r="L121" i="65"/>
  <c r="L120" i="65"/>
  <c r="L119" i="65"/>
  <c r="L118" i="65"/>
  <c r="L117" i="65"/>
  <c r="L116" i="65"/>
  <c r="L115" i="65"/>
  <c r="L114" i="65"/>
  <c r="L113" i="65"/>
  <c r="L112" i="65"/>
  <c r="L111" i="65"/>
  <c r="L110" i="65"/>
  <c r="L109" i="65"/>
  <c r="L108" i="65"/>
  <c r="L107" i="65"/>
  <c r="L106" i="65"/>
  <c r="L105" i="65"/>
  <c r="L104" i="65"/>
  <c r="L103" i="65"/>
  <c r="L102" i="65"/>
  <c r="L101" i="65"/>
  <c r="L100" i="65"/>
  <c r="L99" i="65"/>
  <c r="L98" i="65"/>
  <c r="L97" i="65"/>
  <c r="L96" i="65"/>
  <c r="L95" i="65"/>
  <c r="L94" i="65"/>
  <c r="L93" i="65"/>
  <c r="L92" i="65"/>
  <c r="L91" i="65"/>
  <c r="L90" i="65"/>
  <c r="L89" i="65"/>
  <c r="L88" i="65"/>
  <c r="L87" i="65"/>
  <c r="L86" i="65"/>
  <c r="L85" i="65"/>
  <c r="L84" i="65"/>
  <c r="L83" i="65"/>
  <c r="L82" i="65"/>
  <c r="L81" i="65"/>
  <c r="L80" i="65"/>
  <c r="L79" i="65"/>
  <c r="L78" i="65"/>
  <c r="L77" i="65"/>
  <c r="L76" i="65"/>
  <c r="L75" i="65"/>
  <c r="L74" i="65"/>
  <c r="L73" i="65"/>
  <c r="L72" i="65"/>
  <c r="L71" i="65"/>
  <c r="L70" i="65"/>
  <c r="L69" i="65"/>
  <c r="L68" i="65"/>
  <c r="L67" i="65"/>
  <c r="L66" i="65"/>
  <c r="L65" i="65"/>
  <c r="L64" i="65"/>
  <c r="L63" i="65"/>
  <c r="L62" i="65"/>
  <c r="L61" i="65"/>
  <c r="L60" i="65"/>
  <c r="L59" i="65"/>
  <c r="L58" i="65"/>
  <c r="L57" i="65"/>
  <c r="L56" i="65"/>
  <c r="L55" i="65"/>
  <c r="L5" i="65"/>
  <c r="L6" i="65"/>
  <c r="L7" i="65"/>
  <c r="L8" i="65"/>
  <c r="L9" i="65"/>
  <c r="L10" i="65"/>
  <c r="L11" i="65"/>
  <c r="L12" i="65"/>
  <c r="L13" i="65"/>
  <c r="L14" i="65"/>
  <c r="L15" i="65"/>
  <c r="L16" i="65"/>
  <c r="L17" i="65"/>
  <c r="L18" i="65"/>
  <c r="L19" i="65"/>
  <c r="L20" i="65"/>
  <c r="L21" i="65"/>
  <c r="L22" i="65"/>
  <c r="L23" i="65"/>
  <c r="L24" i="65"/>
  <c r="L25" i="65"/>
  <c r="L26" i="65"/>
  <c r="L27" i="65"/>
  <c r="L28" i="65"/>
  <c r="L29" i="65"/>
  <c r="L30" i="65"/>
  <c r="L31" i="65"/>
  <c r="L32" i="65"/>
  <c r="L33" i="65"/>
  <c r="L34" i="65"/>
  <c r="L35" i="65"/>
  <c r="L36" i="65"/>
  <c r="L37" i="65"/>
  <c r="L38" i="65"/>
  <c r="L39" i="65"/>
  <c r="L40" i="65"/>
  <c r="L41" i="65"/>
  <c r="L42" i="65"/>
  <c r="L43" i="65"/>
  <c r="L44" i="65"/>
  <c r="L45" i="65"/>
  <c r="L48" i="65"/>
  <c r="L49" i="65"/>
  <c r="L50" i="65"/>
  <c r="L51" i="65"/>
  <c r="L52" i="65"/>
  <c r="L53" i="65"/>
  <c r="L54" i="65"/>
  <c r="L4" i="65"/>
  <c r="I13" i="56"/>
  <c r="I12" i="56"/>
  <c r="M24" i="105"/>
  <c r="M4" i="105"/>
  <c r="M5" i="105" s="1"/>
  <c r="M6" i="105" s="1"/>
  <c r="M7" i="105" s="1"/>
  <c r="M8" i="105" s="1"/>
  <c r="M9" i="105" s="1"/>
  <c r="M10" i="105" s="1"/>
  <c r="M11" i="105" s="1"/>
  <c r="M12" i="105" s="1"/>
  <c r="M13" i="105" s="1"/>
  <c r="M14" i="105" s="1"/>
  <c r="M15" i="105" s="1"/>
  <c r="M16" i="105" s="1"/>
  <c r="M17" i="105" s="1"/>
  <c r="M18" i="105" s="1"/>
  <c r="M19" i="105" s="1"/>
  <c r="M20" i="105" s="1"/>
  <c r="M21" i="105" s="1"/>
  <c r="M22" i="105" s="1"/>
  <c r="M23" i="105" s="1"/>
  <c r="M25" i="105" s="1"/>
  <c r="M5" i="104"/>
  <c r="M6" i="104"/>
  <c r="M7" i="104"/>
  <c r="M8" i="104"/>
  <c r="M9" i="104"/>
  <c r="M10" i="104"/>
  <c r="M11" i="104"/>
  <c r="M12" i="104"/>
  <c r="M13" i="104"/>
  <c r="M14" i="104"/>
  <c r="M15" i="104"/>
  <c r="M16" i="104"/>
  <c r="M17" i="104"/>
  <c r="M18" i="104"/>
  <c r="M19" i="104"/>
  <c r="M20" i="104"/>
  <c r="M21" i="104"/>
  <c r="M22" i="104"/>
  <c r="M23" i="104"/>
  <c r="M24" i="104"/>
  <c r="M25" i="104"/>
  <c r="M4" i="104"/>
  <c r="H37" i="105"/>
  <c r="F13" i="56" s="1"/>
  <c r="E37" i="105"/>
  <c r="D13" i="56" s="1"/>
  <c r="J36" i="105"/>
  <c r="G36" i="105"/>
  <c r="K36" i="105" s="1"/>
  <c r="J35" i="105"/>
  <c r="G35" i="105"/>
  <c r="K35" i="105" s="1"/>
  <c r="J34" i="105"/>
  <c r="G34" i="105"/>
  <c r="K34" i="105" s="1"/>
  <c r="J33" i="105"/>
  <c r="G33" i="105"/>
  <c r="K33" i="105" s="1"/>
  <c r="J32" i="105"/>
  <c r="G32" i="105"/>
  <c r="K32" i="105" s="1"/>
  <c r="J31" i="105"/>
  <c r="G31" i="105"/>
  <c r="K31" i="105" s="1"/>
  <c r="J30" i="105"/>
  <c r="K30" i="105" s="1"/>
  <c r="J29" i="105"/>
  <c r="G29" i="105"/>
  <c r="K29" i="105" s="1"/>
  <c r="J28" i="105"/>
  <c r="G28" i="105"/>
  <c r="K28" i="105" s="1"/>
  <c r="J27" i="105"/>
  <c r="G27" i="105"/>
  <c r="K27" i="105" s="1"/>
  <c r="J26" i="105"/>
  <c r="G26" i="105"/>
  <c r="K26" i="105" s="1"/>
  <c r="J25" i="105"/>
  <c r="G25" i="105"/>
  <c r="K25" i="105" s="1"/>
  <c r="J24" i="105"/>
  <c r="G24" i="105"/>
  <c r="K24" i="105" s="1"/>
  <c r="J23" i="105"/>
  <c r="G23" i="105"/>
  <c r="K23" i="105" s="1"/>
  <c r="J22" i="105"/>
  <c r="G22" i="105"/>
  <c r="K22" i="105" s="1"/>
  <c r="J21" i="105"/>
  <c r="G21" i="105"/>
  <c r="K21" i="105" s="1"/>
  <c r="J20" i="105"/>
  <c r="G20" i="105"/>
  <c r="K20" i="105" s="1"/>
  <c r="J19" i="105"/>
  <c r="G19" i="105"/>
  <c r="K19" i="105" s="1"/>
  <c r="J18" i="105"/>
  <c r="G18" i="105"/>
  <c r="K18" i="105" s="1"/>
  <c r="J17" i="105"/>
  <c r="G17" i="105"/>
  <c r="K17" i="105" s="1"/>
  <c r="J16" i="105"/>
  <c r="G16" i="105"/>
  <c r="K16" i="105" s="1"/>
  <c r="J15" i="105"/>
  <c r="G15" i="105"/>
  <c r="K15" i="105" s="1"/>
  <c r="J14" i="105"/>
  <c r="G14" i="105"/>
  <c r="K14" i="105" s="1"/>
  <c r="J13" i="105"/>
  <c r="G13" i="105"/>
  <c r="K13" i="105" s="1"/>
  <c r="J12" i="105"/>
  <c r="G12" i="105"/>
  <c r="K12" i="105" s="1"/>
  <c r="J11" i="105"/>
  <c r="G11" i="105"/>
  <c r="K11" i="105" s="1"/>
  <c r="J10" i="105"/>
  <c r="G10" i="105"/>
  <c r="K10" i="105" s="1"/>
  <c r="J9" i="105"/>
  <c r="G9" i="105"/>
  <c r="K9" i="105" s="1"/>
  <c r="J8" i="105"/>
  <c r="G8" i="105"/>
  <c r="K8" i="105" s="1"/>
  <c r="J7" i="105"/>
  <c r="G7" i="105"/>
  <c r="K7" i="105" s="1"/>
  <c r="J6" i="105"/>
  <c r="G6" i="105"/>
  <c r="K6" i="105" s="1"/>
  <c r="J5" i="105"/>
  <c r="K5" i="105" s="1"/>
  <c r="J4" i="105"/>
  <c r="J37" i="105" s="1"/>
  <c r="G13" i="56" s="1"/>
  <c r="G4" i="105"/>
  <c r="H37" i="104"/>
  <c r="F12" i="56" s="1"/>
  <c r="E37" i="104"/>
  <c r="D12" i="56" s="1"/>
  <c r="J36" i="104"/>
  <c r="G36" i="104"/>
  <c r="K36" i="104" s="1"/>
  <c r="L36" i="104" s="1"/>
  <c r="J35" i="104"/>
  <c r="G35" i="104"/>
  <c r="K35" i="104" s="1"/>
  <c r="L35" i="104" s="1"/>
  <c r="J34" i="104"/>
  <c r="G34" i="104"/>
  <c r="K34" i="104" s="1"/>
  <c r="L34" i="104" s="1"/>
  <c r="J33" i="104"/>
  <c r="G33" i="104"/>
  <c r="K33" i="104" s="1"/>
  <c r="J32" i="104"/>
  <c r="G32" i="104"/>
  <c r="K32" i="104" s="1"/>
  <c r="L32" i="104" s="1"/>
  <c r="J31" i="104"/>
  <c r="G31" i="104"/>
  <c r="K31" i="104" s="1"/>
  <c r="L31" i="104" s="1"/>
  <c r="J30" i="104"/>
  <c r="K30" i="104" s="1"/>
  <c r="J29" i="104"/>
  <c r="G29" i="104"/>
  <c r="K29" i="104" s="1"/>
  <c r="J28" i="104"/>
  <c r="G28" i="104"/>
  <c r="K28" i="104" s="1"/>
  <c r="J27" i="104"/>
  <c r="G27" i="104"/>
  <c r="K27" i="104" s="1"/>
  <c r="J26" i="104"/>
  <c r="G26" i="104"/>
  <c r="K26" i="104" s="1"/>
  <c r="J25" i="104"/>
  <c r="G25" i="104"/>
  <c r="K25" i="104" s="1"/>
  <c r="J24" i="104"/>
  <c r="G24" i="104"/>
  <c r="K24" i="104" s="1"/>
  <c r="J23" i="104"/>
  <c r="G23" i="104"/>
  <c r="K23" i="104" s="1"/>
  <c r="L23" i="104" s="1"/>
  <c r="J22" i="104"/>
  <c r="G22" i="104"/>
  <c r="K22" i="104" s="1"/>
  <c r="L22" i="104" s="1"/>
  <c r="J21" i="104"/>
  <c r="G21" i="104"/>
  <c r="K21" i="104" s="1"/>
  <c r="L21" i="104" s="1"/>
  <c r="J20" i="104"/>
  <c r="G20" i="104"/>
  <c r="K20" i="104" s="1"/>
  <c r="L20" i="104" s="1"/>
  <c r="J19" i="104"/>
  <c r="G19" i="104"/>
  <c r="K19" i="104" s="1"/>
  <c r="L19" i="104" s="1"/>
  <c r="J18" i="104"/>
  <c r="G18" i="104"/>
  <c r="K18" i="104" s="1"/>
  <c r="L18" i="104" s="1"/>
  <c r="J17" i="104"/>
  <c r="G17" i="104"/>
  <c r="K17" i="104" s="1"/>
  <c r="L17" i="104" s="1"/>
  <c r="J16" i="104"/>
  <c r="G16" i="104"/>
  <c r="K16" i="104" s="1"/>
  <c r="L16" i="104" s="1"/>
  <c r="J15" i="104"/>
  <c r="G15" i="104"/>
  <c r="K15" i="104" s="1"/>
  <c r="L15" i="104" s="1"/>
  <c r="J14" i="104"/>
  <c r="G14" i="104"/>
  <c r="K14" i="104" s="1"/>
  <c r="L14" i="104" s="1"/>
  <c r="J13" i="104"/>
  <c r="G13" i="104"/>
  <c r="K13" i="104" s="1"/>
  <c r="L13" i="104" s="1"/>
  <c r="J12" i="104"/>
  <c r="G12" i="104"/>
  <c r="K12" i="104" s="1"/>
  <c r="L12" i="104" s="1"/>
  <c r="J11" i="104"/>
  <c r="G11" i="104"/>
  <c r="K11" i="104" s="1"/>
  <c r="L11" i="104" s="1"/>
  <c r="J10" i="104"/>
  <c r="G10" i="104"/>
  <c r="K10" i="104" s="1"/>
  <c r="L10" i="104" s="1"/>
  <c r="J9" i="104"/>
  <c r="G9" i="104"/>
  <c r="K9" i="104" s="1"/>
  <c r="L9" i="104" s="1"/>
  <c r="J8" i="104"/>
  <c r="G8" i="104"/>
  <c r="K8" i="104" s="1"/>
  <c r="L8" i="104" s="1"/>
  <c r="J7" i="104"/>
  <c r="G7" i="104"/>
  <c r="K7" i="104" s="1"/>
  <c r="L7" i="104" s="1"/>
  <c r="J6" i="104"/>
  <c r="G6" i="104"/>
  <c r="K6" i="104" s="1"/>
  <c r="L6" i="104" s="1"/>
  <c r="J5" i="104"/>
  <c r="K5" i="104" s="1"/>
  <c r="L5" i="104" s="1"/>
  <c r="J4" i="104"/>
  <c r="J37" i="104" s="1"/>
  <c r="G12" i="56" s="1"/>
  <c r="G4" i="104"/>
  <c r="K27" i="26"/>
  <c r="J27" i="26"/>
  <c r="M26" i="26"/>
  <c r="M27" i="26"/>
  <c r="M28" i="26"/>
  <c r="L26" i="26"/>
  <c r="G20" i="9"/>
  <c r="G21" i="9"/>
  <c r="G22" i="75"/>
  <c r="G23" i="75"/>
  <c r="L21" i="101"/>
  <c r="L22" i="101"/>
  <c r="M18" i="101"/>
  <c r="M19" i="101"/>
  <c r="M20" i="101"/>
  <c r="M21" i="101"/>
  <c r="M22" i="101"/>
  <c r="K20" i="101"/>
  <c r="K21" i="101"/>
  <c r="K22" i="101"/>
  <c r="G21" i="101"/>
  <c r="G22" i="101"/>
  <c r="G20" i="24"/>
  <c r="G21" i="26"/>
  <c r="K21" i="26" s="1"/>
  <c r="L21" i="26" s="1"/>
  <c r="K19" i="98"/>
  <c r="L19" i="98"/>
  <c r="G19" i="98"/>
  <c r="G19" i="3"/>
  <c r="L17" i="85"/>
  <c r="J16" i="103"/>
  <c r="L14" i="81"/>
  <c r="K13" i="47"/>
  <c r="J13" i="47"/>
  <c r="G13" i="47"/>
  <c r="G10" i="75"/>
  <c r="L13" i="98"/>
  <c r="J8" i="85"/>
  <c r="J9" i="85"/>
  <c r="J10" i="85"/>
  <c r="J11" i="85"/>
  <c r="J12" i="85"/>
  <c r="J13" i="85"/>
  <c r="J14" i="85"/>
  <c r="J15" i="85"/>
  <c r="J16" i="85"/>
  <c r="M11" i="89"/>
  <c r="L11" i="98"/>
  <c r="M6" i="62"/>
  <c r="M7" i="62"/>
  <c r="M8" i="62"/>
  <c r="M9" i="62"/>
  <c r="M10" i="62"/>
  <c r="K8" i="103"/>
  <c r="K9" i="103"/>
  <c r="G8" i="103"/>
  <c r="G9" i="103"/>
  <c r="J7" i="103"/>
  <c r="K7" i="103"/>
  <c r="G7" i="103"/>
  <c r="J14" i="50"/>
  <c r="J5" i="50"/>
  <c r="J33" i="83"/>
  <c r="G33" i="83"/>
  <c r="K33" i="83"/>
  <c r="G8" i="99"/>
  <c r="G9" i="99"/>
  <c r="G10" i="99"/>
  <c r="G11" i="99"/>
  <c r="G12" i="99"/>
  <c r="G13" i="99"/>
  <c r="G14" i="99"/>
  <c r="J41" i="26"/>
  <c r="M3" i="16"/>
  <c r="G21" i="33"/>
  <c r="J21" i="33"/>
  <c r="K21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I50" i="56"/>
  <c r="G23" i="51"/>
  <c r="J33" i="50"/>
  <c r="G33" i="100"/>
  <c r="J30" i="50"/>
  <c r="J31" i="50"/>
  <c r="J32" i="50"/>
  <c r="G33" i="81"/>
  <c r="J32" i="35"/>
  <c r="G32" i="100"/>
  <c r="J23" i="75"/>
  <c r="K23" i="75" s="1"/>
  <c r="E38" i="47"/>
  <c r="G31" i="24"/>
  <c r="G30" i="24"/>
  <c r="G30" i="100"/>
  <c r="G31" i="100"/>
  <c r="G26" i="26"/>
  <c r="G28" i="26"/>
  <c r="G29" i="26"/>
  <c r="G30" i="26"/>
  <c r="G31" i="26"/>
  <c r="G32" i="26"/>
  <c r="J29" i="50"/>
  <c r="G29" i="100"/>
  <c r="I16" i="56"/>
  <c r="J28" i="50"/>
  <c r="J21" i="99"/>
  <c r="J22" i="99"/>
  <c r="J23" i="99"/>
  <c r="G29" i="99"/>
  <c r="G28" i="100"/>
  <c r="J27" i="78"/>
  <c r="G27" i="78"/>
  <c r="K27" i="78" s="1"/>
  <c r="J26" i="78"/>
  <c r="G26" i="78"/>
  <c r="K26" i="78" s="1"/>
  <c r="J25" i="78"/>
  <c r="G25" i="78"/>
  <c r="K25" i="78" s="1"/>
  <c r="J24" i="78"/>
  <c r="G24" i="78"/>
  <c r="K24" i="78" s="1"/>
  <c r="J23" i="78"/>
  <c r="G23" i="78"/>
  <c r="K23" i="78" s="1"/>
  <c r="J22" i="78"/>
  <c r="G22" i="78"/>
  <c r="K22" i="78" s="1"/>
  <c r="J21" i="78"/>
  <c r="G21" i="78"/>
  <c r="K21" i="78" s="1"/>
  <c r="J26" i="50"/>
  <c r="J27" i="50"/>
  <c r="G27" i="11"/>
  <c r="G27" i="100"/>
  <c r="G25" i="100"/>
  <c r="G26" i="100"/>
  <c r="J24" i="50"/>
  <c r="J25" i="50"/>
  <c r="J19" i="50"/>
  <c r="J20" i="50"/>
  <c r="J21" i="50"/>
  <c r="J22" i="50"/>
  <c r="J23" i="50"/>
  <c r="G24" i="100"/>
  <c r="G23" i="100"/>
  <c r="G19" i="69"/>
  <c r="K19" i="69" s="1"/>
  <c r="J23" i="12"/>
  <c r="G22" i="100"/>
  <c r="E48" i="26"/>
  <c r="G21" i="11"/>
  <c r="G21" i="100"/>
  <c r="G21" i="81"/>
  <c r="G19" i="100"/>
  <c r="G20" i="100"/>
  <c r="G20" i="81"/>
  <c r="J15" i="50"/>
  <c r="J16" i="50"/>
  <c r="J17" i="50"/>
  <c r="J18" i="50"/>
  <c r="G18" i="100"/>
  <c r="G17" i="100"/>
  <c r="G16" i="100"/>
  <c r="G8" i="19"/>
  <c r="J8" i="19"/>
  <c r="K8" i="19"/>
  <c r="G9" i="19"/>
  <c r="J9" i="19"/>
  <c r="K9" i="19"/>
  <c r="G10" i="19"/>
  <c r="J10" i="19"/>
  <c r="K10" i="19"/>
  <c r="G11" i="19"/>
  <c r="J11" i="19"/>
  <c r="K11" i="19"/>
  <c r="G12" i="19"/>
  <c r="J12" i="19"/>
  <c r="K12" i="19"/>
  <c r="G13" i="19"/>
  <c r="J13" i="19"/>
  <c r="K13" i="19"/>
  <c r="G14" i="19"/>
  <c r="J14" i="19"/>
  <c r="K14" i="19"/>
  <c r="G15" i="19"/>
  <c r="J15" i="19"/>
  <c r="K15" i="19"/>
  <c r="G16" i="19"/>
  <c r="J16" i="19"/>
  <c r="K16" i="19"/>
  <c r="G17" i="19"/>
  <c r="J17" i="19"/>
  <c r="K17" i="19"/>
  <c r="G18" i="19"/>
  <c r="J18" i="19"/>
  <c r="K18" i="19"/>
  <c r="G19" i="19"/>
  <c r="J19" i="19"/>
  <c r="K19" i="19"/>
  <c r="G20" i="19"/>
  <c r="J20" i="19"/>
  <c r="K20" i="19"/>
  <c r="G21" i="19"/>
  <c r="J21" i="19"/>
  <c r="K21" i="19"/>
  <c r="G22" i="19"/>
  <c r="J22" i="19"/>
  <c r="K22" i="19"/>
  <c r="G23" i="19"/>
  <c r="J23" i="19"/>
  <c r="K23" i="19"/>
  <c r="G24" i="19"/>
  <c r="J24" i="19"/>
  <c r="K24" i="19"/>
  <c r="G25" i="19"/>
  <c r="J25" i="19"/>
  <c r="K25" i="19"/>
  <c r="G26" i="19"/>
  <c r="J26" i="19"/>
  <c r="K26" i="19"/>
  <c r="G27" i="19"/>
  <c r="J27" i="19"/>
  <c r="K27" i="19"/>
  <c r="G28" i="19"/>
  <c r="J28" i="19"/>
  <c r="K28" i="19"/>
  <c r="G29" i="19"/>
  <c r="J29" i="19"/>
  <c r="K29" i="19"/>
  <c r="G30" i="19"/>
  <c r="J30" i="19"/>
  <c r="K30" i="19"/>
  <c r="G31" i="19"/>
  <c r="J31" i="19"/>
  <c r="K31" i="19"/>
  <c r="G32" i="19"/>
  <c r="J32" i="19"/>
  <c r="K32" i="19"/>
  <c r="G33" i="19"/>
  <c r="J33" i="19"/>
  <c r="K33" i="19"/>
  <c r="G17" i="89"/>
  <c r="G15" i="100"/>
  <c r="G14" i="100"/>
  <c r="G13" i="100"/>
  <c r="J15" i="75"/>
  <c r="G16" i="103"/>
  <c r="K16" i="103" s="1"/>
  <c r="H39" i="103"/>
  <c r="F16" i="56" s="1"/>
  <c r="E39" i="103"/>
  <c r="D16" i="56" s="1"/>
  <c r="J38" i="103"/>
  <c r="G38" i="103"/>
  <c r="K38" i="103" s="1"/>
  <c r="J37" i="103"/>
  <c r="G37" i="103"/>
  <c r="K37" i="103" s="1"/>
  <c r="J36" i="103"/>
  <c r="G36" i="103"/>
  <c r="K36" i="103" s="1"/>
  <c r="J35" i="103"/>
  <c r="G35" i="103"/>
  <c r="K35" i="103" s="1"/>
  <c r="J34" i="103"/>
  <c r="G34" i="103"/>
  <c r="K34" i="103" s="1"/>
  <c r="J33" i="103"/>
  <c r="G33" i="103"/>
  <c r="K33" i="103" s="1"/>
  <c r="J32" i="103"/>
  <c r="G32" i="103"/>
  <c r="K32" i="103" s="1"/>
  <c r="J31" i="103"/>
  <c r="G31" i="103"/>
  <c r="K31" i="103" s="1"/>
  <c r="J30" i="103"/>
  <c r="G30" i="103"/>
  <c r="K30" i="103" s="1"/>
  <c r="J29" i="103"/>
  <c r="G29" i="103"/>
  <c r="K29" i="103" s="1"/>
  <c r="J28" i="103"/>
  <c r="G28" i="103"/>
  <c r="K28" i="103" s="1"/>
  <c r="J27" i="103"/>
  <c r="G27" i="103"/>
  <c r="K27" i="103" s="1"/>
  <c r="J26" i="103"/>
  <c r="G26" i="103"/>
  <c r="K26" i="103" s="1"/>
  <c r="J25" i="103"/>
  <c r="G25" i="103"/>
  <c r="K25" i="103" s="1"/>
  <c r="J24" i="103"/>
  <c r="G24" i="103"/>
  <c r="K24" i="103" s="1"/>
  <c r="J23" i="103"/>
  <c r="G23" i="103"/>
  <c r="K23" i="103" s="1"/>
  <c r="J22" i="103"/>
  <c r="G22" i="103"/>
  <c r="K22" i="103" s="1"/>
  <c r="J21" i="103"/>
  <c r="G21" i="103"/>
  <c r="K21" i="103" s="1"/>
  <c r="J20" i="103"/>
  <c r="G20" i="103"/>
  <c r="K20" i="103" s="1"/>
  <c r="J19" i="103"/>
  <c r="G19" i="103"/>
  <c r="K19" i="103" s="1"/>
  <c r="J18" i="103"/>
  <c r="G18" i="103"/>
  <c r="K18" i="103" s="1"/>
  <c r="J17" i="103"/>
  <c r="G17" i="103"/>
  <c r="K17" i="103" s="1"/>
  <c r="L39" i="103"/>
  <c r="J16" i="56" s="1"/>
  <c r="J39" i="103"/>
  <c r="G16" i="56" s="1"/>
  <c r="G15" i="93"/>
  <c r="K15" i="93" s="1"/>
  <c r="G12" i="100"/>
  <c r="G11" i="100"/>
  <c r="G12" i="85"/>
  <c r="J10" i="47"/>
  <c r="J11" i="47"/>
  <c r="J12" i="47"/>
  <c r="J14" i="47"/>
  <c r="J15" i="47"/>
  <c r="G10" i="47"/>
  <c r="K10" i="47" s="1"/>
  <c r="G11" i="47"/>
  <c r="K11" i="47" s="1"/>
  <c r="G12" i="47"/>
  <c r="K12" i="47" s="1"/>
  <c r="G14" i="47"/>
  <c r="K14" i="47" s="1"/>
  <c r="G15" i="47"/>
  <c r="K15" i="47" s="1"/>
  <c r="G16" i="47"/>
  <c r="G17" i="47"/>
  <c r="G18" i="47"/>
  <c r="S17" i="47"/>
  <c r="S19" i="47" s="1"/>
  <c r="S21" i="47" s="1"/>
  <c r="G16" i="62"/>
  <c r="K16" i="62" s="1"/>
  <c r="G10" i="100"/>
  <c r="G9" i="100"/>
  <c r="G8" i="100"/>
  <c r="J8" i="9"/>
  <c r="G8" i="9"/>
  <c r="K8" i="9" s="1"/>
  <c r="J10" i="25"/>
  <c r="G10" i="25"/>
  <c r="K10" i="25" s="1"/>
  <c r="B7" i="102"/>
  <c r="J7" i="35"/>
  <c r="G5" i="100"/>
  <c r="G6" i="100"/>
  <c r="G7" i="100"/>
  <c r="G7" i="83"/>
  <c r="G7" i="14"/>
  <c r="J7" i="14"/>
  <c r="K7" i="14"/>
  <c r="J5" i="101"/>
  <c r="J5" i="71"/>
  <c r="K5" i="71" s="1"/>
  <c r="L5" i="71" s="1"/>
  <c r="G4" i="100"/>
  <c r="J5" i="25"/>
  <c r="G5" i="25"/>
  <c r="K5" i="25" s="1"/>
  <c r="J6" i="24"/>
  <c r="J7" i="24"/>
  <c r="J8" i="24"/>
  <c r="J5" i="24"/>
  <c r="J4" i="24"/>
  <c r="G14" i="24"/>
  <c r="J14" i="24"/>
  <c r="K14" i="24"/>
  <c r="G15" i="24"/>
  <c r="J15" i="24"/>
  <c r="K15" i="24"/>
  <c r="G16" i="24"/>
  <c r="J16" i="24"/>
  <c r="K16" i="24"/>
  <c r="G17" i="24"/>
  <c r="J17" i="24"/>
  <c r="K17" i="24"/>
  <c r="G18" i="24"/>
  <c r="J18" i="24"/>
  <c r="K18" i="24"/>
  <c r="G19" i="24"/>
  <c r="J19" i="24"/>
  <c r="K19" i="24"/>
  <c r="J20" i="24"/>
  <c r="K20" i="24"/>
  <c r="G4" i="76"/>
  <c r="G5" i="76"/>
  <c r="G5" i="62"/>
  <c r="K5" i="62" s="1"/>
  <c r="G5" i="85"/>
  <c r="J32" i="73"/>
  <c r="J33" i="73"/>
  <c r="J34" i="73"/>
  <c r="G31" i="73"/>
  <c r="G32" i="73"/>
  <c r="G33" i="73"/>
  <c r="G34" i="73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I27" i="56"/>
  <c r="H35" i="100"/>
  <c r="G35" i="100"/>
  <c r="E35" i="100"/>
  <c r="I30" i="56"/>
  <c r="L37" i="101"/>
  <c r="J30" i="56" s="1"/>
  <c r="H37" i="101"/>
  <c r="F30" i="56" s="1"/>
  <c r="E37" i="101"/>
  <c r="D30" i="56" s="1"/>
  <c r="J36" i="101"/>
  <c r="G36" i="101"/>
  <c r="K36" i="101" s="1"/>
  <c r="J35" i="101"/>
  <c r="G35" i="101"/>
  <c r="K35" i="101" s="1"/>
  <c r="J34" i="101"/>
  <c r="G34" i="101"/>
  <c r="K34" i="101" s="1"/>
  <c r="J33" i="101"/>
  <c r="G33" i="101"/>
  <c r="K33" i="101" s="1"/>
  <c r="J32" i="101"/>
  <c r="G32" i="101"/>
  <c r="K32" i="101" s="1"/>
  <c r="K37" i="101" s="1"/>
  <c r="J31" i="101"/>
  <c r="G31" i="101"/>
  <c r="K31" i="101" s="1"/>
  <c r="J30" i="101"/>
  <c r="G30" i="101"/>
  <c r="K30" i="101" s="1"/>
  <c r="J29" i="101"/>
  <c r="G29" i="101"/>
  <c r="K29" i="101" s="1"/>
  <c r="J28" i="101"/>
  <c r="G28" i="101"/>
  <c r="K28" i="101" s="1"/>
  <c r="J27" i="101"/>
  <c r="G27" i="101"/>
  <c r="K27" i="101" s="1"/>
  <c r="J26" i="101"/>
  <c r="G26" i="101"/>
  <c r="K26" i="101" s="1"/>
  <c r="J25" i="101"/>
  <c r="G25" i="101"/>
  <c r="K25" i="101" s="1"/>
  <c r="J24" i="101"/>
  <c r="G24" i="101"/>
  <c r="K24" i="101" s="1"/>
  <c r="J23" i="101"/>
  <c r="G23" i="101"/>
  <c r="K23" i="101" s="1"/>
  <c r="M23" i="101" s="1"/>
  <c r="M24" i="101" s="1"/>
  <c r="M25" i="101" s="1"/>
  <c r="M26" i="101" s="1"/>
  <c r="M27" i="101" s="1"/>
  <c r="M28" i="101" s="1"/>
  <c r="M29" i="101" s="1"/>
  <c r="M30" i="101" s="1"/>
  <c r="M31" i="101" s="1"/>
  <c r="J20" i="101"/>
  <c r="G20" i="101"/>
  <c r="J19" i="101"/>
  <c r="G19" i="101"/>
  <c r="K19" i="101" s="1"/>
  <c r="J18" i="101"/>
  <c r="G18" i="101"/>
  <c r="K18" i="101" s="1"/>
  <c r="J17" i="101"/>
  <c r="G17" i="101"/>
  <c r="K17" i="101" s="1"/>
  <c r="J16" i="101"/>
  <c r="G16" i="101"/>
  <c r="K16" i="101" s="1"/>
  <c r="J15" i="101"/>
  <c r="G15" i="101"/>
  <c r="K15" i="101" s="1"/>
  <c r="J14" i="101"/>
  <c r="G14" i="101"/>
  <c r="K14" i="101" s="1"/>
  <c r="J13" i="101"/>
  <c r="G13" i="101"/>
  <c r="K13" i="101" s="1"/>
  <c r="J12" i="101"/>
  <c r="G12" i="101"/>
  <c r="K12" i="101" s="1"/>
  <c r="J11" i="101"/>
  <c r="G11" i="101"/>
  <c r="K11" i="101" s="1"/>
  <c r="J10" i="101"/>
  <c r="G10" i="101"/>
  <c r="K10" i="101" s="1"/>
  <c r="J9" i="101"/>
  <c r="G9" i="101"/>
  <c r="K9" i="101" s="1"/>
  <c r="J8" i="101"/>
  <c r="G8" i="101"/>
  <c r="K8" i="101" s="1"/>
  <c r="J7" i="101"/>
  <c r="G7" i="101"/>
  <c r="K7" i="101" s="1"/>
  <c r="J6" i="101"/>
  <c r="G6" i="101"/>
  <c r="K6" i="101" s="1"/>
  <c r="G5" i="101"/>
  <c r="K5" i="101" s="1"/>
  <c r="J4" i="101"/>
  <c r="J37" i="101" s="1"/>
  <c r="G30" i="56" s="1"/>
  <c r="G4" i="101"/>
  <c r="I43" i="56"/>
  <c r="F43" i="56"/>
  <c r="E43" i="56"/>
  <c r="D43" i="56"/>
  <c r="G35" i="81"/>
  <c r="K35" i="81" s="1"/>
  <c r="J34" i="100"/>
  <c r="K34" i="100"/>
  <c r="G33" i="35"/>
  <c r="G34" i="35"/>
  <c r="G33" i="51"/>
  <c r="G34" i="51"/>
  <c r="G37" i="14"/>
  <c r="K36" i="81"/>
  <c r="G31" i="81"/>
  <c r="K31" i="81" s="1"/>
  <c r="G32" i="81"/>
  <c r="K32" i="81" s="1"/>
  <c r="G34" i="81"/>
  <c r="K34" i="81" s="1"/>
  <c r="J27" i="11"/>
  <c r="K27" i="11" s="1"/>
  <c r="E35" i="10"/>
  <c r="G30" i="35"/>
  <c r="G31" i="35"/>
  <c r="G32" i="35"/>
  <c r="G34" i="25"/>
  <c r="K34" i="25" s="1"/>
  <c r="G30" i="81"/>
  <c r="K30" i="81" s="1"/>
  <c r="K33" i="52"/>
  <c r="K34" i="52"/>
  <c r="P32" i="11"/>
  <c r="J15" i="25"/>
  <c r="G15" i="25"/>
  <c r="K15" i="25" s="1"/>
  <c r="G27" i="24"/>
  <c r="G28" i="24"/>
  <c r="G28" i="81"/>
  <c r="K28" i="81" s="1"/>
  <c r="L28" i="81" s="1"/>
  <c r="G29" i="81"/>
  <c r="K29" i="81" s="1"/>
  <c r="L29" i="81" s="1"/>
  <c r="G20" i="12"/>
  <c r="G21" i="12"/>
  <c r="G22" i="12"/>
  <c r="G23" i="12"/>
  <c r="K23" i="12" s="1"/>
  <c r="G24" i="12"/>
  <c r="G31" i="75"/>
  <c r="K31" i="75" s="1"/>
  <c r="G27" i="81"/>
  <c r="K27" i="81" s="1"/>
  <c r="G26" i="24"/>
  <c r="G25" i="24"/>
  <c r="L35" i="100"/>
  <c r="J43" i="56" s="1"/>
  <c r="J33" i="100"/>
  <c r="K33" i="100"/>
  <c r="J32" i="100"/>
  <c r="K32" i="100"/>
  <c r="J31" i="100"/>
  <c r="K31" i="100"/>
  <c r="J30" i="100"/>
  <c r="K30" i="100"/>
  <c r="J29" i="100"/>
  <c r="K29" i="100"/>
  <c r="J28" i="100"/>
  <c r="K28" i="100"/>
  <c r="J27" i="100"/>
  <c r="K27" i="100"/>
  <c r="J26" i="100"/>
  <c r="K26" i="100"/>
  <c r="J25" i="100"/>
  <c r="K25" i="100"/>
  <c r="J24" i="100"/>
  <c r="K24" i="100"/>
  <c r="J23" i="100"/>
  <c r="K23" i="100"/>
  <c r="J22" i="100"/>
  <c r="K22" i="100"/>
  <c r="J21" i="100"/>
  <c r="K21" i="100"/>
  <c r="J20" i="100"/>
  <c r="K20" i="100"/>
  <c r="J19" i="100"/>
  <c r="K19" i="100"/>
  <c r="J18" i="100"/>
  <c r="K18" i="100"/>
  <c r="J17" i="100"/>
  <c r="K17" i="100"/>
  <c r="J16" i="100"/>
  <c r="K16" i="100"/>
  <c r="J15" i="100"/>
  <c r="K15" i="100"/>
  <c r="J14" i="100"/>
  <c r="K14" i="100"/>
  <c r="J13" i="100"/>
  <c r="K13" i="100"/>
  <c r="J12" i="100"/>
  <c r="K12" i="100"/>
  <c r="J11" i="100"/>
  <c r="K11" i="100"/>
  <c r="J10" i="100"/>
  <c r="K10" i="100"/>
  <c r="J9" i="100"/>
  <c r="K9" i="100"/>
  <c r="J8" i="100"/>
  <c r="K8" i="100"/>
  <c r="J7" i="100"/>
  <c r="K7" i="100"/>
  <c r="J6" i="100"/>
  <c r="K6" i="100"/>
  <c r="J5" i="100"/>
  <c r="K5" i="100"/>
  <c r="J4" i="100"/>
  <c r="G24" i="24"/>
  <c r="G26" i="81"/>
  <c r="K26" i="81" s="1"/>
  <c r="L26" i="81" s="1"/>
  <c r="G25" i="81"/>
  <c r="K25" i="81" s="1"/>
  <c r="G26" i="75"/>
  <c r="K26" i="75" s="1"/>
  <c r="G24" i="75"/>
  <c r="G25" i="75"/>
  <c r="K25" i="75" s="1"/>
  <c r="G24" i="3"/>
  <c r="G23" i="24"/>
  <c r="G24" i="81"/>
  <c r="K24" i="81" s="1"/>
  <c r="L24" i="81" s="1"/>
  <c r="J24" i="85"/>
  <c r="G24" i="85"/>
  <c r="K24" i="85" s="1"/>
  <c r="G23" i="73"/>
  <c r="K23" i="73" s="1"/>
  <c r="L23" i="73" s="1"/>
  <c r="G23" i="99"/>
  <c r="K23" i="99"/>
  <c r="J16" i="99"/>
  <c r="J17" i="99"/>
  <c r="J18" i="99"/>
  <c r="J19" i="99"/>
  <c r="L39" i="99"/>
  <c r="J27" i="56" s="1"/>
  <c r="H39" i="99"/>
  <c r="F27" i="56" s="1"/>
  <c r="E39" i="99"/>
  <c r="D27" i="56" s="1"/>
  <c r="J38" i="99"/>
  <c r="G38" i="99"/>
  <c r="K38" i="99" s="1"/>
  <c r="J37" i="99"/>
  <c r="G37" i="99"/>
  <c r="K37" i="99" s="1"/>
  <c r="J36" i="99"/>
  <c r="G36" i="99"/>
  <c r="K36" i="99" s="1"/>
  <c r="J35" i="99"/>
  <c r="G35" i="99"/>
  <c r="K35" i="99" s="1"/>
  <c r="J34" i="99"/>
  <c r="G34" i="99"/>
  <c r="K34" i="99" s="1"/>
  <c r="J33" i="99"/>
  <c r="G33" i="99"/>
  <c r="K33" i="99" s="1"/>
  <c r="J32" i="99"/>
  <c r="G32" i="99"/>
  <c r="K32" i="99" s="1"/>
  <c r="J31" i="99"/>
  <c r="G31" i="99"/>
  <c r="K31" i="99" s="1"/>
  <c r="J30" i="99"/>
  <c r="G30" i="99"/>
  <c r="K30" i="99" s="1"/>
  <c r="J29" i="99"/>
  <c r="K29" i="99"/>
  <c r="J28" i="99"/>
  <c r="G28" i="99"/>
  <c r="K28" i="99" s="1"/>
  <c r="J27" i="99"/>
  <c r="G27" i="99"/>
  <c r="K27" i="99" s="1"/>
  <c r="J26" i="99"/>
  <c r="G26" i="99"/>
  <c r="K26" i="99" s="1"/>
  <c r="J25" i="99"/>
  <c r="G25" i="99"/>
  <c r="K25" i="99" s="1"/>
  <c r="J24" i="99"/>
  <c r="G24" i="99"/>
  <c r="K24" i="99" s="1"/>
  <c r="G22" i="99"/>
  <c r="K22" i="99" s="1"/>
  <c r="G21" i="99"/>
  <c r="K21" i="99" s="1"/>
  <c r="J20" i="99"/>
  <c r="G20" i="99"/>
  <c r="K20" i="99" s="1"/>
  <c r="G19" i="99"/>
  <c r="K19" i="99" s="1"/>
  <c r="G18" i="99"/>
  <c r="K18" i="99" s="1"/>
  <c r="G17" i="99"/>
  <c r="K17" i="99" s="1"/>
  <c r="G16" i="99"/>
  <c r="K16" i="99" s="1"/>
  <c r="J15" i="99"/>
  <c r="G15" i="99"/>
  <c r="K15" i="99" s="1"/>
  <c r="J14" i="99"/>
  <c r="K14" i="99"/>
  <c r="J13" i="99"/>
  <c r="K13" i="99"/>
  <c r="J12" i="99"/>
  <c r="K12" i="99"/>
  <c r="J11" i="99"/>
  <c r="K11" i="99"/>
  <c r="J10" i="99"/>
  <c r="K10" i="99"/>
  <c r="J9" i="99"/>
  <c r="K9" i="99"/>
  <c r="J8" i="99"/>
  <c r="K8" i="99"/>
  <c r="J7" i="99"/>
  <c r="G7" i="99"/>
  <c r="K7" i="99" s="1"/>
  <c r="J6" i="99"/>
  <c r="G6" i="99"/>
  <c r="K6" i="99" s="1"/>
  <c r="J5" i="99"/>
  <c r="G5" i="99"/>
  <c r="K5" i="99" s="1"/>
  <c r="J4" i="99"/>
  <c r="J39" i="99" s="1"/>
  <c r="G27" i="56" s="1"/>
  <c r="G4" i="99"/>
  <c r="G21" i="24"/>
  <c r="G22" i="24"/>
  <c r="G23" i="81"/>
  <c r="K23" i="81" s="1"/>
  <c r="L23" i="81" s="1"/>
  <c r="K20" i="81"/>
  <c r="K21" i="81"/>
  <c r="L21" i="81"/>
  <c r="G22" i="81"/>
  <c r="K22" i="81" s="1"/>
  <c r="L22" i="81" s="1"/>
  <c r="J25" i="76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G82" i="44"/>
  <c r="J21" i="11"/>
  <c r="K21" i="11" s="1"/>
  <c r="J19" i="75"/>
  <c r="J20" i="75"/>
  <c r="J57" i="44"/>
  <c r="K57" i="44" s="1"/>
  <c r="J58" i="44"/>
  <c r="K58" i="44" s="1"/>
  <c r="J59" i="44"/>
  <c r="K59" i="44" s="1"/>
  <c r="J60" i="44"/>
  <c r="K60" i="44" s="1"/>
  <c r="J61" i="44"/>
  <c r="K61" i="44" s="1"/>
  <c r="J62" i="44"/>
  <c r="K62" i="44" s="1"/>
  <c r="J5" i="44"/>
  <c r="K5" i="44" s="1"/>
  <c r="J6" i="44"/>
  <c r="K6" i="44" s="1"/>
  <c r="J7" i="44"/>
  <c r="K7" i="44" s="1"/>
  <c r="J8" i="44"/>
  <c r="K8" i="44" s="1"/>
  <c r="J9" i="44"/>
  <c r="K9" i="44" s="1"/>
  <c r="J10" i="44"/>
  <c r="K10" i="44" s="1"/>
  <c r="J11" i="44"/>
  <c r="K11" i="44" s="1"/>
  <c r="J12" i="44"/>
  <c r="K12" i="44" s="1"/>
  <c r="J13" i="44"/>
  <c r="K13" i="44" s="1"/>
  <c r="J14" i="44"/>
  <c r="K14" i="44" s="1"/>
  <c r="J15" i="44"/>
  <c r="K15" i="44" s="1"/>
  <c r="J16" i="44"/>
  <c r="K16" i="44" s="1"/>
  <c r="J17" i="44"/>
  <c r="K17" i="44" s="1"/>
  <c r="J18" i="44"/>
  <c r="K18" i="44" s="1"/>
  <c r="J19" i="44"/>
  <c r="K19" i="44" s="1"/>
  <c r="J20" i="44"/>
  <c r="K20" i="44" s="1"/>
  <c r="J21" i="44"/>
  <c r="K21" i="44" s="1"/>
  <c r="J22" i="44"/>
  <c r="K22" i="44" s="1"/>
  <c r="J23" i="44"/>
  <c r="K23" i="44" s="1"/>
  <c r="J24" i="44"/>
  <c r="K24" i="44" s="1"/>
  <c r="J25" i="44"/>
  <c r="K25" i="44" s="1"/>
  <c r="J26" i="44"/>
  <c r="K26" i="44" s="1"/>
  <c r="J27" i="44"/>
  <c r="K27" i="44" s="1"/>
  <c r="J28" i="44"/>
  <c r="K28" i="44" s="1"/>
  <c r="J29" i="44"/>
  <c r="K29" i="44" s="1"/>
  <c r="J30" i="44"/>
  <c r="K30" i="44" s="1"/>
  <c r="J31" i="44"/>
  <c r="K31" i="44" s="1"/>
  <c r="J32" i="44"/>
  <c r="K32" i="44" s="1"/>
  <c r="J33" i="44"/>
  <c r="K33" i="44" s="1"/>
  <c r="J34" i="44"/>
  <c r="K34" i="44" s="1"/>
  <c r="J35" i="44"/>
  <c r="K35" i="44" s="1"/>
  <c r="J36" i="44"/>
  <c r="K36" i="44" s="1"/>
  <c r="J37" i="44"/>
  <c r="K37" i="44" s="1"/>
  <c r="J38" i="44"/>
  <c r="K38" i="44" s="1"/>
  <c r="J39" i="44"/>
  <c r="K39" i="44" s="1"/>
  <c r="J40" i="44"/>
  <c r="K40" i="44" s="1"/>
  <c r="J41" i="44"/>
  <c r="K41" i="44" s="1"/>
  <c r="J42" i="44"/>
  <c r="K42" i="44" s="1"/>
  <c r="J43" i="44"/>
  <c r="K43" i="44" s="1"/>
  <c r="J44" i="44"/>
  <c r="K44" i="44" s="1"/>
  <c r="J45" i="44"/>
  <c r="K45" i="44" s="1"/>
  <c r="J46" i="44"/>
  <c r="K46" i="44" s="1"/>
  <c r="J47" i="44"/>
  <c r="K47" i="44" s="1"/>
  <c r="J48" i="44"/>
  <c r="K48" i="44" s="1"/>
  <c r="J49" i="44"/>
  <c r="K49" i="44" s="1"/>
  <c r="J50" i="44"/>
  <c r="K50" i="44" s="1"/>
  <c r="J51" i="44"/>
  <c r="K51" i="44" s="1"/>
  <c r="J52" i="44"/>
  <c r="K52" i="44" s="1"/>
  <c r="J53" i="44"/>
  <c r="K53" i="44" s="1"/>
  <c r="J54" i="44"/>
  <c r="K54" i="44" s="1"/>
  <c r="J55" i="44"/>
  <c r="K55" i="44" s="1"/>
  <c r="J56" i="44"/>
  <c r="K56" i="44" s="1"/>
  <c r="J63" i="44"/>
  <c r="K63" i="44" s="1"/>
  <c r="J64" i="44"/>
  <c r="K64" i="44" s="1"/>
  <c r="J65" i="44"/>
  <c r="K65" i="44" s="1"/>
  <c r="J66" i="44"/>
  <c r="K66" i="44" s="1"/>
  <c r="J67" i="44"/>
  <c r="K67" i="44" s="1"/>
  <c r="J68" i="44"/>
  <c r="K68" i="44" s="1"/>
  <c r="J69" i="44"/>
  <c r="K69" i="44" s="1"/>
  <c r="J70" i="44"/>
  <c r="K70" i="44" s="1"/>
  <c r="J71" i="44"/>
  <c r="K71" i="44" s="1"/>
  <c r="J72" i="44"/>
  <c r="K72" i="44" s="1"/>
  <c r="J73" i="44"/>
  <c r="K73" i="44" s="1"/>
  <c r="J22" i="25"/>
  <c r="G22" i="25"/>
  <c r="K22" i="25" s="1"/>
  <c r="P14" i="12"/>
  <c r="G16" i="81"/>
  <c r="K16" i="81" s="1"/>
  <c r="L16" i="81" s="1"/>
  <c r="G17" i="81"/>
  <c r="K17" i="81" s="1"/>
  <c r="L17" i="81" s="1"/>
  <c r="G18" i="81"/>
  <c r="K18" i="81" s="1"/>
  <c r="L18" i="81" s="1"/>
  <c r="G19" i="81"/>
  <c r="K19" i="81" s="1"/>
  <c r="L19" i="81" s="1"/>
  <c r="S32" i="25"/>
  <c r="T32" i="25"/>
  <c r="U32" i="25"/>
  <c r="G17" i="80"/>
  <c r="K17" i="80" s="1"/>
  <c r="J10" i="24"/>
  <c r="J11" i="24"/>
  <c r="J12" i="24"/>
  <c r="J13" i="24"/>
  <c r="G16" i="14"/>
  <c r="K16" i="14" s="1"/>
  <c r="G17" i="14"/>
  <c r="K17" i="14" s="1"/>
  <c r="I9" i="56"/>
  <c r="G9" i="56"/>
  <c r="F9" i="56"/>
  <c r="I5" i="56"/>
  <c r="H35" i="98"/>
  <c r="E35" i="98"/>
  <c r="D9" i="56" s="1"/>
  <c r="J34" i="98"/>
  <c r="G34" i="98"/>
  <c r="K34" i="98" s="1"/>
  <c r="L34" i="98" s="1"/>
  <c r="J33" i="98"/>
  <c r="G33" i="98"/>
  <c r="K33" i="98" s="1"/>
  <c r="L33" i="98" s="1"/>
  <c r="J32" i="98"/>
  <c r="G32" i="98"/>
  <c r="K32" i="98" s="1"/>
  <c r="L32" i="98" s="1"/>
  <c r="J31" i="98"/>
  <c r="G31" i="98"/>
  <c r="K31" i="98" s="1"/>
  <c r="L31" i="98" s="1"/>
  <c r="J30" i="98"/>
  <c r="G30" i="98"/>
  <c r="K30" i="98" s="1"/>
  <c r="L30" i="98" s="1"/>
  <c r="J29" i="98"/>
  <c r="G29" i="98"/>
  <c r="K29" i="98" s="1"/>
  <c r="L29" i="98" s="1"/>
  <c r="J28" i="98"/>
  <c r="G28" i="98"/>
  <c r="K28" i="98" s="1"/>
  <c r="L28" i="98" s="1"/>
  <c r="J27" i="98"/>
  <c r="G27" i="98"/>
  <c r="K27" i="98" s="1"/>
  <c r="L27" i="98" s="1"/>
  <c r="J26" i="98"/>
  <c r="G26" i="98"/>
  <c r="K26" i="98" s="1"/>
  <c r="L26" i="98" s="1"/>
  <c r="J25" i="98"/>
  <c r="G25" i="98"/>
  <c r="K25" i="98" s="1"/>
  <c r="L25" i="98" s="1"/>
  <c r="J24" i="98"/>
  <c r="G24" i="98"/>
  <c r="K24" i="98" s="1"/>
  <c r="L24" i="98" s="1"/>
  <c r="J23" i="98"/>
  <c r="G23" i="98"/>
  <c r="K23" i="98" s="1"/>
  <c r="L23" i="98" s="1"/>
  <c r="J22" i="98"/>
  <c r="G22" i="98"/>
  <c r="K22" i="98" s="1"/>
  <c r="L22" i="98" s="1"/>
  <c r="J21" i="98"/>
  <c r="G21" i="98"/>
  <c r="K21" i="98" s="1"/>
  <c r="L21" i="98" s="1"/>
  <c r="J20" i="98"/>
  <c r="G20" i="98"/>
  <c r="K20" i="98" s="1"/>
  <c r="L20" i="98" s="1"/>
  <c r="J19" i="98"/>
  <c r="J18" i="98"/>
  <c r="G18" i="98"/>
  <c r="J17" i="98"/>
  <c r="G17" i="98"/>
  <c r="K17" i="98" s="1"/>
  <c r="L17" i="98" s="1"/>
  <c r="J16" i="98"/>
  <c r="G16" i="98"/>
  <c r="K16" i="98" s="1"/>
  <c r="L16" i="98" s="1"/>
  <c r="J15" i="98"/>
  <c r="G15" i="98"/>
  <c r="K15" i="98" s="1"/>
  <c r="L15" i="98" s="1"/>
  <c r="J14" i="98"/>
  <c r="G14" i="98"/>
  <c r="K14" i="98" s="1"/>
  <c r="L14" i="98" s="1"/>
  <c r="J13" i="98"/>
  <c r="G13" i="98"/>
  <c r="K13" i="98" s="1"/>
  <c r="J12" i="98"/>
  <c r="G12" i="98"/>
  <c r="K12" i="98" s="1"/>
  <c r="J11" i="98"/>
  <c r="G11" i="98"/>
  <c r="K11" i="98" s="1"/>
  <c r="J10" i="98"/>
  <c r="G10" i="98"/>
  <c r="K10" i="98" s="1"/>
  <c r="J9" i="98"/>
  <c r="G9" i="98"/>
  <c r="K9" i="98" s="1"/>
  <c r="J8" i="98"/>
  <c r="G8" i="98"/>
  <c r="K8" i="98" s="1"/>
  <c r="L8" i="98" s="1"/>
  <c r="J7" i="98"/>
  <c r="G7" i="98"/>
  <c r="K7" i="98" s="1"/>
  <c r="L7" i="98" s="1"/>
  <c r="J6" i="98"/>
  <c r="G6" i="98"/>
  <c r="K6" i="98" s="1"/>
  <c r="L6" i="98" s="1"/>
  <c r="J5" i="98"/>
  <c r="G5" i="98"/>
  <c r="K5" i="98" s="1"/>
  <c r="L5" i="98" s="1"/>
  <c r="J4" i="98"/>
  <c r="J35" i="98" s="1"/>
  <c r="G4" i="98"/>
  <c r="G5" i="24"/>
  <c r="K5" i="24" s="1"/>
  <c r="G6" i="24"/>
  <c r="K6" i="24" s="1"/>
  <c r="G7" i="24"/>
  <c r="K7" i="24" s="1"/>
  <c r="G8" i="24"/>
  <c r="G9" i="24"/>
  <c r="G10" i="24"/>
  <c r="K10" i="24" s="1"/>
  <c r="G11" i="24"/>
  <c r="K11" i="24" s="1"/>
  <c r="G12" i="24"/>
  <c r="K12" i="24" s="1"/>
  <c r="G13" i="24"/>
  <c r="K13" i="24" s="1"/>
  <c r="G13" i="81"/>
  <c r="K13" i="81" s="1"/>
  <c r="L13" i="81" s="1"/>
  <c r="G14" i="81"/>
  <c r="K14" i="81" s="1"/>
  <c r="G15" i="81"/>
  <c r="K15" i="81" s="1"/>
  <c r="G12" i="81"/>
  <c r="K12" i="81" s="1"/>
  <c r="L12" i="81" s="1"/>
  <c r="G11" i="81"/>
  <c r="K11" i="81" s="1"/>
  <c r="L11" i="81" s="1"/>
  <c r="G8" i="81"/>
  <c r="K8" i="81" s="1"/>
  <c r="G9" i="81"/>
  <c r="K9" i="81" s="1"/>
  <c r="G10" i="81"/>
  <c r="K10" i="81" s="1"/>
  <c r="L10" i="81" s="1"/>
  <c r="J4" i="44"/>
  <c r="J9" i="24"/>
  <c r="S14" i="68"/>
  <c r="J8" i="14"/>
  <c r="G5" i="81"/>
  <c r="K5" i="81" s="1"/>
  <c r="G6" i="81"/>
  <c r="K6" i="81" s="1"/>
  <c r="G7" i="81"/>
  <c r="K7" i="81" s="1"/>
  <c r="G5" i="79"/>
  <c r="G6" i="79"/>
  <c r="J6" i="79"/>
  <c r="G4" i="25"/>
  <c r="G4" i="24"/>
  <c r="R20" i="81"/>
  <c r="S20" i="81" s="1"/>
  <c r="G40" i="95"/>
  <c r="K40" i="95" s="1"/>
  <c r="L40" i="95" s="1"/>
  <c r="G38" i="95"/>
  <c r="K38" i="95" s="1"/>
  <c r="L38" i="95" s="1"/>
  <c r="G39" i="95"/>
  <c r="K39" i="95" s="1"/>
  <c r="L39" i="95" s="1"/>
  <c r="J36" i="14"/>
  <c r="G36" i="14"/>
  <c r="J25" i="41"/>
  <c r="S8" i="81"/>
  <c r="S10" i="81" s="1"/>
  <c r="G37" i="25"/>
  <c r="J37" i="25"/>
  <c r="K37" i="25"/>
  <c r="G31" i="14"/>
  <c r="G32" i="14"/>
  <c r="G33" i="14"/>
  <c r="G34" i="14"/>
  <c r="G35" i="14"/>
  <c r="J31" i="14"/>
  <c r="J32" i="14"/>
  <c r="J33" i="14"/>
  <c r="J34" i="14"/>
  <c r="J35" i="14"/>
  <c r="G27" i="95"/>
  <c r="K27" i="95" s="1"/>
  <c r="L27" i="95" s="1"/>
  <c r="H46" i="95"/>
  <c r="F5" i="56" s="1"/>
  <c r="E46" i="95"/>
  <c r="D5" i="56" s="1"/>
  <c r="J45" i="95"/>
  <c r="G45" i="95"/>
  <c r="K45" i="95" s="1"/>
  <c r="J37" i="95"/>
  <c r="G37" i="95"/>
  <c r="K37" i="95" s="1"/>
  <c r="L37" i="95" s="1"/>
  <c r="J36" i="95"/>
  <c r="G36" i="95"/>
  <c r="K36" i="95" s="1"/>
  <c r="L36" i="95" s="1"/>
  <c r="G35" i="95"/>
  <c r="K35" i="95" s="1"/>
  <c r="L35" i="95" s="1"/>
  <c r="J34" i="95"/>
  <c r="G34" i="95"/>
  <c r="K34" i="95" s="1"/>
  <c r="L34" i="95" s="1"/>
  <c r="J33" i="95"/>
  <c r="G33" i="95"/>
  <c r="K33" i="95" s="1"/>
  <c r="L33" i="95" s="1"/>
  <c r="J32" i="95"/>
  <c r="G32" i="95"/>
  <c r="K32" i="95" s="1"/>
  <c r="L32" i="95" s="1"/>
  <c r="J31" i="95"/>
  <c r="G31" i="95"/>
  <c r="K31" i="95" s="1"/>
  <c r="L31" i="95" s="1"/>
  <c r="J30" i="95"/>
  <c r="G30" i="95"/>
  <c r="K30" i="95" s="1"/>
  <c r="L30" i="95" s="1"/>
  <c r="J29" i="95"/>
  <c r="G29" i="95"/>
  <c r="K29" i="95" s="1"/>
  <c r="L29" i="95" s="1"/>
  <c r="J28" i="95"/>
  <c r="G28" i="95"/>
  <c r="K28" i="95" s="1"/>
  <c r="L28" i="95" s="1"/>
  <c r="J26" i="95"/>
  <c r="G26" i="95"/>
  <c r="K26" i="95" s="1"/>
  <c r="L26" i="95" s="1"/>
  <c r="J25" i="95"/>
  <c r="G25" i="95"/>
  <c r="K25" i="95" s="1"/>
  <c r="L25" i="95" s="1"/>
  <c r="J24" i="95"/>
  <c r="G24" i="95"/>
  <c r="K24" i="95" s="1"/>
  <c r="L24" i="95" s="1"/>
  <c r="J23" i="95"/>
  <c r="G23" i="95"/>
  <c r="K23" i="95" s="1"/>
  <c r="J22" i="95"/>
  <c r="G22" i="95"/>
  <c r="K22" i="95" s="1"/>
  <c r="L22" i="95" s="1"/>
  <c r="J21" i="95"/>
  <c r="G21" i="95"/>
  <c r="K21" i="95" s="1"/>
  <c r="L21" i="95" s="1"/>
  <c r="J20" i="95"/>
  <c r="G20" i="95"/>
  <c r="K20" i="95" s="1"/>
  <c r="L20" i="95" s="1"/>
  <c r="J19" i="95"/>
  <c r="G19" i="95"/>
  <c r="K19" i="95" s="1"/>
  <c r="L19" i="95" s="1"/>
  <c r="J18" i="95"/>
  <c r="G18" i="95"/>
  <c r="K18" i="95" s="1"/>
  <c r="L18" i="95" s="1"/>
  <c r="J17" i="95"/>
  <c r="G17" i="95"/>
  <c r="K17" i="95" s="1"/>
  <c r="L17" i="95" s="1"/>
  <c r="J16" i="95"/>
  <c r="G16" i="95"/>
  <c r="K16" i="95" s="1"/>
  <c r="L16" i="95" s="1"/>
  <c r="J15" i="95"/>
  <c r="G15" i="95"/>
  <c r="K15" i="95" s="1"/>
  <c r="L15" i="95" s="1"/>
  <c r="J14" i="95"/>
  <c r="G14" i="95"/>
  <c r="K14" i="95" s="1"/>
  <c r="L14" i="95" s="1"/>
  <c r="J13" i="95"/>
  <c r="G13" i="95"/>
  <c r="K13" i="95" s="1"/>
  <c r="L13" i="95" s="1"/>
  <c r="J12" i="95"/>
  <c r="G12" i="95"/>
  <c r="K12" i="95" s="1"/>
  <c r="L12" i="95" s="1"/>
  <c r="J11" i="95"/>
  <c r="G11" i="95"/>
  <c r="K11" i="95" s="1"/>
  <c r="L11" i="95" s="1"/>
  <c r="J10" i="95"/>
  <c r="G10" i="95"/>
  <c r="K10" i="95" s="1"/>
  <c r="L10" i="95" s="1"/>
  <c r="J9" i="95"/>
  <c r="G9" i="95"/>
  <c r="K9" i="95" s="1"/>
  <c r="L9" i="95" s="1"/>
  <c r="J8" i="95"/>
  <c r="G8" i="95"/>
  <c r="K8" i="95" s="1"/>
  <c r="L8" i="95" s="1"/>
  <c r="J7" i="95"/>
  <c r="G7" i="95"/>
  <c r="K7" i="95" s="1"/>
  <c r="L7" i="95" s="1"/>
  <c r="J6" i="95"/>
  <c r="G6" i="95"/>
  <c r="K6" i="95" s="1"/>
  <c r="L6" i="95" s="1"/>
  <c r="J5" i="95"/>
  <c r="J46" i="95" s="1"/>
  <c r="G5" i="56" s="1"/>
  <c r="G5" i="95"/>
  <c r="K5" i="95" s="1"/>
  <c r="L5" i="95" s="1"/>
  <c r="G4" i="95"/>
  <c r="J30" i="14"/>
  <c r="G30" i="14"/>
  <c r="G29" i="14"/>
  <c r="J29" i="14"/>
  <c r="K29" i="14"/>
  <c r="U22" i="76"/>
  <c r="J87" i="44"/>
  <c r="J88" i="44"/>
  <c r="J89" i="44"/>
  <c r="J90" i="44"/>
  <c r="J91" i="44"/>
  <c r="G90" i="44"/>
  <c r="K90" i="44" s="1"/>
  <c r="G89" i="44"/>
  <c r="K89" i="44" s="1"/>
  <c r="G88" i="44"/>
  <c r="K88" i="44" s="1"/>
  <c r="G87" i="44"/>
  <c r="K87" i="44" s="1"/>
  <c r="J86" i="44"/>
  <c r="G86" i="44"/>
  <c r="K86" i="44" s="1"/>
  <c r="G85" i="44"/>
  <c r="J85" i="44"/>
  <c r="J82" i="44"/>
  <c r="J25" i="14"/>
  <c r="J26" i="14"/>
  <c r="J27" i="14"/>
  <c r="J28" i="14"/>
  <c r="G28" i="14"/>
  <c r="G26" i="14"/>
  <c r="G27" i="14"/>
  <c r="G25" i="14"/>
  <c r="G21" i="85"/>
  <c r="G21" i="3"/>
  <c r="J24" i="14"/>
  <c r="K24" i="14" s="1"/>
  <c r="J23" i="14"/>
  <c r="G23" i="14"/>
  <c r="J18" i="14"/>
  <c r="J19" i="14"/>
  <c r="J20" i="14"/>
  <c r="J21" i="14"/>
  <c r="J22" i="14"/>
  <c r="G18" i="14"/>
  <c r="K18" i="14" s="1"/>
  <c r="G19" i="14"/>
  <c r="G20" i="14"/>
  <c r="K20" i="14" s="1"/>
  <c r="G21" i="14"/>
  <c r="G22" i="14"/>
  <c r="I8" i="56"/>
  <c r="G16" i="41"/>
  <c r="J16" i="41"/>
  <c r="K16" i="41" s="1"/>
  <c r="J14" i="41"/>
  <c r="G14" i="41"/>
  <c r="K14" i="41" s="1"/>
  <c r="J22" i="76"/>
  <c r="J15" i="14"/>
  <c r="G15" i="14"/>
  <c r="K15" i="14" s="1"/>
  <c r="J14" i="14"/>
  <c r="G14" i="14"/>
  <c r="K14" i="14" s="1"/>
  <c r="G14" i="68"/>
  <c r="J11" i="50"/>
  <c r="J12" i="50"/>
  <c r="J13" i="50"/>
  <c r="J12" i="14"/>
  <c r="G12" i="14"/>
  <c r="H36" i="93"/>
  <c r="F8" i="56" s="1"/>
  <c r="E36" i="93"/>
  <c r="D8" i="56" s="1"/>
  <c r="J35" i="93"/>
  <c r="G35" i="93"/>
  <c r="K35" i="93" s="1"/>
  <c r="J34" i="93"/>
  <c r="G34" i="93"/>
  <c r="K34" i="93" s="1"/>
  <c r="J33" i="93"/>
  <c r="G33" i="93"/>
  <c r="K33" i="93" s="1"/>
  <c r="J32" i="93"/>
  <c r="G32" i="93"/>
  <c r="K32" i="93" s="1"/>
  <c r="J31" i="93"/>
  <c r="G31" i="93"/>
  <c r="K31" i="93" s="1"/>
  <c r="J30" i="93"/>
  <c r="G30" i="93"/>
  <c r="K30" i="93" s="1"/>
  <c r="J29" i="93"/>
  <c r="G29" i="93"/>
  <c r="K29" i="93" s="1"/>
  <c r="J28" i="93"/>
  <c r="G28" i="93"/>
  <c r="K28" i="93" s="1"/>
  <c r="J27" i="93"/>
  <c r="G27" i="93"/>
  <c r="K27" i="93" s="1"/>
  <c r="J26" i="93"/>
  <c r="G26" i="93"/>
  <c r="K26" i="93" s="1"/>
  <c r="J25" i="93"/>
  <c r="G25" i="93"/>
  <c r="K25" i="93" s="1"/>
  <c r="J24" i="93"/>
  <c r="G24" i="93"/>
  <c r="K24" i="93" s="1"/>
  <c r="J23" i="93"/>
  <c r="G23" i="93"/>
  <c r="K23" i="93" s="1"/>
  <c r="J22" i="93"/>
  <c r="G22" i="93"/>
  <c r="K22" i="93" s="1"/>
  <c r="J21" i="93"/>
  <c r="G21" i="93"/>
  <c r="K21" i="93" s="1"/>
  <c r="J20" i="93"/>
  <c r="G20" i="93"/>
  <c r="K20" i="93" s="1"/>
  <c r="J19" i="93"/>
  <c r="G19" i="93"/>
  <c r="K19" i="93" s="1"/>
  <c r="J18" i="93"/>
  <c r="G18" i="93"/>
  <c r="K18" i="93" s="1"/>
  <c r="J17" i="93"/>
  <c r="G17" i="93"/>
  <c r="K17" i="93" s="1"/>
  <c r="J16" i="93"/>
  <c r="G16" i="93"/>
  <c r="K16" i="93" s="1"/>
  <c r="J14" i="93"/>
  <c r="G14" i="93"/>
  <c r="K14" i="93" s="1"/>
  <c r="J13" i="93"/>
  <c r="G13" i="93"/>
  <c r="K13" i="93" s="1"/>
  <c r="J12" i="93"/>
  <c r="G12" i="93"/>
  <c r="K12" i="93" s="1"/>
  <c r="J11" i="93"/>
  <c r="G11" i="93"/>
  <c r="K11" i="93" s="1"/>
  <c r="J10" i="93"/>
  <c r="G10" i="93"/>
  <c r="K10" i="93" s="1"/>
  <c r="J9" i="93"/>
  <c r="G9" i="93"/>
  <c r="K9" i="93" s="1"/>
  <c r="J8" i="93"/>
  <c r="G8" i="93"/>
  <c r="K8" i="93" s="1"/>
  <c r="J7" i="93"/>
  <c r="G7" i="93"/>
  <c r="K7" i="93" s="1"/>
  <c r="J6" i="93"/>
  <c r="G6" i="93"/>
  <c r="K6" i="93" s="1"/>
  <c r="J5" i="93"/>
  <c r="G5" i="93"/>
  <c r="K5" i="93" s="1"/>
  <c r="J4" i="93"/>
  <c r="J36" i="93" s="1"/>
  <c r="G8" i="56" s="1"/>
  <c r="G4" i="93"/>
  <c r="J9" i="50"/>
  <c r="J10" i="50"/>
  <c r="J11" i="80"/>
  <c r="G11" i="80"/>
  <c r="K11" i="80" s="1"/>
  <c r="J11" i="14"/>
  <c r="G11" i="14"/>
  <c r="J9" i="35"/>
  <c r="J10" i="14"/>
  <c r="G10" i="14"/>
  <c r="G5" i="14"/>
  <c r="G6" i="14"/>
  <c r="G8" i="14"/>
  <c r="G9" i="14"/>
  <c r="J7" i="50"/>
  <c r="J8" i="50"/>
  <c r="G8" i="57"/>
  <c r="J6" i="50"/>
  <c r="G40" i="51"/>
  <c r="G41" i="51"/>
  <c r="G42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4" i="51"/>
  <c r="G25" i="51"/>
  <c r="G26" i="51"/>
  <c r="G27" i="51"/>
  <c r="G28" i="51"/>
  <c r="G29" i="51"/>
  <c r="G30" i="51"/>
  <c r="G31" i="51"/>
  <c r="G32" i="51"/>
  <c r="G35" i="51"/>
  <c r="G36" i="51"/>
  <c r="G37" i="51"/>
  <c r="G38" i="51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5" i="69"/>
  <c r="J5" i="69"/>
  <c r="G6" i="69"/>
  <c r="J6" i="69"/>
  <c r="G7" i="69"/>
  <c r="J7" i="69"/>
  <c r="G8" i="69"/>
  <c r="J8" i="69"/>
  <c r="G9" i="69"/>
  <c r="J9" i="69"/>
  <c r="G10" i="69"/>
  <c r="J10" i="69"/>
  <c r="G11" i="69"/>
  <c r="J11" i="69"/>
  <c r="G12" i="69"/>
  <c r="J12" i="69"/>
  <c r="G13" i="69"/>
  <c r="J13" i="69"/>
  <c r="G14" i="69"/>
  <c r="J14" i="69"/>
  <c r="G15" i="69"/>
  <c r="J15" i="69"/>
  <c r="G16" i="69"/>
  <c r="J16" i="69"/>
  <c r="G17" i="69"/>
  <c r="J17" i="69"/>
  <c r="G18" i="69"/>
  <c r="J18" i="69"/>
  <c r="G20" i="69"/>
  <c r="J20" i="69"/>
  <c r="G21" i="69"/>
  <c r="J21" i="69"/>
  <c r="G22" i="69"/>
  <c r="J22" i="69"/>
  <c r="G23" i="69"/>
  <c r="J23" i="69"/>
  <c r="G24" i="69"/>
  <c r="J24" i="69"/>
  <c r="G25" i="69"/>
  <c r="J25" i="69"/>
  <c r="G26" i="69"/>
  <c r="J26" i="69"/>
  <c r="G27" i="69"/>
  <c r="J27" i="69"/>
  <c r="G28" i="69"/>
  <c r="J28" i="69"/>
  <c r="G29" i="69"/>
  <c r="J29" i="69"/>
  <c r="G30" i="69"/>
  <c r="J30" i="69"/>
  <c r="G31" i="69"/>
  <c r="J31" i="69"/>
  <c r="G32" i="69"/>
  <c r="J32" i="69"/>
  <c r="G33" i="69"/>
  <c r="J33" i="69"/>
  <c r="G34" i="69"/>
  <c r="J34" i="69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5" i="9"/>
  <c r="J5" i="9"/>
  <c r="G6" i="9"/>
  <c r="J6" i="9"/>
  <c r="G7" i="9"/>
  <c r="J7" i="9"/>
  <c r="G9" i="9"/>
  <c r="J9" i="9"/>
  <c r="G10" i="9"/>
  <c r="J10" i="9"/>
  <c r="G11" i="9"/>
  <c r="J11" i="9"/>
  <c r="G12" i="9"/>
  <c r="J12" i="9"/>
  <c r="G13" i="9"/>
  <c r="J13" i="9"/>
  <c r="G14" i="9"/>
  <c r="J14" i="9"/>
  <c r="G15" i="9"/>
  <c r="J15" i="9"/>
  <c r="G16" i="9"/>
  <c r="J16" i="9"/>
  <c r="G17" i="9"/>
  <c r="J17" i="9"/>
  <c r="G18" i="9"/>
  <c r="J18" i="9"/>
  <c r="G19" i="9"/>
  <c r="J19" i="9"/>
  <c r="J20" i="9"/>
  <c r="J21" i="9"/>
  <c r="J22" i="9"/>
  <c r="G23" i="9"/>
  <c r="J23" i="9"/>
  <c r="G24" i="9"/>
  <c r="J24" i="9"/>
  <c r="G25" i="9"/>
  <c r="J25" i="9"/>
  <c r="G26" i="9"/>
  <c r="J26" i="9"/>
  <c r="G27" i="9"/>
  <c r="J27" i="9"/>
  <c r="G28" i="9"/>
  <c r="J28" i="9"/>
  <c r="G29" i="9"/>
  <c r="J29" i="9"/>
  <c r="G30" i="9"/>
  <c r="J30" i="9"/>
  <c r="G31" i="9"/>
  <c r="J31" i="9"/>
  <c r="G32" i="9"/>
  <c r="J32" i="9"/>
  <c r="G33" i="9"/>
  <c r="J33" i="9"/>
  <c r="G34" i="9"/>
  <c r="J34" i="9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2" i="26"/>
  <c r="G23" i="26"/>
  <c r="G24" i="26"/>
  <c r="G25" i="26"/>
  <c r="G5" i="57"/>
  <c r="J5" i="57"/>
  <c r="G6" i="57"/>
  <c r="J6" i="57"/>
  <c r="G7" i="57"/>
  <c r="J7" i="57"/>
  <c r="J8" i="57"/>
  <c r="G9" i="57"/>
  <c r="J9" i="57"/>
  <c r="G10" i="57"/>
  <c r="J10" i="57"/>
  <c r="G11" i="57"/>
  <c r="J11" i="57"/>
  <c r="G12" i="57"/>
  <c r="J12" i="57"/>
  <c r="G13" i="57"/>
  <c r="J13" i="57"/>
  <c r="G14" i="57"/>
  <c r="J14" i="57"/>
  <c r="G15" i="57"/>
  <c r="J15" i="57"/>
  <c r="G16" i="57"/>
  <c r="J16" i="57"/>
  <c r="G17" i="57"/>
  <c r="J17" i="57"/>
  <c r="G18" i="57"/>
  <c r="J18" i="57"/>
  <c r="G19" i="57"/>
  <c r="J19" i="57"/>
  <c r="G20" i="57"/>
  <c r="J20" i="57"/>
  <c r="G21" i="57"/>
  <c r="J21" i="57"/>
  <c r="G22" i="57"/>
  <c r="J22" i="57"/>
  <c r="G23" i="57"/>
  <c r="J23" i="57"/>
  <c r="G24" i="57"/>
  <c r="J24" i="57"/>
  <c r="G25" i="57"/>
  <c r="J25" i="57"/>
  <c r="G26" i="57"/>
  <c r="J26" i="57"/>
  <c r="G27" i="57"/>
  <c r="J27" i="57"/>
  <c r="G28" i="57"/>
  <c r="J28" i="57"/>
  <c r="G29" i="57"/>
  <c r="J29" i="57"/>
  <c r="G30" i="57"/>
  <c r="J30" i="57"/>
  <c r="G31" i="57"/>
  <c r="J31" i="57"/>
  <c r="G32" i="57"/>
  <c r="J32" i="57"/>
  <c r="G33" i="57"/>
  <c r="J33" i="57"/>
  <c r="G34" i="57"/>
  <c r="J34" i="57"/>
  <c r="G5" i="60"/>
  <c r="G6" i="60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32" i="60"/>
  <c r="G33" i="60"/>
  <c r="G34" i="60"/>
  <c r="G4" i="60"/>
  <c r="G5" i="41"/>
  <c r="J5" i="41"/>
  <c r="G6" i="41"/>
  <c r="J6" i="41"/>
  <c r="G7" i="41"/>
  <c r="J7" i="41"/>
  <c r="G8" i="41"/>
  <c r="J8" i="41"/>
  <c r="G9" i="41"/>
  <c r="J9" i="41"/>
  <c r="G10" i="41"/>
  <c r="J10" i="41"/>
  <c r="G11" i="41"/>
  <c r="J11" i="41"/>
  <c r="G12" i="41"/>
  <c r="J12" i="41"/>
  <c r="G13" i="41"/>
  <c r="J13" i="41"/>
  <c r="G15" i="41"/>
  <c r="J15" i="41"/>
  <c r="G17" i="41"/>
  <c r="J17" i="41"/>
  <c r="G18" i="41"/>
  <c r="J18" i="41"/>
  <c r="G19" i="41"/>
  <c r="J19" i="41"/>
  <c r="G20" i="41"/>
  <c r="J20" i="41"/>
  <c r="G21" i="41"/>
  <c r="J21" i="41"/>
  <c r="G22" i="41"/>
  <c r="J22" i="41"/>
  <c r="G23" i="41"/>
  <c r="J23" i="41"/>
  <c r="G24" i="41"/>
  <c r="J24" i="41"/>
  <c r="G25" i="41"/>
  <c r="K25" i="41" s="1"/>
  <c r="G26" i="41"/>
  <c r="J26" i="41"/>
  <c r="G27" i="41"/>
  <c r="J27" i="41"/>
  <c r="G28" i="41"/>
  <c r="J28" i="41"/>
  <c r="G29" i="41"/>
  <c r="J29" i="41"/>
  <c r="G30" i="41"/>
  <c r="J30" i="41"/>
  <c r="G31" i="41"/>
  <c r="J31" i="41"/>
  <c r="G32" i="41"/>
  <c r="J32" i="41"/>
  <c r="G33" i="41"/>
  <c r="J33" i="41"/>
  <c r="G34" i="41"/>
  <c r="J34" i="41"/>
  <c r="G35" i="41"/>
  <c r="J35" i="41"/>
  <c r="G36" i="41"/>
  <c r="J36" i="41"/>
  <c r="G37" i="41"/>
  <c r="J37" i="41"/>
  <c r="G38" i="41"/>
  <c r="J38" i="41"/>
  <c r="G39" i="41"/>
  <c r="J39" i="41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5" i="12"/>
  <c r="G26" i="12"/>
  <c r="G27" i="12"/>
  <c r="G28" i="12"/>
  <c r="G29" i="12"/>
  <c r="G30" i="12"/>
  <c r="G31" i="12"/>
  <c r="G32" i="12"/>
  <c r="G33" i="12"/>
  <c r="G34" i="12"/>
  <c r="G35" i="12"/>
  <c r="J5" i="76"/>
  <c r="G6" i="76"/>
  <c r="J6" i="76"/>
  <c r="G7" i="76"/>
  <c r="J7" i="76"/>
  <c r="G8" i="76"/>
  <c r="J8" i="76"/>
  <c r="G9" i="76"/>
  <c r="J9" i="76"/>
  <c r="G10" i="76"/>
  <c r="J10" i="76"/>
  <c r="G11" i="76"/>
  <c r="J11" i="76"/>
  <c r="G12" i="76"/>
  <c r="J12" i="76"/>
  <c r="G13" i="76"/>
  <c r="J13" i="76"/>
  <c r="G14" i="76"/>
  <c r="J14" i="76"/>
  <c r="G15" i="76"/>
  <c r="J15" i="76"/>
  <c r="G16" i="76"/>
  <c r="J16" i="76"/>
  <c r="G17" i="76"/>
  <c r="J17" i="76"/>
  <c r="G18" i="76"/>
  <c r="J18" i="76"/>
  <c r="G19" i="76"/>
  <c r="J19" i="76"/>
  <c r="G20" i="76"/>
  <c r="J20" i="76"/>
  <c r="G21" i="76"/>
  <c r="J21" i="76"/>
  <c r="G22" i="76"/>
  <c r="K22" i="76" s="1"/>
  <c r="G23" i="76"/>
  <c r="J23" i="76"/>
  <c r="G24" i="76"/>
  <c r="J24" i="76"/>
  <c r="G25" i="76"/>
  <c r="G26" i="76"/>
  <c r="J26" i="76"/>
  <c r="G27" i="76"/>
  <c r="J27" i="76"/>
  <c r="G28" i="76"/>
  <c r="J28" i="76"/>
  <c r="G29" i="76"/>
  <c r="J29" i="76"/>
  <c r="G30" i="76"/>
  <c r="J30" i="76"/>
  <c r="G31" i="76"/>
  <c r="J31" i="76"/>
  <c r="G33" i="76"/>
  <c r="J33" i="76"/>
  <c r="G34" i="76"/>
  <c r="J34" i="76"/>
  <c r="G35" i="76"/>
  <c r="J35" i="76"/>
  <c r="J5" i="79"/>
  <c r="G7" i="79"/>
  <c r="J7" i="79"/>
  <c r="G8" i="79"/>
  <c r="J8" i="79"/>
  <c r="G9" i="79"/>
  <c r="J9" i="79"/>
  <c r="G10" i="79"/>
  <c r="J10" i="79"/>
  <c r="G11" i="79"/>
  <c r="J11" i="79"/>
  <c r="G12" i="79"/>
  <c r="J12" i="79"/>
  <c r="G13" i="79"/>
  <c r="J13" i="79"/>
  <c r="G14" i="79"/>
  <c r="J14" i="79"/>
  <c r="G15" i="79"/>
  <c r="J15" i="79"/>
  <c r="G16" i="79"/>
  <c r="J16" i="79"/>
  <c r="G17" i="79"/>
  <c r="J17" i="79"/>
  <c r="G18" i="79"/>
  <c r="J18" i="79"/>
  <c r="G19" i="79"/>
  <c r="J19" i="79"/>
  <c r="G20" i="79"/>
  <c r="J20" i="79"/>
  <c r="G21" i="79"/>
  <c r="J21" i="79"/>
  <c r="G22" i="79"/>
  <c r="J22" i="79"/>
  <c r="G23" i="79"/>
  <c r="J23" i="79"/>
  <c r="G24" i="79"/>
  <c r="J24" i="79"/>
  <c r="G25" i="79"/>
  <c r="J25" i="79"/>
  <c r="G26" i="79"/>
  <c r="J26" i="79"/>
  <c r="G27" i="79"/>
  <c r="J27" i="79"/>
  <c r="G28" i="79"/>
  <c r="J28" i="79"/>
  <c r="G29" i="79"/>
  <c r="J29" i="79"/>
  <c r="G30" i="79"/>
  <c r="J30" i="79"/>
  <c r="G31" i="79"/>
  <c r="J31" i="79"/>
  <c r="G32" i="79"/>
  <c r="J32" i="79"/>
  <c r="G33" i="79"/>
  <c r="J33" i="79"/>
  <c r="G34" i="79"/>
  <c r="J34" i="79"/>
  <c r="G5" i="75"/>
  <c r="J5" i="75"/>
  <c r="G6" i="75"/>
  <c r="J6" i="75"/>
  <c r="G7" i="75"/>
  <c r="J7" i="75"/>
  <c r="G8" i="75"/>
  <c r="J8" i="75"/>
  <c r="G9" i="75"/>
  <c r="J9" i="75"/>
  <c r="J10" i="75"/>
  <c r="G11" i="75"/>
  <c r="J11" i="75"/>
  <c r="G12" i="75"/>
  <c r="J12" i="75"/>
  <c r="G13" i="75"/>
  <c r="J13" i="75"/>
  <c r="G14" i="75"/>
  <c r="J14" i="75"/>
  <c r="G15" i="75"/>
  <c r="G16" i="75"/>
  <c r="J16" i="75"/>
  <c r="G17" i="75"/>
  <c r="J17" i="75"/>
  <c r="G18" i="75"/>
  <c r="J18" i="75"/>
  <c r="G19" i="75"/>
  <c r="G20" i="75"/>
  <c r="G21" i="75"/>
  <c r="J21" i="75"/>
  <c r="J22" i="75"/>
  <c r="G27" i="75"/>
  <c r="G28" i="75"/>
  <c r="J28" i="75"/>
  <c r="G29" i="75"/>
  <c r="J29" i="75"/>
  <c r="G30" i="75"/>
  <c r="J30" i="75"/>
  <c r="G32" i="75"/>
  <c r="J32" i="75"/>
  <c r="G33" i="75"/>
  <c r="J33" i="75"/>
  <c r="G34" i="75"/>
  <c r="J34" i="75"/>
  <c r="J5" i="85"/>
  <c r="K5" i="85"/>
  <c r="G6" i="85"/>
  <c r="J6" i="85"/>
  <c r="K6" i="85"/>
  <c r="G7" i="85"/>
  <c r="J7" i="85"/>
  <c r="K7" i="85"/>
  <c r="G8" i="85"/>
  <c r="K8" i="85"/>
  <c r="G9" i="85"/>
  <c r="K9" i="85"/>
  <c r="G10" i="85"/>
  <c r="K10" i="85"/>
  <c r="G11" i="85"/>
  <c r="K11" i="85"/>
  <c r="K12" i="85"/>
  <c r="G13" i="85"/>
  <c r="K13" i="85"/>
  <c r="G14" i="85"/>
  <c r="K14" i="85"/>
  <c r="G15" i="85"/>
  <c r="K15" i="85"/>
  <c r="G16" i="85"/>
  <c r="K16" i="85"/>
  <c r="G17" i="85"/>
  <c r="J17" i="85"/>
  <c r="K17" i="85"/>
  <c r="G18" i="85"/>
  <c r="J18" i="85"/>
  <c r="K18" i="85"/>
  <c r="G19" i="85"/>
  <c r="J19" i="85"/>
  <c r="K19" i="85"/>
  <c r="G20" i="85"/>
  <c r="J20" i="85"/>
  <c r="K20" i="85"/>
  <c r="J21" i="85"/>
  <c r="K21" i="85"/>
  <c r="G22" i="85"/>
  <c r="J22" i="85"/>
  <c r="K22" i="85"/>
  <c r="G23" i="85"/>
  <c r="J23" i="85"/>
  <c r="K23" i="85"/>
  <c r="G25" i="85"/>
  <c r="J25" i="85"/>
  <c r="K25" i="85"/>
  <c r="G26" i="85"/>
  <c r="J26" i="85"/>
  <c r="K26" i="85"/>
  <c r="G27" i="85"/>
  <c r="J27" i="85"/>
  <c r="K27" i="85"/>
  <c r="G28" i="85"/>
  <c r="J28" i="85"/>
  <c r="K28" i="85"/>
  <c r="G29" i="85"/>
  <c r="J29" i="85"/>
  <c r="K29" i="85"/>
  <c r="G30" i="85"/>
  <c r="J30" i="85"/>
  <c r="K30" i="85"/>
  <c r="G31" i="85"/>
  <c r="J31" i="85"/>
  <c r="K31" i="85"/>
  <c r="G32" i="85"/>
  <c r="J32" i="85"/>
  <c r="K32" i="85"/>
  <c r="G33" i="85"/>
  <c r="J33" i="85"/>
  <c r="K33" i="85"/>
  <c r="G34" i="85"/>
  <c r="J34" i="85"/>
  <c r="K34" i="85"/>
  <c r="G35" i="85"/>
  <c r="J35" i="85"/>
  <c r="K35" i="85"/>
  <c r="G36" i="85"/>
  <c r="J36" i="85"/>
  <c r="K36" i="85"/>
  <c r="G5" i="22"/>
  <c r="J5" i="22"/>
  <c r="G6" i="22"/>
  <c r="J6" i="22"/>
  <c r="G7" i="22"/>
  <c r="J7" i="22"/>
  <c r="G8" i="22"/>
  <c r="J8" i="22"/>
  <c r="G9" i="22"/>
  <c r="J9" i="22"/>
  <c r="G10" i="22"/>
  <c r="J10" i="22"/>
  <c r="G11" i="22"/>
  <c r="J11" i="22"/>
  <c r="G12" i="22"/>
  <c r="J12" i="22"/>
  <c r="G13" i="22"/>
  <c r="J13" i="22"/>
  <c r="G14" i="22"/>
  <c r="J14" i="22"/>
  <c r="G15" i="22"/>
  <c r="J15" i="22"/>
  <c r="G16" i="22"/>
  <c r="J16" i="22"/>
  <c r="G17" i="22"/>
  <c r="J17" i="22"/>
  <c r="G18" i="22"/>
  <c r="J18" i="22"/>
  <c r="G19" i="22"/>
  <c r="J19" i="22"/>
  <c r="G20" i="22"/>
  <c r="J20" i="22"/>
  <c r="G21" i="22"/>
  <c r="J21" i="22"/>
  <c r="G22" i="22"/>
  <c r="J22" i="22"/>
  <c r="G23" i="22"/>
  <c r="J23" i="22"/>
  <c r="G24" i="22"/>
  <c r="J24" i="22"/>
  <c r="G25" i="22"/>
  <c r="J25" i="22"/>
  <c r="G26" i="22"/>
  <c r="J26" i="22"/>
  <c r="G27" i="22"/>
  <c r="J27" i="22"/>
  <c r="G28" i="22"/>
  <c r="J28" i="22"/>
  <c r="G29" i="22"/>
  <c r="J29" i="22"/>
  <c r="G30" i="22"/>
  <c r="J30" i="22"/>
  <c r="G31" i="22"/>
  <c r="J31" i="22"/>
  <c r="G32" i="22"/>
  <c r="J32" i="22"/>
  <c r="G33" i="22"/>
  <c r="J33" i="22"/>
  <c r="G34" i="22"/>
  <c r="J34" i="22"/>
  <c r="G35" i="22"/>
  <c r="J35" i="22"/>
  <c r="G36" i="22"/>
  <c r="J36" i="22"/>
  <c r="G37" i="22"/>
  <c r="J37" i="22"/>
  <c r="G38" i="22"/>
  <c r="J38" i="22"/>
  <c r="G39" i="22"/>
  <c r="J39" i="22"/>
  <c r="G6" i="25"/>
  <c r="G7" i="25"/>
  <c r="G8" i="25"/>
  <c r="G9" i="25"/>
  <c r="G11" i="25"/>
  <c r="G12" i="25"/>
  <c r="G13" i="25"/>
  <c r="G14" i="25"/>
  <c r="G16" i="25"/>
  <c r="G17" i="25"/>
  <c r="G18" i="25"/>
  <c r="G19" i="25"/>
  <c r="G20" i="25"/>
  <c r="G21" i="25"/>
  <c r="G23" i="25"/>
  <c r="G24" i="25"/>
  <c r="G25" i="25"/>
  <c r="G26" i="25"/>
  <c r="G27" i="25"/>
  <c r="G28" i="25"/>
  <c r="G29" i="25"/>
  <c r="G30" i="25"/>
  <c r="G31" i="25"/>
  <c r="G32" i="25"/>
  <c r="G33" i="25"/>
  <c r="G35" i="25"/>
  <c r="G36" i="25"/>
  <c r="G38" i="25"/>
  <c r="G39" i="25"/>
  <c r="G40" i="25"/>
  <c r="G5" i="11"/>
  <c r="J5" i="11"/>
  <c r="G6" i="11"/>
  <c r="J6" i="11"/>
  <c r="G7" i="11"/>
  <c r="J7" i="11"/>
  <c r="G8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2" i="11"/>
  <c r="J22" i="11"/>
  <c r="G23" i="11"/>
  <c r="J23" i="11"/>
  <c r="G24" i="11"/>
  <c r="J24" i="11"/>
  <c r="G25" i="11"/>
  <c r="J25" i="11"/>
  <c r="G26" i="11"/>
  <c r="J26" i="11"/>
  <c r="G28" i="11"/>
  <c r="J28" i="11"/>
  <c r="G29" i="11"/>
  <c r="J29" i="11"/>
  <c r="G30" i="11"/>
  <c r="J30" i="11"/>
  <c r="G31" i="11"/>
  <c r="J31" i="11"/>
  <c r="G32" i="11"/>
  <c r="J32" i="11"/>
  <c r="G33" i="11"/>
  <c r="J33" i="11"/>
  <c r="G34" i="11"/>
  <c r="J34" i="11"/>
  <c r="G35" i="11"/>
  <c r="J35" i="11"/>
  <c r="G36" i="11"/>
  <c r="J36" i="11"/>
  <c r="G5" i="10"/>
  <c r="J5" i="10"/>
  <c r="G6" i="10"/>
  <c r="J6" i="10"/>
  <c r="G7" i="10"/>
  <c r="J7" i="10"/>
  <c r="G8" i="10"/>
  <c r="J8" i="10"/>
  <c r="G9" i="10"/>
  <c r="J9" i="10"/>
  <c r="G10" i="10"/>
  <c r="J10" i="10"/>
  <c r="G11" i="10"/>
  <c r="J11" i="10"/>
  <c r="G12" i="10"/>
  <c r="J12" i="10"/>
  <c r="G13" i="10"/>
  <c r="J13" i="10"/>
  <c r="G14" i="10"/>
  <c r="J14" i="10"/>
  <c r="G15" i="10"/>
  <c r="J15" i="10"/>
  <c r="G16" i="10"/>
  <c r="J16" i="10"/>
  <c r="G17" i="10"/>
  <c r="J17" i="10"/>
  <c r="G18" i="10"/>
  <c r="J18" i="10"/>
  <c r="G19" i="10"/>
  <c r="J19" i="10"/>
  <c r="G20" i="10"/>
  <c r="J20" i="10"/>
  <c r="G21" i="10"/>
  <c r="J21" i="10"/>
  <c r="G22" i="10"/>
  <c r="J22" i="10"/>
  <c r="G23" i="10"/>
  <c r="J23" i="10"/>
  <c r="G24" i="10"/>
  <c r="J24" i="10"/>
  <c r="G25" i="10"/>
  <c r="J25" i="10"/>
  <c r="G26" i="10"/>
  <c r="J26" i="10"/>
  <c r="G27" i="10"/>
  <c r="J27" i="10"/>
  <c r="G28" i="10"/>
  <c r="J28" i="10"/>
  <c r="G29" i="10"/>
  <c r="J29" i="10"/>
  <c r="G30" i="10"/>
  <c r="J30" i="10"/>
  <c r="G31" i="10"/>
  <c r="J31" i="10"/>
  <c r="G32" i="10"/>
  <c r="J32" i="10"/>
  <c r="G33" i="10"/>
  <c r="J33" i="10"/>
  <c r="G5" i="80"/>
  <c r="J5" i="80"/>
  <c r="G6" i="80"/>
  <c r="J6" i="80"/>
  <c r="G7" i="80"/>
  <c r="J7" i="80"/>
  <c r="G8" i="80"/>
  <c r="J8" i="80"/>
  <c r="G9" i="80"/>
  <c r="J9" i="80"/>
  <c r="G10" i="80"/>
  <c r="J10" i="80"/>
  <c r="G12" i="80"/>
  <c r="J12" i="80"/>
  <c r="G13" i="80"/>
  <c r="J13" i="80"/>
  <c r="G14" i="80"/>
  <c r="J14" i="80"/>
  <c r="G15" i="80"/>
  <c r="J15" i="80"/>
  <c r="G16" i="80"/>
  <c r="J16" i="80"/>
  <c r="G18" i="80"/>
  <c r="J18" i="80"/>
  <c r="G19" i="80"/>
  <c r="J19" i="80"/>
  <c r="G20" i="80"/>
  <c r="J20" i="80"/>
  <c r="G21" i="80"/>
  <c r="J21" i="80"/>
  <c r="G22" i="80"/>
  <c r="J22" i="80"/>
  <c r="G24" i="80"/>
  <c r="J24" i="80"/>
  <c r="G25" i="80"/>
  <c r="J25" i="80"/>
  <c r="G26" i="80"/>
  <c r="J26" i="80"/>
  <c r="G27" i="80"/>
  <c r="J27" i="80"/>
  <c r="G28" i="80"/>
  <c r="J28" i="80"/>
  <c r="G29" i="80"/>
  <c r="J29" i="80"/>
  <c r="G30" i="80"/>
  <c r="J30" i="80"/>
  <c r="G31" i="80"/>
  <c r="J31" i="80"/>
  <c r="G32" i="80"/>
  <c r="J32" i="80"/>
  <c r="G33" i="80"/>
  <c r="J33" i="80"/>
  <c r="G34" i="80"/>
  <c r="J34" i="80"/>
  <c r="G35" i="80"/>
  <c r="J35" i="80"/>
  <c r="G36" i="80"/>
  <c r="J36" i="80"/>
  <c r="G37" i="80"/>
  <c r="J37" i="80"/>
  <c r="G38" i="80"/>
  <c r="J38" i="80"/>
  <c r="J4" i="80"/>
  <c r="G4" i="80"/>
  <c r="J21" i="24"/>
  <c r="J22" i="24"/>
  <c r="J23" i="24"/>
  <c r="J24" i="24"/>
  <c r="J25" i="24"/>
  <c r="J26" i="24"/>
  <c r="J27" i="24"/>
  <c r="J28" i="24"/>
  <c r="G29" i="24"/>
  <c r="J29" i="24"/>
  <c r="J30" i="24"/>
  <c r="J31" i="24"/>
  <c r="G32" i="24"/>
  <c r="J32" i="24"/>
  <c r="G33" i="24"/>
  <c r="J33" i="24"/>
  <c r="G34" i="24"/>
  <c r="J34" i="24"/>
  <c r="G6" i="74"/>
  <c r="J6" i="74"/>
  <c r="G7" i="74"/>
  <c r="J7" i="74"/>
  <c r="G8" i="74"/>
  <c r="J8" i="74"/>
  <c r="G9" i="74"/>
  <c r="J9" i="74"/>
  <c r="G10" i="74"/>
  <c r="J10" i="74"/>
  <c r="G11" i="74"/>
  <c r="J11" i="74"/>
  <c r="G12" i="74"/>
  <c r="J12" i="74"/>
  <c r="G13" i="74"/>
  <c r="J13" i="74"/>
  <c r="G14" i="74"/>
  <c r="J14" i="74"/>
  <c r="G15" i="74"/>
  <c r="J15" i="74"/>
  <c r="G16" i="74"/>
  <c r="J16" i="74"/>
  <c r="G17" i="74"/>
  <c r="J17" i="74"/>
  <c r="G18" i="74"/>
  <c r="J18" i="74"/>
  <c r="G19" i="74"/>
  <c r="J19" i="74"/>
  <c r="G20" i="74"/>
  <c r="J20" i="74"/>
  <c r="G21" i="74"/>
  <c r="J21" i="74"/>
  <c r="G22" i="74"/>
  <c r="J22" i="74"/>
  <c r="G23" i="74"/>
  <c r="J23" i="74"/>
  <c r="G24" i="74"/>
  <c r="J24" i="74"/>
  <c r="G25" i="74"/>
  <c r="J25" i="74"/>
  <c r="G26" i="74"/>
  <c r="J26" i="74"/>
  <c r="G27" i="74"/>
  <c r="J27" i="74"/>
  <c r="G28" i="74"/>
  <c r="J28" i="74"/>
  <c r="G29" i="74"/>
  <c r="J29" i="74"/>
  <c r="G30" i="74"/>
  <c r="J30" i="74"/>
  <c r="G31" i="74"/>
  <c r="J31" i="74"/>
  <c r="G32" i="74"/>
  <c r="J32" i="74"/>
  <c r="G33" i="74"/>
  <c r="J33" i="74"/>
  <c r="G5" i="73"/>
  <c r="J5" i="73"/>
  <c r="G6" i="73"/>
  <c r="J6" i="73"/>
  <c r="G7" i="73"/>
  <c r="J7" i="73"/>
  <c r="G8" i="73"/>
  <c r="J8" i="73"/>
  <c r="G9" i="73"/>
  <c r="J9" i="73"/>
  <c r="G10" i="73"/>
  <c r="J10" i="73"/>
  <c r="G11" i="73"/>
  <c r="J11" i="73"/>
  <c r="G12" i="73"/>
  <c r="J12" i="73"/>
  <c r="G13" i="73"/>
  <c r="J13" i="73"/>
  <c r="G14" i="73"/>
  <c r="J14" i="73"/>
  <c r="G15" i="73"/>
  <c r="J15" i="73"/>
  <c r="G16" i="73"/>
  <c r="J16" i="73"/>
  <c r="G17" i="73"/>
  <c r="J17" i="73"/>
  <c r="G18" i="73"/>
  <c r="J18" i="73"/>
  <c r="G19" i="73"/>
  <c r="J19" i="73"/>
  <c r="G20" i="73"/>
  <c r="J20" i="73"/>
  <c r="G21" i="73"/>
  <c r="J21" i="73"/>
  <c r="G22" i="73"/>
  <c r="J22" i="73"/>
  <c r="G24" i="73"/>
  <c r="J24" i="73"/>
  <c r="G25" i="73"/>
  <c r="J25" i="73"/>
  <c r="G26" i="73"/>
  <c r="J26" i="73"/>
  <c r="G27" i="73"/>
  <c r="J27" i="73"/>
  <c r="G28" i="73"/>
  <c r="J28" i="73"/>
  <c r="G29" i="73"/>
  <c r="J29" i="73"/>
  <c r="G30" i="73"/>
  <c r="J30" i="73"/>
  <c r="J31" i="73"/>
  <c r="G5" i="68"/>
  <c r="J5" i="68"/>
  <c r="K5" i="68"/>
  <c r="G6" i="68"/>
  <c r="J6" i="68"/>
  <c r="K6" i="68"/>
  <c r="G7" i="68"/>
  <c r="J7" i="68"/>
  <c r="K7" i="68"/>
  <c r="G8" i="68"/>
  <c r="J8" i="68"/>
  <c r="K8" i="68"/>
  <c r="R6" i="68" s="1"/>
  <c r="G9" i="68"/>
  <c r="J9" i="68"/>
  <c r="K9" i="68"/>
  <c r="G10" i="68"/>
  <c r="J10" i="68"/>
  <c r="K10" i="68"/>
  <c r="G11" i="68"/>
  <c r="J11" i="68"/>
  <c r="K11" i="68"/>
  <c r="G12" i="68"/>
  <c r="J12" i="68"/>
  <c r="K12" i="68"/>
  <c r="G13" i="68"/>
  <c r="J13" i="68"/>
  <c r="K13" i="68"/>
  <c r="J14" i="68"/>
  <c r="K14" i="68"/>
  <c r="G15" i="68"/>
  <c r="J15" i="68"/>
  <c r="K15" i="68"/>
  <c r="G16" i="68"/>
  <c r="J16" i="68"/>
  <c r="K16" i="68"/>
  <c r="G17" i="68"/>
  <c r="J17" i="68"/>
  <c r="K17" i="68"/>
  <c r="G18" i="68"/>
  <c r="J18" i="68"/>
  <c r="K18" i="68"/>
  <c r="G19" i="68"/>
  <c r="J19" i="68"/>
  <c r="K19" i="68"/>
  <c r="G20" i="68"/>
  <c r="J20" i="68"/>
  <c r="K20" i="68"/>
  <c r="G21" i="68"/>
  <c r="J21" i="68"/>
  <c r="K21" i="68"/>
  <c r="G22" i="68"/>
  <c r="J22" i="68"/>
  <c r="K22" i="68"/>
  <c r="G23" i="68"/>
  <c r="J23" i="68"/>
  <c r="K23" i="68"/>
  <c r="G25" i="68"/>
  <c r="J25" i="68"/>
  <c r="K25" i="68"/>
  <c r="G26" i="68"/>
  <c r="J26" i="68"/>
  <c r="K26" i="68"/>
  <c r="G27" i="68"/>
  <c r="J27" i="68"/>
  <c r="K27" i="68"/>
  <c r="G28" i="68"/>
  <c r="J28" i="68"/>
  <c r="K28" i="68"/>
  <c r="G29" i="68"/>
  <c r="J29" i="68"/>
  <c r="K29" i="68"/>
  <c r="G30" i="68"/>
  <c r="J30" i="68"/>
  <c r="K30" i="68"/>
  <c r="G31" i="68"/>
  <c r="J31" i="68"/>
  <c r="K31" i="68"/>
  <c r="G32" i="68"/>
  <c r="J32" i="68"/>
  <c r="K32" i="68"/>
  <c r="G33" i="68"/>
  <c r="J33" i="68"/>
  <c r="K33" i="68"/>
  <c r="G34" i="68"/>
  <c r="J34" i="68"/>
  <c r="K34" i="68"/>
  <c r="G35" i="68"/>
  <c r="J35" i="68"/>
  <c r="K35" i="68"/>
  <c r="J4" i="68"/>
  <c r="G4" i="68"/>
  <c r="G6" i="63"/>
  <c r="J6" i="63"/>
  <c r="K6" i="63"/>
  <c r="G7" i="63"/>
  <c r="J7" i="63"/>
  <c r="K7" i="63"/>
  <c r="G8" i="63"/>
  <c r="J8" i="63"/>
  <c r="K8" i="63"/>
  <c r="G9" i="63"/>
  <c r="J9" i="63"/>
  <c r="K9" i="63"/>
  <c r="G10" i="63"/>
  <c r="J10" i="63"/>
  <c r="K10" i="63"/>
  <c r="G11" i="63"/>
  <c r="J11" i="63"/>
  <c r="K11" i="63"/>
  <c r="G12" i="63"/>
  <c r="J12" i="63"/>
  <c r="K12" i="63"/>
  <c r="G13" i="63"/>
  <c r="J13" i="63"/>
  <c r="K13" i="63"/>
  <c r="G14" i="63"/>
  <c r="J14" i="63"/>
  <c r="K14" i="63"/>
  <c r="G15" i="63"/>
  <c r="J15" i="63"/>
  <c r="K15" i="63"/>
  <c r="G16" i="63"/>
  <c r="J16" i="63"/>
  <c r="K16" i="63"/>
  <c r="G17" i="63"/>
  <c r="J17" i="63"/>
  <c r="K17" i="63"/>
  <c r="G18" i="63"/>
  <c r="J18" i="63"/>
  <c r="K18" i="63"/>
  <c r="G19" i="63"/>
  <c r="J19" i="63"/>
  <c r="K19" i="63"/>
  <c r="G20" i="63"/>
  <c r="J20" i="63"/>
  <c r="K20" i="63"/>
  <c r="G21" i="63"/>
  <c r="J21" i="63"/>
  <c r="K21" i="63"/>
  <c r="G22" i="63"/>
  <c r="J22" i="63"/>
  <c r="K22" i="63"/>
  <c r="G23" i="63"/>
  <c r="J23" i="63"/>
  <c r="K23" i="63"/>
  <c r="G24" i="63"/>
  <c r="J24" i="63"/>
  <c r="K24" i="63"/>
  <c r="G25" i="63"/>
  <c r="J25" i="63"/>
  <c r="K25" i="63"/>
  <c r="G26" i="63"/>
  <c r="J26" i="63"/>
  <c r="K26" i="63"/>
  <c r="G27" i="63"/>
  <c r="J27" i="63"/>
  <c r="K27" i="63"/>
  <c r="G28" i="63"/>
  <c r="J28" i="63"/>
  <c r="K28" i="63"/>
  <c r="G29" i="63"/>
  <c r="J29" i="63"/>
  <c r="K29" i="63"/>
  <c r="G30" i="63"/>
  <c r="J30" i="63"/>
  <c r="K30" i="63"/>
  <c r="G31" i="63"/>
  <c r="J31" i="63"/>
  <c r="K31" i="63"/>
  <c r="G32" i="63"/>
  <c r="J32" i="63"/>
  <c r="K32" i="63"/>
  <c r="G33" i="63"/>
  <c r="J33" i="63"/>
  <c r="K33" i="63"/>
  <c r="G5" i="16"/>
  <c r="J5" i="16"/>
  <c r="K5" i="16"/>
  <c r="G6" i="16"/>
  <c r="J6" i="16"/>
  <c r="K6" i="16"/>
  <c r="G7" i="16"/>
  <c r="J7" i="16"/>
  <c r="K7" i="16"/>
  <c r="J8" i="16"/>
  <c r="K8" i="16"/>
  <c r="J9" i="16"/>
  <c r="K9" i="16"/>
  <c r="J10" i="16"/>
  <c r="K10" i="16"/>
  <c r="J11" i="16"/>
  <c r="K11" i="16"/>
  <c r="J12" i="16"/>
  <c r="K12" i="16"/>
  <c r="J13" i="16"/>
  <c r="K13" i="16"/>
  <c r="J14" i="16"/>
  <c r="K14" i="16"/>
  <c r="J15" i="16"/>
  <c r="K15" i="16"/>
  <c r="J16" i="16"/>
  <c r="K16" i="16"/>
  <c r="J17" i="16"/>
  <c r="K17" i="16"/>
  <c r="J18" i="16"/>
  <c r="K18" i="16"/>
  <c r="J19" i="16"/>
  <c r="K19" i="16"/>
  <c r="J20" i="16"/>
  <c r="K20" i="16"/>
  <c r="J21" i="16"/>
  <c r="K21" i="16"/>
  <c r="J22" i="16"/>
  <c r="K22" i="16"/>
  <c r="J23" i="16"/>
  <c r="K23" i="16"/>
  <c r="J24" i="16"/>
  <c r="K24" i="16"/>
  <c r="J25" i="16"/>
  <c r="K25" i="16"/>
  <c r="J26" i="16"/>
  <c r="K26" i="16"/>
  <c r="J27" i="16"/>
  <c r="K27" i="16"/>
  <c r="J28" i="16"/>
  <c r="K28" i="16"/>
  <c r="J29" i="16"/>
  <c r="K29" i="16"/>
  <c r="J30" i="16"/>
  <c r="K30" i="16"/>
  <c r="J31" i="16"/>
  <c r="J32" i="16"/>
  <c r="K32" i="16"/>
  <c r="J33" i="16"/>
  <c r="K33" i="16"/>
  <c r="J34" i="16"/>
  <c r="K34" i="16"/>
  <c r="G35" i="16"/>
  <c r="J35" i="16"/>
  <c r="K35" i="16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J19" i="3"/>
  <c r="K19" i="3"/>
  <c r="G20" i="3"/>
  <c r="J20" i="3"/>
  <c r="K20" i="3"/>
  <c r="J21" i="3"/>
  <c r="K21" i="3"/>
  <c r="G22" i="3"/>
  <c r="J22" i="3"/>
  <c r="K22" i="3"/>
  <c r="G23" i="3"/>
  <c r="J23" i="3"/>
  <c r="K23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25" i="52"/>
  <c r="J25" i="52"/>
  <c r="G26" i="52"/>
  <c r="J26" i="52"/>
  <c r="G27" i="52"/>
  <c r="J27" i="52"/>
  <c r="G28" i="52"/>
  <c r="J28" i="52"/>
  <c r="G29" i="52"/>
  <c r="J29" i="52"/>
  <c r="G30" i="52"/>
  <c r="J30" i="52"/>
  <c r="G31" i="52"/>
  <c r="J31" i="52"/>
  <c r="G32" i="52"/>
  <c r="J32" i="52"/>
  <c r="G33" i="52"/>
  <c r="J33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G9" i="62"/>
  <c r="G10" i="62"/>
  <c r="G11" i="62"/>
  <c r="G12" i="62"/>
  <c r="G13" i="62"/>
  <c r="G14" i="62"/>
  <c r="G15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G5" i="89"/>
  <c r="J5" i="89"/>
  <c r="K5" i="89"/>
  <c r="G6" i="89"/>
  <c r="J6" i="89"/>
  <c r="K6" i="89"/>
  <c r="G7" i="89"/>
  <c r="J7" i="89"/>
  <c r="K7" i="89"/>
  <c r="G8" i="89"/>
  <c r="J8" i="89"/>
  <c r="K8" i="89"/>
  <c r="G9" i="89"/>
  <c r="J9" i="89"/>
  <c r="K9" i="89"/>
  <c r="G10" i="89"/>
  <c r="J10" i="89"/>
  <c r="K10" i="89"/>
  <c r="G11" i="89"/>
  <c r="J11" i="89"/>
  <c r="K11" i="89"/>
  <c r="G12" i="89"/>
  <c r="J12" i="89"/>
  <c r="K12" i="89"/>
  <c r="G13" i="89"/>
  <c r="J13" i="89"/>
  <c r="K13" i="89"/>
  <c r="G14" i="89"/>
  <c r="J14" i="89"/>
  <c r="K14" i="89"/>
  <c r="G15" i="89"/>
  <c r="J15" i="89"/>
  <c r="K15" i="89"/>
  <c r="G16" i="89"/>
  <c r="J16" i="89"/>
  <c r="K16" i="89"/>
  <c r="J17" i="89"/>
  <c r="K17" i="89"/>
  <c r="G18" i="89"/>
  <c r="J18" i="89"/>
  <c r="K18" i="89"/>
  <c r="G19" i="89"/>
  <c r="J19" i="89"/>
  <c r="K19" i="89"/>
  <c r="G20" i="89"/>
  <c r="J20" i="89"/>
  <c r="K20" i="89"/>
  <c r="G21" i="89"/>
  <c r="J21" i="89"/>
  <c r="K21" i="89"/>
  <c r="G22" i="89"/>
  <c r="J22" i="89"/>
  <c r="K22" i="89"/>
  <c r="G23" i="89"/>
  <c r="J23" i="89"/>
  <c r="K23" i="89"/>
  <c r="G24" i="89"/>
  <c r="J24" i="89"/>
  <c r="K24" i="89"/>
  <c r="G25" i="89"/>
  <c r="J25" i="89"/>
  <c r="K25" i="89"/>
  <c r="G26" i="89"/>
  <c r="J26" i="89"/>
  <c r="K26" i="89"/>
  <c r="G27" i="89"/>
  <c r="J27" i="89"/>
  <c r="K27" i="89"/>
  <c r="G28" i="89"/>
  <c r="K28" i="89"/>
  <c r="G29" i="89"/>
  <c r="J29" i="89"/>
  <c r="K29" i="89"/>
  <c r="G30" i="89"/>
  <c r="J30" i="89"/>
  <c r="K30" i="89"/>
  <c r="G31" i="89"/>
  <c r="J31" i="89"/>
  <c r="K31" i="89"/>
  <c r="G32" i="89"/>
  <c r="J32" i="89"/>
  <c r="K32" i="89"/>
  <c r="G33" i="89"/>
  <c r="J33" i="89"/>
  <c r="K33" i="89"/>
  <c r="G34" i="89"/>
  <c r="J34" i="89"/>
  <c r="K34" i="89"/>
  <c r="J5" i="78"/>
  <c r="J6" i="78"/>
  <c r="J7" i="78"/>
  <c r="J8" i="78"/>
  <c r="J9" i="78"/>
  <c r="J10" i="78"/>
  <c r="J11" i="78"/>
  <c r="J12" i="78"/>
  <c r="J13" i="78"/>
  <c r="J14" i="78"/>
  <c r="J15" i="78"/>
  <c r="J16" i="78"/>
  <c r="J17" i="78"/>
  <c r="J18" i="78"/>
  <c r="J20" i="78"/>
  <c r="J29" i="78"/>
  <c r="J30" i="78"/>
  <c r="J31" i="78"/>
  <c r="J32" i="78"/>
  <c r="G5" i="82"/>
  <c r="J5" i="82"/>
  <c r="K5" i="82"/>
  <c r="G6" i="82"/>
  <c r="J6" i="82"/>
  <c r="K6" i="82"/>
  <c r="G7" i="82"/>
  <c r="J7" i="82"/>
  <c r="K7" i="82"/>
  <c r="G8" i="82"/>
  <c r="J8" i="82"/>
  <c r="K8" i="82"/>
  <c r="G9" i="82"/>
  <c r="J9" i="82"/>
  <c r="K9" i="82"/>
  <c r="G10" i="82"/>
  <c r="J10" i="82"/>
  <c r="K10" i="82"/>
  <c r="G11" i="82"/>
  <c r="J11" i="82"/>
  <c r="K11" i="82"/>
  <c r="G12" i="82"/>
  <c r="J12" i="82"/>
  <c r="K12" i="82"/>
  <c r="G13" i="82"/>
  <c r="J13" i="82"/>
  <c r="K13" i="82"/>
  <c r="G14" i="82"/>
  <c r="J14" i="82"/>
  <c r="K14" i="82"/>
  <c r="G15" i="82"/>
  <c r="J15" i="82"/>
  <c r="K15" i="82"/>
  <c r="G16" i="82"/>
  <c r="J16" i="82"/>
  <c r="K16" i="82"/>
  <c r="G17" i="82"/>
  <c r="J17" i="82"/>
  <c r="K17" i="82"/>
  <c r="G18" i="82"/>
  <c r="J18" i="82"/>
  <c r="K18" i="82"/>
  <c r="G19" i="82"/>
  <c r="J19" i="82"/>
  <c r="K19" i="82"/>
  <c r="G20" i="82"/>
  <c r="J20" i="82"/>
  <c r="K20" i="82"/>
  <c r="G21" i="82"/>
  <c r="J21" i="82"/>
  <c r="K21" i="82"/>
  <c r="G22" i="82"/>
  <c r="J22" i="82"/>
  <c r="K22" i="82"/>
  <c r="G23" i="82"/>
  <c r="J23" i="82"/>
  <c r="K23" i="82"/>
  <c r="G24" i="82"/>
  <c r="J24" i="82"/>
  <c r="K24" i="82"/>
  <c r="G25" i="82"/>
  <c r="J25" i="82"/>
  <c r="K25" i="82"/>
  <c r="G26" i="82"/>
  <c r="J26" i="82"/>
  <c r="K26" i="82"/>
  <c r="G27" i="82"/>
  <c r="J27" i="82"/>
  <c r="K27" i="82"/>
  <c r="G28" i="82"/>
  <c r="J28" i="82"/>
  <c r="K28" i="82"/>
  <c r="G29" i="82"/>
  <c r="J29" i="82"/>
  <c r="K29" i="82"/>
  <c r="G30" i="82"/>
  <c r="J30" i="82"/>
  <c r="K30" i="82"/>
  <c r="G31" i="82"/>
  <c r="J31" i="82"/>
  <c r="K31" i="82"/>
  <c r="G32" i="82"/>
  <c r="J32" i="82"/>
  <c r="K32" i="82"/>
  <c r="G33" i="82"/>
  <c r="J33" i="82"/>
  <c r="K33" i="82"/>
  <c r="G34" i="82"/>
  <c r="J34" i="82"/>
  <c r="K34" i="82"/>
  <c r="G6" i="47"/>
  <c r="J6" i="47"/>
  <c r="K6" i="47"/>
  <c r="G7" i="47"/>
  <c r="J7" i="47"/>
  <c r="K7" i="47"/>
  <c r="G8" i="47"/>
  <c r="J8" i="47"/>
  <c r="K8" i="47"/>
  <c r="G9" i="47"/>
  <c r="J9" i="47"/>
  <c r="J16" i="47"/>
  <c r="J17" i="47"/>
  <c r="J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5" i="47"/>
  <c r="J25" i="47"/>
  <c r="K25" i="47"/>
  <c r="G26" i="47"/>
  <c r="J26" i="47"/>
  <c r="K26" i="47"/>
  <c r="G27" i="47"/>
  <c r="J27" i="47"/>
  <c r="K27" i="47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35" i="47"/>
  <c r="J35" i="47"/>
  <c r="K35" i="47"/>
  <c r="G36" i="47"/>
  <c r="J36" i="47"/>
  <c r="K36" i="47"/>
  <c r="G5" i="50"/>
  <c r="K5" i="50"/>
  <c r="G6" i="50"/>
  <c r="K6" i="50"/>
  <c r="G7" i="50"/>
  <c r="K7" i="50"/>
  <c r="G8" i="50"/>
  <c r="K8" i="50"/>
  <c r="G9" i="50"/>
  <c r="K9" i="50"/>
  <c r="G10" i="50"/>
  <c r="K10" i="50"/>
  <c r="G11" i="50"/>
  <c r="K11" i="50"/>
  <c r="G12" i="50"/>
  <c r="K12" i="50"/>
  <c r="G13" i="50"/>
  <c r="K13" i="50"/>
  <c r="G14" i="50"/>
  <c r="K14" i="50"/>
  <c r="G15" i="50"/>
  <c r="K15" i="50"/>
  <c r="G16" i="50"/>
  <c r="K16" i="50" s="1"/>
  <c r="G17" i="50"/>
  <c r="K17" i="50" s="1"/>
  <c r="G18" i="50"/>
  <c r="K18" i="50" s="1"/>
  <c r="G19" i="50"/>
  <c r="K19" i="50" s="1"/>
  <c r="G20" i="50"/>
  <c r="K20" i="50" s="1"/>
  <c r="G21" i="50"/>
  <c r="K21" i="50" s="1"/>
  <c r="G22" i="50"/>
  <c r="K22" i="50"/>
  <c r="G23" i="50"/>
  <c r="K23" i="50"/>
  <c r="G24" i="50"/>
  <c r="K24" i="50"/>
  <c r="G25" i="50"/>
  <c r="K25" i="50"/>
  <c r="G26" i="50"/>
  <c r="K26" i="50"/>
  <c r="G27" i="50"/>
  <c r="K27" i="50"/>
  <c r="G28" i="50"/>
  <c r="K28" i="50"/>
  <c r="G29" i="50"/>
  <c r="K29" i="50"/>
  <c r="G30" i="50"/>
  <c r="K30" i="50"/>
  <c r="G31" i="50"/>
  <c r="K31" i="50"/>
  <c r="G32" i="50"/>
  <c r="K32" i="50"/>
  <c r="G33" i="50"/>
  <c r="K33" i="50"/>
  <c r="H40" i="80"/>
  <c r="J80" i="44"/>
  <c r="J81" i="44"/>
  <c r="J83" i="44"/>
  <c r="J84" i="44"/>
  <c r="J92" i="44"/>
  <c r="J93" i="44"/>
  <c r="J94" i="44"/>
  <c r="J95" i="44"/>
  <c r="K95" i="44" s="1"/>
  <c r="G94" i="44"/>
  <c r="K94" i="44" s="1"/>
  <c r="G93" i="44"/>
  <c r="K93" i="44" s="1"/>
  <c r="G92" i="44"/>
  <c r="K92" i="44" s="1"/>
  <c r="G91" i="44"/>
  <c r="K91" i="44" s="1"/>
  <c r="G84" i="44"/>
  <c r="K84" i="44" s="1"/>
  <c r="G83" i="44"/>
  <c r="K83" i="44" s="1"/>
  <c r="G81" i="44"/>
  <c r="K81" i="44" s="1"/>
  <c r="G79" i="44"/>
  <c r="G80" i="44"/>
  <c r="K80" i="44" s="1"/>
  <c r="J79" i="44"/>
  <c r="J76" i="44"/>
  <c r="K76" i="44" s="1"/>
  <c r="J77" i="44"/>
  <c r="K77" i="44" s="1"/>
  <c r="J78" i="44"/>
  <c r="K78" i="44" s="1"/>
  <c r="J74" i="44"/>
  <c r="K74" i="44" s="1"/>
  <c r="J75" i="44"/>
  <c r="K75" i="44" s="1"/>
  <c r="H43" i="51"/>
  <c r="E35" i="24"/>
  <c r="K15" i="69"/>
  <c r="E50" i="69"/>
  <c r="J31" i="62"/>
  <c r="K31" i="62"/>
  <c r="J30" i="71"/>
  <c r="K30" i="71" s="1"/>
  <c r="L30" i="71" s="1"/>
  <c r="I7" i="56"/>
  <c r="H35" i="89"/>
  <c r="F7" i="56" s="1"/>
  <c r="E35" i="89"/>
  <c r="D7" i="56" s="1"/>
  <c r="J4" i="89"/>
  <c r="G4" i="89"/>
  <c r="K4" i="89" s="1"/>
  <c r="K16" i="80"/>
  <c r="K15" i="75"/>
  <c r="J7" i="33"/>
  <c r="J6" i="33"/>
  <c r="J8" i="26"/>
  <c r="J9" i="26"/>
  <c r="G6" i="83"/>
  <c r="K6" i="22"/>
  <c r="G6" i="71"/>
  <c r="G4" i="35"/>
  <c r="I44" i="56"/>
  <c r="I32" i="56"/>
  <c r="J4" i="57"/>
  <c r="G11" i="40"/>
  <c r="G12" i="40"/>
  <c r="G13" i="40"/>
  <c r="G14" i="40"/>
  <c r="G8" i="62"/>
  <c r="G9" i="7"/>
  <c r="G10" i="7"/>
  <c r="G11" i="7"/>
  <c r="G12" i="7"/>
  <c r="G13" i="7"/>
  <c r="G14" i="7"/>
  <c r="G15" i="7"/>
  <c r="G16" i="7"/>
  <c r="G17" i="7"/>
  <c r="G18" i="7"/>
  <c r="K22" i="9"/>
  <c r="K10" i="9"/>
  <c r="K11" i="9"/>
  <c r="K9" i="9"/>
  <c r="H56" i="85"/>
  <c r="F34" i="56" s="1"/>
  <c r="E56" i="85"/>
  <c r="D34" i="56" s="1"/>
  <c r="J55" i="85"/>
  <c r="G55" i="85"/>
  <c r="K55" i="85" s="1"/>
  <c r="J54" i="85"/>
  <c r="G54" i="85"/>
  <c r="K54" i="85" s="1"/>
  <c r="J53" i="85"/>
  <c r="G53" i="85"/>
  <c r="K53" i="85" s="1"/>
  <c r="J52" i="85"/>
  <c r="G52" i="85"/>
  <c r="K52" i="85" s="1"/>
  <c r="J51" i="85"/>
  <c r="G51" i="85"/>
  <c r="K51" i="85" s="1"/>
  <c r="J50" i="85"/>
  <c r="G50" i="85"/>
  <c r="K50" i="85" s="1"/>
  <c r="J49" i="85"/>
  <c r="G49" i="85"/>
  <c r="K49" i="85" s="1"/>
  <c r="J48" i="85"/>
  <c r="G48" i="85"/>
  <c r="K48" i="85" s="1"/>
  <c r="J47" i="85"/>
  <c r="G47" i="85"/>
  <c r="K47" i="85" s="1"/>
  <c r="J46" i="85"/>
  <c r="G46" i="85"/>
  <c r="K46" i="85" s="1"/>
  <c r="J45" i="85"/>
  <c r="G45" i="85"/>
  <c r="K45" i="85" s="1"/>
  <c r="J44" i="85"/>
  <c r="G44" i="85"/>
  <c r="K44" i="85" s="1"/>
  <c r="J43" i="85"/>
  <c r="G43" i="85"/>
  <c r="K43" i="85" s="1"/>
  <c r="J42" i="85"/>
  <c r="G42" i="85"/>
  <c r="K42" i="85" s="1"/>
  <c r="J41" i="85"/>
  <c r="G41" i="85"/>
  <c r="K41" i="85" s="1"/>
  <c r="J40" i="85"/>
  <c r="G40" i="85"/>
  <c r="K40" i="85" s="1"/>
  <c r="J39" i="85"/>
  <c r="G39" i="85"/>
  <c r="K39" i="85" s="1"/>
  <c r="J38" i="85"/>
  <c r="G38" i="85"/>
  <c r="K38" i="85" s="1"/>
  <c r="J37" i="85"/>
  <c r="G37" i="85"/>
  <c r="K37" i="85" s="1"/>
  <c r="L56" i="85"/>
  <c r="J34" i="56" s="1"/>
  <c r="J4" i="85"/>
  <c r="J56" i="85" s="1"/>
  <c r="G34" i="56" s="1"/>
  <c r="G4" i="85"/>
  <c r="I34" i="56"/>
  <c r="G4" i="22"/>
  <c r="G5" i="63"/>
  <c r="J5" i="63"/>
  <c r="K5" i="63"/>
  <c r="G5" i="52"/>
  <c r="J5" i="52"/>
  <c r="K5" i="52"/>
  <c r="G6" i="52"/>
  <c r="J6" i="52"/>
  <c r="K6" i="52"/>
  <c r="G7" i="52"/>
  <c r="J7" i="52"/>
  <c r="K7" i="52"/>
  <c r="G21" i="52"/>
  <c r="J21" i="52"/>
  <c r="G22" i="52"/>
  <c r="J22" i="52"/>
  <c r="G23" i="52"/>
  <c r="J23" i="52"/>
  <c r="G24" i="52"/>
  <c r="J24" i="52"/>
  <c r="G6" i="62"/>
  <c r="J6" i="62"/>
  <c r="K6" i="62"/>
  <c r="G7" i="62"/>
  <c r="J7" i="62"/>
  <c r="K7" i="62"/>
  <c r="J8" i="62"/>
  <c r="K8" i="62"/>
  <c r="J9" i="62"/>
  <c r="K9" i="62"/>
  <c r="J10" i="62"/>
  <c r="K10" i="62"/>
  <c r="J11" i="62"/>
  <c r="K11" i="62"/>
  <c r="M11" i="62" s="1"/>
  <c r="M12" i="62" s="1"/>
  <c r="M13" i="62" s="1"/>
  <c r="M14" i="62" s="1"/>
  <c r="M15" i="62" s="1"/>
  <c r="M16" i="62" s="1"/>
  <c r="M17" i="62" s="1"/>
  <c r="M18" i="62" s="1"/>
  <c r="J12" i="62"/>
  <c r="K12" i="62"/>
  <c r="J13" i="62"/>
  <c r="K13" i="62"/>
  <c r="J14" i="62"/>
  <c r="K14" i="62"/>
  <c r="J15" i="62"/>
  <c r="K15" i="62"/>
  <c r="J17" i="62"/>
  <c r="K17" i="62"/>
  <c r="J18" i="62"/>
  <c r="K18" i="62"/>
  <c r="J19" i="62"/>
  <c r="K19" i="62"/>
  <c r="J20" i="62"/>
  <c r="K20" i="62"/>
  <c r="J21" i="62"/>
  <c r="K21" i="62"/>
  <c r="J22" i="62"/>
  <c r="K22" i="62"/>
  <c r="J23" i="62"/>
  <c r="K23" i="62"/>
  <c r="J24" i="62"/>
  <c r="K24" i="62"/>
  <c r="J25" i="62"/>
  <c r="K25" i="62"/>
  <c r="J26" i="62"/>
  <c r="K26" i="62"/>
  <c r="J27" i="62"/>
  <c r="K27" i="62"/>
  <c r="J28" i="62"/>
  <c r="K28" i="62"/>
  <c r="J29" i="62"/>
  <c r="K29" i="62"/>
  <c r="J30" i="62"/>
  <c r="K30" i="62"/>
  <c r="J32" i="62"/>
  <c r="K32" i="62"/>
  <c r="J33" i="62"/>
  <c r="K33" i="62"/>
  <c r="J34" i="62"/>
  <c r="K34" i="62"/>
  <c r="J35" i="62"/>
  <c r="K35" i="62"/>
  <c r="J36" i="62"/>
  <c r="K36" i="62"/>
  <c r="G33" i="58"/>
  <c r="J5" i="47"/>
  <c r="J33" i="78"/>
  <c r="H35" i="24"/>
  <c r="J29" i="35"/>
  <c r="AM5" i="84"/>
  <c r="AM6" i="84"/>
  <c r="AM7" i="84"/>
  <c r="AM8" i="84"/>
  <c r="AM9" i="84"/>
  <c r="AM10" i="84"/>
  <c r="AM11" i="84"/>
  <c r="AM12" i="84"/>
  <c r="AM13" i="84"/>
  <c r="AM14" i="84"/>
  <c r="AM15" i="84"/>
  <c r="AM4" i="84"/>
  <c r="G5" i="78"/>
  <c r="I4" i="56"/>
  <c r="I41" i="56"/>
  <c r="L35" i="83"/>
  <c r="J41" i="56" s="1"/>
  <c r="H35" i="83"/>
  <c r="F41" i="56" s="1"/>
  <c r="E35" i="83"/>
  <c r="D41" i="56" s="1"/>
  <c r="J34" i="83"/>
  <c r="G34" i="83"/>
  <c r="K34" i="83" s="1"/>
  <c r="J32" i="83"/>
  <c r="G32" i="83"/>
  <c r="K32" i="83" s="1"/>
  <c r="J31" i="83"/>
  <c r="G31" i="83"/>
  <c r="K31" i="83" s="1"/>
  <c r="J30" i="83"/>
  <c r="G30" i="83"/>
  <c r="K30" i="83" s="1"/>
  <c r="J29" i="83"/>
  <c r="G29" i="83"/>
  <c r="K29" i="83" s="1"/>
  <c r="J28" i="83"/>
  <c r="G28" i="83"/>
  <c r="K28" i="83" s="1"/>
  <c r="J27" i="83"/>
  <c r="G27" i="83"/>
  <c r="K27" i="83" s="1"/>
  <c r="J26" i="83"/>
  <c r="G26" i="83"/>
  <c r="K26" i="83" s="1"/>
  <c r="J25" i="83"/>
  <c r="G25" i="83"/>
  <c r="K25" i="83" s="1"/>
  <c r="J24" i="83"/>
  <c r="G24" i="83"/>
  <c r="K24" i="83" s="1"/>
  <c r="J23" i="83"/>
  <c r="G23" i="83"/>
  <c r="K23" i="83" s="1"/>
  <c r="J22" i="83"/>
  <c r="G22" i="83"/>
  <c r="K22" i="83" s="1"/>
  <c r="J21" i="83"/>
  <c r="G21" i="83"/>
  <c r="K21" i="83" s="1"/>
  <c r="J20" i="83"/>
  <c r="G20" i="83"/>
  <c r="K20" i="83" s="1"/>
  <c r="J19" i="83"/>
  <c r="G19" i="83"/>
  <c r="K19" i="83" s="1"/>
  <c r="J18" i="83"/>
  <c r="G18" i="83"/>
  <c r="K18" i="83" s="1"/>
  <c r="J17" i="83"/>
  <c r="G17" i="83"/>
  <c r="K17" i="83" s="1"/>
  <c r="J16" i="83"/>
  <c r="G16" i="83"/>
  <c r="K16" i="83" s="1"/>
  <c r="J15" i="83"/>
  <c r="G15" i="83"/>
  <c r="K15" i="83" s="1"/>
  <c r="J14" i="83"/>
  <c r="G14" i="83"/>
  <c r="K14" i="83" s="1"/>
  <c r="J13" i="83"/>
  <c r="G13" i="83"/>
  <c r="K13" i="83" s="1"/>
  <c r="J12" i="83"/>
  <c r="G12" i="83"/>
  <c r="K12" i="83" s="1"/>
  <c r="J11" i="83"/>
  <c r="G11" i="83"/>
  <c r="K11" i="83" s="1"/>
  <c r="J10" i="83"/>
  <c r="G10" i="83"/>
  <c r="K10" i="83" s="1"/>
  <c r="J9" i="83"/>
  <c r="G9" i="83"/>
  <c r="K9" i="83" s="1"/>
  <c r="J8" i="83"/>
  <c r="G8" i="83"/>
  <c r="K8" i="83" s="1"/>
  <c r="J7" i="83"/>
  <c r="K7" i="83"/>
  <c r="J6" i="83"/>
  <c r="K6" i="83" s="1"/>
  <c r="J5" i="83"/>
  <c r="G5" i="83"/>
  <c r="K5" i="83" s="1"/>
  <c r="J4" i="83"/>
  <c r="J35" i="83" s="1"/>
  <c r="G41" i="56" s="1"/>
  <c r="G4" i="83"/>
  <c r="L35" i="82"/>
  <c r="J4" i="56" s="1"/>
  <c r="H35" i="82"/>
  <c r="F4" i="56" s="1"/>
  <c r="E35" i="82"/>
  <c r="D4" i="56" s="1"/>
  <c r="J4" i="82"/>
  <c r="J35" i="82" s="1"/>
  <c r="G4" i="56" s="1"/>
  <c r="G4" i="82"/>
  <c r="J13" i="25"/>
  <c r="J14" i="25"/>
  <c r="J16" i="25"/>
  <c r="J17" i="25"/>
  <c r="I52" i="56"/>
  <c r="M57" i="81"/>
  <c r="H46" i="81"/>
  <c r="F52" i="56" s="1"/>
  <c r="E46" i="81"/>
  <c r="D52" i="56" s="1"/>
  <c r="J45" i="81"/>
  <c r="G45" i="81"/>
  <c r="K45" i="81" s="1"/>
  <c r="J4" i="81"/>
  <c r="J46" i="81" s="1"/>
  <c r="G52" i="56" s="1"/>
  <c r="G4" i="81"/>
  <c r="I26" i="56"/>
  <c r="I37" i="56"/>
  <c r="L40" i="80"/>
  <c r="J26" i="56" s="1"/>
  <c r="F26" i="56"/>
  <c r="D26" i="56"/>
  <c r="J39" i="80"/>
  <c r="G39" i="80"/>
  <c r="K39" i="80" s="1"/>
  <c r="K38" i="80"/>
  <c r="K37" i="80"/>
  <c r="K36" i="80"/>
  <c r="K35" i="80"/>
  <c r="K34" i="80"/>
  <c r="K33" i="80"/>
  <c r="K32" i="80"/>
  <c r="K31" i="80"/>
  <c r="K30" i="80"/>
  <c r="K29" i="80"/>
  <c r="K28" i="80"/>
  <c r="K27" i="80"/>
  <c r="K26" i="80"/>
  <c r="K25" i="80"/>
  <c r="K24" i="80"/>
  <c r="K22" i="80"/>
  <c r="K21" i="80"/>
  <c r="K20" i="80"/>
  <c r="K19" i="80"/>
  <c r="K18" i="80"/>
  <c r="K15" i="80"/>
  <c r="K14" i="80"/>
  <c r="K13" i="80"/>
  <c r="K12" i="80"/>
  <c r="K10" i="80"/>
  <c r="K9" i="80"/>
  <c r="K8" i="80"/>
  <c r="K7" i="80"/>
  <c r="K6" i="80"/>
  <c r="K5" i="80"/>
  <c r="J40" i="80"/>
  <c r="G26" i="56" s="1"/>
  <c r="L35" i="79"/>
  <c r="J37" i="56" s="1"/>
  <c r="H35" i="79"/>
  <c r="F37" i="56" s="1"/>
  <c r="E35" i="79"/>
  <c r="D37" i="56" s="1"/>
  <c r="K34" i="79"/>
  <c r="K33" i="79"/>
  <c r="K32" i="79"/>
  <c r="K31" i="79"/>
  <c r="K30" i="79"/>
  <c r="K29" i="79"/>
  <c r="K28" i="79"/>
  <c r="K27" i="79"/>
  <c r="K26" i="79"/>
  <c r="K25" i="79"/>
  <c r="K24" i="79"/>
  <c r="K23" i="79"/>
  <c r="K22" i="79"/>
  <c r="K21" i="79"/>
  <c r="K20" i="79"/>
  <c r="K19" i="79"/>
  <c r="K18" i="79"/>
  <c r="K17" i="79"/>
  <c r="K16" i="79"/>
  <c r="K15" i="79"/>
  <c r="K14" i="79"/>
  <c r="K13" i="79"/>
  <c r="K12" i="79"/>
  <c r="K11" i="79"/>
  <c r="K10" i="79"/>
  <c r="K9" i="79"/>
  <c r="K8" i="79"/>
  <c r="K7" i="79"/>
  <c r="K6" i="79"/>
  <c r="K5" i="79"/>
  <c r="J4" i="79"/>
  <c r="J35" i="79" s="1"/>
  <c r="G37" i="56" s="1"/>
  <c r="G4" i="79"/>
  <c r="J7" i="25"/>
  <c r="J8" i="25"/>
  <c r="J9" i="25"/>
  <c r="J11" i="25"/>
  <c r="J12" i="25"/>
  <c r="J18" i="25"/>
  <c r="J19" i="25"/>
  <c r="J20" i="25"/>
  <c r="J21" i="25"/>
  <c r="J23" i="25"/>
  <c r="J24" i="25"/>
  <c r="J25" i="25"/>
  <c r="J26" i="25"/>
  <c r="J27" i="25"/>
  <c r="J28" i="25"/>
  <c r="J29" i="25"/>
  <c r="J30" i="25"/>
  <c r="J31" i="25"/>
  <c r="J32" i="25"/>
  <c r="J33" i="25"/>
  <c r="J35" i="25"/>
  <c r="J36" i="25"/>
  <c r="J38" i="25"/>
  <c r="J39" i="25"/>
  <c r="J40" i="25"/>
  <c r="K5" i="57"/>
  <c r="K6" i="57"/>
  <c r="K7" i="57"/>
  <c r="K8" i="57"/>
  <c r="K9" i="57"/>
  <c r="K10" i="57"/>
  <c r="K11" i="57"/>
  <c r="K12" i="57"/>
  <c r="K13" i="57"/>
  <c r="K14" i="57"/>
  <c r="K15" i="57"/>
  <c r="K16" i="57"/>
  <c r="K17" i="57"/>
  <c r="K18" i="57"/>
  <c r="K19" i="57"/>
  <c r="K20" i="57"/>
  <c r="K21" i="57"/>
  <c r="K22" i="57"/>
  <c r="K23" i="57"/>
  <c r="K24" i="57"/>
  <c r="K25" i="57"/>
  <c r="K26" i="57"/>
  <c r="K27" i="57"/>
  <c r="K28" i="57"/>
  <c r="K29" i="57"/>
  <c r="K30" i="57"/>
  <c r="K31" i="57"/>
  <c r="K32" i="57"/>
  <c r="K33" i="57"/>
  <c r="K34" i="57"/>
  <c r="G4" i="41"/>
  <c r="J5" i="60"/>
  <c r="J6" i="60"/>
  <c r="J7" i="60"/>
  <c r="J8" i="60"/>
  <c r="J9" i="60"/>
  <c r="J10" i="60"/>
  <c r="J11" i="60"/>
  <c r="J12" i="60"/>
  <c r="J13" i="60"/>
  <c r="J14" i="60"/>
  <c r="J15" i="60"/>
  <c r="J16" i="60"/>
  <c r="K16" i="60" s="1"/>
  <c r="J17" i="60"/>
  <c r="J18" i="60"/>
  <c r="J19" i="60"/>
  <c r="J20" i="60"/>
  <c r="J21" i="60"/>
  <c r="J22" i="60"/>
  <c r="J23" i="60"/>
  <c r="J24" i="60"/>
  <c r="J25" i="60"/>
  <c r="J26" i="60"/>
  <c r="J27" i="60"/>
  <c r="J28" i="60"/>
  <c r="J29" i="60"/>
  <c r="J30" i="60"/>
  <c r="J31" i="60"/>
  <c r="J32" i="60"/>
  <c r="J33" i="60"/>
  <c r="J34" i="60"/>
  <c r="K5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J5" i="51"/>
  <c r="K5" i="51"/>
  <c r="J6" i="51"/>
  <c r="K6" i="51"/>
  <c r="J7" i="51"/>
  <c r="K7" i="51"/>
  <c r="J8" i="51"/>
  <c r="K8" i="51"/>
  <c r="J9" i="51"/>
  <c r="K9" i="51"/>
  <c r="J10" i="51"/>
  <c r="K10" i="51"/>
  <c r="J11" i="51"/>
  <c r="K11" i="51"/>
  <c r="J12" i="51"/>
  <c r="K12" i="51"/>
  <c r="J13" i="51"/>
  <c r="K13" i="51"/>
  <c r="J14" i="51"/>
  <c r="K14" i="51"/>
  <c r="J15" i="51"/>
  <c r="K15" i="51"/>
  <c r="J16" i="51"/>
  <c r="K16" i="51"/>
  <c r="J17" i="51"/>
  <c r="K17" i="51"/>
  <c r="J18" i="51"/>
  <c r="K18" i="51"/>
  <c r="J19" i="51"/>
  <c r="K19" i="51"/>
  <c r="J20" i="51"/>
  <c r="K20" i="51"/>
  <c r="J21" i="51"/>
  <c r="K21" i="51"/>
  <c r="J22" i="51"/>
  <c r="K22" i="51"/>
  <c r="J23" i="51"/>
  <c r="K23" i="51"/>
  <c r="J24" i="51"/>
  <c r="K24" i="51"/>
  <c r="J25" i="51"/>
  <c r="K25" i="51"/>
  <c r="J26" i="51"/>
  <c r="K26" i="51"/>
  <c r="J27" i="51"/>
  <c r="K27" i="51"/>
  <c r="J28" i="51"/>
  <c r="K28" i="51"/>
  <c r="J29" i="51"/>
  <c r="K29" i="51"/>
  <c r="J30" i="51"/>
  <c r="K30" i="51"/>
  <c r="J31" i="51"/>
  <c r="K31" i="51"/>
  <c r="J32" i="51"/>
  <c r="K32" i="51"/>
  <c r="J33" i="51"/>
  <c r="K33" i="51"/>
  <c r="J34" i="51"/>
  <c r="K34" i="51"/>
  <c r="J35" i="51"/>
  <c r="K35" i="51"/>
  <c r="J36" i="51"/>
  <c r="K36" i="51"/>
  <c r="J37" i="51"/>
  <c r="K37" i="51"/>
  <c r="J38" i="51"/>
  <c r="K38" i="51"/>
  <c r="G39" i="51"/>
  <c r="J39" i="51"/>
  <c r="K39" i="51"/>
  <c r="J40" i="51"/>
  <c r="K40" i="51"/>
  <c r="K5" i="69"/>
  <c r="K6" i="69"/>
  <c r="K7" i="69"/>
  <c r="K8" i="69"/>
  <c r="K9" i="69"/>
  <c r="K10" i="69"/>
  <c r="K11" i="69"/>
  <c r="K12" i="69"/>
  <c r="K13" i="69"/>
  <c r="K14" i="69"/>
  <c r="K16" i="69"/>
  <c r="K17" i="69"/>
  <c r="K18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G35" i="69"/>
  <c r="J35" i="69"/>
  <c r="K35" i="69"/>
  <c r="G36" i="69"/>
  <c r="J36" i="69"/>
  <c r="K36" i="69"/>
  <c r="G37" i="69"/>
  <c r="J37" i="69"/>
  <c r="K37" i="69"/>
  <c r="G38" i="69"/>
  <c r="J38" i="69"/>
  <c r="K38" i="69"/>
  <c r="G39" i="69"/>
  <c r="J39" i="69"/>
  <c r="K39" i="69"/>
  <c r="G40" i="69"/>
  <c r="J40" i="69"/>
  <c r="K40" i="69"/>
  <c r="G41" i="69"/>
  <c r="J41" i="69"/>
  <c r="K41" i="69"/>
  <c r="G4" i="26"/>
  <c r="J37" i="62"/>
  <c r="G34" i="10"/>
  <c r="J34" i="10"/>
  <c r="G4" i="75"/>
  <c r="J35" i="73"/>
  <c r="G35" i="73"/>
  <c r="K35" i="73" s="1"/>
  <c r="L35" i="73" s="1"/>
  <c r="K34" i="24"/>
  <c r="K34" i="60"/>
  <c r="G34" i="63"/>
  <c r="K34" i="63" s="1"/>
  <c r="E35" i="74"/>
  <c r="K33" i="74"/>
  <c r="L33" i="74" s="1"/>
  <c r="K34" i="74"/>
  <c r="L34" i="74" s="1"/>
  <c r="I6" i="56"/>
  <c r="G32" i="78"/>
  <c r="K32" i="78"/>
  <c r="G33" i="78"/>
  <c r="K33" i="78"/>
  <c r="G34" i="78"/>
  <c r="J34" i="78"/>
  <c r="K34" i="78"/>
  <c r="H35" i="78"/>
  <c r="F6" i="56" s="1"/>
  <c r="E35" i="78"/>
  <c r="D6" i="56" s="1"/>
  <c r="G31" i="78"/>
  <c r="K31" i="78" s="1"/>
  <c r="G30" i="78"/>
  <c r="K30" i="78" s="1"/>
  <c r="G29" i="78"/>
  <c r="K29" i="78" s="1"/>
  <c r="G28" i="78"/>
  <c r="K28" i="78" s="1"/>
  <c r="G20" i="78"/>
  <c r="K20" i="78" s="1"/>
  <c r="G18" i="78"/>
  <c r="K18" i="78" s="1"/>
  <c r="G17" i="78"/>
  <c r="K17" i="78" s="1"/>
  <c r="G16" i="78"/>
  <c r="K16" i="78" s="1"/>
  <c r="G15" i="78"/>
  <c r="K15" i="78" s="1"/>
  <c r="L35" i="78" s="1"/>
  <c r="J6" i="56" s="1"/>
  <c r="G14" i="78"/>
  <c r="K14" i="78" s="1"/>
  <c r="G13" i="78"/>
  <c r="K13" i="78" s="1"/>
  <c r="G12" i="78"/>
  <c r="K12" i="78" s="1"/>
  <c r="G11" i="78"/>
  <c r="K11" i="78" s="1"/>
  <c r="G10" i="78"/>
  <c r="K10" i="78" s="1"/>
  <c r="G9" i="78"/>
  <c r="K9" i="78" s="1"/>
  <c r="G8" i="78"/>
  <c r="K8" i="78" s="1"/>
  <c r="G7" i="78"/>
  <c r="K7" i="78" s="1"/>
  <c r="G6" i="78"/>
  <c r="K6" i="78" s="1"/>
  <c r="K5" i="78"/>
  <c r="J4" i="78"/>
  <c r="G4" i="78"/>
  <c r="K4" i="78" s="1"/>
  <c r="M4" i="78" s="1"/>
  <c r="M5" i="78" s="1"/>
  <c r="M6" i="78" s="1"/>
  <c r="M7" i="78" s="1"/>
  <c r="M8" i="78" s="1"/>
  <c r="M9" i="78" s="1"/>
  <c r="M10" i="78" s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G18" i="58"/>
  <c r="G19" i="58"/>
  <c r="G20" i="58"/>
  <c r="G21" i="58"/>
  <c r="G22" i="58"/>
  <c r="G23" i="58"/>
  <c r="G24" i="58"/>
  <c r="G25" i="58"/>
  <c r="G26" i="58"/>
  <c r="G27" i="58"/>
  <c r="K33" i="14"/>
  <c r="J6" i="14"/>
  <c r="K27" i="14"/>
  <c r="I38" i="56"/>
  <c r="L37" i="76"/>
  <c r="J38" i="56" s="1"/>
  <c r="F38" i="56"/>
  <c r="D38" i="56"/>
  <c r="K35" i="76"/>
  <c r="K34" i="76"/>
  <c r="K33" i="76"/>
  <c r="K31" i="76"/>
  <c r="K30" i="76"/>
  <c r="K29" i="76"/>
  <c r="K28" i="76"/>
  <c r="K27" i="76"/>
  <c r="K26" i="76"/>
  <c r="K25" i="76"/>
  <c r="I40" i="76" s="1"/>
  <c r="K21" i="76"/>
  <c r="K20" i="76"/>
  <c r="K19" i="76"/>
  <c r="K18" i="76"/>
  <c r="K17" i="76"/>
  <c r="K16" i="76"/>
  <c r="K15" i="76"/>
  <c r="K14" i="76"/>
  <c r="K13" i="76"/>
  <c r="K12" i="76"/>
  <c r="K11" i="76"/>
  <c r="K10" i="76"/>
  <c r="K9" i="76"/>
  <c r="K8" i="76"/>
  <c r="K7" i="76"/>
  <c r="K6" i="76"/>
  <c r="J4" i="76"/>
  <c r="G21" i="7"/>
  <c r="I36" i="56"/>
  <c r="E35" i="57"/>
  <c r="L35" i="9"/>
  <c r="E35" i="60"/>
  <c r="G12" i="58"/>
  <c r="G13" i="58"/>
  <c r="G14" i="58"/>
  <c r="G15" i="58"/>
  <c r="G16" i="58"/>
  <c r="G17" i="58"/>
  <c r="K12" i="58"/>
  <c r="L12" i="58"/>
  <c r="K13" i="58"/>
  <c r="L13" i="58"/>
  <c r="K14" i="58"/>
  <c r="L14" i="58"/>
  <c r="K15" i="58"/>
  <c r="L15" i="58"/>
  <c r="K16" i="58"/>
  <c r="L16" i="58"/>
  <c r="K17" i="58"/>
  <c r="L17" i="58"/>
  <c r="K18" i="58"/>
  <c r="L18" i="58"/>
  <c r="G9" i="58"/>
  <c r="G10" i="58"/>
  <c r="G11" i="58"/>
  <c r="H42" i="75"/>
  <c r="F36" i="56" s="1"/>
  <c r="E42" i="75"/>
  <c r="D36" i="56" s="1"/>
  <c r="J40" i="75"/>
  <c r="G40" i="75"/>
  <c r="K40" i="75" s="1"/>
  <c r="J39" i="75"/>
  <c r="G39" i="75"/>
  <c r="K39" i="75" s="1"/>
  <c r="J38" i="75"/>
  <c r="G38" i="75"/>
  <c r="K38" i="75" s="1"/>
  <c r="J37" i="75"/>
  <c r="G37" i="75"/>
  <c r="K37" i="75" s="1"/>
  <c r="J36" i="75"/>
  <c r="G36" i="75"/>
  <c r="K36" i="75" s="1"/>
  <c r="J35" i="75"/>
  <c r="G35" i="75"/>
  <c r="K35" i="75" s="1"/>
  <c r="K34" i="75"/>
  <c r="K33" i="75"/>
  <c r="K32" i="75"/>
  <c r="K30" i="75"/>
  <c r="K29" i="75"/>
  <c r="I45" i="75" s="1"/>
  <c r="K28" i="75"/>
  <c r="K27" i="75"/>
  <c r="K24" i="75"/>
  <c r="K22" i="75"/>
  <c r="K21" i="75"/>
  <c r="K20" i="75"/>
  <c r="K19" i="75"/>
  <c r="K18" i="75"/>
  <c r="K17" i="75"/>
  <c r="K16" i="75"/>
  <c r="K14" i="75"/>
  <c r="K13" i="75"/>
  <c r="K12" i="75"/>
  <c r="K11" i="75"/>
  <c r="K10" i="75"/>
  <c r="K9" i="75"/>
  <c r="K8" i="75"/>
  <c r="K7" i="75"/>
  <c r="K6" i="75"/>
  <c r="J4" i="75"/>
  <c r="I24" i="56"/>
  <c r="J4" i="25"/>
  <c r="K4" i="68"/>
  <c r="E55" i="22"/>
  <c r="I22" i="56"/>
  <c r="H35" i="74"/>
  <c r="F24" i="56" s="1"/>
  <c r="D24" i="56"/>
  <c r="K29" i="74"/>
  <c r="L29" i="74" s="1"/>
  <c r="K28" i="74"/>
  <c r="L28" i="74" s="1"/>
  <c r="K27" i="74"/>
  <c r="L27" i="74" s="1"/>
  <c r="K26" i="74"/>
  <c r="L26" i="74" s="1"/>
  <c r="K25" i="74"/>
  <c r="L25" i="74" s="1"/>
  <c r="K24" i="74"/>
  <c r="L24" i="74" s="1"/>
  <c r="K23" i="74"/>
  <c r="L23" i="74" s="1"/>
  <c r="K22" i="74"/>
  <c r="L22" i="74" s="1"/>
  <c r="K21" i="74"/>
  <c r="L21" i="74" s="1"/>
  <c r="K20" i="74"/>
  <c r="L20" i="74" s="1"/>
  <c r="K19" i="74"/>
  <c r="L19" i="74" s="1"/>
  <c r="K18" i="74"/>
  <c r="L18" i="74" s="1"/>
  <c r="K17" i="74"/>
  <c r="L17" i="74" s="1"/>
  <c r="K16" i="74"/>
  <c r="L16" i="74" s="1"/>
  <c r="K15" i="74"/>
  <c r="L15" i="74" s="1"/>
  <c r="K14" i="74"/>
  <c r="L14" i="74" s="1"/>
  <c r="K13" i="74"/>
  <c r="L13" i="74" s="1"/>
  <c r="K12" i="74"/>
  <c r="L12" i="74" s="1"/>
  <c r="K11" i="74"/>
  <c r="L11" i="74" s="1"/>
  <c r="K10" i="74"/>
  <c r="L10" i="74" s="1"/>
  <c r="K9" i="74"/>
  <c r="L9" i="74" s="1"/>
  <c r="K8" i="74"/>
  <c r="L8" i="74" s="1"/>
  <c r="K7" i="74"/>
  <c r="L7" i="74" s="1"/>
  <c r="K6" i="74"/>
  <c r="L6" i="74" s="1"/>
  <c r="J5" i="74"/>
  <c r="G5" i="74"/>
  <c r="K5" i="74" s="1"/>
  <c r="L5" i="74" s="1"/>
  <c r="J4" i="74"/>
  <c r="J35" i="74" s="1"/>
  <c r="G24" i="56" s="1"/>
  <c r="G4" i="74"/>
  <c r="M3" i="74"/>
  <c r="H36" i="73"/>
  <c r="F22" i="56" s="1"/>
  <c r="E36" i="73"/>
  <c r="D22" i="56" s="1"/>
  <c r="K34" i="73"/>
  <c r="L34" i="73" s="1"/>
  <c r="K33" i="73"/>
  <c r="L33" i="73" s="1"/>
  <c r="K32" i="73"/>
  <c r="L32" i="73" s="1"/>
  <c r="K31" i="73"/>
  <c r="L31" i="73" s="1"/>
  <c r="K30" i="73"/>
  <c r="L30" i="73" s="1"/>
  <c r="K29" i="73"/>
  <c r="L29" i="73" s="1"/>
  <c r="K28" i="73"/>
  <c r="L28" i="73" s="1"/>
  <c r="K27" i="73"/>
  <c r="L27" i="73" s="1"/>
  <c r="K26" i="73"/>
  <c r="L26" i="73" s="1"/>
  <c r="K25" i="73"/>
  <c r="L25" i="73" s="1"/>
  <c r="K24" i="73"/>
  <c r="L24" i="73" s="1"/>
  <c r="K22" i="73"/>
  <c r="L22" i="73" s="1"/>
  <c r="K21" i="73"/>
  <c r="L21" i="73" s="1"/>
  <c r="K20" i="73"/>
  <c r="L20" i="73" s="1"/>
  <c r="K19" i="73"/>
  <c r="L19" i="73" s="1"/>
  <c r="K18" i="73"/>
  <c r="L18" i="73" s="1"/>
  <c r="K17" i="73"/>
  <c r="L17" i="73" s="1"/>
  <c r="K16" i="73"/>
  <c r="L16" i="73" s="1"/>
  <c r="K15" i="73"/>
  <c r="L15" i="73" s="1"/>
  <c r="K14" i="73"/>
  <c r="L14" i="73" s="1"/>
  <c r="K13" i="73"/>
  <c r="L13" i="73" s="1"/>
  <c r="K12" i="73"/>
  <c r="L12" i="73" s="1"/>
  <c r="K11" i="73"/>
  <c r="L11" i="73" s="1"/>
  <c r="K10" i="73"/>
  <c r="L10" i="73" s="1"/>
  <c r="K9" i="73"/>
  <c r="L9" i="73" s="1"/>
  <c r="K8" i="73"/>
  <c r="L8" i="73" s="1"/>
  <c r="K7" i="73"/>
  <c r="L7" i="73" s="1"/>
  <c r="K6" i="73"/>
  <c r="L6" i="73" s="1"/>
  <c r="K5" i="73"/>
  <c r="L5" i="73" s="1"/>
  <c r="J4" i="73"/>
  <c r="J36" i="73" s="1"/>
  <c r="G22" i="56" s="1"/>
  <c r="G4" i="73"/>
  <c r="H35" i="9"/>
  <c r="P18" i="71"/>
  <c r="O13" i="71"/>
  <c r="Q13" i="71" s="1"/>
  <c r="I10" i="56"/>
  <c r="G10" i="56"/>
  <c r="I21" i="56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J10" i="7"/>
  <c r="K10" i="7"/>
  <c r="J11" i="7"/>
  <c r="J12" i="7"/>
  <c r="K12" i="7"/>
  <c r="J13" i="7"/>
  <c r="K13" i="7"/>
  <c r="J14" i="7"/>
  <c r="K14" i="7"/>
  <c r="J15" i="7"/>
  <c r="K15" i="7"/>
  <c r="J16" i="7"/>
  <c r="K16" i="7"/>
  <c r="J17" i="7"/>
  <c r="K17" i="7"/>
  <c r="H37" i="71"/>
  <c r="H43" i="35"/>
  <c r="I11" i="56"/>
  <c r="F11" i="56"/>
  <c r="E37" i="71"/>
  <c r="D11" i="56" s="1"/>
  <c r="J36" i="71"/>
  <c r="G36" i="71"/>
  <c r="K36" i="71" s="1"/>
  <c r="L36" i="71" s="1"/>
  <c r="J35" i="71"/>
  <c r="G35" i="71"/>
  <c r="K35" i="71" s="1"/>
  <c r="L35" i="71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29" i="71"/>
  <c r="G29" i="71"/>
  <c r="K29" i="71" s="1"/>
  <c r="L29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K6" i="71"/>
  <c r="L6" i="71" s="1"/>
  <c r="J4" i="71"/>
  <c r="J37" i="71" s="1"/>
  <c r="G11" i="56" s="1"/>
  <c r="G4" i="71"/>
  <c r="H55" i="22"/>
  <c r="I48" i="56"/>
  <c r="H48" i="26"/>
  <c r="H50" i="69"/>
  <c r="F48" i="56" s="1"/>
  <c r="J49" i="69"/>
  <c r="G49" i="69"/>
  <c r="K49" i="69" s="1"/>
  <c r="J48" i="69"/>
  <c r="G48" i="69"/>
  <c r="K48" i="69" s="1"/>
  <c r="L50" i="69" s="1"/>
  <c r="J48" i="56" s="1"/>
  <c r="J47" i="69"/>
  <c r="G47" i="69"/>
  <c r="K47" i="69" s="1"/>
  <c r="J46" i="69"/>
  <c r="G46" i="69"/>
  <c r="K46" i="69" s="1"/>
  <c r="J45" i="69"/>
  <c r="G45" i="69"/>
  <c r="K45" i="69" s="1"/>
  <c r="J44" i="69"/>
  <c r="G44" i="69"/>
  <c r="K44" i="69" s="1"/>
  <c r="J43" i="69"/>
  <c r="G43" i="69"/>
  <c r="K43" i="69" s="1"/>
  <c r="J42" i="69"/>
  <c r="G42" i="69"/>
  <c r="K42" i="69" s="1"/>
  <c r="J4" i="69"/>
  <c r="J50" i="69" s="1"/>
  <c r="G48" i="56" s="1"/>
  <c r="G4" i="69"/>
  <c r="H38" i="68"/>
  <c r="F21" i="56" s="1"/>
  <c r="E38" i="68"/>
  <c r="D21" i="56" s="1"/>
  <c r="J38" i="68"/>
  <c r="G21" i="56" s="1"/>
  <c r="I25" i="56"/>
  <c r="G5" i="40"/>
  <c r="G6" i="40"/>
  <c r="G7" i="40"/>
  <c r="G8" i="40"/>
  <c r="G9" i="40"/>
  <c r="G10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K10" i="14"/>
  <c r="K11" i="14"/>
  <c r="K12" i="14"/>
  <c r="K13" i="14"/>
  <c r="K19" i="14"/>
  <c r="K21" i="14"/>
  <c r="K22" i="14"/>
  <c r="K23" i="14"/>
  <c r="K25" i="14"/>
  <c r="K26" i="14"/>
  <c r="K28" i="14"/>
  <c r="K30" i="14"/>
  <c r="K31" i="14"/>
  <c r="K32" i="14"/>
  <c r="K34" i="14"/>
  <c r="K35" i="14"/>
  <c r="K36" i="14"/>
  <c r="K37" i="14"/>
  <c r="K38" i="14"/>
  <c r="G39" i="14"/>
  <c r="J39" i="14"/>
  <c r="K39" i="14"/>
  <c r="G40" i="14"/>
  <c r="J40" i="14"/>
  <c r="K40" i="14"/>
  <c r="G40" i="22"/>
  <c r="J40" i="22"/>
  <c r="K40" i="22"/>
  <c r="G41" i="22"/>
  <c r="J41" i="22"/>
  <c r="K41" i="22"/>
  <c r="G42" i="22"/>
  <c r="J42" i="22"/>
  <c r="K42" i="22"/>
  <c r="G43" i="22"/>
  <c r="J43" i="22"/>
  <c r="K43" i="22"/>
  <c r="G44" i="22"/>
  <c r="J44" i="22"/>
  <c r="K44" i="22"/>
  <c r="G45" i="22"/>
  <c r="J45" i="22"/>
  <c r="K45" i="22"/>
  <c r="G46" i="22"/>
  <c r="J46" i="22"/>
  <c r="K46" i="22"/>
  <c r="G47" i="22"/>
  <c r="J47" i="22"/>
  <c r="K47" i="22"/>
  <c r="G48" i="22"/>
  <c r="J48" i="22"/>
  <c r="K48" i="22"/>
  <c r="G49" i="22"/>
  <c r="J49" i="22"/>
  <c r="K49" i="22"/>
  <c r="G50" i="22"/>
  <c r="J50" i="22"/>
  <c r="K50" i="22"/>
  <c r="G51" i="22"/>
  <c r="J51" i="22"/>
  <c r="K51" i="22"/>
  <c r="G52" i="22"/>
  <c r="J52" i="22"/>
  <c r="K52" i="22"/>
  <c r="G53" i="22"/>
  <c r="J53" i="22"/>
  <c r="K53" i="22"/>
  <c r="J5" i="12"/>
  <c r="K5" i="12"/>
  <c r="J6" i="12"/>
  <c r="K6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J35" i="12"/>
  <c r="K35" i="12"/>
  <c r="J34" i="19"/>
  <c r="J7" i="19"/>
  <c r="J6" i="25"/>
  <c r="K6" i="25"/>
  <c r="K7" i="25"/>
  <c r="K8" i="25"/>
  <c r="K9" i="25"/>
  <c r="K11" i="25"/>
  <c r="K12" i="25"/>
  <c r="K13" i="25"/>
  <c r="K14" i="25"/>
  <c r="K16" i="25"/>
  <c r="K17" i="25"/>
  <c r="K18" i="25"/>
  <c r="K19" i="25"/>
  <c r="K20" i="25"/>
  <c r="K21" i="25"/>
  <c r="K23" i="25"/>
  <c r="K24" i="25"/>
  <c r="K25" i="25"/>
  <c r="K26" i="25"/>
  <c r="K27" i="25"/>
  <c r="K28" i="25"/>
  <c r="K29" i="25"/>
  <c r="K30" i="25"/>
  <c r="K31" i="25"/>
  <c r="K32" i="25"/>
  <c r="K33" i="25"/>
  <c r="K35" i="25"/>
  <c r="K36" i="25"/>
  <c r="K38" i="25"/>
  <c r="K39" i="25"/>
  <c r="K40" i="25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L35" i="24"/>
  <c r="J25" i="56" s="1"/>
  <c r="K5" i="60"/>
  <c r="K6" i="60"/>
  <c r="K7" i="60"/>
  <c r="K8" i="60"/>
  <c r="K9" i="60"/>
  <c r="K10" i="60"/>
  <c r="K11" i="60"/>
  <c r="K12" i="60"/>
  <c r="K13" i="60"/>
  <c r="K14" i="60"/>
  <c r="K26" i="60"/>
  <c r="K27" i="60"/>
  <c r="K28" i="60"/>
  <c r="K29" i="60"/>
  <c r="K30" i="60"/>
  <c r="K31" i="60"/>
  <c r="K32" i="60"/>
  <c r="K33" i="60"/>
  <c r="K5" i="41"/>
  <c r="K6" i="41"/>
  <c r="K7" i="41"/>
  <c r="K8" i="41"/>
  <c r="K9" i="41"/>
  <c r="K10" i="41"/>
  <c r="K11" i="41"/>
  <c r="K12" i="41"/>
  <c r="K13" i="41"/>
  <c r="K15" i="41"/>
  <c r="K17" i="41"/>
  <c r="K18" i="41"/>
  <c r="K19" i="41"/>
  <c r="K20" i="41"/>
  <c r="K21" i="41"/>
  <c r="K22" i="41"/>
  <c r="K23" i="41"/>
  <c r="K24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G40" i="41"/>
  <c r="J40" i="41"/>
  <c r="K40" i="41"/>
  <c r="G41" i="41"/>
  <c r="J41" i="41"/>
  <c r="K41" i="41"/>
  <c r="J41" i="51"/>
  <c r="K41" i="51"/>
  <c r="J5" i="35"/>
  <c r="K5" i="35"/>
  <c r="J6" i="35"/>
  <c r="K6" i="35"/>
  <c r="K7" i="35"/>
  <c r="J8" i="35"/>
  <c r="K8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K29" i="35"/>
  <c r="J30" i="35"/>
  <c r="K30" i="35"/>
  <c r="J31" i="35"/>
  <c r="K31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K5" i="9"/>
  <c r="K6" i="9"/>
  <c r="K7" i="9"/>
  <c r="K12" i="9"/>
  <c r="K13" i="9"/>
  <c r="K14" i="9"/>
  <c r="K15" i="9"/>
  <c r="K16" i="9"/>
  <c r="K17" i="9"/>
  <c r="K18" i="9"/>
  <c r="K19" i="9"/>
  <c r="K20" i="9"/>
  <c r="K21" i="9"/>
  <c r="K23" i="9"/>
  <c r="K24" i="9"/>
  <c r="K25" i="9"/>
  <c r="K26" i="9"/>
  <c r="K27" i="9"/>
  <c r="K28" i="9"/>
  <c r="K29" i="9"/>
  <c r="K30" i="9"/>
  <c r="K31" i="9"/>
  <c r="K32" i="9"/>
  <c r="K33" i="9"/>
  <c r="K34" i="9"/>
  <c r="J5" i="26"/>
  <c r="K5" i="26"/>
  <c r="J6" i="26"/>
  <c r="K6" i="26"/>
  <c r="J7" i="26"/>
  <c r="K7" i="26"/>
  <c r="K8" i="26"/>
  <c r="K9" i="26"/>
  <c r="J10" i="26"/>
  <c r="K10" i="26"/>
  <c r="J11" i="26"/>
  <c r="K11" i="26"/>
  <c r="J12" i="26"/>
  <c r="K12" i="26"/>
  <c r="J13" i="26"/>
  <c r="K13" i="26"/>
  <c r="J14" i="26"/>
  <c r="K14" i="26"/>
  <c r="J15" i="26"/>
  <c r="K15" i="26"/>
  <c r="J16" i="26"/>
  <c r="K16" i="26"/>
  <c r="J17" i="26"/>
  <c r="K17" i="26"/>
  <c r="J18" i="26"/>
  <c r="K18" i="26"/>
  <c r="J19" i="26"/>
  <c r="K19" i="26"/>
  <c r="J20" i="26"/>
  <c r="K20" i="26"/>
  <c r="J22" i="26"/>
  <c r="K22" i="26"/>
  <c r="J23" i="26"/>
  <c r="K23" i="26"/>
  <c r="J24" i="26"/>
  <c r="K24" i="26"/>
  <c r="J25" i="26"/>
  <c r="K25" i="26"/>
  <c r="J26" i="26"/>
  <c r="K26" i="26"/>
  <c r="J28" i="26"/>
  <c r="K28" i="26"/>
  <c r="J29" i="26"/>
  <c r="K29" i="26"/>
  <c r="M29" i="26" s="1"/>
  <c r="M30" i="26" s="1"/>
  <c r="M31" i="26" s="1"/>
  <c r="J30" i="26"/>
  <c r="K30" i="26"/>
  <c r="J31" i="26"/>
  <c r="K31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K41" i="26" s="1"/>
  <c r="G42" i="26"/>
  <c r="J42" i="26"/>
  <c r="K42" i="26"/>
  <c r="G43" i="26"/>
  <c r="J43" i="26"/>
  <c r="K43" i="26"/>
  <c r="G44" i="26"/>
  <c r="J44" i="26"/>
  <c r="K44" i="26"/>
  <c r="G45" i="26"/>
  <c r="J45" i="26"/>
  <c r="K45" i="26"/>
  <c r="G46" i="26"/>
  <c r="J46" i="26"/>
  <c r="K46" i="26"/>
  <c r="K6" i="10"/>
  <c r="K7" i="10"/>
  <c r="K8" i="10"/>
  <c r="K9" i="10"/>
  <c r="K10" i="10"/>
  <c r="K11" i="10"/>
  <c r="K12" i="10"/>
  <c r="K13" i="10"/>
  <c r="K14" i="10"/>
  <c r="K15" i="10"/>
  <c r="K16" i="10"/>
  <c r="K17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G5" i="19"/>
  <c r="J5" i="19"/>
  <c r="G6" i="19"/>
  <c r="J6" i="19"/>
  <c r="G7" i="19"/>
  <c r="G34" i="19"/>
  <c r="J5" i="33"/>
  <c r="K5" i="33"/>
  <c r="K6" i="33"/>
  <c r="K7" i="33"/>
  <c r="J8" i="33"/>
  <c r="K8" i="33"/>
  <c r="J9" i="33"/>
  <c r="K9" i="33"/>
  <c r="J10" i="33"/>
  <c r="K10" i="33"/>
  <c r="J11" i="33"/>
  <c r="K11" i="33"/>
  <c r="J12" i="33"/>
  <c r="K12" i="33"/>
  <c r="J13" i="33"/>
  <c r="K13" i="33"/>
  <c r="J14" i="33"/>
  <c r="K14" i="33"/>
  <c r="J15" i="33"/>
  <c r="K15" i="33"/>
  <c r="J16" i="33"/>
  <c r="K16" i="33"/>
  <c r="J17" i="33"/>
  <c r="K17" i="33"/>
  <c r="G18" i="33"/>
  <c r="J18" i="33"/>
  <c r="K18" i="33"/>
  <c r="G19" i="33"/>
  <c r="J19" i="33"/>
  <c r="K19" i="33"/>
  <c r="G20" i="33"/>
  <c r="J20" i="33"/>
  <c r="K20" i="33"/>
  <c r="K9" i="14"/>
  <c r="G41" i="14"/>
  <c r="J41" i="14"/>
  <c r="K41" i="14"/>
  <c r="G54" i="22"/>
  <c r="J54" i="22"/>
  <c r="K54" i="22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L34" i="40" s="1"/>
  <c r="K5" i="10"/>
  <c r="K34" i="10"/>
  <c r="H35" i="10"/>
  <c r="L35" i="10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2" i="11"/>
  <c r="K23" i="11"/>
  <c r="K24" i="11"/>
  <c r="K25" i="11"/>
  <c r="K26" i="11"/>
  <c r="K28" i="11"/>
  <c r="K29" i="11"/>
  <c r="K30" i="11"/>
  <c r="K31" i="11"/>
  <c r="K32" i="11"/>
  <c r="K33" i="11"/>
  <c r="K34" i="11"/>
  <c r="K35" i="11"/>
  <c r="K36" i="11"/>
  <c r="G36" i="16"/>
  <c r="J36" i="16"/>
  <c r="K36" i="16"/>
  <c r="K37" i="62"/>
  <c r="G38" i="62"/>
  <c r="J38" i="62"/>
  <c r="K38" i="62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J13" i="58"/>
  <c r="J14" i="58"/>
  <c r="J15" i="58"/>
  <c r="J16" i="58"/>
  <c r="J17" i="58"/>
  <c r="J18" i="58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J33" i="58"/>
  <c r="K33" i="58"/>
  <c r="L33" i="58"/>
  <c r="G5" i="47"/>
  <c r="K5" i="47"/>
  <c r="G34" i="50"/>
  <c r="K34" i="50"/>
  <c r="G35" i="50"/>
  <c r="J35" i="50"/>
  <c r="K35" i="50"/>
  <c r="G36" i="50"/>
  <c r="J36" i="50"/>
  <c r="K36" i="50"/>
  <c r="G37" i="50"/>
  <c r="J37" i="50"/>
  <c r="K37" i="50"/>
  <c r="I14" i="56"/>
  <c r="I23" i="56"/>
  <c r="H35" i="63"/>
  <c r="F23" i="56" s="1"/>
  <c r="E35" i="63"/>
  <c r="D23" i="56" s="1"/>
  <c r="J4" i="63"/>
  <c r="J35" i="63" s="1"/>
  <c r="G23" i="56" s="1"/>
  <c r="G4" i="63"/>
  <c r="I29" i="56"/>
  <c r="L39" i="62"/>
  <c r="J15" i="56" s="1"/>
  <c r="H39" i="62"/>
  <c r="F15" i="56" s="1"/>
  <c r="E39" i="62"/>
  <c r="D15" i="56" s="1"/>
  <c r="J4" i="62"/>
  <c r="J39" i="62" s="1"/>
  <c r="G15" i="56" s="1"/>
  <c r="G4" i="62"/>
  <c r="I15" i="56"/>
  <c r="K5" i="19"/>
  <c r="L5" i="19"/>
  <c r="K6" i="19"/>
  <c r="L6" i="19"/>
  <c r="K7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E43" i="35"/>
  <c r="E37" i="11"/>
  <c r="H42" i="41"/>
  <c r="I42" i="56"/>
  <c r="H36" i="12"/>
  <c r="I49" i="56"/>
  <c r="I47" i="56"/>
  <c r="H35" i="60"/>
  <c r="F42" i="56" s="1"/>
  <c r="D42" i="56"/>
  <c r="J4" i="60"/>
  <c r="J35" i="60" s="1"/>
  <c r="G42" i="56" s="1"/>
  <c r="I45" i="56"/>
  <c r="G4" i="52"/>
  <c r="J4" i="47"/>
  <c r="J5" i="14"/>
  <c r="L42" i="41"/>
  <c r="I46" i="56"/>
  <c r="I40" i="56"/>
  <c r="I39" i="56"/>
  <c r="I35" i="56"/>
  <c r="I33" i="56"/>
  <c r="I28" i="56"/>
  <c r="I20" i="56"/>
  <c r="I19" i="56"/>
  <c r="I18" i="56"/>
  <c r="I17" i="56"/>
  <c r="G4" i="9"/>
  <c r="K34" i="19"/>
  <c r="L34" i="19"/>
  <c r="L33" i="57"/>
  <c r="L34" i="57"/>
  <c r="K5" i="14"/>
  <c r="G5" i="7"/>
  <c r="J5" i="7"/>
  <c r="G6" i="7"/>
  <c r="J6" i="7"/>
  <c r="G7" i="7"/>
  <c r="J7" i="7"/>
  <c r="G8" i="7"/>
  <c r="J8" i="7"/>
  <c r="J9" i="7"/>
  <c r="J18" i="7"/>
  <c r="G19" i="7"/>
  <c r="J19" i="7"/>
  <c r="G20" i="7"/>
  <c r="J20" i="7"/>
  <c r="K20" i="7" s="1"/>
  <c r="J21" i="7"/>
  <c r="J22" i="7"/>
  <c r="G33" i="7"/>
  <c r="J33" i="7"/>
  <c r="G4" i="50"/>
  <c r="K4" i="50"/>
  <c r="G34" i="58"/>
  <c r="J34" i="58"/>
  <c r="K34" i="58"/>
  <c r="L34" i="58"/>
  <c r="J4" i="58"/>
  <c r="G4" i="58"/>
  <c r="H35" i="58"/>
  <c r="F10" i="56" s="1"/>
  <c r="E35" i="58"/>
  <c r="D10" i="56" s="1"/>
  <c r="J35" i="58"/>
  <c r="H35" i="19"/>
  <c r="E35" i="19"/>
  <c r="E43" i="51"/>
  <c r="F51" i="56"/>
  <c r="D51" i="56"/>
  <c r="F50" i="56"/>
  <c r="D50" i="56"/>
  <c r="D49" i="56"/>
  <c r="E36" i="33"/>
  <c r="D47" i="56" s="1"/>
  <c r="F46" i="56"/>
  <c r="E35" i="9"/>
  <c r="D46" i="56" s="1"/>
  <c r="F45" i="56"/>
  <c r="D45" i="56"/>
  <c r="H35" i="57"/>
  <c r="F44" i="56" s="1"/>
  <c r="D44" i="56"/>
  <c r="J35" i="57"/>
  <c r="G44" i="56" s="1"/>
  <c r="G4" i="57"/>
  <c r="J40" i="56"/>
  <c r="F40" i="56"/>
  <c r="E42" i="41"/>
  <c r="D40" i="56" s="1"/>
  <c r="E36" i="12"/>
  <c r="L36" i="12"/>
  <c r="J39" i="56"/>
  <c r="F39" i="56"/>
  <c r="D39" i="56"/>
  <c r="F33" i="56"/>
  <c r="D33" i="56"/>
  <c r="E42" i="14"/>
  <c r="D35" i="56" s="1"/>
  <c r="E41" i="25"/>
  <c r="D32" i="56" s="1"/>
  <c r="E35" i="40"/>
  <c r="D31" i="56" s="1"/>
  <c r="D29" i="56"/>
  <c r="J28" i="56"/>
  <c r="D28" i="56"/>
  <c r="D25" i="56"/>
  <c r="E35" i="3"/>
  <c r="D20" i="56" s="1"/>
  <c r="E35" i="7"/>
  <c r="D19" i="56" s="1"/>
  <c r="E37" i="16"/>
  <c r="D18" i="56" s="1"/>
  <c r="L37" i="16"/>
  <c r="E35" i="52"/>
  <c r="D17" i="56" s="1"/>
  <c r="J46" i="56"/>
  <c r="L37" i="11"/>
  <c r="H37" i="11"/>
  <c r="F29" i="56" s="1"/>
  <c r="F28" i="56"/>
  <c r="H35" i="3"/>
  <c r="F20" i="56" s="1"/>
  <c r="L35" i="3"/>
  <c r="J20" i="56" s="1"/>
  <c r="H35" i="7"/>
  <c r="F19" i="56" s="1"/>
  <c r="I3" i="56"/>
  <c r="I2" i="56"/>
  <c r="L38" i="50"/>
  <c r="J2" i="56" s="1"/>
  <c r="H38" i="50"/>
  <c r="F2" i="56" s="1"/>
  <c r="E38" i="50"/>
  <c r="D2" i="56" s="1"/>
  <c r="F49" i="56"/>
  <c r="L42" i="14"/>
  <c r="J35" i="56" s="1"/>
  <c r="H42" i="14"/>
  <c r="F35" i="56" s="1"/>
  <c r="H41" i="25"/>
  <c r="F32" i="56" s="1"/>
  <c r="J35" i="40"/>
  <c r="G31" i="56" s="1"/>
  <c r="H35" i="40"/>
  <c r="F31" i="56" s="1"/>
  <c r="F25" i="56"/>
  <c r="K38" i="16"/>
  <c r="L35" i="52"/>
  <c r="J17" i="56" s="1"/>
  <c r="H35" i="52"/>
  <c r="F17" i="56" s="1"/>
  <c r="D3" i="56"/>
  <c r="L38" i="47"/>
  <c r="J3" i="56" s="1"/>
  <c r="H38" i="47"/>
  <c r="F3" i="56" s="1"/>
  <c r="G4" i="44"/>
  <c r="G4" i="51"/>
  <c r="K5" i="7"/>
  <c r="K6" i="7"/>
  <c r="K7" i="7"/>
  <c r="K8" i="7"/>
  <c r="K9" i="7"/>
  <c r="K18" i="7"/>
  <c r="K19" i="7"/>
  <c r="K21" i="7"/>
  <c r="K22" i="7"/>
  <c r="K33" i="7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 s="1"/>
  <c r="M18" i="52"/>
  <c r="M19" i="52"/>
  <c r="J47" i="26"/>
  <c r="J4" i="41"/>
  <c r="J42" i="51"/>
  <c r="K42" i="51"/>
  <c r="L42" i="51" s="1"/>
  <c r="J4" i="51"/>
  <c r="G47" i="26"/>
  <c r="K47" i="26"/>
  <c r="G34" i="7"/>
  <c r="J34" i="7"/>
  <c r="K34" i="7"/>
  <c r="G4" i="47"/>
  <c r="G4" i="40"/>
  <c r="J35" i="24"/>
  <c r="G25" i="56" s="1"/>
  <c r="G4" i="12"/>
  <c r="G36" i="12" s="1"/>
  <c r="E39" i="56" s="1"/>
  <c r="H37" i="16"/>
  <c r="F18" i="56" s="1"/>
  <c r="M3" i="40"/>
  <c r="J42" i="35"/>
  <c r="G42" i="35"/>
  <c r="K42" i="35" s="1"/>
  <c r="J4" i="35"/>
  <c r="H36" i="33"/>
  <c r="F47" i="56" s="1"/>
  <c r="J4" i="33"/>
  <c r="J36" i="33" s="1"/>
  <c r="G47" i="56" s="1"/>
  <c r="G4" i="33"/>
  <c r="J4" i="10"/>
  <c r="J35" i="10" s="1"/>
  <c r="J4" i="22"/>
  <c r="J55" i="22" s="1"/>
  <c r="G33" i="56" s="1"/>
  <c r="L35" i="7"/>
  <c r="J19" i="56" s="1"/>
  <c r="J4" i="26"/>
  <c r="J4" i="9"/>
  <c r="G4" i="7"/>
  <c r="G4" i="19"/>
  <c r="G35" i="19" s="1"/>
  <c r="E51" i="56" s="1"/>
  <c r="J4" i="19"/>
  <c r="K4" i="19"/>
  <c r="J4" i="16"/>
  <c r="G4" i="16"/>
  <c r="K4" i="16" s="1"/>
  <c r="J4" i="14"/>
  <c r="G4" i="14"/>
  <c r="K4" i="14"/>
  <c r="J4" i="7"/>
  <c r="J35" i="7" s="1"/>
  <c r="G19" i="56" s="1"/>
  <c r="J4" i="12"/>
  <c r="G4" i="11"/>
  <c r="J4" i="11"/>
  <c r="J37" i="11" s="1"/>
  <c r="G29" i="56" s="1"/>
  <c r="K4" i="11"/>
  <c r="M4" i="11" s="1"/>
  <c r="M5" i="11" s="1"/>
  <c r="G4" i="10"/>
  <c r="G35" i="10" s="1"/>
  <c r="J4" i="3"/>
  <c r="J35" i="3" s="1"/>
  <c r="G20" i="56" s="1"/>
  <c r="G4" i="3"/>
  <c r="G35" i="3" s="1"/>
  <c r="E20" i="56" s="1"/>
  <c r="K108" i="44" l="1"/>
  <c r="K113" i="44"/>
  <c r="K109" i="44"/>
  <c r="K79" i="44"/>
  <c r="K82" i="44"/>
  <c r="L47" i="65"/>
  <c r="M32" i="26"/>
  <c r="M33" i="26" s="1"/>
  <c r="M34" i="26" s="1"/>
  <c r="M35" i="26" s="1"/>
  <c r="M36" i="26" s="1"/>
  <c r="M26" i="104"/>
  <c r="M27" i="104" s="1"/>
  <c r="M28" i="104" s="1"/>
  <c r="M29" i="104" s="1"/>
  <c r="M30" i="104" s="1"/>
  <c r="M31" i="104" s="1"/>
  <c r="M32" i="104" s="1"/>
  <c r="M33" i="104" s="1"/>
  <c r="M34" i="104" s="1"/>
  <c r="M35" i="104" s="1"/>
  <c r="M36" i="104" s="1"/>
  <c r="M26" i="105"/>
  <c r="M27" i="105" s="1"/>
  <c r="M28" i="105" s="1"/>
  <c r="M29" i="105" s="1"/>
  <c r="M30" i="105" s="1"/>
  <c r="M31" i="105" s="1"/>
  <c r="M32" i="105" s="1"/>
  <c r="M33" i="105" s="1"/>
  <c r="M34" i="105" s="1"/>
  <c r="M35" i="105" s="1"/>
  <c r="M36" i="105" s="1"/>
  <c r="G37" i="105"/>
  <c r="E13" i="56" s="1"/>
  <c r="H13" i="56" s="1"/>
  <c r="K4" i="105"/>
  <c r="G37" i="104"/>
  <c r="E12" i="56" s="1"/>
  <c r="H12" i="56" s="1"/>
  <c r="M19" i="62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M36" i="62" s="1"/>
  <c r="M37" i="62" s="1"/>
  <c r="M38" i="62" s="1"/>
  <c r="K11" i="7"/>
  <c r="G39" i="103"/>
  <c r="E16" i="56" s="1"/>
  <c r="H16" i="56" s="1"/>
  <c r="K16" i="56" s="1"/>
  <c r="K9" i="47"/>
  <c r="K18" i="47"/>
  <c r="K17" i="47"/>
  <c r="K16" i="47"/>
  <c r="J35" i="100"/>
  <c r="G43" i="56" s="1"/>
  <c r="H43" i="56"/>
  <c r="K9" i="24"/>
  <c r="K8" i="24"/>
  <c r="K24" i="52"/>
  <c r="K23" i="52"/>
  <c r="K22" i="52"/>
  <c r="K21" i="52"/>
  <c r="K20" i="52"/>
  <c r="M20" i="52" s="1"/>
  <c r="M21" i="52" s="1"/>
  <c r="M22" i="52" s="1"/>
  <c r="M23" i="52" s="1"/>
  <c r="M24" i="52" s="1"/>
  <c r="K32" i="52"/>
  <c r="K30" i="52"/>
  <c r="K29" i="52"/>
  <c r="K28" i="52"/>
  <c r="K27" i="52"/>
  <c r="K26" i="52"/>
  <c r="K25" i="52"/>
  <c r="K18" i="98"/>
  <c r="L18" i="98" s="1"/>
  <c r="K43" i="56"/>
  <c r="G37" i="101"/>
  <c r="E30" i="56" s="1"/>
  <c r="H30" i="56" s="1"/>
  <c r="K30" i="56" s="1"/>
  <c r="K4" i="101"/>
  <c r="K31" i="52"/>
  <c r="I53" i="56"/>
  <c r="K4" i="100"/>
  <c r="K35" i="100" s="1"/>
  <c r="L42" i="75"/>
  <c r="J36" i="56" s="1"/>
  <c r="G39" i="99"/>
  <c r="E27" i="56" s="1"/>
  <c r="H27" i="56" s="1"/>
  <c r="K27" i="56" s="1"/>
  <c r="K4" i="99"/>
  <c r="K85" i="44"/>
  <c r="K8" i="14"/>
  <c r="G35" i="98"/>
  <c r="E9" i="56" s="1"/>
  <c r="H9" i="56" s="1"/>
  <c r="K4" i="98"/>
  <c r="L4" i="98" s="1"/>
  <c r="L35" i="98" s="1"/>
  <c r="J9" i="56" s="1"/>
  <c r="K25" i="60"/>
  <c r="K24" i="60"/>
  <c r="K23" i="60"/>
  <c r="K22" i="60"/>
  <c r="K21" i="60"/>
  <c r="K20" i="60"/>
  <c r="K19" i="60"/>
  <c r="K18" i="60"/>
  <c r="K17" i="60"/>
  <c r="K15" i="60"/>
  <c r="K26" i="41"/>
  <c r="L36" i="93"/>
  <c r="J8" i="56" s="1"/>
  <c r="K24" i="76"/>
  <c r="L46" i="81"/>
  <c r="J52" i="56" s="1"/>
  <c r="G46" i="95"/>
  <c r="E5" i="56" s="1"/>
  <c r="H5" i="56" s="1"/>
  <c r="K4" i="95"/>
  <c r="L4" i="95" s="1"/>
  <c r="L46" i="95" s="1"/>
  <c r="J5" i="56" s="1"/>
  <c r="K23" i="76"/>
  <c r="G36" i="93"/>
  <c r="E8" i="56" s="1"/>
  <c r="H8" i="56" s="1"/>
  <c r="K8" i="56" s="1"/>
  <c r="K4" i="93"/>
  <c r="M4" i="89"/>
  <c r="M5" i="89" s="1"/>
  <c r="M6" i="89" s="1"/>
  <c r="M7" i="89" s="1"/>
  <c r="M8" i="89" s="1"/>
  <c r="M9" i="89" s="1"/>
  <c r="M10" i="89" s="1"/>
  <c r="M12" i="89" s="1"/>
  <c r="M13" i="89" s="1"/>
  <c r="M14" i="89" s="1"/>
  <c r="M15" i="89" s="1"/>
  <c r="M16" i="89" s="1"/>
  <c r="J35" i="89"/>
  <c r="G7" i="56" s="1"/>
  <c r="J29" i="56"/>
  <c r="L35" i="89"/>
  <c r="J7" i="56" s="1"/>
  <c r="K35" i="89"/>
  <c r="G35" i="89"/>
  <c r="E7" i="56" s="1"/>
  <c r="H7" i="56" s="1"/>
  <c r="K7" i="56" s="1"/>
  <c r="M17" i="89"/>
  <c r="M18" i="89" s="1"/>
  <c r="M19" i="89" s="1"/>
  <c r="M20" i="89" s="1"/>
  <c r="G56" i="85"/>
  <c r="E34" i="56" s="1"/>
  <c r="H34" i="56" s="1"/>
  <c r="K34" i="56" s="1"/>
  <c r="K4" i="85"/>
  <c r="J35" i="78"/>
  <c r="G6" i="56" s="1"/>
  <c r="G35" i="83"/>
  <c r="E41" i="56" s="1"/>
  <c r="H41" i="56" s="1"/>
  <c r="K41" i="56" s="1"/>
  <c r="K4" i="83"/>
  <c r="G35" i="82"/>
  <c r="E4" i="56" s="1"/>
  <c r="H4" i="56" s="1"/>
  <c r="K4" i="56" s="1"/>
  <c r="K4" i="82"/>
  <c r="F53" i="56"/>
  <c r="G46" i="81"/>
  <c r="E52" i="56" s="1"/>
  <c r="H52" i="56" s="1"/>
  <c r="K52" i="56" s="1"/>
  <c r="K4" i="81"/>
  <c r="G40" i="80"/>
  <c r="E26" i="56" s="1"/>
  <c r="H26" i="56" s="1"/>
  <c r="K26" i="56" s="1"/>
  <c r="K4" i="80"/>
  <c r="G35" i="79"/>
  <c r="E37" i="56" s="1"/>
  <c r="H37" i="56" s="1"/>
  <c r="K37" i="56" s="1"/>
  <c r="K4" i="79"/>
  <c r="K32" i="74"/>
  <c r="L32" i="74" s="1"/>
  <c r="K31" i="74"/>
  <c r="L31" i="74" s="1"/>
  <c r="K30" i="74"/>
  <c r="L30" i="74" s="1"/>
  <c r="G35" i="78"/>
  <c r="E6" i="56" s="1"/>
  <c r="K6" i="14"/>
  <c r="J37" i="76"/>
  <c r="G38" i="56" s="1"/>
  <c r="K4" i="76"/>
  <c r="G37" i="76"/>
  <c r="E38" i="56" s="1"/>
  <c r="H38" i="56" s="1"/>
  <c r="K38" i="56" s="1"/>
  <c r="K5" i="76"/>
  <c r="J42" i="75"/>
  <c r="G36" i="56" s="1"/>
  <c r="K4" i="75"/>
  <c r="G42" i="75"/>
  <c r="E36" i="56" s="1"/>
  <c r="H36" i="56" s="1"/>
  <c r="K36" i="56" s="1"/>
  <c r="K5" i="75"/>
  <c r="K18" i="10"/>
  <c r="G35" i="74"/>
  <c r="E24" i="56" s="1"/>
  <c r="H24" i="56" s="1"/>
  <c r="K4" i="74"/>
  <c r="G36" i="73"/>
  <c r="E22" i="56" s="1"/>
  <c r="H22" i="56" s="1"/>
  <c r="K4" i="73"/>
  <c r="H20" i="56"/>
  <c r="K20" i="56" s="1"/>
  <c r="K11" i="35"/>
  <c r="G37" i="71"/>
  <c r="E11" i="56" s="1"/>
  <c r="H11" i="56" s="1"/>
  <c r="K4" i="71"/>
  <c r="K4" i="69"/>
  <c r="D48" i="56"/>
  <c r="D53" i="56" s="1"/>
  <c r="G38" i="68"/>
  <c r="E21" i="56" s="1"/>
  <c r="K4" i="44"/>
  <c r="M4" i="44" s="1"/>
  <c r="M5" i="44" s="1"/>
  <c r="M6" i="44" s="1"/>
  <c r="M7" i="44" s="1"/>
  <c r="M8" i="44" s="1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  <c r="M87" i="44" s="1"/>
  <c r="M88" i="44" s="1"/>
  <c r="M89" i="44" s="1"/>
  <c r="M90" i="44" s="1"/>
  <c r="M91" i="44" s="1"/>
  <c r="M92" i="44" s="1"/>
  <c r="M93" i="44" s="1"/>
  <c r="M6" i="11"/>
  <c r="J37" i="16"/>
  <c r="G18" i="56" s="1"/>
  <c r="L48" i="26"/>
  <c r="G35" i="63"/>
  <c r="E23" i="56" s="1"/>
  <c r="H23" i="56" s="1"/>
  <c r="K4" i="63"/>
  <c r="M7" i="11"/>
  <c r="M8" i="11" s="1"/>
  <c r="G39" i="62"/>
  <c r="E15" i="56" s="1"/>
  <c r="H15" i="56" s="1"/>
  <c r="K15" i="56" s="1"/>
  <c r="K4" i="62"/>
  <c r="G35" i="60"/>
  <c r="E42" i="56" s="1"/>
  <c r="H42" i="56" s="1"/>
  <c r="K4" i="60"/>
  <c r="J43" i="51"/>
  <c r="G50" i="56" s="1"/>
  <c r="J18" i="56"/>
  <c r="K4" i="12"/>
  <c r="K36" i="12" s="1"/>
  <c r="J36" i="12"/>
  <c r="G39" i="56" s="1"/>
  <c r="H39" i="56"/>
  <c r="K39" i="56" s="1"/>
  <c r="G36" i="33"/>
  <c r="E47" i="56" s="1"/>
  <c r="H47" i="56" s="1"/>
  <c r="J35" i="9"/>
  <c r="G46" i="56" s="1"/>
  <c r="J48" i="26"/>
  <c r="G45" i="56" s="1"/>
  <c r="G55" i="22"/>
  <c r="E33" i="56" s="1"/>
  <c r="H33" i="56" s="1"/>
  <c r="K4" i="40"/>
  <c r="L4" i="40" s="1"/>
  <c r="G35" i="40"/>
  <c r="E31" i="56" s="1"/>
  <c r="H31" i="56" s="1"/>
  <c r="L35" i="40"/>
  <c r="J31" i="56" s="1"/>
  <c r="K35" i="40"/>
  <c r="J35" i="52"/>
  <c r="G17" i="56" s="1"/>
  <c r="K35" i="52"/>
  <c r="H17" i="56" s="1"/>
  <c r="K17" i="56" s="1"/>
  <c r="G35" i="52"/>
  <c r="J42" i="41"/>
  <c r="G40" i="56" s="1"/>
  <c r="G37" i="11"/>
  <c r="E29" i="56" s="1"/>
  <c r="G43" i="35"/>
  <c r="E49" i="56" s="1"/>
  <c r="G43" i="51"/>
  <c r="E50" i="56" s="1"/>
  <c r="H50" i="56" s="1"/>
  <c r="J45" i="56"/>
  <c r="G48" i="26"/>
  <c r="E45" i="56" s="1"/>
  <c r="J35" i="19"/>
  <c r="G51" i="56" s="1"/>
  <c r="H51" i="56" s="1"/>
  <c r="H45" i="56"/>
  <c r="J43" i="35"/>
  <c r="G49" i="56" s="1"/>
  <c r="H49" i="56" s="1"/>
  <c r="G35" i="9"/>
  <c r="E46" i="56" s="1"/>
  <c r="G42" i="41"/>
  <c r="E40" i="56" s="1"/>
  <c r="H40" i="56" s="1"/>
  <c r="G35" i="58"/>
  <c r="E10" i="56" s="1"/>
  <c r="H10" i="56" s="1"/>
  <c r="K4" i="58"/>
  <c r="G35" i="57"/>
  <c r="E44" i="56" s="1"/>
  <c r="H44" i="56" s="1"/>
  <c r="K4" i="57"/>
  <c r="L4" i="57" s="1"/>
  <c r="L35" i="57" s="1"/>
  <c r="J44" i="56" s="1"/>
  <c r="H29" i="56"/>
  <c r="K29" i="56" s="1"/>
  <c r="G35" i="7"/>
  <c r="E19" i="56" s="1"/>
  <c r="J38" i="47"/>
  <c r="G3" i="56" s="1"/>
  <c r="G28" i="56"/>
  <c r="J42" i="14"/>
  <c r="G35" i="56" s="1"/>
  <c r="G42" i="14"/>
  <c r="E35" i="56" s="1"/>
  <c r="H35" i="56" s="1"/>
  <c r="K35" i="56" s="1"/>
  <c r="G38" i="47"/>
  <c r="E3" i="56" s="1"/>
  <c r="K35" i="19"/>
  <c r="H21" i="56"/>
  <c r="J38" i="50"/>
  <c r="G2" i="56" s="1"/>
  <c r="G38" i="50"/>
  <c r="E2" i="56" s="1"/>
  <c r="G41" i="25"/>
  <c r="E32" i="56" s="1"/>
  <c r="J41" i="25"/>
  <c r="G32" i="56" s="1"/>
  <c r="H32" i="56" s="1"/>
  <c r="K37" i="11"/>
  <c r="E28" i="56"/>
  <c r="G35" i="24"/>
  <c r="E25" i="56" s="1"/>
  <c r="H25" i="56" s="1"/>
  <c r="K4" i="41"/>
  <c r="K42" i="14"/>
  <c r="K4" i="22"/>
  <c r="K4" i="51"/>
  <c r="K4" i="24"/>
  <c r="M4" i="24" s="1"/>
  <c r="K38" i="50"/>
  <c r="K4" i="47"/>
  <c r="K38" i="47" s="1"/>
  <c r="M4" i="47"/>
  <c r="G37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4" i="12"/>
  <c r="M5" i="12" s="1"/>
  <c r="K4" i="35"/>
  <c r="M4" i="35" s="1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K4" i="33"/>
  <c r="L4" i="19"/>
  <c r="L35" i="19" s="1"/>
  <c r="J51" i="56" s="1"/>
  <c r="K4" i="7"/>
  <c r="K35" i="7" s="1"/>
  <c r="M4" i="14"/>
  <c r="M5" i="14" s="1"/>
  <c r="M6" i="14" s="1"/>
  <c r="M7" i="14" s="1"/>
  <c r="K4" i="9"/>
  <c r="K4" i="10"/>
  <c r="K35" i="10" s="1"/>
  <c r="K4" i="26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K4" i="25"/>
  <c r="M4" i="25" s="1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M39" i="25" s="1"/>
  <c r="M40" i="25" s="1"/>
  <c r="K4" i="3"/>
  <c r="L46" i="65" l="1"/>
  <c r="L289" i="65" s="1"/>
  <c r="K37" i="105"/>
  <c r="L37" i="105"/>
  <c r="J13" i="56" s="1"/>
  <c r="K13" i="56" s="1"/>
  <c r="K37" i="104"/>
  <c r="M8" i="14"/>
  <c r="M9" i="14" s="1"/>
  <c r="M10" i="14" s="1"/>
  <c r="M11" i="14" s="1"/>
  <c r="M12" i="14" s="1"/>
  <c r="M13" i="14" s="1"/>
  <c r="M14" i="14" s="1"/>
  <c r="M4" i="22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P54" i="22" s="1"/>
  <c r="K43" i="51"/>
  <c r="M4" i="51"/>
  <c r="M21" i="89"/>
  <c r="M22" i="89" s="1"/>
  <c r="M23" i="89" s="1"/>
  <c r="M24" i="89" s="1"/>
  <c r="M25" i="89" s="1"/>
  <c r="M26" i="89" s="1"/>
  <c r="M27" i="89" s="1"/>
  <c r="K5" i="56"/>
  <c r="K39" i="103"/>
  <c r="M4" i="103"/>
  <c r="M16" i="47"/>
  <c r="M17" i="47" s="1"/>
  <c r="M18" i="47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M34" i="47" s="1"/>
  <c r="M35" i="47" s="1"/>
  <c r="M36" i="47" s="1"/>
  <c r="M15" i="14"/>
  <c r="M16" i="14" s="1"/>
  <c r="M17" i="14" s="1"/>
  <c r="M18" i="14" s="1"/>
  <c r="M19" i="14" s="1"/>
  <c r="M20" i="14" s="1"/>
  <c r="M21" i="14" s="1"/>
  <c r="M22" i="14" s="1"/>
  <c r="M23" i="14" s="1"/>
  <c r="M25" i="52"/>
  <c r="M26" i="52" s="1"/>
  <c r="M27" i="52" s="1"/>
  <c r="M28" i="52" s="1"/>
  <c r="M29" i="52" s="1"/>
  <c r="M30" i="52" s="1"/>
  <c r="M31" i="52" s="1"/>
  <c r="M32" i="52" s="1"/>
  <c r="M33" i="52" s="1"/>
  <c r="K9" i="56"/>
  <c r="M4" i="101"/>
  <c r="M5" i="101" s="1"/>
  <c r="M6" i="101" s="1"/>
  <c r="M7" i="101" s="1"/>
  <c r="M8" i="101" s="1"/>
  <c r="M9" i="101" s="1"/>
  <c r="M10" i="101" s="1"/>
  <c r="M11" i="101" s="1"/>
  <c r="M12" i="101" s="1"/>
  <c r="M13" i="101" s="1"/>
  <c r="M14" i="101" s="1"/>
  <c r="M15" i="101" s="1"/>
  <c r="M16" i="101" s="1"/>
  <c r="M17" i="101" s="1"/>
  <c r="M32" i="101" s="1"/>
  <c r="M33" i="101" s="1"/>
  <c r="M34" i="101" s="1"/>
  <c r="M35" i="101" s="1"/>
  <c r="M36" i="101" s="1"/>
  <c r="K14" i="56"/>
  <c r="M4" i="100"/>
  <c r="M5" i="100" s="1"/>
  <c r="M6" i="100" s="1"/>
  <c r="M7" i="100" s="1"/>
  <c r="M8" i="100" s="1"/>
  <c r="M9" i="100" s="1"/>
  <c r="M10" i="100" s="1"/>
  <c r="M11" i="100" s="1"/>
  <c r="M12" i="100" s="1"/>
  <c r="M13" i="100" s="1"/>
  <c r="M14" i="100" s="1"/>
  <c r="M15" i="100" s="1"/>
  <c r="M16" i="100" s="1"/>
  <c r="M17" i="100" s="1"/>
  <c r="M18" i="100" s="1"/>
  <c r="M19" i="100" s="1"/>
  <c r="M20" i="100" s="1"/>
  <c r="K39" i="99"/>
  <c r="M4" i="99"/>
  <c r="M5" i="99" s="1"/>
  <c r="M6" i="99" s="1"/>
  <c r="M7" i="99" s="1"/>
  <c r="M8" i="99" s="1"/>
  <c r="M9" i="99" s="1"/>
  <c r="M10" i="99" s="1"/>
  <c r="M11" i="99" s="1"/>
  <c r="M12" i="99" s="1"/>
  <c r="M13" i="99" s="1"/>
  <c r="M14" i="99" s="1"/>
  <c r="M15" i="99" s="1"/>
  <c r="K35" i="98"/>
  <c r="M4" i="98"/>
  <c r="M5" i="98" s="1"/>
  <c r="M6" i="98" s="1"/>
  <c r="M7" i="98" s="1"/>
  <c r="M8" i="98" s="1"/>
  <c r="M9" i="98" s="1"/>
  <c r="M10" i="98" s="1"/>
  <c r="M11" i="98" s="1"/>
  <c r="M12" i="98" s="1"/>
  <c r="M13" i="98" s="1"/>
  <c r="M14" i="98" s="1"/>
  <c r="M15" i="98" s="1"/>
  <c r="M16" i="98" s="1"/>
  <c r="M17" i="98" s="1"/>
  <c r="M18" i="98" s="1"/>
  <c r="M19" i="98" s="1"/>
  <c r="M20" i="98" s="1"/>
  <c r="M21" i="98" s="1"/>
  <c r="M22" i="98" s="1"/>
  <c r="M23" i="98" s="1"/>
  <c r="M24" i="98" s="1"/>
  <c r="M25" i="98" s="1"/>
  <c r="M26" i="98" s="1"/>
  <c r="M27" i="98" s="1"/>
  <c r="M28" i="98" s="1"/>
  <c r="M29" i="98" s="1"/>
  <c r="M30" i="98" s="1"/>
  <c r="M31" i="98" s="1"/>
  <c r="M32" i="98" s="1"/>
  <c r="M33" i="98" s="1"/>
  <c r="M4" i="26"/>
  <c r="M5" i="26" s="1"/>
  <c r="M28" i="89"/>
  <c r="M29" i="89" s="1"/>
  <c r="M30" i="89" s="1"/>
  <c r="M31" i="89" s="1"/>
  <c r="M32" i="89" s="1"/>
  <c r="M33" i="89" s="1"/>
  <c r="M34" i="89" s="1"/>
  <c r="K46" i="95"/>
  <c r="M4" i="95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K36" i="93"/>
  <c r="M4" i="93"/>
  <c r="M5" i="93" s="1"/>
  <c r="M6" i="93" s="1"/>
  <c r="M7" i="93" s="1"/>
  <c r="M8" i="93" s="1"/>
  <c r="M9" i="93" s="1"/>
  <c r="M10" i="93" s="1"/>
  <c r="M11" i="93" s="1"/>
  <c r="M12" i="93" s="1"/>
  <c r="H6" i="56"/>
  <c r="K6" i="56" s="1"/>
  <c r="K44" i="56"/>
  <c r="M9" i="1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K56" i="85"/>
  <c r="M4" i="85"/>
  <c r="K35" i="83"/>
  <c r="M4" i="83"/>
  <c r="M5" i="83" s="1"/>
  <c r="M6" i="83" s="1"/>
  <c r="M7" i="83" s="1"/>
  <c r="M8" i="83" s="1"/>
  <c r="M9" i="83" s="1"/>
  <c r="M10" i="83" s="1"/>
  <c r="M11" i="83" s="1"/>
  <c r="M12" i="83" s="1"/>
  <c r="M13" i="83" s="1"/>
  <c r="M14" i="83" s="1"/>
  <c r="M15" i="83" s="1"/>
  <c r="M16" i="83" s="1"/>
  <c r="M17" i="83" s="1"/>
  <c r="M18" i="83" s="1"/>
  <c r="K35" i="82"/>
  <c r="M4" i="82"/>
  <c r="G53" i="56"/>
  <c r="H2" i="56"/>
  <c r="K46" i="81"/>
  <c r="M4" i="81"/>
  <c r="M5" i="81" s="1"/>
  <c r="M6" i="81" s="1"/>
  <c r="M7" i="81" s="1"/>
  <c r="M8" i="81" s="1"/>
  <c r="M9" i="81" s="1"/>
  <c r="M10" i="81" s="1"/>
  <c r="M11" i="81" s="1"/>
  <c r="M12" i="81" s="1"/>
  <c r="M13" i="81" s="1"/>
  <c r="M14" i="81" s="1"/>
  <c r="M15" i="81" s="1"/>
  <c r="M16" i="81" s="1"/>
  <c r="M17" i="81" s="1"/>
  <c r="M18" i="81" s="1"/>
  <c r="M19" i="81" s="1"/>
  <c r="M20" i="81" s="1"/>
  <c r="M21" i="81" s="1"/>
  <c r="M22" i="81" s="1"/>
  <c r="M23" i="81" s="1"/>
  <c r="M24" i="81" s="1"/>
  <c r="M25" i="81" s="1"/>
  <c r="M26" i="81" s="1"/>
  <c r="M27" i="81" s="1"/>
  <c r="M28" i="81" s="1"/>
  <c r="M29" i="81" s="1"/>
  <c r="M30" i="81" s="1"/>
  <c r="M31" i="81" s="1"/>
  <c r="M32" i="81" s="1"/>
  <c r="M33" i="81" s="1"/>
  <c r="M34" i="81" s="1"/>
  <c r="M35" i="81" s="1"/>
  <c r="M36" i="81" s="1"/>
  <c r="M37" i="81" s="1"/>
  <c r="M38" i="81" s="1"/>
  <c r="P38" i="81" s="1"/>
  <c r="M4" i="80"/>
  <c r="M5" i="80" s="1"/>
  <c r="M6" i="80" s="1"/>
  <c r="M7" i="80" s="1"/>
  <c r="M8" i="80" s="1"/>
  <c r="M9" i="80" s="1"/>
  <c r="M10" i="80" s="1"/>
  <c r="M11" i="80" s="1"/>
  <c r="M12" i="80" s="1"/>
  <c r="M13" i="80" s="1"/>
  <c r="M14" i="80" s="1"/>
  <c r="M15" i="80" s="1"/>
  <c r="M16" i="80" s="1"/>
  <c r="K35" i="79"/>
  <c r="M4" i="79"/>
  <c r="M5" i="79" s="1"/>
  <c r="M6" i="79" s="1"/>
  <c r="M7" i="79" s="1"/>
  <c r="M8" i="79" s="1"/>
  <c r="M9" i="79" s="1"/>
  <c r="M10" i="79" s="1"/>
  <c r="M11" i="79" s="1"/>
  <c r="K35" i="78"/>
  <c r="M26" i="78"/>
  <c r="M27" i="78" s="1"/>
  <c r="M28" i="78" s="1"/>
  <c r="M29" i="78" s="1"/>
  <c r="M30" i="78" s="1"/>
  <c r="M31" i="78" s="1"/>
  <c r="M32" i="78" s="1"/>
  <c r="M33" i="78" s="1"/>
  <c r="M34" i="78" s="1"/>
  <c r="K37" i="76"/>
  <c r="M4" i="76"/>
  <c r="M5" i="76" s="1"/>
  <c r="M6" i="76" s="1"/>
  <c r="M7" i="76" s="1"/>
  <c r="M8" i="76" s="1"/>
  <c r="M9" i="76" s="1"/>
  <c r="M10" i="76" s="1"/>
  <c r="M11" i="76" s="1"/>
  <c r="M12" i="76" s="1"/>
  <c r="M13" i="76" s="1"/>
  <c r="M14" i="76" s="1"/>
  <c r="M15" i="76" s="1"/>
  <c r="M16" i="76" s="1"/>
  <c r="M17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M31" i="76" s="1"/>
  <c r="M33" i="76" s="1"/>
  <c r="M34" i="76" s="1"/>
  <c r="M35" i="76" s="1"/>
  <c r="M36" i="76" s="1"/>
  <c r="P36" i="76" s="1"/>
  <c r="K42" i="75"/>
  <c r="M4" i="75"/>
  <c r="M5" i="75" s="1"/>
  <c r="M6" i="75" s="1"/>
  <c r="M7" i="75" s="1"/>
  <c r="M8" i="75" s="1"/>
  <c r="M9" i="75" s="1"/>
  <c r="M10" i="75" s="1"/>
  <c r="M11" i="75" s="1"/>
  <c r="M12" i="75" s="1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M23" i="75" s="1"/>
  <c r="M24" i="75" s="1"/>
  <c r="M25" i="75" s="1"/>
  <c r="M26" i="75" s="1"/>
  <c r="M27" i="75" s="1"/>
  <c r="M28" i="75" s="1"/>
  <c r="M29" i="75" s="1"/>
  <c r="M30" i="75" s="1"/>
  <c r="M31" i="75" s="1"/>
  <c r="M32" i="75" s="1"/>
  <c r="M33" i="75" s="1"/>
  <c r="M34" i="75" s="1"/>
  <c r="M35" i="75" s="1"/>
  <c r="M36" i="75" s="1"/>
  <c r="M37" i="75" s="1"/>
  <c r="M38" i="75" s="1"/>
  <c r="M39" i="75" s="1"/>
  <c r="M40" i="75" s="1"/>
  <c r="K35" i="74"/>
  <c r="L4" i="74"/>
  <c r="L35" i="74" s="1"/>
  <c r="J24" i="56" s="1"/>
  <c r="K24" i="56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6" i="73"/>
  <c r="L4" i="73"/>
  <c r="L36" i="73" s="1"/>
  <c r="J22" i="56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4" i="73" s="1"/>
  <c r="M25" i="73" s="1"/>
  <c r="M26" i="73" s="1"/>
  <c r="M27" i="73" s="1"/>
  <c r="M28" i="73" s="1"/>
  <c r="M5" i="24"/>
  <c r="M6" i="24" s="1"/>
  <c r="M7" i="24" s="1"/>
  <c r="M8" i="24" s="1"/>
  <c r="M9" i="24" s="1"/>
  <c r="M10" i="24" s="1"/>
  <c r="K35" i="24"/>
  <c r="H3" i="56"/>
  <c r="K3" i="56" s="1"/>
  <c r="K37" i="71"/>
  <c r="L4" i="71"/>
  <c r="L37" i="71" s="1"/>
  <c r="J11" i="56" s="1"/>
  <c r="K11" i="56" s="1"/>
  <c r="G50" i="69"/>
  <c r="E48" i="56" s="1"/>
  <c r="K50" i="69"/>
  <c r="H48" i="56" s="1"/>
  <c r="M4" i="69"/>
  <c r="M5" i="69" s="1"/>
  <c r="M6" i="69" s="1"/>
  <c r="M7" i="69" s="1"/>
  <c r="M8" i="69" s="1"/>
  <c r="M9" i="69" s="1"/>
  <c r="K38" i="68"/>
  <c r="L38" i="68"/>
  <c r="J21" i="56" s="1"/>
  <c r="M4" i="68"/>
  <c r="M5" i="68" s="1"/>
  <c r="M6" i="68" s="1"/>
  <c r="M7" i="68" s="1"/>
  <c r="M8" i="68" s="1"/>
  <c r="M9" i="68" s="1"/>
  <c r="K41" i="25"/>
  <c r="H46" i="56"/>
  <c r="K46" i="56" s="1"/>
  <c r="H19" i="56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K35" i="3"/>
  <c r="M20" i="11"/>
  <c r="E18" i="56"/>
  <c r="H18" i="56" s="1"/>
  <c r="K18" i="56" s="1"/>
  <c r="K35" i="63"/>
  <c r="L35" i="63"/>
  <c r="J23" i="56" s="1"/>
  <c r="M4" i="63"/>
  <c r="M5" i="63" s="1"/>
  <c r="M6" i="63" s="1"/>
  <c r="K39" i="62"/>
  <c r="M4" i="62"/>
  <c r="L43" i="51"/>
  <c r="M5" i="51"/>
  <c r="M6" i="51" s="1"/>
  <c r="K45" i="56"/>
  <c r="K40" i="56"/>
  <c r="K35" i="60"/>
  <c r="K48" i="26"/>
  <c r="M4" i="10"/>
  <c r="K36" i="33"/>
  <c r="K35" i="9"/>
  <c r="M4" i="9"/>
  <c r="M24" i="14"/>
  <c r="M25" i="14" s="1"/>
  <c r="M26" i="14" s="1"/>
  <c r="M27" i="14" s="1"/>
  <c r="M28" i="14" s="1"/>
  <c r="M29" i="14" s="1"/>
  <c r="M30" i="14" s="1"/>
  <c r="E17" i="56"/>
  <c r="E53" i="56" s="1"/>
  <c r="M16" i="12"/>
  <c r="M17" i="12" s="1"/>
  <c r="M18" i="12" s="1"/>
  <c r="M19" i="12" s="1"/>
  <c r="M20" i="12" s="1"/>
  <c r="M21" i="12" s="1"/>
  <c r="M22" i="12" s="1"/>
  <c r="K31" i="56"/>
  <c r="H28" i="56"/>
  <c r="M4" i="41"/>
  <c r="K42" i="41"/>
  <c r="M4" i="16"/>
  <c r="K37" i="16"/>
  <c r="K51" i="56"/>
  <c r="K35" i="58"/>
  <c r="L4" i="58"/>
  <c r="L35" i="58" s="1"/>
  <c r="J10" i="56" s="1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55" i="22"/>
  <c r="K2" i="56"/>
  <c r="M6" i="26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4" i="50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K43" i="35"/>
  <c r="L43" i="35"/>
  <c r="J49" i="56" s="1"/>
  <c r="K49" i="56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K21" i="56"/>
  <c r="L37" i="104" l="1"/>
  <c r="J12" i="56" s="1"/>
  <c r="K12" i="56" s="1"/>
  <c r="M21" i="26"/>
  <c r="M22" i="26" s="1"/>
  <c r="M23" i="26" s="1"/>
  <c r="M24" i="26" s="1"/>
  <c r="M25" i="26" s="1"/>
  <c r="M21" i="100"/>
  <c r="M22" i="100" s="1"/>
  <c r="M23" i="100" s="1"/>
  <c r="M24" i="100" s="1"/>
  <c r="M25" i="100" s="1"/>
  <c r="M26" i="100" s="1"/>
  <c r="M27" i="100" s="1"/>
  <c r="M28" i="100" s="1"/>
  <c r="M29" i="100" s="1"/>
  <c r="M30" i="100" s="1"/>
  <c r="M31" i="100" s="1"/>
  <c r="M32" i="100" s="1"/>
  <c r="M33" i="100" s="1"/>
  <c r="M34" i="100" s="1"/>
  <c r="M19" i="83"/>
  <c r="M20" i="83" s="1"/>
  <c r="M21" i="83" s="1"/>
  <c r="M22" i="83" s="1"/>
  <c r="M23" i="83" s="1"/>
  <c r="M24" i="83" s="1"/>
  <c r="M25" i="83" s="1"/>
  <c r="M26" i="83" s="1"/>
  <c r="M27" i="83" s="1"/>
  <c r="M28" i="83" s="1"/>
  <c r="M29" i="83" s="1"/>
  <c r="M30" i="83" s="1"/>
  <c r="M31" i="83" s="1"/>
  <c r="M32" i="83" s="1"/>
  <c r="M16" i="99"/>
  <c r="M17" i="99" s="1"/>
  <c r="M18" i="99" s="1"/>
  <c r="M19" i="99" s="1"/>
  <c r="M20" i="99" s="1"/>
  <c r="M21" i="99" s="1"/>
  <c r="M22" i="99" s="1"/>
  <c r="M5" i="62"/>
  <c r="M13" i="93"/>
  <c r="M14" i="93" s="1"/>
  <c r="M15" i="93" s="1"/>
  <c r="M16" i="93" s="1"/>
  <c r="M17" i="93" s="1"/>
  <c r="M18" i="93" s="1"/>
  <c r="M19" i="93" s="1"/>
  <c r="M20" i="93" s="1"/>
  <c r="M21" i="93" s="1"/>
  <c r="M22" i="93" s="1"/>
  <c r="M23" i="93" s="1"/>
  <c r="M24" i="93" s="1"/>
  <c r="M25" i="93" s="1"/>
  <c r="M26" i="93" s="1"/>
  <c r="M27" i="93" s="1"/>
  <c r="M28" i="93" s="1"/>
  <c r="M29" i="93" s="1"/>
  <c r="M30" i="93" s="1"/>
  <c r="M31" i="93" s="1"/>
  <c r="M32" i="93" s="1"/>
  <c r="M33" i="93" s="1"/>
  <c r="M34" i="93" s="1"/>
  <c r="M35" i="93" s="1"/>
  <c r="M11" i="24"/>
  <c r="M12" i="24" s="1"/>
  <c r="M6" i="103"/>
  <c r="M7" i="103" s="1"/>
  <c r="M8" i="103" s="1"/>
  <c r="M9" i="103" s="1"/>
  <c r="M10" i="103" s="1"/>
  <c r="M11" i="103" s="1"/>
  <c r="M12" i="103" s="1"/>
  <c r="M13" i="103" s="1"/>
  <c r="M14" i="103" s="1"/>
  <c r="M15" i="103" s="1"/>
  <c r="M16" i="103" s="1"/>
  <c r="M17" i="103" s="1"/>
  <c r="M18" i="103" s="1"/>
  <c r="M19" i="103" s="1"/>
  <c r="M20" i="103" s="1"/>
  <c r="M21" i="103" s="1"/>
  <c r="M22" i="103" s="1"/>
  <c r="M23" i="103" s="1"/>
  <c r="M24" i="103" s="1"/>
  <c r="M25" i="103" s="1"/>
  <c r="M26" i="103" s="1"/>
  <c r="M27" i="103" s="1"/>
  <c r="M28" i="103" s="1"/>
  <c r="M29" i="103" s="1"/>
  <c r="M30" i="103" s="1"/>
  <c r="M31" i="103" s="1"/>
  <c r="M32" i="103" s="1"/>
  <c r="M33" i="103" s="1"/>
  <c r="M34" i="103" s="1"/>
  <c r="M35" i="103" s="1"/>
  <c r="M36" i="103" s="1"/>
  <c r="M37" i="103" s="1"/>
  <c r="M38" i="103" s="1"/>
  <c r="M5" i="103"/>
  <c r="M5" i="41"/>
  <c r="M6" i="41" s="1"/>
  <c r="M7" i="41" s="1"/>
  <c r="M8" i="41" s="1"/>
  <c r="M9" i="41" s="1"/>
  <c r="M23" i="99"/>
  <c r="M24" i="99" s="1"/>
  <c r="M25" i="99" s="1"/>
  <c r="M26" i="99" s="1"/>
  <c r="M27" i="99" s="1"/>
  <c r="M28" i="99" s="1"/>
  <c r="M29" i="99" s="1"/>
  <c r="M30" i="99" s="1"/>
  <c r="M31" i="99" s="1"/>
  <c r="M32" i="99" s="1"/>
  <c r="M33" i="99" s="1"/>
  <c r="M34" i="99" s="1"/>
  <c r="M35" i="99" s="1"/>
  <c r="M36" i="99" s="1"/>
  <c r="M37" i="99" s="1"/>
  <c r="M38" i="99" s="1"/>
  <c r="H53" i="56"/>
  <c r="M21" i="11"/>
  <c r="M22" i="11" s="1"/>
  <c r="M23" i="11" s="1"/>
  <c r="M24" i="11" s="1"/>
  <c r="M25" i="11" s="1"/>
  <c r="M26" i="11" s="1"/>
  <c r="M23" i="12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7" i="63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M28" i="63" s="1"/>
  <c r="M29" i="63" s="1"/>
  <c r="M30" i="63" s="1"/>
  <c r="M31" i="63" s="1"/>
  <c r="M32" i="63" s="1"/>
  <c r="M33" i="63" s="1"/>
  <c r="M34" i="63" s="1"/>
  <c r="M17" i="80"/>
  <c r="M18" i="80" s="1"/>
  <c r="M19" i="80" s="1"/>
  <c r="M20" i="80" s="1"/>
  <c r="M21" i="80" s="1"/>
  <c r="M22" i="80" s="1"/>
  <c r="M28" i="95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27" i="95"/>
  <c r="M5" i="85"/>
  <c r="M6" i="85" s="1"/>
  <c r="M7" i="85" s="1"/>
  <c r="M8" i="85" s="1"/>
  <c r="M9" i="85" s="1"/>
  <c r="M12" i="79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M10" i="68"/>
  <c r="M11" i="68" s="1"/>
  <c r="M12" i="68" s="1"/>
  <c r="M13" i="68" s="1"/>
  <c r="M14" i="68" s="1"/>
  <c r="M15" i="68" s="1"/>
  <c r="M16" i="68" s="1"/>
  <c r="M17" i="68" s="1"/>
  <c r="M18" i="68" s="1"/>
  <c r="M19" i="68" s="1"/>
  <c r="M29" i="16"/>
  <c r="M30" i="16" s="1"/>
  <c r="M31" i="16" s="1"/>
  <c r="M32" i="16" s="1"/>
  <c r="M33" i="16" s="1"/>
  <c r="M34" i="16" s="1"/>
  <c r="M35" i="16" s="1"/>
  <c r="M36" i="16" s="1"/>
  <c r="M10" i="85"/>
  <c r="M11" i="85" s="1"/>
  <c r="M12" i="85" s="1"/>
  <c r="M13" i="85" s="1"/>
  <c r="M14" i="85" s="1"/>
  <c r="M15" i="85" s="1"/>
  <c r="M16" i="85" s="1"/>
  <c r="M17" i="85" s="1"/>
  <c r="M18" i="85" s="1"/>
  <c r="M19" i="85" s="1"/>
  <c r="M20" i="85" s="1"/>
  <c r="M21" i="85" s="1"/>
  <c r="M22" i="85" s="1"/>
  <c r="J50" i="56"/>
  <c r="K50" i="56" s="1"/>
  <c r="M5" i="82"/>
  <c r="M6" i="82" s="1"/>
  <c r="M7" i="82" s="1"/>
  <c r="M8" i="82" s="1"/>
  <c r="M9" i="82" s="1"/>
  <c r="M10" i="82" s="1"/>
  <c r="M11" i="82" s="1"/>
  <c r="M12" i="82" s="1"/>
  <c r="M13" i="82" s="1"/>
  <c r="M14" i="82" s="1"/>
  <c r="M15" i="82" s="1"/>
  <c r="K28" i="56"/>
  <c r="Q18" i="81"/>
  <c r="K22" i="56"/>
  <c r="K23" i="56"/>
  <c r="M7" i="51"/>
  <c r="M8" i="51" s="1"/>
  <c r="M9" i="51" s="1"/>
  <c r="M10" i="51" s="1"/>
  <c r="M11" i="51" s="1"/>
  <c r="M12" i="51" s="1"/>
  <c r="M13" i="51" s="1"/>
  <c r="M14" i="51" s="1"/>
  <c r="M10" i="69"/>
  <c r="M11" i="69" s="1"/>
  <c r="M12" i="69" s="1"/>
  <c r="M13" i="69" s="1"/>
  <c r="M14" i="69" s="1"/>
  <c r="M15" i="69" s="1"/>
  <c r="M16" i="69" s="1"/>
  <c r="M17" i="69" s="1"/>
  <c r="C62" i="56" a="1"/>
  <c r="C62" i="56" s="1"/>
  <c r="M31" i="14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M5" i="10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3" i="24"/>
  <c r="M15" i="3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18" i="10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L41" i="25"/>
  <c r="J32" i="56" s="1"/>
  <c r="K19" i="56"/>
  <c r="L35" i="60"/>
  <c r="J42" i="56" s="1"/>
  <c r="K42" i="56" s="1"/>
  <c r="M4" i="60"/>
  <c r="L36" i="33"/>
  <c r="J47" i="56" s="1"/>
  <c r="J53" i="56" s="1"/>
  <c r="M4" i="33"/>
  <c r="K10" i="56"/>
  <c r="L55" i="22"/>
  <c r="J33" i="56" s="1"/>
  <c r="M5" i="50"/>
  <c r="M6" i="50" s="1"/>
  <c r="M7" i="50" s="1"/>
  <c r="M8" i="50" s="1"/>
  <c r="M9" i="50" s="1"/>
  <c r="M13" i="9"/>
  <c r="M14" i="9" s="1"/>
  <c r="M37" i="26" l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18" i="69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4" i="83"/>
  <c r="M33" i="83"/>
  <c r="M10" i="41"/>
  <c r="M11" i="41" s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41" i="75"/>
  <c r="M23" i="85"/>
  <c r="M24" i="85" s="1"/>
  <c r="M25" i="85" s="1"/>
  <c r="M26" i="85" s="1"/>
  <c r="M27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M48" i="85" s="1"/>
  <c r="M49" i="85" s="1"/>
  <c r="M50" i="85" s="1"/>
  <c r="M51" i="85" s="1"/>
  <c r="M52" i="85" s="1"/>
  <c r="M53" i="85" s="1"/>
  <c r="M54" i="85" s="1"/>
  <c r="M55" i="85" s="1"/>
  <c r="P55" i="85" s="1"/>
  <c r="M20" i="68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M34" i="68" s="1"/>
  <c r="M35" i="68" s="1"/>
  <c r="M27" i="11"/>
  <c r="M28" i="11" s="1"/>
  <c r="M29" i="11" s="1"/>
  <c r="M30" i="11" s="1"/>
  <c r="M31" i="11" s="1"/>
  <c r="M32" i="11" s="1"/>
  <c r="M33" i="11" s="1"/>
  <c r="M34" i="11" s="1"/>
  <c r="M35" i="11" s="1"/>
  <c r="M36" i="11" s="1"/>
  <c r="M23" i="80"/>
  <c r="M24" i="80" s="1"/>
  <c r="M25" i="80" s="1"/>
  <c r="M26" i="80" s="1"/>
  <c r="M27" i="80" s="1"/>
  <c r="M28" i="80" s="1"/>
  <c r="M29" i="80" s="1"/>
  <c r="M30" i="80" s="1"/>
  <c r="M31" i="80" s="1"/>
  <c r="M38" i="80" s="1"/>
  <c r="M39" i="80" s="1"/>
  <c r="M10" i="50"/>
  <c r="M11" i="50" s="1"/>
  <c r="M12" i="50" s="1"/>
  <c r="M13" i="50" s="1"/>
  <c r="M30" i="41"/>
  <c r="M31" i="41" s="1"/>
  <c r="M32" i="41" s="1"/>
  <c r="M33" i="41" s="1"/>
  <c r="M34" i="41" s="1"/>
  <c r="M35" i="41" s="1"/>
  <c r="M36" i="41" s="1"/>
  <c r="M37" i="41" s="1"/>
  <c r="M38" i="41" s="1"/>
  <c r="M39" i="41" s="1"/>
  <c r="M40" i="41" s="1"/>
  <c r="M41" i="41" s="1"/>
  <c r="M32" i="69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M47" i="69" s="1"/>
  <c r="M48" i="69" s="1"/>
  <c r="M49" i="69" s="1"/>
  <c r="K48" i="56" s="1"/>
  <c r="M15" i="51"/>
  <c r="M16" i="51" s="1"/>
  <c r="M17" i="51" s="1"/>
  <c r="M18" i="51" s="1"/>
  <c r="M19" i="51" s="1"/>
  <c r="M20" i="51" s="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5" i="60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15" i="9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16" i="82"/>
  <c r="M17" i="82" s="1"/>
  <c r="M18" i="82" s="1"/>
  <c r="M19" i="82" s="1"/>
  <c r="M20" i="82" s="1"/>
  <c r="M21" i="82" s="1"/>
  <c r="M22" i="82" s="1"/>
  <c r="M23" i="82" s="1"/>
  <c r="M24" i="82" s="1"/>
  <c r="M25" i="82" s="1"/>
  <c r="M26" i="82" s="1"/>
  <c r="M27" i="82" s="1"/>
  <c r="M28" i="82" s="1"/>
  <c r="M29" i="82" s="1"/>
  <c r="M30" i="82" s="1"/>
  <c r="M31" i="82" s="1"/>
  <c r="M32" i="82" s="1"/>
  <c r="M33" i="82" s="1"/>
  <c r="M34" i="82" s="1"/>
  <c r="K32" i="56"/>
  <c r="K47" i="56"/>
  <c r="B59" i="56" a="1"/>
  <c r="B59" i="56" s="1"/>
  <c r="M32" i="51"/>
  <c r="M33" i="51" s="1"/>
  <c r="M34" i="51" s="1"/>
  <c r="M35" i="51" s="1"/>
  <c r="M36" i="51" s="1"/>
  <c r="M37" i="51" s="1"/>
  <c r="M38" i="51" s="1"/>
  <c r="M39" i="51" s="1"/>
  <c r="M14" i="24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14" i="50"/>
  <c r="M15" i="50" s="1"/>
  <c r="M16" i="50" s="1"/>
  <c r="M17" i="50" s="1"/>
  <c r="M18" i="50" s="1"/>
  <c r="M28" i="9"/>
  <c r="M29" i="9" s="1"/>
  <c r="M30" i="9" s="1"/>
  <c r="M31" i="9" s="1"/>
  <c r="M32" i="9" s="1"/>
  <c r="M33" i="9" s="1"/>
  <c r="M34" i="9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K33" i="56"/>
  <c r="M19" i="50" l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31" i="50" s="1"/>
  <c r="M32" i="50" s="1"/>
  <c r="K53" i="56"/>
  <c r="M15" i="24"/>
  <c r="M16" i="24" s="1"/>
  <c r="M17" i="24" s="1"/>
  <c r="M33" i="50"/>
  <c r="M34" i="50" s="1"/>
  <c r="M35" i="50" s="1"/>
  <c r="M19" i="35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94" i="44" l="1"/>
  <c r="M95" i="44" s="1"/>
  <c r="M96" i="44" s="1"/>
  <c r="M97" i="44" s="1"/>
  <c r="M98" i="44" s="1"/>
  <c r="M99" i="44" s="1"/>
  <c r="M100" i="44" s="1"/>
  <c r="M101" i="44" s="1"/>
  <c r="M102" i="44" s="1"/>
  <c r="M45" i="81"/>
  <c r="P44" i="81"/>
  <c r="M18" i="24"/>
  <c r="M229" i="44" l="1"/>
  <c r="M103" i="44"/>
  <c r="M104" i="44" s="1"/>
  <c r="M105" i="44" s="1"/>
  <c r="M106" i="44" s="1"/>
  <c r="M107" i="44" s="1"/>
  <c r="M108" i="44" s="1"/>
  <c r="M109" i="44" s="1"/>
  <c r="M110" i="44" s="1"/>
  <c r="M111" i="44" s="1"/>
  <c r="M112" i="44" s="1"/>
  <c r="M113" i="44" s="1"/>
  <c r="M114" i="44" s="1"/>
  <c r="M115" i="44" s="1"/>
  <c r="M116" i="44" s="1"/>
  <c r="M117" i="44" s="1"/>
  <c r="O97" i="44"/>
  <c r="M19" i="24"/>
  <c r="M20" i="24" l="1"/>
  <c r="M21" i="24" l="1"/>
  <c r="M22" i="24" l="1"/>
  <c r="M23" i="24" l="1"/>
  <c r="M24" i="24" s="1"/>
  <c r="M25" i="24" s="1"/>
  <c r="M26" i="24" s="1"/>
  <c r="M27" i="24" s="1"/>
  <c r="M28" i="24" s="1"/>
  <c r="M29" i="24" s="1"/>
  <c r="M30" i="24" s="1"/>
  <c r="M31" i="24" l="1"/>
  <c r="M32" i="24" l="1"/>
  <c r="M33" i="24" l="1"/>
  <c r="M34" i="24" s="1"/>
  <c r="M35" i="24"/>
  <c r="K25" i="5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<sst xmlns="http://schemas.openxmlformats.org/spreadsheetml/2006/main" count="2275" uniqueCount="373">
  <si>
    <t>S.No</t>
  </si>
  <si>
    <t>NAme</t>
  </si>
  <si>
    <t>Lacation</t>
  </si>
  <si>
    <t>Card Number</t>
  </si>
  <si>
    <t>Category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</si>
  <si>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</si>
  <si>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</si>
  <si>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</si>
  <si>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</si>
  <si>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</si>
  <si>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</si>
  <si>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</si>
  <si>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</si>
  <si>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</si>
  <si>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</si>
  <si>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</si>
  <si>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</si>
  <si>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</si>
  <si>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</si>
  <si>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</si>
  <si>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</si>
  <si>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17th Jan</t>
  </si>
  <si>
    <t>18th Jan</t>
  </si>
  <si>
    <t>19th Jan</t>
  </si>
  <si>
    <t>20th Jan</t>
  </si>
  <si>
    <t>21st Jan</t>
  </si>
  <si>
    <t>22nd Jan</t>
  </si>
  <si>
    <t>23rd Jan</t>
  </si>
  <si>
    <t>24th Jan</t>
  </si>
  <si>
    <t>25th Jan</t>
  </si>
  <si>
    <t>26th Jan</t>
  </si>
  <si>
    <t>27th Jan</t>
  </si>
  <si>
    <t>28th Jan</t>
  </si>
  <si>
    <t>29th Jan</t>
  </si>
  <si>
    <t>30th Jan</t>
  </si>
  <si>
    <t>31st Jan</t>
  </si>
  <si>
    <t>Total</t>
  </si>
  <si>
    <t>Diesel</t>
  </si>
  <si>
    <t>Rambabu</t>
  </si>
  <si>
    <t>HO(Two Wheeler)</t>
  </si>
  <si>
    <t>FC3450563999</t>
  </si>
  <si>
    <t>Petrol</t>
  </si>
  <si>
    <t>Hanumanth Rao</t>
  </si>
  <si>
    <t>HO</t>
  </si>
  <si>
    <t>FC3450676131</t>
  </si>
  <si>
    <t>Radhakrishna</t>
  </si>
  <si>
    <t>FC8000207658</t>
  </si>
  <si>
    <t>VIjay</t>
  </si>
  <si>
    <t>FC3450698859</t>
  </si>
  <si>
    <t>Client</t>
  </si>
  <si>
    <t>Hiriyur</t>
  </si>
  <si>
    <t>FC3450698864</t>
  </si>
  <si>
    <t>Hosadurga</t>
  </si>
  <si>
    <t>FC3450698865</t>
  </si>
  <si>
    <t>Diesel Price</t>
  </si>
  <si>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</si>
  <si>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</si>
  <si>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</si>
  <si>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</si>
  <si>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</si>
  <si>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</si>
  <si>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</si>
  <si>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</si>
  <si>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</si>
  <si>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</si>
  <si>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</si>
  <si>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</si>
  <si>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</si>
  <si>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</si>
  <si>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</si>
  <si>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Khammam-3</t>
  </si>
  <si>
    <t>JSASFuel Genie India Pvt.Ltd</t>
  </si>
  <si>
    <t>Khammam-Cash&amp;Carry</t>
  </si>
  <si>
    <t xml:space="preserve">NA </t>
  </si>
  <si>
    <t>Jadcherla-2</t>
  </si>
  <si>
    <t>Shree Poornima F/S</t>
  </si>
  <si>
    <t>Sangareddy-2</t>
  </si>
  <si>
    <t>Durga Bhavani F/S</t>
  </si>
  <si>
    <t>Sangareddy-3</t>
  </si>
  <si>
    <t xml:space="preserve">Shiva Parvathi Filling Station </t>
  </si>
  <si>
    <t>NarayanaKhed</t>
  </si>
  <si>
    <t xml:space="preserve">Sai Shiva Filling Station </t>
  </si>
  <si>
    <t>Dindi</t>
  </si>
  <si>
    <t>Akarapu Balakistamma Fillling</t>
  </si>
  <si>
    <t>Madanapalli</t>
  </si>
  <si>
    <t>NA</t>
  </si>
  <si>
    <t>Yeleshwaram</t>
  </si>
  <si>
    <t>Sri sathya Filling Station</t>
  </si>
  <si>
    <t>Pitapuam</t>
  </si>
  <si>
    <t>Satya Siva Durga Agencies, Chebrolu</t>
  </si>
  <si>
    <t>Kakinada</t>
  </si>
  <si>
    <t>Multiple bunks</t>
  </si>
  <si>
    <t>YG Gudda-2</t>
  </si>
  <si>
    <t>Pankaja HP Fuel Center</t>
  </si>
  <si>
    <t xml:space="preserve">One stop 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</si>
  <si>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</si>
  <si>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</si>
  <si>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</si>
  <si>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</si>
  <si>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</si>
  <si>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</si>
  <si>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</si>
  <si>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</si>
  <si>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</si>
  <si>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</si>
  <si>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</si>
  <si>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</si>
  <si>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</si>
  <si>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Chennagiri</t>
  </si>
  <si>
    <t>Khanapur(PKG-3)</t>
  </si>
  <si>
    <t>V.V.Varde</t>
  </si>
  <si>
    <t>Munavalli(PKG-3)</t>
  </si>
  <si>
    <t>Shre Shiva Petroleum</t>
  </si>
  <si>
    <t>Daneshwari Petroleum</t>
  </si>
  <si>
    <t>Borgaon(PKG-3)</t>
  </si>
  <si>
    <t>Aadisagar Petrolium</t>
  </si>
  <si>
    <t>Ugar,Kudichi(PKG-3)</t>
  </si>
  <si>
    <t>Shiri Bhrhmanath Petrolium</t>
  </si>
  <si>
    <t>Shedbal</t>
  </si>
  <si>
    <t xml:space="preserve">Varad Petroluem </t>
  </si>
  <si>
    <t>Kabbur(PKG-3)</t>
  </si>
  <si>
    <t>Shri Jai Hanuman Petrolium</t>
  </si>
  <si>
    <t>Kumta (PKG-1)</t>
  </si>
  <si>
    <t xml:space="preserve">V.M.Mirjankar (Kumta) Bharat </t>
  </si>
  <si>
    <t>Jalgaon-1</t>
  </si>
  <si>
    <t>Jai Bajarang Sarvo Senter Bodwad</t>
  </si>
  <si>
    <t>Jalgaon-2</t>
  </si>
  <si>
    <t>Nayara</t>
  </si>
  <si>
    <t>MKBD</t>
  </si>
  <si>
    <t>Shree Sai Samarth Petroleum</t>
  </si>
  <si>
    <t>Haveri</t>
  </si>
  <si>
    <t>M/s Magavi City Fuels</t>
  </si>
  <si>
    <t>Guttal-2</t>
  </si>
  <si>
    <t>Himagiri Petroleum</t>
  </si>
  <si>
    <t>Rattihali-2</t>
  </si>
  <si>
    <t>Shiva Oil Traders</t>
  </si>
  <si>
    <t>Gajendragada</t>
  </si>
  <si>
    <t>Vanasri Petrol Pump</t>
  </si>
  <si>
    <t>Gokak(PKG-3)</t>
  </si>
  <si>
    <t>AJ Petrolinks</t>
  </si>
  <si>
    <t>Hukkere</t>
  </si>
  <si>
    <t>TR Assocites</t>
  </si>
  <si>
    <t>Ankaligi</t>
  </si>
  <si>
    <t>Shivaganga</t>
  </si>
  <si>
    <t>Ghattaprabha</t>
  </si>
  <si>
    <t>Shri Deshpande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</si>
  <si>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</si>
  <si>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</si>
  <si>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</si>
  <si>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</si>
  <si>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</si>
  <si>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</si>
  <si>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</si>
  <si>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</si>
  <si>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</si>
  <si>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</si>
  <si>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</si>
  <si>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</si>
  <si>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</si>
  <si>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</si>
  <si>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</si>
  <si>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</si>
  <si>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HO(DG)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</si>
  <si>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</si>
  <si>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</si>
  <si>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</si>
  <si>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</si>
  <si>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</si>
  <si>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</si>
  <si>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</si>
  <si>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</si>
  <si>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</si>
  <si>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</si>
  <si>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</si>
  <si>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</si>
  <si>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Khammam</t>
  </si>
  <si>
    <t>Jadcherla</t>
  </si>
  <si>
    <t>HPCL</t>
  </si>
  <si>
    <t>As 0n Date</t>
  </si>
  <si>
    <t>DGM Sir</t>
  </si>
  <si>
    <t xml:space="preserve">IOCL Card </t>
  </si>
  <si>
    <t>26-27/S1 (MP3 Grease)</t>
  </si>
  <si>
    <t xml:space="preserve">JSASFuel Genie India Pvt.Ltd													</t>
  </si>
  <si>
    <t xml:space="preserve"> Cash &amp;Carry</t>
  </si>
  <si>
    <t>Stambhadri Fuel Park HPCL</t>
  </si>
  <si>
    <t>Poornima f/s machine not working swiping the same amont Sri Srinivasa Filling Station</t>
  </si>
  <si>
    <t>Ind no/Bill No</t>
  </si>
  <si>
    <t>As on Date</t>
  </si>
  <si>
    <t>SHIVA PARVATHI FILLING STATION SADASHIVPET</t>
  </si>
  <si>
    <t>BT</t>
  </si>
  <si>
    <t xml:space="preserve"> </t>
  </si>
  <si>
    <t>SATYA SIVA DURGA AGENCIES</t>
  </si>
  <si>
    <t>GOLLAPROLLU</t>
  </si>
  <si>
    <t>RAJ PETROS</t>
  </si>
  <si>
    <t>RAVULAPALEM</t>
  </si>
  <si>
    <t>SRI BALAJI AGENCIES</t>
  </si>
  <si>
    <t>KAKINADA</t>
  </si>
  <si>
    <t>SRI RADHA PETRO FILL</t>
  </si>
  <si>
    <t>MUMMIDIVARAM</t>
  </si>
  <si>
    <t xml:space="preserve">BP - LALLACHERUVU </t>
  </si>
  <si>
    <t>RAJHAMUNDRY</t>
  </si>
  <si>
    <t>JVVR FILLING STATION</t>
  </si>
  <si>
    <t>PITHAPURAM</t>
  </si>
  <si>
    <t>SRI BHIMESWARA AGENCIES</t>
  </si>
  <si>
    <t>AMALAPURAM</t>
  </si>
  <si>
    <t>BP - KOVVUR</t>
  </si>
  <si>
    <t>KOVVUR</t>
  </si>
  <si>
    <t>SRI SATYA FILLING STATION</t>
  </si>
  <si>
    <t>ELESWARAM</t>
  </si>
  <si>
    <t>TIRUMALA AGENCIES</t>
  </si>
  <si>
    <t>ANATHAVARAM</t>
  </si>
  <si>
    <t>SRI VENKATESWARA ENTERPRISES</t>
  </si>
  <si>
    <t>YANAM</t>
  </si>
  <si>
    <t>YELESWARAM</t>
  </si>
  <si>
    <t>KINGMEI FILLING STATION</t>
  </si>
  <si>
    <t>ELURU</t>
  </si>
  <si>
    <t>BP - KAKINADA</t>
  </si>
  <si>
    <t>GSR VANADURGA FILLING STATION</t>
  </si>
  <si>
    <t>VIJAYAWADA</t>
  </si>
  <si>
    <t>SRI LALITHA AGENCIES</t>
  </si>
  <si>
    <t>PEDDAPURAM</t>
  </si>
  <si>
    <t>J NARASIMHARAO AND SONS</t>
  </si>
  <si>
    <t>KHAMMAM</t>
  </si>
  <si>
    <t>SRI NUNI VEERRAJU FUELS</t>
  </si>
  <si>
    <t>MANDAPETA</t>
  </si>
  <si>
    <t>SAI LEELA FILLING STATION</t>
  </si>
  <si>
    <t>MANDADAM</t>
  </si>
  <si>
    <t xml:space="preserve">SRI DIVYA ENERGY STATION </t>
  </si>
  <si>
    <t>DWARAPUDI</t>
  </si>
  <si>
    <t>SRI SATYA DATTHA APARNA AGENCI</t>
  </si>
  <si>
    <t>CHENDURTHI</t>
  </si>
  <si>
    <t>MOTILAL RUPCHAND</t>
  </si>
  <si>
    <t>SOLASA KRISHNA OIL COMPANY</t>
  </si>
  <si>
    <t>Jangareddygudem</t>
  </si>
  <si>
    <t>ANIL AGENCIES - HP</t>
  </si>
  <si>
    <t>SRI MALLIDI VENKATA AGENCIES</t>
  </si>
  <si>
    <t>KILARAM BROTHERS</t>
  </si>
  <si>
    <t>SRI MALLIDI VENKATA REDDY AGENCIES</t>
  </si>
  <si>
    <t>SRI SURYACHANDRA AGENCIES</t>
  </si>
  <si>
    <t>CHALAPATHI RAO FILLING STATION</t>
  </si>
  <si>
    <t>KOYYALAGUDEM</t>
  </si>
  <si>
    <t>BP KOVVUR</t>
  </si>
  <si>
    <t>SRI SATYA ENTERPRISES</t>
  </si>
  <si>
    <t>SATYA SIVA DURGA AGENCIES, CHEBROLU (BPCL)</t>
  </si>
  <si>
    <t>SRI SATYA FILLING STATION, YELESWARAM (BPCL)</t>
  </si>
  <si>
    <t>IOCL</t>
  </si>
  <si>
    <t> </t>
  </si>
  <si>
    <t>BPCL</t>
  </si>
  <si>
    <t>One Stop</t>
  </si>
  <si>
    <t>Sree Veerabhadreshwara Service Station</t>
  </si>
  <si>
    <t>HPCL OTP Si Laxmi Ranganath</t>
  </si>
  <si>
    <t>BHN FULES(BPCL) OTP</t>
  </si>
  <si>
    <t>Molakamuru</t>
  </si>
  <si>
    <t>Shivaganga Service Station (BPCL)</t>
  </si>
  <si>
    <t>BPCL Cardb Card No-863</t>
  </si>
  <si>
    <t>Chellakere-PKG-09</t>
  </si>
  <si>
    <t>Received from Maruthi filling station</t>
  </si>
  <si>
    <t>Date of payment</t>
  </si>
  <si>
    <t>Shiri Shiva Petroluem</t>
  </si>
  <si>
    <t>HPCl</t>
  </si>
  <si>
    <t>DANESHWARI  PETROLIUM(YERRAGATTI)</t>
  </si>
  <si>
    <t>d</t>
  </si>
  <si>
    <t>VARAD PETROLEUM SHEDBAL</t>
  </si>
  <si>
    <t>ADHNC NAVATEJ FC HP OTP</t>
  </si>
  <si>
    <t>VEERA BHADRESHWARA BP CASH</t>
  </si>
  <si>
    <t xml:space="preserve">V.M.MIRJANKAR (KUMTA) BHARAT </t>
  </si>
  <si>
    <t>Kumta</t>
  </si>
  <si>
    <t>V.M.Mirjankar</t>
  </si>
  <si>
    <t>Month</t>
  </si>
  <si>
    <t>Disel In Litters</t>
  </si>
  <si>
    <t>Petrol In Litters</t>
  </si>
  <si>
    <t>Feb'-26</t>
  </si>
  <si>
    <t>March'-26</t>
  </si>
  <si>
    <t>April'-26</t>
  </si>
  <si>
    <t>May'-26</t>
  </si>
  <si>
    <t xml:space="preserve"> Nayara</t>
  </si>
  <si>
    <t>CASH purchese</t>
  </si>
  <si>
    <t xml:space="preserve"> Magavi fuel F/S</t>
  </si>
  <si>
    <t>.</t>
  </si>
  <si>
    <t>Reliance B.P Mobility Ltd</t>
  </si>
  <si>
    <t>raja bhakshi</t>
  </si>
  <si>
    <t>Shiva ganga</t>
  </si>
  <si>
    <t xml:space="preserve">  TR Associates</t>
  </si>
  <si>
    <t xml:space="preserve"> S R PATIL</t>
  </si>
  <si>
    <t>Talikote</t>
  </si>
  <si>
    <t>05.07.2026</t>
  </si>
  <si>
    <t>08.07.2026</t>
  </si>
  <si>
    <t>11.07.2026</t>
  </si>
  <si>
    <t>12.07.2026</t>
  </si>
  <si>
    <t>16.07.2026</t>
  </si>
  <si>
    <t>18.07.2026</t>
  </si>
  <si>
    <t>20.07.2026</t>
  </si>
  <si>
    <t>22.07.2026</t>
  </si>
  <si>
    <t>24.07.2026</t>
  </si>
  <si>
    <t>29.07.2026</t>
  </si>
  <si>
    <t>`</t>
  </si>
  <si>
    <t>BPCL Card Ledger</t>
  </si>
  <si>
    <t>Petrol Bunk Name</t>
  </si>
  <si>
    <t>Card No</t>
  </si>
  <si>
    <t>Recharge Amount</t>
  </si>
  <si>
    <t>Redeem</t>
  </si>
  <si>
    <t>RAJ PETROS BHARAT PETROLEUM DEALERS</t>
  </si>
  <si>
    <t>FC8000207659</t>
  </si>
  <si>
    <t>7,84,905.31</t>
  </si>
  <si>
    <t>S S FILLING STATION BHARAT PETROLEUM DEALERS</t>
  </si>
  <si>
    <t>SATYA SIVA DURGA AGENCIES BHARAT PETROLEUM DEALERS</t>
  </si>
  <si>
    <t>SHIVAGANGA SERVICE STATION BHARAT PETROLEUM DEALERS</t>
  </si>
  <si>
    <t>FC3450698863</t>
  </si>
  <si>
    <t>SRI BALAJI AGENCIES BHARAT PETROLEUM DEALERS</t>
  </si>
  <si>
    <t>VIJAYA BHARAT FUEL &amp; SERVICES BHARAT PETROLEUM DEALERS</t>
  </si>
  <si>
    <t>BP- KOVVURU BHARAT PETROLEUM CORPN LTD.</t>
  </si>
  <si>
    <t>BP-LALLACHERUVU BHARAT PETROLEUM DEALERS</t>
  </si>
  <si>
    <t>JVVR FILLING STATION BHARAT PETROLEUM DEALERS</t>
  </si>
  <si>
    <t>SANDHYA FUEL STATION BHARAT PETROLEUM DEALERS</t>
  </si>
  <si>
    <t>SRI BHIMESWARA AGENCIES BHARAT PETROLEUM DEALERS</t>
  </si>
  <si>
    <t>SRI SATYA FILLING STATION BHARAT PETROLEUM DEALERS</t>
  </si>
  <si>
    <t>SRI VENKATESWARA ENTERPRISES BHARAT PETROLEUM DEALERS</t>
  </si>
  <si>
    <t>TIRUMALA AGENCIES BHARAT PETROLEUM DEALERS</t>
  </si>
  <si>
    <t>W SRINIVAS RAO &amp; SONS BHARAT PETROLEUM DEALERS</t>
  </si>
  <si>
    <t>PRAKASH TRANSPORT BHARAT PETROLEUM DEALERS</t>
  </si>
  <si>
    <t>FC3450676134</t>
  </si>
  <si>
    <t>EARTH PAVERS (HYD) PRIVATE LIM BHARAT PETROLEUM DEALERS</t>
  </si>
  <si>
    <t>KINGMEI FILLING STATION BHARAT PETROLEUM DEALERS</t>
  </si>
  <si>
    <t>SLN FUELS BHARAT PETROLEUM DEALERS</t>
  </si>
  <si>
    <t>BP-KAKINADA BHARAT PETROLEUM CORPORATION L</t>
  </si>
  <si>
    <t>INDIRA PETROLEUMS BHARAT PETROLEUM DEALERS</t>
  </si>
  <si>
    <t>SRI SATYA DATTHA APARNA AGENCI BHARAT PETROLEUM DEALERS</t>
  </si>
  <si>
    <t>GSR VANA DURGA FILLING STATION BHARAT PETROLEUM DEALERS</t>
  </si>
  <si>
    <t>J.NARASIMHA RAO &amp; SONS BHARAT PETROLEUM DEALERS</t>
  </si>
  <si>
    <t>KOPPALA VENKATASWAMYPETRO PROD KOPPALA VENKATASWAMYPETRO PROD</t>
  </si>
  <si>
    <t>FC8000207650</t>
  </si>
  <si>
    <t>SRI LALITHA AGENCIES BHARAT PETROLEUM DEALERS</t>
  </si>
  <si>
    <t>MUKHYAPRANA HERITAGE FUELS BHARAT PETROLEUM DEALERS</t>
  </si>
  <si>
    <t>SAI LEELA FILLING STATION BHARAT PETROLEUM DEALERS</t>
  </si>
  <si>
    <t>MOTILAL RUPCHAND BHARAT PETROLEUM DEALERS</t>
  </si>
  <si>
    <t>AKARAPU BALAKISTAMMA FILLLING BHARAT PETROLEUM DEALERS</t>
  </si>
  <si>
    <t>SOLASA KRISHNA OIL COMPANY BHARAT PETROLEUM DEALERS</t>
  </si>
  <si>
    <t>JUBILEE HILLS FILL. STN. BHARAT PETROLEUM DEALERS</t>
  </si>
  <si>
    <t>KILARAM BROTHERS BHARAT PETROLEUM DEALERS</t>
  </si>
  <si>
    <t>SRI MALLIDI VENKATA REDDY AGEN BHARAT PETROLEUM DEALERS</t>
  </si>
  <si>
    <t>VAMSHI FILLING STATION BHARAT PETROLEUM DEALERS</t>
  </si>
  <si>
    <t>KESAR FUELS BHARAT PETROLEUM DEALERS</t>
  </si>
  <si>
    <t>CHALAPATHI RAO FILLING STATION BHARAT PETROLEUM DEALERS</t>
  </si>
  <si>
    <t>SREE VEERABHADRESHWARA SER.STA BHARAT PETROLEUM DEALERS</t>
  </si>
  <si>
    <t>HPCL Card Ledger</t>
  </si>
  <si>
    <t>TUMCOS FUEL STATION</t>
  </si>
  <si>
    <t>8200079004507062</t>
  </si>
  <si>
    <t>ONE STOP SERVICE STATION</t>
  </si>
  <si>
    <t>8200079004507153</t>
  </si>
  <si>
    <t>8200079005271395</t>
  </si>
  <si>
    <t>PANKAJA HP FUEL CENTRE</t>
  </si>
  <si>
    <t>MSHSD SHRI HEMAGIRI PETROLEUM</t>
  </si>
  <si>
    <t>8200079004507121</t>
  </si>
  <si>
    <t>Venkatadri fuel Point</t>
  </si>
  <si>
    <t>8200079005271461</t>
  </si>
  <si>
    <t>MS HSD SRI NUNI VEERRAJU FUELS</t>
  </si>
  <si>
    <t>Sri Srinivasa Filling Station</t>
  </si>
  <si>
    <t>8200079000522041</t>
  </si>
  <si>
    <t>ADHOC SRI NAVATEJA FILLING CENTRE</t>
  </si>
  <si>
    <t>MSHSD ANIL AGENCIES</t>
  </si>
  <si>
    <t>SRI SURYACHANDRA AGENCY</t>
  </si>
  <si>
    <t>SEI LAKSHMI RANGANATHA SALES &amp;amp; SERVICE</t>
  </si>
  <si>
    <t>AJ PETROLINKS</t>
  </si>
  <si>
    <t>SHIVA OIL TRADERS</t>
  </si>
  <si>
    <t>8200079004507138</t>
  </si>
  <si>
    <t>SHRI SHIVA PETROLEUM</t>
  </si>
  <si>
    <t>8200079005271387</t>
  </si>
  <si>
    <t>VARAD PETROLEUM</t>
  </si>
  <si>
    <t>Stambhadri Fuel Park</t>
  </si>
  <si>
    <t>8200079000522057</t>
  </si>
  <si>
    <t>DIVYA LAXMI GANAPATHI AUTO SERVICES</t>
  </si>
  <si>
    <t>SVBS FILLING STATION</t>
  </si>
  <si>
    <t>FC3450698866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</si>
</sst>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.0"/>
    <numFmt numFmtId="172" formatCode="dd/mm/yyyy"/>
    <numFmt numFmtId="173" formatCode="0.000_ "/>
  </numFmts>
  <fonts count="4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</font>
    <font>
      <sz val="8"/>
      <color rgb="FF000000"/>
      <name val="Calibri"/>
    </font>
    <font>
      <sz val="11"/>
      <color theme="1"/>
      <name val="Cambria"/>
      <family val="1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  <charset val="134"/>
    </font>
    <font>
      <sz val="9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</cellStyleXfs>
  <cellXfs count="600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5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164" fontId="4" fillId="0" borderId="2" xfId="1" applyFont="1" applyBorder="1" applyAlignment="1">
      <alignment horizontal="center" vertical="top"/>
    </xf>
    <xf numFmtId="164" fontId="4" fillId="0" borderId="6" xfId="1" applyFont="1" applyBorder="1" applyAlignment="1">
      <alignment horizontal="center" vertical="top"/>
    </xf>
    <xf numFmtId="164" fontId="4" fillId="0" borderId="4" xfId="1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 wrapText="1"/>
    </xf>
    <xf numFmtId="164" fontId="4" fillId="0" borderId="12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164" fontId="11" fillId="0" borderId="5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2" fontId="0" fillId="0" borderId="5" xfId="0" applyNumberFormat="1" applyBorder="1"/>
    <xf numFmtId="164" fontId="4" fillId="0" borderId="5" xfId="1" applyFont="1" applyBorder="1" applyAlignment="1">
      <alignment vertical="center"/>
    </xf>
    <xf numFmtId="2" fontId="10" fillId="4" borderId="5" xfId="0" applyNumberFormat="1" applyFont="1" applyFill="1" applyBorder="1" applyAlignment="1">
      <alignment horizontal="center" vertical="center"/>
    </xf>
    <xf numFmtId="164" fontId="10" fillId="4" borderId="5" xfId="1" applyFont="1" applyFill="1" applyBorder="1" applyAlignment="1">
      <alignment horizontal="center" vertical="center"/>
    </xf>
    <xf numFmtId="0" fontId="6" fillId="0" borderId="5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43" fontId="4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4" fontId="13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43" fontId="14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43" fontId="14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0" borderId="0" xfId="0" applyFont="1"/>
    <xf numFmtId="2" fontId="5" fillId="4" borderId="5" xfId="0" applyNumberFormat="1" applyFont="1" applyFill="1" applyBorder="1" applyAlignment="1">
      <alignment horizontal="center" vertical="center"/>
    </xf>
    <xf numFmtId="164" fontId="5" fillId="4" borderId="5" xfId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/>
    </xf>
    <xf numFmtId="2" fontId="4" fillId="0" borderId="5" xfId="0" applyNumberFormat="1" applyFont="1" applyBorder="1"/>
    <xf numFmtId="0" fontId="4" fillId="0" borderId="5" xfId="0" applyFont="1" applyBorder="1" applyAlignment="1">
      <alignment vertical="center"/>
    </xf>
    <xf numFmtId="164" fontId="4" fillId="0" borderId="5" xfId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4" fillId="0" borderId="5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2" xfId="0" applyFont="1" applyBorder="1"/>
    <xf numFmtId="0" fontId="0" fillId="0" borderId="13" xfId="0" applyBorder="1"/>
    <xf numFmtId="0" fontId="18" fillId="0" borderId="5" xfId="0" applyFont="1" applyBorder="1"/>
    <xf numFmtId="2" fontId="18" fillId="0" borderId="5" xfId="0" applyNumberFormat="1" applyFont="1" applyBorder="1"/>
    <xf numFmtId="0" fontId="0" fillId="0" borderId="10" xfId="0" applyBorder="1"/>
    <xf numFmtId="0" fontId="14" fillId="3" borderId="1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5" xfId="0" applyFont="1" applyFill="1" applyBorder="1" applyAlignment="1">
      <alignment horizontal="center" vertical="center"/>
    </xf>
    <xf numFmtId="0" fontId="19" fillId="0" borderId="5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8" xfId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 wrapText="1"/>
    </xf>
    <xf numFmtId="43" fontId="12" fillId="3" borderId="6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/>
    </xf>
    <xf numFmtId="0" fontId="12" fillId="3" borderId="6" xfId="0" applyFont="1" applyFill="1" applyBorder="1" applyAlignment="1">
      <alignment horizontal="center" vertical="center"/>
    </xf>
    <xf numFmtId="43" fontId="12" fillId="3" borderId="6" xfId="0" applyNumberFormat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13" fillId="0" borderId="7" xfId="3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" fontId="7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4" fontId="7" fillId="0" borderId="12" xfId="0" applyNumberFormat="1" applyFont="1" applyBorder="1" applyAlignment="1">
      <alignment horizontal="center"/>
    </xf>
    <xf numFmtId="0" fontId="14" fillId="3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164" fontId="4" fillId="0" borderId="12" xfId="1" applyFont="1" applyBorder="1" applyAlignment="1">
      <alignment horizontal="center" vertical="top"/>
    </xf>
    <xf numFmtId="164" fontId="10" fillId="0" borderId="5" xfId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2" xfId="0" applyBorder="1"/>
    <xf numFmtId="43" fontId="14" fillId="3" borderId="6" xfId="0" applyNumberFormat="1" applyFont="1" applyFill="1" applyBorder="1" applyAlignment="1">
      <alignment horizontal="center" vertical="center" wrapText="1"/>
    </xf>
    <xf numFmtId="43" fontId="14" fillId="3" borderId="6" xfId="0" applyNumberFormat="1" applyFont="1" applyFill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top"/>
    </xf>
    <xf numFmtId="43" fontId="14" fillId="3" borderId="17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/>
    </xf>
    <xf numFmtId="43" fontId="6" fillId="2" borderId="5" xfId="0" applyNumberFormat="1" applyFont="1" applyFill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/>
    </xf>
    <xf numFmtId="2" fontId="4" fillId="0" borderId="12" xfId="0" applyNumberFormat="1" applyFont="1" applyBorder="1"/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vertical="center"/>
    </xf>
    <xf numFmtId="2" fontId="5" fillId="4" borderId="12" xfId="0" applyNumberFormat="1" applyFont="1" applyFill="1" applyBorder="1" applyAlignment="1">
      <alignment horizontal="center" vertical="center"/>
    </xf>
    <xf numFmtId="164" fontId="5" fillId="4" borderId="12" xfId="1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right"/>
    </xf>
    <xf numFmtId="164" fontId="5" fillId="0" borderId="5" xfId="1" applyFont="1" applyBorder="1" applyAlignment="1">
      <alignment horizontal="center" vertical="center" indent="1"/>
    </xf>
    <xf numFmtId="0" fontId="6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43" fontId="12" fillId="3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/>
    <xf numFmtId="0" fontId="11" fillId="0" borderId="17" xfId="0" applyFont="1" applyBorder="1" applyAlignment="1">
      <alignment horizontal="center" vertical="center"/>
    </xf>
    <xf numFmtId="0" fontId="4" fillId="0" borderId="13" xfId="0" applyFont="1" applyBorder="1"/>
    <xf numFmtId="14" fontId="4" fillId="0" borderId="13" xfId="0" applyNumberFormat="1" applyFont="1" applyBorder="1" applyAlignment="1">
      <alignment horizontal="center"/>
    </xf>
    <xf numFmtId="2" fontId="4" fillId="0" borderId="13" xfId="0" applyNumberFormat="1" applyFont="1" applyBorder="1"/>
    <xf numFmtId="2" fontId="4" fillId="0" borderId="13" xfId="0" applyNumberFormat="1" applyFont="1" applyBorder="1" applyAlignment="1">
      <alignment horizontal="right"/>
    </xf>
    <xf numFmtId="43" fontId="6" fillId="2" borderId="13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4" fillId="3" borderId="13" xfId="0" applyNumberFormat="1" applyFont="1" applyFill="1" applyBorder="1" applyAlignment="1">
      <alignment horizontal="center" vertical="center"/>
    </xf>
    <xf numFmtId="0" fontId="4" fillId="0" borderId="5" xfId="1" applyNumberFormat="1" applyFont="1" applyBorder="1" applyAlignment="1">
      <alignment vertical="center"/>
    </xf>
    <xf numFmtId="0" fontId="4" fillId="0" borderId="11" xfId="0" applyFont="1" applyBorder="1"/>
    <xf numFmtId="2" fontId="5" fillId="0" borderId="0" xfId="0" applyNumberFormat="1" applyFont="1"/>
    <xf numFmtId="2" fontId="0" fillId="0" borderId="12" xfId="0" applyNumberFormat="1" applyBorder="1"/>
    <xf numFmtId="0" fontId="11" fillId="0" borderId="13" xfId="0" applyFont="1" applyBorder="1" applyAlignment="1">
      <alignment horizontal="center" vertical="center"/>
    </xf>
    <xf numFmtId="2" fontId="10" fillId="4" borderId="26" xfId="0" applyNumberFormat="1" applyFont="1" applyFill="1" applyBorder="1" applyAlignment="1">
      <alignment horizontal="center" vertical="center"/>
    </xf>
    <xf numFmtId="164" fontId="4" fillId="0" borderId="13" xfId="1" applyFont="1" applyBorder="1" applyAlignment="1">
      <alignment horizontal="center" vertical="center"/>
    </xf>
    <xf numFmtId="0" fontId="14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4" fillId="3" borderId="6" xfId="0" applyNumberFormat="1" applyFont="1" applyFill="1" applyBorder="1" applyAlignment="1">
      <alignment horizontal="right" vertical="center" wrapText="1"/>
    </xf>
    <xf numFmtId="0" fontId="4" fillId="0" borderId="5" xfId="3" applyNumberFormat="1" applyFont="1" applyBorder="1" applyAlignment="1">
      <alignment vertical="center"/>
    </xf>
    <xf numFmtId="3" fontId="4" fillId="0" borderId="5" xfId="3" applyNumberFormat="1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164" fontId="4" fillId="0" borderId="13" xfId="1" applyFont="1" applyBorder="1" applyAlignment="1">
      <alignment vertical="center"/>
    </xf>
    <xf numFmtId="164" fontId="4" fillId="0" borderId="11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horizontal="center"/>
    </xf>
    <xf numFmtId="164" fontId="11" fillId="0" borderId="10" xfId="1" applyFont="1" applyBorder="1" applyAlignment="1">
      <alignment horizontal="center" vertical="center"/>
    </xf>
    <xf numFmtId="164" fontId="11" fillId="0" borderId="11" xfId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right" vertical="center"/>
    </xf>
    <xf numFmtId="164" fontId="11" fillId="0" borderId="5" xfId="1" applyFont="1" applyBorder="1" applyAlignment="1">
      <alignment horizontal="left" vertical="top"/>
    </xf>
    <xf numFmtId="165" fontId="4" fillId="0" borderId="10" xfId="0" applyNumberFormat="1" applyFont="1" applyBorder="1" applyAlignment="1">
      <alignment horizontal="center"/>
    </xf>
    <xf numFmtId="164" fontId="10" fillId="0" borderId="13" xfId="1" applyFont="1" applyBorder="1" applyAlignment="1">
      <alignment horizontal="center" vertical="center"/>
    </xf>
    <xf numFmtId="0" fontId="11" fillId="0" borderId="13" xfId="0" applyFont="1" applyBorder="1"/>
    <xf numFmtId="2" fontId="10" fillId="4" borderId="12" xfId="0" applyNumberFormat="1" applyFont="1" applyFill="1" applyBorder="1" applyAlignment="1">
      <alignment horizontal="center" vertical="center"/>
    </xf>
    <xf numFmtId="164" fontId="10" fillId="4" borderId="12" xfId="1" applyFont="1" applyFill="1" applyBorder="1" applyAlignment="1">
      <alignment horizontal="center" vertical="center"/>
    </xf>
    <xf numFmtId="0" fontId="13" fillId="0" borderId="5" xfId="3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3" fillId="0" borderId="17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4" fillId="0" borderId="12" xfId="1" applyNumberFormat="1" applyFont="1" applyBorder="1" applyAlignment="1">
      <alignment vertical="center"/>
    </xf>
    <xf numFmtId="164" fontId="4" fillId="0" borderId="12" xfId="1" applyFont="1" applyBorder="1" applyAlignment="1">
      <alignment vertical="center"/>
    </xf>
    <xf numFmtId="2" fontId="0" fillId="0" borderId="13" xfId="0" applyNumberFormat="1" applyBorder="1"/>
    <xf numFmtId="2" fontId="14" fillId="3" borderId="1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14" fillId="2" borderId="13" xfId="0" applyFont="1" applyFill="1" applyBorder="1" applyAlignment="1">
      <alignment horizontal="center" vertical="center" wrapText="1"/>
    </xf>
    <xf numFmtId="164" fontId="11" fillId="0" borderId="12" xfId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65" fontId="4" fillId="0" borderId="27" xfId="0" applyNumberFormat="1" applyFont="1" applyBorder="1" applyAlignment="1">
      <alignment horizontal="center"/>
    </xf>
    <xf numFmtId="0" fontId="0" fillId="0" borderId="21" xfId="0" applyBorder="1"/>
    <xf numFmtId="0" fontId="4" fillId="0" borderId="1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15" fontId="19" fillId="2" borderId="5" xfId="0" applyNumberFormat="1" applyFont="1" applyFill="1" applyBorder="1"/>
    <xf numFmtId="0" fontId="6" fillId="0" borderId="13" xfId="0" applyFont="1" applyBorder="1"/>
    <xf numFmtId="0" fontId="21" fillId="0" borderId="0" xfId="0" applyFont="1"/>
    <xf numFmtId="2" fontId="14" fillId="3" borderId="6" xfId="0" applyNumberFormat="1" applyFont="1" applyFill="1" applyBorder="1" applyAlignment="1">
      <alignment horizontal="center" vertical="center" wrapText="1"/>
    </xf>
    <xf numFmtId="2" fontId="14" fillId="3" borderId="6" xfId="0" applyNumberFormat="1" applyFont="1" applyFill="1" applyBorder="1" applyAlignment="1">
      <alignment horizontal="center" vertical="center"/>
    </xf>
    <xf numFmtId="0" fontId="18" fillId="0" borderId="13" xfId="0" applyFont="1" applyBorder="1"/>
    <xf numFmtId="2" fontId="10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4" fillId="2" borderId="5" xfId="1" applyFont="1" applyFill="1" applyBorder="1" applyAlignment="1">
      <alignment horizontal="center" vertical="center"/>
    </xf>
    <xf numFmtId="164" fontId="10" fillId="0" borderId="10" xfId="1" applyFont="1" applyBorder="1" applyAlignment="1">
      <alignment vertical="center"/>
    </xf>
    <xf numFmtId="0" fontId="0" fillId="0" borderId="11" xfId="0" applyBorder="1"/>
    <xf numFmtId="164" fontId="11" fillId="0" borderId="8" xfId="1" applyFont="1" applyBorder="1" applyAlignment="1">
      <alignment horizontal="center" vertical="center"/>
    </xf>
    <xf numFmtId="164" fontId="11" fillId="0" borderId="4" xfId="1" applyFont="1" applyBorder="1" applyAlignment="1">
      <alignment horizontal="center" vertical="center"/>
    </xf>
    <xf numFmtId="164" fontId="11" fillId="0" borderId="18" xfId="1" applyFont="1" applyBorder="1" applyAlignment="1">
      <alignment horizontal="center" vertical="center"/>
    </xf>
    <xf numFmtId="164" fontId="11" fillId="0" borderId="24" xfId="1" applyFont="1" applyBorder="1" applyAlignment="1">
      <alignment horizontal="center" vertical="center"/>
    </xf>
    <xf numFmtId="167" fontId="0" fillId="0" borderId="0" xfId="0" applyNumberFormat="1"/>
    <xf numFmtId="4" fontId="4" fillId="0" borderId="0" xfId="0" applyNumberFormat="1" applyFont="1" applyAlignment="1">
      <alignment vertical="center" wrapText="1"/>
    </xf>
    <xf numFmtId="43" fontId="4" fillId="0" borderId="0" xfId="0" applyNumberFormat="1" applyFont="1" applyAlignment="1">
      <alignment vertical="center"/>
    </xf>
    <xf numFmtId="4" fontId="0" fillId="0" borderId="0" xfId="0" applyNumberFormat="1"/>
    <xf numFmtId="168" fontId="4" fillId="0" borderId="2" xfId="1" applyNumberFormat="1" applyFont="1" applyBorder="1" applyAlignment="1">
      <alignment horizontal="center" vertical="top"/>
    </xf>
    <xf numFmtId="0" fontId="5" fillId="7" borderId="0" xfId="0" applyFont="1" applyFill="1" applyAlignment="1">
      <alignment vertical="center"/>
    </xf>
    <xf numFmtId="0" fontId="18" fillId="7" borderId="0" xfId="0" applyFont="1" applyFill="1"/>
    <xf numFmtId="0" fontId="0" fillId="0" borderId="12" xfId="0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2" fontId="4" fillId="0" borderId="5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4" fontId="6" fillId="0" borderId="5" xfId="0" applyNumberFormat="1" applyFont="1" applyBorder="1"/>
    <xf numFmtId="164" fontId="0" fillId="0" borderId="0" xfId="0" applyNumberFormat="1" applyAlignment="1">
      <alignment horizontal="center"/>
    </xf>
    <xf numFmtId="0" fontId="14" fillId="3" borderId="6" xfId="0" applyFont="1" applyFill="1" applyBorder="1" applyAlignment="1">
      <alignment vertical="center" wrapText="1"/>
    </xf>
    <xf numFmtId="166" fontId="4" fillId="0" borderId="5" xfId="0" applyNumberFormat="1" applyFont="1" applyBorder="1"/>
    <xf numFmtId="164" fontId="5" fillId="4" borderId="5" xfId="1" applyFont="1" applyFill="1" applyBorder="1" applyAlignment="1">
      <alignment vertical="center"/>
    </xf>
    <xf numFmtId="169" fontId="0" fillId="0" borderId="11" xfId="0" applyNumberFormat="1" applyBorder="1"/>
    <xf numFmtId="0" fontId="24" fillId="0" borderId="11" xfId="0" applyFont="1" applyBorder="1" applyAlignment="1">
      <alignment horizontal="center" vertical="center"/>
    </xf>
    <xf numFmtId="164" fontId="20" fillId="0" borderId="32" xfId="1" applyFont="1" applyBorder="1" applyAlignment="1">
      <alignment horizontal="center"/>
    </xf>
    <xf numFmtId="1" fontId="4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9" fillId="0" borderId="5" xfId="0" applyFont="1" applyBorder="1"/>
    <xf numFmtId="166" fontId="25" fillId="0" borderId="5" xfId="0" applyNumberFormat="1" applyFont="1" applyBorder="1" applyAlignment="1">
      <alignment horizontal="center"/>
    </xf>
    <xf numFmtId="166" fontId="24" fillId="0" borderId="5" xfId="0" applyNumberFormat="1" applyFont="1" applyBorder="1" applyAlignment="1">
      <alignment horizontal="center" vertical="center"/>
    </xf>
    <xf numFmtId="0" fontId="26" fillId="8" borderId="28" xfId="0" applyFont="1" applyFill="1" applyBorder="1"/>
    <xf numFmtId="0" fontId="26" fillId="8" borderId="29" xfId="0" applyFont="1" applyFill="1" applyBorder="1"/>
    <xf numFmtId="2" fontId="26" fillId="8" borderId="29" xfId="0" applyNumberFormat="1" applyFont="1" applyFill="1" applyBorder="1"/>
    <xf numFmtId="2" fontId="26" fillId="8" borderId="30" xfId="0" applyNumberFormat="1" applyFont="1" applyFill="1" applyBorder="1"/>
    <xf numFmtId="0" fontId="27" fillId="0" borderId="0" xfId="0" applyFont="1"/>
    <xf numFmtId="0" fontId="27" fillId="0" borderId="5" xfId="0" applyFont="1" applyBorder="1"/>
    <xf numFmtId="1" fontId="27" fillId="2" borderId="5" xfId="0" applyNumberFormat="1" applyFont="1" applyFill="1" applyBorder="1"/>
    <xf numFmtId="0" fontId="27" fillId="0" borderId="5" xfId="0" applyFont="1" applyBorder="1" applyAlignment="1">
      <alignment wrapText="1"/>
    </xf>
    <xf numFmtId="2" fontId="27" fillId="0" borderId="5" xfId="0" applyNumberFormat="1" applyFont="1" applyBorder="1"/>
    <xf numFmtId="2" fontId="27" fillId="0" borderId="0" xfId="0" applyNumberFormat="1" applyFont="1"/>
    <xf numFmtId="1" fontId="27" fillId="0" borderId="0" xfId="0" applyNumberFormat="1" applyFont="1"/>
    <xf numFmtId="0" fontId="15" fillId="5" borderId="5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 wrapText="1"/>
    </xf>
    <xf numFmtId="2" fontId="14" fillId="3" borderId="5" xfId="0" applyNumberFormat="1" applyFont="1" applyFill="1" applyBorder="1" applyAlignment="1">
      <alignment horizontal="right" vertical="center" wrapText="1"/>
    </xf>
    <xf numFmtId="0" fontId="14" fillId="3" borderId="5" xfId="0" applyFont="1" applyFill="1" applyBorder="1" applyAlignment="1">
      <alignment horizontal="right" vertical="center"/>
    </xf>
    <xf numFmtId="2" fontId="14" fillId="3" borderId="5" xfId="0" applyNumberFormat="1" applyFont="1" applyFill="1" applyBorder="1" applyAlignment="1">
      <alignment horizontal="right" vertical="center"/>
    </xf>
    <xf numFmtId="43" fontId="14" fillId="3" borderId="5" xfId="0" applyNumberFormat="1" applyFont="1" applyFill="1" applyBorder="1" applyAlignment="1">
      <alignment horizontal="right" vertical="center"/>
    </xf>
    <xf numFmtId="0" fontId="23" fillId="6" borderId="13" xfId="0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5" fillId="2" borderId="11" xfId="0" applyNumberFormat="1" applyFont="1" applyFill="1" applyBorder="1" applyAlignment="1">
      <alignment vertical="center"/>
    </xf>
    <xf numFmtId="2" fontId="5" fillId="2" borderId="5" xfId="0" applyNumberFormat="1" applyFont="1" applyFill="1" applyBorder="1" applyAlignment="1">
      <alignment vertical="center"/>
    </xf>
    <xf numFmtId="43" fontId="6" fillId="2" borderId="12" xfId="0" applyNumberFormat="1" applyFont="1" applyFill="1" applyBorder="1" applyAlignment="1">
      <alignment horizontal="center" vertical="center"/>
    </xf>
    <xf numFmtId="164" fontId="29" fillId="0" borderId="5" xfId="1" applyFont="1" applyBorder="1" applyAlignment="1"/>
    <xf numFmtId="0" fontId="25" fillId="0" borderId="5" xfId="0" applyFont="1" applyBorder="1"/>
    <xf numFmtId="1" fontId="27" fillId="2" borderId="0" xfId="1" applyNumberFormat="1" applyFont="1" applyFill="1" applyBorder="1" applyAlignment="1">
      <alignment vertical="center"/>
    </xf>
    <xf numFmtId="170" fontId="6" fillId="2" borderId="5" xfId="0" applyNumberFormat="1" applyFont="1" applyFill="1" applyBorder="1" applyAlignment="1">
      <alignment horizontal="center" vertical="center"/>
    </xf>
    <xf numFmtId="170" fontId="0" fillId="0" borderId="11" xfId="0" applyNumberFormat="1" applyBorder="1"/>
    <xf numFmtId="43" fontId="30" fillId="0" borderId="0" xfId="0" applyNumberFormat="1" applyFont="1"/>
    <xf numFmtId="2" fontId="14" fillId="3" borderId="17" xfId="0" applyNumberFormat="1" applyFont="1" applyFill="1" applyBorder="1" applyAlignment="1">
      <alignment horizontal="center" vertical="center"/>
    </xf>
    <xf numFmtId="2" fontId="0" fillId="0" borderId="11" xfId="0" applyNumberFormat="1" applyBorder="1"/>
    <xf numFmtId="0" fontId="19" fillId="0" borderId="12" xfId="0" applyFont="1" applyBorder="1"/>
    <xf numFmtId="2" fontId="22" fillId="6" borderId="25" xfId="0" applyNumberFormat="1" applyFont="1" applyFill="1" applyBorder="1" applyAlignment="1">
      <alignment horizontal="right"/>
    </xf>
    <xf numFmtId="0" fontId="4" fillId="2" borderId="31" xfId="0" applyFont="1" applyFill="1" applyBorder="1"/>
    <xf numFmtId="0" fontId="19" fillId="0" borderId="11" xfId="0" applyFont="1" applyBorder="1"/>
    <xf numFmtId="0" fontId="19" fillId="2" borderId="13" xfId="0" applyFont="1" applyFill="1" applyBorder="1"/>
    <xf numFmtId="0" fontId="19" fillId="2" borderId="12" xfId="0" applyFont="1" applyFill="1" applyBorder="1"/>
    <xf numFmtId="166" fontId="29" fillId="0" borderId="5" xfId="0" applyNumberFormat="1" applyFont="1" applyBorder="1" applyAlignment="1">
      <alignment horizontal="center"/>
    </xf>
    <xf numFmtId="0" fontId="26" fillId="8" borderId="5" xfId="0" applyFont="1" applyFill="1" applyBorder="1"/>
    <xf numFmtId="2" fontId="26" fillId="8" borderId="5" xfId="0" applyNumberFormat="1" applyFont="1" applyFill="1" applyBorder="1"/>
    <xf numFmtId="0" fontId="27" fillId="10" borderId="5" xfId="0" applyFont="1" applyFill="1" applyBorder="1"/>
    <xf numFmtId="164" fontId="29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0" fontId="30" fillId="0" borderId="0" xfId="0" applyFont="1"/>
    <xf numFmtId="1" fontId="0" fillId="0" borderId="0" xfId="0" applyNumberFormat="1"/>
    <xf numFmtId="0" fontId="29" fillId="0" borderId="5" xfId="0" applyFont="1" applyBorder="1"/>
    <xf numFmtId="0" fontId="19" fillId="0" borderId="33" xfId="0" applyFont="1" applyBorder="1"/>
    <xf numFmtId="164" fontId="4" fillId="0" borderId="10" xfId="0" applyNumberFormat="1" applyFont="1" applyBorder="1" applyAlignment="1">
      <alignment vertical="center"/>
    </xf>
    <xf numFmtId="166" fontId="4" fillId="0" borderId="13" xfId="0" applyNumberFormat="1" applyFont="1" applyBorder="1"/>
    <xf numFmtId="164" fontId="4" fillId="0" borderId="13" xfId="1" applyFont="1" applyBorder="1" applyAlignment="1">
      <alignment horizontal="center" vertical="top"/>
    </xf>
    <xf numFmtId="164" fontId="11" fillId="2" borderId="5" xfId="1" applyFont="1" applyFill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/>
    </xf>
    <xf numFmtId="0" fontId="4" fillId="0" borderId="12" xfId="0" applyFont="1" applyBorder="1"/>
    <xf numFmtId="164" fontId="20" fillId="0" borderId="2" xfId="1" applyFont="1" applyBorder="1" applyAlignment="1">
      <alignment horizontal="center"/>
    </xf>
    <xf numFmtId="16" fontId="0" fillId="0" borderId="0" xfId="0" applyNumberFormat="1"/>
    <xf numFmtId="0" fontId="31" fillId="0" borderId="5" xfId="0" applyFont="1" applyBorder="1"/>
    <xf numFmtId="0" fontId="4" fillId="2" borderId="11" xfId="0" applyFont="1" applyFill="1" applyBorder="1"/>
    <xf numFmtId="0" fontId="27" fillId="0" borderId="31" xfId="0" applyFont="1" applyBorder="1" applyAlignment="1">
      <alignment horizontal="center"/>
    </xf>
    <xf numFmtId="1" fontId="27" fillId="2" borderId="34" xfId="0" applyNumberFormat="1" applyFont="1" applyFill="1" applyBorder="1"/>
    <xf numFmtId="1" fontId="27" fillId="9" borderId="38" xfId="0" applyNumberFormat="1" applyFont="1" applyFill="1" applyBorder="1"/>
    <xf numFmtId="1" fontId="27" fillId="9" borderId="39" xfId="0" applyNumberFormat="1" applyFont="1" applyFill="1" applyBorder="1"/>
    <xf numFmtId="1" fontId="0" fillId="0" borderId="5" xfId="0" applyNumberFormat="1" applyBorder="1"/>
    <xf numFmtId="171" fontId="0" fillId="0" borderId="0" xfId="0" applyNumberFormat="1"/>
    <xf numFmtId="1" fontId="27" fillId="2" borderId="13" xfId="0" applyNumberFormat="1" applyFont="1" applyFill="1" applyBorder="1"/>
    <xf numFmtId="0" fontId="0" fillId="10" borderId="5" xfId="0" applyFill="1" applyBorder="1"/>
    <xf numFmtId="0" fontId="15" fillId="5" borderId="9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2" fontId="10" fillId="4" borderId="42" xfId="0" applyNumberFormat="1" applyFont="1" applyFill="1" applyBorder="1" applyAlignment="1">
      <alignment horizontal="center" vertical="center"/>
    </xf>
    <xf numFmtId="164" fontId="10" fillId="4" borderId="42" xfId="1" applyFont="1" applyFill="1" applyBorder="1" applyAlignment="1">
      <alignment horizontal="center" vertical="center"/>
    </xf>
    <xf numFmtId="164" fontId="10" fillId="4" borderId="43" xfId="1" applyFont="1" applyFill="1" applyBorder="1" applyAlignment="1">
      <alignment horizontal="center" vertical="center"/>
    </xf>
    <xf numFmtId="164" fontId="10" fillId="4" borderId="44" xfId="1" applyFont="1" applyFill="1" applyBorder="1" applyAlignment="1">
      <alignment horizontal="center" vertical="center"/>
    </xf>
    <xf numFmtId="164" fontId="11" fillId="0" borderId="0" xfId="1" applyFont="1" applyAlignment="1">
      <alignment horizontal="center" vertical="center"/>
    </xf>
    <xf numFmtId="0" fontId="18" fillId="0" borderId="0" xfId="0" applyFont="1"/>
    <xf numFmtId="1" fontId="27" fillId="2" borderId="5" xfId="1" applyNumberFormat="1" applyFont="1" applyFill="1" applyBorder="1" applyAlignment="1">
      <alignment vertical="center"/>
    </xf>
    <xf numFmtId="1" fontId="27" fillId="2" borderId="10" xfId="0" applyNumberFormat="1" applyFont="1" applyFill="1" applyBorder="1"/>
    <xf numFmtId="1" fontId="27" fillId="2" borderId="11" xfId="0" applyNumberFormat="1" applyFont="1" applyFill="1" applyBorder="1"/>
    <xf numFmtId="1" fontId="27" fillId="2" borderId="17" xfId="1" applyNumberFormat="1" applyFont="1" applyFill="1" applyBorder="1" applyAlignment="1">
      <alignment vertical="center"/>
    </xf>
    <xf numFmtId="0" fontId="0" fillId="2" borderId="0" xfId="0" applyFill="1"/>
    <xf numFmtId="2" fontId="32" fillId="2" borderId="5" xfId="0" applyNumberFormat="1" applyFont="1" applyFill="1" applyBorder="1" applyAlignment="1">
      <alignment horizontal="center" vertical="center"/>
    </xf>
    <xf numFmtId="171" fontId="0" fillId="0" borderId="5" xfId="0" applyNumberFormat="1" applyBorder="1"/>
    <xf numFmtId="0" fontId="32" fillId="11" borderId="5" xfId="0" applyFont="1" applyFill="1" applyBorder="1" applyAlignment="1">
      <alignment horizontal="center" vertical="center" wrapText="1"/>
    </xf>
    <xf numFmtId="2" fontId="32" fillId="11" borderId="5" xfId="0" applyNumberFormat="1" applyFont="1" applyFill="1" applyBorder="1" applyAlignment="1">
      <alignment horizontal="left" vertical="center" wrapText="1"/>
    </xf>
    <xf numFmtId="2" fontId="32" fillId="11" borderId="5" xfId="0" applyNumberFormat="1" applyFont="1" applyFill="1" applyBorder="1" applyAlignment="1">
      <alignment horizontal="center" vertical="center" wrapText="1"/>
    </xf>
    <xf numFmtId="2" fontId="32" fillId="11" borderId="5" xfId="0" applyNumberFormat="1" applyFont="1" applyFill="1" applyBorder="1" applyAlignment="1">
      <alignment horizontal="center" vertical="center"/>
    </xf>
    <xf numFmtId="14" fontId="32" fillId="11" borderId="5" xfId="0" applyNumberFormat="1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 wrapText="1"/>
    </xf>
    <xf numFmtId="2" fontId="32" fillId="2" borderId="5" xfId="0" applyNumberFormat="1" applyFont="1" applyFill="1" applyBorder="1" applyAlignment="1">
      <alignment horizontal="left" vertical="center" wrapText="1"/>
    </xf>
    <xf numFmtId="2" fontId="32" fillId="2" borderId="5" xfId="0" applyNumberFormat="1" applyFont="1" applyFill="1" applyBorder="1" applyAlignment="1">
      <alignment horizontal="center" vertical="center" wrapText="1"/>
    </xf>
    <xf numFmtId="2" fontId="35" fillId="2" borderId="5" xfId="0" applyNumberFormat="1" applyFont="1" applyFill="1" applyBorder="1" applyAlignment="1">
      <alignment horizontal="center" vertical="center" wrapText="1"/>
    </xf>
    <xf numFmtId="14" fontId="32" fillId="2" borderId="5" xfId="0" applyNumberFormat="1" applyFont="1" applyFill="1" applyBorder="1" applyAlignment="1">
      <alignment horizontal="center" vertical="center"/>
    </xf>
    <xf numFmtId="0" fontId="34" fillId="7" borderId="5" xfId="0" applyFont="1" applyFill="1" applyBorder="1"/>
    <xf numFmtId="0" fontId="34" fillId="6" borderId="5" xfId="0" applyFont="1" applyFill="1" applyBorder="1"/>
    <xf numFmtId="171" fontId="19" fillId="0" borderId="5" xfId="0" applyNumberFormat="1" applyFont="1" applyBorder="1"/>
    <xf numFmtId="0" fontId="34" fillId="9" borderId="5" xfId="0" applyFont="1" applyFill="1" applyBorder="1"/>
    <xf numFmtId="4" fontId="0" fillId="0" borderId="5" xfId="0" applyNumberFormat="1" applyBorder="1" applyAlignment="1">
      <alignment horizontal="right"/>
    </xf>
    <xf numFmtId="0" fontId="36" fillId="0" borderId="5" xfId="0" applyFont="1" applyBorder="1"/>
    <xf numFmtId="171" fontId="6" fillId="0" borderId="12" xfId="0" applyNumberFormat="1" applyFont="1" applyBorder="1"/>
    <xf numFmtId="1" fontId="27" fillId="2" borderId="12" xfId="0" applyNumberFormat="1" applyFont="1" applyFill="1" applyBorder="1"/>
    <xf numFmtId="164" fontId="4" fillId="0" borderId="10" xfId="1" applyFont="1" applyBorder="1" applyAlignment="1">
      <alignment horizontal="center" vertical="top"/>
    </xf>
    <xf numFmtId="0" fontId="19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2" fontId="0" fillId="0" borderId="33" xfId="0" applyNumberFormat="1" applyBorder="1" applyAlignment="1">
      <alignment horizontal="right"/>
    </xf>
    <xf numFmtId="0" fontId="25" fillId="0" borderId="5" xfId="0" applyFont="1" applyBorder="1" applyAlignment="1">
      <alignment horizontal="center" vertical="center"/>
    </xf>
    <xf numFmtId="3" fontId="0" fillId="0" borderId="0" xfId="0" applyNumberFormat="1"/>
    <xf numFmtId="4" fontId="0" fillId="0" borderId="13" xfId="0" applyNumberFormat="1" applyBorder="1" applyAlignment="1">
      <alignment horizontal="right"/>
    </xf>
    <xf numFmtId="43" fontId="4" fillId="2" borderId="13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4" fontId="19" fillId="0" borderId="11" xfId="0" applyNumberFormat="1" applyFont="1" applyBorder="1"/>
    <xf numFmtId="164" fontId="11" fillId="0" borderId="33" xfId="1" applyFont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0" fontId="19" fillId="0" borderId="2" xfId="0" applyFont="1" applyBorder="1"/>
    <xf numFmtId="2" fontId="25" fillId="0" borderId="5" xfId="0" applyNumberFormat="1" applyFont="1" applyBorder="1" applyAlignment="1">
      <alignment horizontal="center"/>
    </xf>
    <xf numFmtId="0" fontId="19" fillId="0" borderId="0" xfId="0" applyFont="1"/>
    <xf numFmtId="2" fontId="25" fillId="0" borderId="5" xfId="0" applyNumberFormat="1" applyFont="1" applyBorder="1" applyAlignment="1">
      <alignment horizontal="left" indent="1"/>
    </xf>
    <xf numFmtId="166" fontId="4" fillId="0" borderId="5" xfId="0" applyNumberFormat="1" applyFont="1" applyBorder="1" applyAlignment="1">
      <alignment horizontal="right"/>
    </xf>
    <xf numFmtId="172" fontId="29" fillId="0" borderId="11" xfId="0" applyNumberFormat="1" applyFont="1" applyBorder="1" applyAlignment="1">
      <alignment horizontal="left" vertical="center" wrapText="1"/>
    </xf>
    <xf numFmtId="1" fontId="0" fillId="0" borderId="5" xfId="0" applyNumberFormat="1" applyBorder="1" applyAlignment="1">
      <alignment horizontal="center"/>
    </xf>
    <xf numFmtId="166" fontId="29" fillId="0" borderId="5" xfId="0" applyNumberFormat="1" applyFont="1" applyBorder="1" applyAlignment="1">
      <alignment horizontal="right" vertical="center"/>
    </xf>
    <xf numFmtId="164" fontId="29" fillId="0" borderId="5" xfId="1" applyFont="1" applyBorder="1" applyAlignment="1">
      <alignment horizontal="right" vertical="center"/>
    </xf>
    <xf numFmtId="0" fontId="0" fillId="2" borderId="5" xfId="0" applyFill="1" applyBorder="1"/>
    <xf numFmtId="2" fontId="22" fillId="6" borderId="24" xfId="0" applyNumberFormat="1" applyFont="1" applyFill="1" applyBorder="1" applyAlignment="1">
      <alignment horizontal="right"/>
    </xf>
    <xf numFmtId="15" fontId="19" fillId="2" borderId="12" xfId="0" applyNumberFormat="1" applyFont="1" applyFill="1" applyBorder="1"/>
    <xf numFmtId="0" fontId="19" fillId="2" borderId="40" xfId="0" applyFont="1" applyFill="1" applyBorder="1"/>
    <xf numFmtId="0" fontId="0" fillId="0" borderId="12" xfId="0" applyBorder="1" applyAlignment="1">
      <alignment horizontal="right"/>
    </xf>
    <xf numFmtId="2" fontId="25" fillId="0" borderId="5" xfId="0" applyNumberFormat="1" applyFont="1" applyBorder="1"/>
    <xf numFmtId="0" fontId="7" fillId="0" borderId="12" xfId="0" applyFont="1" applyBorder="1" applyAlignment="1">
      <alignment horizontal="center" vertical="top"/>
    </xf>
    <xf numFmtId="2" fontId="0" fillId="0" borderId="5" xfId="0" applyNumberFormat="1" applyBorder="1" applyAlignment="1">
      <alignment horizontal="left"/>
    </xf>
    <xf numFmtId="0" fontId="5" fillId="0" borderId="5" xfId="0" applyFont="1" applyBorder="1"/>
    <xf numFmtId="0" fontId="6" fillId="0" borderId="2" xfId="0" applyFont="1" applyBorder="1"/>
    <xf numFmtId="0" fontId="19" fillId="0" borderId="13" xfId="0" applyFont="1" applyBorder="1"/>
    <xf numFmtId="2" fontId="0" fillId="0" borderId="13" xfId="0" applyNumberFormat="1" applyBorder="1" applyAlignment="1">
      <alignment horizontal="right"/>
    </xf>
    <xf numFmtId="0" fontId="19" fillId="0" borderId="23" xfId="0" applyFont="1" applyBorder="1"/>
    <xf numFmtId="2" fontId="0" fillId="0" borderId="24" xfId="0" applyNumberFormat="1" applyBorder="1" applyAlignment="1">
      <alignment horizontal="right"/>
    </xf>
    <xf numFmtId="0" fontId="19" fillId="0" borderId="25" xfId="0" applyFont="1" applyBorder="1"/>
    <xf numFmtId="0" fontId="19" fillId="0" borderId="24" xfId="0" applyFont="1" applyBorder="1"/>
    <xf numFmtId="2" fontId="0" fillId="0" borderId="21" xfId="0" applyNumberFormat="1" applyBorder="1" applyAlignment="1">
      <alignment horizontal="right"/>
    </xf>
    <xf numFmtId="0" fontId="19" fillId="0" borderId="21" xfId="0" applyFont="1" applyBorder="1"/>
    <xf numFmtId="15" fontId="19" fillId="2" borderId="13" xfId="0" applyNumberFormat="1" applyFont="1" applyFill="1" applyBorder="1"/>
    <xf numFmtId="0" fontId="6" fillId="0" borderId="40" xfId="0" applyFont="1" applyBorder="1"/>
    <xf numFmtId="0" fontId="19" fillId="0" borderId="40" xfId="0" applyFont="1" applyBorder="1"/>
    <xf numFmtId="15" fontId="19" fillId="2" borderId="23" xfId="0" applyNumberFormat="1" applyFont="1" applyFill="1" applyBorder="1"/>
    <xf numFmtId="15" fontId="19" fillId="2" borderId="10" xfId="0" applyNumberFormat="1" applyFont="1" applyFill="1" applyBorder="1"/>
    <xf numFmtId="15" fontId="19" fillId="2" borderId="27" xfId="0" applyNumberFormat="1" applyFont="1" applyFill="1" applyBorder="1"/>
    <xf numFmtId="2" fontId="0" fillId="2" borderId="24" xfId="0" applyNumberFormat="1" applyFill="1" applyBorder="1" applyAlignment="1">
      <alignment horizontal="right"/>
    </xf>
    <xf numFmtId="2" fontId="0" fillId="2" borderId="11" xfId="0" applyNumberFormat="1" applyFill="1" applyBorder="1" applyAlignment="1">
      <alignment horizontal="right"/>
    </xf>
    <xf numFmtId="2" fontId="0" fillId="2" borderId="33" xfId="0" applyNumberFormat="1" applyFill="1" applyBorder="1" applyAlignment="1">
      <alignment horizontal="right"/>
    </xf>
    <xf numFmtId="0" fontId="19" fillId="0" borderId="46" xfId="0" applyFont="1" applyBorder="1"/>
    <xf numFmtId="2" fontId="0" fillId="2" borderId="13" xfId="0" applyNumberForma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0" fontId="37" fillId="0" borderId="2" xfId="0" applyFont="1" applyBorder="1"/>
    <xf numFmtId="0" fontId="0" fillId="0" borderId="13" xfId="0" applyBorder="1" applyAlignment="1">
      <alignment horizontal="right"/>
    </xf>
    <xf numFmtId="0" fontId="17" fillId="0" borderId="5" xfId="0" applyFont="1" applyBorder="1"/>
    <xf numFmtId="0" fontId="13" fillId="0" borderId="5" xfId="0" applyFont="1" applyBorder="1"/>
    <xf numFmtId="2" fontId="13" fillId="0" borderId="5" xfId="0" applyNumberFormat="1" applyFont="1" applyBorder="1"/>
    <xf numFmtId="14" fontId="4" fillId="0" borderId="13" xfId="0" applyNumberFormat="1" applyFont="1" applyBorder="1"/>
    <xf numFmtId="14" fontId="4" fillId="0" borderId="5" xfId="0" applyNumberFormat="1" applyFont="1" applyBorder="1"/>
    <xf numFmtId="0" fontId="38" fillId="0" borderId="5" xfId="0" applyFont="1" applyBorder="1"/>
    <xf numFmtId="0" fontId="39" fillId="0" borderId="5" xfId="0" applyFont="1" applyBorder="1"/>
    <xf numFmtId="2" fontId="40" fillId="0" borderId="5" xfId="0" applyNumberFormat="1" applyFont="1" applyBorder="1"/>
    <xf numFmtId="0" fontId="0" fillId="0" borderId="10" xfId="0" applyBorder="1" applyAlignment="1">
      <alignment horizontal="center"/>
    </xf>
    <xf numFmtId="0" fontId="25" fillId="0" borderId="13" xfId="0" applyFont="1" applyBorder="1" applyAlignment="1">
      <alignment horizontal="center" vertical="center"/>
    </xf>
    <xf numFmtId="166" fontId="25" fillId="0" borderId="13" xfId="0" applyNumberFormat="1" applyFont="1" applyBorder="1" applyAlignment="1">
      <alignment horizontal="center"/>
    </xf>
    <xf numFmtId="2" fontId="0" fillId="0" borderId="10" xfId="0" applyNumberFormat="1" applyBorder="1"/>
    <xf numFmtId="166" fontId="37" fillId="0" borderId="5" xfId="0" applyNumberFormat="1" applyFont="1" applyBorder="1" applyAlignment="1">
      <alignment horizontal="center"/>
    </xf>
    <xf numFmtId="1" fontId="27" fillId="2" borderId="12" xfId="1" applyNumberFormat="1" applyFont="1" applyFill="1" applyBorder="1" applyAlignment="1">
      <alignment vertical="center"/>
    </xf>
    <xf numFmtId="0" fontId="19" fillId="10" borderId="5" xfId="0" applyFont="1" applyFill="1" applyBorder="1"/>
    <xf numFmtId="166" fontId="37" fillId="0" borderId="13" xfId="0" applyNumberFormat="1" applyFont="1" applyBorder="1" applyAlignment="1">
      <alignment horizontal="left"/>
    </xf>
    <xf numFmtId="0" fontId="37" fillId="0" borderId="13" xfId="0" applyFont="1" applyBorder="1" applyAlignment="1">
      <alignment horizontal="left"/>
    </xf>
    <xf numFmtId="2" fontId="25" fillId="2" borderId="5" xfId="0" applyNumberFormat="1" applyFont="1" applyFill="1" applyBorder="1" applyAlignment="1">
      <alignment horizontal="center"/>
    </xf>
    <xf numFmtId="0" fontId="25" fillId="2" borderId="5" xfId="0" applyFont="1" applyFill="1" applyBorder="1"/>
    <xf numFmtId="166" fontId="25" fillId="0" borderId="12" xfId="0" applyNumberFormat="1" applyFont="1" applyBorder="1" applyAlignment="1">
      <alignment horizontal="left" indent="1"/>
    </xf>
    <xf numFmtId="166" fontId="25" fillId="0" borderId="5" xfId="0" applyNumberFormat="1" applyFont="1" applyBorder="1" applyAlignment="1">
      <alignment horizontal="left" indent="1"/>
    </xf>
    <xf numFmtId="166" fontId="25" fillId="0" borderId="5" xfId="0" applyNumberFormat="1" applyFont="1" applyBorder="1" applyAlignment="1">
      <alignment horizontal="center" indent="1"/>
    </xf>
    <xf numFmtId="166" fontId="29" fillId="0" borderId="5" xfId="0" applyNumberFormat="1" applyFont="1" applyBorder="1" applyAlignment="1">
      <alignment horizontal="center" vertical="center"/>
    </xf>
    <xf numFmtId="1" fontId="29" fillId="0" borderId="5" xfId="0" applyNumberFormat="1" applyFont="1" applyBorder="1" applyAlignment="1">
      <alignment horizontal="center" vertical="center"/>
    </xf>
    <xf numFmtId="43" fontId="4" fillId="0" borderId="0" xfId="0" applyNumberFormat="1" applyFont="1"/>
    <xf numFmtId="4" fontId="19" fillId="0" borderId="5" xfId="0" applyNumberFormat="1" applyFont="1" applyBorder="1"/>
    <xf numFmtId="4" fontId="19" fillId="0" borderId="24" xfId="0" applyNumberFormat="1" applyFont="1" applyBorder="1"/>
    <xf numFmtId="1" fontId="0" fillId="0" borderId="10" xfId="0" applyNumberFormat="1" applyBorder="1"/>
    <xf numFmtId="0" fontId="13" fillId="0" borderId="5" xfId="0" quotePrefix="1" applyFont="1" applyBorder="1"/>
    <xf numFmtId="0" fontId="6" fillId="0" borderId="5" xfId="0" quotePrefix="1" applyFont="1" applyBorder="1"/>
    <xf numFmtId="166" fontId="37" fillId="0" borderId="2" xfId="0" applyNumberFormat="1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165" fontId="4" fillId="0" borderId="47" xfId="0" applyNumberFormat="1" applyFont="1" applyBorder="1" applyAlignment="1">
      <alignment horizontal="center"/>
    </xf>
    <xf numFmtId="2" fontId="10" fillId="4" borderId="48" xfId="0" applyNumberFormat="1" applyFont="1" applyFill="1" applyBorder="1" applyAlignment="1">
      <alignment horizontal="center" vertical="center"/>
    </xf>
    <xf numFmtId="2" fontId="10" fillId="4" borderId="49" xfId="0" applyNumberFormat="1" applyFont="1" applyFill="1" applyBorder="1" applyAlignment="1">
      <alignment horizontal="center" vertical="center"/>
    </xf>
    <xf numFmtId="2" fontId="10" fillId="4" borderId="50" xfId="0" applyNumberFormat="1" applyFont="1" applyFill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/>
    </xf>
    <xf numFmtId="164" fontId="4" fillId="0" borderId="8" xfId="1" applyFont="1" applyBorder="1" applyAlignment="1">
      <alignment vertical="center"/>
    </xf>
    <xf numFmtId="164" fontId="4" fillId="0" borderId="4" xfId="1" applyFont="1" applyBorder="1" applyAlignment="1">
      <alignment vertical="center"/>
    </xf>
    <xf numFmtId="164" fontId="4" fillId="0" borderId="18" xfId="1" applyFont="1" applyBorder="1" applyAlignment="1">
      <alignment vertical="center"/>
    </xf>
    <xf numFmtId="164" fontId="4" fillId="0" borderId="11" xfId="1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164" fontId="4" fillId="0" borderId="51" xfId="1" applyFont="1" applyBorder="1" applyAlignment="1">
      <alignment horizontal="center" vertical="center"/>
    </xf>
    <xf numFmtId="164" fontId="5" fillId="4" borderId="27" xfId="1" applyFont="1" applyFill="1" applyBorder="1" applyAlignment="1">
      <alignment horizontal="center" vertical="center"/>
    </xf>
    <xf numFmtId="164" fontId="5" fillId="4" borderId="33" xfId="1" applyFont="1" applyFill="1" applyBorder="1" applyAlignment="1">
      <alignment horizontal="center" vertical="center"/>
    </xf>
    <xf numFmtId="164" fontId="4" fillId="0" borderId="16" xfId="1" applyFont="1" applyBorder="1" applyAlignment="1">
      <alignment horizontal="center" vertical="top"/>
    </xf>
    <xf numFmtId="43" fontId="4" fillId="2" borderId="10" xfId="0" applyNumberFormat="1" applyFont="1" applyFill="1" applyBorder="1" applyAlignment="1">
      <alignment horizontal="center" vertical="center" wrapText="1"/>
    </xf>
    <xf numFmtId="164" fontId="4" fillId="0" borderId="10" xfId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6" fillId="0" borderId="11" xfId="0" applyFont="1" applyBorder="1"/>
    <xf numFmtId="43" fontId="12" fillId="3" borderId="13" xfId="0" applyNumberFormat="1" applyFont="1" applyFill="1" applyBorder="1" applyAlignment="1">
      <alignment horizontal="center" vertical="center"/>
    </xf>
    <xf numFmtId="43" fontId="4" fillId="2" borderId="12" xfId="0" applyNumberFormat="1" applyFont="1" applyFill="1" applyBorder="1" applyAlignment="1">
      <alignment horizontal="center" vertical="center"/>
    </xf>
    <xf numFmtId="164" fontId="41" fillId="2" borderId="5" xfId="0" applyNumberFormat="1" applyFont="1" applyFill="1" applyBorder="1"/>
    <xf numFmtId="164" fontId="41" fillId="2" borderId="7" xfId="0" applyNumberFormat="1" applyFont="1" applyFill="1" applyBorder="1"/>
    <xf numFmtId="169" fontId="4" fillId="0" borderId="5" xfId="1" applyNumberFormat="1" applyFont="1" applyBorder="1" applyAlignment="1">
      <alignment horizontal="center" vertical="center"/>
    </xf>
    <xf numFmtId="169" fontId="4" fillId="0" borderId="5" xfId="1" applyNumberFormat="1" applyFont="1" applyBorder="1" applyAlignment="1">
      <alignment horizontal="center" vertical="top"/>
    </xf>
    <xf numFmtId="0" fontId="13" fillId="0" borderId="10" xfId="0" quotePrefix="1" applyFont="1" applyBorder="1"/>
    <xf numFmtId="0" fontId="13" fillId="0" borderId="13" xfId="0" applyFont="1" applyBorder="1"/>
    <xf numFmtId="0" fontId="13" fillId="0" borderId="12" xfId="0" applyFont="1" applyBorder="1"/>
    <xf numFmtId="166" fontId="37" fillId="10" borderId="2" xfId="0" applyNumberFormat="1" applyFont="1" applyFill="1" applyBorder="1" applyAlignment="1">
      <alignment horizontal="center"/>
    </xf>
    <xf numFmtId="0" fontId="37" fillId="10" borderId="2" xfId="0" applyFont="1" applyFill="1" applyBorder="1"/>
    <xf numFmtId="166" fontId="20" fillId="0" borderId="5" xfId="0" applyNumberFormat="1" applyFont="1" applyBorder="1" applyAlignment="1">
      <alignment horizontal="center"/>
    </xf>
    <xf numFmtId="0" fontId="6" fillId="12" borderId="5" xfId="0" applyFont="1" applyFill="1" applyBorder="1"/>
    <xf numFmtId="169" fontId="4" fillId="0" borderId="12" xfId="1" applyNumberFormat="1" applyFont="1" applyBorder="1" applyAlignment="1">
      <alignment horizontal="center" vertical="center"/>
    </xf>
    <xf numFmtId="0" fontId="2" fillId="0" borderId="5" xfId="4" applyBorder="1"/>
    <xf numFmtId="0" fontId="27" fillId="0" borderId="10" xfId="0" applyFont="1" applyBorder="1"/>
    <xf numFmtId="0" fontId="27" fillId="0" borderId="13" xfId="0" applyFont="1" applyBorder="1"/>
    <xf numFmtId="1" fontId="27" fillId="2" borderId="52" xfId="0" applyNumberFormat="1" applyFont="1" applyFill="1" applyBorder="1"/>
    <xf numFmtId="0" fontId="27" fillId="0" borderId="12" xfId="0" applyFont="1" applyBorder="1"/>
    <xf numFmtId="1" fontId="27" fillId="2" borderId="53" xfId="0" applyNumberFormat="1" applyFont="1" applyFill="1" applyBorder="1"/>
    <xf numFmtId="165" fontId="19" fillId="0" borderId="2" xfId="0" applyNumberFormat="1" applyFont="1" applyBorder="1" applyAlignment="1">
      <alignment horizontal="center" vertical="center"/>
    </xf>
    <xf numFmtId="0" fontId="25" fillId="0" borderId="2" xfId="0" applyFont="1" applyBorder="1"/>
    <xf numFmtId="0" fontId="25" fillId="0" borderId="2" xfId="0" applyFont="1" applyBorder="1" applyAlignment="1">
      <alignment horizontal="center"/>
    </xf>
    <xf numFmtId="166" fontId="25" fillId="0" borderId="2" xfId="0" applyNumberFormat="1" applyFont="1" applyBorder="1"/>
    <xf numFmtId="166" fontId="25" fillId="0" borderId="2" xfId="0" applyNumberFormat="1" applyFont="1" applyBorder="1" applyAlignment="1">
      <alignment horizontal="center"/>
    </xf>
    <xf numFmtId="164" fontId="25" fillId="0" borderId="2" xfId="1" applyFont="1" applyBorder="1" applyAlignment="1"/>
    <xf numFmtId="0" fontId="0" fillId="2" borderId="2" xfId="0" applyFill="1" applyBorder="1"/>
    <xf numFmtId="0" fontId="25" fillId="2" borderId="2" xfId="0" applyFont="1" applyFill="1" applyBorder="1" applyAlignment="1">
      <alignment horizontal="center"/>
    </xf>
    <xf numFmtId="166" fontId="25" fillId="2" borderId="2" xfId="0" applyNumberFormat="1" applyFont="1" applyFill="1" applyBorder="1" applyAlignment="1">
      <alignment horizontal="center"/>
    </xf>
    <xf numFmtId="166" fontId="25" fillId="2" borderId="2" xfId="0" applyNumberFormat="1" applyFont="1" applyFill="1" applyBorder="1"/>
    <xf numFmtId="0" fontId="0" fillId="0" borderId="2" xfId="0" applyBorder="1"/>
    <xf numFmtId="2" fontId="0" fillId="0" borderId="2" xfId="0" applyNumberFormat="1" applyBorder="1"/>
    <xf numFmtId="0" fontId="25" fillId="2" borderId="2" xfId="0" applyFont="1" applyFill="1" applyBorder="1"/>
    <xf numFmtId="0" fontId="25" fillId="2" borderId="2" xfId="0" applyFont="1" applyFill="1" applyBorder="1" applyAlignment="1">
      <alignment horizontal="left"/>
    </xf>
    <xf numFmtId="0" fontId="25" fillId="0" borderId="6" xfId="0" applyFont="1" applyBorder="1" applyAlignment="1">
      <alignment horizontal="center"/>
    </xf>
    <xf numFmtId="166" fontId="25" fillId="0" borderId="6" xfId="0" applyNumberFormat="1" applyFont="1" applyBorder="1"/>
    <xf numFmtId="166" fontId="25" fillId="0" borderId="6" xfId="0" applyNumberFormat="1" applyFont="1" applyBorder="1" applyAlignment="1">
      <alignment horizontal="center"/>
    </xf>
    <xf numFmtId="173" fontId="25" fillId="0" borderId="6" xfId="0" applyNumberFormat="1" applyFont="1" applyBorder="1"/>
    <xf numFmtId="166" fontId="25" fillId="2" borderId="6" xfId="0" applyNumberFormat="1" applyFont="1" applyFill="1" applyBorder="1"/>
    <xf numFmtId="0" fontId="0" fillId="2" borderId="2" xfId="0" applyFill="1" applyBorder="1" applyAlignment="1">
      <alignment horizontal="left"/>
    </xf>
    <xf numFmtId="164" fontId="2" fillId="0" borderId="2" xfId="1" applyFont="1" applyFill="1" applyBorder="1" applyAlignment="1"/>
    <xf numFmtId="164" fontId="0" fillId="0" borderId="2" xfId="1" applyFont="1" applyFill="1" applyBorder="1" applyAlignment="1"/>
    <xf numFmtId="0" fontId="25" fillId="2" borderId="6" xfId="0" applyFont="1" applyFill="1" applyBorder="1" applyAlignment="1">
      <alignment horizontal="center"/>
    </xf>
    <xf numFmtId="164" fontId="2" fillId="0" borderId="6" xfId="1" applyFont="1" applyFill="1" applyBorder="1" applyAlignment="1"/>
    <xf numFmtId="164" fontId="0" fillId="2" borderId="6" xfId="1" applyFont="1" applyFill="1" applyBorder="1" applyAlignment="1"/>
    <xf numFmtId="166" fontId="25" fillId="0" borderId="6" xfId="0" applyNumberFormat="1" applyFont="1" applyBorder="1" applyAlignment="1">
      <alignment horizontal="center" vertical="center"/>
    </xf>
    <xf numFmtId="166" fontId="25" fillId="0" borderId="6" xfId="0" applyNumberFormat="1" applyFont="1" applyBorder="1" applyAlignment="1">
      <alignment vertical="center"/>
    </xf>
    <xf numFmtId="165" fontId="19" fillId="2" borderId="2" xfId="0" applyNumberFormat="1" applyFont="1" applyFill="1" applyBorder="1" applyAlignment="1">
      <alignment horizontal="center" vertical="center"/>
    </xf>
    <xf numFmtId="166" fontId="25" fillId="2" borderId="6" xfId="0" applyNumberFormat="1" applyFont="1" applyFill="1" applyBorder="1" applyAlignment="1">
      <alignment horizontal="center"/>
    </xf>
    <xf numFmtId="164" fontId="25" fillId="2" borderId="2" xfId="1" applyFont="1" applyFill="1" applyBorder="1" applyAlignment="1"/>
    <xf numFmtId="165" fontId="19" fillId="10" borderId="2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0" fontId="25" fillId="10" borderId="6" xfId="0" applyFont="1" applyFill="1" applyBorder="1" applyAlignment="1">
      <alignment horizontal="center"/>
    </xf>
    <xf numFmtId="166" fontId="25" fillId="10" borderId="6" xfId="0" applyNumberFormat="1" applyFont="1" applyFill="1" applyBorder="1"/>
    <xf numFmtId="166" fontId="25" fillId="10" borderId="6" xfId="0" applyNumberFormat="1" applyFont="1" applyFill="1" applyBorder="1" applyAlignment="1">
      <alignment horizontal="center"/>
    </xf>
    <xf numFmtId="164" fontId="25" fillId="10" borderId="2" xfId="1" applyFont="1" applyFill="1" applyBorder="1" applyAlignment="1"/>
    <xf numFmtId="164" fontId="25" fillId="0" borderId="2" xfId="1" applyFont="1" applyFill="1" applyBorder="1" applyAlignment="1"/>
    <xf numFmtId="165" fontId="19" fillId="0" borderId="6" xfId="0" applyNumberFormat="1" applyFont="1" applyBorder="1" applyAlignment="1">
      <alignment horizontal="center" vertical="center"/>
    </xf>
    <xf numFmtId="0" fontId="27" fillId="2" borderId="0" xfId="0" applyFont="1" applyFill="1"/>
    <xf numFmtId="166" fontId="20" fillId="0" borderId="5" xfId="0" applyNumberFormat="1" applyFont="1" applyBorder="1" applyAlignment="1">
      <alignment horizontal="center" indent="1"/>
    </xf>
    <xf numFmtId="2" fontId="7" fillId="0" borderId="5" xfId="0" applyNumberFormat="1" applyFont="1" applyBorder="1"/>
    <xf numFmtId="4" fontId="0" fillId="0" borderId="5" xfId="0" applyNumberFormat="1" applyBorder="1"/>
    <xf numFmtId="164" fontId="25" fillId="0" borderId="6" xfId="1" applyFont="1" applyBorder="1" applyAlignment="1">
      <alignment horizontal="center"/>
    </xf>
    <xf numFmtId="164" fontId="25" fillId="0" borderId="2" xfId="1" applyFont="1" applyBorder="1" applyAlignment="1">
      <alignment horizontal="center"/>
    </xf>
    <xf numFmtId="164" fontId="0" fillId="2" borderId="2" xfId="1" applyFont="1" applyFill="1" applyBorder="1" applyAlignment="1"/>
    <xf numFmtId="164" fontId="25" fillId="2" borderId="6" xfId="1" applyFont="1" applyFill="1" applyBorder="1" applyAlignment="1">
      <alignment horizontal="center"/>
    </xf>
    <xf numFmtId="164" fontId="25" fillId="10" borderId="6" xfId="1" applyFont="1" applyFill="1" applyBorder="1" applyAlignment="1">
      <alignment horizontal="center"/>
    </xf>
    <xf numFmtId="1" fontId="27" fillId="2" borderId="23" xfId="0" applyNumberFormat="1" applyFont="1" applyFill="1" applyBorder="1"/>
    <xf numFmtId="1" fontId="27" fillId="2" borderId="27" xfId="0" applyNumberFormat="1" applyFont="1" applyFill="1" applyBorder="1"/>
    <xf numFmtId="165" fontId="4" fillId="10" borderId="5" xfId="0" applyNumberFormat="1" applyFont="1" applyFill="1" applyBorder="1" applyAlignment="1">
      <alignment horizontal="center" vertical="center"/>
    </xf>
    <xf numFmtId="15" fontId="0" fillId="0" borderId="13" xfId="0" applyNumberFormat="1" applyBorder="1"/>
    <xf numFmtId="15" fontId="0" fillId="0" borderId="5" xfId="0" applyNumberFormat="1" applyBorder="1"/>
    <xf numFmtId="2" fontId="0" fillId="10" borderId="0" xfId="0" applyNumberFormat="1" applyFill="1"/>
    <xf numFmtId="0" fontId="0" fillId="10" borderId="0" xfId="0" applyFill="1"/>
    <xf numFmtId="0" fontId="15" fillId="5" borderId="9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2" fontId="32" fillId="11" borderId="5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3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8" fillId="9" borderId="35" xfId="0" applyFont="1" applyFill="1" applyBorder="1" applyAlignment="1">
      <alignment horizontal="center"/>
    </xf>
    <xf numFmtId="0" fontId="28" fillId="9" borderId="36" xfId="0" applyFont="1" applyFill="1" applyBorder="1" applyAlignment="1">
      <alignment horizontal="center"/>
    </xf>
    <xf numFmtId="0" fontId="28" fillId="9" borderId="37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5" fillId="5" borderId="41" xfId="0" applyFont="1" applyFill="1" applyBorder="1" applyAlignment="1">
      <alignment horizontal="center" vertical="center"/>
    </xf>
    <xf numFmtId="164" fontId="42" fillId="10" borderId="13" xfId="1" applyFont="1" applyFill="1" applyBorder="1" applyAlignment="1">
      <alignment horizontal="center" vertical="center" wrapText="1"/>
    </xf>
    <xf numFmtId="164" fontId="42" fillId="10" borderId="40" xfId="1" applyFont="1" applyFill="1" applyBorder="1" applyAlignment="1">
      <alignment horizontal="center" vertical="center" wrapText="1"/>
    </xf>
    <xf numFmtId="164" fontId="42" fillId="10" borderId="12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8" fillId="0" borderId="24" xfId="0" applyFont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5" fillId="5" borderId="5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5" fillId="5" borderId="0" xfId="0" applyFont="1" applyFill="1" applyAlignment="1">
      <alignment horizontal="center" wrapText="1"/>
    </xf>
    <xf numFmtId="0" fontId="5" fillId="0" borderId="2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2" fontId="15" fillId="5" borderId="10" xfId="0" applyNumberFormat="1" applyFont="1" applyFill="1" applyBorder="1" applyAlignment="1">
      <alignment horizontal="center" vertical="center"/>
    </xf>
    <xf numFmtId="2" fontId="15" fillId="5" borderId="21" xfId="0" applyNumberFormat="1" applyFont="1" applyFill="1" applyBorder="1" applyAlignment="1">
      <alignment horizontal="center" vertical="center"/>
    </xf>
    <xf numFmtId="2" fontId="15" fillId="5" borderId="11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2" borderId="21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15" fillId="5" borderId="5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43" fontId="5" fillId="2" borderId="10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43" fontId="5" fillId="2" borderId="1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1" fillId="0" borderId="5" xfId="0" quotePrefix="1" applyFont="1" applyBorder="1" applyAlignment="1">
      <alignment horizontal="left" wrapText="1"/>
    </xf>
    <xf numFmtId="2" fontId="1" fillId="0" borderId="5" xfId="0" applyNumberFormat="1" applyFont="1" applyBorder="1"/>
    <xf numFmtId="0" fontId="1" fillId="0" borderId="5" xfId="0" applyFont="1" applyBorder="1"/>
    <xf numFmtId="0" fontId="1" fillId="0" borderId="13" xfId="0" applyFont="1" applyBorder="1"/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Normal" xfId="0" builtinId="0"/>
    <cellStyle name="Normal 3" xfId="4" xr:uid="{931265BE-D218-4258-80C5-9D4E7635D8EA}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797-301E-4D70-B954-BDEBA92A43C0}">
  <dimension ref="A2:AM18"/>
  <sheetViews>
    <sheetView workbookViewId="0">
      <pane xSplit="5" topLeftCell="AW1" activePane="topRight" state="frozen"/>
      <selection pane="topRight" activeCell="AF19" sqref="AF19"/>
    </sheetView>
  </sheetViews>
  <sheetFormatPr defaultRowHeight="15"/>
  <cols>
    <col min="2" max="2" width="16" bestFit="1" customWidth="1"/>
    <col min="3" max="3" width="17.42578125" bestFit="1" customWidth="1"/>
    <col min="4" max="4" width="24.85546875" customWidth="1"/>
    <col min="5" max="5" width="18" customWidth="1"/>
    <col min="7" max="7" width="11.28515625" bestFit="1" customWidth="1"/>
    <col min="8" max="8" width="11.140625" bestFit="1" customWidth="1"/>
  </cols>
  <sheetData>
    <row r="2" spans="1:39">
      <c r="A2" s="343" t="s">
        <v>0</v>
      </c>
      <c r="B2" s="344" t="s">
        <v>1</v>
      </c>
      <c r="C2" s="345" t="s">
        <v>2</v>
      </c>
      <c r="D2" s="345" t="s">
        <v>3</v>
      </c>
      <c r="E2" s="345" t="s">
        <v>3</v>
      </c>
      <c r="F2" s="345" t="s">
        <v>4</v>
      </c>
      <c r="G2" s="543" t="s">
        <v>5</v>
      </c>
      <c r="H2" s="543"/>
      <c r="I2" s="346" t="s">
        <v>6</v>
      </c>
      <c r="J2" s="346" t="s">
        <v>7</v>
      </c>
      <c r="K2" s="346" t="s">
        <v>8</v>
      </c>
      <c r="L2" s="346" t="s">
        <v>9</v>
      </c>
      <c r="M2" s="346" t="s">
        <v>10</v>
      </c>
      <c r="N2" s="346" t="s">
        <v>11</v>
      </c>
      <c r="O2" s="346" t="s">
        <v>12</v>
      </c>
      <c r="P2" s="346" t="s">
        <v>13</v>
      </c>
      <c r="Q2" s="346" t="s">
        <v>14</v>
      </c>
      <c r="R2" s="346" t="s">
        <v>15</v>
      </c>
      <c r="S2" s="346" t="s">
        <v>16</v>
      </c>
      <c r="T2" s="346" t="s">
        <v>17</v>
      </c>
      <c r="U2" s="346" t="s">
        <v>18</v>
      </c>
      <c r="V2" s="346" t="s">
        <v>19</v>
      </c>
      <c r="W2" s="346" t="s">
        <v>20</v>
      </c>
      <c r="X2" s="346" t="s">
        <v>21</v>
      </c>
      <c r="Y2" s="346" t="s">
        <v>22</v>
      </c>
      <c r="Z2" s="346" t="s">
        <v>23</v>
      </c>
      <c r="AA2" s="346" t="s">
        <v>24</v>
      </c>
      <c r="AB2" s="346" t="s">
        <v>25</v>
      </c>
      <c r="AC2" s="346" t="s">
        <v>26</v>
      </c>
      <c r="AD2" s="346" t="s">
        <v>27</v>
      </c>
      <c r="AE2" s="346" t="s">
        <v>28</v>
      </c>
      <c r="AF2" s="346" t="s">
        <v>29</v>
      </c>
      <c r="AG2" s="346" t="s">
        <v>30</v>
      </c>
      <c r="AH2" s="346" t="s">
        <v>31</v>
      </c>
      <c r="AI2" s="346" t="s">
        <v>32</v>
      </c>
      <c r="AJ2" s="346" t="s">
        <v>33</v>
      </c>
      <c r="AK2" s="346" t="s">
        <v>34</v>
      </c>
      <c r="AL2" s="346" t="s">
        <v>35</v>
      </c>
      <c r="AM2" s="347" t="s">
        <v>36</v>
      </c>
    </row>
    <row r="3" spans="1:39" s="340" customFormat="1">
      <c r="A3" s="348"/>
      <c r="B3" s="349"/>
      <c r="C3" s="350"/>
      <c r="D3" s="350"/>
      <c r="E3" s="350"/>
      <c r="F3" s="351" t="s">
        <v>37</v>
      </c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  <c r="AB3" s="341"/>
      <c r="AC3" s="341"/>
      <c r="AD3" s="341"/>
      <c r="AE3" s="341"/>
      <c r="AF3" s="341"/>
      <c r="AG3" s="341"/>
      <c r="AH3" s="341"/>
      <c r="AI3" s="341"/>
      <c r="AJ3" s="341"/>
      <c r="AK3" s="341"/>
      <c r="AL3" s="341"/>
      <c r="AM3" s="352"/>
    </row>
    <row r="4" spans="1:39" ht="15.75">
      <c r="A4" s="546">
        <v>1</v>
      </c>
      <c r="B4" s="544" t="s">
        <v>38</v>
      </c>
      <c r="C4" s="544" t="s">
        <v>39</v>
      </c>
      <c r="D4" s="545" t="s">
        <v>40</v>
      </c>
      <c r="E4" s="353" t="s">
        <v>37</v>
      </c>
      <c r="F4" s="342">
        <v>0</v>
      </c>
      <c r="G4" s="342">
        <v>0</v>
      </c>
      <c r="H4" s="342">
        <v>0</v>
      </c>
      <c r="I4" s="342">
        <v>0</v>
      </c>
      <c r="J4" s="342">
        <v>0</v>
      </c>
      <c r="K4" s="342">
        <v>0</v>
      </c>
      <c r="L4" s="342">
        <v>0</v>
      </c>
      <c r="M4" s="342">
        <v>0</v>
      </c>
      <c r="N4" s="342">
        <v>0</v>
      </c>
      <c r="O4" s="342">
        <v>0</v>
      </c>
      <c r="P4" s="342">
        <v>0</v>
      </c>
      <c r="Q4" s="342">
        <v>0</v>
      </c>
      <c r="R4" s="342">
        <v>0</v>
      </c>
      <c r="S4" s="342">
        <v>0</v>
      </c>
      <c r="T4" s="342">
        <v>0</v>
      </c>
      <c r="U4" s="342">
        <v>0</v>
      </c>
      <c r="V4" s="342">
        <v>0</v>
      </c>
      <c r="W4" s="342">
        <v>0</v>
      </c>
      <c r="X4" s="342">
        <v>5.22</v>
      </c>
      <c r="Y4" s="342">
        <v>0</v>
      </c>
      <c r="Z4" s="342">
        <v>0</v>
      </c>
      <c r="AA4" s="342">
        <v>0</v>
      </c>
      <c r="AB4" s="342">
        <v>0</v>
      </c>
      <c r="AC4" s="342">
        <v>0</v>
      </c>
      <c r="AD4" s="342">
        <v>60</v>
      </c>
      <c r="AE4" s="342">
        <v>0</v>
      </c>
      <c r="AF4" s="342">
        <v>0</v>
      </c>
      <c r="AG4" s="342">
        <v>0</v>
      </c>
      <c r="AH4" s="342">
        <v>4.5599999999999996</v>
      </c>
      <c r="AI4" s="342">
        <v>0</v>
      </c>
      <c r="AJ4" s="342">
        <v>0</v>
      </c>
      <c r="AK4" s="342">
        <v>0</v>
      </c>
      <c r="AL4" s="342">
        <v>0</v>
      </c>
      <c r="AM4" s="342">
        <f>SUM(F4:AL4)</f>
        <v>69.78</v>
      </c>
    </row>
    <row r="5" spans="1:39" ht="15.75">
      <c r="A5" s="546"/>
      <c r="B5" s="544"/>
      <c r="C5" s="544"/>
      <c r="D5" s="545"/>
      <c r="E5" s="354" t="s">
        <v>41</v>
      </c>
      <c r="F5" s="342">
        <v>0</v>
      </c>
      <c r="G5" s="342">
        <v>4.6900000000000004</v>
      </c>
      <c r="H5" s="342">
        <v>0</v>
      </c>
      <c r="I5" s="342">
        <v>0</v>
      </c>
      <c r="J5" s="342">
        <v>0</v>
      </c>
      <c r="K5" s="342">
        <v>0</v>
      </c>
      <c r="L5" s="342">
        <v>0</v>
      </c>
      <c r="M5" s="342">
        <v>0</v>
      </c>
      <c r="N5" s="342">
        <v>3.91</v>
      </c>
      <c r="O5" s="342">
        <v>0</v>
      </c>
      <c r="P5" s="342">
        <v>6.98</v>
      </c>
      <c r="Q5" s="342">
        <v>0</v>
      </c>
      <c r="R5" s="342">
        <v>0</v>
      </c>
      <c r="S5" s="342">
        <v>0</v>
      </c>
      <c r="T5" s="342">
        <v>0</v>
      </c>
      <c r="U5" s="342">
        <v>0</v>
      </c>
      <c r="V5" s="342">
        <v>0</v>
      </c>
      <c r="W5" s="342">
        <v>0</v>
      </c>
      <c r="X5" s="342">
        <v>0</v>
      </c>
      <c r="Y5" s="342">
        <v>0</v>
      </c>
      <c r="Z5" s="342">
        <v>0</v>
      </c>
      <c r="AA5" s="342"/>
      <c r="AB5" s="342">
        <v>0</v>
      </c>
      <c r="AC5" s="355">
        <v>0</v>
      </c>
      <c r="AD5" s="342">
        <v>0</v>
      </c>
      <c r="AE5" s="342">
        <v>0</v>
      </c>
      <c r="AF5" s="342">
        <v>0</v>
      </c>
      <c r="AG5" s="342">
        <v>0</v>
      </c>
      <c r="AH5" s="342">
        <v>0</v>
      </c>
      <c r="AI5" s="342">
        <v>0</v>
      </c>
      <c r="AJ5" s="342">
        <v>0</v>
      </c>
      <c r="AK5" s="342">
        <v>0</v>
      </c>
      <c r="AL5" s="342">
        <v>0</v>
      </c>
      <c r="AM5" s="342">
        <f t="shared" ref="AM5:AM15" si="0">SUM(F5:AL5)</f>
        <v>15.580000000000002</v>
      </c>
    </row>
    <row r="6" spans="1:39" ht="15.75">
      <c r="A6" s="546">
        <v>2</v>
      </c>
      <c r="B6" s="544" t="s">
        <v>42</v>
      </c>
      <c r="C6" s="544" t="s">
        <v>43</v>
      </c>
      <c r="D6" s="545" t="s">
        <v>44</v>
      </c>
      <c r="E6" s="356" t="s">
        <v>37</v>
      </c>
      <c r="F6" s="342">
        <v>0</v>
      </c>
      <c r="G6" s="342">
        <v>0</v>
      </c>
      <c r="H6" s="342">
        <v>0</v>
      </c>
      <c r="I6" s="342">
        <v>0</v>
      </c>
      <c r="J6" s="342">
        <v>0</v>
      </c>
      <c r="K6" s="342">
        <v>0</v>
      </c>
      <c r="L6" s="342">
        <v>0</v>
      </c>
      <c r="M6" s="342">
        <v>0</v>
      </c>
      <c r="N6" s="342">
        <v>0</v>
      </c>
      <c r="O6" s="342">
        <v>0</v>
      </c>
      <c r="P6" s="342">
        <v>0</v>
      </c>
      <c r="Q6" s="342">
        <v>0</v>
      </c>
      <c r="R6" s="342">
        <v>0</v>
      </c>
      <c r="S6" s="342">
        <v>0</v>
      </c>
      <c r="T6" s="342">
        <v>0</v>
      </c>
      <c r="U6" s="342">
        <v>0</v>
      </c>
      <c r="V6" s="342">
        <v>0</v>
      </c>
      <c r="W6" s="342">
        <v>0</v>
      </c>
      <c r="X6" s="342">
        <v>0</v>
      </c>
      <c r="Y6" s="342">
        <v>0</v>
      </c>
      <c r="Z6" s="342">
        <v>0</v>
      </c>
      <c r="AA6" s="342">
        <v>0</v>
      </c>
      <c r="AB6" s="342">
        <v>0</v>
      </c>
      <c r="AC6" s="342">
        <v>0</v>
      </c>
      <c r="AD6" s="342">
        <v>0</v>
      </c>
      <c r="AE6" s="342">
        <v>0</v>
      </c>
      <c r="AF6" s="342">
        <v>0</v>
      </c>
      <c r="AG6" s="342">
        <v>0</v>
      </c>
      <c r="AH6" s="342">
        <v>0</v>
      </c>
      <c r="AI6" s="342">
        <v>0</v>
      </c>
      <c r="AJ6" s="342">
        <v>0</v>
      </c>
      <c r="AK6" s="342">
        <v>0</v>
      </c>
      <c r="AL6" s="342">
        <v>0</v>
      </c>
      <c r="AM6" s="342">
        <f t="shared" si="0"/>
        <v>0</v>
      </c>
    </row>
    <row r="7" spans="1:39" ht="15.75">
      <c r="A7" s="546"/>
      <c r="B7" s="544"/>
      <c r="C7" s="544"/>
      <c r="D7" s="545"/>
      <c r="E7" s="354" t="s">
        <v>41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X7" s="342">
        <v>0</v>
      </c>
      <c r="Y7" s="342">
        <v>0</v>
      </c>
      <c r="Z7" s="342">
        <v>0</v>
      </c>
      <c r="AA7" s="342"/>
      <c r="AB7" s="342">
        <v>0</v>
      </c>
      <c r="AC7" s="355">
        <v>0</v>
      </c>
      <c r="AD7" s="342">
        <v>0</v>
      </c>
      <c r="AE7" s="342">
        <v>0</v>
      </c>
      <c r="AF7" s="342">
        <v>0</v>
      </c>
      <c r="AG7" s="342">
        <v>0</v>
      </c>
      <c r="AH7" s="342">
        <v>0</v>
      </c>
      <c r="AI7" s="342">
        <v>0</v>
      </c>
      <c r="AJ7" s="342">
        <v>0</v>
      </c>
      <c r="AK7" s="342">
        <v>0</v>
      </c>
      <c r="AL7" s="342">
        <v>0</v>
      </c>
      <c r="AM7" s="342">
        <f t="shared" si="0"/>
        <v>0</v>
      </c>
    </row>
    <row r="8" spans="1:39" ht="15.75">
      <c r="A8" s="546">
        <v>3</v>
      </c>
      <c r="B8" s="544" t="s">
        <v>45</v>
      </c>
      <c r="C8" s="544" t="s">
        <v>43</v>
      </c>
      <c r="D8" s="545" t="s">
        <v>46</v>
      </c>
      <c r="E8" s="356" t="s">
        <v>37</v>
      </c>
      <c r="F8" s="342">
        <v>0</v>
      </c>
      <c r="G8" s="342">
        <v>0</v>
      </c>
      <c r="H8" s="342">
        <v>0</v>
      </c>
      <c r="I8" s="342">
        <v>0</v>
      </c>
      <c r="J8" s="342">
        <v>33.44</v>
      </c>
      <c r="K8" s="342">
        <v>0</v>
      </c>
      <c r="L8" s="342">
        <v>0</v>
      </c>
      <c r="M8" s="342">
        <v>0</v>
      </c>
      <c r="N8" s="342">
        <v>0</v>
      </c>
      <c r="O8" s="342">
        <v>0</v>
      </c>
      <c r="P8" s="342">
        <v>0</v>
      </c>
      <c r="Q8" s="342">
        <v>0</v>
      </c>
      <c r="R8" s="342">
        <v>35.53</v>
      </c>
      <c r="S8" s="342">
        <v>0</v>
      </c>
      <c r="T8" s="342">
        <v>0</v>
      </c>
      <c r="U8" s="342">
        <v>0</v>
      </c>
      <c r="V8" s="342">
        <v>0</v>
      </c>
      <c r="W8" s="342">
        <v>0</v>
      </c>
      <c r="X8" s="342">
        <v>0</v>
      </c>
      <c r="Y8" s="342">
        <v>0</v>
      </c>
      <c r="Z8" s="342">
        <v>0</v>
      </c>
      <c r="AA8" s="342">
        <v>0</v>
      </c>
      <c r="AB8" s="342">
        <v>33.44</v>
      </c>
      <c r="AC8" s="342">
        <v>0</v>
      </c>
      <c r="AD8" s="342">
        <v>0</v>
      </c>
      <c r="AE8" s="342">
        <v>0</v>
      </c>
      <c r="AF8" s="342">
        <v>0</v>
      </c>
      <c r="AG8" s="342">
        <v>0</v>
      </c>
      <c r="AH8" s="342">
        <v>0</v>
      </c>
      <c r="AI8" s="342">
        <v>0</v>
      </c>
      <c r="AJ8" s="342">
        <v>0</v>
      </c>
      <c r="AK8" s="342">
        <v>0</v>
      </c>
      <c r="AL8" s="342">
        <v>0</v>
      </c>
      <c r="AM8" s="342">
        <f t="shared" si="0"/>
        <v>102.41</v>
      </c>
    </row>
    <row r="9" spans="1:39" ht="15.75">
      <c r="A9" s="546"/>
      <c r="B9" s="544"/>
      <c r="C9" s="544"/>
      <c r="D9" s="545"/>
      <c r="E9" s="354" t="s">
        <v>41</v>
      </c>
      <c r="F9" s="342">
        <v>0</v>
      </c>
      <c r="G9" s="342">
        <v>0</v>
      </c>
      <c r="H9" s="342">
        <v>0</v>
      </c>
      <c r="I9" s="342">
        <v>0</v>
      </c>
      <c r="J9" s="342">
        <v>0</v>
      </c>
      <c r="K9" s="342">
        <v>0</v>
      </c>
      <c r="L9" s="342">
        <v>0</v>
      </c>
      <c r="M9" s="342">
        <v>0</v>
      </c>
      <c r="N9" s="342">
        <v>0</v>
      </c>
      <c r="O9" s="342">
        <v>0</v>
      </c>
      <c r="P9" s="342">
        <v>0</v>
      </c>
      <c r="Q9" s="342">
        <v>0</v>
      </c>
      <c r="R9" s="342">
        <v>0</v>
      </c>
      <c r="S9" s="342">
        <v>0</v>
      </c>
      <c r="T9" s="342">
        <v>0</v>
      </c>
      <c r="U9" s="342">
        <v>0</v>
      </c>
      <c r="V9" s="342">
        <v>0</v>
      </c>
      <c r="W9" s="342">
        <v>0</v>
      </c>
      <c r="X9" s="342">
        <v>0</v>
      </c>
      <c r="Y9" s="342">
        <v>0</v>
      </c>
      <c r="Z9" s="342">
        <v>0</v>
      </c>
      <c r="AA9" s="342"/>
      <c r="AB9" s="342">
        <v>0</v>
      </c>
      <c r="AC9" s="355">
        <v>0</v>
      </c>
      <c r="AD9" s="342">
        <v>0</v>
      </c>
      <c r="AE9" s="342">
        <v>0</v>
      </c>
      <c r="AF9" s="342">
        <v>0</v>
      </c>
      <c r="AG9" s="342">
        <v>0</v>
      </c>
      <c r="AH9" s="342">
        <v>0</v>
      </c>
      <c r="AI9" s="342">
        <v>0</v>
      </c>
      <c r="AJ9" s="342">
        <v>0</v>
      </c>
      <c r="AK9" s="342">
        <v>0</v>
      </c>
      <c r="AL9" s="342">
        <v>0</v>
      </c>
      <c r="AM9" s="342">
        <f t="shared" si="0"/>
        <v>0</v>
      </c>
    </row>
    <row r="10" spans="1:39" ht="15.75">
      <c r="A10" s="546">
        <v>4</v>
      </c>
      <c r="B10" s="544" t="s">
        <v>47</v>
      </c>
      <c r="C10" s="544" t="s">
        <v>43</v>
      </c>
      <c r="D10" s="545" t="s">
        <v>48</v>
      </c>
      <c r="E10" s="356" t="s">
        <v>37</v>
      </c>
      <c r="F10" s="342">
        <v>0</v>
      </c>
      <c r="G10" s="342">
        <v>0</v>
      </c>
      <c r="H10" s="342">
        <v>0</v>
      </c>
      <c r="I10" s="342">
        <v>0</v>
      </c>
      <c r="J10" s="342">
        <v>0</v>
      </c>
      <c r="K10" s="342">
        <v>0</v>
      </c>
      <c r="L10" s="342">
        <v>0</v>
      </c>
      <c r="M10" s="342">
        <v>0</v>
      </c>
      <c r="N10" s="342">
        <v>0</v>
      </c>
      <c r="O10" s="342">
        <v>0</v>
      </c>
      <c r="P10" s="342">
        <v>49.22</v>
      </c>
      <c r="Q10" s="342">
        <v>0</v>
      </c>
      <c r="R10" s="342">
        <v>0</v>
      </c>
      <c r="S10" s="342">
        <v>0</v>
      </c>
      <c r="T10" s="342">
        <v>0</v>
      </c>
      <c r="U10" s="342">
        <v>54.57</v>
      </c>
      <c r="V10" s="342">
        <v>0</v>
      </c>
      <c r="W10" s="342">
        <v>0</v>
      </c>
      <c r="X10" s="342">
        <v>0</v>
      </c>
      <c r="Y10" s="342">
        <v>0</v>
      </c>
      <c r="Z10" s="342">
        <v>0</v>
      </c>
      <c r="AA10" s="342">
        <v>0</v>
      </c>
      <c r="AB10" s="342">
        <v>0</v>
      </c>
      <c r="AC10" s="342">
        <v>0</v>
      </c>
      <c r="AD10" s="342">
        <v>49.8</v>
      </c>
      <c r="AE10" s="342">
        <v>0</v>
      </c>
      <c r="AF10" s="342">
        <v>0</v>
      </c>
      <c r="AG10" s="342">
        <v>0</v>
      </c>
      <c r="AH10" s="342">
        <v>0</v>
      </c>
      <c r="AI10" s="342">
        <v>0</v>
      </c>
      <c r="AJ10" s="342">
        <v>0</v>
      </c>
      <c r="AK10" s="342">
        <v>0</v>
      </c>
      <c r="AL10" s="342">
        <v>0</v>
      </c>
      <c r="AM10" s="342">
        <f t="shared" si="0"/>
        <v>153.58999999999997</v>
      </c>
    </row>
    <row r="11" spans="1:39" ht="15.75">
      <c r="A11" s="546"/>
      <c r="B11" s="544"/>
      <c r="C11" s="544"/>
      <c r="D11" s="545"/>
      <c r="E11" s="354" t="s">
        <v>41</v>
      </c>
      <c r="F11" s="342">
        <v>0</v>
      </c>
      <c r="G11" s="342">
        <v>0</v>
      </c>
      <c r="H11" s="342">
        <v>0</v>
      </c>
      <c r="I11" s="342">
        <v>0</v>
      </c>
      <c r="J11" s="342">
        <v>0</v>
      </c>
      <c r="K11" s="342">
        <v>0</v>
      </c>
      <c r="L11" s="342">
        <v>0</v>
      </c>
      <c r="M11" s="342">
        <v>0</v>
      </c>
      <c r="N11" s="342">
        <v>0</v>
      </c>
      <c r="O11" s="342">
        <v>0</v>
      </c>
      <c r="P11" s="342">
        <v>0</v>
      </c>
      <c r="Q11" s="342">
        <v>0</v>
      </c>
      <c r="R11" s="342">
        <v>0</v>
      </c>
      <c r="S11" s="342">
        <v>0</v>
      </c>
      <c r="T11" s="342">
        <v>0</v>
      </c>
      <c r="U11" s="342">
        <v>0</v>
      </c>
      <c r="V11" s="342">
        <v>0</v>
      </c>
      <c r="W11" s="342">
        <v>0</v>
      </c>
      <c r="X11" s="342">
        <v>0</v>
      </c>
      <c r="Y11" s="342">
        <v>0</v>
      </c>
      <c r="Z11" s="342">
        <v>0</v>
      </c>
      <c r="AA11" s="342"/>
      <c r="AB11" s="342">
        <v>0</v>
      </c>
      <c r="AC11" s="355">
        <v>0</v>
      </c>
      <c r="AD11" s="342">
        <v>0</v>
      </c>
      <c r="AE11" s="342">
        <v>0</v>
      </c>
      <c r="AF11" s="342">
        <v>0</v>
      </c>
      <c r="AG11" s="342">
        <v>0</v>
      </c>
      <c r="AH11" s="342">
        <v>0</v>
      </c>
      <c r="AI11" s="342">
        <v>0</v>
      </c>
      <c r="AJ11" s="342">
        <v>0</v>
      </c>
      <c r="AK11" s="342">
        <v>0</v>
      </c>
      <c r="AL11" s="342">
        <v>0</v>
      </c>
      <c r="AM11" s="342">
        <f t="shared" si="0"/>
        <v>0</v>
      </c>
    </row>
    <row r="12" spans="1:39" ht="15.75">
      <c r="A12" s="546">
        <v>5</v>
      </c>
      <c r="B12" s="544" t="s">
        <v>49</v>
      </c>
      <c r="C12" s="544" t="s">
        <v>50</v>
      </c>
      <c r="D12" s="545" t="s">
        <v>51</v>
      </c>
      <c r="E12" s="356" t="s">
        <v>37</v>
      </c>
      <c r="F12" s="342">
        <v>0</v>
      </c>
      <c r="G12" s="342">
        <v>0</v>
      </c>
      <c r="H12" s="342">
        <v>0</v>
      </c>
      <c r="I12" s="342">
        <v>0</v>
      </c>
      <c r="J12" s="342">
        <v>0</v>
      </c>
      <c r="K12" s="342">
        <v>0</v>
      </c>
      <c r="L12" s="342">
        <v>0</v>
      </c>
      <c r="M12" s="342">
        <v>0</v>
      </c>
      <c r="N12" s="342">
        <v>86.29</v>
      </c>
      <c r="O12" s="342">
        <v>0</v>
      </c>
      <c r="P12" s="342">
        <v>0</v>
      </c>
      <c r="Q12" s="342">
        <v>0</v>
      </c>
      <c r="R12" s="342">
        <v>0</v>
      </c>
      <c r="S12" s="342">
        <v>0</v>
      </c>
      <c r="T12" s="342">
        <v>0</v>
      </c>
      <c r="U12" s="342">
        <v>0</v>
      </c>
      <c r="V12" s="342">
        <v>0</v>
      </c>
      <c r="W12" s="342">
        <v>0</v>
      </c>
      <c r="X12" s="342">
        <v>0</v>
      </c>
      <c r="Y12" s="342">
        <v>0</v>
      </c>
      <c r="Z12" s="342">
        <v>0</v>
      </c>
      <c r="AA12" s="342">
        <v>0</v>
      </c>
      <c r="AB12" s="342">
        <v>0</v>
      </c>
      <c r="AC12" s="342">
        <v>0</v>
      </c>
      <c r="AD12" s="342">
        <v>145.61000000000001</v>
      </c>
      <c r="AE12" s="342">
        <v>0</v>
      </c>
      <c r="AF12" s="342">
        <v>0</v>
      </c>
      <c r="AG12" s="342">
        <v>0</v>
      </c>
      <c r="AH12" s="342">
        <v>0</v>
      </c>
      <c r="AI12" s="342">
        <v>0</v>
      </c>
      <c r="AJ12" s="342">
        <v>0</v>
      </c>
      <c r="AK12" s="342">
        <v>0</v>
      </c>
      <c r="AL12" s="342">
        <v>0</v>
      </c>
      <c r="AM12" s="342">
        <f t="shared" si="0"/>
        <v>231.90000000000003</v>
      </c>
    </row>
    <row r="13" spans="1:39" ht="15.75">
      <c r="A13" s="546"/>
      <c r="B13" s="544"/>
      <c r="C13" s="544"/>
      <c r="D13" s="545"/>
      <c r="E13" s="354" t="s">
        <v>41</v>
      </c>
      <c r="F13" s="342">
        <v>0</v>
      </c>
      <c r="G13" s="342">
        <v>0</v>
      </c>
      <c r="H13" s="342">
        <v>0</v>
      </c>
      <c r="I13" s="342">
        <v>0</v>
      </c>
      <c r="J13" s="342">
        <v>0</v>
      </c>
      <c r="K13" s="342">
        <v>0</v>
      </c>
      <c r="L13" s="342">
        <v>0</v>
      </c>
      <c r="M13" s="342">
        <v>0</v>
      </c>
      <c r="N13" s="342">
        <v>0</v>
      </c>
      <c r="O13" s="342">
        <v>0</v>
      </c>
      <c r="P13" s="342">
        <v>0</v>
      </c>
      <c r="Q13" s="342">
        <v>0</v>
      </c>
      <c r="R13" s="342">
        <v>0</v>
      </c>
      <c r="S13" s="342">
        <v>0</v>
      </c>
      <c r="T13" s="342">
        <v>0</v>
      </c>
      <c r="U13" s="342">
        <v>0</v>
      </c>
      <c r="V13" s="342">
        <v>0</v>
      </c>
      <c r="W13" s="342">
        <v>0</v>
      </c>
      <c r="X13" s="342">
        <v>0</v>
      </c>
      <c r="Y13" s="342">
        <v>0</v>
      </c>
      <c r="Z13" s="342">
        <v>0</v>
      </c>
      <c r="AA13" s="342"/>
      <c r="AB13" s="342">
        <v>0</v>
      </c>
      <c r="AC13" s="355">
        <v>0</v>
      </c>
      <c r="AD13" s="342">
        <v>0</v>
      </c>
      <c r="AE13" s="342">
        <v>0</v>
      </c>
      <c r="AF13" s="342">
        <v>0</v>
      </c>
      <c r="AG13" s="342">
        <v>0</v>
      </c>
      <c r="AH13" s="342">
        <v>0</v>
      </c>
      <c r="AI13" s="342">
        <v>0</v>
      </c>
      <c r="AJ13" s="342">
        <v>0</v>
      </c>
      <c r="AK13" s="342">
        <v>0</v>
      </c>
      <c r="AL13" s="342">
        <v>0</v>
      </c>
      <c r="AM13" s="342">
        <f t="shared" si="0"/>
        <v>0</v>
      </c>
    </row>
    <row r="14" spans="1:39" ht="15.75">
      <c r="A14" s="546">
        <v>6</v>
      </c>
      <c r="B14" s="544" t="s">
        <v>49</v>
      </c>
      <c r="C14" s="544" t="s">
        <v>52</v>
      </c>
      <c r="D14" s="545" t="s">
        <v>53</v>
      </c>
      <c r="E14" s="356" t="s">
        <v>37</v>
      </c>
      <c r="F14" s="342">
        <v>0</v>
      </c>
      <c r="G14" s="342">
        <v>0</v>
      </c>
      <c r="H14" s="342">
        <v>0</v>
      </c>
      <c r="I14" s="342">
        <v>0</v>
      </c>
      <c r="J14" s="342">
        <v>0</v>
      </c>
      <c r="K14" s="342">
        <v>0</v>
      </c>
      <c r="L14" s="342">
        <v>40</v>
      </c>
      <c r="M14" s="342">
        <v>40</v>
      </c>
      <c r="N14" s="342">
        <v>0</v>
      </c>
      <c r="O14" s="342">
        <v>36</v>
      </c>
      <c r="P14" s="342">
        <v>35</v>
      </c>
      <c r="Q14" s="342">
        <v>0</v>
      </c>
      <c r="R14" s="342">
        <v>0</v>
      </c>
      <c r="S14" s="342">
        <v>0</v>
      </c>
      <c r="T14" s="342">
        <v>0</v>
      </c>
      <c r="U14" s="342">
        <v>0</v>
      </c>
      <c r="V14" s="342">
        <v>0</v>
      </c>
      <c r="W14" s="342">
        <v>45</v>
      </c>
      <c r="X14" s="342">
        <v>45</v>
      </c>
      <c r="Y14" s="342">
        <v>43.53</v>
      </c>
      <c r="Z14" s="342">
        <v>40</v>
      </c>
      <c r="AA14" s="342">
        <v>43</v>
      </c>
      <c r="AB14" s="342">
        <v>0</v>
      </c>
      <c r="AC14" s="342">
        <v>40</v>
      </c>
      <c r="AD14" s="342">
        <v>0</v>
      </c>
      <c r="AE14" s="342">
        <v>40</v>
      </c>
      <c r="AF14" s="342">
        <v>0</v>
      </c>
      <c r="AG14" s="342">
        <v>0</v>
      </c>
      <c r="AH14" s="342">
        <v>0</v>
      </c>
      <c r="AI14" s="342">
        <v>0</v>
      </c>
      <c r="AJ14" s="342">
        <v>0</v>
      </c>
      <c r="AK14" s="342">
        <v>0</v>
      </c>
      <c r="AL14" s="342">
        <v>0</v>
      </c>
      <c r="AM14" s="342">
        <f t="shared" si="0"/>
        <v>447.53</v>
      </c>
    </row>
    <row r="15" spans="1:39" ht="15.75">
      <c r="A15" s="546"/>
      <c r="B15" s="544"/>
      <c r="C15" s="544"/>
      <c r="D15" s="545"/>
      <c r="E15" s="354" t="s">
        <v>41</v>
      </c>
      <c r="F15" s="342">
        <v>0</v>
      </c>
      <c r="G15" s="342">
        <v>0</v>
      </c>
      <c r="H15" s="342">
        <v>0</v>
      </c>
      <c r="I15" s="342">
        <v>0</v>
      </c>
      <c r="J15" s="342">
        <v>0</v>
      </c>
      <c r="K15" s="342">
        <v>0</v>
      </c>
      <c r="L15" s="342">
        <v>0</v>
      </c>
      <c r="M15" s="342">
        <v>0</v>
      </c>
      <c r="N15" s="342">
        <v>0</v>
      </c>
      <c r="O15" s="342">
        <v>0</v>
      </c>
      <c r="P15" s="342">
        <v>0</v>
      </c>
      <c r="Q15" s="342">
        <v>0</v>
      </c>
      <c r="R15" s="342">
        <v>0</v>
      </c>
      <c r="S15" s="342">
        <v>0</v>
      </c>
      <c r="T15" s="342">
        <v>0</v>
      </c>
      <c r="U15" s="342">
        <v>0</v>
      </c>
      <c r="V15" s="342">
        <v>0</v>
      </c>
      <c r="W15" s="342">
        <v>0</v>
      </c>
      <c r="X15" s="342">
        <v>0</v>
      </c>
      <c r="Y15" s="342">
        <v>0</v>
      </c>
      <c r="Z15" s="342">
        <v>0</v>
      </c>
      <c r="AA15" s="342"/>
      <c r="AB15" s="342">
        <v>0</v>
      </c>
      <c r="AC15" s="355">
        <v>0</v>
      </c>
      <c r="AD15" s="342">
        <v>0</v>
      </c>
      <c r="AE15" s="342">
        <v>0</v>
      </c>
      <c r="AF15" s="342">
        <v>0</v>
      </c>
      <c r="AG15" s="342">
        <v>0</v>
      </c>
      <c r="AH15" s="342">
        <v>0</v>
      </c>
      <c r="AI15" s="342">
        <v>0</v>
      </c>
      <c r="AJ15" s="342">
        <v>0</v>
      </c>
      <c r="AK15" s="342">
        <v>0</v>
      </c>
      <c r="AL15" s="342">
        <v>0</v>
      </c>
      <c r="AM15" s="342">
        <f t="shared" si="0"/>
        <v>0</v>
      </c>
    </row>
    <row r="18" spans="7:7">
      <c r="G18" t="s">
        <v>54</v>
      </c>
    </row>
  </sheetData>
  <mergeCells count="25">
    <mergeCell ref="B14:B15"/>
    <mergeCell ref="C4:C5"/>
    <mergeCell ref="C6:C7"/>
    <mergeCell ref="C8:C9"/>
    <mergeCell ref="A4:A5"/>
    <mergeCell ref="A6:A7"/>
    <mergeCell ref="A8:A9"/>
    <mergeCell ref="A10:A11"/>
    <mergeCell ref="A12:A13"/>
    <mergeCell ref="A14:A15"/>
    <mergeCell ref="B4:B5"/>
    <mergeCell ref="B6:B7"/>
    <mergeCell ref="B8:B9"/>
    <mergeCell ref="B10:B11"/>
    <mergeCell ref="B12:B13"/>
    <mergeCell ref="G2:H2"/>
    <mergeCell ref="C10:C11"/>
    <mergeCell ref="C12:C13"/>
    <mergeCell ref="C14:C15"/>
    <mergeCell ref="D4:D5"/>
    <mergeCell ref="D6:D7"/>
    <mergeCell ref="D8:D9"/>
    <mergeCell ref="D10:D11"/>
    <mergeCell ref="D12:D13"/>
    <mergeCell ref="D14:D15"/>
  </mergeCells>
  <conditionalFormatting sqref="F5:AL5">
    <cfRule type="cellIs" dxfId="11" priority="12" operator="greaterThan">
      <formula>0</formula>
    </cfRule>
  </conditionalFormatting>
  <conditionalFormatting sqref="F7:AL7">
    <cfRule type="cellIs" dxfId="10" priority="11" operator="greaterThan">
      <formula>0</formula>
    </cfRule>
  </conditionalFormatting>
  <conditionalFormatting sqref="F9:AL9">
    <cfRule type="cellIs" dxfId="9" priority="10" operator="greaterThan">
      <formula>0</formula>
    </cfRule>
  </conditionalFormatting>
  <conditionalFormatting sqref="F11:AL11">
    <cfRule type="cellIs" dxfId="8" priority="9" operator="greaterThan">
      <formula>0</formula>
    </cfRule>
  </conditionalFormatting>
  <conditionalFormatting sqref="F13:AL13">
    <cfRule type="cellIs" dxfId="7" priority="8" operator="greaterThan">
      <formula>0</formula>
    </cfRule>
  </conditionalFormatting>
  <conditionalFormatting sqref="F15:AL15">
    <cfRule type="cellIs" dxfId="6" priority="7" operator="greaterThan">
      <formula>0</formula>
    </cfRule>
  </conditionalFormatting>
  <conditionalFormatting sqref="F4:AM4 AM5:AM15">
    <cfRule type="cellIs" dxfId="5" priority="6" operator="greaterThan">
      <formula>0</formula>
    </cfRule>
  </conditionalFormatting>
  <conditionalFormatting sqref="F6:AL6">
    <cfRule type="cellIs" dxfId="4" priority="5" operator="greaterThan">
      <formula>0</formula>
    </cfRule>
  </conditionalFormatting>
  <conditionalFormatting sqref="F8:AL8">
    <cfRule type="cellIs" dxfId="3" priority="4" operator="greaterThan">
      <formula>0</formula>
    </cfRule>
  </conditionalFormatting>
  <conditionalFormatting sqref="F10:AL10">
    <cfRule type="cellIs" dxfId="2" priority="3" operator="greaterThan">
      <formula>0</formula>
    </cfRule>
  </conditionalFormatting>
  <conditionalFormatting sqref="F12:AL12">
    <cfRule type="cellIs" dxfId="1" priority="2" operator="greaterThan">
      <formula>0</formula>
    </cfRule>
  </conditionalFormatting>
  <conditionalFormatting sqref="F14:AL1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N80"/>
  <sheetViews>
    <sheetView workbookViewId="0"/>
  </sheetViews>
  <sheetFormatPr defaultColWidth="8.28515625" defaultRowHeight="15.75"/>
  <cols>
    <col min="1" max="1" width="8.28515625" style="264"/>
    <col min="2" max="2" width="25" style="264" customWidth="1"/>
    <col min="3" max="3" width="34.5703125" style="264" bestFit="1" customWidth="1"/>
    <col min="4" max="4" width="13.5703125" style="264" bestFit="1" customWidth="1"/>
    <col min="5" max="5" width="15.42578125" style="264" customWidth="1"/>
    <col min="6" max="6" width="14.5703125" style="264" customWidth="1"/>
    <col min="7" max="7" width="16.5703125" style="264" customWidth="1"/>
    <col min="8" max="8" width="23.5703125" style="264" customWidth="1"/>
    <col min="9" max="9" width="17.42578125" style="264" customWidth="1"/>
    <col min="10" max="10" width="16.7109375" style="264" customWidth="1"/>
    <col min="11" max="11" width="20.42578125" style="264" customWidth="1"/>
    <col min="12" max="12" width="22.7109375" style="264" customWidth="1"/>
    <col min="13" max="13" width="16.85546875" style="264" customWidth="1"/>
    <col min="14" max="16384" width="8.28515625" style="264"/>
  </cols>
  <sheetData>
    <row r="1" spans="1:11">
      <c r="A1" s="260" t="s">
        <v>55</v>
      </c>
      <c r="B1" s="261" t="s">
        <v>56</v>
      </c>
      <c r="C1" s="261" t="s">
        <v>57</v>
      </c>
      <c r="D1" s="262" t="s">
        <v>58</v>
      </c>
      <c r="E1" s="262" t="s">
        <v>59</v>
      </c>
      <c r="F1" s="262" t="s">
        <v>60</v>
      </c>
      <c r="G1" s="262" t="s">
        <v>61</v>
      </c>
      <c r="H1" s="262" t="s">
        <v>62</v>
      </c>
      <c r="I1" s="262" t="s">
        <v>63</v>
      </c>
      <c r="J1" s="262" t="s">
        <v>64</v>
      </c>
      <c r="K1" s="263" t="s">
        <v>65</v>
      </c>
    </row>
    <row r="2" spans="1:11">
      <c r="A2" s="319">
        <v>1</v>
      </c>
      <c r="B2" s="265" t="s">
        <v>66</v>
      </c>
      <c r="C2" s="265" t="s">
        <v>67</v>
      </c>
      <c r="D2" s="266">
        <f>+'Khammam-1'!E38</f>
        <v>25629.86</v>
      </c>
      <c r="E2" s="266">
        <f>+'Khammam-1'!G38</f>
        <v>2660379.4679999999</v>
      </c>
      <c r="F2" s="266">
        <f>+'Khammam-1'!H38</f>
        <v>245</v>
      </c>
      <c r="G2" s="266">
        <f>+'Khammam-1'!J38</f>
        <v>28344.050000000003</v>
      </c>
      <c r="H2" s="266">
        <f>E2+G2</f>
        <v>2688723.5179999997</v>
      </c>
      <c r="I2" s="266">
        <f>+'Khammam-1'!K3</f>
        <v>1615425.1923000002</v>
      </c>
      <c r="J2" s="266">
        <f>+'Khammam-1'!L38</f>
        <v>470000</v>
      </c>
      <c r="K2" s="320">
        <f>H2+I2-J2</f>
        <v>3834148.7103000004</v>
      </c>
    </row>
    <row r="3" spans="1:11">
      <c r="A3" s="319">
        <v>2</v>
      </c>
      <c r="B3" s="265" t="s">
        <v>68</v>
      </c>
      <c r="C3" s="265" t="s">
        <v>69</v>
      </c>
      <c r="D3" s="266">
        <f>+'Khammam-2'!E38</f>
        <v>90723.14</v>
      </c>
      <c r="E3" s="266">
        <f>+'Khammam-2'!G38</f>
        <v>9543877.634800002</v>
      </c>
      <c r="F3" s="266">
        <f>+'Khammam-2'!H38</f>
        <v>745</v>
      </c>
      <c r="G3" s="266">
        <f>+'Khammam-2'!J38</f>
        <v>86211.400000000009</v>
      </c>
      <c r="H3" s="266">
        <f>E3+G3</f>
        <v>9630089.0348000024</v>
      </c>
      <c r="I3" s="266">
        <f>+'Khammam-2'!K3</f>
        <v>9590244.0006299987</v>
      </c>
      <c r="J3" s="266">
        <f>+'Khammam-2'!L38</f>
        <v>290696</v>
      </c>
      <c r="K3" s="320">
        <f>H3+I3-J3</f>
        <v>18929637.035429999</v>
      </c>
    </row>
    <row r="4" spans="1:11">
      <c r="A4" s="319">
        <v>3</v>
      </c>
      <c r="B4" s="265" t="s">
        <v>70</v>
      </c>
      <c r="C4" s="265" t="s">
        <v>71</v>
      </c>
      <c r="D4" s="266">
        <f>+'Khammam-3'!E35</f>
        <v>10000</v>
      </c>
      <c r="E4" s="266">
        <f>+'Khammam-3'!G35</f>
        <v>1038080</v>
      </c>
      <c r="F4" s="266">
        <f>+'Khammam-3'!H35</f>
        <v>0</v>
      </c>
      <c r="G4" s="266">
        <f>+'Khammam-3'!J35</f>
        <v>0</v>
      </c>
      <c r="H4" s="266">
        <f>E4+G4</f>
        <v>1038080</v>
      </c>
      <c r="I4" s="266">
        <f>+'Khammam-3'!M3</f>
        <v>1072600</v>
      </c>
      <c r="J4" s="266">
        <f>+'Khammam-3'!L35</f>
        <v>600000</v>
      </c>
      <c r="K4" s="320">
        <f>H4+I4-J4</f>
        <v>1510680</v>
      </c>
    </row>
    <row r="5" spans="1:11">
      <c r="A5" s="319">
        <v>4</v>
      </c>
      <c r="B5" s="265" t="s">
        <v>72</v>
      </c>
      <c r="C5" s="265" t="s">
        <v>73</v>
      </c>
      <c r="D5" s="266">
        <f>+' Khammam&amp;Cash'!E46</f>
        <v>8008.48</v>
      </c>
      <c r="E5" s="266">
        <f>+' Khammam&amp;Cash'!G46</f>
        <v>831280.22399999993</v>
      </c>
      <c r="F5" s="266">
        <f>+' Khammam&amp;Cash'!H46</f>
        <v>0</v>
      </c>
      <c r="G5" s="266">
        <f>+' Khammam&amp;Cash'!J46</f>
        <v>0</v>
      </c>
      <c r="H5" s="266">
        <f>E5+G5</f>
        <v>831280.22399999993</v>
      </c>
      <c r="I5" s="266">
        <f>+' Khammam&amp;Cash'!M3</f>
        <v>0</v>
      </c>
      <c r="J5" s="266">
        <f>+' Khammam&amp;Cash'!L46</f>
        <v>831280.22399999993</v>
      </c>
      <c r="K5" s="320">
        <f>H5+I5-J5</f>
        <v>0</v>
      </c>
    </row>
    <row r="6" spans="1:11">
      <c r="A6" s="319">
        <v>5</v>
      </c>
      <c r="B6" s="265" t="s">
        <v>74</v>
      </c>
      <c r="C6" s="265" t="s">
        <v>75</v>
      </c>
      <c r="D6" s="266">
        <f>+'Jadcherla-4'!E35</f>
        <v>850</v>
      </c>
      <c r="E6" s="266">
        <f>+'Jadcherla-4'!G35</f>
        <v>88757</v>
      </c>
      <c r="F6" s="266">
        <f>+'Jadcherla-4'!H35</f>
        <v>40</v>
      </c>
      <c r="G6" s="266">
        <f>+'Jadcherla-4'!J35</f>
        <v>4653.2</v>
      </c>
      <c r="H6" s="266">
        <f>E6+G6</f>
        <v>93410.2</v>
      </c>
      <c r="I6" s="266">
        <f>+'Jadcherla-4'!M3</f>
        <v>6863.4799999999959</v>
      </c>
      <c r="J6" s="266">
        <f>+'Jadcherla-4'!L35</f>
        <v>50000</v>
      </c>
      <c r="K6" s="320">
        <f>H6+I6-J6</f>
        <v>50273.679999999993</v>
      </c>
    </row>
    <row r="7" spans="1:11">
      <c r="A7" s="319">
        <v>6</v>
      </c>
      <c r="B7" s="265" t="s">
        <v>76</v>
      </c>
      <c r="C7" s="265" t="s">
        <v>77</v>
      </c>
      <c r="D7" s="266">
        <f>+' Sangareddy-2'!E35</f>
        <v>930.16000000000008</v>
      </c>
      <c r="E7" s="266">
        <f>+' Sangareddy-2'!G35</f>
        <v>97257.529600000009</v>
      </c>
      <c r="F7" s="266">
        <f>+' Sangareddy-2'!H35</f>
        <v>60</v>
      </c>
      <c r="G7" s="266">
        <f>+' Sangareddy-2'!J35</f>
        <v>6992.4000000000005</v>
      </c>
      <c r="H7" s="266">
        <f>E7+G7</f>
        <v>104249.9296</v>
      </c>
      <c r="I7" s="266">
        <f>+' Sangareddy-2'!M3</f>
        <v>128359.21539999994</v>
      </c>
      <c r="J7" s="266">
        <f>+' Sangareddy-2'!L35</f>
        <v>180000</v>
      </c>
      <c r="K7" s="320">
        <f>H7+I7-J7</f>
        <v>52609.14499999996</v>
      </c>
    </row>
    <row r="8" spans="1:11">
      <c r="A8" s="319">
        <v>7</v>
      </c>
      <c r="B8" s="265" t="s">
        <v>78</v>
      </c>
      <c r="C8" s="265" t="s">
        <v>79</v>
      </c>
      <c r="D8" s="266">
        <f>+' Sangareddy-3'!E36</f>
        <v>10935</v>
      </c>
      <c r="E8" s="266">
        <f>+' Sangareddy-3'!G36</f>
        <v>1141067.25</v>
      </c>
      <c r="F8" s="266">
        <f>+' Sangareddy-3'!H36</f>
        <v>53.76</v>
      </c>
      <c r="G8" s="266">
        <f>+' Sangareddy-3'!J36</f>
        <v>6249.6</v>
      </c>
      <c r="H8" s="266">
        <f>E8+G8</f>
        <v>1147316.8500000001</v>
      </c>
      <c r="I8" s="266">
        <f>+' Sangareddy-3'!M3</f>
        <v>207619.56289999979</v>
      </c>
      <c r="J8" s="266">
        <f>+' Sangareddy-3'!L36</f>
        <v>600000</v>
      </c>
      <c r="K8" s="482">
        <f>H8+I8-J8</f>
        <v>754936.41289999988</v>
      </c>
    </row>
    <row r="9" spans="1:11">
      <c r="A9" s="319">
        <v>8</v>
      </c>
      <c r="B9" s="265" t="s">
        <v>80</v>
      </c>
      <c r="C9" s="481" t="s">
        <v>81</v>
      </c>
      <c r="D9" s="325">
        <f>Narayankhed!E35</f>
        <v>2859.8599999999997</v>
      </c>
      <c r="E9" s="325">
        <f>+Narayankhed!G35</f>
        <v>299999.31400000001</v>
      </c>
      <c r="F9" s="325">
        <f>+Narayankhed!H35</f>
        <v>0</v>
      </c>
      <c r="G9" s="325">
        <f>+Narayankhed!J35</f>
        <v>0</v>
      </c>
      <c r="H9" s="325">
        <f>E9+G9</f>
        <v>299999.31400000001</v>
      </c>
      <c r="I9" s="325">
        <f>+Narayankhed!M3</f>
        <v>0</v>
      </c>
      <c r="J9" s="532">
        <f>+Narayankhed!L35</f>
        <v>299999.31400000001</v>
      </c>
      <c r="K9" s="320">
        <f>H9+I9-J9</f>
        <v>0</v>
      </c>
    </row>
    <row r="10" spans="1:11">
      <c r="A10" s="319">
        <v>9</v>
      </c>
      <c r="B10" s="480" t="s">
        <v>82</v>
      </c>
      <c r="C10" s="265" t="s">
        <v>83</v>
      </c>
      <c r="D10" s="266">
        <f>+Dindi!E35</f>
        <v>162.28800000000001</v>
      </c>
      <c r="E10" s="266">
        <f>+Dindi!G35</f>
        <v>17004.489259999998</v>
      </c>
      <c r="F10" s="266">
        <f>+Dindi!H35</f>
        <v>0</v>
      </c>
      <c r="G10" s="266">
        <f>+Dindi!J35</f>
        <v>0</v>
      </c>
      <c r="H10" s="266">
        <f>E10+G10</f>
        <v>17004.489259999998</v>
      </c>
      <c r="I10" s="266">
        <f>+Dindi!M3</f>
        <v>0</v>
      </c>
      <c r="J10" s="337">
        <f>+Dindi!L35</f>
        <v>17004.489259999998</v>
      </c>
      <c r="K10" s="320">
        <f t="shared" ref="K10:K52" si="0">H10+I10-J10</f>
        <v>0</v>
      </c>
    </row>
    <row r="11" spans="1:11">
      <c r="A11" s="319">
        <v>10</v>
      </c>
      <c r="B11" s="480" t="s">
        <v>84</v>
      </c>
      <c r="C11" s="265" t="s">
        <v>85</v>
      </c>
      <c r="D11" s="266">
        <f>+'Madana palli'!E37</f>
        <v>0</v>
      </c>
      <c r="E11" s="266">
        <f>+'Madana palli'!G37</f>
        <v>0</v>
      </c>
      <c r="F11" s="266">
        <f>+'Madana palli'!H37</f>
        <v>3.4</v>
      </c>
      <c r="G11" s="266">
        <f>+'Madana palli'!J37</f>
        <v>399.36399999999998</v>
      </c>
      <c r="H11" s="266">
        <f>E11+G11</f>
        <v>399.36399999999998</v>
      </c>
      <c r="I11" s="266">
        <f>+'Madana palli'!M3</f>
        <v>0</v>
      </c>
      <c r="J11" s="337">
        <f>+'Madana palli'!L37</f>
        <v>399.36399999999998</v>
      </c>
      <c r="K11" s="320">
        <f t="shared" si="0"/>
        <v>0</v>
      </c>
    </row>
    <row r="12" spans="1:11">
      <c r="A12" s="319">
        <v>11</v>
      </c>
      <c r="B12" s="480" t="s">
        <v>86</v>
      </c>
      <c r="C12" s="479" t="s">
        <v>87</v>
      </c>
      <c r="D12" s="266">
        <f>+'Yeleshwaram(KKD)'!E37</f>
        <v>170</v>
      </c>
      <c r="E12" s="266">
        <f>+'Yeleshwaram(KKD)'!G37</f>
        <v>17928.199999999997</v>
      </c>
      <c r="F12" s="266">
        <f>+'Yeleshwaram(KKD)'!H37</f>
        <v>10</v>
      </c>
      <c r="G12" s="266">
        <f>+'Yeleshwaram(KKD)'!J37</f>
        <v>1178.4000000000001</v>
      </c>
      <c r="H12" s="266">
        <f>E12+G12</f>
        <v>19106.599999999999</v>
      </c>
      <c r="I12" s="266">
        <f>+'Yeleshwaram(KKD)'!M3</f>
        <v>0</v>
      </c>
      <c r="J12" s="337">
        <f>+'Yeleshwaram(KKD)'!L37</f>
        <v>0</v>
      </c>
      <c r="K12" s="320">
        <f t="shared" si="0"/>
        <v>19106.599999999999</v>
      </c>
    </row>
    <row r="13" spans="1:11">
      <c r="A13" s="319">
        <v>12</v>
      </c>
      <c r="B13" s="480" t="s">
        <v>88</v>
      </c>
      <c r="C13" s="479" t="s">
        <v>89</v>
      </c>
      <c r="D13" s="266">
        <f>+' Pitapram(KKD)'!E37</f>
        <v>2262.13</v>
      </c>
      <c r="E13" s="266">
        <f>+' Pitapram(KKD)'!G37</f>
        <v>237998.6973</v>
      </c>
      <c r="F13" s="266">
        <f>+' Pitapram(KKD)'!H37</f>
        <v>37</v>
      </c>
      <c r="G13" s="266">
        <f>+' Pitapram(KKD)'!J37</f>
        <v>4350.4599999999991</v>
      </c>
      <c r="H13" s="266">
        <f>E13+G13</f>
        <v>242349.15729999999</v>
      </c>
      <c r="I13" s="266">
        <f>+' Pitapram(KKD)'!M3</f>
        <v>0</v>
      </c>
      <c r="J13" s="337">
        <f>+' Pitapram(KKD)'!L37</f>
        <v>150000</v>
      </c>
      <c r="K13" s="320">
        <f t="shared" si="0"/>
        <v>92349.157299999992</v>
      </c>
    </row>
    <row r="14" spans="1:11">
      <c r="A14" s="319">
        <v>13</v>
      </c>
      <c r="B14" s="480" t="s">
        <v>90</v>
      </c>
      <c r="C14" s="265" t="s">
        <v>91</v>
      </c>
      <c r="D14" s="266">
        <f>+'Multiple bunks(KKD)'!E289</f>
        <v>9882.0889999999981</v>
      </c>
      <c r="E14" s="266">
        <f>+'Multiple bunks(KKD)'!G289</f>
        <v>1038084.8174800007</v>
      </c>
      <c r="F14" s="266">
        <f>+'Multiple bunks(KKD)'!H289</f>
        <v>553.67300000000012</v>
      </c>
      <c r="G14" s="266">
        <f>+'Multiple bunks(KKD)'!J289</f>
        <v>67413.977499999979</v>
      </c>
      <c r="H14" s="266">
        <f>E14+G14</f>
        <v>1105498.7949800007</v>
      </c>
      <c r="I14" s="266">
        <f>+'Multiple bunks(KKD)'!M3</f>
        <v>0</v>
      </c>
      <c r="J14" s="337">
        <f>+'Multiple bunks(KKD)'!L289</f>
        <v>1105498.7949799995</v>
      </c>
      <c r="K14" s="320">
        <f>H14+I14-J14</f>
        <v>0</v>
      </c>
    </row>
    <row r="15" spans="1:11">
      <c r="A15" s="319">
        <v>14</v>
      </c>
      <c r="B15" s="480" t="s">
        <v>92</v>
      </c>
      <c r="C15" s="265" t="s">
        <v>93</v>
      </c>
      <c r="D15" s="266">
        <f>+'YG Gudda'!E39</f>
        <v>8500</v>
      </c>
      <c r="E15" s="266">
        <f>+'YG Gudda'!G39</f>
        <v>842690</v>
      </c>
      <c r="F15" s="266">
        <f>+'YG Gudda'!H39</f>
        <v>280</v>
      </c>
      <c r="G15" s="266">
        <f>+'YG Gudda'!J39</f>
        <v>31147.200000000001</v>
      </c>
      <c r="H15" s="266">
        <f t="shared" ref="H15:H16" si="1">E15+G15</f>
        <v>873837.2</v>
      </c>
      <c r="I15" s="266">
        <f>+'YG Gudda'!M3</f>
        <v>282784.15990299999</v>
      </c>
      <c r="J15" s="337">
        <f>+'YG Gudda'!L39</f>
        <v>860000</v>
      </c>
      <c r="K15" s="320">
        <f t="shared" si="0"/>
        <v>296621.35990299983</v>
      </c>
    </row>
    <row r="16" spans="1:11">
      <c r="A16" s="319">
        <v>15</v>
      </c>
      <c r="B16" s="480" t="s">
        <v>92</v>
      </c>
      <c r="C16" s="265" t="s">
        <v>94</v>
      </c>
      <c r="D16" s="266">
        <f>+' YG Gudda-2'!E39</f>
        <v>4603.96</v>
      </c>
      <c r="E16" s="266">
        <f>+' YG Gudda-2'!G39</f>
        <v>455884.11920000002</v>
      </c>
      <c r="F16" s="266">
        <f>+' YG Gudda-2'!H39</f>
        <v>105</v>
      </c>
      <c r="G16" s="266">
        <f>+' YG Gudda-2'!J39</f>
        <v>11667.6</v>
      </c>
      <c r="H16" s="266">
        <f t="shared" si="1"/>
        <v>467551.71919999999</v>
      </c>
      <c r="I16" s="266">
        <f>+' YG Gudda-2'!M3</f>
        <v>207747.6</v>
      </c>
      <c r="J16" s="337">
        <f>+' YG Gudda-2'!L39</f>
        <v>675000</v>
      </c>
      <c r="K16" s="320">
        <f t="shared" si="0"/>
        <v>299.31920000002719</v>
      </c>
    </row>
    <row r="17" spans="1:11">
      <c r="A17" s="319">
        <v>16</v>
      </c>
      <c r="B17" s="265" t="s">
        <v>95</v>
      </c>
      <c r="C17" s="483" t="s">
        <v>96</v>
      </c>
      <c r="D17" s="360">
        <f>+'Hosadurga -2'!E35</f>
        <v>1000</v>
      </c>
      <c r="E17" s="360">
        <f>+'Hosadurga -2'!G35</f>
        <v>99380</v>
      </c>
      <c r="F17" s="360">
        <f>+'Hosadurga -2'!H35</f>
        <v>70</v>
      </c>
      <c r="G17" s="360">
        <f>+'Hosadurga -2'!J35</f>
        <v>7820.4</v>
      </c>
      <c r="H17" s="360">
        <f>+'Hosadurga -2'!K35</f>
        <v>107200.4</v>
      </c>
      <c r="I17" s="360">
        <f>+'Hosadurga -2'!K3</f>
        <v>114284.3940999998</v>
      </c>
      <c r="J17" s="533">
        <f>+'Hosadurga -2'!L35</f>
        <v>221000</v>
      </c>
      <c r="K17" s="320">
        <f>H17+I17-J17</f>
        <v>484.79409999979543</v>
      </c>
    </row>
    <row r="18" spans="1:11" ht="15.75" customHeight="1">
      <c r="A18" s="319">
        <v>17</v>
      </c>
      <c r="B18" s="267" t="s">
        <v>97</v>
      </c>
      <c r="C18" s="267" t="s">
        <v>98</v>
      </c>
      <c r="D18" s="266">
        <f>+'Malebenur(KUWSDB)'!E37</f>
        <v>5132.3899999999994</v>
      </c>
      <c r="E18" s="266">
        <f>+'Malebenur(KUWSDB)'!G37</f>
        <v>513239.30950000003</v>
      </c>
      <c r="F18" s="266">
        <f>+'Malebenur(KUWSDB)'!H37</f>
        <v>180</v>
      </c>
      <c r="G18" s="266">
        <f>+'Malebenur(KUWSDB)'!J37</f>
        <v>20164.8</v>
      </c>
      <c r="H18" s="266">
        <f>E18+G18</f>
        <v>533404.10950000002</v>
      </c>
      <c r="I18" s="266">
        <f>+'Malebenur(KUWSDB)'!K3</f>
        <v>132362.10969999991</v>
      </c>
      <c r="J18" s="337">
        <f>+'Malebenur(KUWSDB)'!L37</f>
        <v>534999.50930000003</v>
      </c>
      <c r="K18" s="320">
        <f>H18+I18-J18</f>
        <v>130766.7098999999</v>
      </c>
    </row>
    <row r="19" spans="1:11">
      <c r="A19" s="319">
        <v>18</v>
      </c>
      <c r="B19" s="265" t="s">
        <v>99</v>
      </c>
      <c r="C19" s="265" t="s">
        <v>100</v>
      </c>
      <c r="D19" s="266">
        <f>+Kadur!E35</f>
        <v>3400</v>
      </c>
      <c r="E19" s="266">
        <f>+Kadur!G35</f>
        <v>339864</v>
      </c>
      <c r="F19" s="266">
        <f>+Kadur!H35</f>
        <v>70</v>
      </c>
      <c r="G19" s="266">
        <f>+Kadur!J35</f>
        <v>7861</v>
      </c>
      <c r="H19" s="266">
        <f t="shared" ref="H19:H52" si="2">E19+G19</f>
        <v>347725</v>
      </c>
      <c r="I19" s="266">
        <f>+Kadur!K3</f>
        <v>325301.90000000002</v>
      </c>
      <c r="J19" s="337">
        <f>+Kadur!L35</f>
        <v>0</v>
      </c>
      <c r="K19" s="320">
        <f t="shared" si="0"/>
        <v>673026.9</v>
      </c>
    </row>
    <row r="20" spans="1:11">
      <c r="A20" s="319">
        <v>19</v>
      </c>
      <c r="B20" s="265" t="s">
        <v>101</v>
      </c>
      <c r="C20" s="265" t="s">
        <v>102</v>
      </c>
      <c r="D20" s="266">
        <f>+'Hiriyur(VJNL)'!E35</f>
        <v>4000</v>
      </c>
      <c r="E20" s="266">
        <f>+'Hiriyur(VJNL)'!G35</f>
        <v>400360</v>
      </c>
      <c r="F20" s="266">
        <f>+'Hiriyur(VJNL)'!H35</f>
        <v>210</v>
      </c>
      <c r="G20" s="266">
        <f>+'Hiriyur(VJNL)'!J35</f>
        <v>23545.200000000001</v>
      </c>
      <c r="H20" s="266">
        <f t="shared" si="2"/>
        <v>423905.2</v>
      </c>
      <c r="I20" s="266">
        <f>+'Hiriyur(VJNL)'!K3</f>
        <v>219362.70000000004</v>
      </c>
      <c r="J20" s="266">
        <f>+'Hiriyur(VJNL)'!L35</f>
        <v>435000</v>
      </c>
      <c r="K20" s="484">
        <f t="shared" si="0"/>
        <v>208267.90000000002</v>
      </c>
    </row>
    <row r="21" spans="1:11">
      <c r="A21" s="319">
        <v>20</v>
      </c>
      <c r="B21" s="265" t="s">
        <v>103</v>
      </c>
      <c r="C21" s="265" t="s">
        <v>104</v>
      </c>
      <c r="D21" s="266">
        <f>+'Chellakere -1'!E38</f>
        <v>3600</v>
      </c>
      <c r="E21" s="266">
        <f>+'Chellakere -1'!G38</f>
        <v>360180</v>
      </c>
      <c r="F21" s="266">
        <f>+'Chellakere -1'!H38</f>
        <v>310</v>
      </c>
      <c r="G21" s="266">
        <f>+'Chellakere -1'!J38</f>
        <v>34741.699999999997</v>
      </c>
      <c r="H21" s="266">
        <f t="shared" si="2"/>
        <v>394921.7</v>
      </c>
      <c r="I21" s="266">
        <f>+'Chellakere -1'!K3</f>
        <v>116056.55139999994</v>
      </c>
      <c r="J21" s="266">
        <f>+'Chellakere -1'!L38</f>
        <v>300000</v>
      </c>
      <c r="K21" s="320">
        <f t="shared" si="0"/>
        <v>210978.25139999995</v>
      </c>
    </row>
    <row r="22" spans="1:11">
      <c r="A22" s="319">
        <v>21</v>
      </c>
      <c r="B22" s="265" t="s">
        <v>105</v>
      </c>
      <c r="C22" s="265" t="s">
        <v>104</v>
      </c>
      <c r="D22" s="266">
        <f>+' Chellakere-PKG-9'!E36</f>
        <v>715.75400000000002</v>
      </c>
      <c r="E22" s="266">
        <f>+' Chellakere-PKG-9'!G36</f>
        <v>71610.787860000011</v>
      </c>
      <c r="F22" s="266">
        <f>+' Chellakere-PKG-9'!H36</f>
        <v>58.34</v>
      </c>
      <c r="G22" s="266">
        <f>+' Chellakere-PKG-9'!J36</f>
        <v>6538.1638000000003</v>
      </c>
      <c r="H22" s="266">
        <f t="shared" si="2"/>
        <v>78148.951660000006</v>
      </c>
      <c r="I22" s="266">
        <f>+' Chellakere-PKG-9'!M3</f>
        <v>0</v>
      </c>
      <c r="J22" s="266">
        <f>+' Chellakere-PKG-9'!L36</f>
        <v>78148.951660000006</v>
      </c>
      <c r="K22" s="320">
        <f t="shared" si="0"/>
        <v>0</v>
      </c>
    </row>
    <row r="23" spans="1:11">
      <c r="A23" s="319">
        <v>22</v>
      </c>
      <c r="B23" s="265" t="s">
        <v>106</v>
      </c>
      <c r="C23" s="295" t="s">
        <v>107</v>
      </c>
      <c r="D23" s="266">
        <f>+Molakamuru!E35</f>
        <v>1470</v>
      </c>
      <c r="E23" s="266">
        <f>+Molakamuru!G35</f>
        <v>147057.09999999998</v>
      </c>
      <c r="F23" s="266">
        <f>+Molakamuru!H35</f>
        <v>135</v>
      </c>
      <c r="G23" s="266">
        <f>+Molakamuru!J35</f>
        <v>15128.1</v>
      </c>
      <c r="H23" s="266">
        <f t="shared" si="2"/>
        <v>162185.19999999998</v>
      </c>
      <c r="I23" s="266">
        <f>+Molakamuru!K3</f>
        <v>8880.8599999999951</v>
      </c>
      <c r="J23" s="266">
        <f>+Molakamuru!L35</f>
        <v>120366.9</v>
      </c>
      <c r="K23" s="320">
        <f t="shared" si="0"/>
        <v>50699.159999999974</v>
      </c>
    </row>
    <row r="24" spans="1:11">
      <c r="A24" s="319">
        <v>23</v>
      </c>
      <c r="B24" s="265" t="s">
        <v>108</v>
      </c>
      <c r="C24" s="318" t="s">
        <v>85</v>
      </c>
      <c r="D24" s="266">
        <f>+' Chennagiri'!E35</f>
        <v>1332.17</v>
      </c>
      <c r="E24" s="266">
        <f>+' Chennagiri'!G35</f>
        <v>133046.81789999999</v>
      </c>
      <c r="F24" s="266">
        <f>+' Chennagiri'!H35</f>
        <v>89.99</v>
      </c>
      <c r="G24" s="266">
        <f>+' Chennagiri'!J35</f>
        <v>10084.279399999999</v>
      </c>
      <c r="H24" s="266">
        <f t="shared" si="2"/>
        <v>143131.09729999999</v>
      </c>
      <c r="I24" s="266">
        <f>+' Chennagiri'!K3</f>
        <v>0</v>
      </c>
      <c r="J24" s="266">
        <f>+' Chennagiri'!L35</f>
        <v>143131.09730000002</v>
      </c>
      <c r="K24" s="320">
        <f t="shared" si="0"/>
        <v>0</v>
      </c>
    </row>
    <row r="25" spans="1:11">
      <c r="A25" s="319">
        <v>24</v>
      </c>
      <c r="B25" s="265" t="s">
        <v>109</v>
      </c>
      <c r="C25" s="265" t="s">
        <v>110</v>
      </c>
      <c r="D25" s="266">
        <f>+Khanapur!E35</f>
        <v>717.32000000000016</v>
      </c>
      <c r="E25" s="266">
        <f>+Khanapur!G35</f>
        <v>70792.310799999992</v>
      </c>
      <c r="F25" s="266">
        <f>+Khanapur!H35</f>
        <v>80</v>
      </c>
      <c r="G25" s="266">
        <f>+Khanapur!J35</f>
        <v>8871.5999999999985</v>
      </c>
      <c r="H25" s="266">
        <f t="shared" si="2"/>
        <v>79663.910799999983</v>
      </c>
      <c r="I25" s="266">
        <f>+Khanapur!M3</f>
        <v>105067.74809999995</v>
      </c>
      <c r="J25" s="266">
        <f>+Khanapur!L35</f>
        <v>100000</v>
      </c>
      <c r="K25" s="320">
        <f t="shared" si="0"/>
        <v>84731.658899999922</v>
      </c>
    </row>
    <row r="26" spans="1:11">
      <c r="A26" s="319">
        <v>25</v>
      </c>
      <c r="B26" s="265" t="s">
        <v>111</v>
      </c>
      <c r="C26" s="265" t="s">
        <v>112</v>
      </c>
      <c r="D26" s="266">
        <f>+'Munavali-2'!E40</f>
        <v>3400</v>
      </c>
      <c r="E26" s="266">
        <f>+'Munavali-2'!G40</f>
        <v>337790</v>
      </c>
      <c r="F26" s="266">
        <f>+'Munavali-2'!H40</f>
        <v>80</v>
      </c>
      <c r="G26" s="266">
        <f>+'Munavali-2'!J40</f>
        <v>8918</v>
      </c>
      <c r="H26" s="266">
        <f t="shared" si="2"/>
        <v>346708</v>
      </c>
      <c r="I26" s="266">
        <f>+'Munavali-2'!M3</f>
        <v>0</v>
      </c>
      <c r="J26" s="266">
        <f>+'Munavali-2'!L40</f>
        <v>200000</v>
      </c>
      <c r="K26" s="320">
        <f t="shared" si="0"/>
        <v>146708</v>
      </c>
    </row>
    <row r="27" spans="1:11">
      <c r="A27" s="319">
        <v>26</v>
      </c>
      <c r="B27" s="265" t="s">
        <v>111</v>
      </c>
      <c r="C27" s="265" t="s">
        <v>113</v>
      </c>
      <c r="D27" s="266">
        <f>+' Munavali'!E39</f>
        <v>4800</v>
      </c>
      <c r="E27" s="266">
        <f>+' Munavali'!G39</f>
        <v>475824</v>
      </c>
      <c r="F27" s="266">
        <f>+' Munavali'!H39</f>
        <v>180</v>
      </c>
      <c r="G27" s="266">
        <f>+' Munavali'!J39</f>
        <v>20017.799999999996</v>
      </c>
      <c r="H27" s="266">
        <f t="shared" si="2"/>
        <v>495841.8</v>
      </c>
      <c r="I27" s="266">
        <f>+' Munavali'!M3</f>
        <v>478435.42479999992</v>
      </c>
      <c r="J27" s="266">
        <f>+' Munavali'!L39</f>
        <v>700000</v>
      </c>
      <c r="K27" s="320">
        <f t="shared" si="0"/>
        <v>274277.22479999997</v>
      </c>
    </row>
    <row r="28" spans="1:11">
      <c r="A28" s="319">
        <v>27</v>
      </c>
      <c r="B28" s="265" t="s">
        <v>114</v>
      </c>
      <c r="C28" s="265" t="s">
        <v>115</v>
      </c>
      <c r="D28" s="266">
        <f>+Borgaon!E35</f>
        <v>0</v>
      </c>
      <c r="E28" s="266">
        <f>+Borgaon!G35</f>
        <v>0</v>
      </c>
      <c r="F28" s="266">
        <f>+Borgaon!H35</f>
        <v>0</v>
      </c>
      <c r="G28" s="266">
        <f>+Borgaon!J35</f>
        <v>0</v>
      </c>
      <c r="H28" s="266">
        <f t="shared" si="2"/>
        <v>0</v>
      </c>
      <c r="I28" s="266">
        <f>+Borgaon!K3</f>
        <v>208.39069999998901</v>
      </c>
      <c r="J28" s="266">
        <f>+Borgaon!L35</f>
        <v>0</v>
      </c>
      <c r="K28" s="320">
        <f>H28+I28-J28</f>
        <v>208.39069999998901</v>
      </c>
    </row>
    <row r="29" spans="1:11">
      <c r="A29" s="319">
        <v>28</v>
      </c>
      <c r="B29" s="265" t="s">
        <v>116</v>
      </c>
      <c r="C29" s="265" t="s">
        <v>117</v>
      </c>
      <c r="D29" s="266">
        <f>+'Ugar,Khagwad,Kudichi'!E37</f>
        <v>5853.8200000000006</v>
      </c>
      <c r="E29" s="266">
        <f>+'Ugar,Khagwad,Kudichi'!G37</f>
        <v>583860.00680000009</v>
      </c>
      <c r="F29" s="266">
        <f>+'Ugar,Khagwad,Kudichi'!H37</f>
        <v>76</v>
      </c>
      <c r="G29" s="266">
        <f>+'Ugar,Khagwad,Kudichi'!J37</f>
        <v>8500.6</v>
      </c>
      <c r="H29" s="266">
        <f t="shared" si="2"/>
        <v>592360.60680000007</v>
      </c>
      <c r="I29" s="266">
        <f>+'Ugar,Khagwad,Kudichi'!M3</f>
        <v>529659.86890000035</v>
      </c>
      <c r="J29" s="266">
        <f>+'Ugar,Khagwad,Kudichi'!L37</f>
        <v>780000</v>
      </c>
      <c r="K29" s="320">
        <f>H29+I29-J29</f>
        <v>342020.4757000003</v>
      </c>
    </row>
    <row r="30" spans="1:11">
      <c r="A30" s="319">
        <v>29</v>
      </c>
      <c r="B30" s="265" t="s">
        <v>118</v>
      </c>
      <c r="C30" s="265" t="s">
        <v>119</v>
      </c>
      <c r="D30" s="266">
        <f>+shedbal!E37</f>
        <v>5814.96</v>
      </c>
      <c r="E30" s="266">
        <f>+shedbal!G37</f>
        <v>579957.14799999993</v>
      </c>
      <c r="F30" s="266">
        <f>+shedbal!H37</f>
        <v>352</v>
      </c>
      <c r="G30" s="266">
        <f>+shedbal!J37</f>
        <v>39371.200000000004</v>
      </c>
      <c r="H30" s="266">
        <f t="shared" si="2"/>
        <v>619328.34799999988</v>
      </c>
      <c r="I30" s="266">
        <f>+shedbal!M3</f>
        <v>296953.00000000012</v>
      </c>
      <c r="J30" s="266">
        <f>+shedbal!L37</f>
        <v>410000.19799999997</v>
      </c>
      <c r="K30" s="320">
        <f>H30+I30-J30</f>
        <v>506281.15</v>
      </c>
    </row>
    <row r="31" spans="1:11">
      <c r="A31" s="319">
        <v>30</v>
      </c>
      <c r="B31" s="265" t="s">
        <v>120</v>
      </c>
      <c r="C31" s="265" t="s">
        <v>121</v>
      </c>
      <c r="D31" s="266">
        <f>+Kabbur!E35</f>
        <v>140.48000000000002</v>
      </c>
      <c r="E31" s="266">
        <f>+Kabbur!G35</f>
        <v>13965.1168</v>
      </c>
      <c r="F31" s="266">
        <f>+Kabbur!H35</f>
        <v>0</v>
      </c>
      <c r="G31" s="266">
        <f>+Kabbur!J35</f>
        <v>0</v>
      </c>
      <c r="H31" s="266">
        <f t="shared" si="2"/>
        <v>13965.1168</v>
      </c>
      <c r="I31" s="266">
        <v>0</v>
      </c>
      <c r="J31" s="266">
        <f>+Kabbur!L35</f>
        <v>13965.1168</v>
      </c>
      <c r="K31" s="320">
        <f t="shared" si="0"/>
        <v>0</v>
      </c>
    </row>
    <row r="32" spans="1:11">
      <c r="A32" s="319">
        <v>31</v>
      </c>
      <c r="B32" s="265" t="s">
        <v>122</v>
      </c>
      <c r="C32" s="265" t="s">
        <v>123</v>
      </c>
      <c r="D32" s="266">
        <f>+kumta!E41</f>
        <v>1060</v>
      </c>
      <c r="E32" s="266">
        <f>+kumta!G41</f>
        <v>105766.8</v>
      </c>
      <c r="F32" s="266">
        <f>+kumta!H41</f>
        <v>85</v>
      </c>
      <c r="G32" s="266">
        <f>+kumta!J41</f>
        <v>9518.2999999999993</v>
      </c>
      <c r="H32" s="266">
        <f t="shared" si="2"/>
        <v>115285.1</v>
      </c>
      <c r="I32" s="266">
        <f>kumta!M3</f>
        <v>15058.506800000017</v>
      </c>
      <c r="J32" s="266">
        <f>+kumta!L41</f>
        <v>70000</v>
      </c>
      <c r="K32" s="320">
        <f t="shared" si="0"/>
        <v>60343.606800000023</v>
      </c>
    </row>
    <row r="33" spans="1:13">
      <c r="A33" s="319">
        <v>32</v>
      </c>
      <c r="B33" s="265" t="s">
        <v>124</v>
      </c>
      <c r="C33" s="265" t="s">
        <v>125</v>
      </c>
      <c r="D33" s="266">
        <f>+' Jalgaon-1'!E55</f>
        <v>0</v>
      </c>
      <c r="E33" s="266">
        <f>+' Jalgaon-1'!G55</f>
        <v>0</v>
      </c>
      <c r="F33" s="266">
        <f>+' Jalgaon-1'!H55</f>
        <v>0</v>
      </c>
      <c r="G33" s="266">
        <f>+' Jalgaon-1'!J55</f>
        <v>0</v>
      </c>
      <c r="H33" s="266">
        <f t="shared" si="2"/>
        <v>0</v>
      </c>
      <c r="I33" s="266">
        <f>+' Jalgaon-1'!K3</f>
        <v>0</v>
      </c>
      <c r="J33" s="266">
        <f>+' Jalgaon-1'!L55</f>
        <v>0</v>
      </c>
      <c r="K33" s="320">
        <f t="shared" si="0"/>
        <v>0</v>
      </c>
    </row>
    <row r="34" spans="1:13">
      <c r="A34" s="319">
        <v>33</v>
      </c>
      <c r="B34" s="265" t="s">
        <v>126</v>
      </c>
      <c r="C34" s="265" t="s">
        <v>127</v>
      </c>
      <c r="D34" s="266">
        <f>+'Jalgoan-2'!E56</f>
        <v>19809.440000000002</v>
      </c>
      <c r="E34" s="266">
        <f>'Jalgoan-2'!G56</f>
        <v>1971173.4182000002</v>
      </c>
      <c r="F34" s="266">
        <f>+'Jalgoan-2'!H56</f>
        <v>150</v>
      </c>
      <c r="G34" s="266">
        <f>+'Jalgoan-2'!J56</f>
        <v>16977</v>
      </c>
      <c r="H34" s="266">
        <f t="shared" si="2"/>
        <v>1988150.4182000002</v>
      </c>
      <c r="I34" s="266">
        <f>+'Jalgoan-2'!M3</f>
        <v>2547026.4441000004</v>
      </c>
      <c r="J34" s="266">
        <f>+'Jalgoan-2'!L56</f>
        <v>4068.6941000000002</v>
      </c>
      <c r="K34" s="320">
        <f t="shared" si="0"/>
        <v>4531108.1682000011</v>
      </c>
    </row>
    <row r="35" spans="1:13">
      <c r="A35" s="319">
        <v>34</v>
      </c>
      <c r="B35" s="265" t="s">
        <v>128</v>
      </c>
      <c r="C35" s="265" t="s">
        <v>129</v>
      </c>
      <c r="D35" s="266">
        <f>+MKBD!E42</f>
        <v>3000</v>
      </c>
      <c r="E35" s="266">
        <f>+MKBD!G42</f>
        <v>296820</v>
      </c>
      <c r="F35" s="266">
        <f>+MKBD!H42</f>
        <v>10</v>
      </c>
      <c r="G35" s="266">
        <f>+MKBD!J42</f>
        <v>1122.7</v>
      </c>
      <c r="H35" s="266">
        <f t="shared" si="2"/>
        <v>297942.7</v>
      </c>
      <c r="I35" s="266">
        <f>+MKBD!K3</f>
        <v>631570.80990000116</v>
      </c>
      <c r="J35" s="266">
        <f>+MKBD!L42</f>
        <v>0</v>
      </c>
      <c r="K35" s="320">
        <f t="shared" si="0"/>
        <v>929513.50990000111</v>
      </c>
    </row>
    <row r="36" spans="1:13">
      <c r="A36" s="319">
        <v>35</v>
      </c>
      <c r="B36" s="265" t="s">
        <v>130</v>
      </c>
      <c r="C36" s="265" t="s">
        <v>131</v>
      </c>
      <c r="D36" s="266">
        <f>' Haveri-2'!E42</f>
        <v>3772.1499999999996</v>
      </c>
      <c r="E36" s="266">
        <f>' Haveri-2'!G42</f>
        <v>374561.75220000005</v>
      </c>
      <c r="F36" s="266">
        <f>' Haveri-2'!H42</f>
        <v>113.78999999999999</v>
      </c>
      <c r="G36" s="266">
        <f>' Haveri-2'!J42</f>
        <v>12676.205999999998</v>
      </c>
      <c r="H36" s="266">
        <f t="shared" si="2"/>
        <v>387237.95820000005</v>
      </c>
      <c r="I36" s="266">
        <f>' Haveri-2'!M3</f>
        <v>132797.44649999982</v>
      </c>
      <c r="J36" s="266">
        <f>+' Haveri-2'!L42</f>
        <v>401000.01919999998</v>
      </c>
      <c r="K36" s="320">
        <f t="shared" si="0"/>
        <v>119035.38549999986</v>
      </c>
    </row>
    <row r="37" spans="1:13">
      <c r="A37" s="319">
        <v>36</v>
      </c>
      <c r="B37" s="265" t="s">
        <v>132</v>
      </c>
      <c r="C37" s="265" t="s">
        <v>133</v>
      </c>
      <c r="D37" s="266">
        <f>+' Guttal-2'!E35</f>
        <v>7568.35</v>
      </c>
      <c r="E37" s="266">
        <f>+' Guttal-2'!G35</f>
        <v>753807.66</v>
      </c>
      <c r="F37" s="266">
        <f>+' Guttal-2'!H35</f>
        <v>166.06</v>
      </c>
      <c r="G37" s="266">
        <f>+' Guttal-2'!J35</f>
        <v>18550.562599999997</v>
      </c>
      <c r="H37" s="266">
        <f t="shared" si="2"/>
        <v>772358.22259999998</v>
      </c>
      <c r="I37" s="266">
        <f>+' Guttal-2'!M3</f>
        <v>92031.493800000171</v>
      </c>
      <c r="J37" s="266">
        <f>+' Guttal-2'!L35</f>
        <v>700000</v>
      </c>
      <c r="K37" s="320">
        <f t="shared" si="0"/>
        <v>164389.71640000015</v>
      </c>
    </row>
    <row r="38" spans="1:13">
      <c r="A38" s="319">
        <v>37</v>
      </c>
      <c r="B38" s="265" t="s">
        <v>134</v>
      </c>
      <c r="C38" s="265" t="s">
        <v>135</v>
      </c>
      <c r="D38" s="266">
        <f>+'Rattihali-2'!E37</f>
        <v>5892.11</v>
      </c>
      <c r="E38" s="266">
        <f>+'Rattihali-2'!G37</f>
        <v>587443.36699999997</v>
      </c>
      <c r="F38" s="266">
        <f>+'Rattihali-2'!H37</f>
        <v>119.00999999999999</v>
      </c>
      <c r="G38" s="266">
        <f>+'Rattihali-2'!J37</f>
        <v>13357.398200000001</v>
      </c>
      <c r="H38" s="266">
        <f t="shared" si="2"/>
        <v>600800.76520000002</v>
      </c>
      <c r="I38" s="266">
        <f>+'Rattihali-2'!M3</f>
        <v>393080.15670000011</v>
      </c>
      <c r="J38" s="266">
        <f>+'Rattihali-2'!L37</f>
        <v>650000</v>
      </c>
      <c r="K38" s="320">
        <f t="shared" si="0"/>
        <v>343880.92190000019</v>
      </c>
    </row>
    <row r="39" spans="1:13">
      <c r="A39" s="319">
        <v>38</v>
      </c>
      <c r="B39" s="265" t="s">
        <v>136</v>
      </c>
      <c r="C39" s="265" t="s">
        <v>137</v>
      </c>
      <c r="D39" s="266">
        <f>+Gajendragada!E36</f>
        <v>750</v>
      </c>
      <c r="E39" s="266">
        <f>+Gajendragada!G36</f>
        <v>74730.000000000044</v>
      </c>
      <c r="F39" s="266">
        <f>+Gajendragada!H36</f>
        <v>46.63</v>
      </c>
      <c r="G39" s="266">
        <f>+Gajendragada!J36</f>
        <v>5211.8350999999993</v>
      </c>
      <c r="H39" s="266">
        <f t="shared" si="2"/>
        <v>79941.83510000004</v>
      </c>
      <c r="I39" s="266">
        <f>+Gajendragada!K3</f>
        <v>79945.407999999967</v>
      </c>
      <c r="J39" s="266">
        <f>+Gajendragada!L36</f>
        <v>100000</v>
      </c>
      <c r="K39" s="320">
        <f t="shared" si="0"/>
        <v>59887.243100000022</v>
      </c>
    </row>
    <row r="40" spans="1:13">
      <c r="A40" s="319">
        <v>39</v>
      </c>
      <c r="B40" s="268" t="s">
        <v>138</v>
      </c>
      <c r="C40" s="268" t="s">
        <v>139</v>
      </c>
      <c r="D40" s="266">
        <f>+'Gokak Dharwad PKG 3'!E42</f>
        <v>7986.0599999999995</v>
      </c>
      <c r="E40" s="266">
        <f>+'Gokak Dharwad PKG 3'!G42</f>
        <v>792935.89740000013</v>
      </c>
      <c r="F40" s="266">
        <f>+'Gokak Dharwad PKG 3'!H42</f>
        <v>45</v>
      </c>
      <c r="G40" s="266">
        <f>+'Gokak Dharwad PKG 3'!J42</f>
        <v>5012.0999999999995</v>
      </c>
      <c r="H40" s="266">
        <f t="shared" si="2"/>
        <v>797947.99740000011</v>
      </c>
      <c r="I40" s="339">
        <f>+'Gokak Dharwad PKG 3'!K3</f>
        <v>144866.45830000142</v>
      </c>
      <c r="J40" s="266">
        <f>+'Gokak Dharwad PKG 3'!L42</f>
        <v>500000</v>
      </c>
      <c r="K40" s="320">
        <f t="shared" si="0"/>
        <v>442814.45570000156</v>
      </c>
      <c r="M40" s="270"/>
    </row>
    <row r="41" spans="1:13">
      <c r="A41" s="319">
        <v>40</v>
      </c>
      <c r="B41" s="268" t="s">
        <v>140</v>
      </c>
      <c r="C41" s="268" t="s">
        <v>141</v>
      </c>
      <c r="D41" s="266">
        <f>+' TR Associates'!E35</f>
        <v>11076.66</v>
      </c>
      <c r="E41" s="266">
        <f>+' TR Associates'!G35</f>
        <v>1098029.3058000002</v>
      </c>
      <c r="F41" s="266">
        <f>+' TR Associates'!H35</f>
        <v>0</v>
      </c>
      <c r="G41" s="266">
        <f>+' TR Associates'!J35</f>
        <v>0</v>
      </c>
      <c r="H41" s="337">
        <f t="shared" si="2"/>
        <v>1098029.3058000002</v>
      </c>
      <c r="I41" s="336">
        <f>+' TR Associates'!M3</f>
        <v>300159.8882000001</v>
      </c>
      <c r="J41" s="338">
        <f>+' TR Associates'!L35</f>
        <v>0</v>
      </c>
      <c r="K41" s="320">
        <f t="shared" si="0"/>
        <v>1398189.1940000004</v>
      </c>
      <c r="M41" s="270"/>
    </row>
    <row r="42" spans="1:13">
      <c r="A42" s="319">
        <v>41</v>
      </c>
      <c r="B42" s="268" t="s">
        <v>142</v>
      </c>
      <c r="C42" s="268" t="s">
        <v>143</v>
      </c>
      <c r="D42" s="266">
        <f>+Ankalgi!E35</f>
        <v>773.16</v>
      </c>
      <c r="E42" s="266">
        <f>+Ankalgi!G35</f>
        <v>76643.3508</v>
      </c>
      <c r="F42" s="266">
        <f>+Ankalgi!H35</f>
        <v>20</v>
      </c>
      <c r="G42" s="266">
        <f>+Ankalgi!J35</f>
        <v>2224.1999999999998</v>
      </c>
      <c r="H42" s="266">
        <f t="shared" si="2"/>
        <v>78867.550799999997</v>
      </c>
      <c r="I42" s="287">
        <f>+Ankalgi!M3</f>
        <v>235407.38489999998</v>
      </c>
      <c r="J42" s="266">
        <f>+Ankalgi!L35</f>
        <v>200000</v>
      </c>
      <c r="K42" s="320">
        <f>H42+I42-J42</f>
        <v>114274.93569999997</v>
      </c>
    </row>
    <row r="43" spans="1:13">
      <c r="A43" s="319">
        <v>42</v>
      </c>
      <c r="B43" s="268" t="s">
        <v>144</v>
      </c>
      <c r="C43" s="268" t="s">
        <v>145</v>
      </c>
      <c r="D43" s="266">
        <f>+'SHRI DESHPANDE'!E35</f>
        <v>7079.5800000000008</v>
      </c>
      <c r="E43" s="266">
        <f>+'SHRI DESHPANDE'!G35</f>
        <v>703499.3287999999</v>
      </c>
      <c r="F43" s="266">
        <f>+'SHRI DESHPANDE'!H35</f>
        <v>439</v>
      </c>
      <c r="G43" s="266">
        <f>+'SHRI DESHPANDE'!J35</f>
        <v>48930.939999999988</v>
      </c>
      <c r="H43" s="337">
        <f>E43+G43</f>
        <v>752430.26879999985</v>
      </c>
      <c r="I43" s="336">
        <f>+'SHRI DESHPANDE'!M3</f>
        <v>293806.42680000019</v>
      </c>
      <c r="J43" s="338">
        <f>+'SHRI DESHPANDE'!L35</f>
        <v>0</v>
      </c>
      <c r="K43" s="320">
        <f>H43+I43-J43</f>
        <v>1046236.6956</v>
      </c>
    </row>
    <row r="44" spans="1:13">
      <c r="A44" s="319">
        <v>43</v>
      </c>
      <c r="B44" s="268" t="s">
        <v>146</v>
      </c>
      <c r="C44" s="268" t="s">
        <v>147</v>
      </c>
      <c r="D44" s="266">
        <f>+' Shankeshwar'!E35</f>
        <v>60</v>
      </c>
      <c r="E44" s="266">
        <f>+' Shankeshwar'!G35</f>
        <v>5947.2000000000007</v>
      </c>
      <c r="F44" s="266">
        <f>+' Shankeshwar'!H35</f>
        <v>14</v>
      </c>
      <c r="G44" s="266">
        <f>+' Shankeshwar'!J35</f>
        <v>1556.8000000000002</v>
      </c>
      <c r="H44" s="337">
        <f t="shared" si="2"/>
        <v>7504.0000000000009</v>
      </c>
      <c r="I44" s="427">
        <f>' Shankeshwar'!M3</f>
        <v>0</v>
      </c>
      <c r="J44" s="338">
        <f>+' Shankeshwar'!L35</f>
        <v>7504</v>
      </c>
      <c r="K44" s="320">
        <f t="shared" si="0"/>
        <v>0</v>
      </c>
    </row>
    <row r="45" spans="1:13">
      <c r="A45" s="319">
        <v>44</v>
      </c>
      <c r="B45" s="268" t="s">
        <v>148</v>
      </c>
      <c r="C45" s="268" t="s">
        <v>149</v>
      </c>
      <c r="D45" s="266">
        <f>+' Talikote'!E48</f>
        <v>655.19000000000005</v>
      </c>
      <c r="E45" s="266">
        <f>+' Talikote'!G48</f>
        <v>64972.611499999992</v>
      </c>
      <c r="F45" s="266">
        <f>+' Talikote'!H48</f>
        <v>68.67</v>
      </c>
      <c r="G45" s="266">
        <f>+' Talikote'!J48</f>
        <v>7651.2114000000001</v>
      </c>
      <c r="H45" s="266">
        <f t="shared" si="2"/>
        <v>72623.822899999999</v>
      </c>
      <c r="I45" s="360">
        <f>+' Talikote'!N3</f>
        <v>12987.918799999983</v>
      </c>
      <c r="J45" s="266">
        <f>+' Talikote'!L48</f>
        <v>65430.793100000003</v>
      </c>
      <c r="K45" s="320">
        <f t="shared" si="0"/>
        <v>20180.948599999982</v>
      </c>
    </row>
    <row r="46" spans="1:13">
      <c r="A46" s="319">
        <v>45</v>
      </c>
      <c r="B46" s="268" t="s">
        <v>150</v>
      </c>
      <c r="C46" s="268" t="s">
        <v>151</v>
      </c>
      <c r="D46" s="266">
        <f>+Chadchan!E35</f>
        <v>1345.79</v>
      </c>
      <c r="E46" s="266">
        <f>+Chadchan!G35</f>
        <v>133394.70479999995</v>
      </c>
      <c r="F46" s="266">
        <f>+Chadchan!H35</f>
        <v>112.57</v>
      </c>
      <c r="G46" s="266">
        <f>+Chadchan!J35</f>
        <v>12552.818299999999</v>
      </c>
      <c r="H46" s="266">
        <f t="shared" si="2"/>
        <v>145947.52309999993</v>
      </c>
      <c r="I46" s="266">
        <f>+Chadchan!K3</f>
        <v>72362.652400000108</v>
      </c>
      <c r="J46" s="266">
        <f>+Chadchan!L35</f>
        <v>100000</v>
      </c>
      <c r="K46" s="320">
        <f t="shared" si="0"/>
        <v>118310.17550000004</v>
      </c>
    </row>
    <row r="47" spans="1:13">
      <c r="A47" s="319">
        <v>46</v>
      </c>
      <c r="B47" s="268" t="s">
        <v>152</v>
      </c>
      <c r="C47" s="268" t="s">
        <v>153</v>
      </c>
      <c r="D47" s="266">
        <f>+Sindagi!E36</f>
        <v>699.73</v>
      </c>
      <c r="E47" s="266">
        <f>+Sindagi!G36</f>
        <v>69322.251099999994</v>
      </c>
      <c r="F47" s="266">
        <f>+Sindagi!H36</f>
        <v>5</v>
      </c>
      <c r="G47" s="266">
        <f>+Sindagi!J36</f>
        <v>603.20000000000005</v>
      </c>
      <c r="H47" s="266">
        <f t="shared" si="2"/>
        <v>69925.451099999991</v>
      </c>
      <c r="I47" s="266">
        <f>+Sindagi!M3</f>
        <v>13667.988899999997</v>
      </c>
      <c r="J47" s="266">
        <f>+Sindagi!L36</f>
        <v>60000</v>
      </c>
      <c r="K47" s="320">
        <f t="shared" si="0"/>
        <v>23593.439999999988</v>
      </c>
    </row>
    <row r="48" spans="1:13" ht="16.5" customHeight="1">
      <c r="A48" s="319">
        <v>47</v>
      </c>
      <c r="B48" s="268" t="s">
        <v>154</v>
      </c>
      <c r="C48" s="268" t="s">
        <v>155</v>
      </c>
      <c r="D48" s="266">
        <f>+'Muddebhihal-2'!E50</f>
        <v>1715.21</v>
      </c>
      <c r="E48" s="266">
        <f>+'Muddebhihal-2'!G50</f>
        <v>170200.28830000001</v>
      </c>
      <c r="F48" s="266">
        <f>+'Muddebhihal-2'!H50</f>
        <v>40</v>
      </c>
      <c r="G48" s="266">
        <f>+'Muddebhihal-2'!J50</f>
        <v>4499.9499999999989</v>
      </c>
      <c r="H48" s="266">
        <f>+'Muddebhihal-2'!K50</f>
        <v>174700.23830000003</v>
      </c>
      <c r="I48" s="266">
        <f>+'Muddebhihal-2'!M3</f>
        <v>159608.51110000009</v>
      </c>
      <c r="J48" s="266">
        <f>+'Muddebhihal-2'!L50</f>
        <v>150000</v>
      </c>
      <c r="K48" s="320">
        <f>+'Muddebhihal-2'!M49</f>
        <v>184308.74940000003</v>
      </c>
    </row>
    <row r="49" spans="1:13" ht="16.5" customHeight="1">
      <c r="A49" s="319">
        <v>48</v>
      </c>
      <c r="B49" s="268" t="s">
        <v>156</v>
      </c>
      <c r="C49" s="268" t="s">
        <v>157</v>
      </c>
      <c r="D49" s="266">
        <f>+Alemela!E43</f>
        <v>471.07000000000005</v>
      </c>
      <c r="E49" s="266">
        <f>+Alemela!G43</f>
        <v>46767.829599999997</v>
      </c>
      <c r="F49" s="266">
        <f>+Alemela!H43</f>
        <v>55.730000000000004</v>
      </c>
      <c r="G49" s="266">
        <f>+Alemela!J43</f>
        <v>6199.2468999999992</v>
      </c>
      <c r="H49" s="266">
        <f t="shared" si="2"/>
        <v>52967.076499999996</v>
      </c>
      <c r="I49" s="266">
        <f>+Alemela!M3</f>
        <v>69763.205799999996</v>
      </c>
      <c r="J49" s="266">
        <f>+Alemela!L43</f>
        <v>94199.962</v>
      </c>
      <c r="K49" s="320">
        <f t="shared" si="0"/>
        <v>28530.320299999992</v>
      </c>
    </row>
    <row r="50" spans="1:13">
      <c r="A50" s="319">
        <v>49</v>
      </c>
      <c r="B50" s="268" t="s">
        <v>158</v>
      </c>
      <c r="C50" s="268" t="s">
        <v>159</v>
      </c>
      <c r="D50" s="266">
        <f>+Nalatwad!E43</f>
        <v>1031.1600000000001</v>
      </c>
      <c r="E50" s="266">
        <f>+Nalatwad!G43</f>
        <v>102538.55039999999</v>
      </c>
      <c r="F50" s="266">
        <f>+Nalatwad!H43</f>
        <v>18.25</v>
      </c>
      <c r="G50" s="266">
        <f>+Nalatwad!J43</f>
        <v>2144.3334999999997</v>
      </c>
      <c r="H50" s="266">
        <f>E50+G50</f>
        <v>104682.88389999999</v>
      </c>
      <c r="I50" s="266">
        <f>+Nalatwad!M3</f>
        <v>16349.323500000028</v>
      </c>
      <c r="J50" s="266">
        <f>+Nalatwad!L43</f>
        <v>0</v>
      </c>
      <c r="K50" s="320">
        <f>H50+I50-J50</f>
        <v>121032.20740000001</v>
      </c>
    </row>
    <row r="51" spans="1:13">
      <c r="A51" s="319">
        <v>50</v>
      </c>
      <c r="B51" s="268" t="s">
        <v>160</v>
      </c>
      <c r="C51" s="268" t="s">
        <v>161</v>
      </c>
      <c r="D51" s="266">
        <f>+Srirangapatna!E35</f>
        <v>121.96</v>
      </c>
      <c r="E51" s="266">
        <f>+Srirangapatna!G35</f>
        <v>11999.644399999999</v>
      </c>
      <c r="F51" s="266">
        <f>+Srirangapatna!H35</f>
        <v>28.85</v>
      </c>
      <c r="G51" s="266">
        <f>+Srirangapatna!J35</f>
        <v>2632.7840000000001</v>
      </c>
      <c r="H51" s="266">
        <f t="shared" si="2"/>
        <v>14632.428399999999</v>
      </c>
      <c r="I51" s="266">
        <v>0</v>
      </c>
      <c r="J51" s="266">
        <f>+Srirangapatna!L35</f>
        <v>14632.428399999999</v>
      </c>
      <c r="K51" s="320">
        <f t="shared" si="0"/>
        <v>0</v>
      </c>
    </row>
    <row r="52" spans="1:13">
      <c r="A52" s="319">
        <v>51</v>
      </c>
      <c r="B52" s="268" t="s">
        <v>162</v>
      </c>
      <c r="C52" s="265" t="s">
        <v>71</v>
      </c>
      <c r="D52" s="325">
        <f>+'HO(DG)'!E46</f>
        <v>1080</v>
      </c>
      <c r="E52" s="325">
        <f>+'HO(DG)'!G46</f>
        <v>112108.79999999999</v>
      </c>
      <c r="F52" s="325">
        <f>+'HO(DG)'!H46</f>
        <v>0</v>
      </c>
      <c r="G52" s="325">
        <f>+'HO(DG)'!J46</f>
        <v>0</v>
      </c>
      <c r="H52" s="266">
        <f t="shared" si="2"/>
        <v>112108.79999999999</v>
      </c>
      <c r="I52" s="325">
        <f>+'HO(DG)'!M3</f>
        <v>182921.75</v>
      </c>
      <c r="J52" s="325">
        <f>+'HO(DG)'!L46</f>
        <v>29052.800000000003</v>
      </c>
      <c r="K52" s="320">
        <f t="shared" si="0"/>
        <v>265977.75</v>
      </c>
    </row>
    <row r="53" spans="1:13">
      <c r="A53" s="547" t="s">
        <v>36</v>
      </c>
      <c r="B53" s="548"/>
      <c r="C53" s="549"/>
      <c r="D53" s="321">
        <f>SUM(D2:D52)</f>
        <v>292841.48099999997</v>
      </c>
      <c r="E53" s="321">
        <f t="shared" ref="E53:G53" si="3">SUM(E2:E52)</f>
        <v>29989878.101599991</v>
      </c>
      <c r="F53" s="321">
        <f t="shared" si="3"/>
        <v>5561.7230000000009</v>
      </c>
      <c r="G53" s="321">
        <f>SUM(G2:G52)</f>
        <v>631592.08069999982</v>
      </c>
      <c r="H53" s="321">
        <f>SUM(H2:H52)</f>
        <v>30621470.18229999</v>
      </c>
      <c r="I53" s="321">
        <f>SUM(I2:I52)</f>
        <v>20831627.933332998</v>
      </c>
      <c r="J53" s="321">
        <f>SUM(J2:J52)</f>
        <v>13312378.656100001</v>
      </c>
      <c r="K53" s="322">
        <f>H53+I53-J53</f>
        <v>38140719.459532991</v>
      </c>
      <c r="M53" s="270"/>
    </row>
    <row r="54" spans="1:13">
      <c r="K54" s="269"/>
    </row>
    <row r="56" spans="1:13">
      <c r="K56" s="269"/>
    </row>
    <row r="57" spans="1:13">
      <c r="K57" s="269"/>
    </row>
    <row r="58" spans="1:13">
      <c r="A58" s="300" t="s">
        <v>55</v>
      </c>
      <c r="B58" s="300" t="s">
        <v>56</v>
      </c>
      <c r="C58" s="300" t="s">
        <v>57</v>
      </c>
      <c r="D58" s="301" t="s">
        <v>58</v>
      </c>
      <c r="E58" s="301" t="s">
        <v>59</v>
      </c>
      <c r="F58" s="301" t="s">
        <v>60</v>
      </c>
      <c r="G58" s="301" t="s">
        <v>61</v>
      </c>
      <c r="H58" s="301" t="s">
        <v>62</v>
      </c>
      <c r="I58" s="301" t="s">
        <v>63</v>
      </c>
      <c r="J58" s="301" t="s">
        <v>64</v>
      </c>
      <c r="K58" s="301" t="s">
        <v>65</v>
      </c>
    </row>
    <row r="59" spans="1:13">
      <c r="A59" s="302">
        <v>39</v>
      </c>
      <c r="B59" s="302" t="str" cm="1">
        <f t="array" ref="B59:K59">VLOOKUP(A59,A1:K51,{2,3,4,5,6,7,8,9,10,11},FALSE)</f>
        <v>Gokak(PKG-3)</v>
      </c>
      <c r="C59" s="302" t="str">
        <v>AJ Petrolinks</v>
      </c>
      <c r="D59" s="302">
        <v>7986.0599999999995</v>
      </c>
      <c r="E59" s="302">
        <v>792935.89740000013</v>
      </c>
      <c r="F59" s="302">
        <v>45</v>
      </c>
      <c r="G59" s="302">
        <v>5012.0999999999995</v>
      </c>
      <c r="H59" s="302">
        <v>797947.99740000011</v>
      </c>
      <c r="I59" s="302">
        <v>144866.45830000142</v>
      </c>
      <c r="J59" s="302">
        <v>500000</v>
      </c>
      <c r="K59" s="302">
        <v>442814.45570000156</v>
      </c>
    </row>
    <row r="61" spans="1:13">
      <c r="B61" s="300" t="s">
        <v>56</v>
      </c>
      <c r="C61" s="300" t="s">
        <v>57</v>
      </c>
      <c r="D61" s="301" t="s">
        <v>58</v>
      </c>
      <c r="E61" s="301" t="s">
        <v>59</v>
      </c>
      <c r="F61" s="301" t="s">
        <v>60</v>
      </c>
      <c r="G61" s="301" t="s">
        <v>61</v>
      </c>
      <c r="H61" s="301" t="s">
        <v>62</v>
      </c>
      <c r="I61" s="301" t="s">
        <v>63</v>
      </c>
      <c r="J61" s="301" t="s">
        <v>64</v>
      </c>
      <c r="K61" s="301" t="s">
        <v>65</v>
      </c>
    </row>
    <row r="62" spans="1:13">
      <c r="B62" s="6" t="s">
        <v>126</v>
      </c>
      <c r="C62" s="264" t="str" cm="1">
        <f t="array" ref="C62:K62">VLOOKUP(B62,B1:K51,{2,3,4,5,6,7,8,9,10},FALSE)</f>
        <v>Nayara</v>
      </c>
      <c r="D62" s="264">
        <v>19809.440000000002</v>
      </c>
      <c r="E62" s="264">
        <v>1971173.4182000002</v>
      </c>
      <c r="F62" s="264">
        <v>150</v>
      </c>
      <c r="G62" s="264">
        <v>16977</v>
      </c>
      <c r="H62" s="264">
        <v>1988150.4182000002</v>
      </c>
      <c r="I62" s="264">
        <v>2547026.4441000004</v>
      </c>
      <c r="J62" s="264">
        <v>4068.6941000000002</v>
      </c>
      <c r="K62" s="264">
        <v>4531108.1682000011</v>
      </c>
    </row>
    <row r="73" spans="12:14">
      <c r="L73" s="523"/>
      <c r="M73" s="523"/>
      <c r="N73" s="523"/>
    </row>
    <row r="74" spans="12:14">
      <c r="L74" s="523"/>
      <c r="M74" s="523"/>
      <c r="N74" s="523"/>
    </row>
    <row r="75" spans="12:14">
      <c r="L75" s="523"/>
      <c r="M75" s="523"/>
      <c r="N75" s="523"/>
    </row>
    <row r="76" spans="12:14">
      <c r="L76" s="523"/>
      <c r="M76" s="523"/>
      <c r="N76" s="523"/>
    </row>
    <row r="77" spans="12:14">
      <c r="L77" s="523"/>
      <c r="M77" s="523"/>
      <c r="N77" s="523"/>
    </row>
    <row r="78" spans="12:14">
      <c r="L78" s="523"/>
      <c r="M78" s="523"/>
      <c r="N78" s="523"/>
    </row>
    <row r="79" spans="12:14">
      <c r="L79" s="523"/>
      <c r="M79" s="523"/>
      <c r="N79" s="523"/>
    </row>
    <row r="80" spans="12:14">
      <c r="L80" s="523"/>
      <c r="M80" s="523"/>
      <c r="N80" s="523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53:C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39FC-1DEE-4D53-95A1-C1F1A0CD88CD}">
  <dimension ref="A1:S57"/>
  <sheetViews>
    <sheetView topLeftCell="A25" workbookViewId="0">
      <selection activeCell="P39" sqref="P39"/>
    </sheetView>
  </sheetViews>
  <sheetFormatPr defaultRowHeight="15"/>
  <cols>
    <col min="2" max="2" width="10.42578125" bestFit="1" customWidth="1"/>
    <col min="4" max="4" width="18.42578125" customWidth="1"/>
    <col min="7" max="7" width="10.42578125" bestFit="1" customWidth="1"/>
    <col min="11" max="12" width="10.42578125" bestFit="1" customWidth="1"/>
    <col min="13" max="13" width="11.42578125" bestFit="1" customWidth="1"/>
    <col min="14" max="14" width="11.42578125" customWidth="1"/>
    <col min="16" max="16" width="13.5703125" bestFit="1" customWidth="1"/>
    <col min="17" max="17" width="15.85546875" customWidth="1"/>
    <col min="18" max="18" width="13.140625" customWidth="1"/>
    <col min="19" max="19" width="11.85546875" customWidth="1"/>
  </cols>
  <sheetData>
    <row r="1" spans="1:19" ht="15.75">
      <c r="A1" s="539" t="s">
        <v>71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</row>
    <row r="2" spans="1:19" ht="27">
      <c r="A2" s="100" t="s">
        <v>0</v>
      </c>
      <c r="B2" s="102" t="s">
        <v>163</v>
      </c>
      <c r="C2" s="102" t="s">
        <v>164</v>
      </c>
      <c r="D2" s="102" t="s">
        <v>165</v>
      </c>
      <c r="E2" s="102" t="s">
        <v>166</v>
      </c>
      <c r="F2" s="102" t="s">
        <v>167</v>
      </c>
      <c r="G2" s="102" t="s">
        <v>168</v>
      </c>
      <c r="H2" s="102" t="s">
        <v>169</v>
      </c>
      <c r="I2" s="102" t="s">
        <v>167</v>
      </c>
      <c r="J2" s="102" t="s">
        <v>168</v>
      </c>
      <c r="K2" s="139" t="s">
        <v>170</v>
      </c>
      <c r="L2" s="139" t="s">
        <v>171</v>
      </c>
      <c r="M2" s="139" t="s">
        <v>172</v>
      </c>
      <c r="N2" s="102" t="s">
        <v>173</v>
      </c>
    </row>
    <row r="3" spans="1:19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2"/>
      <c r="K3" s="127">
        <v>182921.75</v>
      </c>
      <c r="L3" s="225"/>
      <c r="M3" s="306">
        <v>182921.75</v>
      </c>
      <c r="N3" s="226"/>
      <c r="O3">
        <v>2623243.3616999988</v>
      </c>
    </row>
    <row r="4" spans="1:19">
      <c r="A4" s="23">
        <v>1</v>
      </c>
      <c r="B4" s="24">
        <v>46204</v>
      </c>
      <c r="C4" s="103"/>
      <c r="D4" s="32"/>
      <c r="E4" s="33"/>
      <c r="F4" s="33"/>
      <c r="G4" s="33">
        <f>E4*F4</f>
        <v>0</v>
      </c>
      <c r="H4" s="312">
        <v>0</v>
      </c>
      <c r="I4" s="312">
        <v>0</v>
      </c>
      <c r="J4" s="33">
        <f>H4*I4</f>
        <v>0</v>
      </c>
      <c r="K4" s="33">
        <f t="shared" ref="K4:L45" si="0">G4+J4</f>
        <v>0</v>
      </c>
      <c r="L4" s="190">
        <v>0</v>
      </c>
      <c r="M4" s="33">
        <f>M3+K4-L4</f>
        <v>182921.75</v>
      </c>
      <c r="N4" s="227"/>
      <c r="P4" s="19"/>
    </row>
    <row r="5" spans="1:19">
      <c r="A5" s="23">
        <v>2</v>
      </c>
      <c r="B5" s="24">
        <v>46205</v>
      </c>
      <c r="C5" s="103"/>
      <c r="D5" s="32"/>
      <c r="E5" s="33"/>
      <c r="F5" s="33"/>
      <c r="G5" s="33">
        <f t="shared" ref="G5:G21" si="1">E5*F5</f>
        <v>0</v>
      </c>
      <c r="H5" s="312"/>
      <c r="I5" s="312"/>
      <c r="J5" s="33"/>
      <c r="K5" s="33">
        <f t="shared" si="0"/>
        <v>0</v>
      </c>
      <c r="L5" s="190"/>
      <c r="M5" s="33">
        <f t="shared" ref="M5:M38" si="2">M4+K5-L5</f>
        <v>182921.75</v>
      </c>
      <c r="N5" s="229"/>
      <c r="R5" s="14" t="s">
        <v>43</v>
      </c>
      <c r="S5" s="379">
        <v>188521.2205</v>
      </c>
    </row>
    <row r="6" spans="1:19">
      <c r="A6" s="23">
        <v>3</v>
      </c>
      <c r="B6" s="534">
        <v>46206</v>
      </c>
      <c r="C6" s="103"/>
      <c r="D6" s="32"/>
      <c r="E6" s="33">
        <v>200</v>
      </c>
      <c r="F6" s="33">
        <v>103.82</v>
      </c>
      <c r="G6" s="33">
        <f t="shared" si="1"/>
        <v>20764</v>
      </c>
      <c r="H6" s="312"/>
      <c r="I6" s="312"/>
      <c r="J6" s="33"/>
      <c r="K6" s="33">
        <f t="shared" si="0"/>
        <v>20764</v>
      </c>
      <c r="L6" s="33">
        <v>0</v>
      </c>
      <c r="M6" s="33">
        <f t="shared" si="2"/>
        <v>203685.75</v>
      </c>
      <c r="N6" s="33"/>
      <c r="R6" s="14" t="s">
        <v>175</v>
      </c>
      <c r="S6" s="379">
        <v>8227903</v>
      </c>
    </row>
    <row r="7" spans="1:19">
      <c r="A7" s="23">
        <v>4</v>
      </c>
      <c r="B7" s="24">
        <v>46207</v>
      </c>
      <c r="C7" s="103"/>
      <c r="D7" s="32"/>
      <c r="E7" s="33"/>
      <c r="F7" s="33"/>
      <c r="G7" s="33">
        <f t="shared" si="1"/>
        <v>0</v>
      </c>
      <c r="H7" s="312"/>
      <c r="I7" s="312"/>
      <c r="J7" s="33"/>
      <c r="K7" s="33">
        <f t="shared" si="0"/>
        <v>0</v>
      </c>
      <c r="L7" s="33"/>
      <c r="M7" s="33">
        <f t="shared" si="2"/>
        <v>203685.75</v>
      </c>
      <c r="N7" s="33"/>
      <c r="R7" s="14" t="s">
        <v>176</v>
      </c>
      <c r="S7" s="379">
        <v>2453209.39</v>
      </c>
    </row>
    <row r="8" spans="1:19">
      <c r="A8" s="23">
        <v>5</v>
      </c>
      <c r="B8" s="24">
        <v>46208</v>
      </c>
      <c r="C8" s="103"/>
      <c r="D8" s="32"/>
      <c r="E8" s="33"/>
      <c r="F8" s="33"/>
      <c r="G8" s="33">
        <f t="shared" si="1"/>
        <v>0</v>
      </c>
      <c r="H8" s="312"/>
      <c r="I8" s="312"/>
      <c r="J8" s="33"/>
      <c r="K8" s="33">
        <f t="shared" si="0"/>
        <v>0</v>
      </c>
      <c r="L8" s="190"/>
      <c r="M8" s="33">
        <f t="shared" si="2"/>
        <v>203685.75</v>
      </c>
      <c r="N8" s="33"/>
      <c r="P8">
        <v>5679</v>
      </c>
      <c r="R8" s="14" t="s">
        <v>36</v>
      </c>
      <c r="S8" s="14">
        <f>SUM(S5:S7)</f>
        <v>10869633.6105</v>
      </c>
    </row>
    <row r="9" spans="1:19">
      <c r="A9" s="23">
        <v>6</v>
      </c>
      <c r="B9" s="24">
        <v>46209</v>
      </c>
      <c r="C9" s="31"/>
      <c r="D9" s="32"/>
      <c r="E9" s="33"/>
      <c r="F9" s="33"/>
      <c r="G9" s="33">
        <f t="shared" si="1"/>
        <v>0</v>
      </c>
      <c r="H9" s="312"/>
      <c r="I9" s="312"/>
      <c r="J9" s="33"/>
      <c r="K9" s="33">
        <f t="shared" si="0"/>
        <v>0</v>
      </c>
      <c r="L9" s="190"/>
      <c r="M9" s="33">
        <f t="shared" si="2"/>
        <v>203685.75</v>
      </c>
      <c r="N9" s="371"/>
      <c r="S9">
        <v>10869632</v>
      </c>
    </row>
    <row r="10" spans="1:19">
      <c r="A10" s="23">
        <v>7</v>
      </c>
      <c r="B10" s="24">
        <v>46210</v>
      </c>
      <c r="C10" s="31"/>
      <c r="D10" s="32"/>
      <c r="E10" s="33"/>
      <c r="F10" s="33"/>
      <c r="G10" s="33">
        <f t="shared" si="1"/>
        <v>0</v>
      </c>
      <c r="H10" s="312"/>
      <c r="I10" s="312"/>
      <c r="J10" s="33"/>
      <c r="K10" s="33">
        <f t="shared" si="0"/>
        <v>0</v>
      </c>
      <c r="L10" s="33">
        <f t="shared" si="0"/>
        <v>0</v>
      </c>
      <c r="M10" s="33">
        <f t="shared" si="2"/>
        <v>203685.75</v>
      </c>
      <c r="N10" s="191" t="s">
        <v>177</v>
      </c>
      <c r="S10" s="306">
        <f>S9-S8</f>
        <v>-1.6105000004172325</v>
      </c>
    </row>
    <row r="11" spans="1:19">
      <c r="A11" s="23"/>
      <c r="B11" s="24">
        <v>46211</v>
      </c>
      <c r="C11" s="31"/>
      <c r="D11" s="32"/>
      <c r="E11" s="33"/>
      <c r="F11" s="33"/>
      <c r="G11" s="33">
        <f t="shared" si="1"/>
        <v>0</v>
      </c>
      <c r="H11" s="312"/>
      <c r="I11" s="312"/>
      <c r="J11" s="33"/>
      <c r="K11" s="33">
        <f t="shared" si="0"/>
        <v>0</v>
      </c>
      <c r="L11" s="33">
        <f t="shared" si="0"/>
        <v>0</v>
      </c>
      <c r="M11" s="33">
        <f t="shared" si="2"/>
        <v>203685.75</v>
      </c>
      <c r="N11" s="191" t="s">
        <v>177</v>
      </c>
      <c r="S11" s="306"/>
    </row>
    <row r="12" spans="1:19">
      <c r="A12" s="23">
        <v>8</v>
      </c>
      <c r="B12" s="24">
        <v>46212</v>
      </c>
      <c r="C12" s="31"/>
      <c r="D12" s="32"/>
      <c r="E12" s="33"/>
      <c r="F12" s="33"/>
      <c r="G12" s="33">
        <f t="shared" si="1"/>
        <v>0</v>
      </c>
      <c r="H12" s="312"/>
      <c r="I12" s="312"/>
      <c r="J12" s="33"/>
      <c r="K12" s="33">
        <f t="shared" si="0"/>
        <v>0</v>
      </c>
      <c r="L12" s="33">
        <f t="shared" si="0"/>
        <v>0</v>
      </c>
      <c r="M12" s="33">
        <f t="shared" si="2"/>
        <v>203685.75</v>
      </c>
      <c r="N12" s="191" t="s">
        <v>177</v>
      </c>
    </row>
    <row r="13" spans="1:19">
      <c r="A13" s="23">
        <v>9</v>
      </c>
      <c r="B13" s="24">
        <v>46213</v>
      </c>
      <c r="C13" s="31"/>
      <c r="D13" s="32"/>
      <c r="E13" s="33">
        <v>35</v>
      </c>
      <c r="F13" s="33">
        <v>103.76</v>
      </c>
      <c r="G13" s="33">
        <f t="shared" si="1"/>
        <v>3631.6000000000004</v>
      </c>
      <c r="H13" s="312"/>
      <c r="I13" s="312"/>
      <c r="J13" s="33"/>
      <c r="K13" s="33">
        <f t="shared" si="0"/>
        <v>3631.6000000000004</v>
      </c>
      <c r="L13" s="33">
        <f t="shared" si="0"/>
        <v>3631.6000000000004</v>
      </c>
      <c r="M13" s="33">
        <f t="shared" si="2"/>
        <v>203685.75</v>
      </c>
      <c r="N13" s="191"/>
      <c r="Q13">
        <v>54.98</v>
      </c>
    </row>
    <row r="14" spans="1:19">
      <c r="A14" s="23">
        <v>10</v>
      </c>
      <c r="B14" s="24">
        <v>46214</v>
      </c>
      <c r="C14" s="31"/>
      <c r="D14" s="32"/>
      <c r="E14" s="33">
        <v>35</v>
      </c>
      <c r="F14" s="33">
        <v>103.76</v>
      </c>
      <c r="G14" s="33">
        <f t="shared" si="1"/>
        <v>3631.6000000000004</v>
      </c>
      <c r="H14" s="312"/>
      <c r="I14" s="312"/>
      <c r="J14" s="33"/>
      <c r="K14" s="33">
        <f t="shared" si="0"/>
        <v>3631.6000000000004</v>
      </c>
      <c r="L14" s="33">
        <f t="shared" si="0"/>
        <v>3631.6000000000004</v>
      </c>
      <c r="M14" s="33">
        <f t="shared" si="2"/>
        <v>203685.75</v>
      </c>
      <c r="N14" s="191"/>
      <c r="Q14">
        <v>54.98</v>
      </c>
    </row>
    <row r="15" spans="1:19">
      <c r="A15" s="23">
        <v>11</v>
      </c>
      <c r="B15" s="534">
        <v>46215</v>
      </c>
      <c r="C15" s="31"/>
      <c r="D15" s="32"/>
      <c r="E15" s="33">
        <v>200</v>
      </c>
      <c r="F15" s="33">
        <v>103.82</v>
      </c>
      <c r="G15" s="33">
        <f t="shared" si="1"/>
        <v>20764</v>
      </c>
      <c r="H15" s="312"/>
      <c r="I15" s="312"/>
      <c r="J15" s="33"/>
      <c r="K15" s="33">
        <f t="shared" si="0"/>
        <v>20764</v>
      </c>
      <c r="L15" s="33"/>
      <c r="M15" s="33">
        <f t="shared" si="2"/>
        <v>224449.75</v>
      </c>
      <c r="N15" s="191"/>
    </row>
    <row r="16" spans="1:19">
      <c r="A16" s="23">
        <v>12</v>
      </c>
      <c r="B16" s="24">
        <v>46216</v>
      </c>
      <c r="C16" s="31"/>
      <c r="D16" s="32"/>
      <c r="E16" s="33"/>
      <c r="F16" s="33"/>
      <c r="G16" s="33">
        <f t="shared" si="1"/>
        <v>0</v>
      </c>
      <c r="H16" s="312"/>
      <c r="I16" s="312"/>
      <c r="J16" s="33"/>
      <c r="K16" s="33">
        <f t="shared" ref="K16:K19" si="3">G16+J16</f>
        <v>0</v>
      </c>
      <c r="L16" s="33">
        <f t="shared" ref="L16:L19" si="4">H16+K16</f>
        <v>0</v>
      </c>
      <c r="M16" s="33">
        <f t="shared" si="2"/>
        <v>224449.75</v>
      </c>
      <c r="N16" s="191"/>
      <c r="R16">
        <v>19166</v>
      </c>
    </row>
    <row r="17" spans="1:19">
      <c r="A17" s="23">
        <v>13</v>
      </c>
      <c r="B17" s="24">
        <v>46217</v>
      </c>
      <c r="C17" s="31"/>
      <c r="D17" s="32"/>
      <c r="E17" s="33"/>
      <c r="F17" s="33"/>
      <c r="G17" s="33">
        <f t="shared" si="1"/>
        <v>0</v>
      </c>
      <c r="H17" s="312"/>
      <c r="I17" s="312"/>
      <c r="J17" s="33"/>
      <c r="K17" s="33">
        <f t="shared" si="3"/>
        <v>0</v>
      </c>
      <c r="L17" s="33">
        <f t="shared" si="4"/>
        <v>0</v>
      </c>
      <c r="M17" s="33">
        <f t="shared" si="2"/>
        <v>224449.75</v>
      </c>
      <c r="N17" s="191"/>
      <c r="R17">
        <v>19645</v>
      </c>
    </row>
    <row r="18" spans="1:19">
      <c r="A18" s="23">
        <v>14</v>
      </c>
      <c r="B18" s="24">
        <v>46218</v>
      </c>
      <c r="C18" s="31"/>
      <c r="D18" s="32"/>
      <c r="E18" s="33"/>
      <c r="F18" s="33"/>
      <c r="G18" s="33">
        <f t="shared" si="1"/>
        <v>0</v>
      </c>
      <c r="H18" s="312"/>
      <c r="I18" s="312"/>
      <c r="J18" s="33"/>
      <c r="K18" s="33">
        <f t="shared" si="3"/>
        <v>0</v>
      </c>
      <c r="L18" s="33">
        <f t="shared" si="4"/>
        <v>0</v>
      </c>
      <c r="M18" s="33">
        <f t="shared" si="2"/>
        <v>224449.75</v>
      </c>
      <c r="N18" s="191"/>
      <c r="P18">
        <v>1905988</v>
      </c>
      <c r="Q18" s="167">
        <f>P18-M18</f>
        <v>1681538.25</v>
      </c>
      <c r="R18">
        <v>21083</v>
      </c>
    </row>
    <row r="19" spans="1:19">
      <c r="A19" s="23">
        <v>15</v>
      </c>
      <c r="B19" s="24">
        <v>46219</v>
      </c>
      <c r="C19" s="31"/>
      <c r="D19" s="32"/>
      <c r="E19" s="33">
        <v>70</v>
      </c>
      <c r="F19" s="33">
        <v>103.76</v>
      </c>
      <c r="G19" s="33">
        <f t="shared" si="1"/>
        <v>7263.2000000000007</v>
      </c>
      <c r="H19" s="312"/>
      <c r="I19" s="312"/>
      <c r="J19" s="33"/>
      <c r="K19" s="33">
        <f t="shared" ref="K19:L36" si="5">G19+J19</f>
        <v>7263.2000000000007</v>
      </c>
      <c r="L19" s="33">
        <f t="shared" ref="L19:L34" si="6">H19+K19</f>
        <v>7263.2000000000007</v>
      </c>
      <c r="M19" s="33">
        <f t="shared" si="2"/>
        <v>224449.75</v>
      </c>
      <c r="N19" s="191"/>
      <c r="R19">
        <v>19140</v>
      </c>
      <c r="S19">
        <v>220637</v>
      </c>
    </row>
    <row r="20" spans="1:19">
      <c r="A20" s="23">
        <v>16</v>
      </c>
      <c r="B20" s="534">
        <v>46220</v>
      </c>
      <c r="C20" s="31"/>
      <c r="D20" s="32"/>
      <c r="E20" s="33">
        <v>200</v>
      </c>
      <c r="F20" s="33">
        <v>103.82</v>
      </c>
      <c r="G20" s="33">
        <f t="shared" si="1"/>
        <v>20764</v>
      </c>
      <c r="H20" s="312"/>
      <c r="I20" s="312"/>
      <c r="J20" s="33"/>
      <c r="K20" s="33">
        <f t="shared" si="5"/>
        <v>20764</v>
      </c>
      <c r="L20" s="33"/>
      <c r="M20" s="33">
        <f t="shared" si="2"/>
        <v>245213.75</v>
      </c>
      <c r="N20" s="191" t="s">
        <v>177</v>
      </c>
      <c r="R20">
        <f>SUM(R16:R19)</f>
        <v>79034</v>
      </c>
      <c r="S20">
        <f>S19+R20</f>
        <v>299671</v>
      </c>
    </row>
    <row r="21" spans="1:19">
      <c r="A21" s="23">
        <v>17</v>
      </c>
      <c r="B21" s="24">
        <v>46221</v>
      </c>
      <c r="C21" s="31"/>
      <c r="D21" s="32"/>
      <c r="E21" s="33"/>
      <c r="F21" s="33"/>
      <c r="G21" s="33">
        <f t="shared" si="1"/>
        <v>0</v>
      </c>
      <c r="H21" s="312"/>
      <c r="I21" s="312"/>
      <c r="J21" s="33"/>
      <c r="K21" s="33">
        <f t="shared" si="5"/>
        <v>0</v>
      </c>
      <c r="L21" s="33">
        <f t="shared" si="6"/>
        <v>0</v>
      </c>
      <c r="M21" s="33">
        <f t="shared" si="2"/>
        <v>245213.75</v>
      </c>
      <c r="N21" s="191" t="s">
        <v>177</v>
      </c>
    </row>
    <row r="22" spans="1:19">
      <c r="A22" s="23">
        <v>18</v>
      </c>
      <c r="B22" s="24">
        <v>46222</v>
      </c>
      <c r="C22" s="161"/>
      <c r="D22" s="32"/>
      <c r="E22" s="33"/>
      <c r="F22" s="33"/>
      <c r="G22" s="33">
        <f t="shared" ref="G22:G35" si="7">E22*F22</f>
        <v>0</v>
      </c>
      <c r="H22" s="312"/>
      <c r="I22" s="312"/>
      <c r="J22" s="33"/>
      <c r="K22" s="33">
        <f t="shared" si="5"/>
        <v>0</v>
      </c>
      <c r="L22" s="33">
        <f t="shared" si="6"/>
        <v>0</v>
      </c>
      <c r="M22" s="33">
        <f t="shared" si="2"/>
        <v>245213.75</v>
      </c>
      <c r="N22" s="230"/>
    </row>
    <row r="23" spans="1:19">
      <c r="A23" s="23">
        <v>19</v>
      </c>
      <c r="B23" s="24">
        <v>46223</v>
      </c>
      <c r="C23" s="161"/>
      <c r="D23" s="32"/>
      <c r="E23" s="33"/>
      <c r="F23" s="33"/>
      <c r="G23" s="33">
        <f t="shared" si="7"/>
        <v>0</v>
      </c>
      <c r="H23" s="312"/>
      <c r="I23" s="312"/>
      <c r="J23" s="33"/>
      <c r="K23" s="33">
        <f t="shared" si="5"/>
        <v>0</v>
      </c>
      <c r="L23" s="33">
        <f t="shared" si="6"/>
        <v>0</v>
      </c>
      <c r="M23" s="33">
        <f t="shared" si="2"/>
        <v>245213.75</v>
      </c>
      <c r="N23" s="230"/>
    </row>
    <row r="24" spans="1:19">
      <c r="A24" s="23">
        <v>20</v>
      </c>
      <c r="B24" s="24">
        <v>46224</v>
      </c>
      <c r="C24" s="103"/>
      <c r="D24" s="32"/>
      <c r="E24" s="33"/>
      <c r="F24" s="33"/>
      <c r="G24" s="33">
        <f t="shared" si="7"/>
        <v>0</v>
      </c>
      <c r="H24" s="312"/>
      <c r="I24" s="312"/>
      <c r="J24" s="33"/>
      <c r="K24" s="33">
        <f t="shared" si="5"/>
        <v>0</v>
      </c>
      <c r="L24" s="33">
        <f t="shared" si="6"/>
        <v>0</v>
      </c>
      <c r="M24" s="33">
        <f t="shared" si="2"/>
        <v>245213.75</v>
      </c>
      <c r="N24" s="230"/>
    </row>
    <row r="25" spans="1:19">
      <c r="A25" s="23">
        <v>21</v>
      </c>
      <c r="B25" s="534">
        <v>46225</v>
      </c>
      <c r="C25" s="173"/>
      <c r="D25" s="32"/>
      <c r="E25" s="33">
        <v>200</v>
      </c>
      <c r="F25" s="33">
        <v>103.82</v>
      </c>
      <c r="G25" s="33">
        <f t="shared" si="7"/>
        <v>20764</v>
      </c>
      <c r="H25" s="312"/>
      <c r="I25" s="312"/>
      <c r="J25" s="33"/>
      <c r="K25" s="33">
        <f t="shared" si="5"/>
        <v>20764</v>
      </c>
      <c r="L25" s="33">
        <v>0</v>
      </c>
      <c r="M25" s="33">
        <f t="shared" si="2"/>
        <v>265977.75</v>
      </c>
      <c r="N25" s="230"/>
    </row>
    <row r="26" spans="1:19">
      <c r="A26" s="23">
        <v>22</v>
      </c>
      <c r="B26" s="24">
        <v>46226</v>
      </c>
      <c r="C26" s="173"/>
      <c r="D26" s="32"/>
      <c r="E26" s="33"/>
      <c r="F26" s="33"/>
      <c r="G26" s="33">
        <f t="shared" si="7"/>
        <v>0</v>
      </c>
      <c r="H26" s="312"/>
      <c r="I26" s="312"/>
      <c r="J26" s="33"/>
      <c r="K26" s="33">
        <f t="shared" si="5"/>
        <v>0</v>
      </c>
      <c r="L26" s="33">
        <f t="shared" si="6"/>
        <v>0</v>
      </c>
      <c r="M26" s="33">
        <f t="shared" si="2"/>
        <v>265977.75</v>
      </c>
      <c r="N26" s="230"/>
    </row>
    <row r="27" spans="1:19">
      <c r="A27" s="23">
        <v>23</v>
      </c>
      <c r="B27" s="24">
        <v>46227</v>
      </c>
      <c r="C27" s="103"/>
      <c r="D27" s="32"/>
      <c r="E27" s="33"/>
      <c r="F27" s="33"/>
      <c r="G27" s="33">
        <f t="shared" si="7"/>
        <v>0</v>
      </c>
      <c r="H27" s="312"/>
      <c r="I27" s="312"/>
      <c r="J27" s="33"/>
      <c r="K27" s="33">
        <f t="shared" si="5"/>
        <v>0</v>
      </c>
      <c r="L27" s="33">
        <v>0</v>
      </c>
      <c r="M27" s="33">
        <f t="shared" si="2"/>
        <v>265977.75</v>
      </c>
      <c r="N27" s="191"/>
    </row>
    <row r="28" spans="1:19">
      <c r="A28" s="23">
        <v>24</v>
      </c>
      <c r="B28" s="24">
        <v>46228</v>
      </c>
      <c r="C28" s="103"/>
      <c r="D28" s="32"/>
      <c r="E28" s="33"/>
      <c r="F28" s="33"/>
      <c r="G28" s="33">
        <f t="shared" si="7"/>
        <v>0</v>
      </c>
      <c r="H28" s="312"/>
      <c r="I28" s="312"/>
      <c r="J28" s="33"/>
      <c r="K28" s="33">
        <f t="shared" si="5"/>
        <v>0</v>
      </c>
      <c r="L28" s="33">
        <f t="shared" si="6"/>
        <v>0</v>
      </c>
      <c r="M28" s="33">
        <f t="shared" si="2"/>
        <v>265977.75</v>
      </c>
      <c r="N28" s="191"/>
    </row>
    <row r="29" spans="1:19">
      <c r="A29" s="23">
        <v>25</v>
      </c>
      <c r="B29" s="24">
        <v>46229</v>
      </c>
      <c r="C29" s="103"/>
      <c r="D29" s="32"/>
      <c r="E29" s="33"/>
      <c r="F29" s="33"/>
      <c r="G29" s="33">
        <f t="shared" si="7"/>
        <v>0</v>
      </c>
      <c r="H29" s="312"/>
      <c r="I29" s="312"/>
      <c r="J29" s="33"/>
      <c r="K29" s="33">
        <f t="shared" si="5"/>
        <v>0</v>
      </c>
      <c r="L29" s="33">
        <f t="shared" si="6"/>
        <v>0</v>
      </c>
      <c r="M29" s="33">
        <f t="shared" si="2"/>
        <v>265977.75</v>
      </c>
      <c r="N29" s="191"/>
    </row>
    <row r="30" spans="1:19">
      <c r="A30" s="23">
        <v>26</v>
      </c>
      <c r="B30" s="24">
        <v>46230</v>
      </c>
      <c r="C30" s="103"/>
      <c r="D30" s="32"/>
      <c r="E30" s="33"/>
      <c r="F30" s="33"/>
      <c r="G30" s="33">
        <f t="shared" si="7"/>
        <v>0</v>
      </c>
      <c r="H30" s="312"/>
      <c r="I30" s="312"/>
      <c r="J30" s="33"/>
      <c r="K30" s="33">
        <f t="shared" si="5"/>
        <v>0</v>
      </c>
      <c r="L30" s="33"/>
      <c r="M30" s="33">
        <f t="shared" si="2"/>
        <v>265977.75</v>
      </c>
      <c r="N30" s="191"/>
    </row>
    <row r="31" spans="1:19">
      <c r="A31" s="23">
        <v>27</v>
      </c>
      <c r="B31" s="24">
        <v>46231</v>
      </c>
      <c r="C31" s="103"/>
      <c r="D31" s="32"/>
      <c r="E31" s="33">
        <v>70</v>
      </c>
      <c r="F31" s="33">
        <v>103.76</v>
      </c>
      <c r="G31" s="33">
        <f t="shared" si="7"/>
        <v>7263.2000000000007</v>
      </c>
      <c r="H31" s="312"/>
      <c r="I31" s="312"/>
      <c r="J31" s="33"/>
      <c r="K31" s="33">
        <f t="shared" si="5"/>
        <v>7263.2000000000007</v>
      </c>
      <c r="L31" s="33">
        <v>7263.2000000000007</v>
      </c>
      <c r="M31" s="33">
        <f t="shared" si="2"/>
        <v>265977.75</v>
      </c>
      <c r="N31" s="191"/>
    </row>
    <row r="32" spans="1:19">
      <c r="A32" s="23">
        <v>28</v>
      </c>
      <c r="B32" s="24">
        <v>46232</v>
      </c>
      <c r="C32" s="103"/>
      <c r="D32" s="32"/>
      <c r="E32" s="33"/>
      <c r="F32" s="33"/>
      <c r="G32" s="33">
        <f t="shared" si="7"/>
        <v>0</v>
      </c>
      <c r="H32" s="312"/>
      <c r="I32" s="312"/>
      <c r="J32" s="33"/>
      <c r="K32" s="33">
        <f t="shared" si="5"/>
        <v>0</v>
      </c>
      <c r="L32" s="33"/>
      <c r="M32" s="33">
        <f t="shared" si="2"/>
        <v>265977.75</v>
      </c>
      <c r="N32" s="191"/>
    </row>
    <row r="33" spans="1:16">
      <c r="A33" s="23"/>
      <c r="B33" s="24">
        <v>46233</v>
      </c>
      <c r="C33" s="103"/>
      <c r="D33" s="32"/>
      <c r="E33" s="33"/>
      <c r="F33" s="33"/>
      <c r="G33" s="33">
        <f t="shared" si="7"/>
        <v>0</v>
      </c>
      <c r="H33" s="312"/>
      <c r="I33" s="312"/>
      <c r="J33" s="33"/>
      <c r="K33" s="33"/>
      <c r="L33" s="33"/>
      <c r="M33" s="33">
        <f t="shared" si="2"/>
        <v>265977.75</v>
      </c>
      <c r="N33" s="191"/>
    </row>
    <row r="34" spans="1:16">
      <c r="A34" s="23">
        <v>29</v>
      </c>
      <c r="B34" s="24">
        <v>46234</v>
      </c>
      <c r="C34" s="103"/>
      <c r="D34" s="32"/>
      <c r="E34" s="33">
        <v>70</v>
      </c>
      <c r="F34" s="33">
        <v>103.76</v>
      </c>
      <c r="G34" s="33">
        <f t="shared" si="7"/>
        <v>7263.2000000000007</v>
      </c>
      <c r="H34" s="312"/>
      <c r="I34" s="312"/>
      <c r="J34" s="33"/>
      <c r="K34" s="33">
        <f t="shared" si="5"/>
        <v>7263.2000000000007</v>
      </c>
      <c r="L34" s="33">
        <f t="shared" si="5"/>
        <v>7263.2000000000007</v>
      </c>
      <c r="M34" s="33">
        <f t="shared" si="2"/>
        <v>265977.75</v>
      </c>
      <c r="N34" s="191"/>
    </row>
    <row r="35" spans="1:16">
      <c r="A35" s="23"/>
      <c r="B35" s="24"/>
      <c r="C35" s="103"/>
      <c r="D35" s="32"/>
      <c r="E35" s="33"/>
      <c r="F35" s="33"/>
      <c r="G35" s="33">
        <f t="shared" si="7"/>
        <v>0</v>
      </c>
      <c r="H35" s="312"/>
      <c r="I35" s="312"/>
      <c r="J35" s="33"/>
      <c r="K35" s="33">
        <f t="shared" si="5"/>
        <v>0</v>
      </c>
      <c r="L35" s="33"/>
      <c r="M35" s="33">
        <f t="shared" si="2"/>
        <v>265977.75</v>
      </c>
      <c r="N35" s="191"/>
    </row>
    <row r="36" spans="1:16">
      <c r="A36" s="23">
        <v>30</v>
      </c>
      <c r="B36" s="24"/>
      <c r="C36" s="103"/>
      <c r="D36" s="32"/>
      <c r="E36" s="33"/>
      <c r="F36" s="33"/>
      <c r="G36" s="33"/>
      <c r="H36" s="312"/>
      <c r="I36" s="312"/>
      <c r="J36" s="33"/>
      <c r="K36" s="33">
        <f t="shared" si="5"/>
        <v>0</v>
      </c>
      <c r="L36" s="33"/>
      <c r="M36" s="33">
        <f t="shared" si="2"/>
        <v>265977.75</v>
      </c>
      <c r="N36" s="191"/>
    </row>
    <row r="37" spans="1:16">
      <c r="A37" s="23">
        <v>31</v>
      </c>
      <c r="B37" s="24"/>
      <c r="C37" s="103"/>
      <c r="D37" s="32"/>
      <c r="E37" s="33"/>
      <c r="F37" s="33"/>
      <c r="G37" s="33"/>
      <c r="H37" s="312"/>
      <c r="I37" s="312"/>
      <c r="J37" s="33"/>
      <c r="K37" s="33"/>
      <c r="L37" s="33"/>
      <c r="M37" s="33">
        <f t="shared" si="2"/>
        <v>265977.75</v>
      </c>
      <c r="N37" s="191"/>
    </row>
    <row r="38" spans="1:16">
      <c r="A38" s="23">
        <v>32</v>
      </c>
      <c r="B38" s="24"/>
      <c r="C38" s="103"/>
      <c r="D38" s="32"/>
      <c r="E38" s="33"/>
      <c r="F38" s="33"/>
      <c r="G38" s="33"/>
      <c r="H38" s="312"/>
      <c r="I38" s="312"/>
      <c r="J38" s="33"/>
      <c r="K38" s="33"/>
      <c r="L38" s="190"/>
      <c r="M38" s="33">
        <f t="shared" si="2"/>
        <v>265977.75</v>
      </c>
      <c r="N38" s="191"/>
      <c r="O38">
        <v>265910</v>
      </c>
      <c r="P38" s="167">
        <f>M38-O38</f>
        <v>67.75</v>
      </c>
    </row>
    <row r="39" spans="1:16">
      <c r="A39" s="23">
        <v>33</v>
      </c>
      <c r="B39" s="24"/>
      <c r="C39" s="103"/>
      <c r="D39" s="32"/>
      <c r="E39" s="33"/>
      <c r="F39" s="33"/>
      <c r="G39" s="33"/>
      <c r="H39" s="312"/>
      <c r="I39" s="312"/>
      <c r="J39" s="33"/>
      <c r="K39" s="33"/>
      <c r="L39" s="190"/>
      <c r="M39" s="33"/>
      <c r="N39" s="191"/>
    </row>
    <row r="40" spans="1:16">
      <c r="A40" s="23">
        <v>34</v>
      </c>
      <c r="B40" s="24"/>
      <c r="C40" s="103"/>
      <c r="D40" s="32"/>
      <c r="E40" s="33"/>
      <c r="F40" s="33"/>
      <c r="G40" s="33"/>
      <c r="H40" s="312"/>
      <c r="I40" s="312"/>
      <c r="J40" s="33"/>
      <c r="K40" s="33"/>
      <c r="L40" s="190"/>
      <c r="M40" s="33"/>
      <c r="N40" s="191"/>
    </row>
    <row r="41" spans="1:16">
      <c r="A41" s="23">
        <v>35</v>
      </c>
      <c r="B41" s="24"/>
      <c r="C41" s="103"/>
      <c r="D41" s="32"/>
      <c r="E41" s="33"/>
      <c r="F41" s="33"/>
      <c r="G41" s="33"/>
      <c r="H41" s="312"/>
      <c r="I41" s="312"/>
      <c r="J41" s="33"/>
      <c r="K41" s="33"/>
      <c r="L41" s="190"/>
      <c r="M41" s="33"/>
      <c r="N41" s="191"/>
    </row>
    <row r="42" spans="1:16">
      <c r="A42" s="23">
        <v>36</v>
      </c>
      <c r="B42" s="24"/>
      <c r="C42" s="103"/>
      <c r="D42" s="32"/>
      <c r="E42" s="33"/>
      <c r="F42" s="33"/>
      <c r="G42" s="33"/>
      <c r="H42" s="312"/>
      <c r="I42" s="312"/>
      <c r="J42" s="33"/>
      <c r="K42" s="33"/>
      <c r="L42" s="190"/>
      <c r="M42" s="33"/>
      <c r="N42" s="191"/>
    </row>
    <row r="43" spans="1:16">
      <c r="A43" s="23">
        <v>37</v>
      </c>
      <c r="B43" s="24"/>
      <c r="C43" s="103"/>
      <c r="D43" s="32"/>
      <c r="E43" s="33"/>
      <c r="F43" s="33"/>
      <c r="G43" s="33"/>
      <c r="H43" s="312"/>
      <c r="I43" s="312"/>
      <c r="J43" s="33"/>
      <c r="K43" s="33"/>
      <c r="L43" s="190"/>
      <c r="M43" s="33"/>
      <c r="N43" s="191"/>
    </row>
    <row r="44" spans="1:16">
      <c r="A44" s="23">
        <v>38</v>
      </c>
      <c r="B44" s="24"/>
      <c r="C44" s="103"/>
      <c r="D44" s="32"/>
      <c r="E44" s="33"/>
      <c r="F44" s="33"/>
      <c r="G44" s="33"/>
      <c r="H44" s="312"/>
      <c r="I44" s="312"/>
      <c r="J44" s="33"/>
      <c r="K44" s="33"/>
      <c r="L44" s="190"/>
      <c r="M44" s="33"/>
      <c r="N44" s="230"/>
      <c r="O44">
        <v>2669494</v>
      </c>
      <c r="P44" s="167">
        <f>O44-M44</f>
        <v>2669494</v>
      </c>
    </row>
    <row r="45" spans="1:16">
      <c r="A45" s="328"/>
      <c r="B45" s="24"/>
      <c r="C45" s="30"/>
      <c r="D45" s="329"/>
      <c r="E45" s="33">
        <v>0</v>
      </c>
      <c r="F45" s="33">
        <v>0</v>
      </c>
      <c r="G45" s="33">
        <f>E45*F45</f>
        <v>0</v>
      </c>
      <c r="H45" s="33"/>
      <c r="I45" s="33"/>
      <c r="J45" s="33">
        <f t="shared" ref="J20:J45" si="8">H45*I45</f>
        <v>0</v>
      </c>
      <c r="K45" s="33">
        <f t="shared" si="0"/>
        <v>0</v>
      </c>
      <c r="L45" s="35"/>
      <c r="M45" s="33">
        <f t="shared" ref="M41:M45" si="9">M44+K45-L45</f>
        <v>0</v>
      </c>
      <c r="N45" s="33"/>
    </row>
    <row r="46" spans="1:16">
      <c r="A46" s="174"/>
      <c r="B46" s="330"/>
      <c r="C46" s="330"/>
      <c r="D46" s="330"/>
      <c r="E46" s="331">
        <f>SUM(E4:E44)</f>
        <v>1080</v>
      </c>
      <c r="F46" s="331"/>
      <c r="G46" s="331">
        <f>SUM(G4:G44)</f>
        <v>112108.79999999999</v>
      </c>
      <c r="H46" s="331">
        <f>SUM(H4:H44)</f>
        <v>0</v>
      </c>
      <c r="I46" s="331"/>
      <c r="J46" s="331">
        <f>SUM(J4:J44)</f>
        <v>0</v>
      </c>
      <c r="K46" s="331">
        <f>SUM(K4:K44)</f>
        <v>112108.79999999999</v>
      </c>
      <c r="L46" s="331">
        <f>SUM(L4:L44)</f>
        <v>29052.800000000003</v>
      </c>
      <c r="M46" s="332"/>
      <c r="N46" s="333"/>
    </row>
    <row r="47" spans="1:16">
      <c r="A47" s="34"/>
      <c r="B47" s="34"/>
      <c r="C47" s="34"/>
      <c r="D47" s="34"/>
      <c r="E47" s="334"/>
      <c r="F47" s="334"/>
      <c r="G47" s="334"/>
      <c r="H47" s="334"/>
      <c r="I47" s="334"/>
      <c r="J47" s="334"/>
      <c r="K47" s="334"/>
      <c r="L47" s="334"/>
      <c r="M47" s="334"/>
      <c r="N47" s="334"/>
    </row>
    <row r="48" spans="1:16">
      <c r="A48" s="30"/>
      <c r="B48" s="30"/>
      <c r="C48" s="30"/>
      <c r="D48" s="30"/>
      <c r="E48" s="30"/>
      <c r="F48" s="30"/>
      <c r="G48" s="36"/>
      <c r="H48" s="30"/>
      <c r="I48" s="30"/>
      <c r="J48" s="30"/>
      <c r="K48" s="30"/>
      <c r="L48" s="30"/>
      <c r="M48" s="30"/>
      <c r="N48" s="30"/>
    </row>
    <row r="49" spans="1:14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</row>
    <row r="53" spans="1:14">
      <c r="E53" s="167"/>
    </row>
    <row r="55" spans="1:14">
      <c r="M55">
        <v>2408309</v>
      </c>
    </row>
    <row r="56" spans="1:14">
      <c r="M56">
        <v>5327.86</v>
      </c>
    </row>
    <row r="57" spans="1:14">
      <c r="M57" s="335">
        <f>M55-M56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workbookViewId="0">
      <selection activeCell="M35" sqref="M35"/>
    </sheetView>
  </sheetViews>
  <sheetFormatPr defaultRowHeight="15"/>
  <cols>
    <col min="2" max="2" width="10.5703125" bestFit="1" customWidth="1"/>
    <col min="4" max="4" width="14" customWidth="1"/>
    <col min="5" max="5" width="16.85546875" customWidth="1"/>
    <col min="6" max="6" width="10.42578125" bestFit="1" customWidth="1"/>
    <col min="7" max="7" width="13.85546875" customWidth="1"/>
    <col min="10" max="10" width="9.28515625" bestFit="1" customWidth="1"/>
    <col min="11" max="11" width="13" customWidth="1"/>
    <col min="12" max="12" width="16.42578125" customWidth="1"/>
    <col min="13" max="13" width="12.28515625" bestFit="1" customWidth="1"/>
    <col min="15" max="15" width="10.42578125" bestFit="1" customWidth="1"/>
    <col min="16" max="16" width="12.140625" bestFit="1" customWidth="1"/>
    <col min="18" max="18" width="13" bestFit="1" customWidth="1"/>
  </cols>
  <sheetData>
    <row r="1" spans="1:18" ht="15.75">
      <c r="A1" s="550" t="s">
        <v>67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</row>
    <row r="2" spans="1:18" ht="30">
      <c r="A2" s="120" t="s">
        <v>0</v>
      </c>
      <c r="B2" s="121" t="s">
        <v>163</v>
      </c>
      <c r="C2" s="121" t="s">
        <v>164</v>
      </c>
      <c r="D2" s="121" t="s">
        <v>165</v>
      </c>
      <c r="E2" s="121" t="s">
        <v>166</v>
      </c>
      <c r="F2" s="121" t="s">
        <v>167</v>
      </c>
      <c r="G2" s="121" t="s">
        <v>168</v>
      </c>
      <c r="H2" s="121" t="s">
        <v>169</v>
      </c>
      <c r="I2" s="121" t="s">
        <v>167</v>
      </c>
      <c r="J2" s="122" t="s">
        <v>168</v>
      </c>
      <c r="K2" s="120" t="s">
        <v>170</v>
      </c>
      <c r="L2" s="123" t="s">
        <v>171</v>
      </c>
      <c r="M2" s="123" t="s">
        <v>178</v>
      </c>
      <c r="N2" s="121" t="s">
        <v>173</v>
      </c>
    </row>
    <row r="3" spans="1:18">
      <c r="A3" s="551" t="s">
        <v>174</v>
      </c>
      <c r="B3" s="551"/>
      <c r="C3" s="551"/>
      <c r="D3" s="551"/>
      <c r="E3" s="551"/>
      <c r="F3" s="551"/>
      <c r="G3" s="551"/>
      <c r="H3" s="551"/>
      <c r="I3" s="551"/>
      <c r="J3" s="551"/>
      <c r="K3" s="205">
        <v>1615425.1923000002</v>
      </c>
      <c r="L3" s="221"/>
      <c r="M3" s="205">
        <v>1615425.1923000002</v>
      </c>
      <c r="N3" s="91"/>
    </row>
    <row r="4" spans="1:18">
      <c r="A4" s="23">
        <v>1</v>
      </c>
      <c r="B4" s="24">
        <v>46204</v>
      </c>
      <c r="C4" s="14"/>
      <c r="D4" s="14"/>
      <c r="E4" s="14"/>
      <c r="F4" s="14"/>
      <c r="G4" s="14">
        <f>E4*F4</f>
        <v>0</v>
      </c>
      <c r="H4" s="304"/>
      <c r="I4" s="14"/>
      <c r="J4" s="14"/>
      <c r="K4" s="14">
        <f>G4+J4</f>
        <v>0</v>
      </c>
      <c r="L4" s="14"/>
      <c r="M4" s="37">
        <f>M3+K4-L4</f>
        <v>1615425.1923000002</v>
      </c>
      <c r="N4" s="14"/>
    </row>
    <row r="5" spans="1:18">
      <c r="A5" s="23">
        <v>2</v>
      </c>
      <c r="B5" s="24">
        <v>46205</v>
      </c>
      <c r="C5" s="14"/>
      <c r="D5" s="14"/>
      <c r="E5" s="14">
        <v>2800</v>
      </c>
      <c r="F5" s="14">
        <v>103.8</v>
      </c>
      <c r="G5" s="14">
        <f t="shared" ref="G5:G33" si="0">E5*F5</f>
        <v>290640</v>
      </c>
      <c r="H5" s="304">
        <v>60</v>
      </c>
      <c r="I5" s="14">
        <v>115.69</v>
      </c>
      <c r="J5" s="14">
        <f t="shared" ref="J5:J33" si="1">H5*I5</f>
        <v>6941.4</v>
      </c>
      <c r="K5" s="14">
        <f t="shared" ref="K5:L33" si="2">G5+J5</f>
        <v>297581.40000000002</v>
      </c>
      <c r="L5" s="14"/>
      <c r="M5" s="37">
        <f>M4+K5-L5</f>
        <v>1913006.5923000001</v>
      </c>
      <c r="N5" s="14"/>
    </row>
    <row r="6" spans="1:18">
      <c r="A6" s="23">
        <v>3</v>
      </c>
      <c r="B6" s="24">
        <v>46206</v>
      </c>
      <c r="C6" s="14"/>
      <c r="D6" s="14"/>
      <c r="E6" s="14">
        <v>2892.67</v>
      </c>
      <c r="F6" s="14">
        <v>103.8</v>
      </c>
      <c r="G6" s="14">
        <f t="shared" si="0"/>
        <v>300259.14600000001</v>
      </c>
      <c r="H6" s="304">
        <v>40</v>
      </c>
      <c r="I6" s="14">
        <v>115.69</v>
      </c>
      <c r="J6" s="14">
        <f>H6*I6</f>
        <v>4627.6000000000004</v>
      </c>
      <c r="K6" s="14">
        <f t="shared" si="2"/>
        <v>304886.74599999998</v>
      </c>
      <c r="L6" s="14"/>
      <c r="M6" s="37">
        <f t="shared" ref="M6:M8" si="3">M5+K6-L6</f>
        <v>2217893.3382999999</v>
      </c>
      <c r="N6" s="14"/>
    </row>
    <row r="7" spans="1:18">
      <c r="A7" s="23">
        <v>4</v>
      </c>
      <c r="B7" s="24">
        <v>46207</v>
      </c>
      <c r="C7" s="14"/>
      <c r="D7" s="14"/>
      <c r="E7" s="14">
        <v>2000</v>
      </c>
      <c r="F7" s="14">
        <v>103.8</v>
      </c>
      <c r="G7" s="14">
        <f t="shared" si="0"/>
        <v>207600</v>
      </c>
      <c r="H7" s="304">
        <v>50</v>
      </c>
      <c r="I7" s="14">
        <v>115.69</v>
      </c>
      <c r="J7" s="14">
        <f t="shared" si="1"/>
        <v>5784.5</v>
      </c>
      <c r="K7" s="14">
        <f t="shared" si="2"/>
        <v>213384.5</v>
      </c>
      <c r="L7" s="14"/>
      <c r="M7" s="37">
        <f t="shared" si="3"/>
        <v>2431277.8382999999</v>
      </c>
      <c r="N7" s="14"/>
    </row>
    <row r="8" spans="1:18">
      <c r="A8" s="23">
        <v>5</v>
      </c>
      <c r="B8" s="24">
        <v>46208</v>
      </c>
      <c r="C8" s="14"/>
      <c r="D8" s="14"/>
      <c r="E8" s="14">
        <v>1500</v>
      </c>
      <c r="F8" s="14">
        <v>103.8</v>
      </c>
      <c r="G8" s="14">
        <f t="shared" si="0"/>
        <v>155700</v>
      </c>
      <c r="H8" s="304"/>
      <c r="I8" s="14"/>
      <c r="J8" s="14">
        <f t="shared" si="1"/>
        <v>0</v>
      </c>
      <c r="K8" s="14">
        <f t="shared" si="2"/>
        <v>155700</v>
      </c>
      <c r="L8" s="14"/>
      <c r="M8" s="37">
        <f t="shared" si="3"/>
        <v>2586977.8382999999</v>
      </c>
      <c r="N8" s="14"/>
    </row>
    <row r="9" spans="1:18">
      <c r="A9" s="23">
        <v>6</v>
      </c>
      <c r="B9" s="24">
        <v>46209</v>
      </c>
      <c r="C9" s="14"/>
      <c r="D9" s="14"/>
      <c r="E9" s="14"/>
      <c r="F9" s="14"/>
      <c r="G9" s="14">
        <f t="shared" si="0"/>
        <v>0</v>
      </c>
      <c r="H9" s="304"/>
      <c r="I9" s="14"/>
      <c r="J9" s="14">
        <f t="shared" si="1"/>
        <v>0</v>
      </c>
      <c r="K9" s="14">
        <f t="shared" si="2"/>
        <v>0</v>
      </c>
      <c r="L9" s="14"/>
      <c r="M9" s="37">
        <f>M8+K9-L9</f>
        <v>2586977.8382999999</v>
      </c>
      <c r="N9" s="14"/>
    </row>
    <row r="10" spans="1:18">
      <c r="A10" s="23">
        <v>7</v>
      </c>
      <c r="B10" s="24">
        <v>46210</v>
      </c>
      <c r="C10" s="14"/>
      <c r="D10" s="14"/>
      <c r="E10" s="14">
        <v>2700</v>
      </c>
      <c r="F10" s="14">
        <v>103.8</v>
      </c>
      <c r="G10" s="14">
        <f t="shared" si="0"/>
        <v>280260</v>
      </c>
      <c r="H10" s="304"/>
      <c r="I10" s="14"/>
      <c r="J10" s="14">
        <f t="shared" si="1"/>
        <v>0</v>
      </c>
      <c r="K10" s="14">
        <f t="shared" si="2"/>
        <v>280260</v>
      </c>
      <c r="L10" s="14"/>
      <c r="M10" s="37">
        <f>M9+K10-L10</f>
        <v>2867237.8382999999</v>
      </c>
      <c r="N10" s="14"/>
    </row>
    <row r="11" spans="1:18">
      <c r="A11" s="23">
        <v>8</v>
      </c>
      <c r="B11" s="24">
        <v>46211</v>
      </c>
      <c r="C11" s="14"/>
      <c r="D11" s="14"/>
      <c r="E11" s="14"/>
      <c r="F11" s="14"/>
      <c r="G11" s="14">
        <f t="shared" si="0"/>
        <v>0</v>
      </c>
      <c r="H11" s="304"/>
      <c r="I11" s="14"/>
      <c r="J11" s="14">
        <f t="shared" si="1"/>
        <v>0</v>
      </c>
      <c r="K11" s="14">
        <f t="shared" si="2"/>
        <v>0</v>
      </c>
      <c r="L11" s="14"/>
      <c r="M11" s="37">
        <f>M10+K11-L11</f>
        <v>2867237.8382999999</v>
      </c>
      <c r="N11" s="14"/>
    </row>
    <row r="12" spans="1:18">
      <c r="A12" s="23">
        <v>9</v>
      </c>
      <c r="B12" s="24">
        <v>46212</v>
      </c>
      <c r="C12" s="14"/>
      <c r="D12" s="14"/>
      <c r="E12" s="14"/>
      <c r="F12" s="14"/>
      <c r="G12" s="14">
        <f t="shared" si="0"/>
        <v>0</v>
      </c>
      <c r="H12" s="304"/>
      <c r="I12" s="14"/>
      <c r="J12" s="14">
        <f t="shared" si="1"/>
        <v>0</v>
      </c>
      <c r="K12" s="14">
        <f t="shared" si="2"/>
        <v>0</v>
      </c>
      <c r="L12" s="14"/>
      <c r="M12" s="37">
        <f>M11+K12-L12</f>
        <v>2867237.8382999999</v>
      </c>
      <c r="N12" s="14"/>
    </row>
    <row r="13" spans="1:18">
      <c r="A13" s="23">
        <v>10</v>
      </c>
      <c r="B13" s="24">
        <v>46213</v>
      </c>
      <c r="C13" s="14"/>
      <c r="D13" s="14"/>
      <c r="E13" s="14"/>
      <c r="F13" s="14"/>
      <c r="G13" s="14">
        <f t="shared" si="0"/>
        <v>0</v>
      </c>
      <c r="H13" s="304"/>
      <c r="I13" s="14"/>
      <c r="J13" s="14">
        <f t="shared" si="1"/>
        <v>0</v>
      </c>
      <c r="K13" s="14">
        <f t="shared" si="2"/>
        <v>0</v>
      </c>
      <c r="L13" s="14"/>
      <c r="M13" s="37">
        <f t="shared" ref="M13:M35" si="4">M12+K13-L13</f>
        <v>2867237.8382999999</v>
      </c>
      <c r="N13" s="14"/>
      <c r="P13" s="19"/>
    </row>
    <row r="14" spans="1:18">
      <c r="A14" s="23">
        <v>11</v>
      </c>
      <c r="B14" s="24">
        <v>46214</v>
      </c>
      <c r="C14" s="14"/>
      <c r="D14" s="14"/>
      <c r="E14" s="14"/>
      <c r="F14" s="14"/>
      <c r="G14" s="14">
        <f t="shared" si="0"/>
        <v>0</v>
      </c>
      <c r="H14" s="304"/>
      <c r="I14" s="14"/>
      <c r="J14" s="14">
        <f>H14*I14</f>
        <v>0</v>
      </c>
      <c r="K14" s="14">
        <f t="shared" si="2"/>
        <v>0</v>
      </c>
      <c r="L14" s="14"/>
      <c r="M14" s="37">
        <f t="shared" si="4"/>
        <v>2867237.8382999999</v>
      </c>
      <c r="N14" s="14"/>
    </row>
    <row r="15" spans="1:18">
      <c r="A15" s="23">
        <v>12</v>
      </c>
      <c r="B15" s="24">
        <v>46215</v>
      </c>
      <c r="C15" s="14"/>
      <c r="D15" s="14"/>
      <c r="E15" s="14"/>
      <c r="F15" s="14"/>
      <c r="G15" s="14">
        <f t="shared" si="0"/>
        <v>0</v>
      </c>
      <c r="H15" s="304"/>
      <c r="I15" s="14"/>
      <c r="J15" s="14">
        <f t="shared" si="1"/>
        <v>0</v>
      </c>
      <c r="K15" s="14">
        <f t="shared" si="2"/>
        <v>0</v>
      </c>
      <c r="L15" s="14"/>
      <c r="M15" s="37">
        <f t="shared" si="4"/>
        <v>2867237.8382999999</v>
      </c>
      <c r="N15" s="14"/>
      <c r="R15" s="19"/>
    </row>
    <row r="16" spans="1:18">
      <c r="A16" s="23">
        <v>13</v>
      </c>
      <c r="B16" s="24">
        <v>46216</v>
      </c>
      <c r="C16" s="14"/>
      <c r="D16" s="14"/>
      <c r="E16" s="37"/>
      <c r="F16" s="37"/>
      <c r="G16" s="37">
        <f t="shared" si="0"/>
        <v>0</v>
      </c>
      <c r="H16" s="389"/>
      <c r="I16" s="37"/>
      <c r="J16" s="14">
        <f t="shared" si="1"/>
        <v>0</v>
      </c>
      <c r="K16" s="14">
        <f>G16+J16</f>
        <v>0</v>
      </c>
      <c r="L16" s="37"/>
      <c r="M16" s="37">
        <f t="shared" si="4"/>
        <v>2867237.8382999999</v>
      </c>
      <c r="N16" s="14"/>
    </row>
    <row r="17" spans="1:16">
      <c r="A17" s="23">
        <v>14</v>
      </c>
      <c r="B17" s="24">
        <v>46217</v>
      </c>
      <c r="C17" s="14"/>
      <c r="D17" s="14"/>
      <c r="E17" s="37">
        <v>3000</v>
      </c>
      <c r="F17" s="37">
        <v>103.8</v>
      </c>
      <c r="G17" s="37">
        <f t="shared" si="0"/>
        <v>311400</v>
      </c>
      <c r="H17" s="389">
        <v>60</v>
      </c>
      <c r="I17" s="37">
        <v>115.69</v>
      </c>
      <c r="J17" s="14">
        <f t="shared" si="1"/>
        <v>6941.4</v>
      </c>
      <c r="K17" s="14">
        <f>G17+J17</f>
        <v>318341.40000000002</v>
      </c>
      <c r="L17" s="37"/>
      <c r="M17" s="37">
        <f t="shared" si="4"/>
        <v>3185579.2382999999</v>
      </c>
      <c r="N17" s="14" t="s">
        <v>179</v>
      </c>
      <c r="O17" s="37">
        <v>250000</v>
      </c>
    </row>
    <row r="18" spans="1:16">
      <c r="A18" s="23">
        <v>15</v>
      </c>
      <c r="B18" s="24">
        <v>46218</v>
      </c>
      <c r="C18" s="14"/>
      <c r="D18" s="14"/>
      <c r="E18" s="37">
        <v>2500</v>
      </c>
      <c r="F18" s="37">
        <v>103.8</v>
      </c>
      <c r="G18" s="37">
        <f t="shared" si="0"/>
        <v>259500</v>
      </c>
      <c r="H18" s="389">
        <v>35</v>
      </c>
      <c r="I18" s="37">
        <v>115.69</v>
      </c>
      <c r="J18" s="14">
        <f t="shared" si="1"/>
        <v>4049.15</v>
      </c>
      <c r="K18" s="14">
        <f>G18+J18</f>
        <v>263549.15000000002</v>
      </c>
      <c r="L18" s="37"/>
      <c r="M18" s="37">
        <f t="shared" si="4"/>
        <v>3449128.3882999998</v>
      </c>
      <c r="N18" s="14"/>
      <c r="O18" s="37"/>
    </row>
    <row r="19" spans="1:16">
      <c r="A19" s="23">
        <v>16</v>
      </c>
      <c r="B19" s="24">
        <v>46219</v>
      </c>
      <c r="C19" s="14"/>
      <c r="D19" s="14"/>
      <c r="E19" s="37">
        <v>2408.4699999999998</v>
      </c>
      <c r="F19" s="37">
        <v>103.8</v>
      </c>
      <c r="G19" s="37">
        <f t="shared" si="0"/>
        <v>249999.18599999996</v>
      </c>
      <c r="H19" s="389"/>
      <c r="I19" s="37"/>
      <c r="J19" s="14">
        <f t="shared" si="1"/>
        <v>0</v>
      </c>
      <c r="K19" s="323">
        <f>G19+J19</f>
        <v>249999.18599999996</v>
      </c>
      <c r="L19" s="37"/>
      <c r="M19" s="37">
        <f t="shared" si="4"/>
        <v>3699127.5742999995</v>
      </c>
      <c r="N19" s="14" t="s">
        <v>179</v>
      </c>
      <c r="O19" s="37">
        <v>250000</v>
      </c>
    </row>
    <row r="20" spans="1:16">
      <c r="A20" s="23">
        <v>17</v>
      </c>
      <c r="B20" s="24">
        <v>46220</v>
      </c>
      <c r="C20" s="14"/>
      <c r="D20" s="14"/>
      <c r="E20" s="37"/>
      <c r="F20" s="37"/>
      <c r="G20" s="37">
        <f t="shared" si="0"/>
        <v>0</v>
      </c>
      <c r="H20" s="389"/>
      <c r="I20" s="37"/>
      <c r="J20" s="14">
        <f t="shared" si="1"/>
        <v>0</v>
      </c>
      <c r="K20" s="323">
        <f>G20+J20</f>
        <v>0</v>
      </c>
      <c r="L20" s="37"/>
      <c r="M20" s="37">
        <f t="shared" si="4"/>
        <v>3699127.5742999995</v>
      </c>
      <c r="N20" s="14"/>
    </row>
    <row r="21" spans="1:16">
      <c r="A21" s="23">
        <v>18</v>
      </c>
      <c r="B21" s="24">
        <v>46221</v>
      </c>
      <c r="C21" s="14"/>
      <c r="D21" s="14"/>
      <c r="E21" s="14"/>
      <c r="F21" s="14"/>
      <c r="G21" s="14">
        <f t="shared" si="0"/>
        <v>0</v>
      </c>
      <c r="H21" s="304"/>
      <c r="I21" s="14"/>
      <c r="J21" s="14">
        <f t="shared" si="1"/>
        <v>0</v>
      </c>
      <c r="K21" s="14">
        <f>G21+J21</f>
        <v>0</v>
      </c>
      <c r="L21" s="14"/>
      <c r="M21" s="37">
        <f t="shared" si="4"/>
        <v>3699127.5742999995</v>
      </c>
      <c r="N21" s="14"/>
    </row>
    <row r="22" spans="1:16">
      <c r="A22" s="23">
        <v>19</v>
      </c>
      <c r="B22" s="24">
        <v>46222</v>
      </c>
      <c r="C22" s="14"/>
      <c r="D22" s="14"/>
      <c r="E22" s="14"/>
      <c r="F22" s="14"/>
      <c r="G22" s="14">
        <f t="shared" si="0"/>
        <v>0</v>
      </c>
      <c r="H22" s="304"/>
      <c r="I22" s="14"/>
      <c r="J22" s="14">
        <f t="shared" si="1"/>
        <v>0</v>
      </c>
      <c r="K22" s="14">
        <f t="shared" si="2"/>
        <v>0</v>
      </c>
      <c r="L22" s="14"/>
      <c r="M22" s="37">
        <f t="shared" si="4"/>
        <v>3699127.5742999995</v>
      </c>
      <c r="N22" s="14"/>
    </row>
    <row r="23" spans="1:16">
      <c r="A23" s="23">
        <v>20</v>
      </c>
      <c r="B23" s="24">
        <v>46223</v>
      </c>
      <c r="C23" s="14"/>
      <c r="D23" s="14"/>
      <c r="E23" s="14">
        <v>1300</v>
      </c>
      <c r="F23" s="14">
        <v>103.8</v>
      </c>
      <c r="G23" s="14">
        <f t="shared" si="0"/>
        <v>134940</v>
      </c>
      <c r="H23" s="304"/>
      <c r="I23" s="14"/>
      <c r="J23" s="14">
        <f t="shared" si="1"/>
        <v>0</v>
      </c>
      <c r="K23" s="14">
        <f t="shared" si="2"/>
        <v>134940</v>
      </c>
      <c r="L23" s="14"/>
      <c r="M23" s="37">
        <f t="shared" si="4"/>
        <v>3834067.5742999995</v>
      </c>
      <c r="N23" s="14" t="s">
        <v>179</v>
      </c>
      <c r="O23" s="14">
        <v>100000</v>
      </c>
    </row>
    <row r="24" spans="1:16">
      <c r="A24" s="23">
        <v>21</v>
      </c>
      <c r="B24" s="24">
        <v>46224</v>
      </c>
      <c r="C24" s="14"/>
      <c r="D24" s="14"/>
      <c r="E24" s="14"/>
      <c r="F24" s="14"/>
      <c r="G24" s="14">
        <f t="shared" si="0"/>
        <v>0</v>
      </c>
      <c r="H24" s="304"/>
      <c r="I24" s="14"/>
      <c r="J24" s="14">
        <f t="shared" si="1"/>
        <v>0</v>
      </c>
      <c r="K24" s="14">
        <f t="shared" si="2"/>
        <v>0</v>
      </c>
      <c r="L24" s="14"/>
      <c r="M24" s="37">
        <f t="shared" si="4"/>
        <v>3834067.5742999995</v>
      </c>
      <c r="N24" s="14"/>
    </row>
    <row r="25" spans="1:16">
      <c r="A25" s="23">
        <v>22</v>
      </c>
      <c r="B25" s="24">
        <v>46225</v>
      </c>
      <c r="C25" s="14"/>
      <c r="D25" s="14"/>
      <c r="E25" s="14"/>
      <c r="F25" s="14"/>
      <c r="G25" s="14">
        <f t="shared" si="0"/>
        <v>0</v>
      </c>
      <c r="H25" s="304"/>
      <c r="I25" s="14"/>
      <c r="J25" s="14">
        <f t="shared" si="1"/>
        <v>0</v>
      </c>
      <c r="K25" s="14">
        <f t="shared" si="2"/>
        <v>0</v>
      </c>
      <c r="L25" s="14"/>
      <c r="M25" s="37">
        <f t="shared" si="4"/>
        <v>3834067.5742999995</v>
      </c>
      <c r="N25" s="14"/>
    </row>
    <row r="26" spans="1:16">
      <c r="A26" s="23">
        <v>23</v>
      </c>
      <c r="B26" s="24">
        <v>46226</v>
      </c>
      <c r="C26" s="14"/>
      <c r="D26" s="14"/>
      <c r="E26" s="14"/>
      <c r="F26" s="14"/>
      <c r="G26" s="14">
        <f t="shared" si="0"/>
        <v>0</v>
      </c>
      <c r="H26" s="304"/>
      <c r="I26" s="14"/>
      <c r="J26" s="14">
        <f t="shared" si="1"/>
        <v>0</v>
      </c>
      <c r="K26" s="14">
        <f t="shared" si="2"/>
        <v>0</v>
      </c>
      <c r="L26" s="14"/>
      <c r="M26" s="37">
        <f t="shared" si="4"/>
        <v>3834067.5742999995</v>
      </c>
      <c r="N26" s="14"/>
      <c r="O26" s="537">
        <f>SUM(O17:O25)</f>
        <v>600000</v>
      </c>
    </row>
    <row r="27" spans="1:16">
      <c r="A27" s="23">
        <v>24</v>
      </c>
      <c r="B27" s="24">
        <v>46227</v>
      </c>
      <c r="C27" s="14"/>
      <c r="D27" s="14"/>
      <c r="E27" s="14"/>
      <c r="F27" s="14"/>
      <c r="G27" s="14">
        <f t="shared" si="0"/>
        <v>0</v>
      </c>
      <c r="H27" s="304"/>
      <c r="I27" s="14"/>
      <c r="J27" s="14">
        <f t="shared" si="1"/>
        <v>0</v>
      </c>
      <c r="K27" s="14">
        <f t="shared" si="2"/>
        <v>0</v>
      </c>
      <c r="L27" s="14"/>
      <c r="M27" s="37">
        <f t="shared" si="4"/>
        <v>3834067.5742999995</v>
      </c>
      <c r="N27" s="14"/>
    </row>
    <row r="28" spans="1:16">
      <c r="A28" s="23">
        <v>25</v>
      </c>
      <c r="B28" s="24">
        <v>46228</v>
      </c>
      <c r="C28" s="14"/>
      <c r="D28" s="14"/>
      <c r="E28" s="14"/>
      <c r="F28" s="14"/>
      <c r="G28" s="14">
        <f t="shared" si="0"/>
        <v>0</v>
      </c>
      <c r="H28" s="304"/>
      <c r="I28" s="14"/>
      <c r="J28" s="14">
        <f t="shared" si="1"/>
        <v>0</v>
      </c>
      <c r="K28" s="14">
        <f t="shared" si="2"/>
        <v>0</v>
      </c>
      <c r="L28" s="14"/>
      <c r="M28" s="37">
        <f t="shared" si="4"/>
        <v>3834067.5742999995</v>
      </c>
      <c r="N28" s="14"/>
    </row>
    <row r="29" spans="1:16">
      <c r="A29" s="23">
        <v>26</v>
      </c>
      <c r="B29" s="24">
        <v>46229</v>
      </c>
      <c r="C29" s="14"/>
      <c r="D29" s="14"/>
      <c r="E29" s="14"/>
      <c r="F29" s="14"/>
      <c r="G29" s="14">
        <f t="shared" si="0"/>
        <v>0</v>
      </c>
      <c r="H29" s="304"/>
      <c r="I29" s="14"/>
      <c r="J29" s="14">
        <f t="shared" si="1"/>
        <v>0</v>
      </c>
      <c r="K29" s="14">
        <f t="shared" si="2"/>
        <v>0</v>
      </c>
      <c r="L29" s="14"/>
      <c r="M29" s="37">
        <f t="shared" si="4"/>
        <v>3834067.5742999995</v>
      </c>
      <c r="N29" s="14"/>
    </row>
    <row r="30" spans="1:16">
      <c r="A30" s="23">
        <v>27</v>
      </c>
      <c r="B30" s="24">
        <v>46230</v>
      </c>
      <c r="C30" s="14"/>
      <c r="D30" s="14"/>
      <c r="E30" s="14">
        <v>2120</v>
      </c>
      <c r="F30" s="14">
        <v>103.8</v>
      </c>
      <c r="G30" s="14">
        <f t="shared" si="0"/>
        <v>220056</v>
      </c>
      <c r="H30" s="304"/>
      <c r="I30" s="14"/>
      <c r="J30" s="14">
        <f t="shared" si="1"/>
        <v>0</v>
      </c>
      <c r="K30" s="14">
        <f t="shared" si="2"/>
        <v>220056</v>
      </c>
      <c r="L30" s="14">
        <v>220000</v>
      </c>
      <c r="M30" s="37">
        <f t="shared" si="4"/>
        <v>3834123.5742999995</v>
      </c>
      <c r="N30" s="14" t="s">
        <v>177</v>
      </c>
      <c r="P30" s="19"/>
    </row>
    <row r="31" spans="1:16">
      <c r="A31" s="23">
        <v>28</v>
      </c>
      <c r="B31" s="24">
        <v>46231</v>
      </c>
      <c r="C31" s="14"/>
      <c r="D31" s="14"/>
      <c r="E31" s="14"/>
      <c r="F31" s="14"/>
      <c r="G31" s="14">
        <f t="shared" si="0"/>
        <v>0</v>
      </c>
      <c r="H31" s="304"/>
      <c r="I31" s="14"/>
      <c r="J31" s="14">
        <f t="shared" si="1"/>
        <v>0</v>
      </c>
      <c r="K31" s="14">
        <f t="shared" si="2"/>
        <v>0</v>
      </c>
      <c r="L31" s="14"/>
      <c r="M31" s="37">
        <f t="shared" si="4"/>
        <v>3834123.5742999995</v>
      </c>
      <c r="N31" s="14"/>
    </row>
    <row r="32" spans="1:16">
      <c r="A32" s="23">
        <v>29</v>
      </c>
      <c r="B32" s="24">
        <v>46232</v>
      </c>
      <c r="C32" s="14"/>
      <c r="D32" s="14"/>
      <c r="E32" s="14">
        <v>2408.7199999999998</v>
      </c>
      <c r="F32" s="14">
        <v>103.8</v>
      </c>
      <c r="G32" s="14">
        <f t="shared" si="0"/>
        <v>250025.13599999997</v>
      </c>
      <c r="H32" s="304"/>
      <c r="I32" s="14"/>
      <c r="J32" s="14">
        <f t="shared" si="1"/>
        <v>0</v>
      </c>
      <c r="K32" s="14">
        <f t="shared" si="2"/>
        <v>250025.13599999997</v>
      </c>
      <c r="L32" s="14">
        <v>250000</v>
      </c>
      <c r="M32" s="37">
        <f t="shared" si="4"/>
        <v>3834148.7102999995</v>
      </c>
      <c r="N32" s="14" t="s">
        <v>177</v>
      </c>
      <c r="P32" s="19"/>
    </row>
    <row r="33" spans="1:16">
      <c r="A33" s="23">
        <v>30</v>
      </c>
      <c r="B33" s="24">
        <v>46233</v>
      </c>
      <c r="C33" s="14"/>
      <c r="D33" s="14"/>
      <c r="E33" s="14"/>
      <c r="F33" s="14"/>
      <c r="G33" s="14">
        <f t="shared" si="0"/>
        <v>0</v>
      </c>
      <c r="H33" s="304"/>
      <c r="I33" s="14"/>
      <c r="J33" s="14">
        <f t="shared" si="1"/>
        <v>0</v>
      </c>
      <c r="K33" s="14">
        <f t="shared" si="2"/>
        <v>0</v>
      </c>
      <c r="L33" s="14"/>
      <c r="M33" s="37">
        <f t="shared" si="4"/>
        <v>3834148.7102999995</v>
      </c>
      <c r="N33" s="14"/>
    </row>
    <row r="34" spans="1:16">
      <c r="A34" s="23">
        <v>31</v>
      </c>
      <c r="B34" s="24"/>
      <c r="C34" s="14"/>
      <c r="D34" s="14"/>
      <c r="E34" s="14"/>
      <c r="F34" s="14"/>
      <c r="G34" s="323">
        <f>E34*F34</f>
        <v>0</v>
      </c>
      <c r="H34" s="304"/>
      <c r="I34" s="14"/>
      <c r="J34" s="14"/>
      <c r="K34" s="14">
        <f t="shared" ref="K5:K37" si="5">G34+J34</f>
        <v>0</v>
      </c>
      <c r="L34" s="14"/>
      <c r="M34" s="37">
        <f t="shared" si="4"/>
        <v>3834148.7102999995</v>
      </c>
      <c r="N34" s="14"/>
    </row>
    <row r="35" spans="1:16">
      <c r="A35" s="23">
        <v>32</v>
      </c>
      <c r="B35" s="24"/>
      <c r="C35" s="14"/>
      <c r="D35" s="14"/>
      <c r="E35" s="14"/>
      <c r="F35" s="14"/>
      <c r="G35" s="323">
        <f>E35*F35</f>
        <v>0</v>
      </c>
      <c r="H35" s="304"/>
      <c r="I35" s="14"/>
      <c r="J35" s="14">
        <f t="shared" ref="J5:J37" si="6">H35*I35</f>
        <v>0</v>
      </c>
      <c r="K35" s="14">
        <f t="shared" si="5"/>
        <v>0</v>
      </c>
      <c r="L35" s="14"/>
      <c r="M35" s="37">
        <f t="shared" si="4"/>
        <v>3834148.7102999995</v>
      </c>
      <c r="N35" s="14"/>
      <c r="P35" s="19"/>
    </row>
    <row r="36" spans="1:16">
      <c r="A36" s="23">
        <v>33</v>
      </c>
      <c r="B36" s="24"/>
      <c r="C36" s="14"/>
      <c r="D36" s="14"/>
      <c r="E36" s="14"/>
      <c r="F36" s="14"/>
      <c r="G36" s="323">
        <f>E36*F36</f>
        <v>0</v>
      </c>
      <c r="H36" s="304"/>
      <c r="I36" s="14"/>
      <c r="J36" s="14">
        <f t="shared" si="6"/>
        <v>0</v>
      </c>
      <c r="K36" s="14">
        <f t="shared" si="5"/>
        <v>0</v>
      </c>
      <c r="L36" s="14"/>
      <c r="M36" s="14"/>
      <c r="N36" s="14"/>
    </row>
    <row r="37" spans="1:16">
      <c r="A37" s="23">
        <v>34</v>
      </c>
      <c r="B37" s="24"/>
      <c r="C37" s="14"/>
      <c r="D37" s="14"/>
      <c r="E37" s="14"/>
      <c r="F37" s="14"/>
      <c r="G37" s="323">
        <f>E37*F37</f>
        <v>0</v>
      </c>
      <c r="H37" s="304"/>
      <c r="I37" s="14"/>
      <c r="J37" s="14">
        <f t="shared" si="6"/>
        <v>0</v>
      </c>
      <c r="K37" s="14">
        <f t="shared" si="5"/>
        <v>0</v>
      </c>
      <c r="L37" s="14"/>
      <c r="M37" s="14"/>
      <c r="N37" s="14"/>
    </row>
    <row r="38" spans="1:16">
      <c r="A38" s="39"/>
      <c r="B38" s="39"/>
      <c r="C38" s="39"/>
      <c r="D38" s="39"/>
      <c r="E38" s="222">
        <f>SUM(E3:E37)</f>
        <v>25629.86</v>
      </c>
      <c r="F38" s="222"/>
      <c r="G38" s="222">
        <f>SUM(G3:G37)</f>
        <v>2660379.4679999999</v>
      </c>
      <c r="H38" s="222">
        <f>SUM(H3:H37)</f>
        <v>245</v>
      </c>
      <c r="I38" s="222"/>
      <c r="J38" s="222">
        <f>SUM(J3:J37)</f>
        <v>28344.050000000003</v>
      </c>
      <c r="K38" s="222">
        <f>SUM(K4:K37)</f>
        <v>2688723.5180000002</v>
      </c>
      <c r="L38" s="222">
        <f>SUM(L3:L37)</f>
        <v>470000</v>
      </c>
      <c r="M38" s="222"/>
      <c r="N38" s="222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S42"/>
  <sheetViews>
    <sheetView topLeftCell="A15" workbookViewId="0">
      <selection activeCell="J50" sqref="I50:J50"/>
    </sheetView>
  </sheetViews>
  <sheetFormatPr defaultRowHeight="15"/>
  <cols>
    <col min="2" max="2" width="12.140625" customWidth="1"/>
    <col min="4" max="4" width="20.28515625" bestFit="1" customWidth="1"/>
    <col min="5" max="5" width="23.42578125" customWidth="1"/>
    <col min="7" max="7" width="14.42578125" customWidth="1"/>
    <col min="11" max="11" width="19.85546875" customWidth="1"/>
    <col min="12" max="12" width="13.7109375" customWidth="1"/>
    <col min="13" max="13" width="16" customWidth="1"/>
    <col min="14" max="14" width="34.5703125" customWidth="1"/>
    <col min="15" max="15" width="12.5703125" bestFit="1" customWidth="1"/>
    <col min="17" max="17" width="10.42578125" customWidth="1"/>
  </cols>
  <sheetData>
    <row r="1" spans="1:19" ht="15.75">
      <c r="A1" s="550" t="s">
        <v>69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</row>
    <row r="2" spans="1:19" ht="30">
      <c r="A2" s="61" t="s">
        <v>0</v>
      </c>
      <c r="B2" s="80" t="s">
        <v>163</v>
      </c>
      <c r="C2" s="80" t="s">
        <v>164</v>
      </c>
      <c r="D2" s="80" t="s">
        <v>165</v>
      </c>
      <c r="E2" s="80" t="s">
        <v>166</v>
      </c>
      <c r="F2" s="80" t="s">
        <v>167</v>
      </c>
      <c r="G2" s="80" t="s">
        <v>168</v>
      </c>
      <c r="H2" s="80" t="s">
        <v>169</v>
      </c>
      <c r="I2" s="80" t="s">
        <v>167</v>
      </c>
      <c r="J2" s="81" t="s">
        <v>168</v>
      </c>
      <c r="K2" s="120" t="s">
        <v>170</v>
      </c>
      <c r="L2" s="123" t="s">
        <v>171</v>
      </c>
      <c r="M2" s="123" t="s">
        <v>178</v>
      </c>
      <c r="N2" s="121" t="s">
        <v>173</v>
      </c>
      <c r="O2" s="305"/>
      <c r="P2" s="19"/>
    </row>
    <row r="3" spans="1:19">
      <c r="A3" s="552" t="s">
        <v>174</v>
      </c>
      <c r="B3" s="553"/>
      <c r="C3" s="553"/>
      <c r="D3" s="553"/>
      <c r="E3" s="553"/>
      <c r="F3" s="553"/>
      <c r="G3" s="553"/>
      <c r="H3" s="553"/>
      <c r="I3" s="553"/>
      <c r="J3" s="553"/>
      <c r="K3" s="306">
        <v>9590244.0006299987</v>
      </c>
      <c r="L3" s="221"/>
      <c r="M3">
        <v>9590244.0006299987</v>
      </c>
      <c r="N3" s="91"/>
    </row>
    <row r="4" spans="1:19">
      <c r="A4" s="23">
        <v>1</v>
      </c>
      <c r="B4" s="24">
        <v>46204</v>
      </c>
      <c r="C4" s="14"/>
      <c r="D4" s="253"/>
      <c r="E4" s="259">
        <v>6229.42</v>
      </c>
      <c r="F4" s="303">
        <v>103.82</v>
      </c>
      <c r="G4" s="323">
        <f>E4*F4</f>
        <v>646738.38439999998</v>
      </c>
      <c r="H4" s="14"/>
      <c r="I4" s="14"/>
      <c r="J4" s="14">
        <f>H4*I4</f>
        <v>0</v>
      </c>
      <c r="K4" s="323">
        <f>G4+J4</f>
        <v>646738.38439999998</v>
      </c>
      <c r="L4" s="14"/>
      <c r="M4" s="37">
        <f>M3+K4-L4</f>
        <v>10236982.38503</v>
      </c>
      <c r="N4" s="14"/>
      <c r="O4" s="37"/>
    </row>
    <row r="5" spans="1:19">
      <c r="A5" s="23">
        <v>2</v>
      </c>
      <c r="B5" s="24">
        <v>46205</v>
      </c>
      <c r="C5" s="14"/>
      <c r="D5" s="253"/>
      <c r="E5" s="259">
        <v>6193.54</v>
      </c>
      <c r="F5" s="303">
        <v>103.82</v>
      </c>
      <c r="G5" s="323">
        <f t="shared" ref="G5:G36" si="0">E5*F5</f>
        <v>643013.32279999997</v>
      </c>
      <c r="H5" s="14"/>
      <c r="I5" s="14"/>
      <c r="J5" s="14">
        <f t="shared" ref="J5:J35" si="1">H5*I5</f>
        <v>0</v>
      </c>
      <c r="K5" s="323">
        <f t="shared" ref="K5:K36" si="2">G5+J5</f>
        <v>643013.32279999997</v>
      </c>
      <c r="L5" s="14"/>
      <c r="M5" s="37">
        <f t="shared" ref="M5:M19" si="3">M4+K5-L5</f>
        <v>10879995.707829999</v>
      </c>
      <c r="N5" s="14"/>
    </row>
    <row r="6" spans="1:19">
      <c r="A6" s="23">
        <v>3</v>
      </c>
      <c r="B6" s="24">
        <v>46206</v>
      </c>
      <c r="C6" s="14"/>
      <c r="D6" s="253"/>
      <c r="E6" s="259">
        <v>7217.38</v>
      </c>
      <c r="F6" s="303">
        <v>103.82</v>
      </c>
      <c r="G6" s="323">
        <f t="shared" ref="G6:G36" si="4">E6*F6</f>
        <v>749308.39159999997</v>
      </c>
      <c r="H6" s="14"/>
      <c r="I6" s="14"/>
      <c r="J6" s="14">
        <f t="shared" ref="J6:J36" si="5">H6*I6</f>
        <v>0</v>
      </c>
      <c r="K6" s="323">
        <f t="shared" ref="K6:L36" si="6">G6+J6</f>
        <v>749308.39159999997</v>
      </c>
      <c r="L6" s="14"/>
      <c r="M6" s="37">
        <f t="shared" si="3"/>
        <v>11629304.099429999</v>
      </c>
      <c r="N6" s="14"/>
    </row>
    <row r="7" spans="1:19">
      <c r="A7" s="23">
        <v>4</v>
      </c>
      <c r="B7" s="24">
        <v>46207</v>
      </c>
      <c r="C7" s="14"/>
      <c r="D7" s="253"/>
      <c r="E7" s="259">
        <v>6415.09</v>
      </c>
      <c r="F7" s="303">
        <v>103.82</v>
      </c>
      <c r="G7" s="323">
        <f t="shared" si="4"/>
        <v>666014.64379999996</v>
      </c>
      <c r="H7" s="14"/>
      <c r="I7" s="14"/>
      <c r="J7" s="14">
        <f t="shared" si="5"/>
        <v>0</v>
      </c>
      <c r="K7" s="323">
        <f t="shared" si="6"/>
        <v>666014.64379999996</v>
      </c>
      <c r="L7" s="14"/>
      <c r="M7" s="37">
        <f t="shared" si="3"/>
        <v>12295318.743229998</v>
      </c>
      <c r="N7" s="14"/>
    </row>
    <row r="8" spans="1:19">
      <c r="A8" s="23">
        <v>5</v>
      </c>
      <c r="B8" s="24">
        <v>46208</v>
      </c>
      <c r="C8" s="14"/>
      <c r="D8" s="253"/>
      <c r="E8" s="259">
        <v>6004</v>
      </c>
      <c r="F8" s="303">
        <v>103.82</v>
      </c>
      <c r="G8" s="323">
        <f t="shared" si="4"/>
        <v>623335.27999999991</v>
      </c>
      <c r="H8" s="14"/>
      <c r="I8" s="14"/>
      <c r="J8" s="14">
        <f t="shared" si="5"/>
        <v>0</v>
      </c>
      <c r="K8" s="323">
        <f t="shared" si="6"/>
        <v>623335.27999999991</v>
      </c>
      <c r="L8" s="14"/>
      <c r="M8" s="37">
        <f t="shared" si="3"/>
        <v>12918654.023229998</v>
      </c>
      <c r="N8" s="14"/>
    </row>
    <row r="9" spans="1:19">
      <c r="A9" s="23">
        <v>6</v>
      </c>
      <c r="B9" s="24">
        <v>46209</v>
      </c>
      <c r="C9" s="14"/>
      <c r="D9" s="253"/>
      <c r="E9" s="259">
        <v>6433.17</v>
      </c>
      <c r="F9" s="303">
        <v>103.82</v>
      </c>
      <c r="G9" s="323">
        <f t="shared" si="4"/>
        <v>667891.70939999993</v>
      </c>
      <c r="H9" s="14"/>
      <c r="I9" s="14"/>
      <c r="J9" s="14">
        <f t="shared" si="5"/>
        <v>0</v>
      </c>
      <c r="K9" s="323">
        <f t="shared" si="6"/>
        <v>667891.70939999993</v>
      </c>
      <c r="L9" s="14"/>
      <c r="M9" s="37">
        <f t="shared" si="3"/>
        <v>13586545.732629998</v>
      </c>
      <c r="N9" s="223"/>
    </row>
    <row r="10" spans="1:19">
      <c r="A10" s="23">
        <v>7</v>
      </c>
      <c r="B10" s="24">
        <v>46210</v>
      </c>
      <c r="C10" s="14"/>
      <c r="D10" s="253"/>
      <c r="E10" s="259">
        <v>5000</v>
      </c>
      <c r="F10" s="303">
        <v>103.82</v>
      </c>
      <c r="G10" s="323">
        <f t="shared" si="4"/>
        <v>519099.99999999994</v>
      </c>
      <c r="H10" s="14">
        <v>95</v>
      </c>
      <c r="I10" s="14">
        <v>115.72</v>
      </c>
      <c r="J10" s="14">
        <f t="shared" si="5"/>
        <v>10993.4</v>
      </c>
      <c r="K10" s="323">
        <f t="shared" si="6"/>
        <v>530093.39999999991</v>
      </c>
      <c r="L10" s="14"/>
      <c r="M10" s="37">
        <f t="shared" si="3"/>
        <v>14116639.132629998</v>
      </c>
      <c r="N10" s="14"/>
    </row>
    <row r="11" spans="1:19">
      <c r="A11" s="23">
        <v>8</v>
      </c>
      <c r="B11" s="24">
        <v>46211</v>
      </c>
      <c r="C11" s="14"/>
      <c r="D11" s="253"/>
      <c r="E11" s="259">
        <v>2800</v>
      </c>
      <c r="F11" s="303">
        <v>103.82</v>
      </c>
      <c r="G11" s="323">
        <f t="shared" si="4"/>
        <v>290696</v>
      </c>
      <c r="H11" s="14">
        <v>40</v>
      </c>
      <c r="I11" s="14">
        <v>115.72</v>
      </c>
      <c r="J11" s="14">
        <f t="shared" si="5"/>
        <v>4628.8</v>
      </c>
      <c r="K11" s="323">
        <f t="shared" si="6"/>
        <v>295324.79999999999</v>
      </c>
      <c r="M11" s="205">
        <f t="shared" si="3"/>
        <v>14411963.932629999</v>
      </c>
      <c r="N11" s="14"/>
    </row>
    <row r="12" spans="1:19">
      <c r="A12" s="23">
        <v>9</v>
      </c>
      <c r="B12" s="24">
        <v>46212</v>
      </c>
      <c r="C12" s="14"/>
      <c r="D12" s="253"/>
      <c r="E12" s="259">
        <v>2700</v>
      </c>
      <c r="F12" s="303">
        <v>103.82</v>
      </c>
      <c r="G12" s="323">
        <f t="shared" si="4"/>
        <v>280314</v>
      </c>
      <c r="H12" s="14">
        <v>20</v>
      </c>
      <c r="I12" s="14">
        <v>115.72</v>
      </c>
      <c r="J12" s="14">
        <f t="shared" si="5"/>
        <v>2314.4</v>
      </c>
      <c r="K12" s="441">
        <f t="shared" si="6"/>
        <v>282628.40000000002</v>
      </c>
      <c r="L12" s="14"/>
      <c r="M12" s="37">
        <f t="shared" si="3"/>
        <v>14694592.332629999</v>
      </c>
      <c r="N12" s="226"/>
      <c r="O12" s="14"/>
    </row>
    <row r="13" spans="1:19">
      <c r="A13" s="23">
        <v>10</v>
      </c>
      <c r="B13" s="24">
        <v>46213</v>
      </c>
      <c r="C13" s="14"/>
      <c r="D13" s="253"/>
      <c r="E13" s="259">
        <v>5500</v>
      </c>
      <c r="F13" s="303">
        <v>103.82</v>
      </c>
      <c r="G13" s="323">
        <f t="shared" si="4"/>
        <v>571010</v>
      </c>
      <c r="H13" s="14">
        <v>40</v>
      </c>
      <c r="I13" s="14">
        <v>115.72</v>
      </c>
      <c r="J13" s="14">
        <f t="shared" si="5"/>
        <v>4628.8</v>
      </c>
      <c r="K13" s="441">
        <f t="shared" si="6"/>
        <v>575638.80000000005</v>
      </c>
      <c r="L13" s="14"/>
      <c r="M13" s="37">
        <f t="shared" si="3"/>
        <v>15270231.13263</v>
      </c>
      <c r="N13" s="226"/>
    </row>
    <row r="14" spans="1:19">
      <c r="A14" s="23">
        <v>11</v>
      </c>
      <c r="B14" s="24">
        <v>46214</v>
      </c>
      <c r="C14" s="14"/>
      <c r="D14" s="253"/>
      <c r="E14" s="259">
        <v>6150</v>
      </c>
      <c r="F14" s="303">
        <v>103.82</v>
      </c>
      <c r="G14" s="323">
        <f t="shared" si="4"/>
        <v>638493</v>
      </c>
      <c r="H14" s="14">
        <v>40</v>
      </c>
      <c r="I14" s="14">
        <v>115.72</v>
      </c>
      <c r="J14" s="14">
        <f t="shared" si="5"/>
        <v>4628.8</v>
      </c>
      <c r="K14" s="441">
        <f t="shared" si="6"/>
        <v>643121.80000000005</v>
      </c>
      <c r="L14" s="14"/>
      <c r="M14" s="37">
        <f t="shared" si="3"/>
        <v>15913352.932630001</v>
      </c>
      <c r="N14" s="226"/>
    </row>
    <row r="15" spans="1:19">
      <c r="A15" s="23">
        <v>12</v>
      </c>
      <c r="B15" s="24">
        <v>46215</v>
      </c>
      <c r="C15" s="14"/>
      <c r="D15" s="253"/>
      <c r="E15" s="259">
        <v>2500</v>
      </c>
      <c r="F15" s="303">
        <v>103.82</v>
      </c>
      <c r="G15" s="323">
        <f t="shared" si="4"/>
        <v>259549.99999999997</v>
      </c>
      <c r="H15" s="14"/>
      <c r="I15" s="14"/>
      <c r="J15" s="14">
        <f t="shared" si="5"/>
        <v>0</v>
      </c>
      <c r="K15" s="323">
        <f t="shared" si="6"/>
        <v>259549.99999999997</v>
      </c>
      <c r="L15" s="133"/>
      <c r="M15" s="172">
        <f t="shared" si="3"/>
        <v>16172902.932630001</v>
      </c>
      <c r="N15" s="14"/>
      <c r="S15">
        <v>5000000</v>
      </c>
    </row>
    <row r="16" spans="1:19">
      <c r="A16" s="23">
        <v>13</v>
      </c>
      <c r="B16" s="24">
        <v>46216</v>
      </c>
      <c r="C16" s="14"/>
      <c r="D16" s="253"/>
      <c r="E16" s="259">
        <v>2000</v>
      </c>
      <c r="F16" s="303">
        <v>103.82</v>
      </c>
      <c r="G16" s="323">
        <f t="shared" si="4"/>
        <v>207640</v>
      </c>
      <c r="H16" s="14">
        <v>60</v>
      </c>
      <c r="I16" s="14">
        <v>115.72</v>
      </c>
      <c r="J16" s="14">
        <f t="shared" si="5"/>
        <v>6943.2</v>
      </c>
      <c r="K16" s="323">
        <f t="shared" si="6"/>
        <v>214583.2</v>
      </c>
      <c r="L16" s="14"/>
      <c r="M16" s="37">
        <f t="shared" si="3"/>
        <v>16387486.13263</v>
      </c>
      <c r="N16" s="14"/>
      <c r="Q16">
        <v>6086287</v>
      </c>
      <c r="S16">
        <v>6086287</v>
      </c>
    </row>
    <row r="17" spans="1:19">
      <c r="A17" s="23">
        <v>14</v>
      </c>
      <c r="B17" s="24">
        <v>46217</v>
      </c>
      <c r="C17" s="14"/>
      <c r="D17" s="253"/>
      <c r="E17" s="259"/>
      <c r="F17" s="303"/>
      <c r="G17" s="323">
        <f t="shared" si="4"/>
        <v>0</v>
      </c>
      <c r="H17" s="14"/>
      <c r="I17" s="14"/>
      <c r="J17" s="14">
        <f t="shared" si="5"/>
        <v>0</v>
      </c>
      <c r="K17" s="323">
        <f t="shared" si="6"/>
        <v>0</v>
      </c>
      <c r="L17" s="14"/>
      <c r="M17" s="37">
        <f t="shared" si="3"/>
        <v>16387486.13263</v>
      </c>
      <c r="N17" s="14"/>
      <c r="S17">
        <f>SUM(S15:S16)</f>
        <v>11086287</v>
      </c>
    </row>
    <row r="18" spans="1:19">
      <c r="A18" s="23">
        <v>15</v>
      </c>
      <c r="B18" s="24">
        <v>46218</v>
      </c>
      <c r="C18" s="14"/>
      <c r="D18" s="253"/>
      <c r="E18" s="259">
        <v>3000</v>
      </c>
      <c r="F18" s="303">
        <v>103.82</v>
      </c>
      <c r="G18" s="323">
        <f t="shared" si="4"/>
        <v>311460</v>
      </c>
      <c r="H18" s="14"/>
      <c r="I18" s="14"/>
      <c r="J18" s="14">
        <f t="shared" si="5"/>
        <v>0</v>
      </c>
      <c r="K18" s="323">
        <f t="shared" si="6"/>
        <v>311460</v>
      </c>
      <c r="L18" s="14"/>
      <c r="M18" s="37">
        <f t="shared" si="3"/>
        <v>16698946.13263</v>
      </c>
      <c r="N18" s="14"/>
      <c r="S18">
        <v>1162961.45</v>
      </c>
    </row>
    <row r="19" spans="1:19">
      <c r="A19" s="23">
        <v>16</v>
      </c>
      <c r="B19" s="24">
        <v>46219</v>
      </c>
      <c r="C19" s="14"/>
      <c r="D19" s="253"/>
      <c r="E19" s="259">
        <v>2000</v>
      </c>
      <c r="F19" s="303">
        <v>103.82</v>
      </c>
      <c r="G19" s="323">
        <f t="shared" si="4"/>
        <v>207640</v>
      </c>
      <c r="H19" s="14">
        <v>20</v>
      </c>
      <c r="I19" s="14">
        <v>115.72</v>
      </c>
      <c r="J19" s="14">
        <f t="shared" si="5"/>
        <v>2314.4</v>
      </c>
      <c r="K19" s="323">
        <f t="shared" si="6"/>
        <v>209954.4</v>
      </c>
      <c r="L19" s="14"/>
      <c r="M19" s="37">
        <f t="shared" si="3"/>
        <v>16908900.53263</v>
      </c>
      <c r="N19" s="14"/>
      <c r="S19">
        <f>S17-S18</f>
        <v>9923325.5500000007</v>
      </c>
    </row>
    <row r="20" spans="1:19">
      <c r="A20" s="23">
        <v>17</v>
      </c>
      <c r="B20" s="24">
        <v>46220</v>
      </c>
      <c r="C20" s="14"/>
      <c r="D20" s="253"/>
      <c r="E20" s="259">
        <v>2000</v>
      </c>
      <c r="F20" s="303">
        <v>103.82</v>
      </c>
      <c r="G20" s="323">
        <f t="shared" si="4"/>
        <v>207640</v>
      </c>
      <c r="H20" s="14">
        <v>75</v>
      </c>
      <c r="I20" s="14">
        <v>115.72</v>
      </c>
      <c r="J20" s="14">
        <f t="shared" si="5"/>
        <v>8679</v>
      </c>
      <c r="K20" s="323">
        <f t="shared" si="6"/>
        <v>216319</v>
      </c>
      <c r="L20" s="14"/>
      <c r="M20" s="37">
        <f t="shared" ref="M19:M36" si="7">M19+K20-L20</f>
        <v>17125219.53263</v>
      </c>
      <c r="N20" s="14"/>
      <c r="S20">
        <v>32869.06</v>
      </c>
    </row>
    <row r="21" spans="1:19">
      <c r="A21" s="23">
        <v>18</v>
      </c>
      <c r="B21" s="24">
        <v>46221</v>
      </c>
      <c r="C21" s="14"/>
      <c r="D21" s="253"/>
      <c r="E21" s="259">
        <v>4115.59</v>
      </c>
      <c r="F21" s="303">
        <v>103.82</v>
      </c>
      <c r="G21" s="323">
        <f t="shared" si="4"/>
        <v>427280.55379999999</v>
      </c>
      <c r="H21" s="14"/>
      <c r="I21" s="14"/>
      <c r="J21" s="14">
        <f t="shared" si="5"/>
        <v>0</v>
      </c>
      <c r="K21" s="323">
        <f t="shared" si="6"/>
        <v>427280.55379999999</v>
      </c>
      <c r="L21" s="14"/>
      <c r="M21" s="37">
        <f t="shared" si="7"/>
        <v>17552500.086430002</v>
      </c>
      <c r="N21" s="14" t="s">
        <v>179</v>
      </c>
      <c r="O21" s="14">
        <v>350000</v>
      </c>
      <c r="S21">
        <f>S19+S20</f>
        <v>9956194.6100000013</v>
      </c>
    </row>
    <row r="22" spans="1:19">
      <c r="A22" s="23">
        <v>19</v>
      </c>
      <c r="B22" s="24">
        <v>46222</v>
      </c>
      <c r="C22" s="14"/>
      <c r="D22" s="253"/>
      <c r="E22" s="259"/>
      <c r="F22" s="303"/>
      <c r="G22" s="323">
        <f t="shared" si="4"/>
        <v>0</v>
      </c>
      <c r="H22" s="14"/>
      <c r="I22" s="14"/>
      <c r="J22" s="14">
        <f t="shared" si="5"/>
        <v>0</v>
      </c>
      <c r="K22" s="323">
        <f t="shared" si="6"/>
        <v>0</v>
      </c>
      <c r="L22" s="14"/>
      <c r="M22" s="37">
        <f t="shared" si="7"/>
        <v>17552500.086430002</v>
      </c>
      <c r="N22" s="14"/>
      <c r="O22" s="14"/>
    </row>
    <row r="23" spans="1:19">
      <c r="A23" s="23">
        <v>20</v>
      </c>
      <c r="B23" s="24">
        <v>46223</v>
      </c>
      <c r="C23" s="14"/>
      <c r="D23" s="253"/>
      <c r="E23" s="259">
        <v>5716.02</v>
      </c>
      <c r="F23" s="303">
        <v>103.82</v>
      </c>
      <c r="G23" s="323">
        <f t="shared" si="4"/>
        <v>593437.19640000002</v>
      </c>
      <c r="H23" s="14">
        <v>80</v>
      </c>
      <c r="I23" s="14">
        <v>115.72</v>
      </c>
      <c r="J23" s="14">
        <f t="shared" si="5"/>
        <v>9257.6</v>
      </c>
      <c r="K23" s="323">
        <f t="shared" si="6"/>
        <v>602694.79639999999</v>
      </c>
      <c r="L23" s="14"/>
      <c r="M23" s="37">
        <f t="shared" si="7"/>
        <v>18155194.882830001</v>
      </c>
      <c r="N23" s="14" t="s">
        <v>179</v>
      </c>
      <c r="O23" s="14">
        <v>500000</v>
      </c>
    </row>
    <row r="24" spans="1:19">
      <c r="A24" s="23">
        <v>21</v>
      </c>
      <c r="B24" s="24">
        <v>46224</v>
      </c>
      <c r="C24" s="14"/>
      <c r="D24" s="253"/>
      <c r="E24" s="259"/>
      <c r="F24" s="303"/>
      <c r="G24" s="323">
        <f t="shared" si="4"/>
        <v>0</v>
      </c>
      <c r="H24" s="14"/>
      <c r="I24" s="14"/>
      <c r="J24" s="14">
        <f t="shared" si="5"/>
        <v>0</v>
      </c>
      <c r="K24" s="323">
        <f t="shared" si="6"/>
        <v>0</v>
      </c>
      <c r="L24" s="14"/>
      <c r="M24" s="37">
        <f t="shared" si="7"/>
        <v>18155194.882830001</v>
      </c>
      <c r="N24" s="14"/>
    </row>
    <row r="25" spans="1:19">
      <c r="A25" s="23">
        <v>22</v>
      </c>
      <c r="B25" s="24">
        <v>46225</v>
      </c>
      <c r="C25" s="14"/>
      <c r="D25" s="253"/>
      <c r="E25" s="436">
        <v>2800</v>
      </c>
      <c r="F25" s="303">
        <v>103.82</v>
      </c>
      <c r="G25" s="323">
        <f t="shared" si="4"/>
        <v>290696</v>
      </c>
      <c r="H25" s="14"/>
      <c r="I25" s="14"/>
      <c r="J25" s="14">
        <f t="shared" si="5"/>
        <v>0</v>
      </c>
      <c r="K25" s="323">
        <f t="shared" si="6"/>
        <v>290696</v>
      </c>
      <c r="L25" s="14">
        <v>290696</v>
      </c>
      <c r="M25" s="37">
        <f t="shared" si="7"/>
        <v>18155194.882830001</v>
      </c>
      <c r="N25" s="14" t="s">
        <v>180</v>
      </c>
    </row>
    <row r="26" spans="1:19">
      <c r="A26" s="23">
        <v>23</v>
      </c>
      <c r="B26" s="24">
        <v>46226</v>
      </c>
      <c r="C26" s="14"/>
      <c r="D26" s="253"/>
      <c r="E26" s="436"/>
      <c r="F26" s="303"/>
      <c r="G26" s="323">
        <f t="shared" si="4"/>
        <v>0</v>
      </c>
      <c r="H26" s="14">
        <v>75</v>
      </c>
      <c r="I26" s="14">
        <v>115.72</v>
      </c>
      <c r="J26" s="14">
        <f t="shared" si="5"/>
        <v>8679</v>
      </c>
      <c r="K26" s="323">
        <f t="shared" si="6"/>
        <v>8679</v>
      </c>
      <c r="L26" s="14"/>
      <c r="M26" s="37">
        <f t="shared" si="7"/>
        <v>18163873.882830001</v>
      </c>
      <c r="N26" s="14"/>
    </row>
    <row r="27" spans="1:19">
      <c r="A27" s="23">
        <v>24</v>
      </c>
      <c r="B27" s="24">
        <v>46227</v>
      </c>
      <c r="C27" s="14"/>
      <c r="D27" s="253" t="s">
        <v>181</v>
      </c>
      <c r="E27" s="259">
        <v>546</v>
      </c>
      <c r="F27" s="303">
        <v>332.76</v>
      </c>
      <c r="G27" s="323">
        <f t="shared" si="4"/>
        <v>181686.96</v>
      </c>
      <c r="H27" s="14"/>
      <c r="I27" s="14"/>
      <c r="J27" s="14">
        <f t="shared" si="5"/>
        <v>0</v>
      </c>
      <c r="K27" s="323">
        <f t="shared" si="6"/>
        <v>181686.96</v>
      </c>
      <c r="L27" s="14"/>
      <c r="M27" s="37">
        <f t="shared" si="7"/>
        <v>18345560.842830002</v>
      </c>
      <c r="N27" s="14"/>
    </row>
    <row r="28" spans="1:19">
      <c r="A28" s="23">
        <v>25</v>
      </c>
      <c r="B28" s="24">
        <v>46228</v>
      </c>
      <c r="C28" s="14"/>
      <c r="D28" s="253"/>
      <c r="E28" s="259"/>
      <c r="F28" s="303"/>
      <c r="G28" s="323">
        <f t="shared" si="4"/>
        <v>0</v>
      </c>
      <c r="H28" s="14">
        <v>95</v>
      </c>
      <c r="I28" s="14">
        <v>115.72</v>
      </c>
      <c r="J28" s="14">
        <f t="shared" si="5"/>
        <v>10993.4</v>
      </c>
      <c r="K28" s="323">
        <f t="shared" si="6"/>
        <v>10993.4</v>
      </c>
      <c r="L28" s="14"/>
      <c r="M28" s="37">
        <f t="shared" si="7"/>
        <v>18356554.242830001</v>
      </c>
      <c r="N28" s="14"/>
    </row>
    <row r="29" spans="1:19">
      <c r="A29" s="23">
        <v>26</v>
      </c>
      <c r="B29" s="24">
        <v>46229</v>
      </c>
      <c r="C29" s="14"/>
      <c r="D29" s="253"/>
      <c r="E29" s="259"/>
      <c r="F29" s="303"/>
      <c r="G29" s="323">
        <f t="shared" si="4"/>
        <v>0</v>
      </c>
      <c r="H29" s="14"/>
      <c r="I29" s="14"/>
      <c r="J29" s="14">
        <f t="shared" si="5"/>
        <v>0</v>
      </c>
      <c r="K29" s="323">
        <f t="shared" si="6"/>
        <v>0</v>
      </c>
      <c r="L29" s="14"/>
      <c r="M29" s="37">
        <f t="shared" si="7"/>
        <v>18356554.242830001</v>
      </c>
      <c r="N29" s="14"/>
    </row>
    <row r="30" spans="1:19">
      <c r="A30" s="23">
        <v>27</v>
      </c>
      <c r="B30" s="24">
        <v>46230</v>
      </c>
      <c r="C30" s="14"/>
      <c r="D30" s="253"/>
      <c r="E30" s="259"/>
      <c r="F30" s="303"/>
      <c r="G30" s="323">
        <f t="shared" si="4"/>
        <v>0</v>
      </c>
      <c r="H30" s="14"/>
      <c r="I30" s="14"/>
      <c r="J30" s="14">
        <f t="shared" si="5"/>
        <v>0</v>
      </c>
      <c r="K30" s="323">
        <f t="shared" si="6"/>
        <v>0</v>
      </c>
      <c r="L30" s="14"/>
      <c r="M30" s="37">
        <f t="shared" si="7"/>
        <v>18356554.242830001</v>
      </c>
      <c r="N30" s="14"/>
    </row>
    <row r="31" spans="1:19">
      <c r="A31" s="23">
        <v>28</v>
      </c>
      <c r="B31" s="24">
        <v>46231</v>
      </c>
      <c r="C31" s="14"/>
      <c r="D31" s="253"/>
      <c r="E31" s="259">
        <v>2802.93</v>
      </c>
      <c r="F31" s="303">
        <v>103.82</v>
      </c>
      <c r="G31" s="323">
        <f t="shared" si="4"/>
        <v>291000.19259999995</v>
      </c>
      <c r="H31" s="14">
        <v>105</v>
      </c>
      <c r="I31" s="14">
        <v>115.72</v>
      </c>
      <c r="J31" s="14">
        <f t="shared" si="5"/>
        <v>12150.6</v>
      </c>
      <c r="K31" s="323">
        <f t="shared" si="6"/>
        <v>303150.79259999993</v>
      </c>
      <c r="L31" s="14"/>
      <c r="M31" s="37">
        <f t="shared" si="7"/>
        <v>18659705.035429999</v>
      </c>
      <c r="N31" s="14" t="s">
        <v>179</v>
      </c>
      <c r="O31" s="14">
        <v>291000</v>
      </c>
    </row>
    <row r="32" spans="1:19">
      <c r="A32" s="23">
        <v>29</v>
      </c>
      <c r="B32" s="24">
        <v>46232</v>
      </c>
      <c r="C32" s="14"/>
      <c r="D32" s="253"/>
      <c r="E32" s="259">
        <v>2600</v>
      </c>
      <c r="F32" s="303">
        <v>103.82</v>
      </c>
      <c r="G32" s="323">
        <f t="shared" si="4"/>
        <v>269932</v>
      </c>
      <c r="H32" s="14"/>
      <c r="I32" s="14"/>
      <c r="J32" s="14">
        <f t="shared" si="5"/>
        <v>0</v>
      </c>
      <c r="K32" s="323">
        <f t="shared" si="6"/>
        <v>269932</v>
      </c>
      <c r="L32" s="14"/>
      <c r="M32" s="37">
        <f t="shared" si="7"/>
        <v>18929637.035429999</v>
      </c>
      <c r="N32" s="14" t="s">
        <v>179</v>
      </c>
      <c r="O32" s="14">
        <v>269932</v>
      </c>
    </row>
    <row r="33" spans="1:15">
      <c r="A33" s="23">
        <v>30</v>
      </c>
      <c r="B33" s="24">
        <v>46233</v>
      </c>
      <c r="C33" s="14"/>
      <c r="D33" s="253"/>
      <c r="E33" s="259"/>
      <c r="F33" s="303"/>
      <c r="G33" s="323">
        <f t="shared" si="4"/>
        <v>0</v>
      </c>
      <c r="H33" s="14"/>
      <c r="I33" s="14"/>
      <c r="J33" s="14">
        <f t="shared" si="5"/>
        <v>0</v>
      </c>
      <c r="K33" s="323">
        <f t="shared" si="6"/>
        <v>0</v>
      </c>
      <c r="L33" s="14"/>
      <c r="M33" s="37">
        <f t="shared" si="7"/>
        <v>18929637.035429999</v>
      </c>
      <c r="N33" s="14"/>
      <c r="O33" s="538">
        <f>SUM(O21:O32)</f>
        <v>1410932</v>
      </c>
    </row>
    <row r="34" spans="1:15">
      <c r="A34" s="23">
        <v>31</v>
      </c>
      <c r="B34" s="24">
        <v>46234</v>
      </c>
      <c r="C34" s="14"/>
      <c r="D34" s="253"/>
      <c r="E34" s="259"/>
      <c r="F34" s="303"/>
      <c r="G34" s="323">
        <f t="shared" si="4"/>
        <v>0</v>
      </c>
      <c r="H34" s="14"/>
      <c r="I34" s="14"/>
      <c r="J34" s="14">
        <f t="shared" si="5"/>
        <v>0</v>
      </c>
      <c r="K34" s="323">
        <f t="shared" si="6"/>
        <v>0</v>
      </c>
      <c r="L34" s="14"/>
      <c r="M34" s="37">
        <f t="shared" si="7"/>
        <v>18929637.035429999</v>
      </c>
      <c r="N34" s="14"/>
    </row>
    <row r="35" spans="1:15">
      <c r="A35" s="23">
        <v>32</v>
      </c>
      <c r="B35" s="24"/>
      <c r="C35" s="14"/>
      <c r="D35" s="253"/>
      <c r="E35" s="259"/>
      <c r="F35" s="303"/>
      <c r="G35" s="323">
        <f t="shared" si="4"/>
        <v>0</v>
      </c>
      <c r="H35" s="14"/>
      <c r="I35" s="14"/>
      <c r="J35" s="14">
        <f t="shared" si="5"/>
        <v>0</v>
      </c>
      <c r="K35" s="323">
        <f t="shared" si="6"/>
        <v>0</v>
      </c>
      <c r="L35" s="14"/>
      <c r="M35" s="37">
        <f t="shared" si="7"/>
        <v>18929637.035429999</v>
      </c>
      <c r="N35" s="14"/>
    </row>
    <row r="36" spans="1:15">
      <c r="A36" s="23">
        <v>33</v>
      </c>
      <c r="B36" s="24"/>
      <c r="C36" s="14"/>
      <c r="D36" s="253"/>
      <c r="E36" s="259"/>
      <c r="F36" s="303"/>
      <c r="G36" s="323">
        <f t="shared" si="4"/>
        <v>0</v>
      </c>
      <c r="H36" s="14"/>
      <c r="I36" s="14"/>
      <c r="J36" s="14">
        <f t="shared" si="5"/>
        <v>0</v>
      </c>
      <c r="K36" s="323">
        <f t="shared" si="6"/>
        <v>0</v>
      </c>
      <c r="L36" s="14"/>
      <c r="M36" s="37">
        <f t="shared" si="7"/>
        <v>18929637.035429999</v>
      </c>
      <c r="N36" s="14"/>
    </row>
    <row r="37" spans="1:15">
      <c r="A37" s="23"/>
      <c r="B37" s="24"/>
      <c r="C37" s="14"/>
      <c r="D37" s="253"/>
      <c r="E37" s="259"/>
      <c r="F37" s="303"/>
      <c r="G37" s="323"/>
      <c r="H37" s="14"/>
      <c r="I37" s="14"/>
      <c r="J37" s="14"/>
      <c r="K37" s="14"/>
      <c r="L37" s="14"/>
      <c r="M37" s="37"/>
      <c r="N37" s="14"/>
    </row>
    <row r="38" spans="1:15">
      <c r="A38" s="39"/>
      <c r="B38" s="39"/>
      <c r="C38" s="39"/>
      <c r="D38" s="39"/>
      <c r="E38" s="40">
        <f>SUM(E4:E36)</f>
        <v>90723.14</v>
      </c>
      <c r="F38" s="40"/>
      <c r="G38" s="40">
        <f>SUM(G4:G36)</f>
        <v>9543877.634800002</v>
      </c>
      <c r="H38" s="40">
        <f>SUM(H4:H36)</f>
        <v>745</v>
      </c>
      <c r="I38" s="40"/>
      <c r="J38" s="40">
        <f>SUM(J4:J36)</f>
        <v>86211.400000000009</v>
      </c>
      <c r="K38" s="40">
        <f>SUM(K4:K36)</f>
        <v>9630089.0348000005</v>
      </c>
      <c r="L38" s="40">
        <f>SUM(L4:L36)</f>
        <v>290696</v>
      </c>
      <c r="M38" s="40"/>
      <c r="N38" s="40"/>
    </row>
    <row r="42" spans="1:15">
      <c r="M42" s="19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2600-625A-4673-A405-708447C74D8E}">
  <sheetPr>
    <tabColor rgb="FF00B050"/>
  </sheetPr>
  <dimension ref="A1:P39"/>
  <sheetViews>
    <sheetView topLeftCell="A13" workbookViewId="0">
      <selection activeCell="G23" sqref="G23:G25"/>
    </sheetView>
  </sheetViews>
  <sheetFormatPr defaultRowHeight="15"/>
  <cols>
    <col min="2" max="2" width="14.140625" customWidth="1"/>
    <col min="5" max="5" width="10.42578125" bestFit="1" customWidth="1"/>
    <col min="6" max="6" width="8.42578125" bestFit="1" customWidth="1"/>
    <col min="7" max="7" width="12.85546875" bestFit="1" customWidth="1"/>
    <col min="11" max="12" width="13.5703125" bestFit="1" customWidth="1"/>
    <col min="13" max="13" width="12.5703125" bestFit="1" customWidth="1"/>
    <col min="14" max="14" width="8.7109375" bestFit="1" customWidth="1"/>
    <col min="15" max="15" width="11.42578125" bestFit="1" customWidth="1"/>
  </cols>
  <sheetData>
    <row r="1" spans="1:16" ht="15.75">
      <c r="A1" s="550" t="s">
        <v>182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</row>
    <row r="2" spans="1:16" ht="30.75">
      <c r="A2" s="61" t="s">
        <v>0</v>
      </c>
      <c r="B2" s="80" t="s">
        <v>163</v>
      </c>
      <c r="C2" s="80" t="s">
        <v>164</v>
      </c>
      <c r="D2" s="80" t="s">
        <v>165</v>
      </c>
      <c r="E2" s="80" t="s">
        <v>166</v>
      </c>
      <c r="F2" s="80" t="s">
        <v>167</v>
      </c>
      <c r="G2" s="80" t="s">
        <v>168</v>
      </c>
      <c r="H2" s="80" t="s">
        <v>169</v>
      </c>
      <c r="I2" s="80" t="s">
        <v>167</v>
      </c>
      <c r="J2" s="81" t="s">
        <v>168</v>
      </c>
      <c r="K2" s="120" t="s">
        <v>170</v>
      </c>
      <c r="L2" s="123" t="s">
        <v>171</v>
      </c>
      <c r="M2" s="123" t="s">
        <v>178</v>
      </c>
      <c r="N2" s="121" t="s">
        <v>173</v>
      </c>
      <c r="O2" s="305"/>
      <c r="P2" s="19"/>
    </row>
    <row r="3" spans="1:16">
      <c r="A3" s="552" t="s">
        <v>174</v>
      </c>
      <c r="B3" s="553"/>
      <c r="C3" s="553"/>
      <c r="D3" s="553"/>
      <c r="E3" s="553"/>
      <c r="F3" s="553"/>
      <c r="G3" s="553"/>
      <c r="H3" s="553"/>
      <c r="I3" s="553"/>
      <c r="J3" s="553"/>
      <c r="K3">
        <v>1072600</v>
      </c>
      <c r="L3" s="221"/>
      <c r="M3">
        <v>1072600</v>
      </c>
      <c r="N3" s="91"/>
    </row>
    <row r="4" spans="1:16">
      <c r="A4" s="23">
        <v>1</v>
      </c>
      <c r="B4" s="24">
        <v>46204</v>
      </c>
      <c r="C4" s="14"/>
      <c r="D4" s="253"/>
      <c r="E4" s="259"/>
      <c r="F4" s="303"/>
      <c r="G4" s="14">
        <f>E4*F4</f>
        <v>0</v>
      </c>
      <c r="H4" s="14"/>
      <c r="I4" s="14"/>
      <c r="J4" s="14">
        <f>H4*I4</f>
        <v>0</v>
      </c>
      <c r="K4" s="14">
        <f>G4+J4</f>
        <v>0</v>
      </c>
      <c r="L4" s="14"/>
      <c r="M4" s="37">
        <f>M3+K4-L4</f>
        <v>1072600</v>
      </c>
      <c r="N4" s="14"/>
      <c r="O4" s="37"/>
    </row>
    <row r="5" spans="1:16">
      <c r="A5" s="23">
        <v>2</v>
      </c>
      <c r="B5" s="24">
        <v>46205</v>
      </c>
      <c r="C5" s="14"/>
      <c r="D5" s="253"/>
      <c r="E5" s="259"/>
      <c r="F5" s="303"/>
      <c r="G5" s="14">
        <f t="shared" ref="G5:G34" si="0">E5*F5</f>
        <v>0</v>
      </c>
      <c r="H5" s="14"/>
      <c r="I5" s="14"/>
      <c r="J5" s="14">
        <f t="shared" ref="J5:J34" si="1">H5*I5</f>
        <v>0</v>
      </c>
      <c r="K5" s="14">
        <f t="shared" ref="K5:K34" si="2">G5+J5</f>
        <v>0</v>
      </c>
      <c r="L5" s="14"/>
      <c r="M5" s="37">
        <f>M4+K5-L5</f>
        <v>1072600</v>
      </c>
      <c r="N5" s="14"/>
    </row>
    <row r="6" spans="1:16">
      <c r="A6" s="23">
        <v>3</v>
      </c>
      <c r="B6" s="24">
        <v>46206</v>
      </c>
      <c r="C6" s="14"/>
      <c r="D6" s="253"/>
      <c r="E6" s="259"/>
      <c r="F6" s="303"/>
      <c r="G6" s="14">
        <f t="shared" si="0"/>
        <v>0</v>
      </c>
      <c r="H6" s="14"/>
      <c r="I6" s="14"/>
      <c r="J6" s="14">
        <f t="shared" si="1"/>
        <v>0</v>
      </c>
      <c r="K6" s="14">
        <f t="shared" si="2"/>
        <v>0</v>
      </c>
      <c r="L6" s="14"/>
      <c r="M6" s="37">
        <f t="shared" ref="M6:M34" si="3">M5+K6-L6</f>
        <v>1072600</v>
      </c>
      <c r="N6" s="14"/>
    </row>
    <row r="7" spans="1:16">
      <c r="A7" s="23">
        <v>4</v>
      </c>
      <c r="B7" s="24">
        <v>46207</v>
      </c>
      <c r="C7" s="14"/>
      <c r="D7" s="253"/>
      <c r="E7" s="259"/>
      <c r="F7" s="303"/>
      <c r="G7" s="14">
        <f t="shared" si="0"/>
        <v>0</v>
      </c>
      <c r="H7" s="14"/>
      <c r="I7" s="14"/>
      <c r="J7" s="14">
        <f t="shared" si="1"/>
        <v>0</v>
      </c>
      <c r="K7" s="14">
        <f t="shared" si="2"/>
        <v>0</v>
      </c>
      <c r="L7" s="14"/>
      <c r="M7" s="37">
        <f>M6+K7-L7</f>
        <v>1072600</v>
      </c>
      <c r="N7" s="14"/>
    </row>
    <row r="8" spans="1:16">
      <c r="A8" s="23">
        <v>5</v>
      </c>
      <c r="B8" s="24">
        <v>46208</v>
      </c>
      <c r="C8" s="14"/>
      <c r="D8" s="253"/>
      <c r="E8" s="259"/>
      <c r="F8" s="303"/>
      <c r="G8" s="14">
        <f t="shared" si="0"/>
        <v>0</v>
      </c>
      <c r="H8" s="14"/>
      <c r="I8" s="14"/>
      <c r="J8" s="14">
        <f t="shared" si="1"/>
        <v>0</v>
      </c>
      <c r="K8" s="14">
        <f t="shared" si="2"/>
        <v>0</v>
      </c>
      <c r="L8" s="14"/>
      <c r="M8" s="37">
        <f t="shared" si="3"/>
        <v>1072600</v>
      </c>
      <c r="N8" s="14"/>
    </row>
    <row r="9" spans="1:16">
      <c r="A9" s="23">
        <v>6</v>
      </c>
      <c r="B9" s="24">
        <v>46209</v>
      </c>
      <c r="C9" s="14"/>
      <c r="D9" s="253"/>
      <c r="E9" s="259"/>
      <c r="F9" s="303"/>
      <c r="G9" s="14">
        <f t="shared" si="0"/>
        <v>0</v>
      </c>
      <c r="H9" s="14"/>
      <c r="I9" s="14"/>
      <c r="J9" s="14">
        <f t="shared" si="1"/>
        <v>0</v>
      </c>
      <c r="K9" s="14">
        <f t="shared" si="2"/>
        <v>0</v>
      </c>
      <c r="L9" s="14"/>
      <c r="M9" s="37">
        <f t="shared" si="3"/>
        <v>1072600</v>
      </c>
      <c r="N9" s="223"/>
    </row>
    <row r="10" spans="1:16">
      <c r="A10" s="23">
        <v>7</v>
      </c>
      <c r="B10" s="24">
        <v>46210</v>
      </c>
      <c r="C10" s="14"/>
      <c r="D10" s="253"/>
      <c r="E10" s="259"/>
      <c r="F10" s="303"/>
      <c r="G10" s="14">
        <f t="shared" si="0"/>
        <v>0</v>
      </c>
      <c r="H10" s="14"/>
      <c r="I10" s="14"/>
      <c r="J10" s="14">
        <f t="shared" si="1"/>
        <v>0</v>
      </c>
      <c r="K10" s="14">
        <f t="shared" si="2"/>
        <v>0</v>
      </c>
      <c r="L10" s="14"/>
      <c r="M10" s="37">
        <f t="shared" si="3"/>
        <v>1072600</v>
      </c>
      <c r="N10" s="14"/>
    </row>
    <row r="11" spans="1:16">
      <c r="A11" s="23">
        <v>8</v>
      </c>
      <c r="B11" s="24">
        <v>46211</v>
      </c>
      <c r="C11" s="14"/>
      <c r="D11" s="253"/>
      <c r="E11" s="259"/>
      <c r="F11" s="303"/>
      <c r="G11" s="14">
        <f t="shared" si="0"/>
        <v>0</v>
      </c>
      <c r="H11" s="14"/>
      <c r="I11" s="14"/>
      <c r="J11" s="14">
        <f t="shared" si="1"/>
        <v>0</v>
      </c>
      <c r="K11" s="14">
        <f t="shared" si="2"/>
        <v>0</v>
      </c>
      <c r="L11" s="14"/>
      <c r="M11" s="37">
        <f t="shared" si="3"/>
        <v>1072600</v>
      </c>
      <c r="N11" s="14"/>
    </row>
    <row r="12" spans="1:16">
      <c r="A12" s="23">
        <v>9</v>
      </c>
      <c r="B12" s="24">
        <v>46212</v>
      </c>
      <c r="C12" s="14"/>
      <c r="D12" s="253"/>
      <c r="E12" s="259"/>
      <c r="F12" s="303"/>
      <c r="G12" s="14">
        <f t="shared" si="0"/>
        <v>0</v>
      </c>
      <c r="H12" s="14"/>
      <c r="I12" s="14"/>
      <c r="J12" s="14">
        <f t="shared" si="1"/>
        <v>0</v>
      </c>
      <c r="K12" s="14">
        <f t="shared" si="2"/>
        <v>0</v>
      </c>
      <c r="L12" s="14"/>
      <c r="M12" s="37">
        <f t="shared" si="3"/>
        <v>1072600</v>
      </c>
      <c r="N12" s="14"/>
    </row>
    <row r="13" spans="1:16">
      <c r="A13" s="23">
        <v>10</v>
      </c>
      <c r="B13" s="24">
        <v>46213</v>
      </c>
      <c r="C13" s="14"/>
      <c r="D13" s="253"/>
      <c r="E13" s="259"/>
      <c r="F13" s="303"/>
      <c r="G13" s="14">
        <f t="shared" si="0"/>
        <v>0</v>
      </c>
      <c r="H13" s="14"/>
      <c r="I13" s="14"/>
      <c r="J13" s="14">
        <f t="shared" si="1"/>
        <v>0</v>
      </c>
      <c r="K13" s="14">
        <f t="shared" si="2"/>
        <v>0</v>
      </c>
      <c r="L13" s="14"/>
      <c r="M13" s="37">
        <f t="shared" si="3"/>
        <v>1072600</v>
      </c>
      <c r="N13" s="14"/>
    </row>
    <row r="14" spans="1:16">
      <c r="A14" s="23">
        <v>11</v>
      </c>
      <c r="B14" s="24">
        <v>46214</v>
      </c>
      <c r="C14" s="14"/>
      <c r="D14" s="253"/>
      <c r="E14" s="259"/>
      <c r="F14" s="303"/>
      <c r="G14" s="14">
        <f t="shared" si="0"/>
        <v>0</v>
      </c>
      <c r="H14" s="14"/>
      <c r="I14" s="14"/>
      <c r="J14" s="14">
        <f t="shared" si="1"/>
        <v>0</v>
      </c>
      <c r="K14" s="14">
        <f t="shared" si="2"/>
        <v>0</v>
      </c>
      <c r="L14" s="14"/>
      <c r="M14" s="37">
        <f t="shared" si="3"/>
        <v>1072600</v>
      </c>
      <c r="N14" s="14"/>
    </row>
    <row r="15" spans="1:16">
      <c r="A15" s="23">
        <v>12</v>
      </c>
      <c r="B15" s="24">
        <v>46215</v>
      </c>
      <c r="C15" s="14"/>
      <c r="D15" s="253"/>
      <c r="E15" s="259"/>
      <c r="F15" s="303"/>
      <c r="G15" s="14">
        <f t="shared" si="0"/>
        <v>0</v>
      </c>
      <c r="H15" s="14"/>
      <c r="I15" s="14"/>
      <c r="J15" s="14">
        <f t="shared" si="1"/>
        <v>0</v>
      </c>
      <c r="K15" s="14">
        <f t="shared" si="2"/>
        <v>0</v>
      </c>
      <c r="L15" s="14"/>
      <c r="M15" s="37">
        <f t="shared" si="3"/>
        <v>1072600</v>
      </c>
      <c r="N15" s="14"/>
    </row>
    <row r="16" spans="1:16">
      <c r="A16" s="23">
        <v>13</v>
      </c>
      <c r="B16" s="24">
        <v>46216</v>
      </c>
      <c r="C16" s="14"/>
      <c r="D16" s="253"/>
      <c r="E16" s="259"/>
      <c r="F16" s="303"/>
      <c r="G16" s="14">
        <f t="shared" si="0"/>
        <v>0</v>
      </c>
      <c r="H16" s="14"/>
      <c r="I16" s="14"/>
      <c r="J16" s="14">
        <f t="shared" si="1"/>
        <v>0</v>
      </c>
      <c r="K16" s="14">
        <f t="shared" si="2"/>
        <v>0</v>
      </c>
      <c r="L16" s="14"/>
      <c r="M16" s="37">
        <f>M15+K16-L16</f>
        <v>1072600</v>
      </c>
      <c r="N16" s="14"/>
    </row>
    <row r="17" spans="1:14">
      <c r="A17" s="23">
        <v>14</v>
      </c>
      <c r="B17" s="24">
        <v>46217</v>
      </c>
      <c r="C17" s="14"/>
      <c r="D17" s="253"/>
      <c r="E17" s="259"/>
      <c r="F17" s="303"/>
      <c r="G17" s="14">
        <f t="shared" si="0"/>
        <v>0</v>
      </c>
      <c r="H17" s="14"/>
      <c r="I17" s="14"/>
      <c r="J17" s="14">
        <f t="shared" si="1"/>
        <v>0</v>
      </c>
      <c r="K17" s="14">
        <f t="shared" si="2"/>
        <v>0</v>
      </c>
      <c r="L17" s="14"/>
      <c r="M17" s="37">
        <f t="shared" si="3"/>
        <v>1072600</v>
      </c>
      <c r="N17" s="14"/>
    </row>
    <row r="18" spans="1:14">
      <c r="A18" s="23">
        <v>15</v>
      </c>
      <c r="B18" s="24">
        <v>46218</v>
      </c>
      <c r="C18" s="14"/>
      <c r="D18" s="253"/>
      <c r="E18" s="259"/>
      <c r="F18" s="303"/>
      <c r="G18" s="14">
        <f t="shared" si="0"/>
        <v>0</v>
      </c>
      <c r="H18" s="14"/>
      <c r="I18" s="14"/>
      <c r="J18" s="14">
        <f t="shared" si="1"/>
        <v>0</v>
      </c>
      <c r="K18" s="14">
        <f t="shared" si="2"/>
        <v>0</v>
      </c>
      <c r="L18" s="14"/>
      <c r="M18" s="37">
        <f t="shared" si="3"/>
        <v>1072600</v>
      </c>
      <c r="N18" s="14"/>
    </row>
    <row r="19" spans="1:14">
      <c r="A19" s="23">
        <v>16</v>
      </c>
      <c r="B19" s="24">
        <v>46219</v>
      </c>
      <c r="C19" s="14"/>
      <c r="D19" s="253"/>
      <c r="E19" s="259"/>
      <c r="F19" s="303"/>
      <c r="G19" s="14">
        <f t="shared" si="0"/>
        <v>0</v>
      </c>
      <c r="H19" s="14"/>
      <c r="I19" s="14"/>
      <c r="J19" s="14">
        <f t="shared" si="1"/>
        <v>0</v>
      </c>
      <c r="K19" s="14">
        <f t="shared" si="2"/>
        <v>0</v>
      </c>
      <c r="L19" s="14"/>
      <c r="M19" s="37">
        <f t="shared" si="3"/>
        <v>1072600</v>
      </c>
      <c r="N19" s="14"/>
    </row>
    <row r="20" spans="1:14">
      <c r="A20" s="23">
        <v>17</v>
      </c>
      <c r="B20" s="24">
        <v>46220</v>
      </c>
      <c r="C20" s="14"/>
      <c r="D20" s="253"/>
      <c r="E20" s="259"/>
      <c r="F20" s="303"/>
      <c r="G20" s="14">
        <f t="shared" si="0"/>
        <v>0</v>
      </c>
      <c r="H20" s="14"/>
      <c r="I20" s="14"/>
      <c r="J20" s="14">
        <f t="shared" si="1"/>
        <v>0</v>
      </c>
      <c r="K20" s="14">
        <f t="shared" si="2"/>
        <v>0</v>
      </c>
      <c r="L20" s="14"/>
      <c r="M20" s="37">
        <f t="shared" si="3"/>
        <v>1072600</v>
      </c>
      <c r="N20" s="14"/>
    </row>
    <row r="21" spans="1:14">
      <c r="A21" s="23">
        <v>18</v>
      </c>
      <c r="B21" s="24">
        <v>46221</v>
      </c>
      <c r="C21" s="14"/>
      <c r="D21" s="253"/>
      <c r="E21" s="259"/>
      <c r="F21" s="303"/>
      <c r="G21" s="14">
        <f t="shared" si="0"/>
        <v>0</v>
      </c>
      <c r="H21" s="14"/>
      <c r="I21" s="14"/>
      <c r="J21" s="14">
        <f t="shared" si="1"/>
        <v>0</v>
      </c>
      <c r="K21" s="14">
        <f t="shared" si="2"/>
        <v>0</v>
      </c>
      <c r="L21" s="14"/>
      <c r="M21" s="37">
        <f t="shared" si="3"/>
        <v>1072600</v>
      </c>
      <c r="N21" s="14"/>
    </row>
    <row r="22" spans="1:14">
      <c r="A22" s="23">
        <v>19</v>
      </c>
      <c r="B22" s="24">
        <v>46222</v>
      </c>
      <c r="C22" s="14"/>
      <c r="D22" s="253"/>
      <c r="E22" s="259"/>
      <c r="F22" s="303"/>
      <c r="G22" s="14">
        <f t="shared" si="0"/>
        <v>0</v>
      </c>
      <c r="H22" s="14"/>
      <c r="I22" s="14"/>
      <c r="J22" s="14">
        <f t="shared" si="1"/>
        <v>0</v>
      </c>
      <c r="K22" s="14">
        <f t="shared" si="2"/>
        <v>0</v>
      </c>
      <c r="L22" s="14"/>
      <c r="M22" s="37">
        <f t="shared" si="3"/>
        <v>1072600</v>
      </c>
      <c r="N22" s="14"/>
    </row>
    <row r="23" spans="1:14">
      <c r="A23" s="23">
        <v>20</v>
      </c>
      <c r="B23" s="24">
        <v>46223</v>
      </c>
      <c r="C23" s="14"/>
      <c r="D23" s="253"/>
      <c r="E23" s="259"/>
      <c r="F23" s="303"/>
      <c r="G23" s="14">
        <f t="shared" si="0"/>
        <v>0</v>
      </c>
      <c r="H23" s="14"/>
      <c r="I23" s="14"/>
      <c r="J23" s="14">
        <f t="shared" si="1"/>
        <v>0</v>
      </c>
      <c r="K23" s="14">
        <f t="shared" si="2"/>
        <v>0</v>
      </c>
      <c r="L23" s="14"/>
      <c r="M23" s="37">
        <f t="shared" si="3"/>
        <v>1072600</v>
      </c>
      <c r="N23" s="14"/>
    </row>
    <row r="24" spans="1:14">
      <c r="A24" s="23">
        <v>21</v>
      </c>
      <c r="B24" s="24">
        <v>46224</v>
      </c>
      <c r="C24" s="14"/>
      <c r="D24" s="253"/>
      <c r="E24" s="259"/>
      <c r="F24" s="303"/>
      <c r="G24" s="14">
        <f t="shared" si="0"/>
        <v>0</v>
      </c>
      <c r="H24" s="14"/>
      <c r="I24" s="14"/>
      <c r="J24" s="14">
        <f t="shared" si="1"/>
        <v>0</v>
      </c>
      <c r="K24" s="14">
        <f t="shared" si="2"/>
        <v>0</v>
      </c>
      <c r="L24" s="14"/>
      <c r="M24" s="37">
        <f t="shared" si="3"/>
        <v>1072600</v>
      </c>
      <c r="N24" s="14"/>
    </row>
    <row r="25" spans="1:14">
      <c r="A25" s="23">
        <v>22</v>
      </c>
      <c r="B25" s="24">
        <v>46225</v>
      </c>
      <c r="C25" s="14"/>
      <c r="D25" s="253"/>
      <c r="E25" s="259"/>
      <c r="F25" s="303"/>
      <c r="G25" s="14">
        <f t="shared" si="0"/>
        <v>0</v>
      </c>
      <c r="H25" s="14"/>
      <c r="I25" s="14"/>
      <c r="J25" s="14">
        <f t="shared" si="1"/>
        <v>0</v>
      </c>
      <c r="K25" s="14">
        <f t="shared" si="2"/>
        <v>0</v>
      </c>
      <c r="L25" s="14"/>
      <c r="M25" s="37">
        <f t="shared" si="3"/>
        <v>1072600</v>
      </c>
      <c r="N25" s="14"/>
    </row>
    <row r="26" spans="1:14">
      <c r="A26" s="23">
        <v>23</v>
      </c>
      <c r="B26" s="24">
        <v>46226</v>
      </c>
      <c r="C26" s="14"/>
      <c r="D26" s="253"/>
      <c r="E26" s="259">
        <v>6000</v>
      </c>
      <c r="F26" s="303">
        <v>103.8</v>
      </c>
      <c r="G26" s="14">
        <f t="shared" si="0"/>
        <v>622800</v>
      </c>
      <c r="H26" s="14"/>
      <c r="I26" s="14"/>
      <c r="J26" s="14">
        <f t="shared" si="1"/>
        <v>0</v>
      </c>
      <c r="K26" s="14">
        <f t="shared" si="2"/>
        <v>622800</v>
      </c>
      <c r="L26" s="14"/>
      <c r="M26" s="37">
        <f t="shared" si="3"/>
        <v>1695400</v>
      </c>
      <c r="N26" s="14"/>
    </row>
    <row r="27" spans="1:14">
      <c r="A27" s="23">
        <v>24</v>
      </c>
      <c r="B27" s="24">
        <v>46227</v>
      </c>
      <c r="C27" s="14"/>
      <c r="D27" s="253"/>
      <c r="E27" s="259">
        <v>4000</v>
      </c>
      <c r="F27" s="303">
        <v>103.82</v>
      </c>
      <c r="G27" s="14">
        <f t="shared" si="0"/>
        <v>415280</v>
      </c>
      <c r="H27" s="14"/>
      <c r="I27" s="14"/>
      <c r="J27" s="14">
        <f t="shared" si="1"/>
        <v>0</v>
      </c>
      <c r="K27" s="14">
        <f t="shared" si="2"/>
        <v>415280</v>
      </c>
      <c r="L27" s="14"/>
      <c r="M27" s="37">
        <f t="shared" si="3"/>
        <v>2110680</v>
      </c>
      <c r="N27" s="14"/>
    </row>
    <row r="28" spans="1:14">
      <c r="A28" s="23">
        <v>25</v>
      </c>
      <c r="B28" s="24">
        <v>46228</v>
      </c>
      <c r="C28" s="14"/>
      <c r="D28" s="253"/>
      <c r="E28" s="259"/>
      <c r="F28" s="303"/>
      <c r="G28" s="14">
        <f t="shared" si="0"/>
        <v>0</v>
      </c>
      <c r="H28" s="14"/>
      <c r="I28" s="14"/>
      <c r="J28" s="14">
        <f t="shared" si="1"/>
        <v>0</v>
      </c>
      <c r="K28" s="14">
        <f t="shared" si="2"/>
        <v>0</v>
      </c>
      <c r="L28" s="14">
        <v>600000</v>
      </c>
      <c r="M28" s="37">
        <f t="shared" si="3"/>
        <v>1510680</v>
      </c>
      <c r="N28" s="14"/>
    </row>
    <row r="29" spans="1:14">
      <c r="A29" s="23">
        <v>26</v>
      </c>
      <c r="B29" s="24">
        <v>46229</v>
      </c>
      <c r="C29" s="14"/>
      <c r="D29" s="253"/>
      <c r="E29" s="259"/>
      <c r="F29" s="303"/>
      <c r="G29" s="14">
        <f t="shared" si="0"/>
        <v>0</v>
      </c>
      <c r="H29" s="14"/>
      <c r="I29" s="14"/>
      <c r="J29" s="14">
        <f t="shared" si="1"/>
        <v>0</v>
      </c>
      <c r="K29" s="14">
        <f t="shared" si="2"/>
        <v>0</v>
      </c>
      <c r="L29" s="14"/>
      <c r="M29" s="37">
        <f t="shared" si="3"/>
        <v>1510680</v>
      </c>
      <c r="N29" s="14"/>
    </row>
    <row r="30" spans="1:14">
      <c r="A30" s="23">
        <v>27</v>
      </c>
      <c r="B30" s="24">
        <v>46230</v>
      </c>
      <c r="C30" s="14"/>
      <c r="D30" s="253"/>
      <c r="E30" s="259"/>
      <c r="F30" s="303"/>
      <c r="G30" s="14">
        <f t="shared" si="0"/>
        <v>0</v>
      </c>
      <c r="H30" s="14"/>
      <c r="I30" s="14"/>
      <c r="J30" s="14">
        <f t="shared" si="1"/>
        <v>0</v>
      </c>
      <c r="K30" s="14">
        <f t="shared" si="2"/>
        <v>0</v>
      </c>
      <c r="L30" s="14"/>
      <c r="M30" s="37">
        <f t="shared" si="3"/>
        <v>1510680</v>
      </c>
      <c r="N30" s="14"/>
    </row>
    <row r="31" spans="1:14">
      <c r="A31" s="23">
        <v>28</v>
      </c>
      <c r="B31" s="24">
        <v>46231</v>
      </c>
      <c r="C31" s="14"/>
      <c r="D31" s="253"/>
      <c r="E31" s="259"/>
      <c r="F31" s="303"/>
      <c r="G31" s="14">
        <f t="shared" si="0"/>
        <v>0</v>
      </c>
      <c r="H31" s="14"/>
      <c r="I31" s="14"/>
      <c r="J31" s="14">
        <f t="shared" si="1"/>
        <v>0</v>
      </c>
      <c r="K31" s="14">
        <f t="shared" si="2"/>
        <v>0</v>
      </c>
      <c r="L31" s="14"/>
      <c r="M31" s="37">
        <f t="shared" si="3"/>
        <v>1510680</v>
      </c>
      <c r="N31" s="14"/>
    </row>
    <row r="32" spans="1:14">
      <c r="A32" s="23">
        <v>29</v>
      </c>
      <c r="B32" s="24">
        <v>46232</v>
      </c>
      <c r="C32" s="14"/>
      <c r="D32" s="253"/>
      <c r="E32" s="259"/>
      <c r="F32" s="303"/>
      <c r="G32" s="14">
        <f t="shared" si="0"/>
        <v>0</v>
      </c>
      <c r="H32" s="14"/>
      <c r="I32" s="14"/>
      <c r="J32" s="14">
        <f t="shared" si="1"/>
        <v>0</v>
      </c>
      <c r="K32" s="14">
        <f t="shared" si="2"/>
        <v>0</v>
      </c>
      <c r="L32" s="14"/>
      <c r="M32" s="37">
        <f t="shared" si="3"/>
        <v>1510680</v>
      </c>
      <c r="N32" s="14"/>
    </row>
    <row r="33" spans="1:14">
      <c r="A33" s="23">
        <v>30</v>
      </c>
      <c r="B33" s="24">
        <v>46233</v>
      </c>
      <c r="C33" s="14"/>
      <c r="D33" s="253"/>
      <c r="E33" s="259"/>
      <c r="F33" s="303"/>
      <c r="G33" s="14">
        <f t="shared" si="0"/>
        <v>0</v>
      </c>
      <c r="H33" s="14"/>
      <c r="I33" s="14"/>
      <c r="J33" s="14">
        <f t="shared" si="1"/>
        <v>0</v>
      </c>
      <c r="K33" s="14">
        <f t="shared" si="2"/>
        <v>0</v>
      </c>
      <c r="L33" s="14"/>
      <c r="M33" s="37">
        <f t="shared" si="3"/>
        <v>1510680</v>
      </c>
      <c r="N33" s="14"/>
    </row>
    <row r="34" spans="1:14">
      <c r="A34" s="23">
        <v>31</v>
      </c>
      <c r="B34" s="24"/>
      <c r="C34" s="14"/>
      <c r="D34" s="253"/>
      <c r="E34" s="259"/>
      <c r="F34" s="303"/>
      <c r="G34" s="14">
        <f t="shared" si="0"/>
        <v>0</v>
      </c>
      <c r="H34" s="14"/>
      <c r="I34" s="14"/>
      <c r="J34" s="14">
        <f t="shared" si="1"/>
        <v>0</v>
      </c>
      <c r="K34" s="14">
        <f t="shared" si="2"/>
        <v>0</v>
      </c>
      <c r="L34" s="14"/>
      <c r="M34" s="37">
        <f t="shared" si="3"/>
        <v>1510680</v>
      </c>
      <c r="N34" s="14"/>
    </row>
    <row r="35" spans="1:14">
      <c r="A35" s="39"/>
      <c r="B35" s="39"/>
      <c r="C35" s="39"/>
      <c r="D35" s="39"/>
      <c r="E35" s="40">
        <f>SUM(E4:E34)</f>
        <v>10000</v>
      </c>
      <c r="F35" s="40"/>
      <c r="G35" s="40">
        <f>SUM(G4:G34)</f>
        <v>1038080</v>
      </c>
      <c r="H35" s="40">
        <f>SUM(H4:H34)</f>
        <v>0</v>
      </c>
      <c r="I35" s="40"/>
      <c r="J35" s="40">
        <f>SUM(J4:J34)</f>
        <v>0</v>
      </c>
      <c r="K35" s="40">
        <f>SUM(K4:K34)</f>
        <v>1038080</v>
      </c>
      <c r="L35" s="40">
        <f>SUM(L4:L34)</f>
        <v>600000</v>
      </c>
      <c r="M35" s="40"/>
      <c r="N35" s="40"/>
    </row>
    <row r="39" spans="1:14">
      <c r="M39" s="19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002E-DF3D-473F-82CE-A339634F7C34}">
  <sheetPr>
    <tabColor rgb="FF00B050"/>
  </sheetPr>
  <dimension ref="A1:R46"/>
  <sheetViews>
    <sheetView topLeftCell="A20" workbookViewId="0">
      <selection activeCell="J37" sqref="J37"/>
    </sheetView>
  </sheetViews>
  <sheetFormatPr defaultRowHeight="15"/>
  <cols>
    <col min="2" max="2" width="16.140625" customWidth="1"/>
    <col min="3" max="3" width="37" bestFit="1" customWidth="1"/>
    <col min="4" max="4" width="20.7109375" customWidth="1"/>
    <col min="6" max="6" width="12.140625" customWidth="1"/>
    <col min="7" max="7" width="15.7109375" customWidth="1"/>
    <col min="11" max="12" width="13.5703125" bestFit="1" customWidth="1"/>
    <col min="13" max="13" width="11.42578125" bestFit="1" customWidth="1"/>
  </cols>
  <sheetData>
    <row r="1" spans="1:15" ht="15.75">
      <c r="A1" s="550" t="s">
        <v>183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</row>
    <row r="2" spans="1:15" ht="30.75">
      <c r="A2" s="120" t="s">
        <v>0</v>
      </c>
      <c r="B2" s="121" t="s">
        <v>163</v>
      </c>
      <c r="C2" s="121"/>
      <c r="D2" s="121" t="s">
        <v>165</v>
      </c>
      <c r="E2" s="121" t="s">
        <v>166</v>
      </c>
      <c r="F2" s="121" t="s">
        <v>167</v>
      </c>
      <c r="G2" s="121" t="s">
        <v>168</v>
      </c>
      <c r="H2" s="121" t="s">
        <v>169</v>
      </c>
      <c r="I2" s="121" t="s">
        <v>167</v>
      </c>
      <c r="J2" s="122" t="s">
        <v>168</v>
      </c>
      <c r="K2" s="120" t="s">
        <v>170</v>
      </c>
      <c r="L2" s="123" t="s">
        <v>171</v>
      </c>
      <c r="M2" s="123" t="s">
        <v>178</v>
      </c>
      <c r="N2" s="121" t="s">
        <v>173</v>
      </c>
    </row>
    <row r="3" spans="1:15">
      <c r="A3" s="551" t="s">
        <v>174</v>
      </c>
      <c r="B3" s="551"/>
      <c r="C3" s="551"/>
      <c r="D3" s="551"/>
      <c r="E3" s="551"/>
      <c r="F3" s="551"/>
      <c r="G3" s="551"/>
      <c r="H3" s="551"/>
      <c r="I3" s="551"/>
      <c r="J3" s="551"/>
      <c r="K3" s="205">
        <v>0</v>
      </c>
      <c r="L3" s="221"/>
      <c r="M3" s="205">
        <v>0</v>
      </c>
      <c r="N3" s="91"/>
    </row>
    <row r="4" spans="1:15">
      <c r="A4" s="23">
        <v>1</v>
      </c>
      <c r="B4" s="24"/>
      <c r="C4" s="14"/>
      <c r="D4" s="14"/>
      <c r="E4" s="323"/>
      <c r="F4" s="14"/>
      <c r="G4" s="323">
        <f>E4*F4</f>
        <v>0</v>
      </c>
      <c r="H4" s="304"/>
      <c r="I4" s="14"/>
      <c r="J4" s="14"/>
      <c r="K4" s="323">
        <f>G4+J4</f>
        <v>0</v>
      </c>
      <c r="L4" s="323">
        <f>H4+K4</f>
        <v>0</v>
      </c>
      <c r="M4" s="37">
        <f>M3+K4-L4</f>
        <v>0</v>
      </c>
      <c r="N4" s="14"/>
    </row>
    <row r="5" spans="1:15">
      <c r="A5" s="23">
        <v>2</v>
      </c>
      <c r="B5" s="24"/>
      <c r="C5" s="14"/>
      <c r="D5" s="14"/>
      <c r="E5" s="437"/>
      <c r="F5" s="303"/>
      <c r="G5" s="323">
        <f>E5*F5</f>
        <v>0</v>
      </c>
      <c r="H5" s="304"/>
      <c r="I5" s="14"/>
      <c r="J5" s="14">
        <f>H5*I5</f>
        <v>0</v>
      </c>
      <c r="K5" s="323">
        <f>G5+J5</f>
        <v>0</v>
      </c>
      <c r="L5" s="323">
        <f>H5+K5</f>
        <v>0</v>
      </c>
      <c r="M5" s="37">
        <f>M4+K5-L5</f>
        <v>0</v>
      </c>
      <c r="N5" s="14"/>
    </row>
    <row r="6" spans="1:15">
      <c r="A6" s="23">
        <v>3</v>
      </c>
      <c r="B6" s="24"/>
      <c r="C6" s="14"/>
      <c r="D6" s="14"/>
      <c r="E6" s="14"/>
      <c r="F6" s="14"/>
      <c r="G6" s="14">
        <f>E6*F6</f>
        <v>0</v>
      </c>
      <c r="H6" s="304"/>
      <c r="I6" s="14"/>
      <c r="J6" s="14">
        <f>H6*I6</f>
        <v>0</v>
      </c>
      <c r="K6" s="323">
        <f>G6+J6</f>
        <v>0</v>
      </c>
      <c r="L6" s="323">
        <f t="shared" ref="L6:L22" si="0">H6+K6</f>
        <v>0</v>
      </c>
      <c r="M6" s="37">
        <f>M5+K6-L6</f>
        <v>0</v>
      </c>
      <c r="N6" s="14"/>
    </row>
    <row r="7" spans="1:15">
      <c r="A7" s="23">
        <v>4</v>
      </c>
      <c r="B7" s="24"/>
      <c r="C7" s="14"/>
      <c r="D7" s="14"/>
      <c r="E7" s="14"/>
      <c r="F7" s="14"/>
      <c r="G7" s="14">
        <f>E7*F7</f>
        <v>0</v>
      </c>
      <c r="H7" s="304"/>
      <c r="I7" s="14"/>
      <c r="J7" s="14">
        <f>H7*I7</f>
        <v>0</v>
      </c>
      <c r="K7" s="14">
        <f>G7+J7</f>
        <v>0</v>
      </c>
      <c r="L7" s="14">
        <f t="shared" si="0"/>
        <v>0</v>
      </c>
      <c r="M7" s="37">
        <f>M6+K7-L7</f>
        <v>0</v>
      </c>
      <c r="N7" s="14"/>
    </row>
    <row r="8" spans="1:15">
      <c r="A8" s="23">
        <v>5</v>
      </c>
      <c r="B8" s="24"/>
      <c r="C8" s="14"/>
      <c r="D8" s="14"/>
      <c r="E8" s="14"/>
      <c r="F8" s="14"/>
      <c r="G8" s="37">
        <f>E8*F8</f>
        <v>0</v>
      </c>
      <c r="H8" s="304"/>
      <c r="I8" s="14"/>
      <c r="J8" s="14">
        <f>H8*I8</f>
        <v>0</v>
      </c>
      <c r="K8" s="37">
        <f>G8+J8</f>
        <v>0</v>
      </c>
      <c r="L8" s="14">
        <f t="shared" si="0"/>
        <v>0</v>
      </c>
      <c r="M8" s="37">
        <f>M7+K8-L8</f>
        <v>0</v>
      </c>
      <c r="N8" s="14"/>
    </row>
    <row r="9" spans="1:15">
      <c r="A9" s="23">
        <v>6</v>
      </c>
      <c r="B9" s="24"/>
      <c r="C9" s="14"/>
      <c r="D9" s="14"/>
      <c r="E9" s="14"/>
      <c r="F9" s="14"/>
      <c r="G9" s="37">
        <f>E9*F9</f>
        <v>0</v>
      </c>
      <c r="H9" s="304"/>
      <c r="I9" s="14"/>
      <c r="J9" s="14">
        <f>H9*I9</f>
        <v>0</v>
      </c>
      <c r="K9" s="37">
        <f>G9+J9</f>
        <v>0</v>
      </c>
      <c r="L9" s="14">
        <f t="shared" si="0"/>
        <v>0</v>
      </c>
      <c r="M9" s="37">
        <f>M8+K9-L9</f>
        <v>0</v>
      </c>
      <c r="N9" s="14"/>
    </row>
    <row r="10" spans="1:15">
      <c r="A10" s="23">
        <v>7</v>
      </c>
      <c r="B10" s="24"/>
      <c r="C10" s="14"/>
      <c r="D10" s="14"/>
      <c r="E10" s="14"/>
      <c r="F10" s="14"/>
      <c r="G10" s="37">
        <f>E10*F10</f>
        <v>0</v>
      </c>
      <c r="H10" s="304"/>
      <c r="I10" s="14"/>
      <c r="J10" s="14">
        <f>H10*I10</f>
        <v>0</v>
      </c>
      <c r="K10" s="37">
        <f>G10+J10</f>
        <v>0</v>
      </c>
      <c r="L10" s="14">
        <f t="shared" si="0"/>
        <v>0</v>
      </c>
      <c r="M10" s="37">
        <f>M9+K10-L10</f>
        <v>0</v>
      </c>
      <c r="N10" s="14"/>
    </row>
    <row r="11" spans="1:15">
      <c r="A11" s="23">
        <v>8</v>
      </c>
      <c r="B11" s="24"/>
      <c r="C11" s="14"/>
      <c r="D11" s="14"/>
      <c r="E11" s="14"/>
      <c r="F11" s="14"/>
      <c r="G11" s="37">
        <f>E11*F11</f>
        <v>0</v>
      </c>
      <c r="H11" s="304"/>
      <c r="I11" s="14"/>
      <c r="J11" s="14">
        <f>H11*I11</f>
        <v>0</v>
      </c>
      <c r="K11" s="37">
        <f>G11+J11</f>
        <v>0</v>
      </c>
      <c r="L11" s="14">
        <f t="shared" si="0"/>
        <v>0</v>
      </c>
      <c r="M11" s="37">
        <f>M10+K11-L11</f>
        <v>0</v>
      </c>
      <c r="N11" s="14"/>
    </row>
    <row r="12" spans="1:15">
      <c r="A12" s="23">
        <v>9</v>
      </c>
      <c r="B12" s="24"/>
      <c r="C12" s="14"/>
      <c r="D12" s="14"/>
      <c r="E12" s="14"/>
      <c r="F12" s="14"/>
      <c r="G12" s="37">
        <f>E12*F12</f>
        <v>0</v>
      </c>
      <c r="H12" s="304"/>
      <c r="I12" s="14"/>
      <c r="J12" s="14">
        <f>H12*I12</f>
        <v>0</v>
      </c>
      <c r="K12" s="37">
        <f>G12+J12</f>
        <v>0</v>
      </c>
      <c r="L12" s="14">
        <f t="shared" si="0"/>
        <v>0</v>
      </c>
      <c r="M12" s="37">
        <f>M11+K12-L12</f>
        <v>0</v>
      </c>
      <c r="N12" s="14"/>
    </row>
    <row r="13" spans="1:15">
      <c r="A13" s="23">
        <v>10</v>
      </c>
      <c r="B13" s="24"/>
      <c r="C13" s="14"/>
      <c r="D13" s="14"/>
      <c r="E13" s="14"/>
      <c r="F13" s="14"/>
      <c r="G13" s="37">
        <f>E13*F13</f>
        <v>0</v>
      </c>
      <c r="H13" s="304"/>
      <c r="I13" s="14"/>
      <c r="J13" s="14">
        <f>H13*I13</f>
        <v>0</v>
      </c>
      <c r="K13" s="37">
        <f>G13+J13</f>
        <v>0</v>
      </c>
      <c r="L13" s="14">
        <f t="shared" si="0"/>
        <v>0</v>
      </c>
      <c r="M13" s="37">
        <f>M12+K13-L13</f>
        <v>0</v>
      </c>
      <c r="N13" s="14"/>
    </row>
    <row r="14" spans="1:15">
      <c r="A14" s="23">
        <v>11</v>
      </c>
      <c r="B14" s="24"/>
      <c r="C14" s="14"/>
      <c r="D14" s="14"/>
      <c r="E14" s="14"/>
      <c r="F14" s="14"/>
      <c r="G14" s="37">
        <f>E14*F14</f>
        <v>0</v>
      </c>
      <c r="H14" s="304"/>
      <c r="I14" s="14"/>
      <c r="J14" s="14">
        <f>H14*I14</f>
        <v>0</v>
      </c>
      <c r="K14" s="37">
        <f>G14+J14</f>
        <v>0</v>
      </c>
      <c r="L14" s="14">
        <f t="shared" si="0"/>
        <v>0</v>
      </c>
      <c r="M14" s="37">
        <f>M13+K14-L14</f>
        <v>0</v>
      </c>
      <c r="N14" s="14"/>
    </row>
    <row r="15" spans="1:15">
      <c r="A15" s="23">
        <v>12</v>
      </c>
      <c r="B15" s="24"/>
      <c r="C15" s="14"/>
      <c r="D15" s="14"/>
      <c r="E15" s="14"/>
      <c r="F15" s="14"/>
      <c r="G15" s="37">
        <f>E15*F15</f>
        <v>0</v>
      </c>
      <c r="H15" s="304"/>
      <c r="I15" s="14"/>
      <c r="J15" s="14">
        <f>H15*I15</f>
        <v>0</v>
      </c>
      <c r="K15" s="37">
        <f>G15+J15</f>
        <v>0</v>
      </c>
      <c r="L15" s="14">
        <f t="shared" si="0"/>
        <v>0</v>
      </c>
      <c r="M15" s="37">
        <f>M14+K15-L15</f>
        <v>0</v>
      </c>
      <c r="N15" s="14"/>
      <c r="O15" s="19"/>
    </row>
    <row r="16" spans="1:15">
      <c r="A16" s="23">
        <v>13</v>
      </c>
      <c r="B16" s="24"/>
      <c r="C16" s="14"/>
      <c r="D16" s="14"/>
      <c r="E16" s="14"/>
      <c r="F16" s="14"/>
      <c r="G16" s="37">
        <f>E16*F16</f>
        <v>0</v>
      </c>
      <c r="H16" s="304"/>
      <c r="I16" s="14"/>
      <c r="J16" s="14">
        <f>H16*I16</f>
        <v>0</v>
      </c>
      <c r="K16" s="37">
        <f>G16+J16</f>
        <v>0</v>
      </c>
      <c r="L16" s="14">
        <f t="shared" si="0"/>
        <v>0</v>
      </c>
      <c r="M16" s="37">
        <f>M15+K16-L16</f>
        <v>0</v>
      </c>
      <c r="N16" s="14"/>
    </row>
    <row r="17" spans="1:18">
      <c r="A17" s="23">
        <v>14</v>
      </c>
      <c r="B17" s="24"/>
      <c r="C17" s="14"/>
      <c r="D17" s="14"/>
      <c r="E17" s="14"/>
      <c r="F17" s="14"/>
      <c r="G17" s="37">
        <f>E17*F17</f>
        <v>0</v>
      </c>
      <c r="H17" s="304"/>
      <c r="I17" s="14"/>
      <c r="J17" s="14">
        <f>H17*I17</f>
        <v>0</v>
      </c>
      <c r="K17" s="14">
        <f>G17+J17</f>
        <v>0</v>
      </c>
      <c r="L17" s="14">
        <f t="shared" si="0"/>
        <v>0</v>
      </c>
      <c r="M17" s="37">
        <f>M16+K17-L17</f>
        <v>0</v>
      </c>
      <c r="N17" s="14"/>
      <c r="R17" s="366"/>
    </row>
    <row r="18" spans="1:18">
      <c r="A18" s="23">
        <v>15</v>
      </c>
      <c r="B18" s="24"/>
      <c r="C18" s="14"/>
      <c r="D18" s="14"/>
      <c r="E18" s="14"/>
      <c r="F18" s="14"/>
      <c r="G18" s="37">
        <f>E18*F18</f>
        <v>0</v>
      </c>
      <c r="H18" s="304"/>
      <c r="I18" s="14"/>
      <c r="J18" s="14">
        <f>H18*I18</f>
        <v>0</v>
      </c>
      <c r="K18" s="14">
        <f>G18+J18</f>
        <v>0</v>
      </c>
      <c r="L18" s="14">
        <f t="shared" si="0"/>
        <v>0</v>
      </c>
      <c r="M18" s="37">
        <f>M17+K18-L18</f>
        <v>0</v>
      </c>
      <c r="N18" s="14"/>
      <c r="R18" s="366"/>
    </row>
    <row r="19" spans="1:18">
      <c r="A19" s="23">
        <v>16</v>
      </c>
      <c r="B19" s="24"/>
      <c r="C19" s="14"/>
      <c r="D19" s="14"/>
      <c r="E19" s="14"/>
      <c r="F19" s="14"/>
      <c r="G19" s="37">
        <f>E19*F19</f>
        <v>0</v>
      </c>
      <c r="H19" s="304"/>
      <c r="I19" s="14"/>
      <c r="J19" s="14">
        <f>H19*I19</f>
        <v>0</v>
      </c>
      <c r="K19" s="14">
        <f>G19+J19</f>
        <v>0</v>
      </c>
      <c r="L19" s="14">
        <f t="shared" si="0"/>
        <v>0</v>
      </c>
      <c r="M19" s="37">
        <f>M18+K19-L19</f>
        <v>0</v>
      </c>
      <c r="N19" s="14"/>
      <c r="R19" s="366"/>
    </row>
    <row r="20" spans="1:18">
      <c r="A20" s="23">
        <v>17</v>
      </c>
      <c r="B20" s="24"/>
      <c r="C20" s="14"/>
      <c r="D20" s="14"/>
      <c r="E20" s="14"/>
      <c r="F20" s="14"/>
      <c r="G20" s="37">
        <f>E20*F20</f>
        <v>0</v>
      </c>
      <c r="H20" s="304"/>
      <c r="I20" s="14"/>
      <c r="J20" s="14">
        <f>H20*I20</f>
        <v>0</v>
      </c>
      <c r="K20" s="14">
        <f>G20+J20</f>
        <v>0</v>
      </c>
      <c r="L20" s="14">
        <f t="shared" si="0"/>
        <v>0</v>
      </c>
      <c r="M20" s="37">
        <f>M19+K20-L20</f>
        <v>0</v>
      </c>
      <c r="N20" s="14"/>
      <c r="R20" s="366"/>
    </row>
    <row r="21" spans="1:18">
      <c r="A21" s="23">
        <v>18</v>
      </c>
      <c r="B21" s="24"/>
      <c r="C21" s="14"/>
      <c r="D21" s="14"/>
      <c r="E21" s="14"/>
      <c r="F21" s="14"/>
      <c r="G21" s="37">
        <f>E21*F21</f>
        <v>0</v>
      </c>
      <c r="H21" s="304"/>
      <c r="I21" s="14"/>
      <c r="J21" s="14">
        <f>H21*I21</f>
        <v>0</v>
      </c>
      <c r="K21" s="14">
        <f>G21+J21</f>
        <v>0</v>
      </c>
      <c r="L21" s="14">
        <f t="shared" si="0"/>
        <v>0</v>
      </c>
      <c r="M21" s="37">
        <f>M20+K21-L21</f>
        <v>0</v>
      </c>
      <c r="N21" s="14"/>
    </row>
    <row r="22" spans="1:18">
      <c r="A22" s="23">
        <v>19</v>
      </c>
      <c r="B22" s="24"/>
      <c r="C22" s="14"/>
      <c r="D22" s="14"/>
      <c r="E22" s="14"/>
      <c r="F22" s="14"/>
      <c r="G22" s="323">
        <f>E22*F22</f>
        <v>0</v>
      </c>
      <c r="H22" s="304"/>
      <c r="I22" s="14"/>
      <c r="J22" s="14">
        <f>H22*I22</f>
        <v>0</v>
      </c>
      <c r="K22" s="14">
        <f>G22+J22</f>
        <v>0</v>
      </c>
      <c r="L22" s="14">
        <f t="shared" si="0"/>
        <v>0</v>
      </c>
      <c r="M22" s="37">
        <f>M21+K22-L22</f>
        <v>0</v>
      </c>
      <c r="N22" s="14"/>
    </row>
    <row r="23" spans="1:18">
      <c r="A23" s="23">
        <v>20</v>
      </c>
      <c r="B23" s="24"/>
      <c r="C23" s="14"/>
      <c r="D23" s="14"/>
      <c r="E23" s="14"/>
      <c r="F23" s="14"/>
      <c r="G23" s="323">
        <f>E23*F23</f>
        <v>0</v>
      </c>
      <c r="H23" s="304"/>
      <c r="I23" s="14"/>
      <c r="J23" s="14">
        <f>H23*I23</f>
        <v>0</v>
      </c>
      <c r="K23" s="14">
        <f>G23+J23</f>
        <v>0</v>
      </c>
      <c r="L23" s="14">
        <v>0</v>
      </c>
      <c r="M23" s="37">
        <f>M22+K23-L23</f>
        <v>0</v>
      </c>
      <c r="N23" s="14"/>
    </row>
    <row r="24" spans="1:18">
      <c r="A24" s="23">
        <v>21</v>
      </c>
      <c r="B24" s="24"/>
      <c r="C24" s="14"/>
      <c r="D24" s="14"/>
      <c r="E24" s="14"/>
      <c r="F24" s="14"/>
      <c r="G24" s="323">
        <f>E24*F24</f>
        <v>0</v>
      </c>
      <c r="H24" s="304"/>
      <c r="I24" s="14"/>
      <c r="J24" s="14">
        <f>H24*I24</f>
        <v>0</v>
      </c>
      <c r="K24" s="14">
        <f>G24+J24</f>
        <v>0</v>
      </c>
      <c r="L24" s="323">
        <f>H24+K24</f>
        <v>0</v>
      </c>
      <c r="M24" s="37">
        <f>M23+K24-L24</f>
        <v>0</v>
      </c>
      <c r="N24" s="14"/>
    </row>
    <row r="25" spans="1:18">
      <c r="A25" s="23">
        <v>22</v>
      </c>
      <c r="B25" s="24"/>
      <c r="C25" s="14"/>
      <c r="D25" s="14"/>
      <c r="E25" s="177"/>
      <c r="F25" s="177"/>
      <c r="G25" s="323">
        <f>E25*F25</f>
        <v>0</v>
      </c>
      <c r="H25" s="304"/>
      <c r="I25" s="14"/>
      <c r="J25" s="14">
        <f>H25*I25</f>
        <v>0</v>
      </c>
      <c r="K25" s="14">
        <f>G25+J25</f>
        <v>0</v>
      </c>
      <c r="L25" s="14">
        <f>H25+K25</f>
        <v>0</v>
      </c>
      <c r="M25" s="37">
        <f>M24+K25-L25</f>
        <v>0</v>
      </c>
      <c r="N25" s="14"/>
    </row>
    <row r="26" spans="1:18">
      <c r="A26" s="23">
        <v>23</v>
      </c>
      <c r="B26" s="24"/>
      <c r="C26" s="378"/>
      <c r="D26" s="14"/>
      <c r="E26" s="380"/>
      <c r="F26" s="381"/>
      <c r="G26" s="323">
        <f>E26*F26</f>
        <v>0</v>
      </c>
      <c r="H26" s="304"/>
      <c r="I26" s="14"/>
      <c r="J26" s="14">
        <f>H26*I26</f>
        <v>0</v>
      </c>
      <c r="K26" s="14">
        <f>G26+J26</f>
        <v>0</v>
      </c>
      <c r="L26" s="14">
        <f>H26+K26</f>
        <v>0</v>
      </c>
      <c r="M26" s="37">
        <f>M25+K26-L26</f>
        <v>0</v>
      </c>
      <c r="N26" s="14"/>
    </row>
    <row r="27" spans="1:18">
      <c r="A27" s="23">
        <v>24</v>
      </c>
      <c r="B27" s="24"/>
      <c r="C27" s="378"/>
      <c r="D27" s="14"/>
      <c r="E27" s="380"/>
      <c r="F27" s="381"/>
      <c r="G27" s="323">
        <f>E27*F27</f>
        <v>0</v>
      </c>
      <c r="H27" s="304"/>
      <c r="I27" s="14"/>
      <c r="J27" s="14"/>
      <c r="K27" s="14">
        <f>G27+J27</f>
        <v>0</v>
      </c>
      <c r="L27" s="14">
        <f>H27+K27</f>
        <v>0</v>
      </c>
      <c r="M27" s="37">
        <f>M26+K27-L27</f>
        <v>0</v>
      </c>
      <c r="N27" s="14"/>
    </row>
    <row r="28" spans="1:18" ht="16.5">
      <c r="A28" s="23">
        <v>25</v>
      </c>
      <c r="B28" s="24">
        <v>46227</v>
      </c>
      <c r="C28" s="378" t="s">
        <v>184</v>
      </c>
      <c r="D28" s="14"/>
      <c r="E28" s="380">
        <v>2800</v>
      </c>
      <c r="F28" s="381">
        <v>103.8</v>
      </c>
      <c r="G28" s="323">
        <f>E28*F28</f>
        <v>290640</v>
      </c>
      <c r="H28" s="304"/>
      <c r="I28" s="14"/>
      <c r="J28" s="14">
        <f>H28*I28</f>
        <v>0</v>
      </c>
      <c r="K28" s="14">
        <f>G28+J28</f>
        <v>290640</v>
      </c>
      <c r="L28" s="14">
        <f>H28+K28</f>
        <v>290640</v>
      </c>
      <c r="M28" s="37">
        <f>M26+K28-L28</f>
        <v>0</v>
      </c>
      <c r="N28" s="14"/>
    </row>
    <row r="29" spans="1:18" ht="16.5">
      <c r="A29" s="23">
        <v>26</v>
      </c>
      <c r="B29" s="24">
        <v>46228</v>
      </c>
      <c r="C29" s="378" t="s">
        <v>184</v>
      </c>
      <c r="D29" s="14"/>
      <c r="E29" s="380">
        <v>2800</v>
      </c>
      <c r="F29" s="381">
        <v>103.8</v>
      </c>
      <c r="G29" s="323">
        <f>E29*F29</f>
        <v>290640</v>
      </c>
      <c r="H29" s="304"/>
      <c r="I29" s="14"/>
      <c r="J29" s="14">
        <f>H29*I29</f>
        <v>0</v>
      </c>
      <c r="K29" s="14">
        <f>G29+J29</f>
        <v>290640</v>
      </c>
      <c r="L29" s="14">
        <f>H29+K29</f>
        <v>290640</v>
      </c>
      <c r="M29" s="37">
        <f>M28+K29-L29</f>
        <v>0</v>
      </c>
      <c r="N29" s="14"/>
    </row>
    <row r="30" spans="1:18" ht="16.5">
      <c r="A30" s="23">
        <v>27</v>
      </c>
      <c r="B30" s="24">
        <v>46234</v>
      </c>
      <c r="C30" s="378" t="s">
        <v>184</v>
      </c>
      <c r="D30" s="14"/>
      <c r="E30" s="380">
        <v>2408.48</v>
      </c>
      <c r="F30" s="381">
        <v>103.8</v>
      </c>
      <c r="G30" s="323">
        <f>E30*F30</f>
        <v>250000.22399999999</v>
      </c>
      <c r="H30" s="304"/>
      <c r="I30" s="14"/>
      <c r="J30" s="14">
        <f>H30*I30</f>
        <v>0</v>
      </c>
      <c r="K30" s="14">
        <f>G30+J30</f>
        <v>250000.22399999999</v>
      </c>
      <c r="L30" s="14">
        <f t="shared" ref="L30:L37" si="1">H30+K30</f>
        <v>250000.22399999999</v>
      </c>
      <c r="M30" s="37">
        <f>M29+K30-L30</f>
        <v>0</v>
      </c>
      <c r="N30" s="14"/>
    </row>
    <row r="31" spans="1:18">
      <c r="A31" s="23">
        <v>28</v>
      </c>
      <c r="B31" s="24"/>
      <c r="C31" s="378"/>
      <c r="D31" s="14"/>
      <c r="E31" s="177"/>
      <c r="F31" s="177"/>
      <c r="G31" s="323">
        <f>E31*F31</f>
        <v>0</v>
      </c>
      <c r="H31" s="304"/>
      <c r="I31" s="14"/>
      <c r="J31" s="14">
        <f>H31*I31</f>
        <v>0</v>
      </c>
      <c r="K31" s="14">
        <f>G31+J31</f>
        <v>0</v>
      </c>
      <c r="L31" s="14">
        <f t="shared" si="1"/>
        <v>0</v>
      </c>
      <c r="M31" s="37">
        <f>M30+K31-L31</f>
        <v>0</v>
      </c>
      <c r="N31" s="14"/>
    </row>
    <row r="32" spans="1:18">
      <c r="A32" s="23">
        <v>29</v>
      </c>
      <c r="B32" s="24"/>
      <c r="C32" s="378"/>
      <c r="D32" s="14"/>
      <c r="E32" s="177"/>
      <c r="F32" s="177"/>
      <c r="G32" s="323">
        <f>E32*F32</f>
        <v>0</v>
      </c>
      <c r="H32" s="304"/>
      <c r="I32" s="14"/>
      <c r="J32" s="14">
        <f>H32*I32</f>
        <v>0</v>
      </c>
      <c r="K32" s="14">
        <f>G32+J32</f>
        <v>0</v>
      </c>
      <c r="L32" s="14">
        <f t="shared" si="1"/>
        <v>0</v>
      </c>
      <c r="M32" s="37">
        <f>M31+K32-L32</f>
        <v>0</v>
      </c>
      <c r="N32" s="14"/>
    </row>
    <row r="33" spans="1:14">
      <c r="A33" s="23">
        <v>30</v>
      </c>
      <c r="B33" s="24"/>
      <c r="C33" s="14"/>
      <c r="D33" s="14"/>
      <c r="E33" s="177"/>
      <c r="F33" s="177"/>
      <c r="G33" s="323">
        <f>E33*F33</f>
        <v>0</v>
      </c>
      <c r="H33" s="304"/>
      <c r="I33" s="14"/>
      <c r="J33" s="14">
        <f>H33*I33</f>
        <v>0</v>
      </c>
      <c r="K33" s="14">
        <f>G33+J33</f>
        <v>0</v>
      </c>
      <c r="L33" s="14">
        <f t="shared" si="1"/>
        <v>0</v>
      </c>
      <c r="M33" s="37">
        <f>M32+K33-L33</f>
        <v>0</v>
      </c>
      <c r="N33" s="14"/>
    </row>
    <row r="34" spans="1:14">
      <c r="A34" s="23">
        <v>31</v>
      </c>
      <c r="B34" s="24"/>
      <c r="C34" s="14"/>
      <c r="D34" s="14"/>
      <c r="E34" s="177"/>
      <c r="F34" s="177"/>
      <c r="G34" s="323">
        <f>E34*F34</f>
        <v>0</v>
      </c>
      <c r="H34" s="304"/>
      <c r="I34" s="14"/>
      <c r="J34" s="14">
        <f>H34*I34</f>
        <v>0</v>
      </c>
      <c r="K34" s="14">
        <f>G34+J34</f>
        <v>0</v>
      </c>
      <c r="L34" s="14">
        <f t="shared" si="1"/>
        <v>0</v>
      </c>
      <c r="M34" s="37">
        <f>M33+K34-L34</f>
        <v>0</v>
      </c>
      <c r="N34" s="14"/>
    </row>
    <row r="35" spans="1:14">
      <c r="A35" s="23">
        <v>32</v>
      </c>
      <c r="B35" s="24"/>
      <c r="C35" s="14"/>
      <c r="D35" s="14"/>
      <c r="E35" s="177"/>
      <c r="F35" s="177"/>
      <c r="G35" s="323">
        <f>E35*F35</f>
        <v>0</v>
      </c>
      <c r="H35" s="304"/>
      <c r="I35" s="14"/>
      <c r="J35" s="14"/>
      <c r="K35" s="14">
        <f>G35+J35</f>
        <v>0</v>
      </c>
      <c r="L35" s="14">
        <f t="shared" si="1"/>
        <v>0</v>
      </c>
      <c r="M35" s="37">
        <f>M34+K35-L35</f>
        <v>0</v>
      </c>
      <c r="N35" s="14"/>
    </row>
    <row r="36" spans="1:14">
      <c r="A36" s="23">
        <v>33</v>
      </c>
      <c r="B36" s="24"/>
      <c r="C36" s="14"/>
      <c r="D36" s="14"/>
      <c r="E36" s="177"/>
      <c r="F36" s="177"/>
      <c r="G36" s="323">
        <f>E36*F36</f>
        <v>0</v>
      </c>
      <c r="H36" s="304"/>
      <c r="I36" s="14"/>
      <c r="J36" s="14">
        <f>H36*I36</f>
        <v>0</v>
      </c>
      <c r="K36" s="14">
        <f>G36+J36</f>
        <v>0</v>
      </c>
      <c r="L36" s="14">
        <f t="shared" si="1"/>
        <v>0</v>
      </c>
      <c r="M36" s="37">
        <f>M35+K36-L36</f>
        <v>0</v>
      </c>
      <c r="N36" s="14"/>
    </row>
    <row r="37" spans="1:14">
      <c r="A37" s="23">
        <v>34</v>
      </c>
      <c r="B37" s="24"/>
      <c r="C37" s="14"/>
      <c r="D37" s="14"/>
      <c r="E37" s="14"/>
      <c r="F37" s="14"/>
      <c r="G37" s="323">
        <f>E37*F37</f>
        <v>0</v>
      </c>
      <c r="H37" s="304"/>
      <c r="I37" s="14"/>
      <c r="J37" s="14">
        <f>H37*I37</f>
        <v>0</v>
      </c>
      <c r="K37" s="14">
        <f>G37+J37</f>
        <v>0</v>
      </c>
      <c r="L37" s="14">
        <f t="shared" si="1"/>
        <v>0</v>
      </c>
      <c r="M37" s="37">
        <f t="shared" ref="M37:M41" si="2">M36+K37-L37</f>
        <v>0</v>
      </c>
      <c r="N37" s="14"/>
    </row>
    <row r="38" spans="1:14">
      <c r="A38" s="23"/>
      <c r="B38" s="24"/>
      <c r="C38" s="14"/>
      <c r="D38" s="14"/>
      <c r="E38" s="14"/>
      <c r="F38" s="14"/>
      <c r="G38" s="323">
        <f t="shared" ref="G38:G40" si="3">E38*F38</f>
        <v>0</v>
      </c>
      <c r="H38" s="304"/>
      <c r="I38" s="14"/>
      <c r="J38" s="14"/>
      <c r="K38" s="14">
        <f t="shared" ref="K38:K40" si="4">G38+J38</f>
        <v>0</v>
      </c>
      <c r="L38" s="14">
        <f t="shared" ref="L37:L40" si="5">H38+K38</f>
        <v>0</v>
      </c>
      <c r="M38" s="37">
        <f t="shared" si="2"/>
        <v>0</v>
      </c>
      <c r="N38" s="14"/>
    </row>
    <row r="39" spans="1:14">
      <c r="A39" s="23"/>
      <c r="B39" s="24"/>
      <c r="C39" s="14"/>
      <c r="D39" s="14"/>
      <c r="E39" s="14"/>
      <c r="F39" s="14"/>
      <c r="G39" s="323">
        <f t="shared" si="3"/>
        <v>0</v>
      </c>
      <c r="H39" s="304"/>
      <c r="I39" s="14"/>
      <c r="J39" s="14"/>
      <c r="K39" s="14">
        <f t="shared" si="4"/>
        <v>0</v>
      </c>
      <c r="L39" s="14">
        <f t="shared" si="5"/>
        <v>0</v>
      </c>
      <c r="M39" s="37">
        <f t="shared" si="2"/>
        <v>0</v>
      </c>
      <c r="N39" s="14"/>
    </row>
    <row r="40" spans="1:14">
      <c r="A40" s="23"/>
      <c r="B40" s="24"/>
      <c r="C40" s="14"/>
      <c r="D40" s="14"/>
      <c r="E40" s="14"/>
      <c r="F40" s="14"/>
      <c r="G40" s="323">
        <f t="shared" si="3"/>
        <v>0</v>
      </c>
      <c r="H40" s="304"/>
      <c r="I40" s="14"/>
      <c r="J40" s="14"/>
      <c r="K40" s="14">
        <f t="shared" si="4"/>
        <v>0</v>
      </c>
      <c r="L40" s="14">
        <f t="shared" si="5"/>
        <v>0</v>
      </c>
      <c r="M40" s="37">
        <f t="shared" si="2"/>
        <v>0</v>
      </c>
      <c r="N40" s="14"/>
    </row>
    <row r="41" spans="1:14">
      <c r="A41" s="23"/>
      <c r="B41" s="24"/>
      <c r="C41" s="14"/>
      <c r="D41" s="14"/>
      <c r="E41" s="14"/>
      <c r="F41" s="14"/>
      <c r="G41" s="323"/>
      <c r="H41" s="304"/>
      <c r="I41" s="14"/>
      <c r="J41" s="14"/>
      <c r="K41" s="14"/>
      <c r="L41" s="14"/>
      <c r="M41" s="37">
        <f t="shared" si="2"/>
        <v>0</v>
      </c>
      <c r="N41" s="14"/>
    </row>
    <row r="42" spans="1:14">
      <c r="A42" s="23"/>
      <c r="B42" s="24"/>
      <c r="C42" s="14"/>
      <c r="D42" s="14"/>
      <c r="E42" s="14"/>
      <c r="F42" s="14"/>
      <c r="G42" s="323"/>
      <c r="H42" s="304"/>
      <c r="I42" s="14"/>
      <c r="J42" s="14"/>
      <c r="K42" s="14"/>
      <c r="L42" s="14"/>
      <c r="M42" s="14"/>
      <c r="N42" s="14"/>
    </row>
    <row r="43" spans="1:14">
      <c r="A43" s="23"/>
      <c r="B43" s="24"/>
      <c r="C43" s="14"/>
      <c r="D43" s="14"/>
      <c r="E43" s="14"/>
      <c r="F43" s="14"/>
      <c r="G43" s="323"/>
      <c r="H43" s="304"/>
      <c r="I43" s="14"/>
      <c r="J43" s="14"/>
      <c r="K43" s="14"/>
      <c r="L43" s="14"/>
      <c r="M43" s="14"/>
      <c r="N43" s="14"/>
    </row>
    <row r="44" spans="1:14">
      <c r="A44" s="23"/>
      <c r="B44" s="24"/>
      <c r="C44" s="14"/>
      <c r="D44" s="14"/>
      <c r="E44" s="14"/>
      <c r="F44" s="14"/>
      <c r="G44" s="323"/>
      <c r="H44" s="304"/>
      <c r="I44" s="14"/>
      <c r="J44" s="14"/>
      <c r="K44" s="14"/>
      <c r="L44" s="14"/>
      <c r="M44" s="14"/>
      <c r="N44" s="14"/>
    </row>
    <row r="45" spans="1:14">
      <c r="A45" s="23">
        <v>35</v>
      </c>
      <c r="B45" s="24"/>
      <c r="C45" s="14"/>
      <c r="D45" s="14"/>
      <c r="E45" s="14"/>
      <c r="F45" s="14"/>
      <c r="G45" s="323">
        <f>E45*F45</f>
        <v>0</v>
      </c>
      <c r="H45" s="304"/>
      <c r="I45" s="14"/>
      <c r="J45" s="14">
        <f>H45*I45</f>
        <v>0</v>
      </c>
      <c r="K45" s="14">
        <f>G45+J45</f>
        <v>0</v>
      </c>
      <c r="L45" s="14"/>
      <c r="M45" s="14"/>
      <c r="N45" s="14"/>
    </row>
    <row r="46" spans="1:14">
      <c r="A46" s="39"/>
      <c r="B46" s="39"/>
      <c r="C46" s="39"/>
      <c r="D46" s="39"/>
      <c r="E46" s="222">
        <f>SUM(E3:E45)</f>
        <v>8008.48</v>
      </c>
      <c r="F46" s="222"/>
      <c r="G46" s="222">
        <f>SUM(G3:G45)</f>
        <v>831280.22399999993</v>
      </c>
      <c r="H46" s="222">
        <f>SUM(H3:H45)</f>
        <v>0</v>
      </c>
      <c r="I46" s="222"/>
      <c r="J46" s="222">
        <f>SUM(J3:J45)</f>
        <v>0</v>
      </c>
      <c r="K46" s="222">
        <f>SUM(K4:K45)</f>
        <v>831280.22399999993</v>
      </c>
      <c r="L46" s="222">
        <f>SUM(L3:L45)</f>
        <v>831280.22399999993</v>
      </c>
      <c r="M46" s="222"/>
      <c r="N46" s="222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E56-609E-4DFF-AE6F-57743C385CA3}">
  <dimension ref="A1:N35"/>
  <sheetViews>
    <sheetView workbookViewId="0">
      <selection activeCell="M33" sqref="M33"/>
    </sheetView>
  </sheetViews>
  <sheetFormatPr defaultRowHeight="15"/>
  <cols>
    <col min="2" max="2" width="10.140625" bestFit="1" customWidth="1"/>
    <col min="7" max="7" width="11.85546875" bestFit="1" customWidth="1"/>
    <col min="10" max="11" width="10.85546875" bestFit="1" customWidth="1"/>
    <col min="12" max="12" width="19.5703125" customWidth="1"/>
    <col min="13" max="13" width="10.7109375" customWidth="1"/>
    <col min="14" max="14" width="22" bestFit="1" customWidth="1"/>
  </cols>
  <sheetData>
    <row r="1" spans="1:14" ht="15.75">
      <c r="A1" s="554" t="s">
        <v>75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</row>
    <row r="2" spans="1:14" ht="27">
      <c r="A2" s="100" t="s">
        <v>0</v>
      </c>
      <c r="B2" s="102" t="s">
        <v>163</v>
      </c>
      <c r="C2" s="102" t="s">
        <v>164</v>
      </c>
      <c r="D2" s="102" t="s">
        <v>165</v>
      </c>
      <c r="E2" s="102" t="s">
        <v>166</v>
      </c>
      <c r="F2" s="102" t="s">
        <v>167</v>
      </c>
      <c r="G2" s="102" t="s">
        <v>168</v>
      </c>
      <c r="H2" s="102" t="s">
        <v>169</v>
      </c>
      <c r="I2" s="102" t="s">
        <v>167</v>
      </c>
      <c r="J2" s="102" t="s">
        <v>168</v>
      </c>
      <c r="K2" s="139" t="s">
        <v>170</v>
      </c>
      <c r="L2" s="139" t="s">
        <v>171</v>
      </c>
      <c r="M2" s="139" t="s">
        <v>172</v>
      </c>
      <c r="N2" s="102" t="s">
        <v>173</v>
      </c>
    </row>
    <row r="3" spans="1:14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2"/>
      <c r="K3" s="127"/>
      <c r="L3" s="225"/>
      <c r="M3" s="306">
        <v>6863.4799999999959</v>
      </c>
      <c r="N3" s="226"/>
    </row>
    <row r="4" spans="1:14">
      <c r="A4" s="23">
        <v>1</v>
      </c>
      <c r="B4" s="24">
        <v>46204</v>
      </c>
      <c r="C4" s="103"/>
      <c r="D4" s="32"/>
      <c r="E4" s="33"/>
      <c r="F4" s="33"/>
      <c r="G4" s="33">
        <f>E4*F4</f>
        <v>0</v>
      </c>
      <c r="H4" s="312"/>
      <c r="I4" s="312"/>
      <c r="J4" s="33">
        <f>H4*I4</f>
        <v>0</v>
      </c>
      <c r="K4" s="33">
        <f t="shared" ref="K4:K31" si="0">G4+J4</f>
        <v>0</v>
      </c>
      <c r="L4" s="190">
        <v>0</v>
      </c>
      <c r="M4" s="33">
        <f>M3+K4-L4</f>
        <v>6863.4799999999959</v>
      </c>
      <c r="N4" s="227"/>
    </row>
    <row r="5" spans="1:14">
      <c r="A5" s="23">
        <v>2</v>
      </c>
      <c r="B5" s="24">
        <v>46205</v>
      </c>
      <c r="C5" s="103"/>
      <c r="D5" s="32"/>
      <c r="E5" s="33"/>
      <c r="F5" s="33"/>
      <c r="G5" s="33">
        <f>E5*F5</f>
        <v>0</v>
      </c>
      <c r="H5" s="33"/>
      <c r="I5" s="33"/>
      <c r="J5" s="33">
        <f t="shared" ref="J5:J32" si="1">H5*I5</f>
        <v>0</v>
      </c>
      <c r="K5" s="33">
        <f t="shared" si="0"/>
        <v>0</v>
      </c>
      <c r="L5" s="190">
        <v>0</v>
      </c>
      <c r="M5" s="33">
        <f t="shared" ref="M5:M31" si="2">M4+K5-L5</f>
        <v>6863.4799999999959</v>
      </c>
      <c r="N5" s="228"/>
    </row>
    <row r="6" spans="1:14">
      <c r="A6" s="23">
        <v>3</v>
      </c>
      <c r="B6" s="24">
        <v>46206</v>
      </c>
      <c r="C6" s="103"/>
      <c r="D6" s="32"/>
      <c r="E6" s="33">
        <v>100</v>
      </c>
      <c r="F6" s="33">
        <v>104.42</v>
      </c>
      <c r="G6" s="33">
        <f t="shared" ref="G6:G31" si="3">E6*F6</f>
        <v>10442</v>
      </c>
      <c r="H6" s="312"/>
      <c r="I6" s="312"/>
      <c r="J6" s="33">
        <f t="shared" si="1"/>
        <v>0</v>
      </c>
      <c r="K6" s="33">
        <f t="shared" si="0"/>
        <v>10442</v>
      </c>
      <c r="L6" s="190">
        <v>0</v>
      </c>
      <c r="M6" s="33">
        <f t="shared" si="2"/>
        <v>17305.479999999996</v>
      </c>
      <c r="N6" s="229"/>
    </row>
    <row r="7" spans="1:14">
      <c r="A7" s="23">
        <v>4</v>
      </c>
      <c r="B7" s="24">
        <v>46207</v>
      </c>
      <c r="C7" s="103"/>
      <c r="D7" s="32"/>
      <c r="E7" s="33">
        <v>500</v>
      </c>
      <c r="F7" s="33">
        <v>104.42</v>
      </c>
      <c r="G7" s="33">
        <f t="shared" si="3"/>
        <v>52210</v>
      </c>
      <c r="H7" s="312"/>
      <c r="I7" s="312"/>
      <c r="J7" s="33">
        <f t="shared" si="1"/>
        <v>0</v>
      </c>
      <c r="K7" s="33">
        <f t="shared" si="0"/>
        <v>52210</v>
      </c>
      <c r="L7" s="190">
        <v>0</v>
      </c>
      <c r="M7" s="33">
        <f>M6+K7-L7</f>
        <v>69515.48</v>
      </c>
      <c r="N7" s="191"/>
    </row>
    <row r="8" spans="1:14">
      <c r="A8" s="23">
        <v>5</v>
      </c>
      <c r="B8" s="24">
        <v>46208</v>
      </c>
      <c r="C8" s="31"/>
      <c r="D8" s="32"/>
      <c r="E8" s="33"/>
      <c r="F8" s="33"/>
      <c r="G8" s="33">
        <f t="shared" si="3"/>
        <v>0</v>
      </c>
      <c r="H8" s="312"/>
      <c r="I8" s="312"/>
      <c r="J8" s="33">
        <f t="shared" si="1"/>
        <v>0</v>
      </c>
      <c r="K8" s="33">
        <f t="shared" si="0"/>
        <v>0</v>
      </c>
      <c r="L8" s="190">
        <v>0</v>
      </c>
      <c r="M8" s="33">
        <f>M7+K8-L8</f>
        <v>69515.48</v>
      </c>
      <c r="N8" s="191"/>
    </row>
    <row r="9" spans="1:14">
      <c r="A9" s="23">
        <v>6</v>
      </c>
      <c r="B9" s="24">
        <v>46209</v>
      </c>
      <c r="C9" s="31"/>
      <c r="D9" s="32"/>
      <c r="E9" s="33"/>
      <c r="F9" s="33"/>
      <c r="G9" s="33">
        <f t="shared" si="3"/>
        <v>0</v>
      </c>
      <c r="H9" s="312"/>
      <c r="I9" s="312"/>
      <c r="J9" s="33">
        <f t="shared" si="1"/>
        <v>0</v>
      </c>
      <c r="K9" s="33">
        <f t="shared" si="0"/>
        <v>0</v>
      </c>
      <c r="L9" s="190">
        <v>0</v>
      </c>
      <c r="M9" s="33">
        <f t="shared" si="2"/>
        <v>69515.48</v>
      </c>
      <c r="N9" s="191"/>
    </row>
    <row r="10" spans="1:14">
      <c r="A10" s="23">
        <v>7</v>
      </c>
      <c r="B10" s="24">
        <v>46210</v>
      </c>
      <c r="C10" s="31"/>
      <c r="D10" s="32"/>
      <c r="E10" s="33"/>
      <c r="F10" s="33"/>
      <c r="G10" s="33">
        <f t="shared" si="3"/>
        <v>0</v>
      </c>
      <c r="H10" s="312"/>
      <c r="I10" s="312"/>
      <c r="J10" s="33">
        <f t="shared" si="1"/>
        <v>0</v>
      </c>
      <c r="K10" s="33">
        <f t="shared" ref="K10:K15" si="4">G10+J10</f>
        <v>0</v>
      </c>
      <c r="L10" s="190">
        <v>0</v>
      </c>
      <c r="M10" s="33">
        <f t="shared" si="2"/>
        <v>69515.48</v>
      </c>
      <c r="N10" s="191"/>
    </row>
    <row r="11" spans="1:14">
      <c r="A11" s="23">
        <v>8</v>
      </c>
      <c r="B11" s="24">
        <v>46211</v>
      </c>
      <c r="C11" s="31"/>
      <c r="D11" s="32"/>
      <c r="E11" s="33"/>
      <c r="F11" s="33"/>
      <c r="G11" s="33">
        <f t="shared" si="3"/>
        <v>0</v>
      </c>
      <c r="H11" s="312"/>
      <c r="I11" s="312"/>
      <c r="J11" s="33">
        <f t="shared" si="1"/>
        <v>0</v>
      </c>
      <c r="K11" s="33">
        <f t="shared" si="4"/>
        <v>0</v>
      </c>
      <c r="L11" s="190">
        <v>0</v>
      </c>
      <c r="M11" s="33">
        <f t="shared" si="2"/>
        <v>69515.48</v>
      </c>
      <c r="N11" s="191"/>
    </row>
    <row r="12" spans="1:14">
      <c r="A12" s="23">
        <v>9</v>
      </c>
      <c r="B12" s="24">
        <v>46212</v>
      </c>
      <c r="C12" s="31"/>
      <c r="D12" s="32"/>
      <c r="E12" s="33"/>
      <c r="F12" s="33"/>
      <c r="G12" s="33">
        <f t="shared" si="3"/>
        <v>0</v>
      </c>
      <c r="H12" s="312"/>
      <c r="I12" s="312"/>
      <c r="J12" s="33">
        <f t="shared" si="1"/>
        <v>0</v>
      </c>
      <c r="K12" s="33">
        <f t="shared" si="4"/>
        <v>0</v>
      </c>
      <c r="L12" s="190">
        <v>0</v>
      </c>
      <c r="M12" s="33">
        <f t="shared" si="2"/>
        <v>69515.48</v>
      </c>
      <c r="N12" s="191"/>
    </row>
    <row r="13" spans="1:14">
      <c r="A13" s="23">
        <v>10</v>
      </c>
      <c r="B13" s="24">
        <v>46213</v>
      </c>
      <c r="C13" s="31"/>
      <c r="D13" s="32"/>
      <c r="E13" s="33"/>
      <c r="F13" s="33"/>
      <c r="G13" s="33">
        <f t="shared" si="3"/>
        <v>0</v>
      </c>
      <c r="H13" s="312"/>
      <c r="I13" s="312"/>
      <c r="J13" s="33">
        <f t="shared" si="1"/>
        <v>0</v>
      </c>
      <c r="K13" s="33">
        <f t="shared" si="4"/>
        <v>0</v>
      </c>
      <c r="L13" s="190">
        <v>0</v>
      </c>
      <c r="M13" s="33">
        <f>M12+K13-L13</f>
        <v>69515.48</v>
      </c>
      <c r="N13" s="191"/>
    </row>
    <row r="14" spans="1:14">
      <c r="A14" s="23">
        <v>11</v>
      </c>
      <c r="B14" s="24">
        <v>46214</v>
      </c>
      <c r="C14" s="31"/>
      <c r="D14" s="32"/>
      <c r="E14" s="33"/>
      <c r="F14" s="33"/>
      <c r="G14" s="33">
        <f t="shared" si="3"/>
        <v>0</v>
      </c>
      <c r="H14" s="312">
        <v>20</v>
      </c>
      <c r="I14" s="312">
        <v>116.33</v>
      </c>
      <c r="J14" s="33">
        <f t="shared" si="1"/>
        <v>2326.6</v>
      </c>
      <c r="K14" s="33">
        <f t="shared" si="4"/>
        <v>2326.6</v>
      </c>
      <c r="L14" s="190"/>
      <c r="M14" s="33">
        <f>M13+K14-L14</f>
        <v>71842.080000000002</v>
      </c>
      <c r="N14" s="191"/>
    </row>
    <row r="15" spans="1:14">
      <c r="A15" s="23">
        <v>12</v>
      </c>
      <c r="B15" s="24">
        <v>46215</v>
      </c>
      <c r="C15" s="31"/>
      <c r="D15" s="32"/>
      <c r="E15" s="33"/>
      <c r="F15" s="33"/>
      <c r="G15" s="33">
        <f t="shared" si="3"/>
        <v>0</v>
      </c>
      <c r="H15" s="312"/>
      <c r="I15" s="312"/>
      <c r="J15" s="33">
        <f t="shared" si="1"/>
        <v>0</v>
      </c>
      <c r="K15" s="33">
        <f>G15+J15</f>
        <v>0</v>
      </c>
      <c r="L15" s="33"/>
      <c r="M15" s="33">
        <f t="shared" si="2"/>
        <v>71842.080000000002</v>
      </c>
      <c r="N15" s="191"/>
    </row>
    <row r="16" spans="1:14">
      <c r="A16" s="23">
        <v>13</v>
      </c>
      <c r="B16" s="24">
        <v>46216</v>
      </c>
      <c r="C16" s="31"/>
      <c r="D16" s="32"/>
      <c r="E16" s="33"/>
      <c r="F16" s="33"/>
      <c r="G16" s="33">
        <f t="shared" si="3"/>
        <v>0</v>
      </c>
      <c r="H16" s="312"/>
      <c r="I16" s="312"/>
      <c r="J16" s="33">
        <f t="shared" si="1"/>
        <v>0</v>
      </c>
      <c r="K16" s="33">
        <f t="shared" si="0"/>
        <v>0</v>
      </c>
      <c r="L16" s="33"/>
      <c r="M16" s="33">
        <f t="shared" si="2"/>
        <v>71842.080000000002</v>
      </c>
      <c r="N16" s="191"/>
    </row>
    <row r="17" spans="1:14">
      <c r="A17" s="23">
        <v>14</v>
      </c>
      <c r="B17" s="24">
        <v>46217</v>
      </c>
      <c r="C17" s="31"/>
      <c r="D17" s="32"/>
      <c r="E17" s="33"/>
      <c r="F17" s="33"/>
      <c r="G17" s="33">
        <f t="shared" si="3"/>
        <v>0</v>
      </c>
      <c r="H17" s="312"/>
      <c r="I17" s="312"/>
      <c r="J17" s="33">
        <f t="shared" si="1"/>
        <v>0</v>
      </c>
      <c r="K17" s="33">
        <f t="shared" si="0"/>
        <v>0</v>
      </c>
      <c r="L17" s="190"/>
      <c r="M17" s="33">
        <f t="shared" si="2"/>
        <v>71842.080000000002</v>
      </c>
      <c r="N17" s="191"/>
    </row>
    <row r="18" spans="1:14">
      <c r="A18" s="23">
        <v>15</v>
      </c>
      <c r="B18" s="24">
        <v>46218</v>
      </c>
      <c r="C18" s="161"/>
      <c r="D18" s="32"/>
      <c r="E18" s="33"/>
      <c r="F18" s="33"/>
      <c r="G18" s="33">
        <f t="shared" si="3"/>
        <v>0</v>
      </c>
      <c r="H18" s="312"/>
      <c r="I18" s="312"/>
      <c r="J18" s="33">
        <f t="shared" si="1"/>
        <v>0</v>
      </c>
      <c r="K18" s="33">
        <f t="shared" si="0"/>
        <v>0</v>
      </c>
      <c r="L18" s="190"/>
      <c r="M18" s="33">
        <f t="shared" si="2"/>
        <v>71842.080000000002</v>
      </c>
      <c r="N18" s="230"/>
    </row>
    <row r="19" spans="1:14">
      <c r="A19" s="23">
        <v>16</v>
      </c>
      <c r="B19" s="24">
        <v>46219</v>
      </c>
      <c r="C19" s="103"/>
      <c r="D19" s="32"/>
      <c r="E19" s="33"/>
      <c r="F19" s="33"/>
      <c r="G19" s="33">
        <v>0</v>
      </c>
      <c r="H19" s="312"/>
      <c r="I19" s="312"/>
      <c r="J19" s="33">
        <v>0</v>
      </c>
      <c r="K19" s="33">
        <v>0</v>
      </c>
      <c r="L19" s="190"/>
      <c r="M19" s="33">
        <f t="shared" si="2"/>
        <v>71842.080000000002</v>
      </c>
      <c r="N19" s="230"/>
    </row>
    <row r="20" spans="1:14" ht="15" customHeight="1">
      <c r="A20" s="23">
        <v>17</v>
      </c>
      <c r="B20" s="24">
        <v>46220</v>
      </c>
      <c r="C20" s="173"/>
      <c r="D20" s="32"/>
      <c r="E20" s="33"/>
      <c r="F20" s="33"/>
      <c r="G20" s="33">
        <f t="shared" si="3"/>
        <v>0</v>
      </c>
      <c r="H20" s="312"/>
      <c r="I20" s="312"/>
      <c r="J20" s="33">
        <f t="shared" si="1"/>
        <v>0</v>
      </c>
      <c r="K20" s="33">
        <f t="shared" si="0"/>
        <v>0</v>
      </c>
      <c r="L20" s="190">
        <v>50000</v>
      </c>
      <c r="M20" s="33">
        <f t="shared" si="2"/>
        <v>21842.080000000002</v>
      </c>
      <c r="N20" s="555" t="s">
        <v>185</v>
      </c>
    </row>
    <row r="21" spans="1:14">
      <c r="A21" s="23">
        <v>18</v>
      </c>
      <c r="B21" s="24">
        <v>46221</v>
      </c>
      <c r="C21" s="173"/>
      <c r="D21" s="32"/>
      <c r="E21" s="250">
        <v>250</v>
      </c>
      <c r="F21" s="250">
        <v>104.42</v>
      </c>
      <c r="G21" s="8">
        <f t="shared" si="3"/>
        <v>26105</v>
      </c>
      <c r="H21" s="62"/>
      <c r="I21" s="63"/>
      <c r="J21" s="8">
        <f t="shared" si="1"/>
        <v>0</v>
      </c>
      <c r="K21" s="8">
        <f t="shared" si="0"/>
        <v>26105</v>
      </c>
      <c r="L21" s="190"/>
      <c r="M21" s="33">
        <f t="shared" si="2"/>
        <v>47947.08</v>
      </c>
      <c r="N21" s="556"/>
    </row>
    <row r="22" spans="1:14">
      <c r="A22" s="23">
        <v>19</v>
      </c>
      <c r="B22" s="24">
        <v>46222</v>
      </c>
      <c r="C22" s="103"/>
      <c r="D22" s="32"/>
      <c r="E22" s="250"/>
      <c r="F22" s="250"/>
      <c r="G22" s="8">
        <f t="shared" si="3"/>
        <v>0</v>
      </c>
      <c r="H22" s="62"/>
      <c r="I22" s="63"/>
      <c r="J22" s="8">
        <f t="shared" si="1"/>
        <v>0</v>
      </c>
      <c r="K22" s="8">
        <f t="shared" si="0"/>
        <v>0</v>
      </c>
      <c r="L22" s="190">
        <v>0</v>
      </c>
      <c r="M22" s="33">
        <f t="shared" si="2"/>
        <v>47947.08</v>
      </c>
      <c r="N22" s="557"/>
    </row>
    <row r="23" spans="1:14">
      <c r="A23" s="23">
        <v>20</v>
      </c>
      <c r="B23" s="24">
        <v>46223</v>
      </c>
      <c r="C23" s="103"/>
      <c r="D23" s="32"/>
      <c r="E23" s="250"/>
      <c r="F23" s="250"/>
      <c r="G23" s="8">
        <f t="shared" si="3"/>
        <v>0</v>
      </c>
      <c r="H23" s="62"/>
      <c r="I23" s="63"/>
      <c r="J23" s="8">
        <f t="shared" si="1"/>
        <v>0</v>
      </c>
      <c r="K23" s="8">
        <f t="shared" si="0"/>
        <v>0</v>
      </c>
      <c r="L23" s="190">
        <v>0</v>
      </c>
      <c r="M23" s="33">
        <f t="shared" si="2"/>
        <v>47947.08</v>
      </c>
      <c r="N23" s="191"/>
    </row>
    <row r="24" spans="1:14">
      <c r="A24" s="23">
        <v>21</v>
      </c>
      <c r="B24" s="24">
        <v>46224</v>
      </c>
      <c r="C24" s="103"/>
      <c r="D24" s="32"/>
      <c r="E24" s="250"/>
      <c r="F24" s="250"/>
      <c r="G24" s="8">
        <f t="shared" si="3"/>
        <v>0</v>
      </c>
      <c r="H24" s="62"/>
      <c r="I24" s="63"/>
      <c r="J24" s="8">
        <f t="shared" si="1"/>
        <v>0</v>
      </c>
      <c r="K24" s="8">
        <f t="shared" si="0"/>
        <v>0</v>
      </c>
      <c r="L24" s="190">
        <v>0</v>
      </c>
      <c r="M24" s="33">
        <f t="shared" si="2"/>
        <v>47947.08</v>
      </c>
      <c r="N24" s="191"/>
    </row>
    <row r="25" spans="1:14">
      <c r="A25" s="23">
        <v>22</v>
      </c>
      <c r="B25" s="24">
        <v>46225</v>
      </c>
      <c r="C25" s="103"/>
      <c r="D25" s="32"/>
      <c r="E25" s="250"/>
      <c r="F25" s="250"/>
      <c r="G25" s="8">
        <f t="shared" si="3"/>
        <v>0</v>
      </c>
      <c r="H25" s="62"/>
      <c r="I25" s="63"/>
      <c r="J25" s="8">
        <f t="shared" si="1"/>
        <v>0</v>
      </c>
      <c r="K25" s="8">
        <f t="shared" si="0"/>
        <v>0</v>
      </c>
      <c r="L25" s="190">
        <v>0</v>
      </c>
      <c r="M25" s="33">
        <f t="shared" si="2"/>
        <v>47947.08</v>
      </c>
      <c r="N25" s="191"/>
    </row>
    <row r="26" spans="1:14">
      <c r="A26" s="23">
        <v>23</v>
      </c>
      <c r="B26" s="24">
        <v>46226</v>
      </c>
      <c r="C26" s="103"/>
      <c r="D26" s="32"/>
      <c r="E26" s="250"/>
      <c r="F26" s="250"/>
      <c r="G26" s="8">
        <f t="shared" si="3"/>
        <v>0</v>
      </c>
      <c r="H26" s="62"/>
      <c r="I26" s="63"/>
      <c r="J26" s="8">
        <f t="shared" si="1"/>
        <v>0</v>
      </c>
      <c r="K26" s="8">
        <f t="shared" si="0"/>
        <v>0</v>
      </c>
      <c r="L26" s="190">
        <v>0</v>
      </c>
      <c r="M26" s="33">
        <f t="shared" si="2"/>
        <v>47947.08</v>
      </c>
      <c r="N26" s="191"/>
    </row>
    <row r="27" spans="1:14">
      <c r="A27" s="23">
        <v>24</v>
      </c>
      <c r="B27" s="24">
        <v>46227</v>
      </c>
      <c r="C27" s="103"/>
      <c r="D27" s="32"/>
      <c r="E27" s="250"/>
      <c r="F27" s="250"/>
      <c r="G27" s="8">
        <f t="shared" si="3"/>
        <v>0</v>
      </c>
      <c r="H27" s="62"/>
      <c r="I27" s="63"/>
      <c r="J27" s="8">
        <f t="shared" si="1"/>
        <v>0</v>
      </c>
      <c r="K27" s="8">
        <f t="shared" si="0"/>
        <v>0</v>
      </c>
      <c r="L27" s="190">
        <v>0</v>
      </c>
      <c r="M27" s="33">
        <f t="shared" si="2"/>
        <v>47947.08</v>
      </c>
      <c r="N27" s="191"/>
    </row>
    <row r="28" spans="1:14">
      <c r="A28" s="23">
        <v>25</v>
      </c>
      <c r="B28" s="24">
        <v>46228</v>
      </c>
      <c r="C28" s="103"/>
      <c r="D28" s="32"/>
      <c r="E28" s="33"/>
      <c r="F28" s="33"/>
      <c r="G28" s="33">
        <f t="shared" si="3"/>
        <v>0</v>
      </c>
      <c r="H28" s="312">
        <v>20</v>
      </c>
      <c r="I28" s="33">
        <v>116.33</v>
      </c>
      <c r="J28" s="8">
        <f t="shared" si="1"/>
        <v>2326.6</v>
      </c>
      <c r="K28" s="33">
        <f t="shared" si="0"/>
        <v>2326.6</v>
      </c>
      <c r="L28" s="190">
        <v>0</v>
      </c>
      <c r="M28" s="33">
        <f t="shared" si="2"/>
        <v>50273.68</v>
      </c>
      <c r="N28" s="191"/>
    </row>
    <row r="29" spans="1:14">
      <c r="A29" s="23">
        <v>26</v>
      </c>
      <c r="B29" s="24">
        <v>46229</v>
      </c>
      <c r="C29" s="103"/>
      <c r="D29" s="32"/>
      <c r="E29" s="33"/>
      <c r="F29" s="33"/>
      <c r="G29" s="33">
        <f t="shared" si="3"/>
        <v>0</v>
      </c>
      <c r="H29" s="312"/>
      <c r="I29" s="312"/>
      <c r="J29" s="33">
        <f t="shared" si="1"/>
        <v>0</v>
      </c>
      <c r="K29" s="33">
        <f t="shared" si="0"/>
        <v>0</v>
      </c>
      <c r="L29" s="190">
        <v>0</v>
      </c>
      <c r="M29" s="33">
        <f t="shared" si="2"/>
        <v>50273.68</v>
      </c>
      <c r="N29" s="191"/>
    </row>
    <row r="30" spans="1:14">
      <c r="A30" s="23">
        <v>27</v>
      </c>
      <c r="B30" s="24">
        <v>46230</v>
      </c>
      <c r="C30" s="103"/>
      <c r="D30" s="32"/>
      <c r="E30" s="33"/>
      <c r="F30" s="33"/>
      <c r="G30" s="33">
        <f t="shared" si="3"/>
        <v>0</v>
      </c>
      <c r="H30" s="312"/>
      <c r="I30" s="312"/>
      <c r="J30" s="33">
        <f t="shared" si="1"/>
        <v>0</v>
      </c>
      <c r="K30" s="33">
        <f t="shared" si="0"/>
        <v>0</v>
      </c>
      <c r="L30" s="190">
        <v>0</v>
      </c>
      <c r="M30" s="33">
        <f>M29+K30-L30</f>
        <v>50273.68</v>
      </c>
      <c r="N30" s="191"/>
    </row>
    <row r="31" spans="1:14">
      <c r="A31" s="23">
        <v>28</v>
      </c>
      <c r="B31" s="24">
        <v>46231</v>
      </c>
      <c r="C31" s="103"/>
      <c r="D31" s="32"/>
      <c r="E31" s="33"/>
      <c r="F31" s="33"/>
      <c r="G31" s="33">
        <f t="shared" si="3"/>
        <v>0</v>
      </c>
      <c r="H31" s="312"/>
      <c r="I31" s="312"/>
      <c r="J31" s="33">
        <f t="shared" si="1"/>
        <v>0</v>
      </c>
      <c r="K31" s="33">
        <f t="shared" si="0"/>
        <v>0</v>
      </c>
      <c r="L31" s="190">
        <v>0</v>
      </c>
      <c r="M31" s="33">
        <f t="shared" si="2"/>
        <v>50273.68</v>
      </c>
      <c r="N31" s="191"/>
    </row>
    <row r="32" spans="1:14">
      <c r="A32" s="23">
        <v>29</v>
      </c>
      <c r="B32" s="24">
        <v>46232</v>
      </c>
      <c r="C32" s="103"/>
      <c r="D32" s="32"/>
      <c r="E32" s="33"/>
      <c r="F32" s="33"/>
      <c r="G32" s="33">
        <f t="shared" ref="G32:G34" si="5">E32*F32</f>
        <v>0</v>
      </c>
      <c r="H32" s="312"/>
      <c r="I32" s="312"/>
      <c r="J32" s="33">
        <f t="shared" si="1"/>
        <v>0</v>
      </c>
      <c r="K32" s="33">
        <f t="shared" ref="K32:K34" si="6">G32+J32</f>
        <v>0</v>
      </c>
      <c r="L32" s="190">
        <v>0</v>
      </c>
      <c r="M32" s="33">
        <f t="shared" ref="M32:M34" si="7">M31+K32-L32</f>
        <v>50273.68</v>
      </c>
      <c r="N32" s="191"/>
    </row>
    <row r="33" spans="1:14">
      <c r="A33" s="23">
        <v>30</v>
      </c>
      <c r="B33" s="24">
        <v>46233</v>
      </c>
      <c r="C33" s="103"/>
      <c r="D33" s="32"/>
      <c r="E33" s="33"/>
      <c r="F33" s="33"/>
      <c r="G33" s="33">
        <f t="shared" si="5"/>
        <v>0</v>
      </c>
      <c r="H33" s="312">
        <v>0</v>
      </c>
      <c r="I33" s="312">
        <v>0</v>
      </c>
      <c r="J33" s="33">
        <f t="shared" ref="J16:J33" si="8">H33*I33</f>
        <v>0</v>
      </c>
      <c r="K33" s="33">
        <f t="shared" si="6"/>
        <v>0</v>
      </c>
      <c r="L33" s="190">
        <v>0</v>
      </c>
      <c r="M33" s="33">
        <f t="shared" si="7"/>
        <v>50273.68</v>
      </c>
      <c r="N33" s="191"/>
    </row>
    <row r="34" spans="1:14">
      <c r="A34" s="23">
        <v>31</v>
      </c>
      <c r="B34" s="24"/>
      <c r="C34" s="103"/>
      <c r="D34" s="32"/>
      <c r="E34" s="33"/>
      <c r="F34" s="33"/>
      <c r="G34" s="33">
        <f t="shared" si="5"/>
        <v>0</v>
      </c>
      <c r="H34" s="312"/>
      <c r="I34" s="312"/>
      <c r="J34" s="33">
        <f t="shared" ref="J32:J34" si="9">H34*I34</f>
        <v>0</v>
      </c>
      <c r="K34" s="33">
        <f t="shared" si="6"/>
        <v>0</v>
      </c>
      <c r="L34" s="190"/>
      <c r="M34" s="33">
        <f t="shared" si="7"/>
        <v>50273.68</v>
      </c>
      <c r="N34" s="191"/>
    </row>
    <row r="35" spans="1:14">
      <c r="A35" s="59"/>
      <c r="B35" s="59"/>
      <c r="C35" s="59"/>
      <c r="D35" s="59"/>
      <c r="E35" s="251">
        <f>SUM(E4:E34)</f>
        <v>850</v>
      </c>
      <c r="F35" s="251"/>
      <c r="G35" s="60">
        <f>SUM(G4:G34)</f>
        <v>88757</v>
      </c>
      <c r="H35" s="60">
        <f>SUM(H4:H34)</f>
        <v>40</v>
      </c>
      <c r="I35" s="60"/>
      <c r="J35" s="60">
        <f>SUM(J4:J34)</f>
        <v>4653.2</v>
      </c>
      <c r="K35" s="60">
        <f>SUM(K4:K34)</f>
        <v>93410.200000000012</v>
      </c>
      <c r="L35" s="60">
        <f>SUM(L4:L34)</f>
        <v>50000</v>
      </c>
      <c r="M35" s="60"/>
      <c r="N35" s="60"/>
    </row>
  </sheetData>
  <mergeCells count="3">
    <mergeCell ref="A1:N1"/>
    <mergeCell ref="A3:J3"/>
    <mergeCell ref="N20:N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CFE9-973B-4F2F-982C-C713DBE1FA46}">
  <dimension ref="A1:Q35"/>
  <sheetViews>
    <sheetView workbookViewId="0">
      <selection activeCell="M32" sqref="M32"/>
    </sheetView>
  </sheetViews>
  <sheetFormatPr defaultRowHeight="15"/>
  <cols>
    <col min="2" max="2" width="11.85546875" customWidth="1"/>
    <col min="4" max="4" width="12" customWidth="1"/>
    <col min="7" max="7" width="11.85546875" bestFit="1" customWidth="1"/>
    <col min="10" max="10" width="10.85546875" bestFit="1" customWidth="1"/>
    <col min="11" max="11" width="13.5703125" bestFit="1" customWidth="1"/>
    <col min="12" max="12" width="11.140625" customWidth="1"/>
    <col min="13" max="13" width="11.85546875" bestFit="1" customWidth="1"/>
  </cols>
  <sheetData>
    <row r="1" spans="1:14" ht="15.75">
      <c r="A1" s="539" t="s">
        <v>77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</row>
    <row r="2" spans="1:14" ht="30.75">
      <c r="A2" s="95" t="s">
        <v>0</v>
      </c>
      <c r="B2" s="96" t="s">
        <v>163</v>
      </c>
      <c r="C2" s="96" t="s">
        <v>164</v>
      </c>
      <c r="D2" s="96" t="s">
        <v>186</v>
      </c>
      <c r="E2" s="249" t="s">
        <v>166</v>
      </c>
      <c r="F2" s="249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135" t="s">
        <v>171</v>
      </c>
      <c r="M2" s="138" t="s">
        <v>187</v>
      </c>
      <c r="N2" s="98" t="s">
        <v>173</v>
      </c>
    </row>
    <row r="3" spans="1:14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2"/>
      <c r="M3" s="143">
        <v>128359.21539999994</v>
      </c>
      <c r="N3" s="149"/>
    </row>
    <row r="4" spans="1:14">
      <c r="A4" s="189">
        <v>1</v>
      </c>
      <c r="B4" s="212">
        <v>45839</v>
      </c>
      <c r="C4" s="64"/>
      <c r="D4" s="152"/>
      <c r="E4" s="250">
        <v>438</v>
      </c>
      <c r="F4" s="250">
        <v>104.56</v>
      </c>
      <c r="G4" s="8">
        <f t="shared" ref="G4:G34" si="0">E4*F4</f>
        <v>45797.279999999999</v>
      </c>
      <c r="H4" s="62">
        <v>5</v>
      </c>
      <c r="I4" s="63">
        <v>116.54</v>
      </c>
      <c r="J4" s="8">
        <f>H4*I4</f>
        <v>582.70000000000005</v>
      </c>
      <c r="K4" s="8">
        <f>G4+J4</f>
        <v>46379.979999999996</v>
      </c>
      <c r="L4" s="65"/>
      <c r="M4" s="37">
        <f t="shared" ref="M4:M34" si="1">M3+K4-L4</f>
        <v>174739.19539999994</v>
      </c>
      <c r="N4" s="8"/>
    </row>
    <row r="5" spans="1:14">
      <c r="A5" s="43">
        <v>2</v>
      </c>
      <c r="B5" s="212">
        <v>45840</v>
      </c>
      <c r="C5" s="64"/>
      <c r="D5" s="152"/>
      <c r="E5" s="250">
        <v>43.8</v>
      </c>
      <c r="F5" s="250">
        <v>104.56</v>
      </c>
      <c r="G5" s="8">
        <f t="shared" ref="G5:G34" si="2">E5*F5</f>
        <v>4579.7280000000001</v>
      </c>
      <c r="H5" s="62"/>
      <c r="I5" s="63"/>
      <c r="J5" s="8">
        <f t="shared" ref="J5:J34" si="3">H5*I5</f>
        <v>0</v>
      </c>
      <c r="K5" s="8">
        <f t="shared" ref="K5:L34" si="4">G5+J5</f>
        <v>4579.7280000000001</v>
      </c>
      <c r="L5" s="65"/>
      <c r="M5" s="37">
        <f t="shared" si="1"/>
        <v>179318.92339999994</v>
      </c>
      <c r="N5" s="8"/>
    </row>
    <row r="6" spans="1:14">
      <c r="A6" s="43">
        <v>3</v>
      </c>
      <c r="B6" s="212">
        <v>45841</v>
      </c>
      <c r="C6" s="64"/>
      <c r="D6" s="152"/>
      <c r="E6" s="250">
        <v>37.65</v>
      </c>
      <c r="F6" s="250">
        <v>104.56</v>
      </c>
      <c r="G6" s="8">
        <f t="shared" si="2"/>
        <v>3936.6839999999997</v>
      </c>
      <c r="H6" s="62"/>
      <c r="I6" s="63"/>
      <c r="J6" s="8">
        <f t="shared" si="3"/>
        <v>0</v>
      </c>
      <c r="K6" s="8">
        <f t="shared" si="4"/>
        <v>3936.6839999999997</v>
      </c>
      <c r="L6" s="65"/>
      <c r="M6" s="37">
        <f t="shared" si="1"/>
        <v>183255.60739999995</v>
      </c>
      <c r="N6" s="8"/>
    </row>
    <row r="7" spans="1:14">
      <c r="A7" s="43">
        <v>4</v>
      </c>
      <c r="B7" s="212">
        <v>45842</v>
      </c>
      <c r="C7" s="64"/>
      <c r="D7" s="152"/>
      <c r="E7" s="250"/>
      <c r="F7" s="250"/>
      <c r="G7" s="8">
        <f t="shared" si="2"/>
        <v>0</v>
      </c>
      <c r="H7" s="62"/>
      <c r="I7" s="63"/>
      <c r="J7" s="8">
        <f t="shared" si="3"/>
        <v>0</v>
      </c>
      <c r="K7" s="8">
        <f t="shared" si="4"/>
        <v>0</v>
      </c>
      <c r="L7" s="65"/>
      <c r="M7" s="37">
        <f t="shared" si="1"/>
        <v>183255.60739999995</v>
      </c>
      <c r="N7" s="8"/>
    </row>
    <row r="8" spans="1:14">
      <c r="A8" s="43">
        <v>5</v>
      </c>
      <c r="B8" s="212">
        <v>45843</v>
      </c>
      <c r="C8" s="64"/>
      <c r="D8" s="152"/>
      <c r="E8" s="250"/>
      <c r="F8" s="250"/>
      <c r="G8" s="8">
        <f t="shared" si="2"/>
        <v>0</v>
      </c>
      <c r="H8" s="62"/>
      <c r="I8" s="63"/>
      <c r="J8" s="8">
        <f t="shared" si="3"/>
        <v>0</v>
      </c>
      <c r="K8" s="8">
        <f t="shared" si="4"/>
        <v>0</v>
      </c>
      <c r="L8" s="65"/>
      <c r="M8" s="37">
        <f t="shared" si="1"/>
        <v>183255.60739999995</v>
      </c>
      <c r="N8" s="8"/>
    </row>
    <row r="9" spans="1:14">
      <c r="A9" s="43">
        <v>6</v>
      </c>
      <c r="B9" s="212">
        <v>45844</v>
      </c>
      <c r="C9" s="64"/>
      <c r="D9" s="152"/>
      <c r="E9" s="250"/>
      <c r="F9" s="250"/>
      <c r="G9" s="8">
        <f t="shared" si="2"/>
        <v>0</v>
      </c>
      <c r="H9" s="62"/>
      <c r="I9" s="63"/>
      <c r="J9" s="8">
        <f t="shared" si="3"/>
        <v>0</v>
      </c>
      <c r="K9" s="8">
        <f t="shared" si="4"/>
        <v>0</v>
      </c>
      <c r="L9" s="65"/>
      <c r="M9" s="37">
        <f t="shared" si="1"/>
        <v>183255.60739999995</v>
      </c>
      <c r="N9" s="8"/>
    </row>
    <row r="10" spans="1:14">
      <c r="A10" s="43">
        <v>7</v>
      </c>
      <c r="B10" s="212">
        <v>45845</v>
      </c>
      <c r="C10" s="64"/>
      <c r="D10" s="152"/>
      <c r="E10" s="250"/>
      <c r="F10" s="250"/>
      <c r="G10" s="8">
        <f t="shared" si="2"/>
        <v>0</v>
      </c>
      <c r="H10" s="62"/>
      <c r="I10" s="63"/>
      <c r="J10" s="8">
        <f t="shared" si="3"/>
        <v>0</v>
      </c>
      <c r="K10" s="8">
        <f t="shared" si="4"/>
        <v>0</v>
      </c>
      <c r="L10" s="65"/>
      <c r="M10" s="37">
        <f t="shared" si="1"/>
        <v>183255.60739999995</v>
      </c>
      <c r="N10" s="8"/>
    </row>
    <row r="11" spans="1:14">
      <c r="A11" s="43">
        <v>8</v>
      </c>
      <c r="B11" s="212">
        <v>45846</v>
      </c>
      <c r="C11" s="64"/>
      <c r="D11" s="152"/>
      <c r="E11" s="250"/>
      <c r="F11" s="250"/>
      <c r="G11" s="8">
        <f t="shared" si="2"/>
        <v>0</v>
      </c>
      <c r="H11" s="62">
        <v>15</v>
      </c>
      <c r="I11" s="63">
        <v>116.54</v>
      </c>
      <c r="J11" s="8">
        <f t="shared" si="3"/>
        <v>1748.1000000000001</v>
      </c>
      <c r="K11" s="8">
        <f t="shared" si="4"/>
        <v>1748.1000000000001</v>
      </c>
      <c r="L11" s="65"/>
      <c r="M11" s="37">
        <f>M10+K11-L11</f>
        <v>185003.70739999996</v>
      </c>
      <c r="N11" s="8"/>
    </row>
    <row r="12" spans="1:14">
      <c r="A12" s="43">
        <v>9</v>
      </c>
      <c r="B12" s="212">
        <v>45847</v>
      </c>
      <c r="C12" s="64"/>
      <c r="D12" s="152"/>
      <c r="E12" s="250"/>
      <c r="F12" s="250"/>
      <c r="G12" s="8">
        <f t="shared" si="2"/>
        <v>0</v>
      </c>
      <c r="H12" s="62"/>
      <c r="I12" s="63"/>
      <c r="J12" s="8">
        <f t="shared" si="3"/>
        <v>0</v>
      </c>
      <c r="K12" s="8">
        <f t="shared" si="4"/>
        <v>0</v>
      </c>
      <c r="L12" s="65"/>
      <c r="M12" s="37">
        <f t="shared" si="1"/>
        <v>185003.70739999996</v>
      </c>
      <c r="N12" s="8"/>
    </row>
    <row r="13" spans="1:14">
      <c r="A13" s="43">
        <v>10</v>
      </c>
      <c r="B13" s="212">
        <v>45848</v>
      </c>
      <c r="C13" s="64"/>
      <c r="D13" s="152"/>
      <c r="E13" s="250"/>
      <c r="F13" s="250"/>
      <c r="G13" s="8">
        <f t="shared" si="2"/>
        <v>0</v>
      </c>
      <c r="H13" s="62">
        <v>5</v>
      </c>
      <c r="I13" s="63">
        <v>116.54</v>
      </c>
      <c r="J13" s="8">
        <f t="shared" si="3"/>
        <v>582.70000000000005</v>
      </c>
      <c r="K13" s="8">
        <f t="shared" si="4"/>
        <v>582.70000000000005</v>
      </c>
      <c r="L13" s="65"/>
      <c r="M13" s="37">
        <f t="shared" si="1"/>
        <v>185586.40739999997</v>
      </c>
      <c r="N13" s="8"/>
    </row>
    <row r="14" spans="1:14">
      <c r="A14" s="43">
        <v>11</v>
      </c>
      <c r="B14" s="212">
        <v>45849</v>
      </c>
      <c r="C14" s="64"/>
      <c r="D14" s="152"/>
      <c r="E14" s="250"/>
      <c r="F14" s="250"/>
      <c r="G14" s="8">
        <f t="shared" si="2"/>
        <v>0</v>
      </c>
      <c r="H14" s="62"/>
      <c r="I14" s="63"/>
      <c r="J14" s="8">
        <f t="shared" si="3"/>
        <v>0</v>
      </c>
      <c r="K14" s="8">
        <f t="shared" si="4"/>
        <v>0</v>
      </c>
      <c r="L14" s="65"/>
      <c r="M14" s="37">
        <f t="shared" si="1"/>
        <v>185586.40739999997</v>
      </c>
      <c r="N14" s="8"/>
    </row>
    <row r="15" spans="1:14">
      <c r="A15" s="43">
        <v>12</v>
      </c>
      <c r="B15" s="212">
        <v>45850</v>
      </c>
      <c r="C15" s="64"/>
      <c r="D15" s="152"/>
      <c r="E15" s="250"/>
      <c r="F15" s="250"/>
      <c r="G15" s="8">
        <f t="shared" si="2"/>
        <v>0</v>
      </c>
      <c r="H15" s="62">
        <v>5</v>
      </c>
      <c r="I15" s="63">
        <v>116.54</v>
      </c>
      <c r="J15" s="8">
        <f t="shared" si="3"/>
        <v>582.70000000000005</v>
      </c>
      <c r="K15" s="8">
        <f t="shared" si="4"/>
        <v>582.70000000000005</v>
      </c>
      <c r="L15" s="65"/>
      <c r="M15" s="37">
        <f t="shared" si="1"/>
        <v>186169.10739999998</v>
      </c>
      <c r="N15" s="8"/>
    </row>
    <row r="16" spans="1:14">
      <c r="A16" s="43">
        <v>13</v>
      </c>
      <c r="B16" s="212">
        <v>45851</v>
      </c>
      <c r="C16" s="64"/>
      <c r="D16" s="152"/>
      <c r="E16" s="250"/>
      <c r="F16" s="250"/>
      <c r="G16" s="8">
        <f t="shared" si="2"/>
        <v>0</v>
      </c>
      <c r="H16" s="62"/>
      <c r="I16" s="63"/>
      <c r="J16" s="8">
        <f t="shared" si="3"/>
        <v>0</v>
      </c>
      <c r="K16" s="8">
        <f t="shared" si="4"/>
        <v>0</v>
      </c>
      <c r="L16" s="65"/>
      <c r="M16" s="37">
        <f t="shared" si="1"/>
        <v>186169.10739999998</v>
      </c>
      <c r="N16" s="8"/>
    </row>
    <row r="17" spans="1:17">
      <c r="A17" s="43">
        <v>14</v>
      </c>
      <c r="B17" s="212">
        <v>45852</v>
      </c>
      <c r="C17" s="64"/>
      <c r="D17" s="152"/>
      <c r="E17" s="250"/>
      <c r="F17" s="250"/>
      <c r="G17" s="8">
        <f t="shared" si="2"/>
        <v>0</v>
      </c>
      <c r="H17" s="62"/>
      <c r="I17" s="63"/>
      <c r="J17" s="8">
        <f t="shared" si="3"/>
        <v>0</v>
      </c>
      <c r="K17" s="8">
        <f t="shared" si="4"/>
        <v>0</v>
      </c>
      <c r="L17" s="65"/>
      <c r="M17" s="37">
        <f t="shared" si="1"/>
        <v>186169.10739999998</v>
      </c>
      <c r="N17" s="8"/>
    </row>
    <row r="18" spans="1:17">
      <c r="A18" s="43">
        <v>15</v>
      </c>
      <c r="B18" s="212">
        <v>45853</v>
      </c>
      <c r="C18" s="64"/>
      <c r="D18" s="152"/>
      <c r="E18" s="377"/>
      <c r="F18" s="250"/>
      <c r="G18" s="8">
        <f t="shared" si="2"/>
        <v>0</v>
      </c>
      <c r="H18" s="62"/>
      <c r="I18" s="63"/>
      <c r="J18" s="8">
        <f t="shared" si="3"/>
        <v>0</v>
      </c>
      <c r="K18" s="8">
        <f t="shared" si="4"/>
        <v>0</v>
      </c>
      <c r="L18" s="65">
        <v>180000</v>
      </c>
      <c r="M18" s="37">
        <f t="shared" si="1"/>
        <v>6169.107399999979</v>
      </c>
      <c r="N18" s="8"/>
    </row>
    <row r="19" spans="1:17">
      <c r="A19" s="43">
        <v>16</v>
      </c>
      <c r="B19" s="212">
        <v>45854</v>
      </c>
      <c r="C19" s="64"/>
      <c r="D19" s="152"/>
      <c r="E19" s="250"/>
      <c r="F19" s="250"/>
      <c r="G19" s="8">
        <f t="shared" si="2"/>
        <v>0</v>
      </c>
      <c r="H19" s="62"/>
      <c r="I19" s="63"/>
      <c r="J19" s="8">
        <f t="shared" si="3"/>
        <v>0</v>
      </c>
      <c r="K19" s="8">
        <f t="shared" si="4"/>
        <v>0</v>
      </c>
      <c r="L19" s="65"/>
      <c r="M19" s="37">
        <f t="shared" si="1"/>
        <v>6169.107399999979</v>
      </c>
      <c r="N19" s="8"/>
    </row>
    <row r="20" spans="1:17">
      <c r="A20" s="43">
        <v>17</v>
      </c>
      <c r="B20" s="212">
        <v>45855</v>
      </c>
      <c r="C20" s="64"/>
      <c r="D20" s="152"/>
      <c r="E20" s="250"/>
      <c r="F20" s="250"/>
      <c r="G20" s="8">
        <f t="shared" si="2"/>
        <v>0</v>
      </c>
      <c r="H20" s="62"/>
      <c r="I20" s="63"/>
      <c r="J20" s="8">
        <f t="shared" si="3"/>
        <v>0</v>
      </c>
      <c r="K20" s="8">
        <f t="shared" si="4"/>
        <v>0</v>
      </c>
      <c r="L20" s="65"/>
      <c r="M20" s="37">
        <f t="shared" si="1"/>
        <v>6169.107399999979</v>
      </c>
      <c r="N20" s="8"/>
    </row>
    <row r="21" spans="1:17">
      <c r="A21" s="43">
        <v>18</v>
      </c>
      <c r="B21" s="212">
        <v>45856</v>
      </c>
      <c r="C21" s="64"/>
      <c r="D21" s="152"/>
      <c r="E21" s="377"/>
      <c r="F21" s="250"/>
      <c r="G21" s="8">
        <f t="shared" si="2"/>
        <v>0</v>
      </c>
      <c r="H21" s="62"/>
      <c r="I21" s="63"/>
      <c r="J21" s="8">
        <f t="shared" si="3"/>
        <v>0</v>
      </c>
      <c r="K21" s="8">
        <f t="shared" si="4"/>
        <v>0</v>
      </c>
      <c r="L21" s="65"/>
      <c r="M21" s="37">
        <f>M20+K21-L21</f>
        <v>6169.107399999979</v>
      </c>
      <c r="N21" s="8"/>
    </row>
    <row r="22" spans="1:17">
      <c r="A22" s="43">
        <v>19</v>
      </c>
      <c r="B22" s="212">
        <v>45857</v>
      </c>
      <c r="C22" s="64"/>
      <c r="D22" s="152"/>
      <c r="E22" s="62"/>
      <c r="F22" s="250"/>
      <c r="G22" s="8">
        <f t="shared" si="2"/>
        <v>0</v>
      </c>
      <c r="H22" s="62"/>
      <c r="I22" s="63"/>
      <c r="J22" s="8">
        <f t="shared" si="3"/>
        <v>0</v>
      </c>
      <c r="K22" s="8">
        <f t="shared" si="4"/>
        <v>0</v>
      </c>
      <c r="L22" s="65"/>
      <c r="M22" s="37">
        <f t="shared" si="1"/>
        <v>6169.107399999979</v>
      </c>
      <c r="N22" s="8"/>
    </row>
    <row r="23" spans="1:17">
      <c r="A23" s="43">
        <v>20</v>
      </c>
      <c r="B23" s="212">
        <v>45858</v>
      </c>
      <c r="C23" s="64"/>
      <c r="D23" s="152"/>
      <c r="E23" s="250"/>
      <c r="F23" s="250"/>
      <c r="G23" s="8">
        <f t="shared" si="2"/>
        <v>0</v>
      </c>
      <c r="H23" s="62"/>
      <c r="I23" s="63"/>
      <c r="J23" s="8">
        <f t="shared" si="3"/>
        <v>0</v>
      </c>
      <c r="K23" s="8">
        <f t="shared" si="4"/>
        <v>0</v>
      </c>
      <c r="L23" s="65"/>
      <c r="M23" s="37">
        <f t="shared" si="1"/>
        <v>6169.107399999979</v>
      </c>
      <c r="N23" s="8"/>
      <c r="Q23">
        <v>96.44</v>
      </c>
    </row>
    <row r="24" spans="1:17">
      <c r="A24" s="43">
        <v>21</v>
      </c>
      <c r="B24" s="212">
        <v>45859</v>
      </c>
      <c r="C24" s="64"/>
      <c r="D24" s="152"/>
      <c r="E24" s="250"/>
      <c r="F24" s="250"/>
      <c r="G24" s="8">
        <f t="shared" si="2"/>
        <v>0</v>
      </c>
      <c r="H24" s="62"/>
      <c r="I24" s="63"/>
      <c r="J24" s="8">
        <f t="shared" si="3"/>
        <v>0</v>
      </c>
      <c r="K24" s="8">
        <f t="shared" si="4"/>
        <v>0</v>
      </c>
      <c r="L24" s="65"/>
      <c r="M24" s="37">
        <f t="shared" si="1"/>
        <v>6169.107399999979</v>
      </c>
      <c r="N24" s="8"/>
    </row>
    <row r="25" spans="1:17">
      <c r="A25" s="43">
        <v>22</v>
      </c>
      <c r="B25" s="212">
        <v>45860</v>
      </c>
      <c r="C25" s="64"/>
      <c r="D25" s="152"/>
      <c r="E25" s="250"/>
      <c r="F25" s="250"/>
      <c r="G25" s="8">
        <f t="shared" si="2"/>
        <v>0</v>
      </c>
      <c r="H25" s="62"/>
      <c r="I25" s="63"/>
      <c r="J25" s="8">
        <f t="shared" si="3"/>
        <v>0</v>
      </c>
      <c r="K25" s="8">
        <f t="shared" si="4"/>
        <v>0</v>
      </c>
      <c r="L25" s="65"/>
      <c r="M25" s="37">
        <f t="shared" si="1"/>
        <v>6169.107399999979</v>
      </c>
      <c r="N25" s="8"/>
    </row>
    <row r="26" spans="1:17">
      <c r="A26" s="43">
        <v>23</v>
      </c>
      <c r="B26" s="212">
        <v>45861</v>
      </c>
      <c r="C26" s="64"/>
      <c r="D26" s="152"/>
      <c r="E26" s="250">
        <v>245</v>
      </c>
      <c r="F26" s="250">
        <v>104.56</v>
      </c>
      <c r="G26" s="8">
        <f t="shared" si="2"/>
        <v>25617.200000000001</v>
      </c>
      <c r="H26" s="62"/>
      <c r="I26" s="63"/>
      <c r="J26" s="8">
        <f t="shared" si="3"/>
        <v>0</v>
      </c>
      <c r="K26" s="8">
        <f t="shared" si="4"/>
        <v>25617.200000000001</v>
      </c>
      <c r="L26" s="65"/>
      <c r="M26" s="37">
        <f t="shared" si="1"/>
        <v>31786.30739999998</v>
      </c>
      <c r="N26" s="8"/>
    </row>
    <row r="27" spans="1:17">
      <c r="A27" s="43">
        <v>24</v>
      </c>
      <c r="B27" s="212">
        <v>45862</v>
      </c>
      <c r="C27" s="64"/>
      <c r="D27" s="152"/>
      <c r="E27" s="250"/>
      <c r="F27" s="250"/>
      <c r="G27" s="8">
        <f t="shared" si="2"/>
        <v>0</v>
      </c>
      <c r="H27" s="62">
        <v>10</v>
      </c>
      <c r="I27" s="63">
        <v>116.54</v>
      </c>
      <c r="J27" s="8">
        <f t="shared" si="3"/>
        <v>1165.4000000000001</v>
      </c>
      <c r="K27" s="8">
        <f t="shared" si="4"/>
        <v>1165.4000000000001</v>
      </c>
      <c r="L27" s="65"/>
      <c r="M27" s="37">
        <f t="shared" si="1"/>
        <v>32951.707399999977</v>
      </c>
      <c r="N27" s="8"/>
    </row>
    <row r="28" spans="1:17">
      <c r="A28" s="214">
        <v>25</v>
      </c>
      <c r="B28" s="212">
        <v>45863</v>
      </c>
      <c r="C28" s="64"/>
      <c r="D28" s="152"/>
      <c r="E28" s="250">
        <v>0</v>
      </c>
      <c r="F28" s="250">
        <v>104.56</v>
      </c>
      <c r="G28" s="8">
        <f t="shared" si="2"/>
        <v>0</v>
      </c>
      <c r="H28" s="62">
        <v>15</v>
      </c>
      <c r="I28" s="525">
        <v>116.54</v>
      </c>
      <c r="J28" s="8">
        <f t="shared" si="3"/>
        <v>1748.1000000000001</v>
      </c>
      <c r="K28" s="8">
        <f t="shared" si="4"/>
        <v>1748.1000000000001</v>
      </c>
      <c r="L28" s="65"/>
      <c r="M28" s="37">
        <f>M27+K28-L28</f>
        <v>34699.807399999976</v>
      </c>
      <c r="N28" s="8"/>
    </row>
    <row r="29" spans="1:17">
      <c r="A29" s="214">
        <v>26</v>
      </c>
      <c r="B29" s="212">
        <v>45864</v>
      </c>
      <c r="C29" s="64"/>
      <c r="D29" s="152"/>
      <c r="E29" s="250">
        <v>130</v>
      </c>
      <c r="F29" s="250">
        <v>104.56</v>
      </c>
      <c r="G29" s="8">
        <f t="shared" si="2"/>
        <v>13592.800000000001</v>
      </c>
      <c r="H29" s="62">
        <v>5</v>
      </c>
      <c r="I29" s="525">
        <v>116.54</v>
      </c>
      <c r="J29" s="8">
        <f t="shared" si="3"/>
        <v>582.70000000000005</v>
      </c>
      <c r="K29" s="8">
        <f t="shared" si="4"/>
        <v>14175.500000000002</v>
      </c>
      <c r="L29" s="65"/>
      <c r="M29" s="37">
        <f t="shared" si="1"/>
        <v>48875.307399999976</v>
      </c>
      <c r="N29" s="8"/>
    </row>
    <row r="30" spans="1:17">
      <c r="A30" s="214">
        <v>27</v>
      </c>
      <c r="B30" s="212">
        <v>45865</v>
      </c>
      <c r="C30" s="64"/>
      <c r="D30" s="152"/>
      <c r="E30" s="250"/>
      <c r="F30" s="250"/>
      <c r="G30" s="8">
        <f t="shared" si="2"/>
        <v>0</v>
      </c>
      <c r="H30" s="62"/>
      <c r="I30" s="63"/>
      <c r="J30" s="8">
        <f t="shared" si="3"/>
        <v>0</v>
      </c>
      <c r="K30" s="8">
        <f t="shared" si="4"/>
        <v>0</v>
      </c>
      <c r="L30" s="65"/>
      <c r="M30" s="37">
        <f t="shared" si="1"/>
        <v>48875.307399999976</v>
      </c>
      <c r="N30" s="8"/>
    </row>
    <row r="31" spans="1:17">
      <c r="A31" s="214">
        <v>28</v>
      </c>
      <c r="B31" s="212">
        <v>45866</v>
      </c>
      <c r="C31" s="64"/>
      <c r="D31" s="152"/>
      <c r="E31" s="250">
        <v>35.71</v>
      </c>
      <c r="F31" s="250">
        <v>104.56</v>
      </c>
      <c r="G31" s="8">
        <f t="shared" si="2"/>
        <v>3733.8376000000003</v>
      </c>
      <c r="H31" s="62"/>
      <c r="I31" s="63"/>
      <c r="J31" s="8">
        <f t="shared" si="3"/>
        <v>0</v>
      </c>
      <c r="K31" s="8">
        <f t="shared" si="4"/>
        <v>3733.8376000000003</v>
      </c>
      <c r="L31" s="65"/>
      <c r="M31" s="37">
        <f t="shared" si="1"/>
        <v>52609.144999999975</v>
      </c>
      <c r="N31" s="8"/>
    </row>
    <row r="32" spans="1:17">
      <c r="A32" s="215">
        <v>29</v>
      </c>
      <c r="B32" s="212">
        <v>45867</v>
      </c>
      <c r="C32" s="64"/>
      <c r="D32" s="152"/>
      <c r="E32" s="250"/>
      <c r="F32" s="250"/>
      <c r="G32" s="8">
        <f t="shared" si="2"/>
        <v>0</v>
      </c>
      <c r="H32" s="62"/>
      <c r="I32" s="63"/>
      <c r="J32" s="8">
        <f t="shared" si="3"/>
        <v>0</v>
      </c>
      <c r="K32" s="8">
        <f t="shared" si="4"/>
        <v>0</v>
      </c>
      <c r="L32" s="65"/>
      <c r="M32" s="37">
        <f t="shared" si="1"/>
        <v>52609.144999999975</v>
      </c>
      <c r="N32" s="8"/>
    </row>
    <row r="33" spans="1:14">
      <c r="A33" s="215">
        <v>30</v>
      </c>
      <c r="B33" s="212">
        <v>45868</v>
      </c>
      <c r="C33" s="64"/>
      <c r="D33" s="152"/>
      <c r="E33" s="250"/>
      <c r="F33" s="250"/>
      <c r="G33" s="8">
        <f t="shared" si="2"/>
        <v>0</v>
      </c>
      <c r="H33" s="62"/>
      <c r="I33" s="63"/>
      <c r="J33" s="8">
        <f t="shared" si="3"/>
        <v>0</v>
      </c>
      <c r="K33" s="8">
        <f t="shared" si="4"/>
        <v>0</v>
      </c>
      <c r="L33" s="65">
        <v>0</v>
      </c>
      <c r="M33" s="37">
        <f t="shared" si="1"/>
        <v>52609.144999999975</v>
      </c>
      <c r="N33" s="8"/>
    </row>
    <row r="34" spans="1:14">
      <c r="A34" s="215">
        <v>31</v>
      </c>
      <c r="B34" s="212"/>
      <c r="C34" s="64"/>
      <c r="D34" s="152"/>
      <c r="E34" s="250"/>
      <c r="F34" s="250"/>
      <c r="G34" s="8">
        <f t="shared" si="2"/>
        <v>0</v>
      </c>
      <c r="H34" s="62"/>
      <c r="I34" s="63"/>
      <c r="J34" s="8">
        <f t="shared" si="3"/>
        <v>0</v>
      </c>
      <c r="K34" s="8">
        <f t="shared" si="4"/>
        <v>0</v>
      </c>
      <c r="L34" s="65">
        <v>0</v>
      </c>
      <c r="M34" s="37">
        <f t="shared" si="1"/>
        <v>52609.144999999975</v>
      </c>
      <c r="N34" s="8"/>
    </row>
    <row r="35" spans="1:14">
      <c r="A35" s="59"/>
      <c r="B35" s="59"/>
      <c r="C35" s="59"/>
      <c r="D35" s="59"/>
      <c r="E35" s="251">
        <f>SUM(E4:E34)</f>
        <v>930.16000000000008</v>
      </c>
      <c r="F35" s="251"/>
      <c r="G35" s="60">
        <f>SUM(G4:G34)</f>
        <v>97257.529600000009</v>
      </c>
      <c r="H35" s="60">
        <f>SUM(H4:H34)</f>
        <v>60</v>
      </c>
      <c r="I35" s="60"/>
      <c r="J35" s="60">
        <f>SUM(J4:J34)</f>
        <v>6992.4000000000005</v>
      </c>
      <c r="K35" s="60">
        <f>SUM(K4:K34)</f>
        <v>104249.92959999999</v>
      </c>
      <c r="L35" s="60">
        <f>SUM(L4:L34)</f>
        <v>180000</v>
      </c>
      <c r="M35" s="60"/>
      <c r="N35" s="60"/>
    </row>
  </sheetData>
  <mergeCells count="2">
    <mergeCell ref="A1:N1"/>
    <mergeCell ref="A3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7192-5352-4637-BAE5-2FBCF1C76B46}">
  <dimension ref="A1:N36"/>
  <sheetViews>
    <sheetView topLeftCell="A18" workbookViewId="0">
      <selection activeCell="L34" sqref="L34:M34"/>
    </sheetView>
  </sheetViews>
  <sheetFormatPr defaultRowHeight="15"/>
  <cols>
    <col min="2" max="2" width="11.42578125" customWidth="1"/>
    <col min="5" max="5" width="15.42578125" customWidth="1"/>
    <col min="7" max="7" width="14.5703125" customWidth="1"/>
    <col min="11" max="11" width="13.5703125" bestFit="1" customWidth="1"/>
    <col min="12" max="12" width="12.5703125" customWidth="1"/>
    <col min="13" max="13" width="11.5703125" bestFit="1" customWidth="1"/>
  </cols>
  <sheetData>
    <row r="1" spans="1:14" ht="15.75">
      <c r="A1" s="539" t="s">
        <v>188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</row>
    <row r="2" spans="1:14" ht="30.75">
      <c r="A2" s="95" t="s">
        <v>0</v>
      </c>
      <c r="B2" s="96" t="s">
        <v>163</v>
      </c>
      <c r="C2" s="96" t="s">
        <v>164</v>
      </c>
      <c r="D2" s="96" t="s">
        <v>186</v>
      </c>
      <c r="E2" s="249" t="s">
        <v>166</v>
      </c>
      <c r="F2" s="249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135" t="s">
        <v>171</v>
      </c>
      <c r="M2" s="138" t="s">
        <v>187</v>
      </c>
      <c r="N2" s="98" t="s">
        <v>173</v>
      </c>
    </row>
    <row r="3" spans="1:14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2"/>
      <c r="M3" s="143">
        <v>207619.56289999979</v>
      </c>
      <c r="N3" s="149"/>
    </row>
    <row r="4" spans="1:14">
      <c r="A4" s="189">
        <v>1</v>
      </c>
      <c r="B4" s="212">
        <v>45839</v>
      </c>
      <c r="C4" s="64"/>
      <c r="D4" s="152"/>
      <c r="E4" s="258">
        <v>690</v>
      </c>
      <c r="F4" s="365">
        <v>104.35</v>
      </c>
      <c r="G4" s="8">
        <f t="shared" ref="G4:G35" si="0">E4*F4</f>
        <v>72001.5</v>
      </c>
      <c r="H4" s="258"/>
      <c r="I4" s="286"/>
      <c r="J4" s="8">
        <f>H4*I4</f>
        <v>0</v>
      </c>
      <c r="K4" s="8">
        <f>G4+J4</f>
        <v>72001.5</v>
      </c>
      <c r="L4" s="65"/>
      <c r="M4" s="37">
        <f>M3+K4-L4</f>
        <v>279621.06289999979</v>
      </c>
      <c r="N4" s="8"/>
    </row>
    <row r="5" spans="1:14">
      <c r="A5" s="43">
        <v>2</v>
      </c>
      <c r="B5" s="212">
        <v>45840</v>
      </c>
      <c r="C5" s="64"/>
      <c r="D5" s="152"/>
      <c r="E5" s="258"/>
      <c r="F5" s="365"/>
      <c r="G5" s="8">
        <f t="shared" si="0"/>
        <v>0</v>
      </c>
      <c r="H5" s="258">
        <v>5</v>
      </c>
      <c r="I5" s="286">
        <v>116.25</v>
      </c>
      <c r="J5" s="8">
        <f t="shared" ref="J5:J35" si="1">H5*I5</f>
        <v>581.25</v>
      </c>
      <c r="K5" s="8">
        <f t="shared" ref="K5:K35" si="2">G5+J5</f>
        <v>581.25</v>
      </c>
      <c r="L5" s="65"/>
      <c r="M5" s="37">
        <f t="shared" ref="M5:M35" si="3">M4+K5-L5</f>
        <v>280202.31289999979</v>
      </c>
      <c r="N5" s="8"/>
    </row>
    <row r="6" spans="1:14">
      <c r="A6" s="43">
        <v>3</v>
      </c>
      <c r="B6" s="212">
        <v>45841</v>
      </c>
      <c r="C6" s="64"/>
      <c r="D6" s="152"/>
      <c r="E6" s="258">
        <v>690</v>
      </c>
      <c r="F6" s="365">
        <v>104.35</v>
      </c>
      <c r="G6" s="8">
        <f t="shared" si="0"/>
        <v>72001.5</v>
      </c>
      <c r="H6" s="258"/>
      <c r="I6" s="286"/>
      <c r="J6" s="8">
        <f t="shared" si="1"/>
        <v>0</v>
      </c>
      <c r="K6" s="8">
        <f t="shared" si="2"/>
        <v>72001.5</v>
      </c>
      <c r="L6" s="65"/>
      <c r="M6" s="37">
        <f t="shared" si="3"/>
        <v>352203.81289999979</v>
      </c>
      <c r="N6" s="8"/>
    </row>
    <row r="7" spans="1:14">
      <c r="A7" s="43">
        <v>4</v>
      </c>
      <c r="B7" s="212">
        <v>45842</v>
      </c>
      <c r="C7" s="64"/>
      <c r="D7" s="152"/>
      <c r="E7" s="258"/>
      <c r="F7" s="365"/>
      <c r="G7" s="8">
        <f t="shared" si="0"/>
        <v>0</v>
      </c>
      <c r="H7" s="258">
        <v>5</v>
      </c>
      <c r="I7" s="286">
        <v>116.25</v>
      </c>
      <c r="J7" s="8">
        <f t="shared" si="1"/>
        <v>581.25</v>
      </c>
      <c r="K7" s="8">
        <f t="shared" si="2"/>
        <v>581.25</v>
      </c>
      <c r="L7" s="65"/>
      <c r="M7" s="37">
        <f t="shared" si="3"/>
        <v>352785.06289999979</v>
      </c>
      <c r="N7" s="8"/>
    </row>
    <row r="8" spans="1:14">
      <c r="A8" s="43">
        <v>5</v>
      </c>
      <c r="B8" s="212">
        <v>45843</v>
      </c>
      <c r="C8" s="64"/>
      <c r="D8" s="152"/>
      <c r="E8" s="258">
        <v>690</v>
      </c>
      <c r="F8" s="365">
        <v>104.35</v>
      </c>
      <c r="G8" s="8">
        <f t="shared" si="0"/>
        <v>72001.5</v>
      </c>
      <c r="H8" s="258"/>
      <c r="I8" s="286"/>
      <c r="J8" s="8">
        <f t="shared" si="1"/>
        <v>0</v>
      </c>
      <c r="K8" s="8">
        <f t="shared" si="2"/>
        <v>72001.5</v>
      </c>
      <c r="L8" s="65"/>
      <c r="M8" s="37">
        <f t="shared" si="3"/>
        <v>424786.56289999979</v>
      </c>
      <c r="N8" s="8"/>
    </row>
    <row r="9" spans="1:14">
      <c r="A9" s="189">
        <v>6</v>
      </c>
      <c r="B9" s="212">
        <v>45844</v>
      </c>
      <c r="C9" s="64"/>
      <c r="D9" s="152"/>
      <c r="E9" s="258"/>
      <c r="F9" s="365"/>
      <c r="G9" s="8">
        <f t="shared" si="0"/>
        <v>0</v>
      </c>
      <c r="H9" s="258">
        <v>5</v>
      </c>
      <c r="I9" s="286">
        <v>116.25</v>
      </c>
      <c r="J9" s="8">
        <f t="shared" si="1"/>
        <v>581.25</v>
      </c>
      <c r="K9" s="8">
        <f t="shared" si="2"/>
        <v>581.25</v>
      </c>
      <c r="L9" s="65"/>
      <c r="M9" s="37">
        <f t="shared" si="3"/>
        <v>425367.81289999979</v>
      </c>
      <c r="N9" s="8"/>
    </row>
    <row r="10" spans="1:14">
      <c r="A10" s="43">
        <v>7</v>
      </c>
      <c r="B10" s="212">
        <v>45845</v>
      </c>
      <c r="C10" s="64"/>
      <c r="D10" s="152"/>
      <c r="E10" s="258">
        <v>725</v>
      </c>
      <c r="F10" s="365">
        <v>104.35</v>
      </c>
      <c r="G10" s="8">
        <f t="shared" si="0"/>
        <v>75653.75</v>
      </c>
      <c r="H10" s="258"/>
      <c r="I10" s="286"/>
      <c r="J10" s="8">
        <f t="shared" si="1"/>
        <v>0</v>
      </c>
      <c r="K10" s="8">
        <f t="shared" si="2"/>
        <v>75653.75</v>
      </c>
      <c r="L10" s="65"/>
      <c r="M10" s="37">
        <f t="shared" si="3"/>
        <v>501021.56289999979</v>
      </c>
      <c r="N10" s="8"/>
    </row>
    <row r="11" spans="1:14">
      <c r="A11" s="43">
        <v>8</v>
      </c>
      <c r="B11" s="212">
        <v>45846</v>
      </c>
      <c r="C11" s="64"/>
      <c r="D11" s="152"/>
      <c r="E11" s="258">
        <v>690</v>
      </c>
      <c r="F11" s="365">
        <v>104.35</v>
      </c>
      <c r="G11" s="8">
        <f t="shared" si="0"/>
        <v>72001.5</v>
      </c>
      <c r="H11" s="258"/>
      <c r="I11" s="286"/>
      <c r="J11" s="8">
        <f t="shared" si="1"/>
        <v>0</v>
      </c>
      <c r="K11" s="8">
        <f t="shared" si="2"/>
        <v>72001.5</v>
      </c>
      <c r="L11" s="65"/>
      <c r="M11" s="37">
        <f t="shared" si="3"/>
        <v>573023.06289999979</v>
      </c>
      <c r="N11" s="8"/>
    </row>
    <row r="12" spans="1:14">
      <c r="A12" s="43">
        <v>9</v>
      </c>
      <c r="B12" s="212">
        <v>45847</v>
      </c>
      <c r="C12" s="64"/>
      <c r="D12" s="152"/>
      <c r="E12" s="258">
        <v>730</v>
      </c>
      <c r="F12" s="365">
        <v>104.35</v>
      </c>
      <c r="G12" s="8">
        <f t="shared" si="0"/>
        <v>76175.5</v>
      </c>
      <c r="H12" s="258"/>
      <c r="I12" s="286"/>
      <c r="J12" s="8">
        <f t="shared" si="1"/>
        <v>0</v>
      </c>
      <c r="K12" s="8">
        <f t="shared" si="2"/>
        <v>76175.5</v>
      </c>
      <c r="L12" s="65"/>
      <c r="M12" s="37">
        <f t="shared" si="3"/>
        <v>649198.56289999979</v>
      </c>
      <c r="N12" s="8"/>
    </row>
    <row r="13" spans="1:14">
      <c r="A13" s="43">
        <v>10</v>
      </c>
      <c r="B13" s="212">
        <v>45848</v>
      </c>
      <c r="C13" s="64"/>
      <c r="D13" s="152"/>
      <c r="E13" s="258">
        <v>690</v>
      </c>
      <c r="F13" s="365">
        <v>104.35</v>
      </c>
      <c r="G13" s="8">
        <f t="shared" si="0"/>
        <v>72001.5</v>
      </c>
      <c r="H13" s="258"/>
      <c r="I13" s="286"/>
      <c r="J13" s="8">
        <f t="shared" si="1"/>
        <v>0</v>
      </c>
      <c r="K13" s="8">
        <f t="shared" si="2"/>
        <v>72001.5</v>
      </c>
      <c r="L13" s="65"/>
      <c r="M13" s="37">
        <f t="shared" si="3"/>
        <v>721200.06289999979</v>
      </c>
      <c r="N13" s="8"/>
    </row>
    <row r="14" spans="1:14">
      <c r="A14" s="189">
        <v>11</v>
      </c>
      <c r="B14" s="212">
        <v>45849</v>
      </c>
      <c r="C14" s="64"/>
      <c r="D14" s="152"/>
      <c r="E14" s="258">
        <v>690</v>
      </c>
      <c r="F14" s="365">
        <v>104.35</v>
      </c>
      <c r="G14" s="8">
        <f t="shared" si="0"/>
        <v>72001.5</v>
      </c>
      <c r="H14" s="258"/>
      <c r="I14" s="286"/>
      <c r="J14" s="8">
        <f t="shared" si="1"/>
        <v>0</v>
      </c>
      <c r="K14" s="8">
        <f t="shared" si="2"/>
        <v>72001.5</v>
      </c>
      <c r="L14" s="65"/>
      <c r="M14" s="37">
        <f t="shared" si="3"/>
        <v>793201.56289999979</v>
      </c>
      <c r="N14" s="8" t="s">
        <v>189</v>
      </c>
    </row>
    <row r="15" spans="1:14">
      <c r="A15" s="43">
        <v>12</v>
      </c>
      <c r="B15" s="212">
        <v>45850</v>
      </c>
      <c r="C15" s="64"/>
      <c r="D15" s="152"/>
      <c r="E15" s="258">
        <v>600</v>
      </c>
      <c r="F15" s="365">
        <v>104.35</v>
      </c>
      <c r="G15" s="8">
        <f t="shared" si="0"/>
        <v>62610</v>
      </c>
      <c r="H15" s="258"/>
      <c r="I15" s="286"/>
      <c r="J15" s="8"/>
      <c r="K15" s="8">
        <f t="shared" si="2"/>
        <v>62610</v>
      </c>
      <c r="L15" s="65"/>
      <c r="M15" s="37">
        <f t="shared" si="3"/>
        <v>855811.56289999979</v>
      </c>
      <c r="N15" s="8"/>
    </row>
    <row r="16" spans="1:14">
      <c r="A16" s="43">
        <v>13</v>
      </c>
      <c r="B16" s="212">
        <v>45851</v>
      </c>
      <c r="C16" s="64"/>
      <c r="D16" s="152"/>
      <c r="E16" s="258">
        <v>690</v>
      </c>
      <c r="F16" s="365">
        <v>104.35</v>
      </c>
      <c r="G16" s="8">
        <f t="shared" si="0"/>
        <v>72001.5</v>
      </c>
      <c r="H16" s="258">
        <v>6</v>
      </c>
      <c r="I16" s="286">
        <v>116.25</v>
      </c>
      <c r="J16" s="8">
        <f t="shared" si="1"/>
        <v>697.5</v>
      </c>
      <c r="K16" s="8">
        <f t="shared" si="2"/>
        <v>72699</v>
      </c>
      <c r="L16" s="65"/>
      <c r="M16" s="37">
        <f t="shared" si="3"/>
        <v>928510.56289999979</v>
      </c>
      <c r="N16" s="8"/>
    </row>
    <row r="17" spans="1:14">
      <c r="A17" s="43">
        <v>14</v>
      </c>
      <c r="B17" s="212">
        <v>45852</v>
      </c>
      <c r="C17" s="64"/>
      <c r="D17" s="152"/>
      <c r="E17" s="258">
        <v>690</v>
      </c>
      <c r="F17" s="365">
        <v>104.35</v>
      </c>
      <c r="G17" s="8">
        <f t="shared" si="0"/>
        <v>72001.5</v>
      </c>
      <c r="H17" s="258"/>
      <c r="I17" s="286"/>
      <c r="J17" s="8">
        <f t="shared" si="1"/>
        <v>0</v>
      </c>
      <c r="K17" s="8">
        <f t="shared" si="2"/>
        <v>72001.5</v>
      </c>
      <c r="L17" s="65"/>
      <c r="M17" s="37">
        <f t="shared" si="3"/>
        <v>1000512.0628999998</v>
      </c>
      <c r="N17" s="8"/>
    </row>
    <row r="18" spans="1:14">
      <c r="A18" s="43">
        <v>15</v>
      </c>
      <c r="B18" s="212">
        <v>45853</v>
      </c>
      <c r="C18" s="64"/>
      <c r="D18" s="152"/>
      <c r="E18" s="258">
        <v>690</v>
      </c>
      <c r="F18" s="365">
        <v>104.35</v>
      </c>
      <c r="G18" s="8">
        <f t="shared" si="0"/>
        <v>72001.5</v>
      </c>
      <c r="H18" s="258"/>
      <c r="I18" s="286"/>
      <c r="J18" s="8">
        <f t="shared" si="1"/>
        <v>0</v>
      </c>
      <c r="K18" s="8">
        <f t="shared" si="2"/>
        <v>72001.5</v>
      </c>
      <c r="L18" s="65"/>
      <c r="M18" s="37">
        <f t="shared" si="3"/>
        <v>1072513.5628999998</v>
      </c>
      <c r="N18" s="8"/>
    </row>
    <row r="19" spans="1:14">
      <c r="A19" s="189">
        <v>16</v>
      </c>
      <c r="B19" s="212">
        <v>45854</v>
      </c>
      <c r="C19" s="64"/>
      <c r="D19" s="152"/>
      <c r="E19" s="258">
        <v>600</v>
      </c>
      <c r="F19" s="365">
        <v>104.35</v>
      </c>
      <c r="G19" s="8">
        <f t="shared" si="0"/>
        <v>62610</v>
      </c>
      <c r="H19" s="258"/>
      <c r="I19" s="286"/>
      <c r="J19" s="8">
        <f t="shared" si="1"/>
        <v>0</v>
      </c>
      <c r="K19" s="8">
        <f t="shared" si="2"/>
        <v>62610</v>
      </c>
      <c r="L19" s="65"/>
      <c r="M19" s="37">
        <f t="shared" si="3"/>
        <v>1135123.5628999998</v>
      </c>
      <c r="N19" s="8"/>
    </row>
    <row r="20" spans="1:14">
      <c r="A20" s="43">
        <v>17</v>
      </c>
      <c r="B20" s="212">
        <v>45855</v>
      </c>
      <c r="C20" s="64"/>
      <c r="D20" s="152"/>
      <c r="E20" s="258"/>
      <c r="F20" s="365"/>
      <c r="G20" s="8">
        <f t="shared" si="0"/>
        <v>0</v>
      </c>
      <c r="H20" s="258">
        <v>12</v>
      </c>
      <c r="I20" s="286">
        <v>116.25</v>
      </c>
      <c r="J20" s="8">
        <f t="shared" si="1"/>
        <v>1395</v>
      </c>
      <c r="K20" s="8">
        <f t="shared" si="2"/>
        <v>1395</v>
      </c>
      <c r="L20" s="65"/>
      <c r="M20" s="37">
        <f t="shared" si="3"/>
        <v>1136518.5628999998</v>
      </c>
      <c r="N20" s="8"/>
    </row>
    <row r="21" spans="1:14">
      <c r="A21" s="43">
        <v>18</v>
      </c>
      <c r="B21" s="212">
        <v>45856</v>
      </c>
      <c r="C21" s="64"/>
      <c r="D21" s="152"/>
      <c r="E21" s="258"/>
      <c r="F21" s="365"/>
      <c r="G21" s="8">
        <f t="shared" si="0"/>
        <v>0</v>
      </c>
      <c r="H21" s="258">
        <v>6</v>
      </c>
      <c r="I21" s="286">
        <v>116.25</v>
      </c>
      <c r="J21" s="8">
        <f t="shared" si="1"/>
        <v>697.5</v>
      </c>
      <c r="K21" s="8">
        <f t="shared" si="2"/>
        <v>697.5</v>
      </c>
      <c r="L21" s="65"/>
      <c r="M21" s="37">
        <f t="shared" si="3"/>
        <v>1137216.0628999998</v>
      </c>
      <c r="N21" s="8"/>
    </row>
    <row r="22" spans="1:14">
      <c r="A22" s="43">
        <v>19</v>
      </c>
      <c r="B22" s="212">
        <v>45857</v>
      </c>
      <c r="C22" s="64"/>
      <c r="D22" s="152"/>
      <c r="E22" s="258"/>
      <c r="F22" s="365"/>
      <c r="G22" s="8">
        <f t="shared" si="0"/>
        <v>0</v>
      </c>
      <c r="H22" s="258"/>
      <c r="I22" s="286"/>
      <c r="J22" s="8">
        <f t="shared" si="1"/>
        <v>0</v>
      </c>
      <c r="K22" s="8">
        <f t="shared" si="2"/>
        <v>0</v>
      </c>
      <c r="L22" s="65"/>
      <c r="M22" s="37">
        <f t="shared" si="3"/>
        <v>1137216.0628999998</v>
      </c>
      <c r="N22" s="8"/>
    </row>
    <row r="23" spans="1:14">
      <c r="A23" s="43">
        <v>20</v>
      </c>
      <c r="B23" s="212">
        <v>45858</v>
      </c>
      <c r="C23" s="64"/>
      <c r="D23" s="152"/>
      <c r="E23" s="258">
        <v>690</v>
      </c>
      <c r="F23" s="365">
        <v>104.35</v>
      </c>
      <c r="G23" s="8">
        <f t="shared" si="0"/>
        <v>72001.5</v>
      </c>
      <c r="H23" s="258"/>
      <c r="I23" s="286"/>
      <c r="J23" s="8">
        <f t="shared" si="1"/>
        <v>0</v>
      </c>
      <c r="K23" s="8">
        <f t="shared" si="2"/>
        <v>72001.5</v>
      </c>
      <c r="L23" s="65">
        <v>300000</v>
      </c>
      <c r="M23" s="37">
        <f t="shared" si="3"/>
        <v>909217.56289999979</v>
      </c>
      <c r="N23" s="8"/>
    </row>
    <row r="24" spans="1:14">
      <c r="A24" s="189">
        <v>21</v>
      </c>
      <c r="B24" s="212">
        <v>45859</v>
      </c>
      <c r="C24" s="64"/>
      <c r="D24" s="152"/>
      <c r="E24" s="258"/>
      <c r="F24" s="365"/>
      <c r="G24" s="8">
        <f t="shared" si="0"/>
        <v>0</v>
      </c>
      <c r="H24" s="258">
        <v>8.76</v>
      </c>
      <c r="I24" s="286">
        <v>116.25</v>
      </c>
      <c r="J24" s="8">
        <f t="shared" si="1"/>
        <v>1018.35</v>
      </c>
      <c r="K24" s="8">
        <f t="shared" si="2"/>
        <v>1018.35</v>
      </c>
      <c r="L24" s="65"/>
      <c r="M24" s="37">
        <f t="shared" si="3"/>
        <v>910235.91289999976</v>
      </c>
      <c r="N24" s="8"/>
    </row>
    <row r="25" spans="1:14">
      <c r="A25" s="43">
        <v>22</v>
      </c>
      <c r="B25" s="212">
        <v>45860</v>
      </c>
      <c r="C25" s="64"/>
      <c r="D25" s="152"/>
      <c r="E25" s="258"/>
      <c r="F25" s="365"/>
      <c r="G25" s="8">
        <f t="shared" si="0"/>
        <v>0</v>
      </c>
      <c r="H25" s="258"/>
      <c r="I25" s="286"/>
      <c r="J25" s="8">
        <f t="shared" si="1"/>
        <v>0</v>
      </c>
      <c r="K25" s="8">
        <f t="shared" si="2"/>
        <v>0</v>
      </c>
      <c r="L25" s="65"/>
      <c r="M25" s="37">
        <f t="shared" si="3"/>
        <v>910235.91289999976</v>
      </c>
      <c r="N25" s="8"/>
    </row>
    <row r="26" spans="1:14">
      <c r="A26" s="43">
        <v>23</v>
      </c>
      <c r="B26" s="212">
        <v>45861</v>
      </c>
      <c r="C26" s="64"/>
      <c r="D26" s="152"/>
      <c r="E26" s="258"/>
      <c r="F26" s="365"/>
      <c r="G26" s="8">
        <f t="shared" si="0"/>
        <v>0</v>
      </c>
      <c r="H26" s="258"/>
      <c r="I26" s="286"/>
      <c r="J26" s="8">
        <f t="shared" si="1"/>
        <v>0</v>
      </c>
      <c r="K26" s="8">
        <f t="shared" si="2"/>
        <v>0</v>
      </c>
      <c r="L26" s="65"/>
      <c r="M26" s="37">
        <f t="shared" si="3"/>
        <v>910235.91289999976</v>
      </c>
      <c r="N26" s="8"/>
    </row>
    <row r="27" spans="1:14">
      <c r="A27" s="43">
        <v>24</v>
      </c>
      <c r="B27" s="212">
        <v>45862</v>
      </c>
      <c r="C27" s="64"/>
      <c r="D27" s="152"/>
      <c r="E27" s="258"/>
      <c r="F27" s="365"/>
      <c r="G27" s="8">
        <f t="shared" si="0"/>
        <v>0</v>
      </c>
      <c r="H27" s="258"/>
      <c r="I27" s="286"/>
      <c r="J27" s="8">
        <f t="shared" si="1"/>
        <v>0</v>
      </c>
      <c r="K27" s="8">
        <f t="shared" si="2"/>
        <v>0</v>
      </c>
      <c r="L27" s="65"/>
      <c r="M27" s="37">
        <f t="shared" si="3"/>
        <v>910235.91289999976</v>
      </c>
      <c r="N27" s="8"/>
    </row>
    <row r="28" spans="1:14">
      <c r="A28" s="43">
        <v>25</v>
      </c>
      <c r="B28" s="212">
        <v>45863</v>
      </c>
      <c r="C28" s="64"/>
      <c r="D28" s="152"/>
      <c r="E28" s="258">
        <v>690</v>
      </c>
      <c r="F28" s="365">
        <v>104.35</v>
      </c>
      <c r="G28" s="8">
        <f t="shared" si="0"/>
        <v>72001.5</v>
      </c>
      <c r="H28" s="258"/>
      <c r="I28" s="286">
        <v>116.25</v>
      </c>
      <c r="J28" s="8">
        <f t="shared" si="1"/>
        <v>0</v>
      </c>
      <c r="K28" s="8">
        <f t="shared" si="2"/>
        <v>72001.5</v>
      </c>
      <c r="L28" s="65"/>
      <c r="M28" s="37">
        <f t="shared" si="3"/>
        <v>982237.41289999976</v>
      </c>
      <c r="N28" s="8"/>
    </row>
    <row r="29" spans="1:14">
      <c r="A29" s="189">
        <v>26</v>
      </c>
      <c r="B29" s="212">
        <v>45864</v>
      </c>
      <c r="C29" s="64"/>
      <c r="D29" s="152"/>
      <c r="E29" s="258"/>
      <c r="F29" s="365"/>
      <c r="G29" s="8">
        <f t="shared" si="0"/>
        <v>0</v>
      </c>
      <c r="H29" s="258">
        <v>6</v>
      </c>
      <c r="I29" s="286">
        <v>116.25</v>
      </c>
      <c r="J29" s="8">
        <f t="shared" si="1"/>
        <v>697.5</v>
      </c>
      <c r="K29" s="8">
        <f t="shared" si="2"/>
        <v>697.5</v>
      </c>
      <c r="L29" s="65"/>
      <c r="M29" s="37">
        <f t="shared" si="3"/>
        <v>982934.91289999976</v>
      </c>
      <c r="N29" s="8"/>
    </row>
    <row r="30" spans="1:14">
      <c r="A30" s="43">
        <v>27</v>
      </c>
      <c r="B30" s="212">
        <v>45865</v>
      </c>
      <c r="C30" s="64"/>
      <c r="D30" s="152"/>
      <c r="E30" s="258">
        <v>690</v>
      </c>
      <c r="F30" s="365">
        <v>104.35</v>
      </c>
      <c r="G30" s="8">
        <f t="shared" si="0"/>
        <v>72001.5</v>
      </c>
      <c r="H30" s="62"/>
      <c r="I30" s="63"/>
      <c r="J30" s="8">
        <f t="shared" si="1"/>
        <v>0</v>
      </c>
      <c r="K30" s="8">
        <f t="shared" si="2"/>
        <v>72001.5</v>
      </c>
      <c r="L30" s="65"/>
      <c r="M30" s="37">
        <f t="shared" si="3"/>
        <v>1054936.4128999999</v>
      </c>
      <c r="N30" s="8"/>
    </row>
    <row r="31" spans="1:14">
      <c r="A31" s="43">
        <v>28</v>
      </c>
      <c r="B31" s="212">
        <v>45866</v>
      </c>
      <c r="C31" s="64"/>
      <c r="D31" s="152"/>
      <c r="E31" s="258"/>
      <c r="F31" s="365"/>
      <c r="G31" s="8">
        <f t="shared" si="0"/>
        <v>0</v>
      </c>
      <c r="H31" s="62"/>
      <c r="I31" s="63"/>
      <c r="J31" s="8">
        <f t="shared" si="1"/>
        <v>0</v>
      </c>
      <c r="K31" s="8">
        <f t="shared" si="2"/>
        <v>0</v>
      </c>
      <c r="L31" s="65"/>
      <c r="M31" s="37">
        <f t="shared" si="3"/>
        <v>1054936.4128999999</v>
      </c>
      <c r="N31" s="8"/>
    </row>
    <row r="32" spans="1:14">
      <c r="A32" s="43">
        <v>29</v>
      </c>
      <c r="B32" s="212">
        <v>45867</v>
      </c>
      <c r="C32" s="64"/>
      <c r="D32" s="152"/>
      <c r="E32" s="258"/>
      <c r="F32" s="365"/>
      <c r="G32" s="8">
        <f t="shared" si="0"/>
        <v>0</v>
      </c>
      <c r="H32" s="62"/>
      <c r="I32" s="63"/>
      <c r="J32" s="8">
        <f t="shared" si="1"/>
        <v>0</v>
      </c>
      <c r="K32" s="8">
        <f t="shared" si="2"/>
        <v>0</v>
      </c>
      <c r="L32" s="65"/>
      <c r="M32" s="37">
        <f t="shared" si="3"/>
        <v>1054936.4128999999</v>
      </c>
      <c r="N32" s="8"/>
    </row>
    <row r="33" spans="1:14">
      <c r="A33" s="43">
        <v>30</v>
      </c>
      <c r="B33" s="212">
        <v>45868</v>
      </c>
      <c r="C33" s="64"/>
      <c r="D33" s="152"/>
      <c r="E33" s="258"/>
      <c r="F33" s="365"/>
      <c r="G33" s="8">
        <f t="shared" si="0"/>
        <v>0</v>
      </c>
      <c r="H33" s="62"/>
      <c r="I33" s="63"/>
      <c r="J33" s="8">
        <f t="shared" si="1"/>
        <v>0</v>
      </c>
      <c r="K33" s="8">
        <f t="shared" si="2"/>
        <v>0</v>
      </c>
      <c r="L33" s="65"/>
      <c r="M33" s="37">
        <f t="shared" si="3"/>
        <v>1054936.4128999999</v>
      </c>
      <c r="N33" s="8"/>
    </row>
    <row r="34" spans="1:14">
      <c r="A34" s="189">
        <v>31</v>
      </c>
      <c r="B34" s="212">
        <v>45869</v>
      </c>
      <c r="C34" s="64"/>
      <c r="D34" s="152"/>
      <c r="E34" s="258"/>
      <c r="F34" s="423"/>
      <c r="G34" s="8">
        <f t="shared" si="0"/>
        <v>0</v>
      </c>
      <c r="H34" s="62"/>
      <c r="I34" s="63"/>
      <c r="J34" s="8">
        <f t="shared" si="1"/>
        <v>0</v>
      </c>
      <c r="K34" s="8">
        <f t="shared" si="2"/>
        <v>0</v>
      </c>
      <c r="L34" s="65">
        <v>300000</v>
      </c>
      <c r="M34" s="37">
        <f t="shared" si="3"/>
        <v>754936.41289999988</v>
      </c>
      <c r="N34" s="8"/>
    </row>
    <row r="35" spans="1:14">
      <c r="A35" s="43">
        <v>32</v>
      </c>
      <c r="B35" s="212"/>
      <c r="C35" s="64"/>
      <c r="D35" s="152"/>
      <c r="E35" s="424"/>
      <c r="F35" s="423"/>
      <c r="G35" s="8">
        <f t="shared" si="0"/>
        <v>0</v>
      </c>
      <c r="H35" s="62"/>
      <c r="I35" s="63"/>
      <c r="J35" s="8">
        <f t="shared" si="1"/>
        <v>0</v>
      </c>
      <c r="K35" s="8">
        <f t="shared" si="2"/>
        <v>0</v>
      </c>
      <c r="L35" s="65"/>
      <c r="M35" s="37">
        <f t="shared" si="3"/>
        <v>754936.41289999988</v>
      </c>
      <c r="N35" s="8"/>
    </row>
    <row r="36" spans="1:14">
      <c r="A36" s="59"/>
      <c r="B36" s="59"/>
      <c r="C36" s="59"/>
      <c r="D36" s="59"/>
      <c r="E36" s="251">
        <f>SUM(E4:E35)</f>
        <v>10935</v>
      </c>
      <c r="F36" s="251"/>
      <c r="G36" s="60">
        <f>SUM(G4:G35)</f>
        <v>1141067.25</v>
      </c>
      <c r="H36" s="60">
        <f>SUM(H4:H35)</f>
        <v>53.76</v>
      </c>
      <c r="I36" s="60"/>
      <c r="J36" s="60">
        <f>SUM(J4:J35)</f>
        <v>6249.6</v>
      </c>
      <c r="K36" s="60">
        <f>SUM(K4:K35)</f>
        <v>1147316.8500000001</v>
      </c>
      <c r="L36" s="60">
        <f>SUM(L4:L35)</f>
        <v>600000</v>
      </c>
      <c r="M36" s="60"/>
      <c r="N36" s="60"/>
    </row>
  </sheetData>
  <mergeCells count="2">
    <mergeCell ref="A1:N1"/>
    <mergeCell ref="A3:L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993B-BBEE-4E4C-B551-5B5B42A84B3C}">
  <dimension ref="A1:U35"/>
  <sheetViews>
    <sheetView topLeftCell="A17" workbookViewId="0">
      <selection activeCell="M38" sqref="M38"/>
    </sheetView>
  </sheetViews>
  <sheetFormatPr defaultRowHeight="15"/>
  <cols>
    <col min="2" max="2" width="15" customWidth="1"/>
    <col min="4" max="4" width="13.28515625" bestFit="1" customWidth="1"/>
    <col min="7" max="7" width="11.85546875" bestFit="1" customWidth="1"/>
    <col min="11" max="12" width="13.5703125" bestFit="1" customWidth="1"/>
    <col min="14" max="14" width="11" bestFit="1" customWidth="1"/>
    <col min="21" max="21" width="15" bestFit="1" customWidth="1"/>
  </cols>
  <sheetData>
    <row r="1" spans="1:20" ht="15.75">
      <c r="A1" s="539" t="s">
        <v>190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</row>
    <row r="2" spans="1:20" ht="30.75">
      <c r="A2" s="95" t="s">
        <v>0</v>
      </c>
      <c r="B2" s="96" t="s">
        <v>163</v>
      </c>
      <c r="C2" s="96" t="s">
        <v>164</v>
      </c>
      <c r="D2" s="96" t="s">
        <v>186</v>
      </c>
      <c r="E2" s="249" t="s">
        <v>166</v>
      </c>
      <c r="F2" s="249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135" t="s">
        <v>171</v>
      </c>
      <c r="M2" s="138" t="s">
        <v>187</v>
      </c>
      <c r="N2" s="98" t="s">
        <v>173</v>
      </c>
    </row>
    <row r="3" spans="1:20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2"/>
      <c r="M3" s="143">
        <v>0</v>
      </c>
      <c r="N3" s="149"/>
    </row>
    <row r="4" spans="1:20">
      <c r="A4" s="189">
        <v>1</v>
      </c>
      <c r="B4" s="212">
        <v>45839</v>
      </c>
      <c r="C4" s="64"/>
      <c r="D4" s="152"/>
      <c r="E4" s="152"/>
      <c r="F4" s="365"/>
      <c r="G4" s="8">
        <f t="shared" ref="G4:G34" si="0">E4*F4</f>
        <v>0</v>
      </c>
      <c r="H4" s="258"/>
      <c r="I4" s="286"/>
      <c r="J4" s="8">
        <f>H4*I4</f>
        <v>0</v>
      </c>
      <c r="K4" s="8">
        <f>G4+J4</f>
        <v>0</v>
      </c>
      <c r="L4" s="8">
        <f>H4+K4</f>
        <v>0</v>
      </c>
      <c r="M4" s="37">
        <f>M3+K4-L4</f>
        <v>0</v>
      </c>
      <c r="N4" s="8"/>
    </row>
    <row r="5" spans="1:20">
      <c r="A5" s="43">
        <v>2</v>
      </c>
      <c r="B5" s="212">
        <v>45840</v>
      </c>
      <c r="C5" s="64"/>
      <c r="D5" s="152"/>
      <c r="E5" s="258">
        <v>190.66</v>
      </c>
      <c r="F5" s="365">
        <v>104.9</v>
      </c>
      <c r="G5" s="8">
        <f t="shared" si="0"/>
        <v>20000.234</v>
      </c>
      <c r="H5" s="258"/>
      <c r="I5" s="286"/>
      <c r="J5" s="8">
        <f t="shared" ref="J5:J34" si="1">H5*I5</f>
        <v>0</v>
      </c>
      <c r="K5" s="8">
        <f t="shared" ref="K5:L34" si="2">G5+J5</f>
        <v>20000.234</v>
      </c>
      <c r="L5" s="469">
        <f t="shared" si="2"/>
        <v>20000.234</v>
      </c>
      <c r="M5" s="37">
        <f t="shared" ref="M5:M33" si="3">M4+K5-L5</f>
        <v>0</v>
      </c>
      <c r="N5" s="8" t="s">
        <v>189</v>
      </c>
      <c r="S5">
        <v>185.65</v>
      </c>
    </row>
    <row r="6" spans="1:20">
      <c r="A6" s="43">
        <v>3</v>
      </c>
      <c r="B6" s="212">
        <v>45841</v>
      </c>
      <c r="C6" s="64"/>
      <c r="D6" s="152"/>
      <c r="E6" s="258">
        <v>285.99</v>
      </c>
      <c r="F6" s="365">
        <v>104.9</v>
      </c>
      <c r="G6" s="8">
        <f t="shared" si="0"/>
        <v>30000.351000000002</v>
      </c>
      <c r="H6" s="258"/>
      <c r="I6" s="286"/>
      <c r="J6" s="8">
        <f t="shared" si="1"/>
        <v>0</v>
      </c>
      <c r="K6" s="8">
        <f t="shared" si="2"/>
        <v>30000.351000000002</v>
      </c>
      <c r="L6" s="8">
        <f t="shared" si="2"/>
        <v>30000.351000000002</v>
      </c>
      <c r="M6" s="37">
        <f t="shared" si="3"/>
        <v>0</v>
      </c>
      <c r="N6" s="8" t="s">
        <v>189</v>
      </c>
      <c r="S6">
        <v>5</v>
      </c>
    </row>
    <row r="7" spans="1:20">
      <c r="A7" s="43">
        <v>4</v>
      </c>
      <c r="B7" s="212">
        <v>45842</v>
      </c>
      <c r="C7" s="64"/>
      <c r="D7" s="152"/>
      <c r="E7" s="258"/>
      <c r="F7" s="365"/>
      <c r="G7" s="8">
        <f t="shared" si="0"/>
        <v>0</v>
      </c>
      <c r="H7" s="258"/>
      <c r="I7" s="286"/>
      <c r="J7" s="8">
        <f t="shared" si="1"/>
        <v>0</v>
      </c>
      <c r="K7" s="8">
        <f t="shared" si="2"/>
        <v>0</v>
      </c>
      <c r="L7" s="8">
        <f t="shared" si="2"/>
        <v>0</v>
      </c>
      <c r="M7" s="37">
        <f t="shared" si="3"/>
        <v>0</v>
      </c>
      <c r="N7" s="8"/>
      <c r="S7">
        <v>95.33</v>
      </c>
    </row>
    <row r="8" spans="1:20">
      <c r="A8" s="43">
        <v>5</v>
      </c>
      <c r="B8" s="212">
        <v>45843</v>
      </c>
      <c r="C8" s="64"/>
      <c r="D8" s="152"/>
      <c r="E8" s="258"/>
      <c r="F8" s="365"/>
      <c r="G8" s="8">
        <f t="shared" si="0"/>
        <v>0</v>
      </c>
      <c r="H8" s="258"/>
      <c r="I8" s="286"/>
      <c r="J8" s="8">
        <f t="shared" si="1"/>
        <v>0</v>
      </c>
      <c r="K8" s="8">
        <f t="shared" si="2"/>
        <v>0</v>
      </c>
      <c r="L8" s="8">
        <f t="shared" si="2"/>
        <v>0</v>
      </c>
      <c r="M8" s="37">
        <f t="shared" si="3"/>
        <v>0</v>
      </c>
      <c r="N8" s="8"/>
    </row>
    <row r="9" spans="1:20">
      <c r="A9" s="43">
        <v>6</v>
      </c>
      <c r="B9" s="212">
        <v>45844</v>
      </c>
      <c r="C9" s="64"/>
      <c r="D9" s="152"/>
      <c r="E9" s="258"/>
      <c r="F9" s="365"/>
      <c r="G9" s="8">
        <f t="shared" si="0"/>
        <v>0</v>
      </c>
      <c r="H9" s="258"/>
      <c r="I9" s="286"/>
      <c r="J9" s="8">
        <f t="shared" si="1"/>
        <v>0</v>
      </c>
      <c r="K9" s="8">
        <f t="shared" si="2"/>
        <v>0</v>
      </c>
      <c r="L9" s="65">
        <v>0</v>
      </c>
      <c r="M9" s="37">
        <f t="shared" si="3"/>
        <v>0</v>
      </c>
      <c r="N9" s="8"/>
      <c r="T9" s="19"/>
    </row>
    <row r="10" spans="1:20">
      <c r="A10" s="43">
        <v>7</v>
      </c>
      <c r="B10" s="212">
        <v>45845</v>
      </c>
      <c r="C10" s="64"/>
      <c r="D10" s="152"/>
      <c r="E10" s="258"/>
      <c r="F10" s="365"/>
      <c r="G10" s="8">
        <f t="shared" si="0"/>
        <v>0</v>
      </c>
      <c r="H10" s="258"/>
      <c r="I10" s="286"/>
      <c r="J10" s="8">
        <f t="shared" si="1"/>
        <v>0</v>
      </c>
      <c r="K10" s="8">
        <f t="shared" si="2"/>
        <v>0</v>
      </c>
      <c r="L10" s="65">
        <v>0</v>
      </c>
      <c r="M10" s="37">
        <f t="shared" si="3"/>
        <v>0</v>
      </c>
      <c r="N10" s="8"/>
    </row>
    <row r="11" spans="1:20">
      <c r="A11" s="43">
        <v>8</v>
      </c>
      <c r="B11" s="212">
        <v>45846</v>
      </c>
      <c r="C11" s="64"/>
      <c r="D11" s="152"/>
      <c r="E11" s="258">
        <v>476.64</v>
      </c>
      <c r="F11" s="365">
        <v>104.9</v>
      </c>
      <c r="G11" s="469">
        <f t="shared" si="0"/>
        <v>49999.536</v>
      </c>
      <c r="H11" s="258"/>
      <c r="I11" s="286"/>
      <c r="J11" s="8">
        <f t="shared" si="1"/>
        <v>0</v>
      </c>
      <c r="K11" s="469">
        <f t="shared" si="2"/>
        <v>49999.536</v>
      </c>
      <c r="L11" s="469">
        <f t="shared" si="2"/>
        <v>49999.536</v>
      </c>
      <c r="M11" s="37">
        <f t="shared" si="3"/>
        <v>0</v>
      </c>
      <c r="N11" s="8" t="s">
        <v>189</v>
      </c>
    </row>
    <row r="12" spans="1:20">
      <c r="A12" s="43">
        <v>9</v>
      </c>
      <c r="B12" s="212">
        <v>45847</v>
      </c>
      <c r="C12" s="64"/>
      <c r="D12" s="152"/>
      <c r="E12" s="258"/>
      <c r="F12" s="365"/>
      <c r="G12" s="8">
        <f t="shared" si="0"/>
        <v>0</v>
      </c>
      <c r="H12" s="258"/>
      <c r="I12" s="286"/>
      <c r="J12" s="8">
        <f t="shared" si="1"/>
        <v>0</v>
      </c>
      <c r="K12" s="8">
        <f t="shared" si="2"/>
        <v>0</v>
      </c>
      <c r="L12" s="65">
        <v>0</v>
      </c>
      <c r="M12" s="37">
        <f t="shared" si="3"/>
        <v>0</v>
      </c>
      <c r="N12" s="8"/>
    </row>
    <row r="13" spans="1:20">
      <c r="A13" s="43">
        <v>10</v>
      </c>
      <c r="B13" s="212">
        <v>45848</v>
      </c>
      <c r="C13" s="64"/>
      <c r="D13" s="152"/>
      <c r="E13" s="258">
        <v>476.64</v>
      </c>
      <c r="F13" s="365">
        <v>104.9</v>
      </c>
      <c r="G13" s="469">
        <f t="shared" si="0"/>
        <v>49999.536</v>
      </c>
      <c r="H13" s="258"/>
      <c r="I13" s="286"/>
      <c r="J13" s="8">
        <f t="shared" si="1"/>
        <v>0</v>
      </c>
      <c r="K13" s="469">
        <f t="shared" si="2"/>
        <v>49999.536</v>
      </c>
      <c r="L13" s="469">
        <f t="shared" si="2"/>
        <v>49999.536</v>
      </c>
      <c r="M13" s="37">
        <f t="shared" si="3"/>
        <v>0</v>
      </c>
      <c r="N13" s="8" t="s">
        <v>189</v>
      </c>
    </row>
    <row r="14" spans="1:20">
      <c r="A14" s="43">
        <v>11</v>
      </c>
      <c r="B14" s="212">
        <v>45849</v>
      </c>
      <c r="C14" s="64"/>
      <c r="D14" s="152"/>
      <c r="E14" s="258"/>
      <c r="F14" s="365"/>
      <c r="G14" s="8">
        <f t="shared" si="0"/>
        <v>0</v>
      </c>
      <c r="H14" s="258"/>
      <c r="I14" s="286"/>
      <c r="J14" s="8">
        <f t="shared" si="1"/>
        <v>0</v>
      </c>
      <c r="K14" s="8">
        <f t="shared" si="2"/>
        <v>0</v>
      </c>
      <c r="L14" s="8">
        <f t="shared" si="2"/>
        <v>0</v>
      </c>
      <c r="M14" s="37">
        <f t="shared" si="3"/>
        <v>0</v>
      </c>
      <c r="N14" s="8"/>
    </row>
    <row r="15" spans="1:20">
      <c r="A15" s="43">
        <v>12</v>
      </c>
      <c r="B15" s="212">
        <v>45850</v>
      </c>
      <c r="C15" s="64"/>
      <c r="D15" s="152"/>
      <c r="E15" s="258">
        <v>190.65</v>
      </c>
      <c r="F15" s="365">
        <v>104.9</v>
      </c>
      <c r="G15" s="469">
        <f t="shared" si="0"/>
        <v>19999.185000000001</v>
      </c>
      <c r="H15" s="258"/>
      <c r="I15" s="286"/>
      <c r="J15" s="8">
        <f t="shared" si="1"/>
        <v>0</v>
      </c>
      <c r="K15" s="469">
        <f t="shared" si="2"/>
        <v>19999.185000000001</v>
      </c>
      <c r="L15" s="469">
        <f t="shared" si="2"/>
        <v>19999.185000000001</v>
      </c>
      <c r="M15" s="37">
        <f t="shared" si="3"/>
        <v>0</v>
      </c>
      <c r="N15" s="8" t="s">
        <v>189</v>
      </c>
    </row>
    <row r="16" spans="1:20">
      <c r="A16" s="43">
        <v>13</v>
      </c>
      <c r="B16" s="212">
        <v>45851</v>
      </c>
      <c r="C16" s="64"/>
      <c r="D16" s="152"/>
      <c r="E16" s="258">
        <v>95.33</v>
      </c>
      <c r="F16" s="365">
        <v>104.9</v>
      </c>
      <c r="G16" s="8">
        <f t="shared" si="0"/>
        <v>10000.117</v>
      </c>
      <c r="H16" s="258"/>
      <c r="I16" s="286"/>
      <c r="J16" s="8">
        <f t="shared" si="1"/>
        <v>0</v>
      </c>
      <c r="K16" s="8">
        <f t="shared" si="2"/>
        <v>10000.117</v>
      </c>
      <c r="L16" s="8">
        <f t="shared" si="2"/>
        <v>10000.117</v>
      </c>
      <c r="M16" s="37">
        <f t="shared" si="3"/>
        <v>0</v>
      </c>
      <c r="N16" s="8" t="s">
        <v>189</v>
      </c>
    </row>
    <row r="17" spans="1:21">
      <c r="A17" s="43">
        <v>14</v>
      </c>
      <c r="B17" s="212">
        <v>45852</v>
      </c>
      <c r="C17" s="64"/>
      <c r="D17" s="152"/>
      <c r="E17" s="258">
        <v>190.65</v>
      </c>
      <c r="F17" s="365">
        <v>104.9</v>
      </c>
      <c r="G17" s="8">
        <f t="shared" si="0"/>
        <v>19999.185000000001</v>
      </c>
      <c r="H17" s="258"/>
      <c r="I17" s="286"/>
      <c r="J17" s="8">
        <f t="shared" si="1"/>
        <v>0</v>
      </c>
      <c r="K17" s="8">
        <f t="shared" si="2"/>
        <v>19999.185000000001</v>
      </c>
      <c r="L17" s="8">
        <f t="shared" si="2"/>
        <v>19999.185000000001</v>
      </c>
      <c r="M17" s="37">
        <f t="shared" si="3"/>
        <v>0</v>
      </c>
      <c r="N17" s="8" t="s">
        <v>189</v>
      </c>
      <c r="U17" s="19"/>
    </row>
    <row r="18" spans="1:21">
      <c r="A18" s="43">
        <v>15</v>
      </c>
      <c r="B18" s="212">
        <v>45853</v>
      </c>
      <c r="C18" s="64"/>
      <c r="D18" s="152"/>
      <c r="E18" s="258">
        <v>0</v>
      </c>
      <c r="F18" s="365">
        <v>0</v>
      </c>
      <c r="G18" s="8">
        <f t="shared" si="0"/>
        <v>0</v>
      </c>
      <c r="H18" s="258"/>
      <c r="I18" s="286"/>
      <c r="J18" s="8">
        <f t="shared" si="1"/>
        <v>0</v>
      </c>
      <c r="K18" s="469">
        <f t="shared" si="2"/>
        <v>0</v>
      </c>
      <c r="L18" s="469">
        <f t="shared" si="2"/>
        <v>0</v>
      </c>
      <c r="M18" s="37">
        <f t="shared" si="3"/>
        <v>0</v>
      </c>
      <c r="N18" s="8"/>
    </row>
    <row r="19" spans="1:21">
      <c r="A19" s="43">
        <v>16</v>
      </c>
      <c r="B19" s="212">
        <v>45854</v>
      </c>
      <c r="C19" s="64"/>
      <c r="D19" s="152"/>
      <c r="E19" s="258">
        <v>190.66</v>
      </c>
      <c r="F19" s="365">
        <v>104.9</v>
      </c>
      <c r="G19" s="8">
        <f t="shared" ref="G19" si="4">E19*F19</f>
        <v>20000.234</v>
      </c>
      <c r="H19" s="258"/>
      <c r="I19" s="286"/>
      <c r="J19" s="8">
        <f t="shared" si="1"/>
        <v>0</v>
      </c>
      <c r="K19" s="469">
        <f t="shared" ref="K19" si="5">G19+J19</f>
        <v>20000.234</v>
      </c>
      <c r="L19" s="469">
        <f t="shared" ref="L19" si="6">H19+K19</f>
        <v>20000.234</v>
      </c>
      <c r="M19" s="37">
        <f t="shared" si="3"/>
        <v>0</v>
      </c>
      <c r="N19" s="8" t="s">
        <v>189</v>
      </c>
    </row>
    <row r="20" spans="1:21">
      <c r="A20" s="43">
        <v>17</v>
      </c>
      <c r="B20" s="212">
        <v>45855</v>
      </c>
      <c r="C20" s="64"/>
      <c r="D20" s="152"/>
      <c r="E20" s="258">
        <v>285.99</v>
      </c>
      <c r="F20" s="365">
        <v>104.9</v>
      </c>
      <c r="G20" s="8">
        <f t="shared" si="0"/>
        <v>30000.351000000002</v>
      </c>
      <c r="H20" s="258"/>
      <c r="I20" s="286"/>
      <c r="J20" s="8">
        <f t="shared" si="1"/>
        <v>0</v>
      </c>
      <c r="K20" s="469">
        <f t="shared" si="2"/>
        <v>30000.351000000002</v>
      </c>
      <c r="L20" s="469">
        <f t="shared" si="2"/>
        <v>30000.351000000002</v>
      </c>
      <c r="M20" s="37">
        <f t="shared" si="3"/>
        <v>0</v>
      </c>
      <c r="N20" s="8" t="s">
        <v>189</v>
      </c>
    </row>
    <row r="21" spans="1:21">
      <c r="A21" s="43">
        <v>18</v>
      </c>
      <c r="B21" s="212">
        <v>45856</v>
      </c>
      <c r="C21" s="64"/>
      <c r="D21" s="152"/>
      <c r="E21" s="258"/>
      <c r="F21" s="365"/>
      <c r="G21" s="8">
        <f t="shared" si="0"/>
        <v>0</v>
      </c>
      <c r="H21" s="258"/>
      <c r="I21" s="286"/>
      <c r="J21" s="8">
        <f t="shared" si="1"/>
        <v>0</v>
      </c>
      <c r="K21" s="8">
        <f t="shared" si="2"/>
        <v>0</v>
      </c>
      <c r="L21" s="8">
        <f t="shared" si="2"/>
        <v>0</v>
      </c>
      <c r="M21" s="37">
        <f t="shared" si="3"/>
        <v>0</v>
      </c>
      <c r="N21" s="8"/>
    </row>
    <row r="22" spans="1:21">
      <c r="A22" s="43">
        <v>19</v>
      </c>
      <c r="B22" s="212">
        <v>45857</v>
      </c>
      <c r="C22" s="64"/>
      <c r="D22" s="152"/>
      <c r="E22" s="258"/>
      <c r="F22" s="365"/>
      <c r="G22" s="8">
        <f t="shared" si="0"/>
        <v>0</v>
      </c>
      <c r="H22" s="258"/>
      <c r="I22" s="286"/>
      <c r="J22" s="8">
        <f t="shared" si="1"/>
        <v>0</v>
      </c>
      <c r="K22" s="8">
        <f t="shared" si="2"/>
        <v>0</v>
      </c>
      <c r="L22" s="8">
        <f t="shared" si="2"/>
        <v>0</v>
      </c>
      <c r="M22" s="37">
        <f t="shared" si="3"/>
        <v>0</v>
      </c>
      <c r="N22" s="8"/>
    </row>
    <row r="23" spans="1:21">
      <c r="A23" s="43">
        <v>20</v>
      </c>
      <c r="B23" s="212">
        <v>45858</v>
      </c>
      <c r="C23" s="64"/>
      <c r="D23" s="152"/>
      <c r="E23" s="258"/>
      <c r="F23" s="365"/>
      <c r="G23" s="8">
        <f t="shared" si="0"/>
        <v>0</v>
      </c>
      <c r="H23" s="258"/>
      <c r="I23" s="286"/>
      <c r="J23" s="8">
        <f t="shared" si="1"/>
        <v>0</v>
      </c>
      <c r="K23" s="8">
        <f t="shared" si="2"/>
        <v>0</v>
      </c>
      <c r="L23" s="8">
        <f t="shared" si="2"/>
        <v>0</v>
      </c>
      <c r="M23" s="37">
        <f t="shared" si="3"/>
        <v>0</v>
      </c>
      <c r="N23" s="8"/>
    </row>
    <row r="24" spans="1:21">
      <c r="A24" s="43">
        <v>21</v>
      </c>
      <c r="B24" s="212">
        <v>45859</v>
      </c>
      <c r="C24" s="64"/>
      <c r="D24" s="152"/>
      <c r="E24" s="258"/>
      <c r="F24" s="365"/>
      <c r="G24" s="8">
        <f t="shared" si="0"/>
        <v>0</v>
      </c>
      <c r="H24" s="258"/>
      <c r="I24" s="286"/>
      <c r="J24" s="8">
        <f t="shared" si="1"/>
        <v>0</v>
      </c>
      <c r="K24" s="8">
        <f t="shared" si="2"/>
        <v>0</v>
      </c>
      <c r="L24" s="8">
        <f t="shared" si="2"/>
        <v>0</v>
      </c>
      <c r="M24" s="37">
        <f t="shared" si="3"/>
        <v>0</v>
      </c>
      <c r="N24" s="8"/>
    </row>
    <row r="25" spans="1:21">
      <c r="A25" s="43">
        <v>22</v>
      </c>
      <c r="B25" s="212">
        <v>45860</v>
      </c>
      <c r="C25" s="64"/>
      <c r="D25" s="152"/>
      <c r="E25" s="258">
        <v>190.66</v>
      </c>
      <c r="F25" s="365">
        <v>104.9</v>
      </c>
      <c r="G25" s="8">
        <f t="shared" si="0"/>
        <v>20000.234</v>
      </c>
      <c r="H25" s="258"/>
      <c r="I25" s="286"/>
      <c r="J25" s="8">
        <f t="shared" si="1"/>
        <v>0</v>
      </c>
      <c r="K25" s="8">
        <f t="shared" si="2"/>
        <v>20000.234</v>
      </c>
      <c r="L25" s="8">
        <f t="shared" si="2"/>
        <v>20000.234</v>
      </c>
      <c r="M25" s="37">
        <f t="shared" si="3"/>
        <v>0</v>
      </c>
      <c r="N25" s="8" t="s">
        <v>189</v>
      </c>
    </row>
    <row r="26" spans="1:21">
      <c r="A26" s="43">
        <v>23</v>
      </c>
      <c r="B26" s="212">
        <v>45861</v>
      </c>
      <c r="C26" s="64"/>
      <c r="D26" s="152"/>
      <c r="E26" s="258">
        <v>190.66</v>
      </c>
      <c r="F26" s="365">
        <v>104.9</v>
      </c>
      <c r="G26" s="8">
        <f t="shared" si="0"/>
        <v>20000.234</v>
      </c>
      <c r="H26" s="258"/>
      <c r="I26" s="286"/>
      <c r="J26" s="8">
        <f t="shared" si="1"/>
        <v>0</v>
      </c>
      <c r="K26" s="8">
        <f t="shared" si="2"/>
        <v>20000.234</v>
      </c>
      <c r="L26" s="65">
        <f t="shared" ref="L18:L35" si="7">+K26</f>
        <v>20000.234</v>
      </c>
      <c r="M26" s="37">
        <f t="shared" si="3"/>
        <v>0</v>
      </c>
      <c r="N26" s="8" t="s">
        <v>189</v>
      </c>
    </row>
    <row r="27" spans="1:21">
      <c r="A27" s="43">
        <v>24</v>
      </c>
      <c r="B27" s="212">
        <v>45862</v>
      </c>
      <c r="C27" s="64"/>
      <c r="D27" s="152"/>
      <c r="E27" s="258"/>
      <c r="F27" s="365"/>
      <c r="G27" s="8">
        <f t="shared" si="0"/>
        <v>0</v>
      </c>
      <c r="H27" s="258"/>
      <c r="I27" s="286"/>
      <c r="J27" s="8">
        <f t="shared" si="1"/>
        <v>0</v>
      </c>
      <c r="K27" s="8">
        <f t="shared" si="2"/>
        <v>0</v>
      </c>
      <c r="L27" s="65">
        <f t="shared" si="7"/>
        <v>0</v>
      </c>
      <c r="M27" s="37">
        <f t="shared" si="3"/>
        <v>0</v>
      </c>
      <c r="N27" s="8"/>
    </row>
    <row r="28" spans="1:21">
      <c r="A28" s="214">
        <v>25</v>
      </c>
      <c r="B28" s="212">
        <v>45863</v>
      </c>
      <c r="C28" s="64"/>
      <c r="D28" s="152"/>
      <c r="E28">
        <v>95.33</v>
      </c>
      <c r="F28" s="365">
        <v>104.9</v>
      </c>
      <c r="G28" s="8">
        <f t="shared" si="0"/>
        <v>10000.117</v>
      </c>
      <c r="H28" s="258"/>
      <c r="I28" s="286"/>
      <c r="J28" s="8">
        <f t="shared" si="1"/>
        <v>0</v>
      </c>
      <c r="K28" s="8">
        <f t="shared" si="2"/>
        <v>10000.117</v>
      </c>
      <c r="L28" s="65">
        <f t="shared" si="7"/>
        <v>10000.117</v>
      </c>
      <c r="M28" s="37">
        <f t="shared" si="3"/>
        <v>0</v>
      </c>
      <c r="N28" s="8" t="s">
        <v>189</v>
      </c>
    </row>
    <row r="29" spans="1:21">
      <c r="A29" s="214">
        <v>26</v>
      </c>
      <c r="B29" s="212">
        <v>45864</v>
      </c>
      <c r="C29" s="64"/>
      <c r="D29" s="152"/>
      <c r="F29" s="365"/>
      <c r="G29" s="8">
        <f t="shared" si="0"/>
        <v>0</v>
      </c>
      <c r="H29" s="62"/>
      <c r="I29" s="63"/>
      <c r="J29" s="8">
        <f t="shared" si="1"/>
        <v>0</v>
      </c>
      <c r="K29" s="8">
        <f t="shared" si="2"/>
        <v>0</v>
      </c>
      <c r="L29" s="65">
        <f t="shared" si="7"/>
        <v>0</v>
      </c>
      <c r="M29" s="37">
        <f t="shared" si="3"/>
        <v>0</v>
      </c>
      <c r="N29" s="8"/>
    </row>
    <row r="30" spans="1:21">
      <c r="A30" s="214">
        <v>27</v>
      </c>
      <c r="B30" s="212">
        <v>45865</v>
      </c>
      <c r="C30" s="64"/>
      <c r="D30" s="152"/>
      <c r="E30" s="250"/>
      <c r="F30" s="250"/>
      <c r="G30" s="8">
        <f t="shared" si="0"/>
        <v>0</v>
      </c>
      <c r="H30" s="62"/>
      <c r="I30" s="63"/>
      <c r="J30" s="8">
        <f t="shared" si="1"/>
        <v>0</v>
      </c>
      <c r="K30" s="8">
        <f t="shared" si="2"/>
        <v>0</v>
      </c>
      <c r="L30" s="65">
        <f t="shared" si="7"/>
        <v>0</v>
      </c>
      <c r="M30" s="37">
        <f t="shared" si="3"/>
        <v>0</v>
      </c>
      <c r="N30" s="8"/>
    </row>
    <row r="31" spans="1:21">
      <c r="A31" s="214">
        <v>28</v>
      </c>
      <c r="B31" s="212">
        <v>45866</v>
      </c>
      <c r="C31" s="64"/>
      <c r="D31" s="152"/>
      <c r="E31" s="250"/>
      <c r="F31" s="250"/>
      <c r="G31" s="8">
        <f t="shared" si="0"/>
        <v>0</v>
      </c>
      <c r="H31" s="62"/>
      <c r="I31" s="63"/>
      <c r="J31" s="8">
        <f t="shared" si="1"/>
        <v>0</v>
      </c>
      <c r="K31" s="8">
        <f t="shared" si="2"/>
        <v>0</v>
      </c>
      <c r="L31" s="65">
        <f t="shared" si="7"/>
        <v>0</v>
      </c>
      <c r="M31" s="37">
        <f t="shared" si="3"/>
        <v>0</v>
      </c>
      <c r="N31" s="8"/>
    </row>
    <row r="32" spans="1:21">
      <c r="A32" s="215">
        <v>29</v>
      </c>
      <c r="B32" s="212">
        <v>45867</v>
      </c>
      <c r="C32" s="64"/>
      <c r="D32" s="152"/>
      <c r="E32" s="250"/>
      <c r="F32" s="250"/>
      <c r="G32" s="8">
        <f t="shared" si="0"/>
        <v>0</v>
      </c>
      <c r="H32" s="62"/>
      <c r="I32" s="63"/>
      <c r="J32" s="8">
        <f t="shared" si="1"/>
        <v>0</v>
      </c>
      <c r="K32" s="8">
        <f t="shared" si="2"/>
        <v>0</v>
      </c>
      <c r="L32" s="65">
        <f t="shared" si="7"/>
        <v>0</v>
      </c>
      <c r="M32" s="37">
        <f t="shared" si="3"/>
        <v>0</v>
      </c>
      <c r="N32" s="8"/>
    </row>
    <row r="33" spans="1:14">
      <c r="A33" s="215">
        <v>30</v>
      </c>
      <c r="B33" s="212">
        <v>45868</v>
      </c>
      <c r="C33" s="64"/>
      <c r="D33" s="152"/>
      <c r="E33" s="250"/>
      <c r="F33" s="250"/>
      <c r="G33" s="8">
        <f t="shared" si="0"/>
        <v>0</v>
      </c>
      <c r="H33" s="62"/>
      <c r="I33" s="63"/>
      <c r="J33" s="8">
        <f t="shared" si="1"/>
        <v>0</v>
      </c>
      <c r="K33" s="8">
        <f t="shared" si="2"/>
        <v>0</v>
      </c>
      <c r="L33" s="65">
        <f t="shared" si="7"/>
        <v>0</v>
      </c>
      <c r="M33" s="37">
        <f t="shared" si="3"/>
        <v>0</v>
      </c>
      <c r="N33" s="8"/>
    </row>
    <row r="34" spans="1:14">
      <c r="A34" s="215">
        <v>31</v>
      </c>
      <c r="B34" s="212"/>
      <c r="C34" s="64"/>
      <c r="D34" s="152"/>
      <c r="E34" s="250"/>
      <c r="F34" s="250"/>
      <c r="G34" s="8">
        <f t="shared" si="0"/>
        <v>0</v>
      </c>
      <c r="H34" s="62"/>
      <c r="I34" s="63"/>
      <c r="J34" s="8">
        <f t="shared" si="1"/>
        <v>0</v>
      </c>
      <c r="K34" s="8">
        <f t="shared" si="2"/>
        <v>0</v>
      </c>
      <c r="L34" s="65">
        <f t="shared" si="7"/>
        <v>0</v>
      </c>
      <c r="M34" s="65">
        <v>0</v>
      </c>
      <c r="N34" s="8"/>
    </row>
    <row r="35" spans="1:14">
      <c r="A35" s="59"/>
      <c r="B35" s="59"/>
      <c r="C35" s="59"/>
      <c r="D35" s="59"/>
      <c r="E35" s="251">
        <f>SUM(E4:E34)</f>
        <v>2859.8599999999997</v>
      </c>
      <c r="F35" s="251"/>
      <c r="G35" s="60">
        <f>SUM(G4:G34)</f>
        <v>299999.31400000001</v>
      </c>
      <c r="H35" s="60">
        <f>SUM(H4:H34)</f>
        <v>0</v>
      </c>
      <c r="I35" s="60"/>
      <c r="J35" s="60">
        <f>SUM(J4:J34)</f>
        <v>0</v>
      </c>
      <c r="K35" s="60">
        <f>SUM(K4:K34)</f>
        <v>299999.31400000001</v>
      </c>
      <c r="L35" s="60">
        <f>SUM(L4:L34)</f>
        <v>299999.31400000001</v>
      </c>
      <c r="M35" s="60"/>
      <c r="N35" s="60"/>
    </row>
  </sheetData>
  <mergeCells count="2">
    <mergeCell ref="A1:N1"/>
    <mergeCell ref="A3:L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topLeftCell="A13" workbookViewId="0">
      <selection activeCell="L30" sqref="L30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539" t="s">
        <v>83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79"/>
    </row>
    <row r="2" spans="1:18">
      <c r="A2" s="95" t="s">
        <v>0</v>
      </c>
      <c r="B2" s="96" t="s">
        <v>163</v>
      </c>
      <c r="C2" s="96" t="s">
        <v>164</v>
      </c>
      <c r="D2" s="96" t="s">
        <v>186</v>
      </c>
      <c r="E2" s="249" t="s">
        <v>166</v>
      </c>
      <c r="F2" s="249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135" t="s">
        <v>171</v>
      </c>
      <c r="M2" s="138" t="s">
        <v>187</v>
      </c>
      <c r="N2" s="98" t="s">
        <v>173</v>
      </c>
      <c r="O2" s="56"/>
    </row>
    <row r="3" spans="1:18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2"/>
      <c r="M3" s="143">
        <v>0</v>
      </c>
      <c r="N3" s="149"/>
      <c r="O3" s="56"/>
    </row>
    <row r="4" spans="1:18">
      <c r="A4" s="189">
        <v>1</v>
      </c>
      <c r="B4" s="212">
        <v>45839</v>
      </c>
      <c r="C4" s="64"/>
      <c r="D4" s="152"/>
      <c r="E4" s="250"/>
      <c r="F4" s="250"/>
      <c r="G4" s="8">
        <f t="shared" ref="G4" si="0">E4*F4</f>
        <v>0</v>
      </c>
      <c r="H4" s="62">
        <v>0</v>
      </c>
      <c r="I4" s="63">
        <v>0</v>
      </c>
      <c r="J4" s="8">
        <f>H4*I4</f>
        <v>0</v>
      </c>
      <c r="K4" s="8">
        <f>G4+J4</f>
        <v>0</v>
      </c>
      <c r="L4" s="65">
        <f>+K4</f>
        <v>0</v>
      </c>
      <c r="M4" s="65">
        <v>0</v>
      </c>
      <c r="N4" s="8"/>
    </row>
    <row r="5" spans="1:18">
      <c r="A5" s="43">
        <v>2</v>
      </c>
      <c r="B5" s="212">
        <v>45840</v>
      </c>
      <c r="C5" s="64"/>
      <c r="D5" s="152"/>
      <c r="E5" s="250"/>
      <c r="F5" s="250"/>
      <c r="G5" s="8">
        <f t="shared" ref="G5:G33" si="1">E5*F5</f>
        <v>0</v>
      </c>
      <c r="H5" s="62">
        <v>0</v>
      </c>
      <c r="I5" s="63">
        <v>0</v>
      </c>
      <c r="J5" s="8">
        <f t="shared" ref="J5:J33" si="2">H5*I5</f>
        <v>0</v>
      </c>
      <c r="K5" s="8">
        <f t="shared" ref="K5:K33" si="3">G5+J5</f>
        <v>0</v>
      </c>
      <c r="L5" s="65">
        <f t="shared" ref="L5:L33" si="4">+K5</f>
        <v>0</v>
      </c>
      <c r="M5" s="65">
        <v>0</v>
      </c>
      <c r="N5" s="8"/>
    </row>
    <row r="6" spans="1:18">
      <c r="A6" s="43">
        <v>3</v>
      </c>
      <c r="B6" s="212">
        <v>45841</v>
      </c>
      <c r="C6" s="64"/>
      <c r="D6" s="152"/>
      <c r="E6" s="250"/>
      <c r="F6" s="250"/>
      <c r="G6" s="8">
        <f t="shared" si="1"/>
        <v>0</v>
      </c>
      <c r="H6" s="62">
        <v>0</v>
      </c>
      <c r="I6" s="63">
        <v>0</v>
      </c>
      <c r="J6" s="8">
        <f t="shared" si="2"/>
        <v>0</v>
      </c>
      <c r="K6" s="8">
        <f t="shared" si="3"/>
        <v>0</v>
      </c>
      <c r="L6" s="65">
        <f t="shared" si="4"/>
        <v>0</v>
      </c>
      <c r="M6" s="65">
        <v>0</v>
      </c>
      <c r="N6" s="8"/>
    </row>
    <row r="7" spans="1:18">
      <c r="A7" s="43">
        <v>4</v>
      </c>
      <c r="B7" s="212">
        <v>45842</v>
      </c>
      <c r="C7" s="64"/>
      <c r="D7" s="152"/>
      <c r="E7" s="250"/>
      <c r="F7" s="250"/>
      <c r="G7" s="8">
        <f t="shared" si="1"/>
        <v>0</v>
      </c>
      <c r="H7" s="62">
        <v>0</v>
      </c>
      <c r="I7" s="63">
        <v>0</v>
      </c>
      <c r="J7" s="8">
        <f t="shared" si="2"/>
        <v>0</v>
      </c>
      <c r="K7" s="8">
        <f t="shared" si="3"/>
        <v>0</v>
      </c>
      <c r="L7" s="65">
        <f t="shared" si="4"/>
        <v>0</v>
      </c>
      <c r="M7" s="65">
        <v>0</v>
      </c>
      <c r="N7" s="8"/>
    </row>
    <row r="8" spans="1:18">
      <c r="A8" s="43">
        <v>5</v>
      </c>
      <c r="B8" s="212">
        <v>45843</v>
      </c>
      <c r="C8" s="64"/>
      <c r="D8" s="152"/>
      <c r="E8" s="250"/>
      <c r="F8" s="250"/>
      <c r="G8" s="8">
        <f t="shared" si="1"/>
        <v>0</v>
      </c>
      <c r="H8" s="62">
        <v>0</v>
      </c>
      <c r="I8" s="63">
        <v>0</v>
      </c>
      <c r="J8" s="8">
        <f t="shared" si="2"/>
        <v>0</v>
      </c>
      <c r="K8" s="8">
        <f t="shared" si="3"/>
        <v>0</v>
      </c>
      <c r="L8" s="65">
        <f t="shared" si="4"/>
        <v>0</v>
      </c>
      <c r="M8" s="65">
        <v>0</v>
      </c>
      <c r="N8" s="8"/>
      <c r="O8" s="66"/>
      <c r="R8" s="218"/>
    </row>
    <row r="9" spans="1:18">
      <c r="A9" s="43">
        <v>6</v>
      </c>
      <c r="B9" s="212">
        <v>45844</v>
      </c>
      <c r="C9" s="64"/>
      <c r="D9" s="152"/>
      <c r="E9" s="250">
        <v>37.857999999999997</v>
      </c>
      <c r="F9" s="250">
        <v>104.22</v>
      </c>
      <c r="G9" s="8">
        <f t="shared" si="1"/>
        <v>3945.5607599999998</v>
      </c>
      <c r="H9" s="62">
        <v>0</v>
      </c>
      <c r="I9" s="63">
        <v>0</v>
      </c>
      <c r="J9" s="8">
        <f t="shared" si="2"/>
        <v>0</v>
      </c>
      <c r="K9" s="8">
        <f t="shared" si="3"/>
        <v>3945.5607599999998</v>
      </c>
      <c r="L9" s="65">
        <f t="shared" si="4"/>
        <v>3945.5607599999998</v>
      </c>
      <c r="M9" s="65">
        <v>0</v>
      </c>
      <c r="N9" s="8"/>
      <c r="O9" s="66"/>
    </row>
    <row r="10" spans="1:18">
      <c r="A10" s="43">
        <v>7</v>
      </c>
      <c r="B10" s="212">
        <v>45845</v>
      </c>
      <c r="C10" s="64"/>
      <c r="D10" s="152"/>
      <c r="E10" s="250"/>
      <c r="F10" s="250"/>
      <c r="G10" s="8">
        <f t="shared" si="1"/>
        <v>0</v>
      </c>
      <c r="H10" s="62">
        <v>0</v>
      </c>
      <c r="I10" s="63">
        <v>0</v>
      </c>
      <c r="J10" s="8">
        <f t="shared" si="2"/>
        <v>0</v>
      </c>
      <c r="K10" s="8">
        <f t="shared" si="3"/>
        <v>0</v>
      </c>
      <c r="L10" s="65">
        <f t="shared" si="4"/>
        <v>0</v>
      </c>
      <c r="M10" s="65">
        <v>0</v>
      </c>
      <c r="N10" s="8"/>
      <c r="O10" s="66"/>
    </row>
    <row r="11" spans="1:18">
      <c r="A11" s="43">
        <v>8</v>
      </c>
      <c r="B11" s="212">
        <v>45846</v>
      </c>
      <c r="C11" s="64"/>
      <c r="D11" s="152"/>
      <c r="E11" s="250"/>
      <c r="F11" s="250"/>
      <c r="G11" s="8">
        <f t="shared" si="1"/>
        <v>0</v>
      </c>
      <c r="H11" s="62">
        <v>0</v>
      </c>
      <c r="I11" s="63">
        <v>0</v>
      </c>
      <c r="J11" s="8">
        <f t="shared" si="2"/>
        <v>0</v>
      </c>
      <c r="K11" s="8">
        <f t="shared" si="3"/>
        <v>0</v>
      </c>
      <c r="L11" s="65">
        <f t="shared" si="4"/>
        <v>0</v>
      </c>
      <c r="M11" s="65">
        <v>0</v>
      </c>
      <c r="N11" s="8"/>
      <c r="O11" s="66"/>
    </row>
    <row r="12" spans="1:18">
      <c r="A12" s="43">
        <v>9</v>
      </c>
      <c r="B12" s="212">
        <v>45847</v>
      </c>
      <c r="C12" s="64"/>
      <c r="D12" s="152"/>
      <c r="E12" s="250"/>
      <c r="F12" s="250"/>
      <c r="G12" s="8">
        <f t="shared" si="1"/>
        <v>0</v>
      </c>
      <c r="H12" s="62">
        <v>0</v>
      </c>
      <c r="I12" s="63">
        <v>0</v>
      </c>
      <c r="J12" s="8">
        <f t="shared" si="2"/>
        <v>0</v>
      </c>
      <c r="K12" s="8">
        <f t="shared" ref="K12:K18" si="5">G12+J12</f>
        <v>0</v>
      </c>
      <c r="L12" s="65">
        <f t="shared" ref="L12:L18" si="6">+K12</f>
        <v>0</v>
      </c>
      <c r="M12" s="65">
        <v>0</v>
      </c>
      <c r="N12" s="8"/>
      <c r="O12" s="66"/>
    </row>
    <row r="13" spans="1:18">
      <c r="A13" s="43">
        <v>10</v>
      </c>
      <c r="B13" s="212">
        <v>45848</v>
      </c>
      <c r="C13" s="64"/>
      <c r="D13" s="152"/>
      <c r="E13" s="250"/>
      <c r="F13" s="250"/>
      <c r="G13" s="8">
        <f t="shared" si="1"/>
        <v>0</v>
      </c>
      <c r="H13" s="62">
        <v>0</v>
      </c>
      <c r="I13" s="63">
        <v>0</v>
      </c>
      <c r="J13" s="8">
        <f t="shared" si="2"/>
        <v>0</v>
      </c>
      <c r="K13" s="8">
        <f t="shared" si="5"/>
        <v>0</v>
      </c>
      <c r="L13" s="65">
        <f t="shared" si="6"/>
        <v>0</v>
      </c>
      <c r="M13" s="65">
        <v>0</v>
      </c>
      <c r="N13" s="8"/>
      <c r="O13" s="66"/>
    </row>
    <row r="14" spans="1:18">
      <c r="A14" s="43">
        <v>11</v>
      </c>
      <c r="B14" s="212">
        <v>45849</v>
      </c>
      <c r="C14" s="64"/>
      <c r="D14" s="152"/>
      <c r="E14" s="250"/>
      <c r="F14" s="250"/>
      <c r="G14" s="8">
        <f t="shared" si="1"/>
        <v>0</v>
      </c>
      <c r="H14" s="62">
        <v>0</v>
      </c>
      <c r="I14" s="63">
        <v>0</v>
      </c>
      <c r="J14" s="8">
        <f t="shared" si="2"/>
        <v>0</v>
      </c>
      <c r="K14" s="8">
        <f t="shared" si="5"/>
        <v>0</v>
      </c>
      <c r="L14" s="65">
        <f t="shared" si="6"/>
        <v>0</v>
      </c>
      <c r="M14" s="65">
        <v>0</v>
      </c>
      <c r="N14" s="8"/>
      <c r="O14" s="66"/>
    </row>
    <row r="15" spans="1:18">
      <c r="A15" s="43">
        <v>12</v>
      </c>
      <c r="B15" s="212">
        <v>45850</v>
      </c>
      <c r="C15" s="64"/>
      <c r="D15" s="152"/>
      <c r="E15" s="250"/>
      <c r="F15" s="250"/>
      <c r="G15" s="8">
        <f t="shared" si="1"/>
        <v>0</v>
      </c>
      <c r="H15" s="62">
        <v>0</v>
      </c>
      <c r="I15" s="63">
        <v>0</v>
      </c>
      <c r="J15" s="8">
        <f t="shared" si="2"/>
        <v>0</v>
      </c>
      <c r="K15" s="8">
        <f t="shared" si="5"/>
        <v>0</v>
      </c>
      <c r="L15" s="65">
        <f t="shared" si="6"/>
        <v>0</v>
      </c>
      <c r="M15" s="65">
        <v>0</v>
      </c>
      <c r="N15" s="8"/>
      <c r="O15" s="66"/>
    </row>
    <row r="16" spans="1:18">
      <c r="A16" s="43">
        <v>13</v>
      </c>
      <c r="B16" s="212">
        <v>45851</v>
      </c>
      <c r="C16" s="64"/>
      <c r="D16" s="152"/>
      <c r="E16" s="250"/>
      <c r="F16" s="250"/>
      <c r="G16" s="8">
        <f t="shared" si="1"/>
        <v>0</v>
      </c>
      <c r="H16" s="62">
        <v>0</v>
      </c>
      <c r="I16" s="63">
        <v>0</v>
      </c>
      <c r="J16" s="8">
        <f t="shared" si="2"/>
        <v>0</v>
      </c>
      <c r="K16" s="8">
        <f t="shared" si="5"/>
        <v>0</v>
      </c>
      <c r="L16" s="65">
        <f t="shared" si="6"/>
        <v>0</v>
      </c>
      <c r="M16" s="65">
        <v>0</v>
      </c>
      <c r="N16" s="8"/>
      <c r="O16" s="66"/>
    </row>
    <row r="17" spans="1:15">
      <c r="A17" s="43">
        <v>14</v>
      </c>
      <c r="B17" s="212">
        <v>45852</v>
      </c>
      <c r="C17" s="64"/>
      <c r="D17" s="152"/>
      <c r="E17" s="250"/>
      <c r="F17" s="250"/>
      <c r="G17" s="8">
        <f t="shared" si="1"/>
        <v>0</v>
      </c>
      <c r="H17" s="62">
        <v>0</v>
      </c>
      <c r="I17" s="63">
        <v>0</v>
      </c>
      <c r="J17" s="8">
        <f t="shared" si="2"/>
        <v>0</v>
      </c>
      <c r="K17" s="8">
        <f t="shared" si="5"/>
        <v>0</v>
      </c>
      <c r="L17" s="65">
        <f t="shared" si="6"/>
        <v>0</v>
      </c>
      <c r="M17" s="65">
        <v>0</v>
      </c>
      <c r="N17" s="8"/>
      <c r="O17" s="66"/>
    </row>
    <row r="18" spans="1:15">
      <c r="A18" s="43">
        <v>15</v>
      </c>
      <c r="B18" s="212">
        <v>45853</v>
      </c>
      <c r="C18" s="64"/>
      <c r="D18" s="152"/>
      <c r="E18" s="250"/>
      <c r="F18" s="250"/>
      <c r="G18" s="8">
        <f t="shared" si="1"/>
        <v>0</v>
      </c>
      <c r="H18" s="62">
        <v>0</v>
      </c>
      <c r="I18" s="63">
        <v>0</v>
      </c>
      <c r="J18" s="8">
        <f t="shared" si="2"/>
        <v>0</v>
      </c>
      <c r="K18" s="8">
        <f t="shared" si="5"/>
        <v>0</v>
      </c>
      <c r="L18" s="65">
        <f t="shared" si="6"/>
        <v>0</v>
      </c>
      <c r="M18" s="65">
        <v>0</v>
      </c>
      <c r="N18" s="8"/>
      <c r="O18" s="66"/>
    </row>
    <row r="19" spans="1:15">
      <c r="A19" s="43">
        <v>16</v>
      </c>
      <c r="B19" s="212">
        <v>45854</v>
      </c>
      <c r="C19" s="64"/>
      <c r="D19" s="152"/>
      <c r="E19" s="250">
        <v>38.44</v>
      </c>
      <c r="F19" s="250">
        <v>104.95</v>
      </c>
      <c r="G19" s="8">
        <f t="shared" si="1"/>
        <v>4034.2779999999998</v>
      </c>
      <c r="H19" s="62">
        <v>0</v>
      </c>
      <c r="I19" s="63">
        <v>0</v>
      </c>
      <c r="J19" s="8">
        <f t="shared" si="2"/>
        <v>0</v>
      </c>
      <c r="K19" s="8">
        <f t="shared" si="3"/>
        <v>4034.2779999999998</v>
      </c>
      <c r="L19" s="65">
        <f t="shared" si="4"/>
        <v>4034.2779999999998</v>
      </c>
      <c r="M19" s="65">
        <v>0</v>
      </c>
      <c r="N19" s="8"/>
      <c r="O19" s="66"/>
    </row>
    <row r="20" spans="1:15">
      <c r="A20" s="43">
        <v>17</v>
      </c>
      <c r="B20" s="212">
        <v>45855</v>
      </c>
      <c r="C20" s="64"/>
      <c r="D20" s="152"/>
      <c r="E20" s="250"/>
      <c r="F20" s="250"/>
      <c r="G20" s="8">
        <f t="shared" si="1"/>
        <v>0</v>
      </c>
      <c r="H20" s="62">
        <v>0</v>
      </c>
      <c r="I20" s="63">
        <v>0</v>
      </c>
      <c r="J20" s="8">
        <f t="shared" si="2"/>
        <v>0</v>
      </c>
      <c r="K20" s="8">
        <f t="shared" si="3"/>
        <v>0</v>
      </c>
      <c r="L20" s="65">
        <f t="shared" si="4"/>
        <v>0</v>
      </c>
      <c r="M20" s="65">
        <v>0</v>
      </c>
      <c r="N20" s="8"/>
      <c r="O20" s="66"/>
    </row>
    <row r="21" spans="1:15">
      <c r="A21" s="43">
        <v>18</v>
      </c>
      <c r="B21" s="212">
        <v>45856</v>
      </c>
      <c r="C21" s="64"/>
      <c r="D21" s="152"/>
      <c r="E21" s="250"/>
      <c r="F21" s="250"/>
      <c r="G21" s="8">
        <f t="shared" si="1"/>
        <v>0</v>
      </c>
      <c r="H21" s="62">
        <v>0</v>
      </c>
      <c r="I21" s="63">
        <v>0</v>
      </c>
      <c r="J21" s="8">
        <f t="shared" si="2"/>
        <v>0</v>
      </c>
      <c r="K21" s="8">
        <f t="shared" si="3"/>
        <v>0</v>
      </c>
      <c r="L21" s="65">
        <f t="shared" si="4"/>
        <v>0</v>
      </c>
      <c r="M21" s="65">
        <v>0</v>
      </c>
      <c r="N21" s="8"/>
      <c r="O21" s="66"/>
    </row>
    <row r="22" spans="1:15">
      <c r="A22" s="43">
        <v>19</v>
      </c>
      <c r="B22" s="212">
        <v>45857</v>
      </c>
      <c r="C22" s="64"/>
      <c r="D22" s="152"/>
      <c r="E22" s="250"/>
      <c r="F22" s="250"/>
      <c r="G22" s="8">
        <f t="shared" si="1"/>
        <v>0</v>
      </c>
      <c r="H22" s="62">
        <v>0</v>
      </c>
      <c r="I22" s="63">
        <v>0</v>
      </c>
      <c r="J22" s="8">
        <f t="shared" si="2"/>
        <v>0</v>
      </c>
      <c r="K22" s="8">
        <f t="shared" si="3"/>
        <v>0</v>
      </c>
      <c r="L22" s="65">
        <f t="shared" si="4"/>
        <v>0</v>
      </c>
      <c r="M22" s="65">
        <v>0</v>
      </c>
      <c r="N22" s="8"/>
      <c r="O22" s="66"/>
    </row>
    <row r="23" spans="1:15">
      <c r="A23" s="43">
        <v>20</v>
      </c>
      <c r="B23" s="212">
        <v>45858</v>
      </c>
      <c r="C23" s="64"/>
      <c r="D23" s="152"/>
      <c r="E23" s="250"/>
      <c r="F23" s="250"/>
      <c r="G23" s="8">
        <f t="shared" si="1"/>
        <v>0</v>
      </c>
      <c r="H23" s="62">
        <v>0</v>
      </c>
      <c r="I23" s="63">
        <v>0</v>
      </c>
      <c r="J23" s="8">
        <f t="shared" si="2"/>
        <v>0</v>
      </c>
      <c r="K23" s="8">
        <f t="shared" si="3"/>
        <v>0</v>
      </c>
      <c r="L23" s="65">
        <f t="shared" si="4"/>
        <v>0</v>
      </c>
      <c r="M23" s="65">
        <v>0</v>
      </c>
      <c r="N23" s="8"/>
      <c r="O23" s="66"/>
    </row>
    <row r="24" spans="1:15">
      <c r="A24" s="43">
        <v>21</v>
      </c>
      <c r="B24" s="212">
        <v>45859</v>
      </c>
      <c r="C24" s="64"/>
      <c r="D24" s="152"/>
      <c r="E24" s="250"/>
      <c r="F24" s="250"/>
      <c r="G24" s="8">
        <f t="shared" si="1"/>
        <v>0</v>
      </c>
      <c r="H24" s="62">
        <v>0</v>
      </c>
      <c r="I24" s="63">
        <v>0</v>
      </c>
      <c r="J24" s="8">
        <f t="shared" si="2"/>
        <v>0</v>
      </c>
      <c r="K24" s="8">
        <f t="shared" si="3"/>
        <v>0</v>
      </c>
      <c r="L24" s="65">
        <f t="shared" si="4"/>
        <v>0</v>
      </c>
      <c r="M24" s="65">
        <v>0</v>
      </c>
      <c r="N24" s="8"/>
      <c r="O24" s="66"/>
    </row>
    <row r="25" spans="1:15">
      <c r="A25" s="43">
        <v>22</v>
      </c>
      <c r="B25" s="212">
        <v>45860</v>
      </c>
      <c r="C25" s="64"/>
      <c r="D25" s="152"/>
      <c r="E25" s="250">
        <v>42.43</v>
      </c>
      <c r="F25" s="250">
        <v>104.95</v>
      </c>
      <c r="G25" s="8">
        <f t="shared" si="1"/>
        <v>4453.0285000000003</v>
      </c>
      <c r="H25" s="62">
        <v>0</v>
      </c>
      <c r="I25" s="63">
        <v>0</v>
      </c>
      <c r="J25" s="8">
        <f t="shared" si="2"/>
        <v>0</v>
      </c>
      <c r="K25" s="8">
        <f t="shared" si="3"/>
        <v>4453.0285000000003</v>
      </c>
      <c r="L25" s="65">
        <f t="shared" si="4"/>
        <v>4453.0285000000003</v>
      </c>
      <c r="M25" s="65">
        <v>0</v>
      </c>
      <c r="N25" s="8"/>
      <c r="O25" s="66"/>
    </row>
    <row r="26" spans="1:15">
      <c r="A26" s="43">
        <v>23</v>
      </c>
      <c r="B26" s="212">
        <v>45861</v>
      </c>
      <c r="C26" s="64"/>
      <c r="D26" s="152"/>
      <c r="E26" s="250"/>
      <c r="F26" s="8"/>
      <c r="G26" s="8">
        <f t="shared" si="1"/>
        <v>0</v>
      </c>
      <c r="H26" s="62">
        <v>0</v>
      </c>
      <c r="I26" s="63">
        <v>0</v>
      </c>
      <c r="J26" s="8">
        <f t="shared" si="2"/>
        <v>0</v>
      </c>
      <c r="K26" s="8">
        <f t="shared" si="3"/>
        <v>0</v>
      </c>
      <c r="L26" s="65">
        <f t="shared" si="4"/>
        <v>0</v>
      </c>
      <c r="M26" s="65">
        <v>0</v>
      </c>
      <c r="N26" s="8"/>
      <c r="O26" s="66"/>
    </row>
    <row r="27" spans="1:15">
      <c r="A27" s="43">
        <v>24</v>
      </c>
      <c r="B27" s="212">
        <v>45862</v>
      </c>
      <c r="C27" s="64"/>
      <c r="D27" s="152"/>
      <c r="E27" s="250"/>
      <c r="F27" s="250"/>
      <c r="G27" s="8">
        <f t="shared" si="1"/>
        <v>0</v>
      </c>
      <c r="H27" s="62">
        <v>0</v>
      </c>
      <c r="I27" s="63">
        <v>0</v>
      </c>
      <c r="J27" s="8">
        <f t="shared" si="2"/>
        <v>0</v>
      </c>
      <c r="K27" s="8">
        <f t="shared" si="3"/>
        <v>0</v>
      </c>
      <c r="L27" s="65">
        <f t="shared" si="4"/>
        <v>0</v>
      </c>
      <c r="M27" s="65">
        <v>0</v>
      </c>
      <c r="N27" s="8"/>
      <c r="O27" s="66"/>
    </row>
    <row r="28" spans="1:15">
      <c r="A28" s="214">
        <v>25</v>
      </c>
      <c r="B28" s="212">
        <v>45863</v>
      </c>
      <c r="C28" s="64"/>
      <c r="D28" s="152"/>
      <c r="E28" s="250"/>
      <c r="F28" s="250"/>
      <c r="G28" s="8"/>
      <c r="H28" s="62">
        <v>0</v>
      </c>
      <c r="I28" s="63">
        <v>0</v>
      </c>
      <c r="J28" s="8">
        <f t="shared" si="2"/>
        <v>0</v>
      </c>
      <c r="K28" s="8">
        <f t="shared" si="3"/>
        <v>0</v>
      </c>
      <c r="L28" s="65">
        <f t="shared" si="4"/>
        <v>0</v>
      </c>
      <c r="M28" s="65">
        <v>0</v>
      </c>
      <c r="N28" s="8"/>
      <c r="O28" s="66"/>
    </row>
    <row r="29" spans="1:15">
      <c r="A29" s="214">
        <v>26</v>
      </c>
      <c r="B29" s="212">
        <v>45864</v>
      </c>
      <c r="C29" s="64"/>
      <c r="D29" s="152"/>
      <c r="E29" s="250"/>
      <c r="F29" s="250"/>
      <c r="G29" s="8">
        <f t="shared" si="1"/>
        <v>0</v>
      </c>
      <c r="H29" s="62">
        <v>0</v>
      </c>
      <c r="I29" s="63">
        <v>0</v>
      </c>
      <c r="J29" s="8">
        <f t="shared" si="2"/>
        <v>0</v>
      </c>
      <c r="K29" s="8">
        <f t="shared" si="3"/>
        <v>0</v>
      </c>
      <c r="L29" s="65">
        <f t="shared" si="4"/>
        <v>0</v>
      </c>
      <c r="M29" s="65">
        <v>0</v>
      </c>
      <c r="N29" s="8"/>
      <c r="O29" s="66"/>
    </row>
    <row r="30" spans="1:15">
      <c r="A30" s="214">
        <v>27</v>
      </c>
      <c r="B30" s="212">
        <v>45865</v>
      </c>
      <c r="C30" s="64"/>
      <c r="D30" s="152"/>
      <c r="E30" s="250"/>
      <c r="F30" s="250"/>
      <c r="G30" s="8">
        <f t="shared" si="1"/>
        <v>0</v>
      </c>
      <c r="H30" s="62">
        <v>0</v>
      </c>
      <c r="I30" s="63">
        <v>0</v>
      </c>
      <c r="J30" s="8">
        <f t="shared" si="2"/>
        <v>0</v>
      </c>
      <c r="K30" s="8">
        <f t="shared" si="3"/>
        <v>0</v>
      </c>
      <c r="L30" s="65">
        <f t="shared" si="4"/>
        <v>0</v>
      </c>
      <c r="M30" s="65">
        <v>0</v>
      </c>
      <c r="N30" s="8"/>
      <c r="O30" s="66"/>
    </row>
    <row r="31" spans="1:15">
      <c r="A31" s="214">
        <v>28</v>
      </c>
      <c r="B31" s="212">
        <v>45866</v>
      </c>
      <c r="C31" s="64"/>
      <c r="D31" s="152"/>
      <c r="E31" s="250"/>
      <c r="F31" s="250"/>
      <c r="G31" s="8">
        <f t="shared" si="1"/>
        <v>0</v>
      </c>
      <c r="H31" s="62">
        <v>0</v>
      </c>
      <c r="I31" s="63">
        <v>0</v>
      </c>
      <c r="J31" s="8">
        <f t="shared" si="2"/>
        <v>0</v>
      </c>
      <c r="K31" s="8">
        <f t="shared" si="3"/>
        <v>0</v>
      </c>
      <c r="L31" s="65">
        <f t="shared" si="4"/>
        <v>0</v>
      </c>
      <c r="M31" s="65">
        <v>0</v>
      </c>
      <c r="N31" s="8"/>
      <c r="O31" s="66"/>
    </row>
    <row r="32" spans="1:15">
      <c r="A32" s="215">
        <v>29</v>
      </c>
      <c r="B32" s="212">
        <v>45867</v>
      </c>
      <c r="C32" s="64"/>
      <c r="D32" s="152"/>
      <c r="E32" s="250"/>
      <c r="F32" s="250"/>
      <c r="G32" s="8">
        <f t="shared" si="1"/>
        <v>0</v>
      </c>
      <c r="H32" s="62">
        <v>0</v>
      </c>
      <c r="I32" s="63">
        <v>0</v>
      </c>
      <c r="J32" s="8">
        <f t="shared" si="2"/>
        <v>0</v>
      </c>
      <c r="K32" s="8">
        <f t="shared" si="3"/>
        <v>0</v>
      </c>
      <c r="L32" s="65">
        <f t="shared" si="4"/>
        <v>0</v>
      </c>
      <c r="M32" s="65">
        <v>0</v>
      </c>
      <c r="N32" s="8"/>
      <c r="O32" s="66"/>
    </row>
    <row r="33" spans="1:15">
      <c r="A33" s="215">
        <v>30</v>
      </c>
      <c r="B33" s="212">
        <v>45868</v>
      </c>
      <c r="C33" s="64"/>
      <c r="D33" s="152"/>
      <c r="E33" s="250">
        <v>43.56</v>
      </c>
      <c r="F33" s="250">
        <v>104.95</v>
      </c>
      <c r="G33" s="8">
        <f t="shared" ref="G33" si="7">E33*F33</f>
        <v>4571.6220000000003</v>
      </c>
      <c r="H33" s="62">
        <v>0</v>
      </c>
      <c r="I33" s="63">
        <v>0</v>
      </c>
      <c r="J33" s="8">
        <f t="shared" si="2"/>
        <v>0</v>
      </c>
      <c r="K33" s="8">
        <f t="shared" si="3"/>
        <v>4571.6220000000003</v>
      </c>
      <c r="L33" s="65">
        <f t="shared" si="4"/>
        <v>4571.6220000000003</v>
      </c>
      <c r="M33" s="65">
        <v>0</v>
      </c>
      <c r="N33" s="8"/>
      <c r="O33" s="66"/>
    </row>
    <row r="34" spans="1:15">
      <c r="A34" s="215">
        <v>31</v>
      </c>
      <c r="B34" s="212"/>
      <c r="C34" s="64"/>
      <c r="D34" s="152"/>
      <c r="E34" s="250"/>
      <c r="F34" s="250"/>
      <c r="G34" s="8">
        <f t="shared" ref="G34" si="8">E34*F34</f>
        <v>0</v>
      </c>
      <c r="H34" s="62">
        <v>0</v>
      </c>
      <c r="I34" s="63">
        <v>0</v>
      </c>
      <c r="J34" s="8">
        <f t="shared" ref="J34" si="9">H34*I34</f>
        <v>0</v>
      </c>
      <c r="K34" s="8">
        <f t="shared" ref="K34" si="10">G34+J34</f>
        <v>0</v>
      </c>
      <c r="L34" s="65">
        <f t="shared" ref="L34" si="11">+K34</f>
        <v>0</v>
      </c>
      <c r="M34" s="65">
        <v>0</v>
      </c>
      <c r="N34" s="8"/>
      <c r="O34" s="66"/>
    </row>
    <row r="35" spans="1:15">
      <c r="A35" s="59"/>
      <c r="B35" s="59"/>
      <c r="C35" s="59"/>
      <c r="D35" s="59"/>
      <c r="E35" s="251">
        <f>SUM(E4:E34)</f>
        <v>162.28800000000001</v>
      </c>
      <c r="F35" s="251"/>
      <c r="G35" s="60">
        <f>SUM(G4:G34)</f>
        <v>17004.489259999998</v>
      </c>
      <c r="H35" s="60">
        <f>SUM(H4:H34)</f>
        <v>0</v>
      </c>
      <c r="I35" s="60"/>
      <c r="J35" s="60">
        <f>SUM(J4:J34)</f>
        <v>0</v>
      </c>
      <c r="K35" s="60">
        <f>SUM(K4:K34)</f>
        <v>17004.489259999998</v>
      </c>
      <c r="L35" s="60">
        <f>SUM(L4:L34)</f>
        <v>17004.489259999998</v>
      </c>
      <c r="M35" s="60"/>
      <c r="N35" s="60"/>
      <c r="O35" s="56"/>
    </row>
    <row r="36" spans="1:15">
      <c r="A36" s="69"/>
      <c r="B36" s="70"/>
      <c r="C36" s="69"/>
      <c r="D36" s="69"/>
      <c r="E36" s="71"/>
      <c r="F36" s="71"/>
      <c r="G36" s="71"/>
      <c r="H36" s="71"/>
      <c r="I36" s="71"/>
      <c r="J36" s="72"/>
      <c r="K36" s="72"/>
      <c r="L36" s="72"/>
      <c r="M36" s="72"/>
      <c r="N36" s="71"/>
      <c r="O36" s="66"/>
    </row>
    <row r="37" spans="1:15">
      <c r="O37" s="66"/>
    </row>
    <row r="38" spans="1:15"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A42" s="66"/>
      <c r="B42" s="56"/>
      <c r="C42" s="66"/>
      <c r="D42" s="66"/>
      <c r="E42" s="66"/>
      <c r="F42" s="66"/>
      <c r="G42" s="73"/>
      <c r="H42" s="66"/>
      <c r="I42" s="66"/>
      <c r="J42" s="56"/>
      <c r="K42" s="56"/>
      <c r="L42" s="56"/>
      <c r="M42" s="56"/>
      <c r="N42" s="66"/>
      <c r="O42" s="71"/>
    </row>
    <row r="43" spans="1:15">
      <c r="A43" s="66"/>
      <c r="B43" s="558"/>
      <c r="C43" s="558"/>
      <c r="D43" s="558"/>
      <c r="E43" s="558"/>
      <c r="F43" s="66"/>
      <c r="G43" s="66"/>
      <c r="H43" s="66"/>
      <c r="I43" s="558"/>
      <c r="J43" s="558"/>
      <c r="K43" s="558"/>
      <c r="L43" s="558"/>
      <c r="M43" s="558"/>
      <c r="N43" s="558"/>
      <c r="O43" s="71"/>
    </row>
    <row r="44" spans="1:15">
      <c r="A44" s="66"/>
      <c r="B44" s="56"/>
      <c r="C44" s="66"/>
      <c r="D44" s="66"/>
      <c r="E44" s="66"/>
      <c r="F44" s="66"/>
      <c r="G44" s="66"/>
      <c r="H44" s="66"/>
      <c r="I44" s="66"/>
      <c r="J44" s="56"/>
      <c r="K44" s="56"/>
      <c r="L44" s="56"/>
      <c r="M44" s="56"/>
      <c r="N44" s="66"/>
      <c r="O44" s="71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O289"/>
  <sheetViews>
    <sheetView topLeftCell="B272" workbookViewId="0">
      <selection activeCell="J292" sqref="J292"/>
    </sheetView>
  </sheetViews>
  <sheetFormatPr defaultColWidth="18.28515625" defaultRowHeight="15"/>
  <cols>
    <col min="1" max="1" width="13.42578125" customWidth="1"/>
    <col min="2" max="2" width="9.28515625" customWidth="1"/>
    <col min="3" max="3" width="49" customWidth="1"/>
    <col min="4" max="4" width="27.7109375" customWidth="1"/>
    <col min="5" max="5" width="11.5703125" customWidth="1"/>
    <col min="6" max="6" width="11.140625" customWidth="1"/>
    <col min="7" max="7" width="11.28515625" customWidth="1"/>
    <col min="8" max="8" width="10" customWidth="1"/>
    <col min="10" max="10" width="16.5703125" customWidth="1"/>
  </cols>
  <sheetData>
    <row r="1" spans="1:15" ht="15.75">
      <c r="A1" s="327"/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</row>
    <row r="2" spans="1:15" ht="30.75">
      <c r="A2" s="95" t="s">
        <v>0</v>
      </c>
      <c r="B2" s="96" t="s">
        <v>163</v>
      </c>
      <c r="C2" s="96" t="s">
        <v>164</v>
      </c>
      <c r="D2" s="96" t="s">
        <v>186</v>
      </c>
      <c r="E2" s="249" t="s">
        <v>166</v>
      </c>
      <c r="F2" s="249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135" t="s">
        <v>171</v>
      </c>
      <c r="M2" s="138" t="s">
        <v>187</v>
      </c>
      <c r="N2" s="98" t="s">
        <v>173</v>
      </c>
    </row>
    <row r="3" spans="1:15">
      <c r="A3" s="540" t="s">
        <v>174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9"/>
      <c r="M3" s="368">
        <v>0</v>
      </c>
      <c r="N3" s="208"/>
    </row>
    <row r="4" spans="1:15">
      <c r="A4" s="215">
        <v>1</v>
      </c>
      <c r="B4" s="485">
        <v>46204</v>
      </c>
      <c r="C4" s="486" t="s">
        <v>191</v>
      </c>
      <c r="D4" s="487" t="s">
        <v>192</v>
      </c>
      <c r="E4" s="488">
        <v>40</v>
      </c>
      <c r="F4" s="488">
        <f>G4/E4</f>
        <v>105.21</v>
      </c>
      <c r="G4" s="528">
        <v>4208.3999999999996</v>
      </c>
      <c r="H4" s="489"/>
      <c r="I4" s="489"/>
      <c r="J4" s="528">
        <f t="shared" ref="J4:J67" si="0">H4*I4</f>
        <v>0</v>
      </c>
      <c r="K4" s="490">
        <f>G4+J4</f>
        <v>4208.3999999999996</v>
      </c>
      <c r="L4" s="370">
        <f>+K4</f>
        <v>4208.3999999999996</v>
      </c>
      <c r="M4" s="65"/>
      <c r="N4" s="8"/>
    </row>
    <row r="5" spans="1:15">
      <c r="A5" s="214">
        <v>2</v>
      </c>
      <c r="B5" s="485">
        <v>46204</v>
      </c>
      <c r="C5" s="491" t="s">
        <v>193</v>
      </c>
      <c r="D5" s="487" t="s">
        <v>194</v>
      </c>
      <c r="E5" s="488">
        <v>40</v>
      </c>
      <c r="F5" s="488">
        <f>G5/E5</f>
        <v>104.92999999999999</v>
      </c>
      <c r="G5" s="528">
        <v>4197.2</v>
      </c>
      <c r="H5" s="489"/>
      <c r="I5" s="489"/>
      <c r="J5" s="528">
        <f t="shared" si="0"/>
        <v>0</v>
      </c>
      <c r="K5" s="490">
        <f t="shared" ref="K5:K68" si="1">G5+J5</f>
        <v>4197.2</v>
      </c>
      <c r="L5" s="370">
        <f t="shared" ref="L5:L68" si="2">+K5</f>
        <v>4197.2</v>
      </c>
      <c r="M5" s="65"/>
      <c r="N5" s="8"/>
    </row>
    <row r="6" spans="1:15">
      <c r="A6" s="214">
        <v>3</v>
      </c>
      <c r="B6" s="485">
        <v>46204</v>
      </c>
      <c r="C6" s="486" t="s">
        <v>191</v>
      </c>
      <c r="D6" s="487" t="s">
        <v>192</v>
      </c>
      <c r="E6" s="488">
        <v>180</v>
      </c>
      <c r="F6" s="488">
        <f>G6/E6</f>
        <v>105.21</v>
      </c>
      <c r="G6" s="528">
        <v>18937.8</v>
      </c>
      <c r="H6" s="489"/>
      <c r="I6" s="489"/>
      <c r="J6" s="528">
        <f t="shared" si="0"/>
        <v>0</v>
      </c>
      <c r="K6" s="490">
        <f t="shared" si="1"/>
        <v>18937.8</v>
      </c>
      <c r="L6" s="370">
        <f t="shared" si="2"/>
        <v>18937.8</v>
      </c>
      <c r="M6" s="65"/>
      <c r="N6" s="8"/>
    </row>
    <row r="7" spans="1:15">
      <c r="A7" s="215">
        <v>4</v>
      </c>
      <c r="B7" s="485">
        <v>46204</v>
      </c>
      <c r="C7" s="486" t="s">
        <v>191</v>
      </c>
      <c r="D7" s="487" t="s">
        <v>192</v>
      </c>
      <c r="E7" s="488">
        <v>20</v>
      </c>
      <c r="F7" s="488">
        <f>G7/E7</f>
        <v>105.21</v>
      </c>
      <c r="G7" s="528">
        <v>2104.1999999999998</v>
      </c>
      <c r="H7" s="489"/>
      <c r="I7" s="489"/>
      <c r="J7" s="528">
        <f t="shared" si="0"/>
        <v>0</v>
      </c>
      <c r="K7" s="490">
        <f t="shared" si="1"/>
        <v>2104.1999999999998</v>
      </c>
      <c r="L7" s="370">
        <f t="shared" si="2"/>
        <v>2104.1999999999998</v>
      </c>
      <c r="M7" s="65"/>
      <c r="N7" s="8"/>
    </row>
    <row r="8" spans="1:15">
      <c r="A8" s="214">
        <v>5</v>
      </c>
      <c r="B8" s="485">
        <v>46204</v>
      </c>
      <c r="C8" s="486" t="s">
        <v>195</v>
      </c>
      <c r="D8" s="487" t="s">
        <v>196</v>
      </c>
      <c r="E8" s="488"/>
      <c r="F8" s="488"/>
      <c r="G8" s="528">
        <f t="shared" ref="G8:G66" si="3">E8*F8</f>
        <v>0</v>
      </c>
      <c r="H8" s="489">
        <v>5</v>
      </c>
      <c r="I8" s="489">
        <v>589.9</v>
      </c>
      <c r="J8" s="528">
        <f t="shared" si="0"/>
        <v>2949.5</v>
      </c>
      <c r="K8" s="490">
        <f t="shared" si="1"/>
        <v>2949.5</v>
      </c>
      <c r="L8" s="370">
        <f t="shared" si="2"/>
        <v>2949.5</v>
      </c>
      <c r="M8" s="65"/>
      <c r="N8" s="8"/>
      <c r="O8" s="218"/>
    </row>
    <row r="9" spans="1:15">
      <c r="A9" s="214">
        <v>6</v>
      </c>
      <c r="B9" s="485">
        <v>46204</v>
      </c>
      <c r="C9" s="486" t="s">
        <v>197</v>
      </c>
      <c r="D9" s="487" t="s">
        <v>198</v>
      </c>
      <c r="E9" s="488">
        <v>47.655000000000001</v>
      </c>
      <c r="F9" s="488">
        <v>104.92</v>
      </c>
      <c r="G9" s="528">
        <f t="shared" si="3"/>
        <v>4999.9625999999998</v>
      </c>
      <c r="H9" s="489"/>
      <c r="I9" s="489"/>
      <c r="J9" s="528">
        <f t="shared" si="0"/>
        <v>0</v>
      </c>
      <c r="K9" s="490">
        <f t="shared" si="1"/>
        <v>4999.9625999999998</v>
      </c>
      <c r="L9" s="370">
        <f t="shared" si="2"/>
        <v>4999.9625999999998</v>
      </c>
      <c r="M9" s="65"/>
      <c r="N9" s="8"/>
    </row>
    <row r="10" spans="1:15">
      <c r="A10" s="215">
        <v>7</v>
      </c>
      <c r="B10" s="485">
        <v>46205</v>
      </c>
      <c r="C10" s="486" t="s">
        <v>195</v>
      </c>
      <c r="D10" s="487" t="s">
        <v>196</v>
      </c>
      <c r="E10" s="494">
        <v>44.74</v>
      </c>
      <c r="F10" s="488">
        <f t="shared" ref="F10:F15" si="4">G10/E10</f>
        <v>105.59007599463568</v>
      </c>
      <c r="G10" s="528">
        <v>4724.1000000000004</v>
      </c>
      <c r="H10" s="489"/>
      <c r="I10" s="489"/>
      <c r="J10" s="528">
        <f t="shared" si="0"/>
        <v>0</v>
      </c>
      <c r="K10" s="490">
        <f t="shared" si="1"/>
        <v>4724.1000000000004</v>
      </c>
      <c r="L10" s="370">
        <f t="shared" si="2"/>
        <v>4724.1000000000004</v>
      </c>
      <c r="M10" s="65"/>
      <c r="N10" s="8"/>
    </row>
    <row r="11" spans="1:15">
      <c r="A11" s="214">
        <v>8</v>
      </c>
      <c r="B11" s="485">
        <v>46205</v>
      </c>
      <c r="C11" s="486" t="s">
        <v>199</v>
      </c>
      <c r="D11" s="487" t="s">
        <v>200</v>
      </c>
      <c r="E11" s="494">
        <v>41.78</v>
      </c>
      <c r="F11" s="488">
        <f t="shared" si="4"/>
        <v>104.61991383437052</v>
      </c>
      <c r="G11" s="528">
        <v>4371.0200000000004</v>
      </c>
      <c r="H11" s="489"/>
      <c r="I11" s="489"/>
      <c r="J11" s="528">
        <f t="shared" si="0"/>
        <v>0</v>
      </c>
      <c r="K11" s="490">
        <f t="shared" si="1"/>
        <v>4371.0200000000004</v>
      </c>
      <c r="L11" s="370">
        <f t="shared" si="2"/>
        <v>4371.0200000000004</v>
      </c>
      <c r="M11" s="65"/>
      <c r="N11" s="8"/>
    </row>
    <row r="12" spans="1:15">
      <c r="A12" s="214">
        <v>9</v>
      </c>
      <c r="B12" s="485">
        <v>46205</v>
      </c>
      <c r="C12" s="491" t="s">
        <v>193</v>
      </c>
      <c r="D12" s="487" t="s">
        <v>194</v>
      </c>
      <c r="E12" s="494">
        <v>37.57</v>
      </c>
      <c r="F12" s="488">
        <f t="shared" si="4"/>
        <v>104.92999733830183</v>
      </c>
      <c r="G12" s="528">
        <v>3942.22</v>
      </c>
      <c r="H12" s="489"/>
      <c r="I12" s="489"/>
      <c r="J12" s="528">
        <f t="shared" si="0"/>
        <v>0</v>
      </c>
      <c r="K12" s="490">
        <f t="shared" si="1"/>
        <v>3942.22</v>
      </c>
      <c r="L12" s="370">
        <f t="shared" si="2"/>
        <v>3942.22</v>
      </c>
      <c r="M12" s="65"/>
      <c r="N12" s="8"/>
    </row>
    <row r="13" spans="1:15">
      <c r="A13" s="215">
        <v>10</v>
      </c>
      <c r="B13" s="485">
        <v>46205</v>
      </c>
      <c r="C13" s="491" t="s">
        <v>195</v>
      </c>
      <c r="D13" s="492" t="s">
        <v>196</v>
      </c>
      <c r="E13" s="494">
        <v>42.75</v>
      </c>
      <c r="F13" s="488">
        <f t="shared" si="4"/>
        <v>105.58994152046785</v>
      </c>
      <c r="G13" s="528">
        <v>4513.97</v>
      </c>
      <c r="H13" s="489"/>
      <c r="I13" s="489"/>
      <c r="J13" s="528">
        <f t="shared" si="0"/>
        <v>0</v>
      </c>
      <c r="K13" s="490">
        <f t="shared" si="1"/>
        <v>4513.97</v>
      </c>
      <c r="L13" s="370">
        <f t="shared" si="2"/>
        <v>4513.97</v>
      </c>
      <c r="M13" s="65"/>
      <c r="N13" s="8"/>
    </row>
    <row r="14" spans="1:15">
      <c r="A14" s="214">
        <v>11</v>
      </c>
      <c r="B14" s="485">
        <v>46205</v>
      </c>
      <c r="C14" s="486" t="s">
        <v>199</v>
      </c>
      <c r="D14" s="487" t="s">
        <v>200</v>
      </c>
      <c r="E14" s="494">
        <v>43.82</v>
      </c>
      <c r="F14" s="488">
        <f t="shared" si="4"/>
        <v>104.62003651300775</v>
      </c>
      <c r="G14" s="528">
        <v>4584.45</v>
      </c>
      <c r="H14" s="489"/>
      <c r="I14" s="489"/>
      <c r="J14" s="528">
        <f t="shared" si="0"/>
        <v>0</v>
      </c>
      <c r="K14" s="490">
        <f t="shared" si="1"/>
        <v>4584.45</v>
      </c>
      <c r="L14" s="370">
        <f t="shared" si="2"/>
        <v>4584.45</v>
      </c>
      <c r="M14" s="65"/>
      <c r="N14" s="8"/>
    </row>
    <row r="15" spans="1:15">
      <c r="A15" s="214">
        <v>12</v>
      </c>
      <c r="B15" s="485">
        <v>46205</v>
      </c>
      <c r="C15" s="491" t="s">
        <v>201</v>
      </c>
      <c r="D15" s="487" t="s">
        <v>202</v>
      </c>
      <c r="E15" s="494">
        <v>18</v>
      </c>
      <c r="F15" s="488">
        <f t="shared" si="4"/>
        <v>105.35</v>
      </c>
      <c r="G15" s="528">
        <v>1896.3</v>
      </c>
      <c r="H15" s="494"/>
      <c r="I15" s="488"/>
      <c r="J15" s="528">
        <f t="shared" si="0"/>
        <v>0</v>
      </c>
      <c r="K15" s="490">
        <f t="shared" si="1"/>
        <v>1896.3</v>
      </c>
      <c r="L15" s="370">
        <f t="shared" si="2"/>
        <v>1896.3</v>
      </c>
      <c r="M15" s="65"/>
      <c r="N15" s="8"/>
    </row>
    <row r="16" spans="1:15">
      <c r="A16" s="215">
        <v>13</v>
      </c>
      <c r="B16" s="485">
        <v>46205</v>
      </c>
      <c r="C16" s="491" t="s">
        <v>203</v>
      </c>
      <c r="D16" s="487" t="s">
        <v>204</v>
      </c>
      <c r="E16" s="494"/>
      <c r="F16" s="488"/>
      <c r="G16" s="528">
        <f t="shared" si="3"/>
        <v>0</v>
      </c>
      <c r="H16" s="493">
        <v>6</v>
      </c>
      <c r="I16" s="489">
        <f>J16/H16</f>
        <v>117.62</v>
      </c>
      <c r="J16" s="528">
        <v>705.72</v>
      </c>
      <c r="K16" s="490">
        <f t="shared" si="1"/>
        <v>705.72</v>
      </c>
      <c r="L16" s="370">
        <f t="shared" si="2"/>
        <v>705.72</v>
      </c>
      <c r="M16" s="65"/>
      <c r="N16" s="8"/>
    </row>
    <row r="17" spans="1:14">
      <c r="A17" s="214">
        <v>14</v>
      </c>
      <c r="B17" s="485">
        <v>46205</v>
      </c>
      <c r="C17" s="491" t="s">
        <v>205</v>
      </c>
      <c r="D17" s="487" t="s">
        <v>206</v>
      </c>
      <c r="E17" s="494"/>
      <c r="F17" s="488"/>
      <c r="G17" s="528">
        <f t="shared" si="3"/>
        <v>0</v>
      </c>
      <c r="H17" s="493">
        <v>5</v>
      </c>
      <c r="I17" s="489">
        <f>J17/H17</f>
        <v>116.99000000000001</v>
      </c>
      <c r="J17" s="528">
        <v>584.95000000000005</v>
      </c>
      <c r="K17" s="490">
        <f t="shared" si="1"/>
        <v>584.95000000000005</v>
      </c>
      <c r="L17" s="370">
        <f t="shared" si="2"/>
        <v>584.95000000000005</v>
      </c>
      <c r="M17" s="65"/>
      <c r="N17" s="8"/>
    </row>
    <row r="18" spans="1:14">
      <c r="A18" s="214">
        <v>15</v>
      </c>
      <c r="B18" s="485">
        <v>46205</v>
      </c>
      <c r="C18" s="491" t="s">
        <v>195</v>
      </c>
      <c r="D18" s="487" t="s">
        <v>196</v>
      </c>
      <c r="E18" s="494">
        <v>45.07</v>
      </c>
      <c r="F18" s="488">
        <f>G18/E18</f>
        <v>105.58997115597958</v>
      </c>
      <c r="G18" s="528">
        <v>4758.9399999999996</v>
      </c>
      <c r="H18" s="493"/>
      <c r="I18" s="489"/>
      <c r="J18" s="528">
        <f t="shared" si="0"/>
        <v>0</v>
      </c>
      <c r="K18" s="490">
        <f t="shared" si="1"/>
        <v>4758.9399999999996</v>
      </c>
      <c r="L18" s="370">
        <f t="shared" si="2"/>
        <v>4758.9399999999996</v>
      </c>
      <c r="M18" s="65"/>
      <c r="N18" s="8"/>
    </row>
    <row r="19" spans="1:14">
      <c r="A19" s="215">
        <v>16</v>
      </c>
      <c r="B19" s="485">
        <v>46205</v>
      </c>
      <c r="C19" s="486" t="s">
        <v>207</v>
      </c>
      <c r="D19" s="487" t="s">
        <v>208</v>
      </c>
      <c r="E19" s="494">
        <v>40</v>
      </c>
      <c r="F19" s="488">
        <f>G19/E19</f>
        <v>105.46</v>
      </c>
      <c r="G19" s="528">
        <v>4218.3999999999996</v>
      </c>
      <c r="H19" s="493"/>
      <c r="I19" s="489"/>
      <c r="J19" s="528">
        <f t="shared" si="0"/>
        <v>0</v>
      </c>
      <c r="K19" s="490">
        <f t="shared" si="1"/>
        <v>4218.3999999999996</v>
      </c>
      <c r="L19" s="370">
        <f t="shared" si="2"/>
        <v>4218.3999999999996</v>
      </c>
      <c r="M19" s="65"/>
      <c r="N19" s="8"/>
    </row>
    <row r="20" spans="1:14">
      <c r="A20" s="214">
        <v>17</v>
      </c>
      <c r="B20" s="485">
        <v>46205</v>
      </c>
      <c r="C20" s="486" t="s">
        <v>197</v>
      </c>
      <c r="D20" s="487" t="s">
        <v>198</v>
      </c>
      <c r="E20" s="494">
        <v>60</v>
      </c>
      <c r="F20" s="488">
        <f>G20/E20</f>
        <v>104.92</v>
      </c>
      <c r="G20" s="528">
        <v>6295.2</v>
      </c>
      <c r="H20" s="489"/>
      <c r="I20" s="489"/>
      <c r="J20" s="528">
        <f t="shared" si="0"/>
        <v>0</v>
      </c>
      <c r="K20" s="490">
        <f t="shared" si="1"/>
        <v>6295.2</v>
      </c>
      <c r="L20" s="370">
        <f t="shared" si="2"/>
        <v>6295.2</v>
      </c>
      <c r="M20" s="65"/>
      <c r="N20" s="8"/>
    </row>
    <row r="21" spans="1:14">
      <c r="A21" s="214">
        <v>18</v>
      </c>
      <c r="B21" s="485">
        <v>46206</v>
      </c>
      <c r="C21" s="486" t="s">
        <v>209</v>
      </c>
      <c r="D21" s="487" t="s">
        <v>210</v>
      </c>
      <c r="E21" s="488">
        <v>69.150000000000006</v>
      </c>
      <c r="F21" s="488">
        <f>G21/E21</f>
        <v>105.34996384671004</v>
      </c>
      <c r="G21" s="528">
        <v>7284.95</v>
      </c>
      <c r="H21" s="489"/>
      <c r="I21" s="489"/>
      <c r="J21" s="528">
        <f t="shared" si="0"/>
        <v>0</v>
      </c>
      <c r="K21" s="490">
        <f t="shared" si="1"/>
        <v>7284.95</v>
      </c>
      <c r="L21" s="370">
        <f t="shared" si="2"/>
        <v>7284.95</v>
      </c>
      <c r="M21" s="65"/>
      <c r="N21" s="8"/>
    </row>
    <row r="22" spans="1:14">
      <c r="A22" s="215">
        <v>19</v>
      </c>
      <c r="B22" s="485">
        <v>46206</v>
      </c>
      <c r="C22" s="486" t="s">
        <v>211</v>
      </c>
      <c r="D22" s="487" t="s">
        <v>212</v>
      </c>
      <c r="E22" s="488">
        <v>51.03</v>
      </c>
      <c r="F22" s="488">
        <f>G22/E22</f>
        <v>94.079952968841852</v>
      </c>
      <c r="G22" s="528">
        <v>4800.8999999999996</v>
      </c>
      <c r="H22" s="489"/>
      <c r="I22" s="489"/>
      <c r="J22" s="528">
        <f t="shared" si="0"/>
        <v>0</v>
      </c>
      <c r="K22" s="490">
        <f t="shared" si="1"/>
        <v>4800.8999999999996</v>
      </c>
      <c r="L22" s="370">
        <f t="shared" si="2"/>
        <v>4800.8999999999996</v>
      </c>
      <c r="M22" s="65"/>
      <c r="N22" s="8"/>
    </row>
    <row r="23" spans="1:14">
      <c r="A23" s="214">
        <v>20</v>
      </c>
      <c r="B23" s="485">
        <v>46206</v>
      </c>
      <c r="C23" s="486" t="s">
        <v>201</v>
      </c>
      <c r="D23" s="487" t="s">
        <v>202</v>
      </c>
      <c r="E23" s="488"/>
      <c r="F23" s="488"/>
      <c r="G23" s="528">
        <f t="shared" si="3"/>
        <v>0</v>
      </c>
      <c r="H23" s="489">
        <v>5</v>
      </c>
      <c r="I23" s="489">
        <f>J23/H23</f>
        <v>117.72</v>
      </c>
      <c r="J23" s="528">
        <v>588.6</v>
      </c>
      <c r="K23" s="490">
        <f t="shared" si="1"/>
        <v>588.6</v>
      </c>
      <c r="L23" s="370">
        <f t="shared" si="2"/>
        <v>588.6</v>
      </c>
      <c r="M23" s="65"/>
      <c r="N23" s="8"/>
    </row>
    <row r="24" spans="1:14">
      <c r="A24" s="214">
        <v>21</v>
      </c>
      <c r="B24" s="485">
        <v>46206</v>
      </c>
      <c r="C24" s="486" t="s">
        <v>205</v>
      </c>
      <c r="D24" s="487" t="s">
        <v>206</v>
      </c>
      <c r="E24" s="488">
        <v>10</v>
      </c>
      <c r="F24" s="488">
        <f>G24/E24</f>
        <v>104.7</v>
      </c>
      <c r="G24" s="528">
        <v>1047</v>
      </c>
      <c r="H24" s="489"/>
      <c r="I24" s="489"/>
      <c r="J24" s="528">
        <f t="shared" si="0"/>
        <v>0</v>
      </c>
      <c r="K24" s="490">
        <f t="shared" si="1"/>
        <v>1047</v>
      </c>
      <c r="L24" s="370">
        <f t="shared" si="2"/>
        <v>1047</v>
      </c>
      <c r="M24" s="65"/>
      <c r="N24" s="8"/>
    </row>
    <row r="25" spans="1:14">
      <c r="A25" s="215">
        <v>22</v>
      </c>
      <c r="B25" s="485">
        <v>46206</v>
      </c>
      <c r="C25" s="486" t="s">
        <v>205</v>
      </c>
      <c r="D25" s="487" t="s">
        <v>206</v>
      </c>
      <c r="E25" s="488"/>
      <c r="F25" s="488"/>
      <c r="G25" s="528">
        <f t="shared" si="3"/>
        <v>0</v>
      </c>
      <c r="H25" s="489">
        <v>5</v>
      </c>
      <c r="I25" s="489">
        <f>J25/H25</f>
        <v>116.99000000000001</v>
      </c>
      <c r="J25" s="528">
        <v>584.95000000000005</v>
      </c>
      <c r="K25" s="490">
        <f t="shared" si="1"/>
        <v>584.95000000000005</v>
      </c>
      <c r="L25" s="370">
        <f t="shared" si="2"/>
        <v>584.95000000000005</v>
      </c>
      <c r="M25" s="65"/>
      <c r="N25" s="8"/>
    </row>
    <row r="26" spans="1:14">
      <c r="A26" s="214">
        <v>23</v>
      </c>
      <c r="B26" s="485">
        <v>46206</v>
      </c>
      <c r="C26" s="486" t="s">
        <v>201</v>
      </c>
      <c r="D26" s="487" t="s">
        <v>202</v>
      </c>
      <c r="E26" s="488"/>
      <c r="F26" s="488"/>
      <c r="G26" s="528">
        <f t="shared" si="3"/>
        <v>0</v>
      </c>
      <c r="H26" s="489">
        <v>5</v>
      </c>
      <c r="I26" s="489">
        <f>J26/H26</f>
        <v>117.72</v>
      </c>
      <c r="J26" s="528">
        <v>588.6</v>
      </c>
      <c r="K26" s="490">
        <f t="shared" si="1"/>
        <v>588.6</v>
      </c>
      <c r="L26" s="370">
        <f t="shared" si="2"/>
        <v>588.6</v>
      </c>
      <c r="M26" s="65"/>
      <c r="N26" s="8"/>
    </row>
    <row r="27" spans="1:14">
      <c r="A27" s="214">
        <v>24</v>
      </c>
      <c r="B27" s="485">
        <v>46206</v>
      </c>
      <c r="C27" s="486" t="s">
        <v>201</v>
      </c>
      <c r="D27" s="487" t="s">
        <v>202</v>
      </c>
      <c r="E27" s="488"/>
      <c r="F27" s="488"/>
      <c r="G27" s="528">
        <f t="shared" si="3"/>
        <v>0</v>
      </c>
      <c r="H27" s="489">
        <v>5</v>
      </c>
      <c r="I27" s="489">
        <f>J27/H27</f>
        <v>117.72</v>
      </c>
      <c r="J27" s="528">
        <v>588.6</v>
      </c>
      <c r="K27" s="490">
        <f t="shared" si="1"/>
        <v>588.6</v>
      </c>
      <c r="L27" s="370">
        <f t="shared" si="2"/>
        <v>588.6</v>
      </c>
      <c r="M27" s="65"/>
      <c r="N27" s="8"/>
    </row>
    <row r="28" spans="1:14">
      <c r="A28" s="215">
        <v>25</v>
      </c>
      <c r="B28" s="485">
        <v>46206</v>
      </c>
      <c r="C28" s="486" t="s">
        <v>201</v>
      </c>
      <c r="D28" s="487" t="s">
        <v>202</v>
      </c>
      <c r="E28" s="488">
        <v>190</v>
      </c>
      <c r="F28" s="488">
        <f>G28/E28</f>
        <v>105.35</v>
      </c>
      <c r="G28" s="528">
        <v>20016.5</v>
      </c>
      <c r="H28" s="489"/>
      <c r="I28" s="489"/>
      <c r="J28" s="528">
        <f t="shared" si="0"/>
        <v>0</v>
      </c>
      <c r="K28" s="490">
        <f t="shared" si="1"/>
        <v>20016.5</v>
      </c>
      <c r="L28" s="370">
        <f t="shared" si="2"/>
        <v>20016.5</v>
      </c>
      <c r="M28" s="65"/>
      <c r="N28" s="8"/>
    </row>
    <row r="29" spans="1:14">
      <c r="A29" s="214">
        <v>26</v>
      </c>
      <c r="B29" s="485">
        <v>46206</v>
      </c>
      <c r="C29" s="491" t="s">
        <v>197</v>
      </c>
      <c r="D29" s="487" t="s">
        <v>198</v>
      </c>
      <c r="E29" s="488">
        <v>30</v>
      </c>
      <c r="F29" s="488">
        <f>G29/E29</f>
        <v>104.92</v>
      </c>
      <c r="G29" s="528">
        <v>3147.6</v>
      </c>
      <c r="H29" s="489"/>
      <c r="I29" s="489"/>
      <c r="J29" s="528">
        <f t="shared" si="0"/>
        <v>0</v>
      </c>
      <c r="K29" s="490">
        <f t="shared" si="1"/>
        <v>3147.6</v>
      </c>
      <c r="L29" s="370">
        <f t="shared" si="2"/>
        <v>3147.6</v>
      </c>
      <c r="M29" s="65"/>
      <c r="N29" s="8"/>
    </row>
    <row r="30" spans="1:14">
      <c r="A30" s="214">
        <v>27</v>
      </c>
      <c r="B30" s="485">
        <v>46207</v>
      </c>
      <c r="C30" s="491" t="s">
        <v>207</v>
      </c>
      <c r="D30" s="487" t="s">
        <v>213</v>
      </c>
      <c r="E30" s="488"/>
      <c r="F30" s="488"/>
      <c r="G30" s="528">
        <f t="shared" si="3"/>
        <v>0</v>
      </c>
      <c r="H30" s="493">
        <v>5</v>
      </c>
      <c r="I30" s="489">
        <v>117.84</v>
      </c>
      <c r="J30" s="528">
        <f t="shared" si="0"/>
        <v>589.20000000000005</v>
      </c>
      <c r="K30" s="490">
        <f t="shared" si="1"/>
        <v>589.20000000000005</v>
      </c>
      <c r="L30" s="370">
        <f t="shared" si="2"/>
        <v>589.20000000000005</v>
      </c>
      <c r="M30" s="65"/>
      <c r="N30" s="8"/>
    </row>
    <row r="31" spans="1:14">
      <c r="A31" s="215">
        <v>28</v>
      </c>
      <c r="B31" s="485">
        <v>46207</v>
      </c>
      <c r="C31" s="491" t="s">
        <v>207</v>
      </c>
      <c r="D31" s="487" t="s">
        <v>213</v>
      </c>
      <c r="E31" s="494">
        <v>10</v>
      </c>
      <c r="F31" s="488">
        <v>105.46</v>
      </c>
      <c r="G31" s="528">
        <f t="shared" si="3"/>
        <v>1054.5999999999999</v>
      </c>
      <c r="H31" s="493"/>
      <c r="I31" s="489"/>
      <c r="J31" s="528">
        <f t="shared" si="0"/>
        <v>0</v>
      </c>
      <c r="K31" s="490">
        <f t="shared" si="1"/>
        <v>1054.5999999999999</v>
      </c>
      <c r="L31" s="370">
        <f t="shared" si="2"/>
        <v>1054.5999999999999</v>
      </c>
      <c r="M31" s="65"/>
      <c r="N31" s="8"/>
    </row>
    <row r="32" spans="1:14">
      <c r="A32" s="214">
        <v>29</v>
      </c>
      <c r="B32" s="485">
        <v>46207</v>
      </c>
      <c r="C32" s="486" t="s">
        <v>209</v>
      </c>
      <c r="D32" s="487" t="s">
        <v>210</v>
      </c>
      <c r="E32" s="494">
        <v>40.24</v>
      </c>
      <c r="F32" s="488">
        <v>105.35</v>
      </c>
      <c r="G32" s="528">
        <f t="shared" si="3"/>
        <v>4239.2839999999997</v>
      </c>
      <c r="H32" s="493"/>
      <c r="I32" s="489"/>
      <c r="J32" s="528">
        <f t="shared" si="0"/>
        <v>0</v>
      </c>
      <c r="K32" s="490">
        <f t="shared" si="1"/>
        <v>4239.2839999999997</v>
      </c>
      <c r="L32" s="370">
        <f t="shared" si="2"/>
        <v>4239.2839999999997</v>
      </c>
      <c r="M32" s="65"/>
      <c r="N32" s="8"/>
    </row>
    <row r="33" spans="1:14">
      <c r="A33" s="214">
        <v>30</v>
      </c>
      <c r="B33" s="485">
        <v>46207</v>
      </c>
      <c r="C33" s="486" t="s">
        <v>201</v>
      </c>
      <c r="D33" s="487" t="s">
        <v>202</v>
      </c>
      <c r="E33" s="494"/>
      <c r="F33" s="488"/>
      <c r="G33" s="528">
        <f t="shared" si="3"/>
        <v>0</v>
      </c>
      <c r="H33" s="493">
        <v>5</v>
      </c>
      <c r="I33" s="489">
        <v>117.72</v>
      </c>
      <c r="J33" s="528">
        <f t="shared" si="0"/>
        <v>588.6</v>
      </c>
      <c r="K33" s="490">
        <f t="shared" si="1"/>
        <v>588.6</v>
      </c>
      <c r="L33" s="370">
        <f t="shared" si="2"/>
        <v>588.6</v>
      </c>
      <c r="M33" s="65"/>
      <c r="N33" s="8"/>
    </row>
    <row r="34" spans="1:14">
      <c r="A34" s="215">
        <v>31</v>
      </c>
      <c r="B34" s="485">
        <v>46207</v>
      </c>
      <c r="C34" s="486" t="s">
        <v>197</v>
      </c>
      <c r="D34" s="487" t="s">
        <v>198</v>
      </c>
      <c r="E34" s="494">
        <v>19.062000000000001</v>
      </c>
      <c r="F34" s="488">
        <v>104.92</v>
      </c>
      <c r="G34" s="528">
        <f t="shared" si="3"/>
        <v>1999.9850400000003</v>
      </c>
      <c r="H34" s="493"/>
      <c r="I34" s="489"/>
      <c r="J34" s="528">
        <f t="shared" si="0"/>
        <v>0</v>
      </c>
      <c r="K34" s="490">
        <f t="shared" si="1"/>
        <v>1999.9850400000003</v>
      </c>
      <c r="L34" s="370">
        <f t="shared" si="2"/>
        <v>1999.9850400000003</v>
      </c>
      <c r="M34" s="65"/>
      <c r="N34" s="8"/>
    </row>
    <row r="35" spans="1:14">
      <c r="A35" s="214">
        <v>32</v>
      </c>
      <c r="B35" s="485">
        <v>46207</v>
      </c>
      <c r="C35" s="486" t="s">
        <v>207</v>
      </c>
      <c r="D35" s="487" t="s">
        <v>213</v>
      </c>
      <c r="E35" s="494">
        <v>30</v>
      </c>
      <c r="F35" s="488">
        <v>105.46</v>
      </c>
      <c r="G35" s="528">
        <f t="shared" si="3"/>
        <v>3163.7999999999997</v>
      </c>
      <c r="H35" s="493"/>
      <c r="I35" s="489"/>
      <c r="J35" s="528">
        <f t="shared" si="0"/>
        <v>0</v>
      </c>
      <c r="K35" s="490">
        <f t="shared" si="1"/>
        <v>3163.7999999999997</v>
      </c>
      <c r="L35" s="370">
        <f t="shared" si="2"/>
        <v>3163.7999999999997</v>
      </c>
      <c r="M35" s="65"/>
      <c r="N35" s="8"/>
    </row>
    <row r="36" spans="1:14">
      <c r="A36" s="214">
        <v>33</v>
      </c>
      <c r="B36" s="485">
        <v>46207</v>
      </c>
      <c r="C36" s="486" t="s">
        <v>197</v>
      </c>
      <c r="D36" s="487" t="s">
        <v>198</v>
      </c>
      <c r="E36" s="494">
        <v>190</v>
      </c>
      <c r="F36" s="529">
        <v>104.92</v>
      </c>
      <c r="G36" s="528">
        <f t="shared" si="3"/>
        <v>19934.8</v>
      </c>
      <c r="H36" s="493"/>
      <c r="I36" s="489"/>
      <c r="J36" s="528">
        <f t="shared" si="0"/>
        <v>0</v>
      </c>
      <c r="K36" s="490">
        <f t="shared" si="1"/>
        <v>19934.8</v>
      </c>
      <c r="L36" s="370">
        <f t="shared" si="2"/>
        <v>19934.8</v>
      </c>
      <c r="M36" s="65"/>
      <c r="N36" s="8"/>
    </row>
    <row r="37" spans="1:14">
      <c r="A37" s="215">
        <v>34</v>
      </c>
      <c r="B37" s="485">
        <v>46207</v>
      </c>
      <c r="C37" s="486" t="s">
        <v>195</v>
      </c>
      <c r="D37" s="487" t="s">
        <v>196</v>
      </c>
      <c r="E37" s="494">
        <v>40.729999999999997</v>
      </c>
      <c r="F37" s="488">
        <v>105.59</v>
      </c>
      <c r="G37" s="528">
        <f t="shared" si="3"/>
        <v>4300.6806999999999</v>
      </c>
      <c r="H37" s="493"/>
      <c r="I37" s="489"/>
      <c r="J37" s="528">
        <f t="shared" si="0"/>
        <v>0</v>
      </c>
      <c r="K37" s="490">
        <f t="shared" si="1"/>
        <v>4300.6806999999999</v>
      </c>
      <c r="L37" s="370">
        <f t="shared" si="2"/>
        <v>4300.6806999999999</v>
      </c>
      <c r="M37" s="65"/>
      <c r="N37" s="8"/>
    </row>
    <row r="38" spans="1:14">
      <c r="A38" s="214">
        <v>35</v>
      </c>
      <c r="B38" s="485">
        <v>46207</v>
      </c>
      <c r="C38" s="486" t="s">
        <v>195</v>
      </c>
      <c r="D38" s="487" t="s">
        <v>196</v>
      </c>
      <c r="E38" s="494"/>
      <c r="F38" s="488">
        <v>117.98</v>
      </c>
      <c r="G38" s="528">
        <f t="shared" si="3"/>
        <v>0</v>
      </c>
      <c r="H38" s="493">
        <v>5</v>
      </c>
      <c r="I38" s="489">
        <v>117.98</v>
      </c>
      <c r="J38" s="528">
        <f t="shared" si="0"/>
        <v>589.9</v>
      </c>
      <c r="K38" s="490">
        <f t="shared" si="1"/>
        <v>589.9</v>
      </c>
      <c r="L38" s="370">
        <f t="shared" si="2"/>
        <v>589.9</v>
      </c>
      <c r="M38" s="65"/>
      <c r="N38" s="8"/>
    </row>
    <row r="39" spans="1:14">
      <c r="A39" s="214">
        <v>36</v>
      </c>
      <c r="B39" s="485">
        <v>46207</v>
      </c>
      <c r="C39" s="486" t="s">
        <v>191</v>
      </c>
      <c r="D39" s="487" t="s">
        <v>196</v>
      </c>
      <c r="E39" s="494">
        <v>120</v>
      </c>
      <c r="F39" s="488">
        <v>105.21</v>
      </c>
      <c r="G39" s="528">
        <f t="shared" si="3"/>
        <v>12625.199999999999</v>
      </c>
      <c r="H39" s="489"/>
      <c r="I39" s="489"/>
      <c r="J39" s="528">
        <f t="shared" si="0"/>
        <v>0</v>
      </c>
      <c r="K39" s="490">
        <f t="shared" si="1"/>
        <v>12625.199999999999</v>
      </c>
      <c r="L39" s="370">
        <f t="shared" si="2"/>
        <v>12625.199999999999</v>
      </c>
      <c r="M39" s="65"/>
      <c r="N39" s="8"/>
    </row>
    <row r="40" spans="1:14">
      <c r="A40" s="215">
        <v>37</v>
      </c>
      <c r="B40" s="485">
        <v>46207</v>
      </c>
      <c r="C40" s="486" t="s">
        <v>197</v>
      </c>
      <c r="D40" s="487" t="s">
        <v>198</v>
      </c>
      <c r="E40" s="494">
        <v>19.062000000000001</v>
      </c>
      <c r="F40" s="488">
        <v>104.92</v>
      </c>
      <c r="G40" s="528">
        <f t="shared" si="3"/>
        <v>1999.9850400000003</v>
      </c>
      <c r="H40" s="489"/>
      <c r="I40" s="489"/>
      <c r="J40" s="528">
        <f t="shared" si="0"/>
        <v>0</v>
      </c>
      <c r="K40" s="490">
        <f t="shared" si="1"/>
        <v>1999.9850400000003</v>
      </c>
      <c r="L40" s="370">
        <f t="shared" si="2"/>
        <v>1999.9850400000003</v>
      </c>
      <c r="M40" s="65"/>
      <c r="N40" s="8"/>
    </row>
    <row r="41" spans="1:14">
      <c r="A41" s="214">
        <v>38</v>
      </c>
      <c r="B41" s="485">
        <v>46207</v>
      </c>
      <c r="C41" s="491" t="s">
        <v>201</v>
      </c>
      <c r="D41" s="487" t="s">
        <v>202</v>
      </c>
      <c r="E41" s="494">
        <v>40.01</v>
      </c>
      <c r="F41" s="488">
        <v>105.35</v>
      </c>
      <c r="G41" s="528">
        <f t="shared" si="3"/>
        <v>4215.0535</v>
      </c>
      <c r="H41" s="489"/>
      <c r="I41" s="489"/>
      <c r="J41" s="528">
        <f t="shared" si="0"/>
        <v>0</v>
      </c>
      <c r="K41" s="490">
        <f t="shared" si="1"/>
        <v>4215.0535</v>
      </c>
      <c r="L41" s="370">
        <f t="shared" si="2"/>
        <v>4215.0535</v>
      </c>
      <c r="M41" s="65"/>
      <c r="N41" s="8"/>
    </row>
    <row r="42" spans="1:14">
      <c r="A42" s="214">
        <v>39</v>
      </c>
      <c r="B42" s="485">
        <v>46207</v>
      </c>
      <c r="C42" s="491" t="s">
        <v>209</v>
      </c>
      <c r="D42" s="487" t="s">
        <v>210</v>
      </c>
      <c r="E42" s="494">
        <v>26.1</v>
      </c>
      <c r="F42" s="488">
        <v>105.35</v>
      </c>
      <c r="G42" s="528">
        <f t="shared" si="3"/>
        <v>2749.6350000000002</v>
      </c>
      <c r="H42" s="489"/>
      <c r="I42" s="489"/>
      <c r="J42" s="528">
        <f t="shared" si="0"/>
        <v>0</v>
      </c>
      <c r="K42" s="490">
        <f t="shared" si="1"/>
        <v>2749.6350000000002</v>
      </c>
      <c r="L42" s="370">
        <f t="shared" si="2"/>
        <v>2749.6350000000002</v>
      </c>
      <c r="M42" s="65"/>
      <c r="N42" s="8"/>
    </row>
    <row r="43" spans="1:14">
      <c r="A43" s="215">
        <v>40</v>
      </c>
      <c r="B43" s="485">
        <v>46208</v>
      </c>
      <c r="C43" s="491" t="s">
        <v>201</v>
      </c>
      <c r="D43" s="487" t="s">
        <v>202</v>
      </c>
      <c r="E43" s="488"/>
      <c r="F43" s="488"/>
      <c r="G43" s="528">
        <f t="shared" si="3"/>
        <v>0</v>
      </c>
      <c r="H43" s="489">
        <v>5</v>
      </c>
      <c r="I43" s="489">
        <f>J43/H43</f>
        <v>117.72</v>
      </c>
      <c r="J43" s="528">
        <v>588.6</v>
      </c>
      <c r="K43" s="490">
        <f t="shared" si="1"/>
        <v>588.6</v>
      </c>
      <c r="L43" s="370">
        <f t="shared" si="2"/>
        <v>588.6</v>
      </c>
      <c r="M43" s="65"/>
      <c r="N43" s="8"/>
    </row>
    <row r="44" spans="1:14">
      <c r="A44" s="214">
        <v>41</v>
      </c>
      <c r="B44" s="485">
        <v>46208</v>
      </c>
      <c r="C44" s="486" t="s">
        <v>191</v>
      </c>
      <c r="D44" s="487" t="s">
        <v>192</v>
      </c>
      <c r="E44" s="488">
        <v>10</v>
      </c>
      <c r="F44" s="488">
        <f>G44/E44</f>
        <v>105.21</v>
      </c>
      <c r="G44" s="528">
        <v>1052.0999999999999</v>
      </c>
      <c r="H44" s="489"/>
      <c r="I44" s="489"/>
      <c r="J44" s="528">
        <f t="shared" si="0"/>
        <v>0</v>
      </c>
      <c r="K44" s="490">
        <f t="shared" si="1"/>
        <v>1052.0999999999999</v>
      </c>
      <c r="L44" s="370">
        <f t="shared" si="2"/>
        <v>1052.0999999999999</v>
      </c>
      <c r="M44" s="65"/>
      <c r="N44" s="8"/>
    </row>
    <row r="45" spans="1:14">
      <c r="A45" s="214">
        <v>42</v>
      </c>
      <c r="B45" s="485">
        <v>46208</v>
      </c>
      <c r="C45" s="486" t="s">
        <v>205</v>
      </c>
      <c r="D45" s="487" t="s">
        <v>206</v>
      </c>
      <c r="E45" s="488">
        <v>0</v>
      </c>
      <c r="F45" s="488">
        <v>0</v>
      </c>
      <c r="G45" s="528">
        <v>0</v>
      </c>
      <c r="H45" s="489">
        <v>10.25</v>
      </c>
      <c r="I45" s="489">
        <v>116.99</v>
      </c>
      <c r="J45" s="528">
        <f t="shared" si="0"/>
        <v>1199.1475</v>
      </c>
      <c r="K45" s="490">
        <f t="shared" si="1"/>
        <v>1199.1475</v>
      </c>
      <c r="L45" s="370">
        <f t="shared" si="2"/>
        <v>1199.1475</v>
      </c>
      <c r="M45" s="65"/>
      <c r="N45" s="8"/>
    </row>
    <row r="46" spans="1:14">
      <c r="A46" s="215">
        <v>43</v>
      </c>
      <c r="B46" s="485">
        <v>46208</v>
      </c>
      <c r="C46" s="486" t="s">
        <v>191</v>
      </c>
      <c r="D46" s="487" t="s">
        <v>192</v>
      </c>
      <c r="E46" s="488">
        <v>44.2</v>
      </c>
      <c r="F46" s="488">
        <f>G46/E46</f>
        <v>105.20995475113121</v>
      </c>
      <c r="G46" s="528">
        <v>4650.28</v>
      </c>
      <c r="H46" s="489"/>
      <c r="I46" s="489"/>
      <c r="J46" s="528">
        <f t="shared" si="0"/>
        <v>0</v>
      </c>
      <c r="K46" s="490">
        <f t="shared" si="1"/>
        <v>4650.28</v>
      </c>
      <c r="L46" s="370">
        <f t="shared" si="2"/>
        <v>4650.28</v>
      </c>
      <c r="M46" s="65"/>
      <c r="N46" s="8"/>
    </row>
    <row r="47" spans="1:14">
      <c r="A47" s="214">
        <v>44</v>
      </c>
      <c r="B47" s="485">
        <v>46208</v>
      </c>
      <c r="C47" s="486" t="s">
        <v>201</v>
      </c>
      <c r="D47" s="487" t="s">
        <v>202</v>
      </c>
      <c r="E47" s="494">
        <v>48.07</v>
      </c>
      <c r="F47" s="488">
        <f>G47/E47</f>
        <v>105.34990638651966</v>
      </c>
      <c r="G47" s="528">
        <v>5064.17</v>
      </c>
      <c r="H47" s="489"/>
      <c r="I47" s="489"/>
      <c r="J47" s="528">
        <f t="shared" si="0"/>
        <v>0</v>
      </c>
      <c r="K47" s="490">
        <f t="shared" si="1"/>
        <v>5064.17</v>
      </c>
      <c r="L47" s="370">
        <f t="shared" si="2"/>
        <v>5064.17</v>
      </c>
      <c r="M47" s="65"/>
      <c r="N47" s="8"/>
    </row>
    <row r="48" spans="1:14">
      <c r="A48" s="214">
        <v>45</v>
      </c>
      <c r="B48" s="485">
        <v>46208</v>
      </c>
      <c r="C48" s="486" t="s">
        <v>201</v>
      </c>
      <c r="D48" s="487" t="s">
        <v>202</v>
      </c>
      <c r="E48" s="494"/>
      <c r="F48" s="488"/>
      <c r="G48" s="528">
        <f t="shared" si="3"/>
        <v>0</v>
      </c>
      <c r="H48" s="489">
        <v>5</v>
      </c>
      <c r="I48" s="489">
        <f>J48/H48</f>
        <v>117.72</v>
      </c>
      <c r="J48" s="528">
        <v>588.6</v>
      </c>
      <c r="K48" s="490">
        <f t="shared" si="1"/>
        <v>588.6</v>
      </c>
      <c r="L48" s="370">
        <f t="shared" si="2"/>
        <v>588.6</v>
      </c>
      <c r="M48" s="65"/>
      <c r="N48" s="8"/>
    </row>
    <row r="49" spans="1:14">
      <c r="A49" s="215">
        <v>46</v>
      </c>
      <c r="B49" s="485">
        <v>46208</v>
      </c>
      <c r="C49" s="486" t="s">
        <v>205</v>
      </c>
      <c r="D49" s="487" t="s">
        <v>206</v>
      </c>
      <c r="E49" s="494">
        <v>48.96</v>
      </c>
      <c r="F49" s="488">
        <f>G49/E49</f>
        <v>104.62009803921568</v>
      </c>
      <c r="G49" s="528">
        <v>5122.2</v>
      </c>
      <c r="H49" s="489"/>
      <c r="I49" s="489"/>
      <c r="J49" s="528">
        <f t="shared" si="0"/>
        <v>0</v>
      </c>
      <c r="K49" s="490">
        <f t="shared" si="1"/>
        <v>5122.2</v>
      </c>
      <c r="L49" s="370">
        <f t="shared" si="2"/>
        <v>5122.2</v>
      </c>
      <c r="M49" s="65"/>
      <c r="N49" s="8"/>
    </row>
    <row r="50" spans="1:14">
      <c r="A50" s="214">
        <v>47</v>
      </c>
      <c r="B50" s="485">
        <v>46208</v>
      </c>
      <c r="C50" s="486" t="s">
        <v>201</v>
      </c>
      <c r="D50" s="487" t="s">
        <v>202</v>
      </c>
      <c r="E50" s="494">
        <v>30</v>
      </c>
      <c r="F50" s="488">
        <f>G50/E50</f>
        <v>105.35</v>
      </c>
      <c r="G50" s="528">
        <v>3160.5</v>
      </c>
      <c r="H50" s="489"/>
      <c r="I50" s="489"/>
      <c r="J50" s="528">
        <f t="shared" si="0"/>
        <v>0</v>
      </c>
      <c r="K50" s="490">
        <f t="shared" si="1"/>
        <v>3160.5</v>
      </c>
      <c r="L50" s="370">
        <f t="shared" si="2"/>
        <v>3160.5</v>
      </c>
      <c r="M50" s="65"/>
      <c r="N50" s="8"/>
    </row>
    <row r="51" spans="1:14">
      <c r="A51" s="214">
        <v>48</v>
      </c>
      <c r="B51" s="485">
        <v>46208</v>
      </c>
      <c r="C51" s="486" t="s">
        <v>195</v>
      </c>
      <c r="D51" s="487" t="s">
        <v>196</v>
      </c>
      <c r="E51" s="494"/>
      <c r="F51" s="488"/>
      <c r="G51" s="528">
        <f t="shared" si="3"/>
        <v>0</v>
      </c>
      <c r="H51" s="489">
        <v>5</v>
      </c>
      <c r="I51" s="489">
        <f>J51/H51</f>
        <v>117.97999999999999</v>
      </c>
      <c r="J51" s="528">
        <v>589.9</v>
      </c>
      <c r="K51" s="490">
        <f t="shared" si="1"/>
        <v>589.9</v>
      </c>
      <c r="L51" s="370">
        <f t="shared" si="2"/>
        <v>589.9</v>
      </c>
      <c r="M51" s="65"/>
      <c r="N51" s="8"/>
    </row>
    <row r="52" spans="1:14">
      <c r="A52" s="215">
        <v>49</v>
      </c>
      <c r="B52" s="485">
        <v>46208</v>
      </c>
      <c r="C52" s="486" t="s">
        <v>191</v>
      </c>
      <c r="D52" s="487" t="s">
        <v>192</v>
      </c>
      <c r="E52" s="494">
        <v>100</v>
      </c>
      <c r="F52" s="488">
        <f>G52/E52</f>
        <v>105.21</v>
      </c>
      <c r="G52" s="528">
        <v>10521</v>
      </c>
      <c r="H52" s="489"/>
      <c r="I52" s="489"/>
      <c r="J52" s="528">
        <f t="shared" si="0"/>
        <v>0</v>
      </c>
      <c r="K52" s="490">
        <f t="shared" si="1"/>
        <v>10521</v>
      </c>
      <c r="L52" s="370">
        <f t="shared" si="2"/>
        <v>10521</v>
      </c>
      <c r="M52" s="65"/>
      <c r="N52" s="8"/>
    </row>
    <row r="53" spans="1:14">
      <c r="A53" s="214">
        <v>50</v>
      </c>
      <c r="B53" s="485">
        <v>46208</v>
      </c>
      <c r="C53" s="486" t="s">
        <v>201</v>
      </c>
      <c r="D53" s="487" t="s">
        <v>202</v>
      </c>
      <c r="E53" s="488"/>
      <c r="F53" s="488"/>
      <c r="G53" s="528">
        <f t="shared" si="3"/>
        <v>0</v>
      </c>
      <c r="H53" s="489">
        <v>5</v>
      </c>
      <c r="I53" s="489">
        <f>J53/H53</f>
        <v>117.72</v>
      </c>
      <c r="J53" s="528">
        <v>588.6</v>
      </c>
      <c r="K53" s="490">
        <f t="shared" si="1"/>
        <v>588.6</v>
      </c>
      <c r="L53" s="370">
        <f t="shared" si="2"/>
        <v>588.6</v>
      </c>
      <c r="M53" s="65"/>
      <c r="N53" s="8"/>
    </row>
    <row r="54" spans="1:14">
      <c r="A54" s="214">
        <v>51</v>
      </c>
      <c r="B54" s="485">
        <v>46208</v>
      </c>
      <c r="C54" s="486" t="s">
        <v>203</v>
      </c>
      <c r="D54" s="487" t="s">
        <v>204</v>
      </c>
      <c r="E54" s="488"/>
      <c r="F54" s="488"/>
      <c r="G54" s="528">
        <f t="shared" si="3"/>
        <v>0</v>
      </c>
      <c r="H54" s="489">
        <v>5.99</v>
      </c>
      <c r="I54" s="489">
        <f>J54/H54</f>
        <v>117.6193656093489</v>
      </c>
      <c r="J54" s="528">
        <v>704.54</v>
      </c>
      <c r="K54" s="490">
        <f t="shared" si="1"/>
        <v>704.54</v>
      </c>
      <c r="L54" s="370">
        <f t="shared" si="2"/>
        <v>704.54</v>
      </c>
      <c r="M54" s="65"/>
      <c r="N54" s="8"/>
    </row>
    <row r="55" spans="1:14">
      <c r="A55" s="215">
        <v>52</v>
      </c>
      <c r="B55" s="485">
        <v>46208</v>
      </c>
      <c r="C55" s="486" t="s">
        <v>203</v>
      </c>
      <c r="D55" s="487" t="s">
        <v>204</v>
      </c>
      <c r="E55" s="488"/>
      <c r="F55" s="488"/>
      <c r="G55" s="528">
        <f t="shared" si="3"/>
        <v>0</v>
      </c>
      <c r="H55" s="489">
        <v>7</v>
      </c>
      <c r="I55" s="489">
        <f>J55/H55</f>
        <v>117.62</v>
      </c>
      <c r="J55" s="528">
        <v>823.34</v>
      </c>
      <c r="K55" s="490">
        <f t="shared" si="1"/>
        <v>823.34</v>
      </c>
      <c r="L55" s="370">
        <f t="shared" si="2"/>
        <v>823.34</v>
      </c>
      <c r="M55" s="65"/>
      <c r="N55" s="8"/>
    </row>
    <row r="56" spans="1:14">
      <c r="A56" s="214">
        <v>53</v>
      </c>
      <c r="B56" s="485">
        <v>46210</v>
      </c>
      <c r="C56" s="486" t="s">
        <v>195</v>
      </c>
      <c r="D56" s="487" t="s">
        <v>196</v>
      </c>
      <c r="E56" s="488"/>
      <c r="F56" s="488"/>
      <c r="G56" s="528">
        <f t="shared" si="3"/>
        <v>0</v>
      </c>
      <c r="H56" s="489">
        <v>6</v>
      </c>
      <c r="I56" s="489">
        <f>J56/H56</f>
        <v>117.98</v>
      </c>
      <c r="J56" s="528">
        <v>707.88</v>
      </c>
      <c r="K56" s="490">
        <f t="shared" si="1"/>
        <v>707.88</v>
      </c>
      <c r="L56" s="370">
        <f t="shared" si="2"/>
        <v>707.88</v>
      </c>
      <c r="M56" s="65"/>
      <c r="N56" s="8"/>
    </row>
    <row r="57" spans="1:14">
      <c r="A57" s="214">
        <v>54</v>
      </c>
      <c r="B57" s="485">
        <v>46210</v>
      </c>
      <c r="C57" s="486" t="s">
        <v>205</v>
      </c>
      <c r="D57" s="487" t="s">
        <v>206</v>
      </c>
      <c r="E57" s="488">
        <v>10</v>
      </c>
      <c r="F57" s="488">
        <f>G57/E57</f>
        <v>104.7</v>
      </c>
      <c r="G57" s="528">
        <v>1047</v>
      </c>
      <c r="H57" s="489"/>
      <c r="I57" s="489"/>
      <c r="J57" s="528">
        <f t="shared" si="0"/>
        <v>0</v>
      </c>
      <c r="K57" s="490">
        <f t="shared" si="1"/>
        <v>1047</v>
      </c>
      <c r="L57" s="370">
        <f t="shared" si="2"/>
        <v>1047</v>
      </c>
      <c r="M57" s="65"/>
      <c r="N57" s="8"/>
    </row>
    <row r="58" spans="1:14">
      <c r="A58" s="215">
        <v>55</v>
      </c>
      <c r="B58" s="485">
        <v>46210</v>
      </c>
      <c r="C58" s="491" t="s">
        <v>214</v>
      </c>
      <c r="D58" s="492" t="s">
        <v>215</v>
      </c>
      <c r="E58" s="488">
        <v>50.52</v>
      </c>
      <c r="F58" s="488">
        <f>G58/E58</f>
        <v>105.57996832937449</v>
      </c>
      <c r="G58" s="528">
        <v>5333.9</v>
      </c>
      <c r="H58" s="489"/>
      <c r="I58" s="489"/>
      <c r="J58" s="528">
        <f t="shared" si="0"/>
        <v>0</v>
      </c>
      <c r="K58" s="490">
        <f t="shared" si="1"/>
        <v>5333.9</v>
      </c>
      <c r="L58" s="370">
        <f t="shared" si="2"/>
        <v>5333.9</v>
      </c>
      <c r="M58" s="65"/>
      <c r="N58" s="8"/>
    </row>
    <row r="59" spans="1:14">
      <c r="A59" s="214">
        <v>56</v>
      </c>
      <c r="B59" s="485">
        <v>46210</v>
      </c>
      <c r="C59" s="486" t="s">
        <v>207</v>
      </c>
      <c r="D59" s="487" t="s">
        <v>208</v>
      </c>
      <c r="E59" s="488">
        <v>30</v>
      </c>
      <c r="F59" s="488">
        <f>G59/E59</f>
        <v>105.46000000000001</v>
      </c>
      <c r="G59" s="528">
        <v>3163.8</v>
      </c>
      <c r="H59" s="489"/>
      <c r="I59" s="489"/>
      <c r="J59" s="528">
        <v>0</v>
      </c>
      <c r="K59" s="490">
        <f t="shared" si="1"/>
        <v>3163.8</v>
      </c>
      <c r="L59" s="370">
        <f t="shared" si="2"/>
        <v>3163.8</v>
      </c>
      <c r="M59" s="65"/>
      <c r="N59" s="8"/>
    </row>
    <row r="60" spans="1:14">
      <c r="A60" s="214">
        <v>57</v>
      </c>
      <c r="B60" s="485">
        <v>46210</v>
      </c>
      <c r="C60" s="486" t="s">
        <v>195</v>
      </c>
      <c r="D60" s="487" t="s">
        <v>196</v>
      </c>
      <c r="E60" s="488"/>
      <c r="F60" s="488"/>
      <c r="G60" s="528">
        <f t="shared" si="3"/>
        <v>0</v>
      </c>
      <c r="H60" s="489">
        <v>5</v>
      </c>
      <c r="I60" s="489">
        <f>J60/H60</f>
        <v>117.97999999999999</v>
      </c>
      <c r="J60" s="528">
        <v>589.9</v>
      </c>
      <c r="K60" s="490">
        <f t="shared" si="1"/>
        <v>589.9</v>
      </c>
      <c r="L60" s="370">
        <f t="shared" si="2"/>
        <v>589.9</v>
      </c>
      <c r="M60" s="65"/>
      <c r="N60" s="8"/>
    </row>
    <row r="61" spans="1:14">
      <c r="A61" s="215">
        <v>58</v>
      </c>
      <c r="B61" s="485">
        <v>46210</v>
      </c>
      <c r="C61" s="486" t="s">
        <v>191</v>
      </c>
      <c r="D61" s="487" t="s">
        <v>192</v>
      </c>
      <c r="E61" s="488">
        <v>120</v>
      </c>
      <c r="F61" s="488">
        <f>G61/E61</f>
        <v>105.21000000000001</v>
      </c>
      <c r="G61" s="528">
        <v>12625.2</v>
      </c>
      <c r="H61" s="493"/>
      <c r="I61" s="489"/>
      <c r="J61" s="528">
        <f t="shared" si="0"/>
        <v>0</v>
      </c>
      <c r="K61" s="490">
        <f t="shared" si="1"/>
        <v>12625.2</v>
      </c>
      <c r="L61" s="370">
        <f t="shared" si="2"/>
        <v>12625.2</v>
      </c>
      <c r="M61" s="65"/>
      <c r="N61" s="8"/>
    </row>
    <row r="62" spans="1:14">
      <c r="A62" s="214">
        <v>59</v>
      </c>
      <c r="B62" s="485">
        <v>46211</v>
      </c>
      <c r="C62" s="486" t="s">
        <v>205</v>
      </c>
      <c r="D62" s="487" t="s">
        <v>206</v>
      </c>
      <c r="E62" s="494"/>
      <c r="F62" s="488"/>
      <c r="G62" s="528"/>
      <c r="H62" s="493">
        <v>5</v>
      </c>
      <c r="I62" s="489">
        <f>J62/H62</f>
        <v>116.99000000000001</v>
      </c>
      <c r="J62" s="528">
        <v>584.95000000000005</v>
      </c>
      <c r="K62" s="490">
        <f t="shared" si="1"/>
        <v>584.95000000000005</v>
      </c>
      <c r="L62" s="370">
        <f t="shared" si="2"/>
        <v>584.95000000000005</v>
      </c>
      <c r="M62" s="65"/>
      <c r="N62" s="8"/>
    </row>
    <row r="63" spans="1:14">
      <c r="A63" s="214">
        <v>60</v>
      </c>
      <c r="B63" s="485">
        <v>46211</v>
      </c>
      <c r="C63" s="486" t="s">
        <v>209</v>
      </c>
      <c r="D63" s="487" t="s">
        <v>210</v>
      </c>
      <c r="E63" s="494">
        <v>60</v>
      </c>
      <c r="F63" s="488">
        <f>G63/E63</f>
        <v>105.35</v>
      </c>
      <c r="G63" s="528">
        <v>6321</v>
      </c>
      <c r="H63" s="493"/>
      <c r="I63" s="489"/>
      <c r="J63" s="528">
        <f t="shared" si="0"/>
        <v>0</v>
      </c>
      <c r="K63" s="490">
        <f t="shared" si="1"/>
        <v>6321</v>
      </c>
      <c r="L63" s="370">
        <f t="shared" si="2"/>
        <v>6321</v>
      </c>
      <c r="M63" s="65"/>
      <c r="N63" s="8"/>
    </row>
    <row r="64" spans="1:14">
      <c r="A64" s="215">
        <v>61</v>
      </c>
      <c r="B64" s="485">
        <v>46211</v>
      </c>
      <c r="C64" s="486" t="s">
        <v>209</v>
      </c>
      <c r="D64" s="487" t="s">
        <v>210</v>
      </c>
      <c r="E64" s="494">
        <v>40</v>
      </c>
      <c r="F64" s="488">
        <f>G64/E64</f>
        <v>105.35</v>
      </c>
      <c r="G64" s="528">
        <v>4214</v>
      </c>
      <c r="H64" s="493"/>
      <c r="I64" s="489"/>
      <c r="J64" s="528">
        <f t="shared" si="0"/>
        <v>0</v>
      </c>
      <c r="K64" s="490">
        <f t="shared" si="1"/>
        <v>4214</v>
      </c>
      <c r="L64" s="370">
        <f t="shared" si="2"/>
        <v>4214</v>
      </c>
      <c r="M64" s="65"/>
      <c r="N64" s="8"/>
    </row>
    <row r="65" spans="1:14">
      <c r="A65" s="214">
        <v>62</v>
      </c>
      <c r="B65" s="485">
        <v>46211</v>
      </c>
      <c r="C65" s="491" t="s">
        <v>201</v>
      </c>
      <c r="D65" s="487" t="s">
        <v>202</v>
      </c>
      <c r="E65" s="494">
        <v>70</v>
      </c>
      <c r="F65" s="488">
        <f>G65/E65</f>
        <v>105.35</v>
      </c>
      <c r="G65" s="528">
        <v>7374.5</v>
      </c>
      <c r="H65" s="493"/>
      <c r="I65" s="489"/>
      <c r="J65" s="528">
        <f t="shared" si="0"/>
        <v>0</v>
      </c>
      <c r="K65" s="490">
        <f t="shared" si="1"/>
        <v>7374.5</v>
      </c>
      <c r="L65" s="370">
        <f t="shared" si="2"/>
        <v>7374.5</v>
      </c>
      <c r="M65" s="65"/>
      <c r="N65" s="8"/>
    </row>
    <row r="66" spans="1:14">
      <c r="A66" s="214">
        <v>63</v>
      </c>
      <c r="B66" s="485">
        <v>46211</v>
      </c>
      <c r="C66" s="486" t="s">
        <v>195</v>
      </c>
      <c r="D66" s="487" t="s">
        <v>196</v>
      </c>
      <c r="E66" s="494"/>
      <c r="F66" s="488"/>
      <c r="G66" s="528">
        <f t="shared" si="3"/>
        <v>0</v>
      </c>
      <c r="H66" s="493">
        <v>5</v>
      </c>
      <c r="I66" s="489">
        <f>J66/H66</f>
        <v>117.97999999999999</v>
      </c>
      <c r="J66" s="528">
        <v>589.9</v>
      </c>
      <c r="K66" s="490">
        <f t="shared" si="1"/>
        <v>589.9</v>
      </c>
      <c r="L66" s="370">
        <f t="shared" si="2"/>
        <v>589.9</v>
      </c>
      <c r="M66" s="65"/>
      <c r="N66" s="8"/>
    </row>
    <row r="67" spans="1:14">
      <c r="A67" s="215">
        <v>64</v>
      </c>
      <c r="B67" s="485">
        <v>46211</v>
      </c>
      <c r="C67" s="486" t="s">
        <v>195</v>
      </c>
      <c r="D67" s="487" t="s">
        <v>196</v>
      </c>
      <c r="E67" s="494">
        <v>35.68</v>
      </c>
      <c r="F67" s="488">
        <f t="shared" ref="F67:F76" si="5">G67/E67</f>
        <v>105.589966367713</v>
      </c>
      <c r="G67" s="528">
        <v>3767.45</v>
      </c>
      <c r="H67" s="493"/>
      <c r="I67" s="489"/>
      <c r="J67" s="528">
        <f t="shared" si="0"/>
        <v>0</v>
      </c>
      <c r="K67" s="490">
        <f t="shared" si="1"/>
        <v>3767.45</v>
      </c>
      <c r="L67" s="370">
        <f t="shared" si="2"/>
        <v>3767.45</v>
      </c>
      <c r="M67" s="65"/>
      <c r="N67" s="8"/>
    </row>
    <row r="68" spans="1:14">
      <c r="A68" s="214">
        <v>65</v>
      </c>
      <c r="B68" s="485">
        <v>46211</v>
      </c>
      <c r="C68" s="486" t="s">
        <v>207</v>
      </c>
      <c r="D68" s="487" t="s">
        <v>208</v>
      </c>
      <c r="E68" s="494">
        <v>20</v>
      </c>
      <c r="F68" s="488">
        <f t="shared" si="5"/>
        <v>105.46</v>
      </c>
      <c r="G68" s="528">
        <v>2109.1999999999998</v>
      </c>
      <c r="H68" s="489"/>
      <c r="I68" s="489"/>
      <c r="J68" s="528">
        <f t="shared" ref="J68:J120" si="6">H68*I68</f>
        <v>0</v>
      </c>
      <c r="K68" s="490">
        <f t="shared" si="1"/>
        <v>2109.1999999999998</v>
      </c>
      <c r="L68" s="370">
        <f t="shared" si="2"/>
        <v>2109.1999999999998</v>
      </c>
      <c r="M68" s="65"/>
      <c r="N68" s="8"/>
    </row>
    <row r="69" spans="1:14">
      <c r="A69" s="214">
        <v>66</v>
      </c>
      <c r="B69" s="485">
        <v>46211</v>
      </c>
      <c r="C69" s="486" t="s">
        <v>205</v>
      </c>
      <c r="D69" s="487" t="s">
        <v>206</v>
      </c>
      <c r="E69" s="494">
        <v>51.25</v>
      </c>
      <c r="F69" s="488">
        <f t="shared" si="5"/>
        <v>104.70009756097561</v>
      </c>
      <c r="G69" s="528">
        <v>5365.88</v>
      </c>
      <c r="H69" s="489"/>
      <c r="I69" s="489"/>
      <c r="J69" s="528">
        <f t="shared" si="6"/>
        <v>0</v>
      </c>
      <c r="K69" s="490">
        <f t="shared" ref="K69:K132" si="7">G69+J69</f>
        <v>5365.88</v>
      </c>
      <c r="L69" s="370">
        <f t="shared" ref="L69:L132" si="8">+K69</f>
        <v>5365.88</v>
      </c>
      <c r="M69" s="65"/>
      <c r="N69" s="8"/>
    </row>
    <row r="70" spans="1:14">
      <c r="A70" s="215">
        <v>67</v>
      </c>
      <c r="B70" s="485">
        <v>46211</v>
      </c>
      <c r="C70" s="486" t="s">
        <v>201</v>
      </c>
      <c r="D70" s="487" t="s">
        <v>202</v>
      </c>
      <c r="E70" s="494">
        <v>39.950000000000003</v>
      </c>
      <c r="F70" s="488">
        <f t="shared" si="5"/>
        <v>105.3499374217772</v>
      </c>
      <c r="G70" s="528">
        <v>4208.7299999999996</v>
      </c>
      <c r="H70" s="489"/>
      <c r="I70" s="489"/>
      <c r="J70" s="528">
        <f t="shared" si="6"/>
        <v>0</v>
      </c>
      <c r="K70" s="490">
        <f t="shared" si="7"/>
        <v>4208.7299999999996</v>
      </c>
      <c r="L70" s="370">
        <f t="shared" si="8"/>
        <v>4208.7299999999996</v>
      </c>
      <c r="M70" s="65"/>
      <c r="N70" s="8"/>
    </row>
    <row r="71" spans="1:14">
      <c r="A71" s="214">
        <v>68</v>
      </c>
      <c r="B71" s="485">
        <v>46211</v>
      </c>
      <c r="C71" s="486" t="s">
        <v>201</v>
      </c>
      <c r="D71" s="487" t="s">
        <v>202</v>
      </c>
      <c r="E71" s="494">
        <v>20.3</v>
      </c>
      <c r="F71" s="488">
        <f t="shared" si="5"/>
        <v>105.34975369458127</v>
      </c>
      <c r="G71" s="528">
        <v>2138.6</v>
      </c>
      <c r="H71" s="489"/>
      <c r="I71" s="489"/>
      <c r="J71" s="528">
        <f t="shared" si="6"/>
        <v>0</v>
      </c>
      <c r="K71" s="490">
        <f t="shared" si="7"/>
        <v>2138.6</v>
      </c>
      <c r="L71" s="370">
        <f t="shared" si="8"/>
        <v>2138.6</v>
      </c>
      <c r="M71" s="65"/>
      <c r="N71" s="8"/>
    </row>
    <row r="72" spans="1:14">
      <c r="A72" s="214">
        <v>69</v>
      </c>
      <c r="B72" s="485">
        <v>46211</v>
      </c>
      <c r="C72" s="486" t="s">
        <v>191</v>
      </c>
      <c r="D72" s="487" t="s">
        <v>192</v>
      </c>
      <c r="E72" s="494">
        <v>170</v>
      </c>
      <c r="F72" s="488">
        <f t="shared" si="5"/>
        <v>105.21000000000001</v>
      </c>
      <c r="G72" s="528">
        <v>17885.7</v>
      </c>
      <c r="H72" s="489"/>
      <c r="I72" s="489"/>
      <c r="J72" s="528">
        <f t="shared" si="6"/>
        <v>0</v>
      </c>
      <c r="K72" s="490">
        <f t="shared" si="7"/>
        <v>17885.7</v>
      </c>
      <c r="L72" s="370">
        <f t="shared" si="8"/>
        <v>17885.7</v>
      </c>
      <c r="M72" s="65"/>
      <c r="N72" s="8"/>
    </row>
    <row r="73" spans="1:14">
      <c r="A73" s="215">
        <v>70</v>
      </c>
      <c r="B73" s="485">
        <v>46211</v>
      </c>
      <c r="C73" s="486" t="s">
        <v>207</v>
      </c>
      <c r="D73" s="487" t="s">
        <v>208</v>
      </c>
      <c r="E73" s="494">
        <v>20</v>
      </c>
      <c r="F73" s="488">
        <f t="shared" si="5"/>
        <v>105.46</v>
      </c>
      <c r="G73" s="528">
        <v>2109.1999999999998</v>
      </c>
      <c r="H73" s="489"/>
      <c r="I73" s="489"/>
      <c r="J73" s="528">
        <f t="shared" si="6"/>
        <v>0</v>
      </c>
      <c r="K73" s="490">
        <f t="shared" si="7"/>
        <v>2109.1999999999998</v>
      </c>
      <c r="L73" s="370">
        <f t="shared" si="8"/>
        <v>2109.1999999999998</v>
      </c>
      <c r="M73" s="65"/>
      <c r="N73" s="8"/>
    </row>
    <row r="74" spans="1:14">
      <c r="A74" s="214">
        <v>71</v>
      </c>
      <c r="B74" s="485">
        <v>46211</v>
      </c>
      <c r="C74" s="486" t="s">
        <v>191</v>
      </c>
      <c r="D74" s="487" t="s">
        <v>192</v>
      </c>
      <c r="E74" s="494">
        <v>43.54</v>
      </c>
      <c r="F74" s="488">
        <f t="shared" si="5"/>
        <v>105.20992191088655</v>
      </c>
      <c r="G74" s="528">
        <v>4580.84</v>
      </c>
      <c r="H74" s="493"/>
      <c r="I74" s="489"/>
      <c r="J74" s="528">
        <f t="shared" si="6"/>
        <v>0</v>
      </c>
      <c r="K74" s="490">
        <f t="shared" si="7"/>
        <v>4580.84</v>
      </c>
      <c r="L74" s="370">
        <f t="shared" si="8"/>
        <v>4580.84</v>
      </c>
      <c r="M74" s="65"/>
      <c r="N74" s="8"/>
    </row>
    <row r="75" spans="1:14">
      <c r="A75" s="214">
        <v>72</v>
      </c>
      <c r="B75" s="485">
        <v>46212</v>
      </c>
      <c r="C75" s="486" t="s">
        <v>205</v>
      </c>
      <c r="D75" s="487" t="s">
        <v>206</v>
      </c>
      <c r="E75" s="494"/>
      <c r="F75" s="488"/>
      <c r="G75" s="528">
        <f t="shared" ref="G75:G120" si="9">E75*F75</f>
        <v>0</v>
      </c>
      <c r="H75" s="493">
        <v>5</v>
      </c>
      <c r="I75" s="489">
        <f>J75/H75</f>
        <v>116.99000000000001</v>
      </c>
      <c r="J75" s="528">
        <v>584.95000000000005</v>
      </c>
      <c r="K75" s="490">
        <f t="shared" si="7"/>
        <v>584.95000000000005</v>
      </c>
      <c r="L75" s="370">
        <f t="shared" si="8"/>
        <v>584.95000000000005</v>
      </c>
      <c r="M75" s="65"/>
      <c r="N75" s="8"/>
    </row>
    <row r="76" spans="1:14">
      <c r="A76" s="215">
        <v>73</v>
      </c>
      <c r="B76" s="485">
        <v>46212</v>
      </c>
      <c r="C76" s="486" t="s">
        <v>191</v>
      </c>
      <c r="D76" s="487" t="s">
        <v>192</v>
      </c>
      <c r="E76" s="488">
        <v>160</v>
      </c>
      <c r="F76" s="488">
        <f t="shared" si="5"/>
        <v>105.21</v>
      </c>
      <c r="G76" s="528">
        <v>16833.599999999999</v>
      </c>
      <c r="H76" s="493"/>
      <c r="I76" s="489"/>
      <c r="J76" s="528">
        <f t="shared" si="6"/>
        <v>0</v>
      </c>
      <c r="K76" s="490">
        <f t="shared" si="7"/>
        <v>16833.599999999999</v>
      </c>
      <c r="L76" s="370">
        <f t="shared" si="8"/>
        <v>16833.599999999999</v>
      </c>
      <c r="M76" s="65"/>
      <c r="N76" s="8"/>
    </row>
    <row r="77" spans="1:14">
      <c r="A77" s="214">
        <v>74</v>
      </c>
      <c r="B77" s="485">
        <v>46212</v>
      </c>
      <c r="C77" s="486" t="s">
        <v>207</v>
      </c>
      <c r="D77" s="487" t="s">
        <v>208</v>
      </c>
      <c r="E77" s="488"/>
      <c r="F77" s="488"/>
      <c r="G77" s="528">
        <f t="shared" si="9"/>
        <v>0</v>
      </c>
      <c r="H77" s="493">
        <v>8</v>
      </c>
      <c r="I77" s="489">
        <f>J77/H77</f>
        <v>117.84</v>
      </c>
      <c r="J77" s="528">
        <v>942.72</v>
      </c>
      <c r="K77" s="490">
        <f t="shared" si="7"/>
        <v>942.72</v>
      </c>
      <c r="L77" s="370">
        <f t="shared" si="8"/>
        <v>942.72</v>
      </c>
      <c r="M77" s="65"/>
      <c r="N77" s="8"/>
    </row>
    <row r="78" spans="1:14">
      <c r="A78" s="214">
        <v>75</v>
      </c>
      <c r="B78" s="485">
        <v>46212</v>
      </c>
      <c r="C78" s="486" t="s">
        <v>201</v>
      </c>
      <c r="D78" s="487" t="s">
        <v>202</v>
      </c>
      <c r="E78" s="488"/>
      <c r="F78" s="488"/>
      <c r="G78" s="528">
        <f t="shared" si="9"/>
        <v>0</v>
      </c>
      <c r="H78" s="493">
        <v>5</v>
      </c>
      <c r="I78" s="489">
        <f>J78/H78</f>
        <v>117.72</v>
      </c>
      <c r="J78" s="528">
        <v>588.6</v>
      </c>
      <c r="K78" s="490">
        <f t="shared" si="7"/>
        <v>588.6</v>
      </c>
      <c r="L78" s="370">
        <f t="shared" si="8"/>
        <v>588.6</v>
      </c>
      <c r="M78" s="65"/>
      <c r="N78" s="8"/>
    </row>
    <row r="79" spans="1:14">
      <c r="A79" s="215">
        <v>76</v>
      </c>
      <c r="B79" s="485">
        <v>46212</v>
      </c>
      <c r="C79" s="486" t="s">
        <v>205</v>
      </c>
      <c r="D79" s="487" t="s">
        <v>206</v>
      </c>
      <c r="E79" s="488"/>
      <c r="F79" s="488"/>
      <c r="G79" s="528">
        <f t="shared" si="9"/>
        <v>0</v>
      </c>
      <c r="H79" s="493">
        <v>5</v>
      </c>
      <c r="I79" s="489">
        <f>J79/H79</f>
        <v>116.99000000000001</v>
      </c>
      <c r="J79" s="528">
        <v>584.95000000000005</v>
      </c>
      <c r="K79" s="490">
        <f t="shared" si="7"/>
        <v>584.95000000000005</v>
      </c>
      <c r="L79" s="370">
        <f t="shared" si="8"/>
        <v>584.95000000000005</v>
      </c>
      <c r="M79" s="65"/>
      <c r="N79" s="8"/>
    </row>
    <row r="80" spans="1:14">
      <c r="A80" s="214">
        <v>77</v>
      </c>
      <c r="B80" s="485">
        <v>46212</v>
      </c>
      <c r="C80" s="491" t="s">
        <v>216</v>
      </c>
      <c r="D80" s="492" t="s">
        <v>196</v>
      </c>
      <c r="E80" s="488"/>
      <c r="F80" s="488"/>
      <c r="G80" s="528">
        <f t="shared" si="9"/>
        <v>0</v>
      </c>
      <c r="H80" s="493">
        <v>5</v>
      </c>
      <c r="I80" s="489">
        <f>J80/H80</f>
        <v>117.97999999999999</v>
      </c>
      <c r="J80" s="528">
        <v>589.9</v>
      </c>
      <c r="K80" s="490">
        <f t="shared" si="7"/>
        <v>589.9</v>
      </c>
      <c r="L80" s="370">
        <f t="shared" si="8"/>
        <v>589.9</v>
      </c>
      <c r="M80" s="65"/>
      <c r="N80" s="8"/>
    </row>
    <row r="81" spans="1:14">
      <c r="A81" s="214">
        <v>78</v>
      </c>
      <c r="B81" s="485">
        <v>46212</v>
      </c>
      <c r="C81" s="486" t="s">
        <v>199</v>
      </c>
      <c r="D81" s="487" t="s">
        <v>200</v>
      </c>
      <c r="E81" s="488">
        <v>48.14</v>
      </c>
      <c r="F81" s="488">
        <f t="shared" ref="F81:F93" si="10">G81/E81</f>
        <v>104.6200664727877</v>
      </c>
      <c r="G81" s="528">
        <v>5036.41</v>
      </c>
      <c r="H81" s="493"/>
      <c r="I81" s="489"/>
      <c r="J81" s="528">
        <f t="shared" si="6"/>
        <v>0</v>
      </c>
      <c r="K81" s="490">
        <f t="shared" si="7"/>
        <v>5036.41</v>
      </c>
      <c r="L81" s="370">
        <f t="shared" si="8"/>
        <v>5036.41</v>
      </c>
      <c r="M81" s="65"/>
      <c r="N81" s="8"/>
    </row>
    <row r="82" spans="1:14">
      <c r="A82" s="215">
        <v>79</v>
      </c>
      <c r="B82" s="485">
        <v>46212</v>
      </c>
      <c r="C82" s="486" t="s">
        <v>209</v>
      </c>
      <c r="D82" s="487" t="s">
        <v>198</v>
      </c>
      <c r="E82" s="488">
        <v>48.35</v>
      </c>
      <c r="F82" s="488">
        <f t="shared" si="10"/>
        <v>105.34994829369182</v>
      </c>
      <c r="G82" s="528">
        <v>5093.67</v>
      </c>
      <c r="H82" s="493"/>
      <c r="I82" s="489"/>
      <c r="J82" s="528">
        <f t="shared" si="6"/>
        <v>0</v>
      </c>
      <c r="K82" s="490">
        <f t="shared" si="7"/>
        <v>5093.67</v>
      </c>
      <c r="L82" s="370">
        <f t="shared" si="8"/>
        <v>5093.67</v>
      </c>
      <c r="M82" s="65"/>
      <c r="N82" s="8"/>
    </row>
    <row r="83" spans="1:14">
      <c r="A83" s="214">
        <v>80</v>
      </c>
      <c r="B83" s="485">
        <v>46212</v>
      </c>
      <c r="C83" s="486" t="s">
        <v>191</v>
      </c>
      <c r="D83" s="487" t="s">
        <v>192</v>
      </c>
      <c r="E83" s="488">
        <v>240</v>
      </c>
      <c r="F83" s="488">
        <f t="shared" si="10"/>
        <v>105.21000000000001</v>
      </c>
      <c r="G83" s="528">
        <v>25250.400000000001</v>
      </c>
      <c r="H83" s="493"/>
      <c r="I83" s="489"/>
      <c r="J83" s="528">
        <f t="shared" si="6"/>
        <v>0</v>
      </c>
      <c r="K83" s="490">
        <f t="shared" si="7"/>
        <v>25250.400000000001</v>
      </c>
      <c r="L83" s="370">
        <f t="shared" si="8"/>
        <v>25250.400000000001</v>
      </c>
      <c r="M83" s="65"/>
      <c r="N83" s="8"/>
    </row>
    <row r="84" spans="1:14">
      <c r="A84" s="214">
        <v>81</v>
      </c>
      <c r="B84" s="485">
        <v>46212</v>
      </c>
      <c r="C84" s="486" t="s">
        <v>201</v>
      </c>
      <c r="D84" s="487" t="s">
        <v>202</v>
      </c>
      <c r="E84" s="488"/>
      <c r="F84" s="488"/>
      <c r="G84" s="528">
        <f t="shared" ref="G84:G187" si="11">E84*F84</f>
        <v>0</v>
      </c>
      <c r="H84" s="493">
        <v>5</v>
      </c>
      <c r="I84" s="489">
        <f>J84/H84</f>
        <v>117.72</v>
      </c>
      <c r="J84" s="528">
        <v>588.6</v>
      </c>
      <c r="K84" s="490">
        <f t="shared" si="7"/>
        <v>588.6</v>
      </c>
      <c r="L84" s="370">
        <f t="shared" si="8"/>
        <v>588.6</v>
      </c>
      <c r="M84" s="65"/>
      <c r="N84" s="8"/>
    </row>
    <row r="85" spans="1:14">
      <c r="A85" s="215">
        <v>82</v>
      </c>
      <c r="B85" s="485">
        <v>46213</v>
      </c>
      <c r="C85" s="491" t="s">
        <v>191</v>
      </c>
      <c r="D85" s="487" t="s">
        <v>192</v>
      </c>
      <c r="E85" s="488">
        <v>50</v>
      </c>
      <c r="F85" s="488">
        <f t="shared" si="10"/>
        <v>105.2</v>
      </c>
      <c r="G85" s="528">
        <v>5260</v>
      </c>
      <c r="H85" s="493"/>
      <c r="I85" s="489"/>
      <c r="J85" s="528">
        <f t="shared" ref="J85:J152" si="12">H85*I85</f>
        <v>0</v>
      </c>
      <c r="K85" s="490">
        <f t="shared" si="7"/>
        <v>5260</v>
      </c>
      <c r="L85" s="370">
        <f t="shared" si="8"/>
        <v>5260</v>
      </c>
      <c r="M85" s="65"/>
      <c r="N85" s="8"/>
    </row>
    <row r="86" spans="1:14">
      <c r="A86" s="214">
        <v>83</v>
      </c>
      <c r="B86" s="485">
        <v>46213</v>
      </c>
      <c r="C86" s="491" t="s">
        <v>191</v>
      </c>
      <c r="D86" s="487" t="s">
        <v>192</v>
      </c>
      <c r="E86" s="488"/>
      <c r="F86" s="488"/>
      <c r="G86" s="528">
        <f t="shared" si="11"/>
        <v>0</v>
      </c>
      <c r="H86" s="489">
        <v>5</v>
      </c>
      <c r="I86" s="489">
        <f>J86/H86</f>
        <v>117.58</v>
      </c>
      <c r="J86" s="528">
        <v>587.9</v>
      </c>
      <c r="K86" s="490">
        <f t="shared" si="7"/>
        <v>587.9</v>
      </c>
      <c r="L86" s="370">
        <f t="shared" si="8"/>
        <v>587.9</v>
      </c>
      <c r="M86" s="65"/>
      <c r="N86" s="8"/>
    </row>
    <row r="87" spans="1:14">
      <c r="A87" s="214">
        <v>84</v>
      </c>
      <c r="B87" s="485">
        <v>46213</v>
      </c>
      <c r="C87" s="491" t="s">
        <v>191</v>
      </c>
      <c r="D87" s="487" t="s">
        <v>192</v>
      </c>
      <c r="E87" s="488">
        <v>40</v>
      </c>
      <c r="F87" s="488">
        <f t="shared" si="10"/>
        <v>105.21</v>
      </c>
      <c r="G87" s="528">
        <v>4208.3999999999996</v>
      </c>
      <c r="H87" s="489"/>
      <c r="I87" s="489"/>
      <c r="J87" s="528">
        <f t="shared" si="12"/>
        <v>0</v>
      </c>
      <c r="K87" s="490">
        <f t="shared" si="7"/>
        <v>4208.3999999999996</v>
      </c>
      <c r="L87" s="370">
        <f t="shared" si="8"/>
        <v>4208.3999999999996</v>
      </c>
      <c r="M87" s="65"/>
      <c r="N87" s="8"/>
    </row>
    <row r="88" spans="1:14">
      <c r="A88" s="215">
        <v>85</v>
      </c>
      <c r="B88" s="485">
        <v>46213</v>
      </c>
      <c r="C88" s="491" t="s">
        <v>195</v>
      </c>
      <c r="D88" s="487" t="s">
        <v>196</v>
      </c>
      <c r="E88" s="488">
        <v>28.02</v>
      </c>
      <c r="F88" s="488">
        <f t="shared" si="10"/>
        <v>105.58993576017131</v>
      </c>
      <c r="G88" s="528">
        <v>2958.63</v>
      </c>
      <c r="H88" s="489"/>
      <c r="I88" s="489"/>
      <c r="J88" s="528">
        <f t="shared" si="12"/>
        <v>0</v>
      </c>
      <c r="K88" s="490">
        <f t="shared" si="7"/>
        <v>2958.63</v>
      </c>
      <c r="L88" s="370">
        <f t="shared" si="8"/>
        <v>2958.63</v>
      </c>
      <c r="M88" s="65"/>
      <c r="N88" s="8"/>
    </row>
    <row r="89" spans="1:14">
      <c r="A89" s="214">
        <v>86</v>
      </c>
      <c r="B89" s="485">
        <v>46213</v>
      </c>
      <c r="C89" s="491" t="s">
        <v>203</v>
      </c>
      <c r="D89" s="487" t="s">
        <v>204</v>
      </c>
      <c r="E89" s="488"/>
      <c r="F89" s="488"/>
      <c r="G89" s="528">
        <f t="shared" si="11"/>
        <v>0</v>
      </c>
      <c r="H89" s="489">
        <v>6</v>
      </c>
      <c r="I89" s="489">
        <f>J89/H89</f>
        <v>117.62</v>
      </c>
      <c r="J89" s="528">
        <v>705.72</v>
      </c>
      <c r="K89" s="490">
        <f t="shared" si="7"/>
        <v>705.72</v>
      </c>
      <c r="L89" s="370">
        <f t="shared" si="8"/>
        <v>705.72</v>
      </c>
      <c r="M89" s="65"/>
      <c r="N89" s="8"/>
    </row>
    <row r="90" spans="1:14">
      <c r="A90" s="214">
        <v>87</v>
      </c>
      <c r="B90" s="485">
        <v>46213</v>
      </c>
      <c r="C90" s="491" t="s">
        <v>205</v>
      </c>
      <c r="D90" s="487" t="s">
        <v>206</v>
      </c>
      <c r="E90" s="488">
        <v>41.83</v>
      </c>
      <c r="F90" s="488">
        <f t="shared" si="10"/>
        <v>104.69997609371266</v>
      </c>
      <c r="G90" s="528">
        <v>4379.6000000000004</v>
      </c>
      <c r="H90" s="489"/>
      <c r="I90" s="489"/>
      <c r="J90" s="528">
        <f t="shared" si="12"/>
        <v>0</v>
      </c>
      <c r="K90" s="490">
        <f t="shared" si="7"/>
        <v>4379.6000000000004</v>
      </c>
      <c r="L90" s="370">
        <f t="shared" si="8"/>
        <v>4379.6000000000004</v>
      </c>
      <c r="M90" s="65"/>
      <c r="N90" s="8"/>
    </row>
    <row r="91" spans="1:14">
      <c r="A91" s="215">
        <v>88</v>
      </c>
      <c r="B91" s="485">
        <v>46213</v>
      </c>
      <c r="C91" s="491" t="s">
        <v>191</v>
      </c>
      <c r="D91" s="487" t="s">
        <v>192</v>
      </c>
      <c r="E91" s="488">
        <v>70</v>
      </c>
      <c r="F91" s="488">
        <f t="shared" si="10"/>
        <v>105.21</v>
      </c>
      <c r="G91" s="528">
        <v>7364.7</v>
      </c>
      <c r="H91" s="489"/>
      <c r="I91" s="489"/>
      <c r="J91" s="528">
        <f t="shared" si="12"/>
        <v>0</v>
      </c>
      <c r="K91" s="490">
        <f t="shared" si="7"/>
        <v>7364.7</v>
      </c>
      <c r="L91" s="370">
        <f t="shared" si="8"/>
        <v>7364.7</v>
      </c>
      <c r="M91" s="65"/>
      <c r="N91" s="8"/>
    </row>
    <row r="92" spans="1:14">
      <c r="A92" s="214">
        <v>89</v>
      </c>
      <c r="B92" s="485">
        <v>46213</v>
      </c>
      <c r="C92" s="495" t="s">
        <v>195</v>
      </c>
      <c r="D92" s="487" t="s">
        <v>196</v>
      </c>
      <c r="E92" s="496"/>
      <c r="F92" s="488"/>
      <c r="G92" s="528">
        <f t="shared" si="11"/>
        <v>0</v>
      </c>
      <c r="H92" s="489">
        <v>5</v>
      </c>
      <c r="I92" s="489">
        <f>J92/H92</f>
        <v>117.97999999999999</v>
      </c>
      <c r="J92" s="528">
        <v>589.9</v>
      </c>
      <c r="K92" s="490">
        <f t="shared" si="7"/>
        <v>589.9</v>
      </c>
      <c r="L92" s="370">
        <f t="shared" si="8"/>
        <v>589.9</v>
      </c>
      <c r="M92" s="65"/>
      <c r="N92" s="8"/>
    </row>
    <row r="93" spans="1:14">
      <c r="A93" s="214">
        <v>90</v>
      </c>
      <c r="B93" s="485">
        <v>46213</v>
      </c>
      <c r="C93" s="495" t="s">
        <v>201</v>
      </c>
      <c r="D93" s="487" t="s">
        <v>202</v>
      </c>
      <c r="E93" s="496">
        <v>20</v>
      </c>
      <c r="F93" s="488">
        <f t="shared" si="10"/>
        <v>105.35</v>
      </c>
      <c r="G93" s="528">
        <v>2107</v>
      </c>
      <c r="H93" s="489"/>
      <c r="I93" s="489"/>
      <c r="J93" s="528">
        <f t="shared" si="12"/>
        <v>0</v>
      </c>
      <c r="K93" s="490">
        <f t="shared" si="7"/>
        <v>2107</v>
      </c>
      <c r="L93" s="370">
        <f t="shared" si="8"/>
        <v>2107</v>
      </c>
      <c r="M93" s="65"/>
      <c r="N93" s="8"/>
    </row>
    <row r="94" spans="1:14">
      <c r="A94" s="215">
        <v>91</v>
      </c>
      <c r="B94" s="485">
        <v>46213</v>
      </c>
      <c r="C94" s="495" t="s">
        <v>201</v>
      </c>
      <c r="D94" s="487" t="s">
        <v>202</v>
      </c>
      <c r="E94" s="496"/>
      <c r="F94" s="488"/>
      <c r="G94" s="528">
        <f t="shared" si="11"/>
        <v>0</v>
      </c>
      <c r="H94" s="489">
        <v>5</v>
      </c>
      <c r="I94" s="489">
        <f>J94/H94</f>
        <v>117.72</v>
      </c>
      <c r="J94" s="528">
        <v>588.6</v>
      </c>
      <c r="K94" s="490">
        <f t="shared" si="7"/>
        <v>588.6</v>
      </c>
      <c r="L94" s="370">
        <f t="shared" si="8"/>
        <v>588.6</v>
      </c>
      <c r="M94" s="65"/>
      <c r="N94" s="8"/>
    </row>
    <row r="95" spans="1:14">
      <c r="A95" s="214">
        <v>92</v>
      </c>
      <c r="B95" s="485">
        <v>46214</v>
      </c>
      <c r="C95" s="495" t="s">
        <v>203</v>
      </c>
      <c r="D95" s="487" t="s">
        <v>204</v>
      </c>
      <c r="E95" s="496">
        <v>42.02</v>
      </c>
      <c r="F95" s="488">
        <f>G95/E95</f>
        <v>117.81841980009517</v>
      </c>
      <c r="G95" s="528">
        <v>4950.7299999999996</v>
      </c>
      <c r="H95" s="489"/>
      <c r="I95" s="489"/>
      <c r="J95" s="528">
        <f t="shared" si="12"/>
        <v>0</v>
      </c>
      <c r="K95" s="490">
        <f t="shared" si="7"/>
        <v>4950.7299999999996</v>
      </c>
      <c r="L95" s="370">
        <f t="shared" si="8"/>
        <v>4950.7299999999996</v>
      </c>
      <c r="M95" s="65"/>
      <c r="N95" s="8"/>
    </row>
    <row r="96" spans="1:14">
      <c r="A96" s="214">
        <v>93</v>
      </c>
      <c r="B96" s="485">
        <v>46214</v>
      </c>
      <c r="C96" s="495" t="s">
        <v>209</v>
      </c>
      <c r="D96" s="487" t="s">
        <v>198</v>
      </c>
      <c r="E96" s="496">
        <v>20</v>
      </c>
      <c r="F96" s="488">
        <f>G96/E96</f>
        <v>105.35</v>
      </c>
      <c r="G96" s="528">
        <v>2107</v>
      </c>
      <c r="H96" s="489"/>
      <c r="I96" s="489"/>
      <c r="J96" s="528">
        <f t="shared" si="12"/>
        <v>0</v>
      </c>
      <c r="K96" s="490">
        <f t="shared" si="7"/>
        <v>2107</v>
      </c>
      <c r="L96" s="370">
        <f t="shared" si="8"/>
        <v>2107</v>
      </c>
      <c r="M96" s="65"/>
      <c r="N96" s="8"/>
    </row>
    <row r="97" spans="1:14">
      <c r="A97" s="215">
        <v>94</v>
      </c>
      <c r="B97" s="485">
        <v>46214</v>
      </c>
      <c r="C97" s="495" t="s">
        <v>205</v>
      </c>
      <c r="D97" s="487" t="s">
        <v>206</v>
      </c>
      <c r="E97" s="496">
        <v>10</v>
      </c>
      <c r="F97" s="488">
        <f>G97/E97</f>
        <v>104.7</v>
      </c>
      <c r="G97" s="528">
        <v>1047</v>
      </c>
      <c r="H97" s="489"/>
      <c r="I97" s="489"/>
      <c r="J97" s="528">
        <f t="shared" si="12"/>
        <v>0</v>
      </c>
      <c r="K97" s="490">
        <f t="shared" si="7"/>
        <v>1047</v>
      </c>
      <c r="L97" s="370">
        <f t="shared" si="8"/>
        <v>1047</v>
      </c>
      <c r="M97" s="65"/>
      <c r="N97" s="8"/>
    </row>
    <row r="98" spans="1:14">
      <c r="A98" s="214">
        <v>95</v>
      </c>
      <c r="B98" s="485">
        <v>46214</v>
      </c>
      <c r="C98" s="495" t="s">
        <v>205</v>
      </c>
      <c r="D98" s="487" t="s">
        <v>206</v>
      </c>
      <c r="E98" s="496"/>
      <c r="F98" s="488"/>
      <c r="G98" s="528">
        <v>0</v>
      </c>
      <c r="H98" s="489">
        <v>5</v>
      </c>
      <c r="I98" s="489">
        <f>J98/H98</f>
        <v>116.99000000000001</v>
      </c>
      <c r="J98" s="528">
        <v>584.95000000000005</v>
      </c>
      <c r="K98" s="490">
        <f t="shared" si="7"/>
        <v>584.95000000000005</v>
      </c>
      <c r="L98" s="370">
        <f t="shared" si="8"/>
        <v>584.95000000000005</v>
      </c>
      <c r="M98" s="65"/>
      <c r="N98" s="8"/>
    </row>
    <row r="99" spans="1:14">
      <c r="A99" s="214">
        <v>96</v>
      </c>
      <c r="B99" s="485">
        <v>46214</v>
      </c>
      <c r="C99" s="495" t="s">
        <v>217</v>
      </c>
      <c r="D99" s="487" t="s">
        <v>218</v>
      </c>
      <c r="E99" s="496">
        <v>145</v>
      </c>
      <c r="F99" s="488">
        <f t="shared" ref="F99:F118" si="13">G99/E99</f>
        <v>104.75</v>
      </c>
      <c r="G99" s="528">
        <v>15188.75</v>
      </c>
      <c r="H99" s="489"/>
      <c r="I99" s="489"/>
      <c r="J99" s="528">
        <f t="shared" si="12"/>
        <v>0</v>
      </c>
      <c r="K99" s="490">
        <f t="shared" si="7"/>
        <v>15188.75</v>
      </c>
      <c r="L99" s="370">
        <f t="shared" si="8"/>
        <v>15188.75</v>
      </c>
      <c r="M99" s="65"/>
      <c r="N99" s="8"/>
    </row>
    <row r="100" spans="1:14">
      <c r="A100" s="215">
        <v>97</v>
      </c>
      <c r="B100" s="485">
        <v>46214</v>
      </c>
      <c r="C100" s="495" t="s">
        <v>201</v>
      </c>
      <c r="D100" s="487" t="s">
        <v>202</v>
      </c>
      <c r="E100" s="488">
        <v>110</v>
      </c>
      <c r="F100" s="494">
        <f t="shared" si="13"/>
        <v>105.35</v>
      </c>
      <c r="G100" s="528">
        <v>11588.5</v>
      </c>
      <c r="H100" s="489"/>
      <c r="I100" s="489"/>
      <c r="J100" s="528">
        <f t="shared" si="12"/>
        <v>0</v>
      </c>
      <c r="K100" s="490">
        <f t="shared" si="7"/>
        <v>11588.5</v>
      </c>
      <c r="L100" s="370">
        <f t="shared" si="8"/>
        <v>11588.5</v>
      </c>
      <c r="M100" s="65"/>
      <c r="N100" s="8"/>
    </row>
    <row r="101" spans="1:14">
      <c r="A101" s="214">
        <v>98</v>
      </c>
      <c r="B101" s="485">
        <v>46214</v>
      </c>
      <c r="C101" s="495" t="s">
        <v>195</v>
      </c>
      <c r="D101" s="487" t="s">
        <v>196</v>
      </c>
      <c r="E101" s="488">
        <v>44.45</v>
      </c>
      <c r="F101" s="494">
        <f t="shared" si="13"/>
        <v>105.59010123734531</v>
      </c>
      <c r="G101" s="528">
        <v>4693.4799999999996</v>
      </c>
      <c r="H101" s="489"/>
      <c r="I101" s="489"/>
      <c r="J101" s="528">
        <f t="shared" si="12"/>
        <v>0</v>
      </c>
      <c r="K101" s="490">
        <f t="shared" si="7"/>
        <v>4693.4799999999996</v>
      </c>
      <c r="L101" s="370">
        <f t="shared" si="8"/>
        <v>4693.4799999999996</v>
      </c>
      <c r="M101" s="65"/>
      <c r="N101" s="8"/>
    </row>
    <row r="102" spans="1:14">
      <c r="A102" s="214">
        <v>99</v>
      </c>
      <c r="B102" s="485">
        <v>46214</v>
      </c>
      <c r="C102" s="495" t="s">
        <v>201</v>
      </c>
      <c r="D102" s="487" t="s">
        <v>202</v>
      </c>
      <c r="E102" s="488">
        <v>20</v>
      </c>
      <c r="F102" s="494">
        <f t="shared" si="13"/>
        <v>105.35</v>
      </c>
      <c r="G102" s="528">
        <v>2107</v>
      </c>
      <c r="H102" s="489"/>
      <c r="I102" s="489"/>
      <c r="J102" s="528">
        <f t="shared" si="12"/>
        <v>0</v>
      </c>
      <c r="K102" s="490">
        <f t="shared" si="7"/>
        <v>2107</v>
      </c>
      <c r="L102" s="370">
        <f t="shared" si="8"/>
        <v>2107</v>
      </c>
      <c r="M102" s="65"/>
      <c r="N102" s="8"/>
    </row>
    <row r="103" spans="1:14">
      <c r="A103" s="215">
        <v>100</v>
      </c>
      <c r="B103" s="485">
        <v>46214</v>
      </c>
      <c r="C103" s="495" t="s">
        <v>219</v>
      </c>
      <c r="D103" s="487" t="s">
        <v>220</v>
      </c>
      <c r="E103" s="496">
        <v>46.85</v>
      </c>
      <c r="F103" s="494">
        <f t="shared" si="13"/>
        <v>104.76008537886874</v>
      </c>
      <c r="G103" s="528">
        <v>4908.01</v>
      </c>
      <c r="H103" s="489"/>
      <c r="I103" s="489"/>
      <c r="J103" s="528">
        <f t="shared" si="12"/>
        <v>0</v>
      </c>
      <c r="K103" s="490">
        <f t="shared" si="7"/>
        <v>4908.01</v>
      </c>
      <c r="L103" s="370">
        <f t="shared" si="8"/>
        <v>4908.01</v>
      </c>
      <c r="M103" s="65"/>
      <c r="N103" s="8"/>
    </row>
    <row r="104" spans="1:14">
      <c r="A104" s="214">
        <v>101</v>
      </c>
      <c r="B104" s="485">
        <v>46214</v>
      </c>
      <c r="C104" s="497" t="s">
        <v>221</v>
      </c>
      <c r="D104" s="492" t="s">
        <v>222</v>
      </c>
      <c r="E104" s="488">
        <v>20</v>
      </c>
      <c r="F104" s="494">
        <f t="shared" si="13"/>
        <v>103.89000000000001</v>
      </c>
      <c r="G104" s="528">
        <v>2077.8000000000002</v>
      </c>
      <c r="H104" s="489"/>
      <c r="I104" s="489"/>
      <c r="J104" s="528">
        <f t="shared" si="12"/>
        <v>0</v>
      </c>
      <c r="K104" s="490">
        <f t="shared" si="7"/>
        <v>2077.8000000000002</v>
      </c>
      <c r="L104" s="370">
        <f t="shared" si="8"/>
        <v>2077.8000000000002</v>
      </c>
      <c r="M104" s="65"/>
      <c r="N104" s="8"/>
    </row>
    <row r="105" spans="1:14">
      <c r="A105" s="214">
        <v>102</v>
      </c>
      <c r="B105" s="485">
        <v>46214</v>
      </c>
      <c r="C105" s="497" t="s">
        <v>223</v>
      </c>
      <c r="D105" s="492" t="s">
        <v>224</v>
      </c>
      <c r="E105" s="488">
        <v>120</v>
      </c>
      <c r="F105" s="494">
        <f t="shared" si="13"/>
        <v>104.92</v>
      </c>
      <c r="G105" s="528">
        <v>12590.4</v>
      </c>
      <c r="H105" s="489"/>
      <c r="I105" s="489"/>
      <c r="J105" s="528">
        <f t="shared" si="12"/>
        <v>0</v>
      </c>
      <c r="K105" s="490">
        <f t="shared" si="7"/>
        <v>12590.4</v>
      </c>
      <c r="L105" s="370">
        <f t="shared" si="8"/>
        <v>12590.4</v>
      </c>
      <c r="M105" s="65"/>
      <c r="N105" s="8"/>
    </row>
    <row r="106" spans="1:14">
      <c r="A106" s="215">
        <v>103</v>
      </c>
      <c r="B106" s="485">
        <v>46215</v>
      </c>
      <c r="C106" s="497" t="s">
        <v>201</v>
      </c>
      <c r="D106" s="492" t="s">
        <v>202</v>
      </c>
      <c r="E106" s="488">
        <v>38.03</v>
      </c>
      <c r="F106" s="494">
        <f t="shared" si="13"/>
        <v>105.34998685248488</v>
      </c>
      <c r="G106" s="528">
        <v>4006.46</v>
      </c>
      <c r="H106" s="489"/>
      <c r="I106" s="489"/>
      <c r="J106" s="528">
        <f t="shared" si="12"/>
        <v>0</v>
      </c>
      <c r="K106" s="490">
        <f t="shared" si="7"/>
        <v>4006.46</v>
      </c>
      <c r="L106" s="370">
        <f t="shared" si="8"/>
        <v>4006.46</v>
      </c>
      <c r="M106" s="65"/>
      <c r="N106" s="8"/>
    </row>
    <row r="107" spans="1:14">
      <c r="A107" s="214">
        <v>104</v>
      </c>
      <c r="B107" s="485">
        <v>46215</v>
      </c>
      <c r="C107" s="497" t="s">
        <v>191</v>
      </c>
      <c r="D107" s="487" t="s">
        <v>192</v>
      </c>
      <c r="E107" s="488">
        <v>70</v>
      </c>
      <c r="F107" s="494">
        <f t="shared" si="13"/>
        <v>105.21</v>
      </c>
      <c r="G107" s="528">
        <v>7364.7</v>
      </c>
      <c r="H107" s="489"/>
      <c r="I107" s="489"/>
      <c r="J107" s="528">
        <f t="shared" si="12"/>
        <v>0</v>
      </c>
      <c r="K107" s="490">
        <f t="shared" si="7"/>
        <v>7364.7</v>
      </c>
      <c r="L107" s="370">
        <f t="shared" si="8"/>
        <v>7364.7</v>
      </c>
      <c r="M107" s="65"/>
      <c r="N107" s="8"/>
    </row>
    <row r="108" spans="1:14">
      <c r="A108" s="214">
        <v>105</v>
      </c>
      <c r="B108" s="485">
        <v>46215</v>
      </c>
      <c r="C108" s="497" t="s">
        <v>191</v>
      </c>
      <c r="D108" s="487" t="s">
        <v>192</v>
      </c>
      <c r="E108" s="488">
        <v>43.73</v>
      </c>
      <c r="F108" s="494">
        <f t="shared" si="13"/>
        <v>105.20992453693117</v>
      </c>
      <c r="G108" s="528">
        <v>4600.83</v>
      </c>
      <c r="H108" s="489"/>
      <c r="I108" s="489"/>
      <c r="J108" s="528">
        <f t="shared" si="12"/>
        <v>0</v>
      </c>
      <c r="K108" s="490">
        <f t="shared" si="7"/>
        <v>4600.83</v>
      </c>
      <c r="L108" s="370">
        <f t="shared" si="8"/>
        <v>4600.83</v>
      </c>
      <c r="M108" s="65"/>
      <c r="N108" s="8"/>
    </row>
    <row r="109" spans="1:14">
      <c r="A109" s="215">
        <v>106</v>
      </c>
      <c r="B109" s="485">
        <v>46215</v>
      </c>
      <c r="C109" s="497" t="s">
        <v>191</v>
      </c>
      <c r="D109" s="487" t="s">
        <v>192</v>
      </c>
      <c r="E109" s="488">
        <v>39.729999999999997</v>
      </c>
      <c r="F109" s="494">
        <f t="shared" si="13"/>
        <v>105.20991693934054</v>
      </c>
      <c r="G109" s="528">
        <v>4179.99</v>
      </c>
      <c r="H109" s="489"/>
      <c r="I109" s="489"/>
      <c r="J109" s="528">
        <f t="shared" si="12"/>
        <v>0</v>
      </c>
      <c r="K109" s="490">
        <f t="shared" si="7"/>
        <v>4179.99</v>
      </c>
      <c r="L109" s="370">
        <f t="shared" si="8"/>
        <v>4179.99</v>
      </c>
      <c r="M109" s="65"/>
      <c r="N109" s="8"/>
    </row>
    <row r="110" spans="1:14">
      <c r="A110" s="214">
        <v>107</v>
      </c>
      <c r="B110" s="485">
        <v>46215</v>
      </c>
      <c r="C110" s="491" t="s">
        <v>225</v>
      </c>
      <c r="D110" s="492" t="s">
        <v>226</v>
      </c>
      <c r="E110" s="488">
        <v>55.33</v>
      </c>
      <c r="F110" s="494">
        <f t="shared" si="13"/>
        <v>105.10572926079885</v>
      </c>
      <c r="G110" s="528">
        <v>5815.5</v>
      </c>
      <c r="H110" s="489"/>
      <c r="I110" s="489"/>
      <c r="J110" s="528">
        <f t="shared" si="12"/>
        <v>0</v>
      </c>
      <c r="K110" s="490">
        <f t="shared" si="7"/>
        <v>5815.5</v>
      </c>
      <c r="L110" s="370">
        <f t="shared" si="8"/>
        <v>5815.5</v>
      </c>
      <c r="M110" s="65"/>
      <c r="N110" s="8"/>
    </row>
    <row r="111" spans="1:14">
      <c r="A111" s="214">
        <v>108</v>
      </c>
      <c r="B111" s="485">
        <v>46215</v>
      </c>
      <c r="C111" s="498" t="s">
        <v>207</v>
      </c>
      <c r="D111" s="492" t="s">
        <v>208</v>
      </c>
      <c r="E111" s="488">
        <v>30</v>
      </c>
      <c r="F111" s="494">
        <f t="shared" si="13"/>
        <v>105.46000000000001</v>
      </c>
      <c r="G111" s="528">
        <v>3163.8</v>
      </c>
      <c r="H111" s="489"/>
      <c r="I111" s="489"/>
      <c r="J111" s="528">
        <f t="shared" si="12"/>
        <v>0</v>
      </c>
      <c r="K111" s="490">
        <f t="shared" si="7"/>
        <v>3163.8</v>
      </c>
      <c r="L111" s="370">
        <f t="shared" si="8"/>
        <v>3163.8</v>
      </c>
      <c r="M111" s="65"/>
      <c r="N111" s="8"/>
    </row>
    <row r="112" spans="1:14">
      <c r="A112" s="215">
        <v>109</v>
      </c>
      <c r="B112" s="485">
        <v>46215</v>
      </c>
      <c r="C112" s="498" t="s">
        <v>205</v>
      </c>
      <c r="D112" s="492" t="s">
        <v>206</v>
      </c>
      <c r="E112" s="488"/>
      <c r="F112" s="494"/>
      <c r="G112" s="528"/>
      <c r="H112" s="489">
        <v>10</v>
      </c>
      <c r="I112" s="489">
        <v>116.99</v>
      </c>
      <c r="J112" s="528">
        <v>1169.9000000000001</v>
      </c>
      <c r="K112" s="490">
        <f t="shared" si="7"/>
        <v>1169.9000000000001</v>
      </c>
      <c r="L112" s="370">
        <f t="shared" si="8"/>
        <v>1169.9000000000001</v>
      </c>
      <c r="M112" s="65"/>
      <c r="N112" s="8"/>
    </row>
    <row r="113" spans="1:14">
      <c r="A113" s="214">
        <v>110</v>
      </c>
      <c r="B113" s="485">
        <v>46215</v>
      </c>
      <c r="C113" s="498" t="s">
        <v>191</v>
      </c>
      <c r="D113" s="492" t="s">
        <v>192</v>
      </c>
      <c r="E113" s="488">
        <v>10</v>
      </c>
      <c r="F113" s="494">
        <f t="shared" si="13"/>
        <v>105.21</v>
      </c>
      <c r="G113" s="528">
        <v>1052.0999999999999</v>
      </c>
      <c r="H113" s="489"/>
      <c r="I113" s="493"/>
      <c r="J113" s="528">
        <f t="shared" si="12"/>
        <v>0</v>
      </c>
      <c r="K113" s="490">
        <f t="shared" si="7"/>
        <v>1052.0999999999999</v>
      </c>
      <c r="L113" s="370">
        <f t="shared" si="8"/>
        <v>1052.0999999999999</v>
      </c>
      <c r="M113" s="65"/>
      <c r="N113" s="8"/>
    </row>
    <row r="114" spans="1:14">
      <c r="A114" s="214">
        <v>111</v>
      </c>
      <c r="B114" s="485">
        <v>46216</v>
      </c>
      <c r="C114" s="498" t="s">
        <v>191</v>
      </c>
      <c r="D114" s="492" t="s">
        <v>192</v>
      </c>
      <c r="E114" s="488">
        <v>150</v>
      </c>
      <c r="F114" s="494">
        <f t="shared" si="13"/>
        <v>105.21</v>
      </c>
      <c r="G114" s="528">
        <v>15781.5</v>
      </c>
      <c r="H114" s="489"/>
      <c r="I114" s="489"/>
      <c r="J114" s="528">
        <f t="shared" si="12"/>
        <v>0</v>
      </c>
      <c r="K114" s="490">
        <f t="shared" si="7"/>
        <v>15781.5</v>
      </c>
      <c r="L114" s="370">
        <f t="shared" si="8"/>
        <v>15781.5</v>
      </c>
      <c r="M114" s="65"/>
      <c r="N114" s="8"/>
    </row>
    <row r="115" spans="1:14">
      <c r="A115" s="215">
        <v>112</v>
      </c>
      <c r="B115" s="485">
        <v>46216</v>
      </c>
      <c r="C115" s="498" t="s">
        <v>199</v>
      </c>
      <c r="D115" s="492" t="s">
        <v>200</v>
      </c>
      <c r="E115" s="488">
        <v>41.11</v>
      </c>
      <c r="F115" s="494">
        <f t="shared" si="13"/>
        <v>104.62004378496717</v>
      </c>
      <c r="G115" s="528">
        <v>4300.93</v>
      </c>
      <c r="H115" s="489"/>
      <c r="I115" s="489"/>
      <c r="J115" s="528">
        <f t="shared" si="12"/>
        <v>0</v>
      </c>
      <c r="K115" s="490">
        <f t="shared" si="7"/>
        <v>4300.93</v>
      </c>
      <c r="L115" s="370">
        <f t="shared" si="8"/>
        <v>4300.93</v>
      </c>
      <c r="M115" s="65"/>
      <c r="N115" s="8"/>
    </row>
    <row r="116" spans="1:14">
      <c r="A116" s="214">
        <v>113</v>
      </c>
      <c r="B116" s="485">
        <v>46216</v>
      </c>
      <c r="C116" s="498" t="s">
        <v>195</v>
      </c>
      <c r="D116" s="492" t="s">
        <v>196</v>
      </c>
      <c r="E116" s="488">
        <v>45.12</v>
      </c>
      <c r="F116" s="494">
        <f t="shared" si="13"/>
        <v>105.58998226950355</v>
      </c>
      <c r="G116" s="528">
        <v>4764.22</v>
      </c>
      <c r="H116" s="489"/>
      <c r="I116" s="489"/>
      <c r="J116" s="528">
        <f t="shared" si="12"/>
        <v>0</v>
      </c>
      <c r="K116" s="490">
        <f t="shared" si="7"/>
        <v>4764.22</v>
      </c>
      <c r="L116" s="370">
        <f t="shared" si="8"/>
        <v>4764.22</v>
      </c>
      <c r="M116" s="65"/>
      <c r="N116" s="8"/>
    </row>
    <row r="117" spans="1:14">
      <c r="A117" s="214">
        <v>114</v>
      </c>
      <c r="B117" s="485">
        <v>46216</v>
      </c>
      <c r="C117" s="491" t="s">
        <v>207</v>
      </c>
      <c r="D117" s="492" t="s">
        <v>192</v>
      </c>
      <c r="E117" s="488">
        <v>50</v>
      </c>
      <c r="F117" s="494">
        <f t="shared" si="13"/>
        <v>105.46</v>
      </c>
      <c r="G117" s="528">
        <v>5273</v>
      </c>
      <c r="H117" s="489"/>
      <c r="I117" s="489"/>
      <c r="J117" s="528">
        <f t="shared" si="12"/>
        <v>0</v>
      </c>
      <c r="K117" s="490">
        <f t="shared" si="7"/>
        <v>5273</v>
      </c>
      <c r="L117" s="370">
        <f t="shared" si="8"/>
        <v>5273</v>
      </c>
      <c r="M117" s="65"/>
      <c r="N117" s="8"/>
    </row>
    <row r="118" spans="1:14">
      <c r="A118" s="215">
        <v>115</v>
      </c>
      <c r="B118" s="485">
        <v>46216</v>
      </c>
      <c r="C118" s="491" t="s">
        <v>209</v>
      </c>
      <c r="D118" s="492" t="s">
        <v>198</v>
      </c>
      <c r="E118" s="488">
        <v>20</v>
      </c>
      <c r="F118" s="494">
        <f t="shared" si="13"/>
        <v>105.35</v>
      </c>
      <c r="G118" s="528">
        <v>2107</v>
      </c>
      <c r="H118" s="489"/>
      <c r="I118" s="489"/>
      <c r="J118" s="528">
        <f t="shared" si="12"/>
        <v>0</v>
      </c>
      <c r="K118" s="490">
        <f t="shared" si="7"/>
        <v>2107</v>
      </c>
      <c r="L118" s="370">
        <f t="shared" si="8"/>
        <v>2107</v>
      </c>
      <c r="M118" s="65"/>
      <c r="N118" s="8"/>
    </row>
    <row r="119" spans="1:14">
      <c r="A119" s="214">
        <v>116</v>
      </c>
      <c r="B119" s="485">
        <v>46216</v>
      </c>
      <c r="C119" s="491" t="s">
        <v>203</v>
      </c>
      <c r="D119" s="492" t="s">
        <v>204</v>
      </c>
      <c r="E119" s="488"/>
      <c r="F119" s="494"/>
      <c r="G119" s="528">
        <f t="shared" si="11"/>
        <v>0</v>
      </c>
      <c r="H119" s="489">
        <v>6</v>
      </c>
      <c r="I119" s="489">
        <v>116.99</v>
      </c>
      <c r="J119" s="528">
        <v>705.72</v>
      </c>
      <c r="K119" s="490">
        <f t="shared" si="7"/>
        <v>705.72</v>
      </c>
      <c r="L119" s="370">
        <f t="shared" si="8"/>
        <v>705.72</v>
      </c>
      <c r="M119" s="65"/>
      <c r="N119" s="8"/>
    </row>
    <row r="120" spans="1:14">
      <c r="A120" s="214">
        <v>117</v>
      </c>
      <c r="B120" s="485">
        <v>46216</v>
      </c>
      <c r="C120" s="491" t="s">
        <v>195</v>
      </c>
      <c r="D120" s="492" t="s">
        <v>196</v>
      </c>
      <c r="E120" s="488"/>
      <c r="F120" s="494"/>
      <c r="G120" s="528">
        <f t="shared" si="11"/>
        <v>0</v>
      </c>
      <c r="H120" s="489">
        <v>5</v>
      </c>
      <c r="I120" s="489">
        <v>116.99</v>
      </c>
      <c r="J120" s="528">
        <v>589.9</v>
      </c>
      <c r="K120" s="490">
        <f t="shared" si="7"/>
        <v>589.9</v>
      </c>
      <c r="L120" s="370">
        <f t="shared" si="8"/>
        <v>589.9</v>
      </c>
      <c r="M120" s="65"/>
      <c r="N120" s="8"/>
    </row>
    <row r="121" spans="1:14">
      <c r="A121" s="215">
        <v>118</v>
      </c>
      <c r="B121" s="485">
        <v>46216</v>
      </c>
      <c r="C121" s="491" t="s">
        <v>201</v>
      </c>
      <c r="D121" s="487" t="s">
        <v>202</v>
      </c>
      <c r="E121" s="488">
        <v>40</v>
      </c>
      <c r="F121" s="494">
        <f t="shared" ref="F121:F132" si="14">G121/E121</f>
        <v>105.35</v>
      </c>
      <c r="G121" s="528">
        <v>4214</v>
      </c>
      <c r="H121" s="489"/>
      <c r="I121" s="489"/>
      <c r="J121" s="528">
        <f t="shared" si="12"/>
        <v>0</v>
      </c>
      <c r="K121" s="490">
        <f t="shared" si="7"/>
        <v>4214</v>
      </c>
      <c r="L121" s="370">
        <f t="shared" si="8"/>
        <v>4214</v>
      </c>
      <c r="M121" s="65"/>
      <c r="N121" s="8"/>
    </row>
    <row r="122" spans="1:14">
      <c r="A122" s="214">
        <v>119</v>
      </c>
      <c r="B122" s="485">
        <v>46216</v>
      </c>
      <c r="C122" s="491" t="s">
        <v>227</v>
      </c>
      <c r="D122" s="499" t="s">
        <v>228</v>
      </c>
      <c r="E122" s="500"/>
      <c r="F122" s="500"/>
      <c r="G122" s="527">
        <f t="shared" si="11"/>
        <v>0</v>
      </c>
      <c r="H122" s="489">
        <v>2.56</v>
      </c>
      <c r="I122" s="489">
        <v>116.99</v>
      </c>
      <c r="J122" s="527">
        <v>300</v>
      </c>
      <c r="K122" s="490">
        <f t="shared" si="7"/>
        <v>300</v>
      </c>
      <c r="L122" s="370">
        <f t="shared" si="8"/>
        <v>300</v>
      </c>
      <c r="M122" s="65"/>
      <c r="N122" s="8"/>
    </row>
    <row r="123" spans="1:14">
      <c r="A123" s="214">
        <v>120</v>
      </c>
      <c r="B123" s="485">
        <v>46216</v>
      </c>
      <c r="C123" s="491" t="s">
        <v>227</v>
      </c>
      <c r="D123" s="499" t="s">
        <v>228</v>
      </c>
      <c r="E123" s="500">
        <v>140</v>
      </c>
      <c r="F123" s="494">
        <f t="shared" si="14"/>
        <v>104.68571428571428</v>
      </c>
      <c r="G123" s="527">
        <v>14656</v>
      </c>
      <c r="H123" s="489"/>
      <c r="I123" s="501"/>
      <c r="J123" s="527">
        <f t="shared" si="12"/>
        <v>0</v>
      </c>
      <c r="K123" s="490">
        <f t="shared" si="7"/>
        <v>14656</v>
      </c>
      <c r="L123" s="370">
        <f t="shared" si="8"/>
        <v>14656</v>
      </c>
      <c r="M123" s="65"/>
      <c r="N123" s="8"/>
    </row>
    <row r="124" spans="1:14">
      <c r="A124" s="215">
        <v>121</v>
      </c>
      <c r="B124" s="485">
        <v>46217</v>
      </c>
      <c r="C124" s="491" t="s">
        <v>209</v>
      </c>
      <c r="D124" s="492" t="s">
        <v>198</v>
      </c>
      <c r="E124" s="502">
        <v>80</v>
      </c>
      <c r="F124" s="494">
        <f t="shared" si="14"/>
        <v>105.35</v>
      </c>
      <c r="G124" s="527">
        <v>8428</v>
      </c>
      <c r="H124" s="501"/>
      <c r="I124" s="501"/>
      <c r="J124" s="527">
        <f t="shared" si="12"/>
        <v>0</v>
      </c>
      <c r="K124" s="490">
        <f t="shared" si="7"/>
        <v>8428</v>
      </c>
      <c r="L124" s="370">
        <f t="shared" si="8"/>
        <v>8428</v>
      </c>
      <c r="M124" s="65"/>
      <c r="N124" s="8"/>
    </row>
    <row r="125" spans="1:14">
      <c r="A125" s="214">
        <v>122</v>
      </c>
      <c r="B125" s="485">
        <v>46217</v>
      </c>
      <c r="C125" s="491" t="s">
        <v>209</v>
      </c>
      <c r="D125" s="492" t="s">
        <v>198</v>
      </c>
      <c r="E125" s="500">
        <v>40</v>
      </c>
      <c r="F125" s="494">
        <f t="shared" si="14"/>
        <v>105.35</v>
      </c>
      <c r="G125" s="527">
        <v>4214</v>
      </c>
      <c r="H125" s="501"/>
      <c r="I125" s="501"/>
      <c r="J125" s="527">
        <f t="shared" si="12"/>
        <v>0</v>
      </c>
      <c r="K125" s="490">
        <f t="shared" si="7"/>
        <v>4214</v>
      </c>
      <c r="L125" s="370">
        <f t="shared" si="8"/>
        <v>4214</v>
      </c>
      <c r="M125" s="65"/>
      <c r="N125" s="8"/>
    </row>
    <row r="126" spans="1:14">
      <c r="A126" s="214">
        <v>123</v>
      </c>
      <c r="B126" s="485">
        <v>46217</v>
      </c>
      <c r="C126" s="491" t="s">
        <v>195</v>
      </c>
      <c r="D126" s="499" t="s">
        <v>196</v>
      </c>
      <c r="E126" s="500">
        <v>49.48</v>
      </c>
      <c r="F126" s="494">
        <f t="shared" si="14"/>
        <v>105.58993532740502</v>
      </c>
      <c r="G126" s="527">
        <v>5224.59</v>
      </c>
      <c r="H126" s="501"/>
      <c r="I126" s="501"/>
      <c r="J126" s="527">
        <f t="shared" si="12"/>
        <v>0</v>
      </c>
      <c r="K126" s="490">
        <f t="shared" si="7"/>
        <v>5224.59</v>
      </c>
      <c r="L126" s="370">
        <f t="shared" si="8"/>
        <v>5224.59</v>
      </c>
      <c r="M126" s="65"/>
      <c r="N126" s="8"/>
    </row>
    <row r="127" spans="1:14">
      <c r="A127" s="215">
        <v>124</v>
      </c>
      <c r="B127" s="485">
        <v>46217</v>
      </c>
      <c r="C127" s="491" t="s">
        <v>195</v>
      </c>
      <c r="D127" s="499" t="s">
        <v>196</v>
      </c>
      <c r="E127" s="500">
        <v>30</v>
      </c>
      <c r="F127" s="494">
        <f t="shared" si="14"/>
        <v>105.58999999999999</v>
      </c>
      <c r="G127" s="527">
        <v>3167.7</v>
      </c>
      <c r="H127" s="501"/>
      <c r="I127" s="501"/>
      <c r="J127" s="527">
        <f t="shared" si="12"/>
        <v>0</v>
      </c>
      <c r="K127" s="490">
        <f t="shared" si="7"/>
        <v>3167.7</v>
      </c>
      <c r="L127" s="370">
        <f t="shared" si="8"/>
        <v>3167.7</v>
      </c>
      <c r="M127" s="65"/>
      <c r="N127" s="8"/>
    </row>
    <row r="128" spans="1:14">
      <c r="A128" s="214">
        <v>125</v>
      </c>
      <c r="B128" s="485">
        <v>46217</v>
      </c>
      <c r="C128" s="491" t="s">
        <v>201</v>
      </c>
      <c r="D128" s="487" t="s">
        <v>202</v>
      </c>
      <c r="E128" s="500">
        <v>70</v>
      </c>
      <c r="F128" s="494">
        <f t="shared" si="14"/>
        <v>105.35</v>
      </c>
      <c r="G128" s="527">
        <v>7374.5</v>
      </c>
      <c r="H128" s="501"/>
      <c r="I128" s="501"/>
      <c r="J128" s="527">
        <f t="shared" si="12"/>
        <v>0</v>
      </c>
      <c r="K128" s="490">
        <f t="shared" si="7"/>
        <v>7374.5</v>
      </c>
      <c r="L128" s="370">
        <f t="shared" si="8"/>
        <v>7374.5</v>
      </c>
      <c r="M128" s="65"/>
      <c r="N128" s="8"/>
    </row>
    <row r="129" spans="1:14">
      <c r="A129" s="214">
        <v>126</v>
      </c>
      <c r="B129" s="485">
        <v>46217</v>
      </c>
      <c r="C129" s="491" t="s">
        <v>201</v>
      </c>
      <c r="D129" s="487" t="s">
        <v>202</v>
      </c>
      <c r="E129" s="500">
        <v>14</v>
      </c>
      <c r="F129" s="494">
        <f t="shared" si="14"/>
        <v>105.35000000000001</v>
      </c>
      <c r="G129" s="527">
        <v>1474.9</v>
      </c>
      <c r="H129" s="501"/>
      <c r="I129" s="501"/>
      <c r="J129" s="527">
        <f t="shared" si="12"/>
        <v>0</v>
      </c>
      <c r="K129" s="490">
        <f t="shared" si="7"/>
        <v>1474.9</v>
      </c>
      <c r="L129" s="370">
        <f t="shared" si="8"/>
        <v>1474.9</v>
      </c>
      <c r="M129" s="65"/>
      <c r="N129" s="8"/>
    </row>
    <row r="130" spans="1:14">
      <c r="A130" s="215">
        <v>127</v>
      </c>
      <c r="B130" s="485">
        <v>46217</v>
      </c>
      <c r="C130" s="498" t="s">
        <v>207</v>
      </c>
      <c r="D130" s="492" t="s">
        <v>208</v>
      </c>
      <c r="E130" s="500">
        <v>45</v>
      </c>
      <c r="F130" s="494">
        <f t="shared" si="14"/>
        <v>105.46</v>
      </c>
      <c r="G130" s="527">
        <v>4745.7</v>
      </c>
      <c r="H130" s="501"/>
      <c r="I130" s="501"/>
      <c r="J130" s="527">
        <f t="shared" si="12"/>
        <v>0</v>
      </c>
      <c r="K130" s="490">
        <f t="shared" si="7"/>
        <v>4745.7</v>
      </c>
      <c r="L130" s="370">
        <f t="shared" si="8"/>
        <v>4745.7</v>
      </c>
      <c r="M130" s="65"/>
      <c r="N130" s="8"/>
    </row>
    <row r="131" spans="1:14">
      <c r="A131" s="214">
        <v>128</v>
      </c>
      <c r="B131" s="485">
        <v>46217</v>
      </c>
      <c r="C131" s="498" t="s">
        <v>201</v>
      </c>
      <c r="D131" s="487" t="s">
        <v>202</v>
      </c>
      <c r="E131" s="500"/>
      <c r="F131" s="500"/>
      <c r="G131" s="527">
        <f t="shared" si="11"/>
        <v>0</v>
      </c>
      <c r="H131" s="501">
        <v>2.65</v>
      </c>
      <c r="I131" s="501">
        <f>J131/H131</f>
        <v>117.71698113207547</v>
      </c>
      <c r="J131" s="527">
        <v>311.95</v>
      </c>
      <c r="K131" s="490">
        <f t="shared" si="7"/>
        <v>311.95</v>
      </c>
      <c r="L131" s="370">
        <f t="shared" si="8"/>
        <v>311.95</v>
      </c>
      <c r="M131" s="65"/>
      <c r="N131" s="8"/>
    </row>
    <row r="132" spans="1:14">
      <c r="A132" s="214">
        <v>129</v>
      </c>
      <c r="B132" s="485">
        <v>46217</v>
      </c>
      <c r="C132" s="498" t="s">
        <v>201</v>
      </c>
      <c r="D132" s="487" t="s">
        <v>202</v>
      </c>
      <c r="E132" s="500">
        <v>20</v>
      </c>
      <c r="F132" s="494">
        <f t="shared" si="14"/>
        <v>105.35</v>
      </c>
      <c r="G132" s="527">
        <v>2107</v>
      </c>
      <c r="H132" s="501"/>
      <c r="I132" s="501"/>
      <c r="J132" s="527">
        <f t="shared" si="12"/>
        <v>0</v>
      </c>
      <c r="K132" s="490">
        <f t="shared" si="7"/>
        <v>2107</v>
      </c>
      <c r="L132" s="370">
        <f t="shared" si="8"/>
        <v>2107</v>
      </c>
      <c r="M132" s="65"/>
      <c r="N132" s="8"/>
    </row>
    <row r="133" spans="1:14">
      <c r="A133" s="215">
        <v>130</v>
      </c>
      <c r="B133" s="485">
        <v>46217</v>
      </c>
      <c r="C133" s="498" t="s">
        <v>201</v>
      </c>
      <c r="D133" s="487" t="s">
        <v>202</v>
      </c>
      <c r="E133" s="503"/>
      <c r="F133" s="500"/>
      <c r="G133" s="527">
        <f t="shared" si="11"/>
        <v>0</v>
      </c>
      <c r="H133" s="501">
        <v>5</v>
      </c>
      <c r="I133" s="501">
        <f>J133/H133</f>
        <v>117.72</v>
      </c>
      <c r="J133" s="527">
        <v>588.6</v>
      </c>
      <c r="K133" s="490">
        <f t="shared" ref="K133:K254" si="15">G133+J133</f>
        <v>588.6</v>
      </c>
      <c r="L133" s="370">
        <f t="shared" ref="L133:L196" si="16">+K133</f>
        <v>588.6</v>
      </c>
      <c r="M133" s="65"/>
      <c r="N133" s="8"/>
    </row>
    <row r="134" spans="1:14">
      <c r="A134" s="214">
        <v>131</v>
      </c>
      <c r="B134" s="485">
        <v>46217</v>
      </c>
      <c r="C134" s="498" t="s">
        <v>205</v>
      </c>
      <c r="D134" s="492" t="s">
        <v>206</v>
      </c>
      <c r="E134" s="500"/>
      <c r="F134" s="500"/>
      <c r="G134" s="527">
        <f t="shared" si="11"/>
        <v>0</v>
      </c>
      <c r="H134" s="501">
        <v>5</v>
      </c>
      <c r="I134" s="501">
        <f>J134/H134</f>
        <v>116.99000000000001</v>
      </c>
      <c r="J134" s="527">
        <v>584.95000000000005</v>
      </c>
      <c r="K134" s="490">
        <f t="shared" si="15"/>
        <v>584.95000000000005</v>
      </c>
      <c r="L134" s="370">
        <f t="shared" si="16"/>
        <v>584.95000000000005</v>
      </c>
      <c r="M134" s="65"/>
      <c r="N134" s="8"/>
    </row>
    <row r="135" spans="1:14">
      <c r="A135" s="214">
        <v>132</v>
      </c>
      <c r="B135" s="485">
        <v>46217</v>
      </c>
      <c r="C135" s="498" t="s">
        <v>203</v>
      </c>
      <c r="D135" s="492" t="s">
        <v>204</v>
      </c>
      <c r="E135" s="500"/>
      <c r="F135" s="500"/>
      <c r="G135" s="527">
        <f t="shared" si="11"/>
        <v>0</v>
      </c>
      <c r="H135" s="501">
        <v>7.72</v>
      </c>
      <c r="I135" s="501">
        <f>J135/H135</f>
        <v>117.62046632124353</v>
      </c>
      <c r="J135" s="527">
        <v>908.03</v>
      </c>
      <c r="K135" s="490">
        <f t="shared" si="15"/>
        <v>908.03</v>
      </c>
      <c r="L135" s="370">
        <f t="shared" si="16"/>
        <v>908.03</v>
      </c>
      <c r="M135" s="65"/>
      <c r="N135" s="8"/>
    </row>
    <row r="136" spans="1:14">
      <c r="A136" s="215">
        <v>133</v>
      </c>
      <c r="B136" s="485">
        <v>46218</v>
      </c>
      <c r="C136" s="491" t="s">
        <v>201</v>
      </c>
      <c r="D136" s="492" t="s">
        <v>202</v>
      </c>
      <c r="E136" s="500">
        <v>15</v>
      </c>
      <c r="F136" s="488">
        <f t="shared" ref="F136:F138" si="17">G136/E136</f>
        <v>105.35</v>
      </c>
      <c r="G136" s="527">
        <v>1580.25</v>
      </c>
      <c r="H136" s="501"/>
      <c r="I136" s="501"/>
      <c r="J136" s="527">
        <f t="shared" si="12"/>
        <v>0</v>
      </c>
      <c r="K136" s="490">
        <f t="shared" si="15"/>
        <v>1580.25</v>
      </c>
      <c r="L136" s="370">
        <f t="shared" si="16"/>
        <v>1580.25</v>
      </c>
      <c r="M136" s="65"/>
      <c r="N136" s="8"/>
    </row>
    <row r="137" spans="1:14">
      <c r="A137" s="214">
        <v>134</v>
      </c>
      <c r="B137" s="485">
        <v>46218</v>
      </c>
      <c r="C137" s="491" t="s">
        <v>201</v>
      </c>
      <c r="D137" s="492" t="s">
        <v>202</v>
      </c>
      <c r="E137" s="500">
        <v>140</v>
      </c>
      <c r="F137" s="488">
        <f t="shared" si="17"/>
        <v>105.35</v>
      </c>
      <c r="G137" s="527">
        <v>14749</v>
      </c>
      <c r="H137" s="501"/>
      <c r="I137" s="501"/>
      <c r="J137" s="527">
        <f t="shared" si="12"/>
        <v>0</v>
      </c>
      <c r="K137" s="490">
        <f t="shared" si="15"/>
        <v>14749</v>
      </c>
      <c r="L137" s="370">
        <f t="shared" si="16"/>
        <v>14749</v>
      </c>
      <c r="M137" s="65"/>
      <c r="N137" s="8"/>
    </row>
    <row r="138" spans="1:14">
      <c r="A138" s="214">
        <v>135</v>
      </c>
      <c r="B138" s="485">
        <v>46218</v>
      </c>
      <c r="C138" s="491" t="s">
        <v>193</v>
      </c>
      <c r="D138" s="499" t="s">
        <v>194</v>
      </c>
      <c r="E138" s="500">
        <v>200</v>
      </c>
      <c r="F138" s="488">
        <f t="shared" si="17"/>
        <v>104.93</v>
      </c>
      <c r="G138" s="527">
        <v>20986</v>
      </c>
      <c r="H138" s="501"/>
      <c r="I138" s="501"/>
      <c r="J138" s="527">
        <f t="shared" si="12"/>
        <v>0</v>
      </c>
      <c r="K138" s="490">
        <f t="shared" si="15"/>
        <v>20986</v>
      </c>
      <c r="L138" s="370">
        <f t="shared" si="16"/>
        <v>20986</v>
      </c>
      <c r="M138" s="65"/>
      <c r="N138" s="8"/>
    </row>
    <row r="139" spans="1:14">
      <c r="A139" s="215">
        <v>136</v>
      </c>
      <c r="B139" s="485">
        <v>46218</v>
      </c>
      <c r="C139" s="491" t="s">
        <v>205</v>
      </c>
      <c r="D139" s="499" t="s">
        <v>206</v>
      </c>
      <c r="E139" s="500"/>
      <c r="F139" s="500"/>
      <c r="G139" s="527">
        <f t="shared" si="11"/>
        <v>0</v>
      </c>
      <c r="H139" s="501">
        <v>5</v>
      </c>
      <c r="I139" s="501">
        <f>J139/H139</f>
        <v>116.99000000000001</v>
      </c>
      <c r="J139" s="527">
        <v>584.95000000000005</v>
      </c>
      <c r="K139" s="490">
        <f t="shared" si="15"/>
        <v>584.95000000000005</v>
      </c>
      <c r="L139" s="370">
        <f t="shared" si="16"/>
        <v>584.95000000000005</v>
      </c>
      <c r="M139" s="65"/>
      <c r="N139" s="8"/>
    </row>
    <row r="140" spans="1:14">
      <c r="A140" s="214">
        <v>137</v>
      </c>
      <c r="B140" s="485">
        <v>46218</v>
      </c>
      <c r="C140" s="504" t="s">
        <v>195</v>
      </c>
      <c r="D140" s="499" t="s">
        <v>196</v>
      </c>
      <c r="E140" s="505"/>
      <c r="F140" s="506"/>
      <c r="G140" s="527">
        <f t="shared" si="11"/>
        <v>0</v>
      </c>
      <c r="H140" s="501">
        <v>7</v>
      </c>
      <c r="I140" s="501">
        <f>J140/H140</f>
        <v>117.98</v>
      </c>
      <c r="J140" s="527">
        <v>825.86</v>
      </c>
      <c r="K140" s="490">
        <f t="shared" si="15"/>
        <v>825.86</v>
      </c>
      <c r="L140" s="370">
        <f t="shared" si="16"/>
        <v>825.86</v>
      </c>
      <c r="M140" s="65"/>
      <c r="N140" s="8"/>
    </row>
    <row r="141" spans="1:14">
      <c r="A141" s="214">
        <v>138</v>
      </c>
      <c r="B141" s="485">
        <v>46218</v>
      </c>
      <c r="C141" s="491" t="s">
        <v>229</v>
      </c>
      <c r="D141" s="487" t="s">
        <v>230</v>
      </c>
      <c r="E141" s="505">
        <v>30</v>
      </c>
      <c r="F141" s="488">
        <f t="shared" ref="F141:F142" si="18">G141/E141</f>
        <v>105.16000000000001</v>
      </c>
      <c r="G141" s="527">
        <v>3154.8</v>
      </c>
      <c r="H141" s="501"/>
      <c r="I141" s="501"/>
      <c r="J141" s="527">
        <f t="shared" si="12"/>
        <v>0</v>
      </c>
      <c r="K141" s="490">
        <f t="shared" si="15"/>
        <v>3154.8</v>
      </c>
      <c r="L141" s="370">
        <f t="shared" si="16"/>
        <v>3154.8</v>
      </c>
      <c r="M141" s="65"/>
      <c r="N141" s="8"/>
    </row>
    <row r="142" spans="1:14">
      <c r="A142" s="215">
        <v>139</v>
      </c>
      <c r="B142" s="485">
        <v>46218</v>
      </c>
      <c r="C142" s="491" t="s">
        <v>231</v>
      </c>
      <c r="D142" s="487" t="s">
        <v>206</v>
      </c>
      <c r="E142" s="505">
        <v>41.97</v>
      </c>
      <c r="F142" s="488">
        <f t="shared" si="18"/>
        <v>104.69978556111508</v>
      </c>
      <c r="G142" s="527">
        <v>4394.25</v>
      </c>
      <c r="H142" s="501"/>
      <c r="I142" s="501"/>
      <c r="J142" s="527">
        <f t="shared" si="12"/>
        <v>0</v>
      </c>
      <c r="K142" s="490">
        <f t="shared" si="15"/>
        <v>4394.25</v>
      </c>
      <c r="L142" s="370">
        <f t="shared" si="16"/>
        <v>4394.25</v>
      </c>
      <c r="M142" s="65"/>
      <c r="N142" s="8"/>
    </row>
    <row r="143" spans="1:14">
      <c r="A143" s="214">
        <v>140</v>
      </c>
      <c r="B143" s="485">
        <v>46218</v>
      </c>
      <c r="C143" s="491" t="s">
        <v>193</v>
      </c>
      <c r="D143" s="499" t="s">
        <v>194</v>
      </c>
      <c r="E143" s="505"/>
      <c r="F143" s="506"/>
      <c r="G143" s="527">
        <f t="shared" si="11"/>
        <v>0</v>
      </c>
      <c r="H143" s="501">
        <v>5</v>
      </c>
      <c r="I143" s="501">
        <f>J143/H143</f>
        <v>117.24000000000001</v>
      </c>
      <c r="J143" s="527">
        <v>586.20000000000005</v>
      </c>
      <c r="K143" s="490">
        <f t="shared" si="15"/>
        <v>586.20000000000005</v>
      </c>
      <c r="L143" s="370">
        <f t="shared" si="16"/>
        <v>586.20000000000005</v>
      </c>
      <c r="M143" s="65"/>
      <c r="N143" s="8"/>
    </row>
    <row r="144" spans="1:14">
      <c r="A144" s="214">
        <v>141</v>
      </c>
      <c r="B144" s="485">
        <v>46218</v>
      </c>
      <c r="C144" s="491" t="s">
        <v>195</v>
      </c>
      <c r="D144" s="499" t="s">
        <v>196</v>
      </c>
      <c r="E144" s="505"/>
      <c r="F144" s="506"/>
      <c r="G144" s="527">
        <f t="shared" si="11"/>
        <v>0</v>
      </c>
      <c r="H144" s="501">
        <v>5</v>
      </c>
      <c r="I144" s="501">
        <f>J144/H144</f>
        <v>117.97999999999999</v>
      </c>
      <c r="J144" s="527">
        <v>589.9</v>
      </c>
      <c r="K144" s="490">
        <f t="shared" si="15"/>
        <v>589.9</v>
      </c>
      <c r="L144" s="370">
        <f t="shared" si="16"/>
        <v>589.9</v>
      </c>
      <c r="M144" s="65"/>
      <c r="N144" s="8"/>
    </row>
    <row r="145" spans="1:14">
      <c r="A145" s="215">
        <v>142</v>
      </c>
      <c r="B145" s="485">
        <v>46218</v>
      </c>
      <c r="C145" s="491" t="s">
        <v>223</v>
      </c>
      <c r="D145" s="499" t="s">
        <v>224</v>
      </c>
      <c r="E145" s="505"/>
      <c r="F145" s="506"/>
      <c r="G145" s="527">
        <f t="shared" si="11"/>
        <v>0</v>
      </c>
      <c r="H145" s="501">
        <v>3.0030000000000001</v>
      </c>
      <c r="I145" s="501">
        <f>J145/H145</f>
        <v>117.21611721611721</v>
      </c>
      <c r="J145" s="527">
        <v>352</v>
      </c>
      <c r="K145" s="490">
        <f t="shared" si="15"/>
        <v>352</v>
      </c>
      <c r="L145" s="370">
        <f t="shared" si="16"/>
        <v>352</v>
      </c>
      <c r="M145" s="65"/>
      <c r="N145" s="8"/>
    </row>
    <row r="146" spans="1:14">
      <c r="A146" s="214">
        <v>143</v>
      </c>
      <c r="B146" s="485">
        <v>46218</v>
      </c>
      <c r="C146" s="491" t="s">
        <v>223</v>
      </c>
      <c r="D146" s="499" t="s">
        <v>224</v>
      </c>
      <c r="E146" s="505">
        <v>100</v>
      </c>
      <c r="F146" s="488">
        <f t="shared" ref="F146:F157" si="19">G146/E146</f>
        <v>104.92</v>
      </c>
      <c r="G146" s="527">
        <v>10492</v>
      </c>
      <c r="H146" s="501"/>
      <c r="I146" s="501"/>
      <c r="J146" s="527">
        <f t="shared" si="12"/>
        <v>0</v>
      </c>
      <c r="K146" s="490">
        <f t="shared" si="15"/>
        <v>10492</v>
      </c>
      <c r="L146" s="370">
        <f t="shared" si="16"/>
        <v>10492</v>
      </c>
      <c r="M146" s="65"/>
      <c r="N146" s="8"/>
    </row>
    <row r="147" spans="1:14">
      <c r="A147" s="214">
        <v>144</v>
      </c>
      <c r="B147" s="485">
        <v>46218</v>
      </c>
      <c r="C147" s="491" t="s">
        <v>207</v>
      </c>
      <c r="D147" s="507" t="s">
        <v>213</v>
      </c>
      <c r="E147" s="508">
        <v>20</v>
      </c>
      <c r="F147" s="488">
        <f t="shared" si="19"/>
        <v>105.45</v>
      </c>
      <c r="G147" s="527">
        <v>2109</v>
      </c>
      <c r="H147" s="501"/>
      <c r="I147" s="501"/>
      <c r="J147" s="527">
        <f t="shared" si="12"/>
        <v>0</v>
      </c>
      <c r="K147" s="490">
        <f t="shared" si="15"/>
        <v>2109</v>
      </c>
      <c r="L147" s="370">
        <f t="shared" si="16"/>
        <v>2109</v>
      </c>
      <c r="M147" s="65"/>
      <c r="N147" s="8"/>
    </row>
    <row r="148" spans="1:14">
      <c r="A148" s="215">
        <v>145</v>
      </c>
      <c r="B148" s="485">
        <v>46219</v>
      </c>
      <c r="C148" s="491" t="s">
        <v>205</v>
      </c>
      <c r="D148" s="507" t="s">
        <v>206</v>
      </c>
      <c r="E148" s="508"/>
      <c r="F148" s="488"/>
      <c r="G148" s="527">
        <v>0</v>
      </c>
      <c r="H148" s="501">
        <v>15</v>
      </c>
      <c r="I148" s="501">
        <f>J148/H148</f>
        <v>116.99</v>
      </c>
      <c r="J148" s="527">
        <v>1754.85</v>
      </c>
      <c r="K148" s="490">
        <f t="shared" si="15"/>
        <v>1754.85</v>
      </c>
      <c r="L148" s="370">
        <f t="shared" si="16"/>
        <v>1754.85</v>
      </c>
      <c r="M148" s="65"/>
      <c r="N148" s="8"/>
    </row>
    <row r="149" spans="1:14">
      <c r="A149" s="214">
        <v>146</v>
      </c>
      <c r="B149" s="485">
        <v>46219</v>
      </c>
      <c r="C149" s="491" t="s">
        <v>209</v>
      </c>
      <c r="D149" s="507" t="s">
        <v>198</v>
      </c>
      <c r="E149" s="508">
        <v>25.92</v>
      </c>
      <c r="F149" s="488">
        <f t="shared" si="19"/>
        <v>105.34992283950616</v>
      </c>
      <c r="G149" s="527">
        <v>2730.67</v>
      </c>
      <c r="H149" s="501"/>
      <c r="I149" s="501"/>
      <c r="J149" s="527">
        <f t="shared" si="12"/>
        <v>0</v>
      </c>
      <c r="K149" s="490">
        <f t="shared" si="15"/>
        <v>2730.67</v>
      </c>
      <c r="L149" s="370">
        <f t="shared" si="16"/>
        <v>2730.67</v>
      </c>
      <c r="M149" s="65"/>
      <c r="N149" s="8"/>
    </row>
    <row r="150" spans="1:14">
      <c r="A150" s="214">
        <v>147</v>
      </c>
      <c r="B150" s="485">
        <v>46219</v>
      </c>
      <c r="C150" s="491" t="s">
        <v>201</v>
      </c>
      <c r="D150" s="507" t="s">
        <v>202</v>
      </c>
      <c r="E150" s="508"/>
      <c r="F150" s="509"/>
      <c r="G150" s="527">
        <f t="shared" si="11"/>
        <v>0</v>
      </c>
      <c r="H150" s="501">
        <v>5</v>
      </c>
      <c r="I150" s="501">
        <f>J150/H150</f>
        <v>117.72</v>
      </c>
      <c r="J150" s="527">
        <v>588.6</v>
      </c>
      <c r="K150" s="490">
        <f t="shared" si="15"/>
        <v>588.6</v>
      </c>
      <c r="L150" s="370">
        <f t="shared" si="16"/>
        <v>588.6</v>
      </c>
      <c r="M150" s="65"/>
      <c r="N150" s="8"/>
    </row>
    <row r="151" spans="1:14">
      <c r="A151" s="215">
        <v>148</v>
      </c>
      <c r="B151" s="485">
        <v>46219</v>
      </c>
      <c r="C151" s="491" t="s">
        <v>201</v>
      </c>
      <c r="D151" s="507" t="s">
        <v>202</v>
      </c>
      <c r="E151" s="508">
        <v>45.29</v>
      </c>
      <c r="F151" s="488">
        <f t="shared" si="19"/>
        <v>105.349966880106</v>
      </c>
      <c r="G151" s="527">
        <v>4771.3</v>
      </c>
      <c r="H151" s="501"/>
      <c r="I151" s="501"/>
      <c r="J151" s="527">
        <f t="shared" si="12"/>
        <v>0</v>
      </c>
      <c r="K151" s="490">
        <f t="shared" si="15"/>
        <v>4771.3</v>
      </c>
      <c r="L151" s="370">
        <f t="shared" si="16"/>
        <v>4771.3</v>
      </c>
      <c r="M151" s="65"/>
      <c r="N151" s="8"/>
    </row>
    <row r="152" spans="1:14">
      <c r="A152" s="214">
        <v>149</v>
      </c>
      <c r="B152" s="485">
        <v>46219</v>
      </c>
      <c r="C152" s="491" t="s">
        <v>201</v>
      </c>
      <c r="D152" s="507" t="s">
        <v>202</v>
      </c>
      <c r="E152" s="500">
        <v>50</v>
      </c>
      <c r="F152" s="488">
        <f t="shared" si="19"/>
        <v>105.35</v>
      </c>
      <c r="G152" s="527">
        <v>5267.5</v>
      </c>
      <c r="H152" s="501"/>
      <c r="I152" s="501"/>
      <c r="J152" s="527">
        <f t="shared" si="12"/>
        <v>0</v>
      </c>
      <c r="K152" s="490">
        <f t="shared" si="15"/>
        <v>5267.5</v>
      </c>
      <c r="L152" s="370">
        <f t="shared" si="16"/>
        <v>5267.5</v>
      </c>
      <c r="M152" s="65"/>
      <c r="N152" s="8"/>
    </row>
    <row r="153" spans="1:14">
      <c r="A153" s="214">
        <v>150</v>
      </c>
      <c r="B153" s="485">
        <v>46219</v>
      </c>
      <c r="C153" s="491" t="s">
        <v>195</v>
      </c>
      <c r="D153" s="507" t="s">
        <v>196</v>
      </c>
      <c r="E153" s="508">
        <v>43.5</v>
      </c>
      <c r="F153" s="488">
        <f t="shared" si="19"/>
        <v>105.59011494252874</v>
      </c>
      <c r="G153" s="527">
        <v>4593.17</v>
      </c>
      <c r="H153" s="510"/>
      <c r="I153" s="510"/>
      <c r="J153" s="527">
        <f t="shared" ref="J153:J160" si="20">H153*I153</f>
        <v>0</v>
      </c>
      <c r="K153" s="490">
        <f t="shared" si="15"/>
        <v>4593.17</v>
      </c>
      <c r="L153" s="370">
        <f t="shared" si="16"/>
        <v>4593.17</v>
      </c>
      <c r="M153" s="65"/>
      <c r="N153" s="8"/>
    </row>
    <row r="154" spans="1:14">
      <c r="A154" s="215">
        <v>151</v>
      </c>
      <c r="B154" s="485">
        <v>46219</v>
      </c>
      <c r="C154" s="491" t="s">
        <v>232</v>
      </c>
      <c r="D154" s="507" t="s">
        <v>233</v>
      </c>
      <c r="E154" s="508"/>
      <c r="F154" s="509"/>
      <c r="G154" s="527">
        <f t="shared" si="11"/>
        <v>0</v>
      </c>
      <c r="H154" s="510">
        <v>5</v>
      </c>
      <c r="I154" s="501">
        <f>J154/H154</f>
        <v>117.74000000000001</v>
      </c>
      <c r="J154" s="527">
        <v>588.70000000000005</v>
      </c>
      <c r="K154" s="490">
        <f t="shared" si="15"/>
        <v>588.70000000000005</v>
      </c>
      <c r="L154" s="370">
        <f t="shared" si="16"/>
        <v>588.70000000000005</v>
      </c>
      <c r="M154" s="65"/>
      <c r="N154" s="8"/>
    </row>
    <row r="155" spans="1:14">
      <c r="A155" s="214">
        <v>152</v>
      </c>
      <c r="B155" s="485">
        <v>46219</v>
      </c>
      <c r="C155" s="491" t="s">
        <v>232</v>
      </c>
      <c r="D155" s="507" t="s">
        <v>233</v>
      </c>
      <c r="E155" s="500">
        <v>50.65</v>
      </c>
      <c r="F155" s="488">
        <f t="shared" si="19"/>
        <v>105.4</v>
      </c>
      <c r="G155" s="527">
        <v>5338.51</v>
      </c>
      <c r="H155" s="501"/>
      <c r="I155" s="501"/>
      <c r="J155" s="527">
        <f t="shared" si="20"/>
        <v>0</v>
      </c>
      <c r="K155" s="490">
        <f t="shared" si="15"/>
        <v>5338.51</v>
      </c>
      <c r="L155" s="370">
        <f t="shared" si="16"/>
        <v>5338.51</v>
      </c>
      <c r="M155" s="65"/>
      <c r="N155" s="8"/>
    </row>
    <row r="156" spans="1:14">
      <c r="A156" s="214">
        <v>153</v>
      </c>
      <c r="B156" s="485">
        <v>46219</v>
      </c>
      <c r="C156" s="491" t="s">
        <v>195</v>
      </c>
      <c r="D156" s="507" t="s">
        <v>196</v>
      </c>
      <c r="E156" s="508"/>
      <c r="F156" s="509"/>
      <c r="G156" s="527">
        <f t="shared" si="11"/>
        <v>0</v>
      </c>
      <c r="H156" s="510">
        <v>5</v>
      </c>
      <c r="I156" s="501">
        <f>J156/H156</f>
        <v>117.97999999999999</v>
      </c>
      <c r="J156" s="527">
        <v>589.9</v>
      </c>
      <c r="K156" s="490">
        <f t="shared" si="15"/>
        <v>589.9</v>
      </c>
      <c r="L156" s="370">
        <f t="shared" si="16"/>
        <v>589.9</v>
      </c>
      <c r="M156" s="65"/>
      <c r="N156" s="8"/>
    </row>
    <row r="157" spans="1:14">
      <c r="A157" s="215">
        <v>154</v>
      </c>
      <c r="B157" s="485">
        <v>46219</v>
      </c>
      <c r="C157" s="491" t="s">
        <v>191</v>
      </c>
      <c r="D157" s="507" t="s">
        <v>192</v>
      </c>
      <c r="E157" s="508">
        <v>46.48</v>
      </c>
      <c r="F157" s="488">
        <f t="shared" si="19"/>
        <v>105.20998278829605</v>
      </c>
      <c r="G157" s="527">
        <v>4890.16</v>
      </c>
      <c r="H157" s="510"/>
      <c r="I157" s="510"/>
      <c r="J157" s="527">
        <f t="shared" si="20"/>
        <v>0</v>
      </c>
      <c r="K157" s="490">
        <f t="shared" si="15"/>
        <v>4890.16</v>
      </c>
      <c r="L157" s="370">
        <f t="shared" si="16"/>
        <v>4890.16</v>
      </c>
      <c r="M157" s="65"/>
      <c r="N157" s="8"/>
    </row>
    <row r="158" spans="1:14">
      <c r="A158" s="214">
        <v>155</v>
      </c>
      <c r="B158" s="485">
        <v>46219</v>
      </c>
      <c r="C158" s="491" t="s">
        <v>191</v>
      </c>
      <c r="D158" s="507" t="s">
        <v>192</v>
      </c>
      <c r="E158" s="500"/>
      <c r="F158" s="511"/>
      <c r="G158" s="527">
        <f t="shared" si="11"/>
        <v>0</v>
      </c>
      <c r="H158" s="501">
        <v>5</v>
      </c>
      <c r="I158" s="501">
        <f>J158/H158</f>
        <v>117.58</v>
      </c>
      <c r="J158" s="527">
        <v>587.9</v>
      </c>
      <c r="K158" s="490">
        <f t="shared" si="15"/>
        <v>587.9</v>
      </c>
      <c r="L158" s="370">
        <f t="shared" si="16"/>
        <v>587.9</v>
      </c>
      <c r="M158" s="65"/>
      <c r="N158" s="8"/>
    </row>
    <row r="159" spans="1:14">
      <c r="A159" s="214">
        <v>156</v>
      </c>
      <c r="B159" s="485">
        <v>46219</v>
      </c>
      <c r="C159" s="491" t="s">
        <v>205</v>
      </c>
      <c r="D159" s="507" t="s">
        <v>206</v>
      </c>
      <c r="E159" s="500"/>
      <c r="F159" s="511"/>
      <c r="G159" s="527">
        <f t="shared" si="11"/>
        <v>0</v>
      </c>
      <c r="H159" s="501">
        <v>10</v>
      </c>
      <c r="I159" s="501">
        <f>J159/H159</f>
        <v>117</v>
      </c>
      <c r="J159" s="527">
        <v>1170</v>
      </c>
      <c r="K159" s="490">
        <f t="shared" si="15"/>
        <v>1170</v>
      </c>
      <c r="L159" s="370">
        <f t="shared" si="16"/>
        <v>1170</v>
      </c>
      <c r="M159" s="65"/>
      <c r="N159" s="8"/>
    </row>
    <row r="160" spans="1:14">
      <c r="A160" s="215">
        <v>157</v>
      </c>
      <c r="B160" s="485">
        <v>46219</v>
      </c>
      <c r="C160" s="491" t="s">
        <v>205</v>
      </c>
      <c r="D160" s="507" t="s">
        <v>206</v>
      </c>
      <c r="E160" s="500">
        <v>45.43</v>
      </c>
      <c r="F160" s="488">
        <f t="shared" ref="F160:F202" si="21">G160/E160</f>
        <v>104.69997798811359</v>
      </c>
      <c r="G160" s="527">
        <v>4756.5200000000004</v>
      </c>
      <c r="H160" s="501"/>
      <c r="I160" s="501"/>
      <c r="J160" s="527">
        <f t="shared" si="20"/>
        <v>0</v>
      </c>
      <c r="K160" s="490">
        <f t="shared" si="15"/>
        <v>4756.5200000000004</v>
      </c>
      <c r="L160" s="370">
        <f t="shared" si="16"/>
        <v>4756.5200000000004</v>
      </c>
      <c r="M160" s="65"/>
      <c r="N160" s="8"/>
    </row>
    <row r="161" spans="1:14">
      <c r="A161" s="214">
        <v>158</v>
      </c>
      <c r="B161" s="512">
        <v>46220</v>
      </c>
      <c r="C161" s="491" t="s">
        <v>205</v>
      </c>
      <c r="D161" s="492" t="s">
        <v>206</v>
      </c>
      <c r="E161" s="503"/>
      <c r="F161" s="503"/>
      <c r="G161" s="530">
        <f t="shared" si="11"/>
        <v>0</v>
      </c>
      <c r="H161" s="513">
        <v>5</v>
      </c>
      <c r="I161" s="513">
        <f>J161/H161</f>
        <v>116.99000000000001</v>
      </c>
      <c r="J161" s="530">
        <v>584.95000000000005</v>
      </c>
      <c r="K161" s="514">
        <f t="shared" si="15"/>
        <v>584.95000000000005</v>
      </c>
      <c r="L161" s="370">
        <f t="shared" si="16"/>
        <v>584.95000000000005</v>
      </c>
      <c r="M161" s="65"/>
      <c r="N161" s="8"/>
    </row>
    <row r="162" spans="1:14">
      <c r="A162" s="214">
        <v>159</v>
      </c>
      <c r="B162" s="485">
        <v>46220</v>
      </c>
      <c r="C162" s="491" t="s">
        <v>199</v>
      </c>
      <c r="D162" s="492" t="s">
        <v>200</v>
      </c>
      <c r="E162" s="503">
        <v>41.92</v>
      </c>
      <c r="F162" s="494">
        <f t="shared" si="21"/>
        <v>104.61999045801527</v>
      </c>
      <c r="G162" s="530">
        <v>4385.67</v>
      </c>
      <c r="H162" s="513"/>
      <c r="I162" s="513"/>
      <c r="J162" s="530">
        <f t="shared" ref="J162:J202" si="22">H162*I162</f>
        <v>0</v>
      </c>
      <c r="K162" s="514">
        <f t="shared" si="15"/>
        <v>4385.67</v>
      </c>
      <c r="L162" s="370">
        <f t="shared" si="16"/>
        <v>4385.67</v>
      </c>
      <c r="M162" s="65"/>
      <c r="N162" s="8"/>
    </row>
    <row r="163" spans="1:14">
      <c r="A163" s="215">
        <v>160</v>
      </c>
      <c r="B163" s="485">
        <v>46220</v>
      </c>
      <c r="C163" s="491" t="s">
        <v>207</v>
      </c>
      <c r="D163" s="507" t="s">
        <v>213</v>
      </c>
      <c r="E163" s="503"/>
      <c r="F163" s="503"/>
      <c r="G163" s="530">
        <f t="shared" si="11"/>
        <v>0</v>
      </c>
      <c r="H163" s="513">
        <v>5</v>
      </c>
      <c r="I163" s="513">
        <f>J163/H163</f>
        <v>117.84</v>
      </c>
      <c r="J163" s="530">
        <v>589.20000000000005</v>
      </c>
      <c r="K163" s="514">
        <f t="shared" si="15"/>
        <v>589.20000000000005</v>
      </c>
      <c r="L163" s="370">
        <f t="shared" si="16"/>
        <v>589.20000000000005</v>
      </c>
      <c r="M163" s="65"/>
      <c r="N163" s="8"/>
    </row>
    <row r="164" spans="1:14">
      <c r="A164" s="214">
        <v>161</v>
      </c>
      <c r="B164" s="485">
        <v>46220</v>
      </c>
      <c r="C164" s="491" t="s">
        <v>211</v>
      </c>
      <c r="D164" s="507" t="s">
        <v>212</v>
      </c>
      <c r="E164" s="503">
        <v>44.27</v>
      </c>
      <c r="F164" s="494">
        <f t="shared" si="21"/>
        <v>94.079963858143202</v>
      </c>
      <c r="G164" s="530">
        <v>4164.92</v>
      </c>
      <c r="H164" s="513"/>
      <c r="I164" s="513"/>
      <c r="J164" s="530">
        <f t="shared" si="22"/>
        <v>0</v>
      </c>
      <c r="K164" s="514">
        <f t="shared" si="15"/>
        <v>4164.92</v>
      </c>
      <c r="L164" s="370">
        <f t="shared" si="16"/>
        <v>4164.92</v>
      </c>
      <c r="M164" s="65"/>
      <c r="N164" s="8"/>
    </row>
    <row r="165" spans="1:14">
      <c r="A165" s="214">
        <v>162</v>
      </c>
      <c r="B165" s="485">
        <v>46220</v>
      </c>
      <c r="C165" s="491" t="s">
        <v>232</v>
      </c>
      <c r="D165" s="507" t="s">
        <v>233</v>
      </c>
      <c r="E165" s="503">
        <v>35</v>
      </c>
      <c r="F165" s="494">
        <f t="shared" si="21"/>
        <v>105.4</v>
      </c>
      <c r="G165" s="530">
        <v>3689</v>
      </c>
      <c r="H165" s="513"/>
      <c r="I165" s="513"/>
      <c r="J165" s="530">
        <f t="shared" si="22"/>
        <v>0</v>
      </c>
      <c r="K165" s="514">
        <f t="shared" si="15"/>
        <v>3689</v>
      </c>
      <c r="L165" s="370">
        <f t="shared" si="16"/>
        <v>3689</v>
      </c>
      <c r="M165" s="65"/>
      <c r="N165" s="8"/>
    </row>
    <row r="166" spans="1:14">
      <c r="A166" s="215">
        <v>163</v>
      </c>
      <c r="B166" s="485">
        <v>46220</v>
      </c>
      <c r="C166" s="491" t="s">
        <v>209</v>
      </c>
      <c r="D166" s="507" t="s">
        <v>198</v>
      </c>
      <c r="E166" s="503">
        <v>70</v>
      </c>
      <c r="F166" s="494">
        <f t="shared" si="21"/>
        <v>105.35</v>
      </c>
      <c r="G166" s="530">
        <v>7374.5</v>
      </c>
      <c r="H166" s="513"/>
      <c r="I166" s="513"/>
      <c r="J166" s="530">
        <f t="shared" si="22"/>
        <v>0</v>
      </c>
      <c r="K166" s="514">
        <f t="shared" si="15"/>
        <v>7374.5</v>
      </c>
      <c r="L166" s="370">
        <f t="shared" si="16"/>
        <v>7374.5</v>
      </c>
      <c r="M166" s="65"/>
      <c r="N166" s="8"/>
    </row>
    <row r="167" spans="1:14">
      <c r="A167" s="214">
        <v>164</v>
      </c>
      <c r="B167" s="485">
        <v>46220</v>
      </c>
      <c r="C167" s="491" t="s">
        <v>209</v>
      </c>
      <c r="D167" s="507" t="s">
        <v>198</v>
      </c>
      <c r="E167" s="503">
        <v>35</v>
      </c>
      <c r="F167" s="494">
        <f t="shared" si="21"/>
        <v>105.35</v>
      </c>
      <c r="G167" s="530">
        <v>3687.25</v>
      </c>
      <c r="H167" s="513"/>
      <c r="I167" s="513"/>
      <c r="J167" s="530">
        <f t="shared" si="22"/>
        <v>0</v>
      </c>
      <c r="K167" s="514">
        <f t="shared" si="15"/>
        <v>3687.25</v>
      </c>
      <c r="L167" s="370">
        <f t="shared" si="16"/>
        <v>3687.25</v>
      </c>
      <c r="M167" s="65"/>
      <c r="N167" s="8"/>
    </row>
    <row r="168" spans="1:14">
      <c r="A168" s="214">
        <v>165</v>
      </c>
      <c r="B168" s="485">
        <v>46220</v>
      </c>
      <c r="C168" s="491" t="s">
        <v>201</v>
      </c>
      <c r="D168" s="507" t="s">
        <v>202</v>
      </c>
      <c r="E168" s="503">
        <v>54</v>
      </c>
      <c r="F168" s="494">
        <f t="shared" si="21"/>
        <v>105.35</v>
      </c>
      <c r="G168" s="530">
        <v>5688.9</v>
      </c>
      <c r="H168" s="513"/>
      <c r="I168" s="513"/>
      <c r="J168" s="530">
        <f t="shared" si="22"/>
        <v>0</v>
      </c>
      <c r="K168" s="514">
        <f t="shared" si="15"/>
        <v>5688.9</v>
      </c>
      <c r="L168" s="370">
        <f t="shared" si="16"/>
        <v>5688.9</v>
      </c>
      <c r="M168" s="65"/>
      <c r="N168" s="8"/>
    </row>
    <row r="169" spans="1:14">
      <c r="A169" s="215">
        <v>166</v>
      </c>
      <c r="B169" s="485">
        <v>46220</v>
      </c>
      <c r="C169" s="491" t="s">
        <v>201</v>
      </c>
      <c r="D169" s="507" t="s">
        <v>202</v>
      </c>
      <c r="E169" s="503">
        <v>50</v>
      </c>
      <c r="F169" s="494">
        <f t="shared" si="21"/>
        <v>105.35</v>
      </c>
      <c r="G169" s="530">
        <v>5267.5</v>
      </c>
      <c r="H169" s="513"/>
      <c r="I169" s="513"/>
      <c r="J169" s="530">
        <f t="shared" si="22"/>
        <v>0</v>
      </c>
      <c r="K169" s="514">
        <f t="shared" si="15"/>
        <v>5267.5</v>
      </c>
      <c r="L169" s="370">
        <f t="shared" si="16"/>
        <v>5267.5</v>
      </c>
      <c r="M169" s="65"/>
      <c r="N169" s="8"/>
    </row>
    <row r="170" spans="1:14">
      <c r="A170" s="214">
        <v>167</v>
      </c>
      <c r="B170" s="485">
        <v>46220</v>
      </c>
      <c r="C170" s="491" t="s">
        <v>234</v>
      </c>
      <c r="D170" s="492" t="s">
        <v>200</v>
      </c>
      <c r="E170" s="503">
        <v>52.76</v>
      </c>
      <c r="F170" s="494">
        <f t="shared" si="21"/>
        <v>104.57998483699774</v>
      </c>
      <c r="G170" s="530">
        <v>5517.64</v>
      </c>
      <c r="H170" s="513"/>
      <c r="I170" s="513"/>
      <c r="J170" s="530">
        <f t="shared" si="22"/>
        <v>0</v>
      </c>
      <c r="K170" s="514">
        <f t="shared" si="15"/>
        <v>5517.64</v>
      </c>
      <c r="L170" s="370">
        <f t="shared" si="16"/>
        <v>5517.64</v>
      </c>
      <c r="M170" s="65"/>
      <c r="N170" s="8"/>
    </row>
    <row r="171" spans="1:14">
      <c r="A171" s="214">
        <v>168</v>
      </c>
      <c r="B171" s="515">
        <v>46220</v>
      </c>
      <c r="C171" s="516" t="s">
        <v>235</v>
      </c>
      <c r="D171" s="517" t="s">
        <v>224</v>
      </c>
      <c r="E171" s="518">
        <v>46.08</v>
      </c>
      <c r="F171" s="518">
        <f t="shared" si="21"/>
        <v>105.00998263888889</v>
      </c>
      <c r="G171" s="531">
        <v>4838.8599999999997</v>
      </c>
      <c r="H171" s="519"/>
      <c r="I171" s="519"/>
      <c r="J171" s="531">
        <f t="shared" si="22"/>
        <v>0</v>
      </c>
      <c r="K171" s="520">
        <f t="shared" si="15"/>
        <v>4838.8599999999997</v>
      </c>
      <c r="L171" s="370">
        <f t="shared" si="16"/>
        <v>4838.8599999999997</v>
      </c>
      <c r="M171" s="65"/>
      <c r="N171" s="8"/>
    </row>
    <row r="172" spans="1:14">
      <c r="A172" s="215">
        <v>169</v>
      </c>
      <c r="B172" s="485">
        <v>46221</v>
      </c>
      <c r="C172" s="491" t="s">
        <v>205</v>
      </c>
      <c r="D172" s="507" t="s">
        <v>206</v>
      </c>
      <c r="E172" s="500"/>
      <c r="F172" s="500"/>
      <c r="G172" s="527">
        <f t="shared" si="11"/>
        <v>0</v>
      </c>
      <c r="H172" s="501">
        <v>10</v>
      </c>
      <c r="I172" s="513">
        <f>J172/H172</f>
        <v>116.99000000000001</v>
      </c>
      <c r="J172" s="527">
        <v>1169.9000000000001</v>
      </c>
      <c r="K172" s="490">
        <f t="shared" si="15"/>
        <v>1169.9000000000001</v>
      </c>
      <c r="L172" s="370">
        <f t="shared" si="16"/>
        <v>1169.9000000000001</v>
      </c>
      <c r="M172" s="65"/>
      <c r="N172" s="8"/>
    </row>
    <row r="173" spans="1:14">
      <c r="A173" s="214">
        <v>170</v>
      </c>
      <c r="B173" s="485">
        <v>46221</v>
      </c>
      <c r="C173" s="491" t="s">
        <v>236</v>
      </c>
      <c r="D173" s="507"/>
      <c r="E173" s="500">
        <v>48.32</v>
      </c>
      <c r="F173" s="488">
        <f t="shared" si="21"/>
        <v>105.32988410596026</v>
      </c>
      <c r="G173" s="527">
        <v>5089.54</v>
      </c>
      <c r="H173" s="501"/>
      <c r="I173" s="501"/>
      <c r="J173" s="527">
        <f t="shared" si="22"/>
        <v>0</v>
      </c>
      <c r="K173" s="490">
        <f t="shared" si="15"/>
        <v>5089.54</v>
      </c>
      <c r="L173" s="370">
        <f t="shared" si="16"/>
        <v>5089.54</v>
      </c>
      <c r="M173" s="65"/>
      <c r="N173" s="8"/>
    </row>
    <row r="174" spans="1:14">
      <c r="A174" s="214">
        <v>171</v>
      </c>
      <c r="B174" s="485">
        <v>46221</v>
      </c>
      <c r="C174" s="491" t="s">
        <v>201</v>
      </c>
      <c r="D174" s="507" t="s">
        <v>202</v>
      </c>
      <c r="E174" s="500">
        <v>20</v>
      </c>
      <c r="F174" s="488">
        <f t="shared" si="21"/>
        <v>105.35</v>
      </c>
      <c r="G174" s="527">
        <v>2107</v>
      </c>
      <c r="H174" s="501"/>
      <c r="I174" s="501"/>
      <c r="J174" s="527">
        <f t="shared" si="22"/>
        <v>0</v>
      </c>
      <c r="K174" s="490">
        <f t="shared" si="15"/>
        <v>2107</v>
      </c>
      <c r="L174" s="370">
        <f t="shared" si="16"/>
        <v>2107</v>
      </c>
      <c r="M174" s="65"/>
      <c r="N174" s="8"/>
    </row>
    <row r="175" spans="1:14">
      <c r="A175" s="215">
        <v>172</v>
      </c>
      <c r="B175" s="485">
        <v>46221</v>
      </c>
      <c r="C175" s="491" t="s">
        <v>237</v>
      </c>
      <c r="D175" s="507" t="s">
        <v>224</v>
      </c>
      <c r="E175" s="502"/>
      <c r="F175" s="500"/>
      <c r="G175" s="527">
        <f t="shared" si="11"/>
        <v>0</v>
      </c>
      <c r="H175" s="501">
        <v>5</v>
      </c>
      <c r="I175" s="513">
        <f>J175/H175</f>
        <v>117.32000000000001</v>
      </c>
      <c r="J175" s="527">
        <v>586.6</v>
      </c>
      <c r="K175" s="490">
        <f t="shared" si="15"/>
        <v>586.6</v>
      </c>
      <c r="L175" s="370">
        <f t="shared" si="16"/>
        <v>586.6</v>
      </c>
      <c r="M175" s="65"/>
      <c r="N175" s="8"/>
    </row>
    <row r="176" spans="1:14">
      <c r="A176" s="214">
        <v>173</v>
      </c>
      <c r="B176" s="485">
        <v>46221</v>
      </c>
      <c r="C176" s="491" t="s">
        <v>237</v>
      </c>
      <c r="D176" s="507" t="s">
        <v>224</v>
      </c>
      <c r="E176" s="500">
        <v>30</v>
      </c>
      <c r="F176" s="488">
        <f t="shared" si="21"/>
        <v>105.01</v>
      </c>
      <c r="G176" s="527">
        <v>3150.3</v>
      </c>
      <c r="H176" s="501"/>
      <c r="I176" s="501"/>
      <c r="J176" s="527">
        <f t="shared" si="22"/>
        <v>0</v>
      </c>
      <c r="K176" s="490">
        <f t="shared" si="15"/>
        <v>3150.3</v>
      </c>
      <c r="L176" s="370">
        <f t="shared" si="16"/>
        <v>3150.3</v>
      </c>
      <c r="M176" s="65"/>
      <c r="N176" s="8"/>
    </row>
    <row r="177" spans="1:14">
      <c r="A177" s="214">
        <v>174</v>
      </c>
      <c r="B177" s="485">
        <v>46221</v>
      </c>
      <c r="C177" s="491" t="s">
        <v>195</v>
      </c>
      <c r="D177" s="487" t="s">
        <v>196</v>
      </c>
      <c r="E177" s="500"/>
      <c r="F177" s="500"/>
      <c r="G177" s="527">
        <f t="shared" si="11"/>
        <v>0</v>
      </c>
      <c r="H177" s="501">
        <v>3</v>
      </c>
      <c r="I177" s="513">
        <f>J177/H177</f>
        <v>117.98</v>
      </c>
      <c r="J177" s="527">
        <v>353.94</v>
      </c>
      <c r="K177" s="490">
        <f t="shared" si="15"/>
        <v>353.94</v>
      </c>
      <c r="L177" s="370">
        <f t="shared" si="16"/>
        <v>353.94</v>
      </c>
      <c r="M177" s="65"/>
      <c r="N177" s="8"/>
    </row>
    <row r="178" spans="1:14">
      <c r="A178" s="215">
        <v>175</v>
      </c>
      <c r="B178" s="485">
        <v>46221</v>
      </c>
      <c r="C178" s="491" t="s">
        <v>238</v>
      </c>
      <c r="D178" s="487" t="s">
        <v>196</v>
      </c>
      <c r="E178" s="500">
        <v>30</v>
      </c>
      <c r="F178" s="488">
        <f t="shared" si="21"/>
        <v>105.55</v>
      </c>
      <c r="G178" s="527">
        <v>3166.5</v>
      </c>
      <c r="H178" s="501"/>
      <c r="I178" s="501"/>
      <c r="J178" s="527">
        <f t="shared" si="22"/>
        <v>0</v>
      </c>
      <c r="K178" s="490">
        <f t="shared" si="15"/>
        <v>3166.5</v>
      </c>
      <c r="L178" s="370">
        <f t="shared" si="16"/>
        <v>3166.5</v>
      </c>
      <c r="M178" s="65"/>
      <c r="N178" s="8"/>
    </row>
    <row r="179" spans="1:14">
      <c r="A179" s="214">
        <v>176</v>
      </c>
      <c r="B179" s="485">
        <v>46222</v>
      </c>
      <c r="C179" s="491" t="s">
        <v>193</v>
      </c>
      <c r="D179" s="507" t="s">
        <v>194</v>
      </c>
      <c r="E179" s="500"/>
      <c r="F179" s="500"/>
      <c r="G179" s="527">
        <f t="shared" si="11"/>
        <v>0</v>
      </c>
      <c r="H179" s="501">
        <v>5</v>
      </c>
      <c r="I179" s="513">
        <f>J179/H179</f>
        <v>117.24000000000001</v>
      </c>
      <c r="J179" s="527">
        <v>586.20000000000005</v>
      </c>
      <c r="K179" s="490">
        <f t="shared" si="15"/>
        <v>586.20000000000005</v>
      </c>
      <c r="L179" s="370">
        <f t="shared" si="16"/>
        <v>586.20000000000005</v>
      </c>
      <c r="M179" s="65"/>
      <c r="N179" s="8"/>
    </row>
    <row r="180" spans="1:14">
      <c r="A180" s="214">
        <v>177</v>
      </c>
      <c r="B180" s="485">
        <v>46222</v>
      </c>
      <c r="C180" s="491" t="s">
        <v>209</v>
      </c>
      <c r="D180" s="507" t="s">
        <v>198</v>
      </c>
      <c r="E180" s="500">
        <v>35</v>
      </c>
      <c r="F180" s="488">
        <f t="shared" si="21"/>
        <v>105.35</v>
      </c>
      <c r="G180" s="527">
        <v>3687.25</v>
      </c>
      <c r="H180" s="501"/>
      <c r="I180" s="501"/>
      <c r="J180" s="527">
        <f t="shared" si="22"/>
        <v>0</v>
      </c>
      <c r="K180" s="490">
        <f t="shared" si="15"/>
        <v>3687.25</v>
      </c>
      <c r="L180" s="370">
        <f t="shared" si="16"/>
        <v>3687.25</v>
      </c>
      <c r="M180" s="65"/>
      <c r="N180" s="8"/>
    </row>
    <row r="181" spans="1:14">
      <c r="A181" s="215">
        <v>178</v>
      </c>
      <c r="B181" s="485">
        <v>46222</v>
      </c>
      <c r="C181" s="491" t="s">
        <v>195</v>
      </c>
      <c r="D181" s="487" t="s">
        <v>196</v>
      </c>
      <c r="E181" s="500">
        <v>20</v>
      </c>
      <c r="F181" s="488">
        <f t="shared" si="21"/>
        <v>105.59</v>
      </c>
      <c r="G181" s="527">
        <v>2111.8000000000002</v>
      </c>
      <c r="H181" s="501"/>
      <c r="I181" s="501"/>
      <c r="J181" s="527">
        <f t="shared" si="22"/>
        <v>0</v>
      </c>
      <c r="K181" s="490">
        <f t="shared" si="15"/>
        <v>2111.8000000000002</v>
      </c>
      <c r="L181" s="370">
        <f t="shared" si="16"/>
        <v>2111.8000000000002</v>
      </c>
      <c r="M181" s="65"/>
      <c r="N181" s="8"/>
    </row>
    <row r="182" spans="1:14">
      <c r="A182" s="214">
        <v>179</v>
      </c>
      <c r="B182" s="485">
        <v>46222</v>
      </c>
      <c r="C182" s="491" t="s">
        <v>201</v>
      </c>
      <c r="D182" s="507" t="s">
        <v>202</v>
      </c>
      <c r="E182" s="500">
        <v>50</v>
      </c>
      <c r="F182" s="488">
        <f t="shared" si="21"/>
        <v>105.35</v>
      </c>
      <c r="G182" s="527">
        <v>5267.5</v>
      </c>
      <c r="H182" s="501"/>
      <c r="I182" s="501"/>
      <c r="J182" s="527">
        <f t="shared" si="22"/>
        <v>0</v>
      </c>
      <c r="K182" s="490">
        <f t="shared" si="15"/>
        <v>5267.5</v>
      </c>
      <c r="L182" s="370">
        <f t="shared" si="16"/>
        <v>5267.5</v>
      </c>
      <c r="M182" s="65"/>
      <c r="N182" s="8"/>
    </row>
    <row r="183" spans="1:14">
      <c r="A183" s="214">
        <v>180</v>
      </c>
      <c r="B183" s="485">
        <v>46222</v>
      </c>
      <c r="C183" s="491" t="s">
        <v>207</v>
      </c>
      <c r="D183" s="507" t="s">
        <v>213</v>
      </c>
      <c r="E183" s="500">
        <v>50</v>
      </c>
      <c r="F183" s="488">
        <f t="shared" si="21"/>
        <v>105.46</v>
      </c>
      <c r="G183" s="527">
        <v>5273</v>
      </c>
      <c r="H183" s="501"/>
      <c r="I183" s="501"/>
      <c r="J183" s="527">
        <f t="shared" si="22"/>
        <v>0</v>
      </c>
      <c r="K183" s="490">
        <f t="shared" si="15"/>
        <v>5273</v>
      </c>
      <c r="L183" s="370">
        <f t="shared" si="16"/>
        <v>5273</v>
      </c>
      <c r="M183" s="65"/>
      <c r="N183" s="8"/>
    </row>
    <row r="184" spans="1:14">
      <c r="A184" s="215">
        <v>181</v>
      </c>
      <c r="B184" s="485">
        <v>46222</v>
      </c>
      <c r="C184" s="491" t="s">
        <v>232</v>
      </c>
      <c r="D184" s="507" t="s">
        <v>233</v>
      </c>
      <c r="E184" s="500">
        <v>32</v>
      </c>
      <c r="F184" s="488">
        <f t="shared" si="21"/>
        <v>105.4</v>
      </c>
      <c r="G184" s="527">
        <v>3372.8</v>
      </c>
      <c r="H184" s="501"/>
      <c r="I184" s="513"/>
      <c r="J184" s="527">
        <v>0</v>
      </c>
      <c r="K184" s="490">
        <f t="shared" si="15"/>
        <v>3372.8</v>
      </c>
      <c r="L184" s="370">
        <f t="shared" si="16"/>
        <v>3372.8</v>
      </c>
      <c r="M184" s="65"/>
      <c r="N184" s="8"/>
    </row>
    <row r="185" spans="1:14">
      <c r="A185" s="214">
        <v>182</v>
      </c>
      <c r="B185" s="485">
        <v>46222</v>
      </c>
      <c r="C185" s="491" t="s">
        <v>232</v>
      </c>
      <c r="D185" s="507" t="s">
        <v>233</v>
      </c>
      <c r="E185" s="500">
        <v>32</v>
      </c>
      <c r="F185" s="488">
        <f t="shared" si="21"/>
        <v>105.4</v>
      </c>
      <c r="G185" s="527">
        <v>3372.8</v>
      </c>
      <c r="H185" s="501"/>
      <c r="I185" s="501"/>
      <c r="J185" s="527">
        <f t="shared" si="22"/>
        <v>0</v>
      </c>
      <c r="K185" s="490">
        <f t="shared" si="15"/>
        <v>3372.8</v>
      </c>
      <c r="L185" s="370">
        <f t="shared" si="16"/>
        <v>3372.8</v>
      </c>
      <c r="M185" s="65"/>
      <c r="N185" s="8"/>
    </row>
    <row r="186" spans="1:14">
      <c r="A186" s="214">
        <v>183</v>
      </c>
      <c r="B186" s="485">
        <v>46222</v>
      </c>
      <c r="C186" s="491" t="s">
        <v>232</v>
      </c>
      <c r="D186" s="507" t="s">
        <v>233</v>
      </c>
      <c r="E186" s="500">
        <v>30</v>
      </c>
      <c r="F186" s="488">
        <f t="shared" si="21"/>
        <v>105.4</v>
      </c>
      <c r="G186" s="527">
        <v>3162</v>
      </c>
      <c r="H186" s="501"/>
      <c r="I186" s="501"/>
      <c r="J186" s="527">
        <f t="shared" si="22"/>
        <v>0</v>
      </c>
      <c r="K186" s="490">
        <f t="shared" si="15"/>
        <v>3162</v>
      </c>
      <c r="L186" s="370">
        <f t="shared" si="16"/>
        <v>3162</v>
      </c>
      <c r="M186" s="65"/>
      <c r="N186" s="8"/>
    </row>
    <row r="187" spans="1:14">
      <c r="A187" s="215">
        <v>184</v>
      </c>
      <c r="B187" s="485">
        <v>46222</v>
      </c>
      <c r="C187" s="491" t="s">
        <v>195</v>
      </c>
      <c r="D187" s="487" t="s">
        <v>196</v>
      </c>
      <c r="E187" s="500"/>
      <c r="F187" s="500"/>
      <c r="G187" s="527">
        <f t="shared" si="11"/>
        <v>0</v>
      </c>
      <c r="H187" s="501">
        <v>5</v>
      </c>
      <c r="I187" s="501">
        <f>J187/H187</f>
        <v>117.97999999999999</v>
      </c>
      <c r="J187" s="527">
        <v>589.9</v>
      </c>
      <c r="K187" s="490">
        <f t="shared" si="15"/>
        <v>589.9</v>
      </c>
      <c r="L187" s="370">
        <f t="shared" si="16"/>
        <v>589.9</v>
      </c>
      <c r="M187" s="65"/>
      <c r="N187" s="8"/>
    </row>
    <row r="188" spans="1:14">
      <c r="A188" s="214">
        <v>185</v>
      </c>
      <c r="B188" s="485">
        <v>46223</v>
      </c>
      <c r="C188" s="491" t="s">
        <v>195</v>
      </c>
      <c r="D188" s="487" t="s">
        <v>196</v>
      </c>
      <c r="E188" s="500">
        <v>30</v>
      </c>
      <c r="F188" s="488">
        <f t="shared" si="21"/>
        <v>105.58999999999999</v>
      </c>
      <c r="G188" s="527">
        <v>3167.7</v>
      </c>
      <c r="H188" s="501"/>
      <c r="I188" s="501"/>
      <c r="J188" s="527">
        <f t="shared" si="22"/>
        <v>0</v>
      </c>
      <c r="K188" s="490">
        <f t="shared" si="15"/>
        <v>3167.7</v>
      </c>
      <c r="L188" s="370">
        <f t="shared" si="16"/>
        <v>3167.7</v>
      </c>
      <c r="M188" s="65"/>
      <c r="N188" s="8"/>
    </row>
    <row r="189" spans="1:14">
      <c r="A189" s="214">
        <v>186</v>
      </c>
      <c r="B189" s="485">
        <v>46223</v>
      </c>
      <c r="C189" s="491" t="s">
        <v>201</v>
      </c>
      <c r="D189" s="507" t="s">
        <v>202</v>
      </c>
      <c r="E189" s="500">
        <v>80</v>
      </c>
      <c r="F189" s="488">
        <f t="shared" si="21"/>
        <v>105.35</v>
      </c>
      <c r="G189" s="527">
        <v>8428</v>
      </c>
      <c r="H189" s="501"/>
      <c r="I189" s="501"/>
      <c r="J189" s="527">
        <f t="shared" si="22"/>
        <v>0</v>
      </c>
      <c r="K189" s="490">
        <f t="shared" si="15"/>
        <v>8428</v>
      </c>
      <c r="L189" s="370">
        <f t="shared" si="16"/>
        <v>8428</v>
      </c>
      <c r="M189" s="65"/>
      <c r="N189" s="8"/>
    </row>
    <row r="190" spans="1:14">
      <c r="A190" s="215">
        <v>187</v>
      </c>
      <c r="B190" s="485">
        <v>46223</v>
      </c>
      <c r="C190" s="491" t="s">
        <v>201</v>
      </c>
      <c r="D190" s="507" t="s">
        <v>202</v>
      </c>
      <c r="E190" s="500">
        <v>50</v>
      </c>
      <c r="F190" s="488">
        <f t="shared" si="21"/>
        <v>105.35</v>
      </c>
      <c r="G190" s="527">
        <v>5267.5</v>
      </c>
      <c r="H190" s="513"/>
      <c r="I190" s="501"/>
      <c r="J190" s="527">
        <f>H190*I190</f>
        <v>0</v>
      </c>
      <c r="K190" s="490">
        <f t="shared" si="15"/>
        <v>5267.5</v>
      </c>
      <c r="L190" s="370">
        <f t="shared" si="16"/>
        <v>5267.5</v>
      </c>
      <c r="M190" s="65"/>
      <c r="N190" s="8"/>
    </row>
    <row r="191" spans="1:14">
      <c r="A191" s="214">
        <v>188</v>
      </c>
      <c r="B191" s="485">
        <v>46223</v>
      </c>
      <c r="C191" s="491" t="s">
        <v>201</v>
      </c>
      <c r="D191" s="507" t="s">
        <v>202</v>
      </c>
      <c r="E191" s="500">
        <v>13</v>
      </c>
      <c r="F191" s="488">
        <f t="shared" si="21"/>
        <v>105.35</v>
      </c>
      <c r="G191" s="527">
        <v>1369.55</v>
      </c>
      <c r="H191" s="513"/>
      <c r="I191" s="501"/>
      <c r="J191" s="527">
        <f t="shared" ref="J191:J196" si="23">H191*I191</f>
        <v>0</v>
      </c>
      <c r="K191" s="490">
        <f t="shared" si="15"/>
        <v>1369.55</v>
      </c>
      <c r="L191" s="370">
        <f t="shared" si="16"/>
        <v>1369.55</v>
      </c>
      <c r="M191" s="65"/>
      <c r="N191" s="8"/>
    </row>
    <row r="192" spans="1:14">
      <c r="A192" s="214">
        <v>189</v>
      </c>
      <c r="B192" s="485">
        <v>46223</v>
      </c>
      <c r="C192" s="491" t="s">
        <v>201</v>
      </c>
      <c r="D192" s="507" t="s">
        <v>202</v>
      </c>
      <c r="E192" s="500"/>
      <c r="F192" s="500"/>
      <c r="G192" s="527">
        <f t="shared" ref="G192:G197" si="24">E192*F192</f>
        <v>0</v>
      </c>
      <c r="H192" s="501">
        <v>5</v>
      </c>
      <c r="I192" s="501">
        <f>J192/H192</f>
        <v>117.72</v>
      </c>
      <c r="J192" s="527">
        <v>588.6</v>
      </c>
      <c r="K192" s="490">
        <f t="shared" si="15"/>
        <v>588.6</v>
      </c>
      <c r="L192" s="370">
        <f t="shared" si="16"/>
        <v>588.6</v>
      </c>
      <c r="M192" s="65"/>
      <c r="N192" s="8"/>
    </row>
    <row r="193" spans="1:14">
      <c r="A193" s="215">
        <v>190</v>
      </c>
      <c r="B193" s="485">
        <v>46223</v>
      </c>
      <c r="C193" s="491" t="s">
        <v>232</v>
      </c>
      <c r="D193" s="507" t="s">
        <v>233</v>
      </c>
      <c r="E193" s="500">
        <v>20</v>
      </c>
      <c r="F193" s="488">
        <f t="shared" si="21"/>
        <v>105.4</v>
      </c>
      <c r="G193" s="527">
        <v>2108</v>
      </c>
      <c r="H193" s="501"/>
      <c r="I193" s="501"/>
      <c r="J193" s="527">
        <f t="shared" si="23"/>
        <v>0</v>
      </c>
      <c r="K193" s="490">
        <f t="shared" si="15"/>
        <v>2108</v>
      </c>
      <c r="L193" s="370">
        <f t="shared" si="16"/>
        <v>2108</v>
      </c>
      <c r="M193" s="65"/>
      <c r="N193" s="8"/>
    </row>
    <row r="194" spans="1:14">
      <c r="A194" s="214">
        <v>191</v>
      </c>
      <c r="B194" s="485">
        <v>46223</v>
      </c>
      <c r="C194" s="491" t="s">
        <v>201</v>
      </c>
      <c r="D194" s="507" t="s">
        <v>202</v>
      </c>
      <c r="E194" s="500">
        <v>21.42</v>
      </c>
      <c r="F194" s="488">
        <f t="shared" si="21"/>
        <v>105.34967320261438</v>
      </c>
      <c r="G194" s="527">
        <v>2256.59</v>
      </c>
      <c r="H194" s="501"/>
      <c r="I194" s="501"/>
      <c r="J194" s="527">
        <f t="shared" si="23"/>
        <v>0</v>
      </c>
      <c r="K194" s="490">
        <f t="shared" si="15"/>
        <v>2256.59</v>
      </c>
      <c r="L194" s="370">
        <f t="shared" si="16"/>
        <v>2256.59</v>
      </c>
      <c r="M194" s="65"/>
      <c r="N194" s="8"/>
    </row>
    <row r="195" spans="1:14">
      <c r="A195" s="214">
        <v>192</v>
      </c>
      <c r="B195" s="485">
        <v>46223</v>
      </c>
      <c r="C195" s="491" t="s">
        <v>232</v>
      </c>
      <c r="D195" s="507" t="s">
        <v>233</v>
      </c>
      <c r="E195" s="500"/>
      <c r="F195" s="500"/>
      <c r="G195" s="527">
        <f t="shared" si="24"/>
        <v>0</v>
      </c>
      <c r="H195" s="501">
        <v>5</v>
      </c>
      <c r="I195" s="501">
        <f>J195/H195</f>
        <v>117.74000000000001</v>
      </c>
      <c r="J195" s="527">
        <v>588.70000000000005</v>
      </c>
      <c r="K195" s="490">
        <f t="shared" si="15"/>
        <v>588.70000000000005</v>
      </c>
      <c r="L195" s="370">
        <f t="shared" si="16"/>
        <v>588.70000000000005</v>
      </c>
      <c r="M195" s="65"/>
      <c r="N195" s="8"/>
    </row>
    <row r="196" spans="1:14">
      <c r="A196" s="215">
        <v>193</v>
      </c>
      <c r="B196" s="485">
        <v>46223</v>
      </c>
      <c r="C196" s="491" t="s">
        <v>232</v>
      </c>
      <c r="D196" s="507" t="s">
        <v>233</v>
      </c>
      <c r="E196" s="500">
        <v>20</v>
      </c>
      <c r="F196" s="488">
        <f t="shared" si="21"/>
        <v>105.4</v>
      </c>
      <c r="G196" s="527">
        <v>2108</v>
      </c>
      <c r="H196" s="501"/>
      <c r="I196" s="501"/>
      <c r="J196" s="527">
        <f t="shared" si="23"/>
        <v>0</v>
      </c>
      <c r="K196" s="490">
        <f t="shared" si="15"/>
        <v>2108</v>
      </c>
      <c r="L196" s="370">
        <f t="shared" si="16"/>
        <v>2108</v>
      </c>
      <c r="M196" s="65"/>
      <c r="N196" s="8"/>
    </row>
    <row r="197" spans="1:14">
      <c r="A197" s="214">
        <v>194</v>
      </c>
      <c r="B197" s="485">
        <v>46223</v>
      </c>
      <c r="C197" s="491" t="s">
        <v>201</v>
      </c>
      <c r="D197" s="507" t="s">
        <v>202</v>
      </c>
      <c r="E197" s="500"/>
      <c r="F197" s="500"/>
      <c r="G197" s="527">
        <f t="shared" si="24"/>
        <v>0</v>
      </c>
      <c r="H197" s="501">
        <v>5</v>
      </c>
      <c r="I197" s="501">
        <f>J197/H197</f>
        <v>117.72</v>
      </c>
      <c r="J197" s="527">
        <v>588.6</v>
      </c>
      <c r="K197" s="490">
        <f t="shared" si="15"/>
        <v>588.6</v>
      </c>
      <c r="L197" s="370">
        <f t="shared" ref="L197:L260" si="25">+K197</f>
        <v>588.6</v>
      </c>
      <c r="M197" s="65"/>
      <c r="N197" s="8"/>
    </row>
    <row r="198" spans="1:14">
      <c r="A198" s="214">
        <v>195</v>
      </c>
      <c r="B198" s="485">
        <v>46223</v>
      </c>
      <c r="C198" s="491" t="s">
        <v>193</v>
      </c>
      <c r="D198" s="507" t="s">
        <v>194</v>
      </c>
      <c r="E198" s="500">
        <v>200</v>
      </c>
      <c r="F198" s="488">
        <f t="shared" si="21"/>
        <v>104.93</v>
      </c>
      <c r="G198" s="527">
        <v>20986</v>
      </c>
      <c r="H198" s="501"/>
      <c r="I198" s="501"/>
      <c r="J198" s="527">
        <f t="shared" si="22"/>
        <v>0</v>
      </c>
      <c r="K198" s="490">
        <f t="shared" si="15"/>
        <v>20986</v>
      </c>
      <c r="L198" s="370">
        <f t="shared" si="25"/>
        <v>20986</v>
      </c>
      <c r="M198" s="65"/>
      <c r="N198" s="8"/>
    </row>
    <row r="199" spans="1:14">
      <c r="A199" s="215">
        <v>196</v>
      </c>
      <c r="B199" s="485">
        <v>46223</v>
      </c>
      <c r="C199" s="491" t="s">
        <v>232</v>
      </c>
      <c r="D199" s="507" t="s">
        <v>233</v>
      </c>
      <c r="E199" s="500">
        <v>20</v>
      </c>
      <c r="F199" s="488">
        <f t="shared" si="21"/>
        <v>105.4</v>
      </c>
      <c r="G199" s="527">
        <v>2108</v>
      </c>
      <c r="H199" s="513"/>
      <c r="I199" s="501"/>
      <c r="J199" s="527">
        <f t="shared" si="22"/>
        <v>0</v>
      </c>
      <c r="K199" s="490">
        <f t="shared" si="15"/>
        <v>2108</v>
      </c>
      <c r="L199" s="370">
        <f t="shared" si="25"/>
        <v>2108</v>
      </c>
      <c r="M199" s="65"/>
      <c r="N199" s="8"/>
    </row>
    <row r="200" spans="1:14">
      <c r="A200" s="214">
        <v>197</v>
      </c>
      <c r="B200" s="485">
        <v>46223</v>
      </c>
      <c r="C200" s="491" t="s">
        <v>209</v>
      </c>
      <c r="D200" s="507" t="s">
        <v>198</v>
      </c>
      <c r="E200" s="500">
        <v>40</v>
      </c>
      <c r="F200" s="488">
        <f t="shared" si="21"/>
        <v>105.35</v>
      </c>
      <c r="G200" s="527">
        <v>4214</v>
      </c>
      <c r="H200" s="501"/>
      <c r="I200" s="501"/>
      <c r="J200" s="527">
        <f t="shared" si="22"/>
        <v>0</v>
      </c>
      <c r="K200" s="490">
        <f t="shared" si="15"/>
        <v>4214</v>
      </c>
      <c r="L200" s="370">
        <f t="shared" si="25"/>
        <v>4214</v>
      </c>
      <c r="M200" s="65"/>
      <c r="N200" s="8"/>
    </row>
    <row r="201" spans="1:14">
      <c r="A201" s="214">
        <v>198</v>
      </c>
      <c r="B201" s="485">
        <v>46223</v>
      </c>
      <c r="C201" s="491" t="s">
        <v>201</v>
      </c>
      <c r="D201" s="507" t="s">
        <v>202</v>
      </c>
      <c r="E201" s="500">
        <v>20</v>
      </c>
      <c r="F201" s="488">
        <f t="shared" si="21"/>
        <v>105.35</v>
      </c>
      <c r="G201" s="527">
        <v>2107</v>
      </c>
      <c r="H201" s="501"/>
      <c r="I201" s="501"/>
      <c r="J201" s="527">
        <f t="shared" si="22"/>
        <v>0</v>
      </c>
      <c r="K201" s="490">
        <f t="shared" si="15"/>
        <v>2107</v>
      </c>
      <c r="L201" s="370">
        <f t="shared" si="25"/>
        <v>2107</v>
      </c>
      <c r="M201" s="65"/>
      <c r="N201" s="8"/>
    </row>
    <row r="202" spans="1:14">
      <c r="A202" s="215">
        <v>199</v>
      </c>
      <c r="B202" s="485">
        <v>46224</v>
      </c>
      <c r="C202" s="495" t="s">
        <v>199</v>
      </c>
      <c r="D202" s="499" t="s">
        <v>200</v>
      </c>
      <c r="E202" s="500">
        <v>20</v>
      </c>
      <c r="F202" s="488">
        <f t="shared" si="21"/>
        <v>104.62</v>
      </c>
      <c r="G202" s="527">
        <v>2092.4</v>
      </c>
      <c r="H202" s="501"/>
      <c r="I202" s="501"/>
      <c r="J202" s="527">
        <f t="shared" si="22"/>
        <v>0</v>
      </c>
      <c r="K202" s="521">
        <f t="shared" si="15"/>
        <v>2092.4</v>
      </c>
      <c r="L202" s="370">
        <f t="shared" si="25"/>
        <v>2092.4</v>
      </c>
      <c r="M202" s="65"/>
      <c r="N202" s="8"/>
    </row>
    <row r="203" spans="1:14">
      <c r="A203" s="214">
        <v>200</v>
      </c>
      <c r="B203" s="485">
        <v>46224</v>
      </c>
      <c r="C203" s="495" t="s">
        <v>205</v>
      </c>
      <c r="D203" s="499" t="s">
        <v>206</v>
      </c>
      <c r="E203" s="500"/>
      <c r="F203" s="500"/>
      <c r="G203" s="527">
        <v>0</v>
      </c>
      <c r="H203" s="501">
        <v>5</v>
      </c>
      <c r="I203" s="501">
        <f>J203/H203</f>
        <v>116.99000000000001</v>
      </c>
      <c r="J203" s="527">
        <v>584.95000000000005</v>
      </c>
      <c r="K203" s="521">
        <f t="shared" si="15"/>
        <v>584.95000000000005</v>
      </c>
      <c r="L203" s="370">
        <f t="shared" si="25"/>
        <v>584.95000000000005</v>
      </c>
      <c r="M203" s="65"/>
      <c r="N203" s="8"/>
    </row>
    <row r="204" spans="1:14">
      <c r="A204" s="214">
        <v>201</v>
      </c>
      <c r="B204" s="485">
        <v>46224</v>
      </c>
      <c r="C204" s="495" t="s">
        <v>237</v>
      </c>
      <c r="D204" s="499" t="s">
        <v>224</v>
      </c>
      <c r="E204" s="500"/>
      <c r="F204" s="500"/>
      <c r="G204" s="527">
        <v>0</v>
      </c>
      <c r="H204" s="501">
        <v>5</v>
      </c>
      <c r="I204" s="501">
        <f>J204/H204</f>
        <v>117.32000000000001</v>
      </c>
      <c r="J204" s="527">
        <v>586.6</v>
      </c>
      <c r="K204" s="521">
        <f t="shared" si="15"/>
        <v>586.6</v>
      </c>
      <c r="L204" s="370">
        <f t="shared" si="25"/>
        <v>586.6</v>
      </c>
      <c r="M204" s="65"/>
      <c r="N204" s="8"/>
    </row>
    <row r="205" spans="1:14">
      <c r="A205" s="215">
        <v>202</v>
      </c>
      <c r="B205" s="485">
        <v>46224</v>
      </c>
      <c r="C205" s="495" t="s">
        <v>201</v>
      </c>
      <c r="D205" s="499" t="s">
        <v>202</v>
      </c>
      <c r="E205" s="500"/>
      <c r="F205" s="500"/>
      <c r="G205" s="527">
        <v>0</v>
      </c>
      <c r="H205" s="501">
        <v>5</v>
      </c>
      <c r="I205" s="501">
        <f>J205/H205</f>
        <v>117.72</v>
      </c>
      <c r="J205" s="527">
        <v>588.6</v>
      </c>
      <c r="K205" s="521">
        <f t="shared" si="15"/>
        <v>588.6</v>
      </c>
      <c r="L205" s="370">
        <f t="shared" si="25"/>
        <v>588.6</v>
      </c>
      <c r="M205" s="65"/>
      <c r="N205" s="8"/>
    </row>
    <row r="206" spans="1:14">
      <c r="A206" s="214">
        <v>203</v>
      </c>
      <c r="B206" s="485">
        <v>46224</v>
      </c>
      <c r="C206" s="495" t="s">
        <v>195</v>
      </c>
      <c r="D206" s="499" t="s">
        <v>196</v>
      </c>
      <c r="E206" s="500"/>
      <c r="F206" s="500"/>
      <c r="G206" s="527">
        <v>0</v>
      </c>
      <c r="H206" s="501">
        <v>7</v>
      </c>
      <c r="I206" s="501">
        <f>J206/H206</f>
        <v>117.98</v>
      </c>
      <c r="J206" s="527">
        <v>825.86</v>
      </c>
      <c r="K206" s="521">
        <f t="shared" si="15"/>
        <v>825.86</v>
      </c>
      <c r="L206" s="370">
        <f t="shared" si="25"/>
        <v>825.86</v>
      </c>
      <c r="M206" s="65"/>
      <c r="N206" s="8"/>
    </row>
    <row r="207" spans="1:14">
      <c r="A207" s="214">
        <v>204</v>
      </c>
      <c r="B207" s="485">
        <v>46224</v>
      </c>
      <c r="C207" s="495" t="s">
        <v>203</v>
      </c>
      <c r="D207" s="499" t="s">
        <v>204</v>
      </c>
      <c r="E207" s="500"/>
      <c r="F207" s="500"/>
      <c r="G207" s="527">
        <v>0</v>
      </c>
      <c r="H207" s="501">
        <v>0.85</v>
      </c>
      <c r="I207" s="501">
        <f>J207/H207</f>
        <v>117.64705882352942</v>
      </c>
      <c r="J207" s="527">
        <v>100</v>
      </c>
      <c r="K207" s="521">
        <f t="shared" si="15"/>
        <v>100</v>
      </c>
      <c r="L207" s="370">
        <f t="shared" si="25"/>
        <v>100</v>
      </c>
      <c r="M207" s="65"/>
      <c r="N207" s="8"/>
    </row>
    <row r="208" spans="1:14">
      <c r="A208" s="215">
        <v>205</v>
      </c>
      <c r="B208" s="485">
        <v>46224</v>
      </c>
      <c r="C208" s="495" t="s">
        <v>193</v>
      </c>
      <c r="D208" s="499" t="s">
        <v>194</v>
      </c>
      <c r="E208" s="500">
        <v>200</v>
      </c>
      <c r="F208" s="488">
        <f t="shared" ref="F208:F217" si="26">G208/E208</f>
        <v>104.93</v>
      </c>
      <c r="G208" s="527">
        <v>20986</v>
      </c>
      <c r="H208" s="501"/>
      <c r="I208" s="501"/>
      <c r="J208" s="527"/>
      <c r="K208" s="521">
        <f t="shared" si="15"/>
        <v>20986</v>
      </c>
      <c r="L208" s="370">
        <f t="shared" si="25"/>
        <v>20986</v>
      </c>
      <c r="M208" s="65"/>
      <c r="N208" s="8"/>
    </row>
    <row r="209" spans="1:14">
      <c r="A209" s="214">
        <v>206</v>
      </c>
      <c r="B209" s="485">
        <v>46224</v>
      </c>
      <c r="C209" s="495" t="s">
        <v>209</v>
      </c>
      <c r="D209" s="499" t="s">
        <v>198</v>
      </c>
      <c r="E209" s="500">
        <v>71</v>
      </c>
      <c r="F209" s="488">
        <f t="shared" si="26"/>
        <v>105.35000000000001</v>
      </c>
      <c r="G209" s="527">
        <v>7479.85</v>
      </c>
      <c r="H209" s="501"/>
      <c r="I209" s="501"/>
      <c r="J209" s="527"/>
      <c r="K209" s="521">
        <f t="shared" si="15"/>
        <v>7479.85</v>
      </c>
      <c r="L209" s="370">
        <f t="shared" si="25"/>
        <v>7479.85</v>
      </c>
      <c r="M209" s="65"/>
      <c r="N209" s="8"/>
    </row>
    <row r="210" spans="1:14">
      <c r="A210" s="214">
        <v>207</v>
      </c>
      <c r="B210" s="485">
        <v>46224</v>
      </c>
      <c r="C210" s="495" t="s">
        <v>232</v>
      </c>
      <c r="D210" s="499" t="s">
        <v>233</v>
      </c>
      <c r="E210" s="500">
        <v>30</v>
      </c>
      <c r="F210" s="488">
        <f t="shared" si="26"/>
        <v>105.4</v>
      </c>
      <c r="G210" s="527">
        <v>3162</v>
      </c>
      <c r="H210" s="501"/>
      <c r="I210" s="501"/>
      <c r="J210" s="527"/>
      <c r="K210" s="521">
        <f t="shared" si="15"/>
        <v>3162</v>
      </c>
      <c r="L210" s="440">
        <f t="shared" si="25"/>
        <v>3162</v>
      </c>
      <c r="M210" s="65"/>
      <c r="N210" s="8"/>
    </row>
    <row r="211" spans="1:14">
      <c r="A211" s="215">
        <v>208</v>
      </c>
      <c r="B211" s="485">
        <v>46224</v>
      </c>
      <c r="C211" s="495" t="s">
        <v>203</v>
      </c>
      <c r="D211" s="499" t="s">
        <v>204</v>
      </c>
      <c r="E211" s="500"/>
      <c r="F211" s="500"/>
      <c r="G211" s="527">
        <v>0</v>
      </c>
      <c r="H211" s="501">
        <v>6</v>
      </c>
      <c r="I211" s="501">
        <f>J211/H211</f>
        <v>117.62</v>
      </c>
      <c r="J211" s="527">
        <v>705.72</v>
      </c>
      <c r="K211" s="521">
        <f t="shared" si="15"/>
        <v>705.72</v>
      </c>
      <c r="L211" s="439">
        <f t="shared" si="25"/>
        <v>705.72</v>
      </c>
      <c r="M211" s="65"/>
      <c r="N211" s="8"/>
    </row>
    <row r="212" spans="1:14">
      <c r="A212" s="214">
        <v>209</v>
      </c>
      <c r="B212" s="485">
        <v>46224</v>
      </c>
      <c r="C212" s="495" t="s">
        <v>232</v>
      </c>
      <c r="D212" s="499" t="s">
        <v>233</v>
      </c>
      <c r="E212" s="500">
        <v>32</v>
      </c>
      <c r="F212" s="488">
        <f t="shared" si="26"/>
        <v>105.4</v>
      </c>
      <c r="G212" s="527">
        <v>3372.8</v>
      </c>
      <c r="H212" s="501"/>
      <c r="I212" s="501"/>
      <c r="J212" s="527"/>
      <c r="K212" s="521">
        <f t="shared" si="15"/>
        <v>3372.8</v>
      </c>
      <c r="L212" s="439">
        <f t="shared" si="25"/>
        <v>3372.8</v>
      </c>
      <c r="M212" s="65"/>
      <c r="N212" s="8"/>
    </row>
    <row r="213" spans="1:14">
      <c r="A213" s="214">
        <v>210</v>
      </c>
      <c r="B213" s="485">
        <v>46224</v>
      </c>
      <c r="C213" s="495" t="s">
        <v>199</v>
      </c>
      <c r="D213" s="499" t="s">
        <v>200</v>
      </c>
      <c r="E213" s="500">
        <v>45.46</v>
      </c>
      <c r="F213" s="500">
        <f t="shared" si="26"/>
        <v>104.62010558732952</v>
      </c>
      <c r="G213" s="527">
        <v>4756.03</v>
      </c>
      <c r="H213" s="501"/>
      <c r="I213" s="501"/>
      <c r="J213" s="527"/>
      <c r="K213" s="521">
        <f t="shared" si="15"/>
        <v>4756.03</v>
      </c>
      <c r="L213" s="439">
        <f t="shared" si="25"/>
        <v>4756.03</v>
      </c>
      <c r="M213" s="65"/>
      <c r="N213" s="8"/>
    </row>
    <row r="214" spans="1:14">
      <c r="A214" s="215">
        <v>211</v>
      </c>
      <c r="B214" s="485">
        <v>46225</v>
      </c>
      <c r="C214" s="495" t="s">
        <v>232</v>
      </c>
      <c r="D214" s="499" t="s">
        <v>233</v>
      </c>
      <c r="E214" s="500">
        <v>30</v>
      </c>
      <c r="F214" s="500">
        <f t="shared" si="26"/>
        <v>105.4</v>
      </c>
      <c r="G214" s="527">
        <v>3162</v>
      </c>
      <c r="H214" s="501"/>
      <c r="I214" s="501"/>
      <c r="J214" s="527"/>
      <c r="K214" s="521">
        <f t="shared" si="15"/>
        <v>3162</v>
      </c>
      <c r="L214" s="439">
        <f t="shared" si="25"/>
        <v>3162</v>
      </c>
      <c r="M214" s="65"/>
      <c r="N214" s="8"/>
    </row>
    <row r="215" spans="1:14">
      <c r="A215" s="214">
        <v>212</v>
      </c>
      <c r="B215" s="485">
        <v>46225</v>
      </c>
      <c r="C215" s="495" t="s">
        <v>195</v>
      </c>
      <c r="D215" s="499" t="s">
        <v>196</v>
      </c>
      <c r="E215" s="500"/>
      <c r="F215" s="500"/>
      <c r="G215" s="527"/>
      <c r="H215" s="501">
        <v>5</v>
      </c>
      <c r="I215" s="501">
        <f>J215/H215</f>
        <v>117.97999999999999</v>
      </c>
      <c r="J215" s="527">
        <v>589.9</v>
      </c>
      <c r="K215" s="521">
        <f t="shared" si="15"/>
        <v>589.9</v>
      </c>
      <c r="L215" s="439">
        <f t="shared" si="25"/>
        <v>589.9</v>
      </c>
      <c r="M215" s="65"/>
      <c r="N215" s="8"/>
    </row>
    <row r="216" spans="1:14">
      <c r="A216" s="214">
        <v>213</v>
      </c>
      <c r="B216" s="485">
        <v>46225</v>
      </c>
      <c r="C216" s="495" t="s">
        <v>232</v>
      </c>
      <c r="D216" s="499" t="s">
        <v>233</v>
      </c>
      <c r="E216" s="500">
        <v>30</v>
      </c>
      <c r="F216" s="500">
        <f t="shared" si="26"/>
        <v>105.4</v>
      </c>
      <c r="G216" s="527">
        <v>3162</v>
      </c>
      <c r="H216" s="501"/>
      <c r="I216" s="501"/>
      <c r="J216" s="527"/>
      <c r="K216" s="521">
        <f t="shared" si="15"/>
        <v>3162</v>
      </c>
      <c r="L216" s="439">
        <f t="shared" si="25"/>
        <v>3162</v>
      </c>
      <c r="M216" s="65"/>
      <c r="N216" s="8"/>
    </row>
    <row r="217" spans="1:14">
      <c r="A217" s="215">
        <v>214</v>
      </c>
      <c r="B217" s="485">
        <v>46225</v>
      </c>
      <c r="C217" s="495" t="s">
        <v>203</v>
      </c>
      <c r="D217" s="499" t="s">
        <v>204</v>
      </c>
      <c r="E217" s="500">
        <v>20</v>
      </c>
      <c r="F217" s="500">
        <f t="shared" si="26"/>
        <v>105.29</v>
      </c>
      <c r="G217" s="527">
        <v>2105.8000000000002</v>
      </c>
      <c r="H217" s="501"/>
      <c r="I217" s="501"/>
      <c r="J217" s="527"/>
      <c r="K217" s="521">
        <f t="shared" si="15"/>
        <v>2105.8000000000002</v>
      </c>
      <c r="L217" s="439">
        <f t="shared" si="25"/>
        <v>2105.8000000000002</v>
      </c>
      <c r="M217" s="65"/>
      <c r="N217" s="8"/>
    </row>
    <row r="218" spans="1:14">
      <c r="A218" s="214">
        <v>215</v>
      </c>
      <c r="B218" s="485">
        <v>46225</v>
      </c>
      <c r="C218" s="495" t="s">
        <v>203</v>
      </c>
      <c r="D218" s="499" t="s">
        <v>204</v>
      </c>
      <c r="E218" s="500"/>
      <c r="F218" s="500"/>
      <c r="G218" s="527"/>
      <c r="H218" s="501">
        <v>5</v>
      </c>
      <c r="I218" s="501">
        <f>J218/H218</f>
        <v>117.62</v>
      </c>
      <c r="J218" s="527">
        <v>588.1</v>
      </c>
      <c r="K218" s="521">
        <f t="shared" si="15"/>
        <v>588.1</v>
      </c>
      <c r="L218" s="439">
        <f t="shared" si="25"/>
        <v>588.1</v>
      </c>
      <c r="M218" s="65"/>
      <c r="N218" s="8"/>
    </row>
    <row r="219" spans="1:14">
      <c r="A219" s="214">
        <v>216</v>
      </c>
      <c r="B219" s="485">
        <v>46225</v>
      </c>
      <c r="C219" s="495" t="s">
        <v>201</v>
      </c>
      <c r="D219" s="499" t="s">
        <v>202</v>
      </c>
      <c r="E219" s="500"/>
      <c r="F219" s="500"/>
      <c r="G219" s="527"/>
      <c r="H219" s="501">
        <v>5</v>
      </c>
      <c r="I219" s="501">
        <f>J219/H219</f>
        <v>117.72</v>
      </c>
      <c r="J219" s="527">
        <v>588.6</v>
      </c>
      <c r="K219" s="521">
        <f t="shared" si="15"/>
        <v>588.6</v>
      </c>
      <c r="L219" s="439">
        <f t="shared" si="25"/>
        <v>588.6</v>
      </c>
      <c r="M219" s="65"/>
      <c r="N219" s="8"/>
    </row>
    <row r="220" spans="1:14">
      <c r="A220" s="215">
        <v>217</v>
      </c>
      <c r="B220" s="485">
        <v>46225</v>
      </c>
      <c r="C220" s="495" t="s">
        <v>232</v>
      </c>
      <c r="D220" s="499" t="s">
        <v>233</v>
      </c>
      <c r="E220" s="500">
        <v>30</v>
      </c>
      <c r="F220" s="500">
        <f t="shared" ref="F220:F221" si="27">G220/E220</f>
        <v>105.4</v>
      </c>
      <c r="G220" s="527">
        <v>3162</v>
      </c>
      <c r="H220" s="501"/>
      <c r="I220" s="501"/>
      <c r="J220" s="527"/>
      <c r="K220" s="521">
        <f t="shared" si="15"/>
        <v>3162</v>
      </c>
      <c r="L220" s="439">
        <f t="shared" si="25"/>
        <v>3162</v>
      </c>
      <c r="M220" s="65"/>
      <c r="N220" s="8"/>
    </row>
    <row r="221" spans="1:14">
      <c r="A221" s="214">
        <v>218</v>
      </c>
      <c r="B221" s="485">
        <v>46225</v>
      </c>
      <c r="C221" s="495" t="s">
        <v>209</v>
      </c>
      <c r="D221" s="499" t="s">
        <v>198</v>
      </c>
      <c r="E221" s="500">
        <v>30</v>
      </c>
      <c r="F221" s="500">
        <f t="shared" si="27"/>
        <v>105.35</v>
      </c>
      <c r="G221" s="527">
        <v>3160.5</v>
      </c>
      <c r="H221" s="501"/>
      <c r="I221" s="501"/>
      <c r="J221" s="527"/>
      <c r="K221" s="521">
        <f t="shared" si="15"/>
        <v>3160.5</v>
      </c>
      <c r="L221" s="439">
        <f t="shared" si="25"/>
        <v>3160.5</v>
      </c>
      <c r="M221" s="65"/>
      <c r="N221" s="8"/>
    </row>
    <row r="222" spans="1:14">
      <c r="A222" s="214">
        <v>219</v>
      </c>
      <c r="B222" s="485">
        <v>46225</v>
      </c>
      <c r="C222" s="495" t="s">
        <v>203</v>
      </c>
      <c r="D222" s="499" t="s">
        <v>204</v>
      </c>
      <c r="E222" s="500"/>
      <c r="F222" s="500"/>
      <c r="G222" s="527"/>
      <c r="H222" s="501">
        <v>2.5499999999999998</v>
      </c>
      <c r="I222" s="501">
        <f>J222/H222</f>
        <v>117.64705882352942</v>
      </c>
      <c r="J222" s="527">
        <v>300</v>
      </c>
      <c r="K222" s="521">
        <f t="shared" si="15"/>
        <v>300</v>
      </c>
      <c r="L222" s="370">
        <f t="shared" si="25"/>
        <v>300</v>
      </c>
      <c r="M222" s="65"/>
      <c r="N222" s="8"/>
    </row>
    <row r="223" spans="1:14">
      <c r="B223" s="485">
        <v>46225</v>
      </c>
      <c r="C223" s="495" t="s">
        <v>203</v>
      </c>
      <c r="D223" s="499" t="s">
        <v>204</v>
      </c>
      <c r="E223" s="500"/>
      <c r="F223" s="500"/>
      <c r="G223" s="527"/>
      <c r="H223" s="501">
        <v>4</v>
      </c>
      <c r="I223" s="501">
        <f>J223/H223</f>
        <v>117.62</v>
      </c>
      <c r="J223" s="527">
        <v>470.48</v>
      </c>
      <c r="K223" s="521">
        <f t="shared" si="15"/>
        <v>470.48</v>
      </c>
      <c r="L223" s="370">
        <f t="shared" si="25"/>
        <v>470.48</v>
      </c>
      <c r="M223" s="65"/>
      <c r="N223" s="8"/>
    </row>
    <row r="224" spans="1:14">
      <c r="B224" s="485">
        <v>46225</v>
      </c>
      <c r="C224" s="495" t="s">
        <v>195</v>
      </c>
      <c r="D224" s="499" t="s">
        <v>196</v>
      </c>
      <c r="E224" s="500"/>
      <c r="F224" s="500"/>
      <c r="G224" s="527"/>
      <c r="H224" s="501">
        <v>5</v>
      </c>
      <c r="I224" s="501">
        <f>J224/H224</f>
        <v>117.97999999999999</v>
      </c>
      <c r="J224" s="527">
        <v>589.9</v>
      </c>
      <c r="K224" s="521">
        <f t="shared" si="15"/>
        <v>589.9</v>
      </c>
      <c r="L224" s="370">
        <f t="shared" si="25"/>
        <v>589.9</v>
      </c>
      <c r="M224" s="65"/>
      <c r="N224" s="8"/>
    </row>
    <row r="225" spans="2:14">
      <c r="B225" s="485">
        <v>46225</v>
      </c>
      <c r="C225" s="495" t="s">
        <v>239</v>
      </c>
      <c r="D225" s="499" t="s">
        <v>240</v>
      </c>
      <c r="E225" s="500">
        <v>45.06</v>
      </c>
      <c r="F225" s="500">
        <f t="shared" ref="F225:F257" si="28">G225/E225</f>
        <v>105.21992898357745</v>
      </c>
      <c r="G225" s="527">
        <v>4741.21</v>
      </c>
      <c r="H225" s="501"/>
      <c r="I225" s="501"/>
      <c r="J225" s="527"/>
      <c r="K225" s="521">
        <f t="shared" si="15"/>
        <v>4741.21</v>
      </c>
      <c r="L225" s="370">
        <f t="shared" si="25"/>
        <v>4741.21</v>
      </c>
      <c r="M225" s="65"/>
      <c r="N225" s="8"/>
    </row>
    <row r="226" spans="2:14">
      <c r="B226" s="485">
        <v>46226</v>
      </c>
      <c r="C226" s="495" t="s">
        <v>195</v>
      </c>
      <c r="D226" s="499" t="s">
        <v>196</v>
      </c>
      <c r="E226" s="500">
        <v>48.54</v>
      </c>
      <c r="F226" s="500">
        <f t="shared" si="28"/>
        <v>105.59002884219201</v>
      </c>
      <c r="G226" s="527">
        <v>5125.34</v>
      </c>
      <c r="H226" s="501"/>
      <c r="I226" s="501"/>
      <c r="J226" s="527"/>
      <c r="K226" s="521">
        <f t="shared" si="15"/>
        <v>5125.34</v>
      </c>
      <c r="L226" s="370">
        <f t="shared" si="25"/>
        <v>5125.34</v>
      </c>
      <c r="M226" s="65"/>
      <c r="N226" s="8"/>
    </row>
    <row r="227" spans="2:14">
      <c r="B227" s="485">
        <v>46226</v>
      </c>
      <c r="C227" s="495" t="s">
        <v>201</v>
      </c>
      <c r="D227" s="499" t="s">
        <v>202</v>
      </c>
      <c r="E227" s="500">
        <v>35.21</v>
      </c>
      <c r="F227" s="500">
        <f t="shared" si="28"/>
        <v>105.34990059642146</v>
      </c>
      <c r="G227" s="527">
        <v>3709.37</v>
      </c>
      <c r="H227" s="501"/>
      <c r="I227" s="501"/>
      <c r="J227" s="527"/>
      <c r="K227" s="521">
        <f t="shared" si="15"/>
        <v>3709.37</v>
      </c>
      <c r="L227" s="370">
        <f t="shared" si="25"/>
        <v>3709.37</v>
      </c>
      <c r="M227" s="65"/>
      <c r="N227" s="8"/>
    </row>
    <row r="228" spans="2:14">
      <c r="B228" s="485">
        <v>46226</v>
      </c>
      <c r="C228" s="495" t="s">
        <v>232</v>
      </c>
      <c r="D228" s="499" t="s">
        <v>233</v>
      </c>
      <c r="E228" s="500">
        <v>30</v>
      </c>
      <c r="F228" s="500">
        <f t="shared" si="28"/>
        <v>105.4</v>
      </c>
      <c r="G228" s="527">
        <v>3162</v>
      </c>
      <c r="H228" s="501"/>
      <c r="I228" s="501"/>
      <c r="J228" s="527"/>
      <c r="K228" s="521">
        <f t="shared" si="15"/>
        <v>3162</v>
      </c>
      <c r="L228" s="370">
        <f t="shared" si="25"/>
        <v>3162</v>
      </c>
      <c r="M228" s="65"/>
      <c r="N228" s="8"/>
    </row>
    <row r="229" spans="2:14">
      <c r="B229" s="485">
        <v>46226</v>
      </c>
      <c r="C229" s="495" t="s">
        <v>232</v>
      </c>
      <c r="D229" s="499" t="s">
        <v>233</v>
      </c>
      <c r="E229" s="500">
        <v>60</v>
      </c>
      <c r="F229" s="500">
        <f t="shared" si="28"/>
        <v>105.4</v>
      </c>
      <c r="G229" s="527">
        <v>6324</v>
      </c>
      <c r="H229" s="501"/>
      <c r="I229" s="501"/>
      <c r="J229" s="527"/>
      <c r="K229" s="521">
        <f t="shared" si="15"/>
        <v>6324</v>
      </c>
      <c r="L229" s="370">
        <f t="shared" si="25"/>
        <v>6324</v>
      </c>
      <c r="M229" s="65"/>
      <c r="N229" s="8"/>
    </row>
    <row r="230" spans="2:14">
      <c r="B230" s="485">
        <v>46226</v>
      </c>
      <c r="C230" s="495" t="s">
        <v>209</v>
      </c>
      <c r="D230" s="499" t="s">
        <v>198</v>
      </c>
      <c r="E230" s="500">
        <v>42</v>
      </c>
      <c r="F230" s="500">
        <f t="shared" si="28"/>
        <v>105.35</v>
      </c>
      <c r="G230" s="527">
        <v>4424.7</v>
      </c>
      <c r="H230" s="501"/>
      <c r="I230" s="501"/>
      <c r="J230" s="527"/>
      <c r="K230" s="521">
        <f t="shared" si="15"/>
        <v>4424.7</v>
      </c>
      <c r="L230" s="370">
        <f t="shared" si="25"/>
        <v>4424.7</v>
      </c>
      <c r="M230" s="65"/>
      <c r="N230" s="8"/>
    </row>
    <row r="231" spans="2:14">
      <c r="B231" s="485">
        <v>46226</v>
      </c>
      <c r="C231" s="495" t="s">
        <v>205</v>
      </c>
      <c r="D231" s="499" t="s">
        <v>206</v>
      </c>
      <c r="E231" s="500"/>
      <c r="F231" s="500"/>
      <c r="G231" s="527"/>
      <c r="H231" s="501">
        <v>10</v>
      </c>
      <c r="I231" s="501">
        <f>J231/H231</f>
        <v>116.99000000000001</v>
      </c>
      <c r="J231" s="527">
        <v>1169.9000000000001</v>
      </c>
      <c r="K231" s="521">
        <f t="shared" si="15"/>
        <v>1169.9000000000001</v>
      </c>
      <c r="L231" s="370">
        <f t="shared" si="25"/>
        <v>1169.9000000000001</v>
      </c>
      <c r="M231" s="65"/>
      <c r="N231" s="8"/>
    </row>
    <row r="232" spans="2:14">
      <c r="B232" s="485">
        <v>46226</v>
      </c>
      <c r="C232" s="495" t="s">
        <v>209</v>
      </c>
      <c r="D232" s="499" t="s">
        <v>198</v>
      </c>
      <c r="E232" s="500">
        <v>20</v>
      </c>
      <c r="F232" s="500">
        <f t="shared" si="28"/>
        <v>105.35</v>
      </c>
      <c r="G232" s="527">
        <v>2107</v>
      </c>
      <c r="H232" s="501"/>
      <c r="I232" s="501"/>
      <c r="J232" s="527"/>
      <c r="K232" s="521">
        <f t="shared" si="15"/>
        <v>2107</v>
      </c>
      <c r="L232" s="370">
        <f t="shared" si="25"/>
        <v>2107</v>
      </c>
      <c r="M232" s="65"/>
      <c r="N232" s="8"/>
    </row>
    <row r="233" spans="2:14">
      <c r="B233" s="485">
        <v>46226</v>
      </c>
      <c r="C233" s="495" t="s">
        <v>205</v>
      </c>
      <c r="D233" s="499" t="s">
        <v>206</v>
      </c>
      <c r="E233" s="500">
        <v>44.11</v>
      </c>
      <c r="F233" s="500">
        <f t="shared" si="28"/>
        <v>104.7000680117887</v>
      </c>
      <c r="G233" s="527">
        <v>4618.32</v>
      </c>
      <c r="H233" s="501"/>
      <c r="I233" s="501"/>
      <c r="J233" s="527"/>
      <c r="K233" s="521">
        <f t="shared" si="15"/>
        <v>4618.32</v>
      </c>
      <c r="L233" s="370">
        <f t="shared" si="25"/>
        <v>4618.32</v>
      </c>
      <c r="M233" s="65"/>
      <c r="N233" s="8"/>
    </row>
    <row r="234" spans="2:14">
      <c r="B234" s="485">
        <v>46227</v>
      </c>
      <c r="C234" s="495" t="s">
        <v>232</v>
      </c>
      <c r="D234" s="499" t="s">
        <v>233</v>
      </c>
      <c r="E234" s="500">
        <v>90</v>
      </c>
      <c r="F234" s="500">
        <f t="shared" si="28"/>
        <v>105.4</v>
      </c>
      <c r="G234" s="527">
        <v>9486</v>
      </c>
      <c r="H234" s="501"/>
      <c r="I234" s="501"/>
      <c r="J234" s="527"/>
      <c r="K234" s="521">
        <f t="shared" si="15"/>
        <v>9486</v>
      </c>
      <c r="L234" s="370">
        <f t="shared" si="25"/>
        <v>9486</v>
      </c>
      <c r="M234" s="65"/>
      <c r="N234" s="8"/>
    </row>
    <row r="235" spans="2:14">
      <c r="B235" s="485">
        <v>46227</v>
      </c>
      <c r="C235" s="495" t="s">
        <v>205</v>
      </c>
      <c r="D235" s="499" t="s">
        <v>206</v>
      </c>
      <c r="E235" s="500"/>
      <c r="F235" s="500"/>
      <c r="G235" s="527"/>
      <c r="H235" s="501">
        <v>10</v>
      </c>
      <c r="I235" s="501">
        <f>J235/H235</f>
        <v>116.99000000000001</v>
      </c>
      <c r="J235" s="527">
        <v>1169.9000000000001</v>
      </c>
      <c r="K235" s="521">
        <f t="shared" si="15"/>
        <v>1169.9000000000001</v>
      </c>
      <c r="L235" s="370">
        <f t="shared" si="25"/>
        <v>1169.9000000000001</v>
      </c>
      <c r="M235" s="65"/>
      <c r="N235" s="8"/>
    </row>
    <row r="236" spans="2:14">
      <c r="B236" s="485">
        <v>46227</v>
      </c>
      <c r="C236" s="495" t="s">
        <v>209</v>
      </c>
      <c r="D236" s="499" t="s">
        <v>198</v>
      </c>
      <c r="E236" s="500">
        <v>10</v>
      </c>
      <c r="F236" s="500">
        <f t="shared" si="28"/>
        <v>105.35</v>
      </c>
      <c r="G236" s="527">
        <v>1053.5</v>
      </c>
      <c r="H236" s="501"/>
      <c r="I236" s="501"/>
      <c r="J236" s="527"/>
      <c r="K236" s="521">
        <f t="shared" si="15"/>
        <v>1053.5</v>
      </c>
      <c r="L236" s="370">
        <f t="shared" si="25"/>
        <v>1053.5</v>
      </c>
      <c r="M236" s="65"/>
      <c r="N236" s="8"/>
    </row>
    <row r="237" spans="2:14">
      <c r="B237" s="485">
        <v>46227</v>
      </c>
      <c r="C237" s="495" t="s">
        <v>195</v>
      </c>
      <c r="D237" s="499" t="s">
        <v>196</v>
      </c>
      <c r="E237" s="500">
        <v>44.79</v>
      </c>
      <c r="F237" s="500">
        <f t="shared" si="28"/>
        <v>105.59008707300737</v>
      </c>
      <c r="G237" s="527">
        <v>4729.38</v>
      </c>
      <c r="H237" s="501"/>
      <c r="I237" s="501"/>
      <c r="J237" s="527"/>
      <c r="K237" s="521">
        <f t="shared" si="15"/>
        <v>4729.38</v>
      </c>
      <c r="L237" s="370">
        <f t="shared" si="25"/>
        <v>4729.38</v>
      </c>
      <c r="M237" s="65"/>
      <c r="N237" s="8"/>
    </row>
    <row r="238" spans="2:14">
      <c r="B238" s="485">
        <v>46227</v>
      </c>
      <c r="C238" s="495" t="s">
        <v>237</v>
      </c>
      <c r="D238" s="499" t="s">
        <v>224</v>
      </c>
      <c r="E238" s="500">
        <v>50</v>
      </c>
      <c r="F238" s="500">
        <f t="shared" si="28"/>
        <v>105.01</v>
      </c>
      <c r="G238" s="527">
        <v>5250.5</v>
      </c>
      <c r="H238" s="501"/>
      <c r="I238" s="501"/>
      <c r="J238" s="527"/>
      <c r="K238" s="521">
        <f t="shared" si="15"/>
        <v>5250.5</v>
      </c>
      <c r="L238" s="370">
        <f t="shared" si="25"/>
        <v>5250.5</v>
      </c>
      <c r="M238" s="65"/>
      <c r="N238" s="8"/>
    </row>
    <row r="239" spans="2:14">
      <c r="B239" s="485">
        <v>46227</v>
      </c>
      <c r="C239" s="495" t="s">
        <v>205</v>
      </c>
      <c r="D239" s="499" t="s">
        <v>206</v>
      </c>
      <c r="E239" s="500"/>
      <c r="F239" s="500"/>
      <c r="G239" s="527"/>
      <c r="H239" s="501">
        <v>10</v>
      </c>
      <c r="I239" s="501">
        <f>J239/H239</f>
        <v>116.99000000000001</v>
      </c>
      <c r="J239" s="527">
        <v>1169.9000000000001</v>
      </c>
      <c r="K239" s="521">
        <f t="shared" si="15"/>
        <v>1169.9000000000001</v>
      </c>
      <c r="L239" s="370">
        <f t="shared" si="25"/>
        <v>1169.9000000000001</v>
      </c>
      <c r="M239" s="65"/>
      <c r="N239" s="8"/>
    </row>
    <row r="240" spans="2:14">
      <c r="B240" s="485">
        <v>46227</v>
      </c>
      <c r="C240" s="495" t="s">
        <v>195</v>
      </c>
      <c r="D240" s="499" t="s">
        <v>196</v>
      </c>
      <c r="E240" s="500">
        <v>43.37</v>
      </c>
      <c r="F240" s="500">
        <f t="shared" si="28"/>
        <v>105.59003919760202</v>
      </c>
      <c r="G240" s="527">
        <v>4579.4399999999996</v>
      </c>
      <c r="H240" s="501"/>
      <c r="I240" s="501"/>
      <c r="J240" s="527"/>
      <c r="K240" s="521">
        <f t="shared" si="15"/>
        <v>4579.4399999999996</v>
      </c>
      <c r="L240" s="370">
        <f t="shared" si="25"/>
        <v>4579.4399999999996</v>
      </c>
      <c r="M240" s="65"/>
      <c r="N240" s="8"/>
    </row>
    <row r="241" spans="2:14">
      <c r="B241" s="485">
        <v>46228</v>
      </c>
      <c r="C241" s="495" t="s">
        <v>195</v>
      </c>
      <c r="D241" s="499" t="s">
        <v>196</v>
      </c>
      <c r="E241" s="500"/>
      <c r="F241" s="500"/>
      <c r="G241" s="527"/>
      <c r="H241" s="501">
        <v>5</v>
      </c>
      <c r="I241" s="501">
        <f>J241/H241</f>
        <v>117.97999999999999</v>
      </c>
      <c r="J241" s="527">
        <v>589.9</v>
      </c>
      <c r="K241" s="521">
        <f t="shared" si="15"/>
        <v>589.9</v>
      </c>
      <c r="L241" s="370">
        <f t="shared" si="25"/>
        <v>589.9</v>
      </c>
      <c r="M241" s="65"/>
      <c r="N241" s="8"/>
    </row>
    <row r="242" spans="2:14">
      <c r="B242" s="485">
        <v>46228</v>
      </c>
      <c r="C242" s="495" t="s">
        <v>195</v>
      </c>
      <c r="D242" s="499" t="s">
        <v>196</v>
      </c>
      <c r="E242" s="500">
        <v>53</v>
      </c>
      <c r="F242" s="500">
        <f t="shared" si="28"/>
        <v>105.59</v>
      </c>
      <c r="G242" s="527">
        <v>5596.27</v>
      </c>
      <c r="H242" s="501"/>
      <c r="I242" s="501"/>
      <c r="J242" s="527"/>
      <c r="K242" s="521">
        <f t="shared" si="15"/>
        <v>5596.27</v>
      </c>
      <c r="L242" s="370">
        <f t="shared" si="25"/>
        <v>5596.27</v>
      </c>
      <c r="M242" s="65"/>
      <c r="N242" s="8"/>
    </row>
    <row r="243" spans="2:14">
      <c r="B243" s="485">
        <v>46228</v>
      </c>
      <c r="C243" s="495" t="s">
        <v>193</v>
      </c>
      <c r="D243" s="499" t="s">
        <v>194</v>
      </c>
      <c r="E243" s="500"/>
      <c r="F243" s="500"/>
      <c r="G243" s="527"/>
      <c r="H243" s="501">
        <v>5</v>
      </c>
      <c r="I243" s="501">
        <f>J243/H243</f>
        <v>117.24000000000001</v>
      </c>
      <c r="J243" s="527">
        <v>586.20000000000005</v>
      </c>
      <c r="K243" s="521">
        <f t="shared" si="15"/>
        <v>586.20000000000005</v>
      </c>
      <c r="L243" s="370">
        <f t="shared" si="25"/>
        <v>586.20000000000005</v>
      </c>
      <c r="M243" s="65"/>
      <c r="N243" s="8"/>
    </row>
    <row r="244" spans="2:14">
      <c r="B244" s="485">
        <v>46228</v>
      </c>
      <c r="C244" s="495" t="s">
        <v>195</v>
      </c>
      <c r="D244" s="499" t="s">
        <v>196</v>
      </c>
      <c r="E244" s="500">
        <v>3</v>
      </c>
      <c r="F244" s="500">
        <f t="shared" si="28"/>
        <v>105.58999999999999</v>
      </c>
      <c r="G244" s="527">
        <v>316.77</v>
      </c>
      <c r="H244" s="501"/>
      <c r="I244" s="501"/>
      <c r="J244" s="527"/>
      <c r="K244" s="521">
        <f t="shared" si="15"/>
        <v>316.77</v>
      </c>
      <c r="L244" s="370">
        <f t="shared" si="25"/>
        <v>316.77</v>
      </c>
      <c r="M244" s="65"/>
      <c r="N244" s="8"/>
    </row>
    <row r="245" spans="2:14">
      <c r="B245" s="485">
        <v>46228</v>
      </c>
      <c r="C245" s="495" t="s">
        <v>195</v>
      </c>
      <c r="D245" s="499" t="s">
        <v>196</v>
      </c>
      <c r="E245" s="500">
        <v>27</v>
      </c>
      <c r="F245" s="500">
        <f t="shared" si="28"/>
        <v>105.58999999999999</v>
      </c>
      <c r="G245" s="527">
        <v>2850.93</v>
      </c>
      <c r="H245" s="501"/>
      <c r="I245" s="501"/>
      <c r="J245" s="527"/>
      <c r="K245" s="521">
        <f t="shared" si="15"/>
        <v>2850.93</v>
      </c>
      <c r="L245" s="370">
        <f t="shared" si="25"/>
        <v>2850.93</v>
      </c>
      <c r="M245" s="65"/>
      <c r="N245" s="8"/>
    </row>
    <row r="246" spans="2:14">
      <c r="B246" s="485">
        <v>46228</v>
      </c>
      <c r="C246" s="495" t="s">
        <v>195</v>
      </c>
      <c r="D246" s="499" t="s">
        <v>196</v>
      </c>
      <c r="E246" s="500"/>
      <c r="F246" s="500"/>
      <c r="G246" s="527"/>
      <c r="H246" s="501">
        <v>3</v>
      </c>
      <c r="I246" s="501">
        <f>J246/H246</f>
        <v>117.98</v>
      </c>
      <c r="J246" s="527">
        <v>353.94</v>
      </c>
      <c r="K246" s="521">
        <f t="shared" si="15"/>
        <v>353.94</v>
      </c>
      <c r="L246" s="370">
        <f t="shared" si="25"/>
        <v>353.94</v>
      </c>
      <c r="M246" s="65"/>
      <c r="N246" s="8"/>
    </row>
    <row r="247" spans="2:14">
      <c r="B247" s="485">
        <v>46228</v>
      </c>
      <c r="C247" s="495" t="s">
        <v>232</v>
      </c>
      <c r="D247" s="499" t="s">
        <v>233</v>
      </c>
      <c r="E247" s="500">
        <v>30</v>
      </c>
      <c r="F247" s="500">
        <f t="shared" si="28"/>
        <v>105.4</v>
      </c>
      <c r="G247" s="527">
        <v>3162</v>
      </c>
      <c r="H247" s="501"/>
      <c r="I247" s="501"/>
      <c r="J247" s="527"/>
      <c r="K247" s="521">
        <f t="shared" si="15"/>
        <v>3162</v>
      </c>
      <c r="L247" s="370">
        <f t="shared" si="25"/>
        <v>3162</v>
      </c>
      <c r="M247" s="65"/>
      <c r="N247" s="8"/>
    </row>
    <row r="248" spans="2:14">
      <c r="B248" s="485">
        <v>46228</v>
      </c>
      <c r="C248" s="495" t="s">
        <v>237</v>
      </c>
      <c r="D248" s="499" t="s">
        <v>224</v>
      </c>
      <c r="E248" s="500"/>
      <c r="F248" s="500"/>
      <c r="G248" s="527"/>
      <c r="H248" s="501">
        <v>5</v>
      </c>
      <c r="I248" s="501">
        <f>J248/H248</f>
        <v>117.32000000000001</v>
      </c>
      <c r="J248" s="527">
        <v>586.6</v>
      </c>
      <c r="K248" s="521">
        <f t="shared" si="15"/>
        <v>586.6</v>
      </c>
      <c r="L248" s="370">
        <f t="shared" si="25"/>
        <v>586.6</v>
      </c>
      <c r="M248" s="65"/>
      <c r="N248" s="8"/>
    </row>
    <row r="249" spans="2:14">
      <c r="B249" s="485">
        <v>46228</v>
      </c>
      <c r="C249" s="495" t="s">
        <v>203</v>
      </c>
      <c r="D249" s="499" t="s">
        <v>204</v>
      </c>
      <c r="E249" s="500">
        <v>20</v>
      </c>
      <c r="F249" s="500">
        <f t="shared" si="28"/>
        <v>105.29</v>
      </c>
      <c r="G249" s="527">
        <v>2105.8000000000002</v>
      </c>
      <c r="H249" s="501"/>
      <c r="I249" s="501"/>
      <c r="J249" s="527"/>
      <c r="K249" s="521">
        <f t="shared" si="15"/>
        <v>2105.8000000000002</v>
      </c>
      <c r="L249" s="370">
        <f t="shared" si="25"/>
        <v>2105.8000000000002</v>
      </c>
      <c r="M249" s="65"/>
      <c r="N249" s="8"/>
    </row>
    <row r="250" spans="2:14">
      <c r="B250" s="485">
        <v>46228</v>
      </c>
      <c r="C250" s="495" t="s">
        <v>203</v>
      </c>
      <c r="D250" s="499" t="s">
        <v>204</v>
      </c>
      <c r="E250" s="500"/>
      <c r="F250" s="500"/>
      <c r="G250" s="527"/>
      <c r="H250" s="501">
        <v>5</v>
      </c>
      <c r="I250" s="501">
        <f>J250/H250</f>
        <v>117.62</v>
      </c>
      <c r="J250" s="527">
        <v>588.1</v>
      </c>
      <c r="K250" s="521">
        <f t="shared" si="15"/>
        <v>588.1</v>
      </c>
      <c r="L250" s="370">
        <f t="shared" si="25"/>
        <v>588.1</v>
      </c>
      <c r="M250" s="65"/>
      <c r="N250" s="8"/>
    </row>
    <row r="251" spans="2:14">
      <c r="B251" s="485">
        <v>46228</v>
      </c>
      <c r="C251" s="495" t="s">
        <v>232</v>
      </c>
      <c r="D251" s="499" t="s">
        <v>233</v>
      </c>
      <c r="E251" s="500">
        <v>60</v>
      </c>
      <c r="F251" s="500">
        <f t="shared" si="28"/>
        <v>105.4</v>
      </c>
      <c r="G251" s="527">
        <v>6324</v>
      </c>
      <c r="H251" s="501"/>
      <c r="I251" s="501"/>
      <c r="J251" s="527"/>
      <c r="K251" s="521">
        <f t="shared" si="15"/>
        <v>6324</v>
      </c>
      <c r="L251" s="370">
        <f t="shared" si="25"/>
        <v>6324</v>
      </c>
      <c r="M251" s="65"/>
      <c r="N251" s="8"/>
    </row>
    <row r="252" spans="2:14">
      <c r="B252" s="485">
        <v>46228</v>
      </c>
      <c r="C252" s="495" t="s">
        <v>232</v>
      </c>
      <c r="D252" s="499" t="s">
        <v>233</v>
      </c>
      <c r="E252" s="500">
        <v>28</v>
      </c>
      <c r="F252" s="500">
        <f t="shared" si="28"/>
        <v>105.39999999999999</v>
      </c>
      <c r="G252" s="527">
        <v>2951.2</v>
      </c>
      <c r="H252" s="501"/>
      <c r="I252" s="501"/>
      <c r="J252" s="527"/>
      <c r="K252" s="521">
        <f t="shared" si="15"/>
        <v>2951.2</v>
      </c>
      <c r="L252" s="370">
        <f t="shared" si="25"/>
        <v>2951.2</v>
      </c>
      <c r="M252" s="65"/>
      <c r="N252" s="8"/>
    </row>
    <row r="253" spans="2:14">
      <c r="B253" s="485">
        <v>46228</v>
      </c>
      <c r="C253" s="495" t="s">
        <v>193</v>
      </c>
      <c r="D253" s="499" t="s">
        <v>194</v>
      </c>
      <c r="E253" s="500">
        <v>200</v>
      </c>
      <c r="F253" s="500">
        <f t="shared" si="28"/>
        <v>104.93</v>
      </c>
      <c r="G253" s="527">
        <v>20986</v>
      </c>
      <c r="H253" s="501"/>
      <c r="I253" s="501"/>
      <c r="J253" s="527"/>
      <c r="K253" s="521">
        <f t="shared" si="15"/>
        <v>20986</v>
      </c>
      <c r="L253" s="370">
        <f t="shared" si="25"/>
        <v>20986</v>
      </c>
      <c r="M253" s="65"/>
      <c r="N253" s="8"/>
    </row>
    <row r="254" spans="2:14">
      <c r="B254" s="485">
        <v>46229</v>
      </c>
      <c r="C254" s="495" t="s">
        <v>232</v>
      </c>
      <c r="D254" s="499" t="s">
        <v>233</v>
      </c>
      <c r="E254" s="500">
        <v>60</v>
      </c>
      <c r="F254" s="500">
        <f t="shared" si="28"/>
        <v>105.4</v>
      </c>
      <c r="G254" s="527">
        <v>6324</v>
      </c>
      <c r="H254" s="501"/>
      <c r="I254" s="501"/>
      <c r="J254" s="527"/>
      <c r="K254" s="521">
        <f t="shared" si="15"/>
        <v>6324</v>
      </c>
      <c r="L254" s="370">
        <f t="shared" si="25"/>
        <v>6324</v>
      </c>
      <c r="M254" s="65"/>
      <c r="N254" s="8"/>
    </row>
    <row r="255" spans="2:14">
      <c r="B255" s="485">
        <v>46229</v>
      </c>
      <c r="C255" s="495" t="s">
        <v>232</v>
      </c>
      <c r="D255" s="499" t="s">
        <v>233</v>
      </c>
      <c r="E255" s="500"/>
      <c r="F255" s="500"/>
      <c r="G255" s="527"/>
      <c r="H255" s="501">
        <v>8.49</v>
      </c>
      <c r="I255" s="501">
        <f>J255/H255</f>
        <v>117.73969375736161</v>
      </c>
      <c r="J255" s="527">
        <v>999.61</v>
      </c>
      <c r="K255" s="521">
        <f t="shared" ref="K255:K288" si="29">G255+J255</f>
        <v>999.61</v>
      </c>
      <c r="L255" s="370">
        <f t="shared" si="25"/>
        <v>999.61</v>
      </c>
      <c r="M255" s="65"/>
      <c r="N255" s="8"/>
    </row>
    <row r="256" spans="2:14">
      <c r="B256" s="485">
        <v>46229</v>
      </c>
      <c r="C256" s="495" t="s">
        <v>232</v>
      </c>
      <c r="D256" s="499" t="s">
        <v>233</v>
      </c>
      <c r="E256" s="500">
        <v>30</v>
      </c>
      <c r="F256" s="500">
        <f t="shared" si="28"/>
        <v>105.4</v>
      </c>
      <c r="G256" s="527">
        <v>3162</v>
      </c>
      <c r="H256" s="501"/>
      <c r="I256" s="501"/>
      <c r="J256" s="527"/>
      <c r="K256" s="521">
        <f t="shared" si="29"/>
        <v>3162</v>
      </c>
      <c r="L256" s="370">
        <f t="shared" si="25"/>
        <v>3162</v>
      </c>
      <c r="M256" s="65"/>
      <c r="N256" s="8"/>
    </row>
    <row r="257" spans="2:14">
      <c r="B257" s="485">
        <v>46229</v>
      </c>
      <c r="C257" s="495" t="s">
        <v>203</v>
      </c>
      <c r="D257" s="499" t="s">
        <v>204</v>
      </c>
      <c r="E257" s="500">
        <v>97.19</v>
      </c>
      <c r="F257" s="500">
        <f t="shared" si="28"/>
        <v>105.29005041670953</v>
      </c>
      <c r="G257" s="527">
        <v>10233.14</v>
      </c>
      <c r="H257" s="501"/>
      <c r="I257" s="501"/>
      <c r="J257" s="527"/>
      <c r="K257" s="521">
        <f t="shared" si="29"/>
        <v>10233.14</v>
      </c>
      <c r="L257" s="370">
        <f t="shared" si="25"/>
        <v>10233.14</v>
      </c>
      <c r="M257" s="65"/>
      <c r="N257" s="8"/>
    </row>
    <row r="258" spans="2:14">
      <c r="B258" s="485">
        <v>46229</v>
      </c>
      <c r="C258" s="495" t="s">
        <v>195</v>
      </c>
      <c r="D258" s="499" t="s">
        <v>196</v>
      </c>
      <c r="E258" s="500"/>
      <c r="F258" s="500"/>
      <c r="G258" s="527"/>
      <c r="H258" s="501">
        <v>2</v>
      </c>
      <c r="I258" s="501">
        <f>J258/H258</f>
        <v>117.98</v>
      </c>
      <c r="J258" s="527">
        <v>235.96</v>
      </c>
      <c r="K258" s="521">
        <f t="shared" si="29"/>
        <v>235.96</v>
      </c>
      <c r="L258" s="370">
        <f t="shared" si="25"/>
        <v>235.96</v>
      </c>
      <c r="M258" s="65"/>
      <c r="N258" s="8"/>
    </row>
    <row r="259" spans="2:14">
      <c r="B259" s="485">
        <v>46230</v>
      </c>
      <c r="C259" s="495" t="s">
        <v>211</v>
      </c>
      <c r="D259" s="499" t="s">
        <v>212</v>
      </c>
      <c r="E259" s="500">
        <v>51.02</v>
      </c>
      <c r="F259" s="500">
        <v>94.08</v>
      </c>
      <c r="G259" s="527">
        <f>E259*F259</f>
        <v>4799.9616000000005</v>
      </c>
      <c r="H259" s="501"/>
      <c r="I259" s="501"/>
      <c r="J259" s="527"/>
      <c r="K259" s="521">
        <f t="shared" si="29"/>
        <v>4799.9616000000005</v>
      </c>
      <c r="L259" s="370">
        <f t="shared" si="25"/>
        <v>4799.9616000000005</v>
      </c>
      <c r="M259" s="65"/>
      <c r="N259" s="8"/>
    </row>
    <row r="260" spans="2:14">
      <c r="B260" s="522">
        <v>46230</v>
      </c>
      <c r="C260" s="495" t="s">
        <v>195</v>
      </c>
      <c r="D260" s="499" t="s">
        <v>196</v>
      </c>
      <c r="E260" s="500"/>
      <c r="F260" s="500"/>
      <c r="G260" s="527"/>
      <c r="H260" s="501">
        <v>5</v>
      </c>
      <c r="I260" s="501">
        <v>117.98</v>
      </c>
      <c r="J260" s="527">
        <v>589.9</v>
      </c>
      <c r="K260" s="521">
        <f t="shared" si="29"/>
        <v>589.9</v>
      </c>
      <c r="L260" s="370">
        <f t="shared" si="25"/>
        <v>589.9</v>
      </c>
      <c r="M260" s="65"/>
      <c r="N260" s="8"/>
    </row>
    <row r="261" spans="2:14">
      <c r="B261" s="485">
        <v>46230</v>
      </c>
      <c r="C261" s="495" t="s">
        <v>203</v>
      </c>
      <c r="D261" s="499" t="s">
        <v>204</v>
      </c>
      <c r="E261" s="500"/>
      <c r="F261" s="500"/>
      <c r="G261" s="527"/>
      <c r="H261" s="501">
        <v>5</v>
      </c>
      <c r="I261" s="501">
        <v>117.62</v>
      </c>
      <c r="J261" s="527">
        <v>588.1</v>
      </c>
      <c r="K261" s="521">
        <f t="shared" si="29"/>
        <v>588.1</v>
      </c>
      <c r="L261" s="370">
        <f t="shared" ref="L261:L288" si="30">+K261</f>
        <v>588.1</v>
      </c>
      <c r="M261" s="65"/>
      <c r="N261" s="8"/>
    </row>
    <row r="262" spans="2:14">
      <c r="B262" s="522">
        <v>46230</v>
      </c>
      <c r="C262" s="495" t="s">
        <v>241</v>
      </c>
      <c r="D262" s="499" t="s">
        <v>206</v>
      </c>
      <c r="E262" s="500"/>
      <c r="F262" s="500"/>
      <c r="G262" s="527"/>
      <c r="H262" s="501">
        <v>7</v>
      </c>
      <c r="I262" s="501">
        <v>116.99</v>
      </c>
      <c r="J262" s="527">
        <v>818.93</v>
      </c>
      <c r="K262" s="521">
        <f t="shared" si="29"/>
        <v>818.93</v>
      </c>
      <c r="L262" s="370">
        <f t="shared" si="30"/>
        <v>818.93</v>
      </c>
      <c r="M262" s="65"/>
      <c r="N262" s="8"/>
    </row>
    <row r="263" spans="2:14">
      <c r="B263" s="522">
        <v>46231</v>
      </c>
      <c r="C263" s="495" t="s">
        <v>193</v>
      </c>
      <c r="D263" s="499" t="s">
        <v>194</v>
      </c>
      <c r="E263" s="500"/>
      <c r="F263" s="500"/>
      <c r="G263" s="527"/>
      <c r="H263" s="501">
        <v>5</v>
      </c>
      <c r="I263" s="501">
        <v>116.99</v>
      </c>
      <c r="J263" s="527">
        <v>586.20000000000005</v>
      </c>
      <c r="K263" s="521">
        <f t="shared" si="29"/>
        <v>586.20000000000005</v>
      </c>
      <c r="L263" s="370">
        <f t="shared" si="30"/>
        <v>586.20000000000005</v>
      </c>
      <c r="M263" s="65"/>
      <c r="N263" s="8"/>
    </row>
    <row r="264" spans="2:14">
      <c r="B264" s="522">
        <v>46231</v>
      </c>
      <c r="C264" s="495" t="s">
        <v>237</v>
      </c>
      <c r="D264" s="499" t="s">
        <v>224</v>
      </c>
      <c r="E264" s="500">
        <v>60</v>
      </c>
      <c r="F264" s="500">
        <f t="shared" ref="F264:F269" si="31">G264/E264</f>
        <v>105.01</v>
      </c>
      <c r="G264" s="527">
        <v>6300.6</v>
      </c>
      <c r="H264" s="501"/>
      <c r="I264" s="501"/>
      <c r="J264" s="527"/>
      <c r="K264" s="521">
        <f t="shared" si="29"/>
        <v>6300.6</v>
      </c>
      <c r="L264" s="370">
        <f t="shared" si="30"/>
        <v>6300.6</v>
      </c>
      <c r="M264" s="65"/>
      <c r="N264" s="8"/>
    </row>
    <row r="265" spans="2:14">
      <c r="B265" s="522">
        <v>46231</v>
      </c>
      <c r="C265" s="495" t="s">
        <v>241</v>
      </c>
      <c r="D265" s="499" t="s">
        <v>206</v>
      </c>
      <c r="E265" s="500">
        <v>43.98</v>
      </c>
      <c r="F265" s="500">
        <f t="shared" si="31"/>
        <v>104.70009095043203</v>
      </c>
      <c r="G265" s="527">
        <v>4604.71</v>
      </c>
      <c r="H265" s="501"/>
      <c r="I265" s="501"/>
      <c r="J265" s="527"/>
      <c r="K265" s="521">
        <f t="shared" si="29"/>
        <v>4604.71</v>
      </c>
      <c r="L265" s="370">
        <f t="shared" si="30"/>
        <v>4604.71</v>
      </c>
      <c r="M265" s="65"/>
      <c r="N265" s="8"/>
    </row>
    <row r="266" spans="2:14">
      <c r="B266" s="522">
        <v>46231</v>
      </c>
      <c r="C266" s="495" t="s">
        <v>199</v>
      </c>
      <c r="D266" s="499" t="s">
        <v>200</v>
      </c>
      <c r="E266" s="500"/>
      <c r="F266" s="500"/>
      <c r="G266" s="527"/>
      <c r="H266" s="500">
        <v>28.04</v>
      </c>
      <c r="I266" s="501">
        <f>J266/H266</f>
        <v>116.90014265335236</v>
      </c>
      <c r="J266" s="527">
        <v>3277.88</v>
      </c>
      <c r="K266" s="521">
        <f t="shared" si="29"/>
        <v>3277.88</v>
      </c>
      <c r="L266" s="370">
        <f t="shared" si="30"/>
        <v>3277.88</v>
      </c>
      <c r="M266" s="65"/>
      <c r="N266" s="8"/>
    </row>
    <row r="267" spans="2:14">
      <c r="B267" s="522">
        <v>46231</v>
      </c>
      <c r="C267" s="495" t="s">
        <v>232</v>
      </c>
      <c r="D267" s="499" t="s">
        <v>233</v>
      </c>
      <c r="E267" s="500">
        <v>40</v>
      </c>
      <c r="F267" s="500">
        <f t="shared" si="31"/>
        <v>105.4</v>
      </c>
      <c r="G267" s="527">
        <v>4216</v>
      </c>
      <c r="H267" s="501"/>
      <c r="I267" s="501"/>
      <c r="J267" s="527"/>
      <c r="K267" s="521">
        <f t="shared" si="29"/>
        <v>4216</v>
      </c>
      <c r="L267" s="370">
        <f t="shared" si="30"/>
        <v>4216</v>
      </c>
      <c r="M267" s="65"/>
      <c r="N267" s="8"/>
    </row>
    <row r="268" spans="2:14">
      <c r="B268" s="522">
        <v>46231</v>
      </c>
      <c r="C268" s="495" t="s">
        <v>229</v>
      </c>
      <c r="D268" s="499"/>
      <c r="E268" s="500">
        <v>39.06</v>
      </c>
      <c r="F268" s="500">
        <f t="shared" si="31"/>
        <v>105.1600102406554</v>
      </c>
      <c r="G268" s="527">
        <v>4107.55</v>
      </c>
      <c r="H268" s="501"/>
      <c r="I268" s="501"/>
      <c r="J268" s="527"/>
      <c r="K268" s="521">
        <f t="shared" si="29"/>
        <v>4107.55</v>
      </c>
      <c r="L268" s="370">
        <f t="shared" si="30"/>
        <v>4107.55</v>
      </c>
      <c r="M268" s="65"/>
      <c r="N268" s="8"/>
    </row>
    <row r="269" spans="2:14">
      <c r="B269" s="522">
        <v>46231</v>
      </c>
      <c r="C269" s="495" t="s">
        <v>232</v>
      </c>
      <c r="D269" s="499" t="s">
        <v>233</v>
      </c>
      <c r="E269" s="500">
        <v>35.75</v>
      </c>
      <c r="F269" s="500">
        <f t="shared" si="31"/>
        <v>105.4</v>
      </c>
      <c r="G269" s="527">
        <v>3768.05</v>
      </c>
      <c r="H269" s="501"/>
      <c r="I269" s="501"/>
      <c r="J269" s="527"/>
      <c r="K269" s="521">
        <f t="shared" si="29"/>
        <v>3768.05</v>
      </c>
      <c r="L269" s="370">
        <f t="shared" si="30"/>
        <v>3768.05</v>
      </c>
      <c r="M269" s="65"/>
      <c r="N269" s="8"/>
    </row>
    <row r="270" spans="2:14">
      <c r="B270" s="522">
        <v>46231</v>
      </c>
      <c r="C270" s="495" t="s">
        <v>195</v>
      </c>
      <c r="D270" s="499" t="s">
        <v>196</v>
      </c>
      <c r="E270" s="500"/>
      <c r="F270" s="500"/>
      <c r="G270" s="527"/>
      <c r="H270" s="501">
        <v>5</v>
      </c>
      <c r="I270" s="501">
        <f>J270/H270</f>
        <v>117.97999999999999</v>
      </c>
      <c r="J270" s="527">
        <v>589.9</v>
      </c>
      <c r="K270" s="521">
        <f t="shared" si="29"/>
        <v>589.9</v>
      </c>
      <c r="L270" s="370">
        <f t="shared" si="30"/>
        <v>589.9</v>
      </c>
      <c r="M270" s="65"/>
      <c r="N270" s="8"/>
    </row>
    <row r="271" spans="2:14">
      <c r="B271" s="522">
        <v>46232</v>
      </c>
      <c r="C271" s="495" t="s">
        <v>195</v>
      </c>
      <c r="D271" s="499" t="s">
        <v>196</v>
      </c>
      <c r="E271" s="500"/>
      <c r="F271" s="500"/>
      <c r="G271" s="527"/>
      <c r="H271" s="501">
        <v>5</v>
      </c>
      <c r="I271" s="501">
        <f>J271/H271</f>
        <v>117.97999999999999</v>
      </c>
      <c r="J271" s="527">
        <v>589.9</v>
      </c>
      <c r="K271" s="521">
        <f t="shared" si="29"/>
        <v>589.9</v>
      </c>
      <c r="L271" s="370">
        <f t="shared" si="30"/>
        <v>589.9</v>
      </c>
      <c r="M271" s="65"/>
      <c r="N271" s="8"/>
    </row>
    <row r="272" spans="2:14">
      <c r="B272" s="522">
        <v>46232</v>
      </c>
      <c r="C272" s="495" t="s">
        <v>195</v>
      </c>
      <c r="D272" s="499" t="s">
        <v>196</v>
      </c>
      <c r="E272" s="500">
        <v>30</v>
      </c>
      <c r="F272" s="500">
        <f t="shared" ref="F272:F273" si="32">G272/E272</f>
        <v>105.58999999999999</v>
      </c>
      <c r="G272" s="527">
        <v>3167.7</v>
      </c>
      <c r="H272" s="501"/>
      <c r="I272" s="501"/>
      <c r="J272" s="527"/>
      <c r="K272" s="521">
        <f t="shared" si="29"/>
        <v>3167.7</v>
      </c>
      <c r="L272" s="370">
        <f t="shared" si="30"/>
        <v>3167.7</v>
      </c>
      <c r="M272" s="65"/>
      <c r="N272" s="8"/>
    </row>
    <row r="273" spans="2:14">
      <c r="B273" s="522">
        <v>46233</v>
      </c>
      <c r="C273" s="495" t="s">
        <v>195</v>
      </c>
      <c r="D273" s="499" t="s">
        <v>196</v>
      </c>
      <c r="E273" s="500">
        <v>36.130000000000003</v>
      </c>
      <c r="F273" s="500">
        <f t="shared" si="32"/>
        <v>105.59009133683918</v>
      </c>
      <c r="G273" s="527">
        <v>3814.97</v>
      </c>
      <c r="H273" s="501"/>
      <c r="I273" s="501"/>
      <c r="J273" s="527"/>
      <c r="K273" s="521">
        <f t="shared" si="29"/>
        <v>3814.97</v>
      </c>
      <c r="L273" s="370">
        <f t="shared" si="30"/>
        <v>3814.97</v>
      </c>
      <c r="M273" s="65"/>
      <c r="N273" s="8"/>
    </row>
    <row r="274" spans="2:14">
      <c r="B274" s="522">
        <v>46233</v>
      </c>
      <c r="C274" s="495" t="s">
        <v>205</v>
      </c>
      <c r="D274" s="499" t="s">
        <v>206</v>
      </c>
      <c r="E274" s="500"/>
      <c r="F274" s="500"/>
      <c r="G274" s="527"/>
      <c r="H274" s="501">
        <v>5</v>
      </c>
      <c r="I274" s="501">
        <f>J274/H274</f>
        <v>116.99000000000001</v>
      </c>
      <c r="J274" s="527">
        <v>584.95000000000005</v>
      </c>
      <c r="K274" s="521">
        <f t="shared" si="29"/>
        <v>584.95000000000005</v>
      </c>
      <c r="L274" s="370">
        <f t="shared" si="30"/>
        <v>584.95000000000005</v>
      </c>
      <c r="M274" s="65"/>
      <c r="N274" s="8"/>
    </row>
    <row r="275" spans="2:14">
      <c r="B275" s="522">
        <v>46233</v>
      </c>
      <c r="C275" s="495" t="s">
        <v>237</v>
      </c>
      <c r="D275" s="499" t="s">
        <v>224</v>
      </c>
      <c r="E275" s="500"/>
      <c r="F275" s="500"/>
      <c r="G275" s="527"/>
      <c r="H275" s="501">
        <v>5</v>
      </c>
      <c r="I275" s="501">
        <f>J275/H275</f>
        <v>117.32000000000001</v>
      </c>
      <c r="J275" s="527">
        <v>586.6</v>
      </c>
      <c r="K275" s="521">
        <f t="shared" si="29"/>
        <v>586.6</v>
      </c>
      <c r="L275" s="370">
        <f t="shared" si="30"/>
        <v>586.6</v>
      </c>
      <c r="M275" s="65"/>
      <c r="N275" s="8"/>
    </row>
    <row r="276" spans="2:14">
      <c r="B276" s="522">
        <v>46233</v>
      </c>
      <c r="C276" s="495" t="s">
        <v>203</v>
      </c>
      <c r="D276" s="499" t="s">
        <v>204</v>
      </c>
      <c r="E276" s="500"/>
      <c r="F276" s="500"/>
      <c r="G276" s="527"/>
      <c r="H276" s="501">
        <v>3.74</v>
      </c>
      <c r="I276" s="501">
        <f>J276/H276</f>
        <v>117.61764705882352</v>
      </c>
      <c r="J276" s="527">
        <v>439.89</v>
      </c>
      <c r="K276" s="521">
        <f t="shared" si="29"/>
        <v>439.89</v>
      </c>
      <c r="L276" s="370">
        <f t="shared" si="30"/>
        <v>439.89</v>
      </c>
      <c r="M276" s="65"/>
      <c r="N276" s="8"/>
    </row>
    <row r="277" spans="2:14">
      <c r="B277" s="522">
        <v>46233</v>
      </c>
      <c r="C277" s="495" t="s">
        <v>195</v>
      </c>
      <c r="D277" s="499" t="s">
        <v>196</v>
      </c>
      <c r="E277" s="500">
        <v>54.99</v>
      </c>
      <c r="F277" s="500">
        <f t="shared" ref="F277:F284" si="33">G277/E277</f>
        <v>105.58992544098928</v>
      </c>
      <c r="G277" s="527">
        <v>5806.39</v>
      </c>
      <c r="H277" s="501"/>
      <c r="I277" s="501"/>
      <c r="J277" s="527"/>
      <c r="K277" s="521">
        <f t="shared" si="29"/>
        <v>5806.39</v>
      </c>
      <c r="L277" s="370">
        <f t="shared" si="30"/>
        <v>5806.39</v>
      </c>
      <c r="M277" s="65"/>
      <c r="N277" s="8"/>
    </row>
    <row r="278" spans="2:14">
      <c r="B278" s="522">
        <v>46233</v>
      </c>
      <c r="C278" s="495" t="s">
        <v>195</v>
      </c>
      <c r="D278" s="499" t="s">
        <v>196</v>
      </c>
      <c r="E278" s="500"/>
      <c r="F278" s="500"/>
      <c r="G278" s="527"/>
      <c r="H278" s="501">
        <v>5</v>
      </c>
      <c r="I278" s="501"/>
      <c r="J278" s="527">
        <v>589.9</v>
      </c>
      <c r="K278" s="521">
        <f t="shared" si="29"/>
        <v>589.9</v>
      </c>
      <c r="L278" s="370">
        <f t="shared" si="30"/>
        <v>589.9</v>
      </c>
      <c r="M278" s="65"/>
      <c r="N278" s="8"/>
    </row>
    <row r="279" spans="2:14">
      <c r="B279" s="522">
        <v>46233</v>
      </c>
      <c r="C279" s="495" t="s">
        <v>205</v>
      </c>
      <c r="D279" s="499" t="s">
        <v>206</v>
      </c>
      <c r="E279" s="500">
        <v>40.99</v>
      </c>
      <c r="F279" s="500">
        <f t="shared" si="33"/>
        <v>104.6999268114174</v>
      </c>
      <c r="G279" s="527">
        <v>4291.6499999999996</v>
      </c>
      <c r="H279" s="501"/>
      <c r="I279" s="501"/>
      <c r="J279" s="527"/>
      <c r="K279" s="521">
        <f t="shared" si="29"/>
        <v>4291.6499999999996</v>
      </c>
      <c r="L279" s="370">
        <f t="shared" si="30"/>
        <v>4291.6499999999996</v>
      </c>
      <c r="M279" s="65"/>
      <c r="N279" s="8"/>
    </row>
    <row r="280" spans="2:14">
      <c r="B280" s="522">
        <v>46233</v>
      </c>
      <c r="C280" s="495" t="s">
        <v>209</v>
      </c>
      <c r="D280" s="499" t="s">
        <v>198</v>
      </c>
      <c r="E280" s="500">
        <v>100</v>
      </c>
      <c r="F280" s="500">
        <f t="shared" si="33"/>
        <v>105.35</v>
      </c>
      <c r="G280" s="527">
        <v>10535</v>
      </c>
      <c r="H280" s="501"/>
      <c r="I280" s="501"/>
      <c r="J280" s="527"/>
      <c r="K280" s="521">
        <f t="shared" si="29"/>
        <v>10535</v>
      </c>
      <c r="L280" s="370">
        <f t="shared" si="30"/>
        <v>10535</v>
      </c>
      <c r="M280" s="65"/>
      <c r="N280" s="8"/>
    </row>
    <row r="281" spans="2:14">
      <c r="B281" s="522">
        <v>46233</v>
      </c>
      <c r="C281" s="495" t="s">
        <v>209</v>
      </c>
      <c r="D281" s="499" t="s">
        <v>198</v>
      </c>
      <c r="E281" s="500">
        <v>10</v>
      </c>
      <c r="F281" s="500">
        <f t="shared" si="33"/>
        <v>105.35</v>
      </c>
      <c r="G281" s="527">
        <v>1053.5</v>
      </c>
      <c r="H281" s="501"/>
      <c r="I281" s="501"/>
      <c r="J281" s="527"/>
      <c r="K281" s="521">
        <f t="shared" si="29"/>
        <v>1053.5</v>
      </c>
      <c r="L281" s="370">
        <f t="shared" si="30"/>
        <v>1053.5</v>
      </c>
      <c r="M281" s="65"/>
      <c r="N281" s="8"/>
    </row>
    <row r="282" spans="2:14">
      <c r="B282" s="522">
        <v>46234</v>
      </c>
      <c r="C282" s="495" t="s">
        <v>237</v>
      </c>
      <c r="D282" s="499" t="s">
        <v>224</v>
      </c>
      <c r="E282" s="500">
        <v>100</v>
      </c>
      <c r="F282" s="500">
        <f t="shared" si="33"/>
        <v>105.01</v>
      </c>
      <c r="G282" s="527">
        <v>10501</v>
      </c>
      <c r="H282" s="501"/>
      <c r="I282" s="501"/>
      <c r="J282" s="527"/>
      <c r="K282" s="521">
        <f t="shared" si="29"/>
        <v>10501</v>
      </c>
      <c r="L282" s="370">
        <f t="shared" si="30"/>
        <v>10501</v>
      </c>
      <c r="M282" s="65"/>
      <c r="N282" s="8"/>
    </row>
    <row r="283" spans="2:14">
      <c r="B283" s="522">
        <v>46234</v>
      </c>
      <c r="C283" s="495" t="s">
        <v>193</v>
      </c>
      <c r="D283" s="499" t="s">
        <v>194</v>
      </c>
      <c r="E283" s="500">
        <v>200</v>
      </c>
      <c r="F283" s="500">
        <f t="shared" si="33"/>
        <v>104.93</v>
      </c>
      <c r="G283" s="527">
        <v>20986</v>
      </c>
      <c r="H283" s="501"/>
      <c r="I283" s="501"/>
      <c r="J283" s="527"/>
      <c r="K283" s="521">
        <f t="shared" si="29"/>
        <v>20986</v>
      </c>
      <c r="L283" s="370">
        <f t="shared" si="30"/>
        <v>20986</v>
      </c>
      <c r="M283" s="65"/>
      <c r="N283" s="8"/>
    </row>
    <row r="284" spans="2:14">
      <c r="B284" s="522">
        <v>46234</v>
      </c>
      <c r="C284" s="495" t="s">
        <v>232</v>
      </c>
      <c r="D284" s="499" t="s">
        <v>233</v>
      </c>
      <c r="E284" s="500">
        <v>30</v>
      </c>
      <c r="F284" s="500">
        <f t="shared" si="33"/>
        <v>105.4</v>
      </c>
      <c r="G284" s="527">
        <v>3162</v>
      </c>
      <c r="H284" s="501"/>
      <c r="I284" s="501"/>
      <c r="J284" s="527"/>
      <c r="K284" s="521">
        <f t="shared" si="29"/>
        <v>3162</v>
      </c>
      <c r="L284" s="370">
        <f t="shared" si="30"/>
        <v>3162</v>
      </c>
      <c r="M284" s="65"/>
      <c r="N284" s="8"/>
    </row>
    <row r="285" spans="2:14">
      <c r="B285" s="522">
        <v>46234</v>
      </c>
      <c r="C285" s="495" t="s">
        <v>203</v>
      </c>
      <c r="D285" s="499" t="s">
        <v>204</v>
      </c>
      <c r="E285" s="500"/>
      <c r="F285" s="500"/>
      <c r="G285" s="527"/>
      <c r="H285" s="501">
        <v>5</v>
      </c>
      <c r="I285" s="501">
        <f>J285/H285</f>
        <v>117.62</v>
      </c>
      <c r="J285" s="527">
        <v>588.1</v>
      </c>
      <c r="K285" s="521">
        <f t="shared" si="29"/>
        <v>588.1</v>
      </c>
      <c r="L285" s="370">
        <f t="shared" si="30"/>
        <v>588.1</v>
      </c>
      <c r="M285" s="65"/>
      <c r="N285" s="8"/>
    </row>
    <row r="286" spans="2:14">
      <c r="B286" s="522">
        <v>46234</v>
      </c>
      <c r="C286" s="495" t="s">
        <v>195</v>
      </c>
      <c r="D286" s="499" t="s">
        <v>196</v>
      </c>
      <c r="E286" s="500"/>
      <c r="F286" s="500"/>
      <c r="G286" s="527"/>
      <c r="H286" s="501">
        <v>4.83</v>
      </c>
      <c r="I286" s="501">
        <f>J286/H286</f>
        <v>117.97929606625259</v>
      </c>
      <c r="J286" s="527">
        <v>569.84</v>
      </c>
      <c r="K286" s="521">
        <f t="shared" si="29"/>
        <v>569.84</v>
      </c>
      <c r="L286" s="370">
        <f t="shared" si="30"/>
        <v>569.84</v>
      </c>
      <c r="M286" s="65"/>
      <c r="N286" s="8"/>
    </row>
    <row r="287" spans="2:14">
      <c r="B287" s="522">
        <v>46234</v>
      </c>
      <c r="C287" s="495" t="s">
        <v>195</v>
      </c>
      <c r="D287" s="499" t="s">
        <v>196</v>
      </c>
      <c r="E287" s="500"/>
      <c r="F287" s="500"/>
      <c r="G287" s="527"/>
      <c r="H287" s="501">
        <v>5</v>
      </c>
      <c r="I287" s="501">
        <f>J287/H287</f>
        <v>117.97999999999999</v>
      </c>
      <c r="J287" s="527">
        <v>589.9</v>
      </c>
      <c r="K287" s="521">
        <f t="shared" si="29"/>
        <v>589.9</v>
      </c>
      <c r="L287" s="370">
        <f t="shared" si="30"/>
        <v>589.9</v>
      </c>
      <c r="M287" s="65"/>
      <c r="N287" s="8"/>
    </row>
    <row r="288" spans="2:14">
      <c r="B288" s="522">
        <v>46234</v>
      </c>
      <c r="C288" s="495" t="s">
        <v>242</v>
      </c>
      <c r="D288" s="499" t="s">
        <v>212</v>
      </c>
      <c r="E288" s="500">
        <v>30</v>
      </c>
      <c r="F288" s="500">
        <f t="shared" ref="F288" si="34">G288/E288</f>
        <v>94.08</v>
      </c>
      <c r="G288" s="527">
        <v>2822.4</v>
      </c>
      <c r="H288" s="501"/>
      <c r="I288" s="501"/>
      <c r="J288" s="527"/>
      <c r="K288" s="521">
        <f t="shared" si="29"/>
        <v>2822.4</v>
      </c>
      <c r="L288" s="370">
        <f t="shared" si="30"/>
        <v>2822.4</v>
      </c>
      <c r="M288" s="65"/>
      <c r="N288" s="8"/>
    </row>
    <row r="289" spans="2:14">
      <c r="B289" s="59"/>
      <c r="C289" s="59"/>
      <c r="D289" s="59"/>
      <c r="E289" s="59">
        <f>SUM(E4:E288)</f>
        <v>9882.0889999999981</v>
      </c>
      <c r="F289" s="59"/>
      <c r="G289" s="59">
        <f>SUM(G4:G288)</f>
        <v>1038084.8174800007</v>
      </c>
      <c r="H289" s="59">
        <f>SUM(H4:H288)</f>
        <v>553.67300000000012</v>
      </c>
      <c r="I289" s="59"/>
      <c r="J289" s="59">
        <f>SUM(J4:J288)</f>
        <v>67413.977499999979</v>
      </c>
      <c r="K289" s="59">
        <f>SUM(K4:K288)</f>
        <v>1105498.7949799995</v>
      </c>
      <c r="L289" s="59">
        <f>SUM(L4:L288)</f>
        <v>1105498.7949799995</v>
      </c>
      <c r="M289" s="60">
        <f>SUM(M258:M288)</f>
        <v>0</v>
      </c>
      <c r="N289" s="60"/>
    </row>
  </sheetData>
  <mergeCells count="1">
    <mergeCell ref="A3:L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9A6A-79F9-4FB1-82F0-A26938E2E479}">
  <dimension ref="A1:R46"/>
  <sheetViews>
    <sheetView topLeftCell="A27" workbookViewId="0">
      <selection activeCell="M34" sqref="M34"/>
    </sheetView>
  </sheetViews>
  <sheetFormatPr defaultRowHeight="15"/>
  <cols>
    <col min="4" max="4" width="16.42578125" customWidth="1"/>
    <col min="7" max="7" width="15.42578125" customWidth="1"/>
    <col min="11" max="11" width="15.28515625" customWidth="1"/>
    <col min="12" max="12" width="16.5703125" customWidth="1"/>
    <col min="13" max="13" width="15.42578125" customWidth="1"/>
    <col min="14" max="14" width="11" customWidth="1"/>
  </cols>
  <sheetData>
    <row r="1" spans="1:18" ht="15.75">
      <c r="A1" s="539" t="s">
        <v>243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79"/>
    </row>
    <row r="2" spans="1:18" ht="30.75">
      <c r="A2" s="95" t="s">
        <v>0</v>
      </c>
      <c r="B2" s="96" t="s">
        <v>163</v>
      </c>
      <c r="C2" s="96" t="s">
        <v>164</v>
      </c>
      <c r="D2" s="96" t="s">
        <v>186</v>
      </c>
      <c r="E2" s="249" t="s">
        <v>166</v>
      </c>
      <c r="F2" s="249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135" t="s">
        <v>171</v>
      </c>
      <c r="M2" s="138" t="s">
        <v>187</v>
      </c>
      <c r="N2" s="98" t="s">
        <v>173</v>
      </c>
      <c r="O2" s="56"/>
    </row>
    <row r="3" spans="1:18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2"/>
      <c r="M3" s="143">
        <v>0</v>
      </c>
      <c r="N3" s="149"/>
      <c r="O3" s="56"/>
    </row>
    <row r="4" spans="1:18">
      <c r="A4" s="189">
        <v>1</v>
      </c>
      <c r="B4" s="212">
        <v>46204</v>
      </c>
      <c r="C4" s="64"/>
      <c r="D4" s="152"/>
      <c r="E4" s="250"/>
      <c r="F4" s="250"/>
      <c r="G4" s="8">
        <f t="shared" ref="G4:G36" si="0">E4*F4</f>
        <v>0</v>
      </c>
      <c r="H4" s="62"/>
      <c r="I4" s="63"/>
      <c r="J4" s="8">
        <f>H4*I4</f>
        <v>0</v>
      </c>
      <c r="K4" s="8">
        <f>G4+J4</f>
        <v>0</v>
      </c>
      <c r="L4" s="65"/>
      <c r="M4" s="65">
        <f>M3+K4-L4</f>
        <v>0</v>
      </c>
      <c r="N4" s="149"/>
    </row>
    <row r="5" spans="1:18">
      <c r="A5" s="189"/>
      <c r="B5" s="212">
        <v>46205</v>
      </c>
      <c r="C5" s="64"/>
      <c r="D5" s="73"/>
      <c r="E5" s="250"/>
      <c r="F5" s="250"/>
      <c r="G5" s="8"/>
      <c r="H5" s="62"/>
      <c r="I5" s="63"/>
      <c r="J5" s="8">
        <f>H5*I5</f>
        <v>0</v>
      </c>
      <c r="K5" s="8">
        <f>G5+J5</f>
        <v>0</v>
      </c>
      <c r="L5" s="65"/>
      <c r="M5" s="65">
        <f t="shared" ref="M5:M36" si="1">M4+K5-L5</f>
        <v>0</v>
      </c>
      <c r="N5" s="149"/>
    </row>
    <row r="6" spans="1:18">
      <c r="A6" s="43">
        <v>2</v>
      </c>
      <c r="B6" s="212">
        <v>46206</v>
      </c>
      <c r="C6" s="64"/>
      <c r="E6" s="250"/>
      <c r="F6" s="250"/>
      <c r="G6" s="8">
        <f t="shared" si="0"/>
        <v>0</v>
      </c>
      <c r="H6" s="62"/>
      <c r="I6" s="63"/>
      <c r="J6" s="8">
        <f t="shared" ref="J6:J36" si="2">H6*I6</f>
        <v>0</v>
      </c>
      <c r="K6" s="8">
        <f t="shared" ref="K6:K36" si="3">G6+J6</f>
        <v>0</v>
      </c>
      <c r="L6" s="65"/>
      <c r="M6" s="65">
        <f t="shared" si="1"/>
        <v>0</v>
      </c>
      <c r="N6" s="149"/>
    </row>
    <row r="7" spans="1:18">
      <c r="A7" s="43">
        <v>3</v>
      </c>
      <c r="B7" s="212">
        <v>46207</v>
      </c>
      <c r="C7" s="64"/>
      <c r="D7" s="152"/>
      <c r="E7" s="250"/>
      <c r="F7" s="250"/>
      <c r="G7" s="8">
        <f t="shared" si="0"/>
        <v>0</v>
      </c>
      <c r="H7" s="62"/>
      <c r="I7" s="63"/>
      <c r="J7" s="8">
        <f t="shared" si="2"/>
        <v>0</v>
      </c>
      <c r="K7" s="8">
        <f t="shared" si="3"/>
        <v>0</v>
      </c>
      <c r="L7" s="65"/>
      <c r="M7" s="65">
        <f t="shared" si="1"/>
        <v>0</v>
      </c>
      <c r="N7" s="149"/>
    </row>
    <row r="8" spans="1:18">
      <c r="A8" s="43">
        <v>4</v>
      </c>
      <c r="B8" s="212">
        <v>46208</v>
      </c>
      <c r="C8" s="64"/>
      <c r="D8" s="152"/>
      <c r="E8" s="250"/>
      <c r="F8" s="250"/>
      <c r="G8" s="8">
        <f t="shared" si="0"/>
        <v>0</v>
      </c>
      <c r="H8" s="62"/>
      <c r="I8" s="63"/>
      <c r="J8" s="8">
        <f t="shared" si="2"/>
        <v>0</v>
      </c>
      <c r="K8" s="8">
        <f t="shared" si="3"/>
        <v>0</v>
      </c>
      <c r="L8" s="65"/>
      <c r="M8" s="65">
        <f t="shared" si="1"/>
        <v>0</v>
      </c>
      <c r="N8" s="149"/>
    </row>
    <row r="9" spans="1:18">
      <c r="A9" s="43">
        <v>5</v>
      </c>
      <c r="B9" s="212">
        <v>46209</v>
      </c>
      <c r="C9" s="64"/>
      <c r="D9" s="152"/>
      <c r="E9" s="250"/>
      <c r="F9" s="250"/>
      <c r="G9" s="8">
        <f t="shared" si="0"/>
        <v>0</v>
      </c>
      <c r="H9" s="62"/>
      <c r="I9" s="63"/>
      <c r="J9" s="8">
        <f t="shared" si="2"/>
        <v>0</v>
      </c>
      <c r="K9" s="8">
        <f t="shared" si="3"/>
        <v>0</v>
      </c>
      <c r="L9" s="65"/>
      <c r="M9" s="65">
        <f t="shared" si="1"/>
        <v>0</v>
      </c>
      <c r="N9" s="149"/>
      <c r="O9" s="66"/>
      <c r="R9" s="218"/>
    </row>
    <row r="10" spans="1:18">
      <c r="A10" s="43">
        <v>6</v>
      </c>
      <c r="B10" s="212">
        <v>46210</v>
      </c>
      <c r="C10" s="64"/>
      <c r="D10" s="152"/>
      <c r="E10" s="250"/>
      <c r="F10" s="250"/>
      <c r="G10" s="8">
        <f t="shared" si="0"/>
        <v>0</v>
      </c>
      <c r="H10" s="62"/>
      <c r="I10" s="63"/>
      <c r="J10" s="8">
        <f t="shared" si="2"/>
        <v>0</v>
      </c>
      <c r="K10" s="8">
        <f t="shared" si="3"/>
        <v>0</v>
      </c>
      <c r="L10" s="65"/>
      <c r="M10" s="65">
        <f t="shared" si="1"/>
        <v>0</v>
      </c>
      <c r="N10" s="149"/>
      <c r="O10" s="66"/>
    </row>
    <row r="11" spans="1:18">
      <c r="A11" s="43">
        <v>7</v>
      </c>
      <c r="B11" s="212">
        <v>46211</v>
      </c>
      <c r="C11" s="64"/>
      <c r="D11" s="152"/>
      <c r="E11" s="250"/>
      <c r="F11" s="250"/>
      <c r="G11" s="8">
        <f t="shared" si="0"/>
        <v>0</v>
      </c>
      <c r="H11" s="62"/>
      <c r="I11" s="63"/>
      <c r="J11" s="8">
        <f t="shared" si="2"/>
        <v>0</v>
      </c>
      <c r="K11" s="8">
        <f t="shared" si="3"/>
        <v>0</v>
      </c>
      <c r="L11" s="65"/>
      <c r="M11" s="65">
        <f t="shared" si="1"/>
        <v>0</v>
      </c>
      <c r="N11" s="149"/>
      <c r="O11" s="66"/>
    </row>
    <row r="12" spans="1:18">
      <c r="A12" s="43">
        <v>8</v>
      </c>
      <c r="B12" s="212">
        <v>46212</v>
      </c>
      <c r="C12" s="64"/>
      <c r="D12" s="152"/>
      <c r="E12" s="250"/>
      <c r="F12" s="250"/>
      <c r="G12" s="8">
        <f t="shared" si="0"/>
        <v>0</v>
      </c>
      <c r="H12" s="62"/>
      <c r="I12" s="63"/>
      <c r="J12" s="8">
        <f t="shared" si="2"/>
        <v>0</v>
      </c>
      <c r="K12" s="8">
        <f t="shared" si="3"/>
        <v>0</v>
      </c>
      <c r="L12" s="65"/>
      <c r="M12" s="65">
        <f t="shared" si="1"/>
        <v>0</v>
      </c>
      <c r="N12" s="149"/>
      <c r="O12" s="66"/>
    </row>
    <row r="13" spans="1:18">
      <c r="A13" s="43">
        <v>9</v>
      </c>
      <c r="B13" s="212">
        <v>46213</v>
      </c>
      <c r="C13" s="64"/>
      <c r="D13" s="152"/>
      <c r="E13" s="250"/>
      <c r="F13" s="250"/>
      <c r="G13" s="8">
        <f t="shared" si="0"/>
        <v>0</v>
      </c>
      <c r="H13" s="62"/>
      <c r="I13" s="63"/>
      <c r="J13" s="8">
        <f t="shared" si="2"/>
        <v>0</v>
      </c>
      <c r="K13" s="8">
        <f t="shared" si="3"/>
        <v>0</v>
      </c>
      <c r="L13" s="65"/>
      <c r="M13" s="65">
        <f t="shared" si="1"/>
        <v>0</v>
      </c>
      <c r="N13" s="149"/>
      <c r="O13" s="66"/>
    </row>
    <row r="14" spans="1:18">
      <c r="A14" s="43">
        <v>10</v>
      </c>
      <c r="B14" s="212">
        <v>46214</v>
      </c>
      <c r="C14" s="64"/>
      <c r="D14" s="152"/>
      <c r="E14" s="250"/>
      <c r="F14" s="250"/>
      <c r="G14" s="8">
        <f t="shared" si="0"/>
        <v>0</v>
      </c>
      <c r="H14" s="62"/>
      <c r="I14" s="63"/>
      <c r="J14" s="8">
        <f t="shared" si="2"/>
        <v>0</v>
      </c>
      <c r="K14" s="8">
        <f t="shared" si="3"/>
        <v>0</v>
      </c>
      <c r="L14" s="65"/>
      <c r="M14" s="65">
        <f t="shared" si="1"/>
        <v>0</v>
      </c>
      <c r="N14" s="149"/>
      <c r="O14" s="66"/>
    </row>
    <row r="15" spans="1:18">
      <c r="A15" s="43">
        <v>11</v>
      </c>
      <c r="B15" s="212">
        <v>46215</v>
      </c>
      <c r="C15" s="64"/>
      <c r="D15" s="152"/>
      <c r="E15" s="250"/>
      <c r="F15" s="250"/>
      <c r="G15" s="8">
        <f t="shared" si="0"/>
        <v>0</v>
      </c>
      <c r="H15" s="62"/>
      <c r="I15" s="63"/>
      <c r="J15" s="8">
        <f t="shared" si="2"/>
        <v>0</v>
      </c>
      <c r="K15" s="8">
        <f>G15+J15</f>
        <v>0</v>
      </c>
      <c r="L15" s="65"/>
      <c r="M15" s="65">
        <f t="shared" si="1"/>
        <v>0</v>
      </c>
      <c r="N15" s="149"/>
      <c r="O15" s="66"/>
    </row>
    <row r="16" spans="1:18">
      <c r="A16" s="43">
        <v>12</v>
      </c>
      <c r="B16" s="212">
        <v>46216</v>
      </c>
      <c r="C16" s="64"/>
      <c r="D16" s="152"/>
      <c r="E16" s="250"/>
      <c r="F16" s="250"/>
      <c r="G16" s="8">
        <f t="shared" si="0"/>
        <v>0</v>
      </c>
      <c r="H16" s="62"/>
      <c r="I16" s="63"/>
      <c r="J16" s="8">
        <f t="shared" si="2"/>
        <v>0</v>
      </c>
      <c r="K16" s="8">
        <f t="shared" si="3"/>
        <v>0</v>
      </c>
      <c r="L16" s="65"/>
      <c r="M16" s="65">
        <f t="shared" si="1"/>
        <v>0</v>
      </c>
      <c r="N16" s="8"/>
      <c r="O16" s="66"/>
    </row>
    <row r="17" spans="1:15">
      <c r="A17" s="43">
        <v>13</v>
      </c>
      <c r="B17" s="212">
        <v>46217</v>
      </c>
      <c r="C17" s="64"/>
      <c r="D17" s="152"/>
      <c r="E17" s="250"/>
      <c r="F17" s="250"/>
      <c r="G17" s="8">
        <f t="shared" si="0"/>
        <v>0</v>
      </c>
      <c r="H17" s="62"/>
      <c r="I17" s="63"/>
      <c r="J17" s="8">
        <f t="shared" si="2"/>
        <v>0</v>
      </c>
      <c r="K17" s="8">
        <f t="shared" si="3"/>
        <v>0</v>
      </c>
      <c r="L17" s="65"/>
      <c r="M17" s="65">
        <f t="shared" si="1"/>
        <v>0</v>
      </c>
      <c r="N17" s="8"/>
      <c r="O17" s="66"/>
    </row>
    <row r="18" spans="1:15">
      <c r="A18" s="43">
        <v>14</v>
      </c>
      <c r="B18" s="212">
        <v>46218</v>
      </c>
      <c r="C18" s="64"/>
      <c r="D18" s="152"/>
      <c r="E18" s="250"/>
      <c r="F18" s="250"/>
      <c r="G18" s="8">
        <f t="shared" si="0"/>
        <v>0</v>
      </c>
      <c r="H18" s="62"/>
      <c r="I18" s="63"/>
      <c r="J18" s="8">
        <f t="shared" si="2"/>
        <v>0</v>
      </c>
      <c r="K18" s="8">
        <f t="shared" si="3"/>
        <v>0</v>
      </c>
      <c r="L18" s="65"/>
      <c r="M18" s="65">
        <f t="shared" si="1"/>
        <v>0</v>
      </c>
      <c r="N18" s="8"/>
      <c r="O18" s="66"/>
    </row>
    <row r="19" spans="1:15">
      <c r="A19" s="43">
        <v>15</v>
      </c>
      <c r="B19" s="212">
        <v>46219</v>
      </c>
      <c r="C19" s="64"/>
      <c r="D19" s="152"/>
      <c r="E19" s="310"/>
      <c r="F19" s="310"/>
      <c r="G19" s="175">
        <f t="shared" si="0"/>
        <v>0</v>
      </c>
      <c r="H19" s="62"/>
      <c r="I19" s="63"/>
      <c r="J19" s="175">
        <f t="shared" si="2"/>
        <v>0</v>
      </c>
      <c r="K19" s="175">
        <f t="shared" si="3"/>
        <v>0</v>
      </c>
      <c r="L19" s="65"/>
      <c r="M19" s="65">
        <f t="shared" si="1"/>
        <v>0</v>
      </c>
      <c r="N19" s="8"/>
      <c r="O19" s="66"/>
    </row>
    <row r="20" spans="1:15">
      <c r="A20" s="43">
        <v>16</v>
      </c>
      <c r="B20" s="212">
        <v>46220</v>
      </c>
      <c r="C20" s="64"/>
      <c r="D20" s="309"/>
      <c r="E20" s="250"/>
      <c r="F20" s="250"/>
      <c r="G20" s="8">
        <f t="shared" si="0"/>
        <v>0</v>
      </c>
      <c r="H20" s="62"/>
      <c r="I20" s="63"/>
      <c r="J20" s="8">
        <f t="shared" si="2"/>
        <v>0</v>
      </c>
      <c r="K20" s="8">
        <f t="shared" si="3"/>
        <v>0</v>
      </c>
      <c r="L20" s="65"/>
      <c r="M20" s="65">
        <f t="shared" si="1"/>
        <v>0</v>
      </c>
      <c r="N20" s="186"/>
      <c r="O20" s="66"/>
    </row>
    <row r="21" spans="1:15">
      <c r="A21" s="43">
        <v>17</v>
      </c>
      <c r="B21" s="212">
        <v>46221</v>
      </c>
      <c r="C21" s="64"/>
      <c r="D21" s="309"/>
      <c r="E21" s="250"/>
      <c r="F21" s="250"/>
      <c r="G21" s="8">
        <f t="shared" si="0"/>
        <v>0</v>
      </c>
      <c r="H21" s="62"/>
      <c r="I21" s="63"/>
      <c r="J21" s="8">
        <f t="shared" si="2"/>
        <v>0</v>
      </c>
      <c r="K21" s="8">
        <f t="shared" si="3"/>
        <v>0</v>
      </c>
      <c r="L21" s="65"/>
      <c r="M21" s="65">
        <f t="shared" si="1"/>
        <v>0</v>
      </c>
      <c r="N21" s="186"/>
      <c r="O21" s="66"/>
    </row>
    <row r="22" spans="1:15">
      <c r="A22" s="43">
        <v>18</v>
      </c>
      <c r="B22" s="212">
        <v>46222</v>
      </c>
      <c r="C22" s="64"/>
      <c r="D22" s="309"/>
      <c r="E22" s="14"/>
      <c r="F22" s="14"/>
      <c r="G22" s="8">
        <f t="shared" si="0"/>
        <v>0</v>
      </c>
      <c r="H22" s="62"/>
      <c r="I22" s="63"/>
      <c r="J22" s="8">
        <f t="shared" si="2"/>
        <v>0</v>
      </c>
      <c r="K22" s="8">
        <f t="shared" si="3"/>
        <v>0</v>
      </c>
      <c r="L22" s="65"/>
      <c r="M22" s="65">
        <f t="shared" si="1"/>
        <v>0</v>
      </c>
      <c r="N22" s="186"/>
      <c r="O22" s="66"/>
    </row>
    <row r="23" spans="1:15">
      <c r="A23" s="43">
        <v>19</v>
      </c>
      <c r="B23" s="212">
        <v>46223</v>
      </c>
      <c r="C23" s="64"/>
      <c r="D23" s="309"/>
      <c r="E23" s="14"/>
      <c r="F23" s="14"/>
      <c r="G23" s="8">
        <f t="shared" si="0"/>
        <v>0</v>
      </c>
      <c r="H23" s="62"/>
      <c r="I23" s="63"/>
      <c r="J23" s="8">
        <f t="shared" si="2"/>
        <v>0</v>
      </c>
      <c r="K23" s="8">
        <f t="shared" si="3"/>
        <v>0</v>
      </c>
      <c r="L23" s="65"/>
      <c r="M23" s="65">
        <f t="shared" si="1"/>
        <v>0</v>
      </c>
      <c r="N23" s="186"/>
      <c r="O23" s="66"/>
    </row>
    <row r="24" spans="1:15">
      <c r="A24" s="43">
        <v>20</v>
      </c>
      <c r="B24" s="212">
        <v>46224</v>
      </c>
      <c r="C24" s="64"/>
      <c r="D24" s="309"/>
      <c r="E24" s="14">
        <v>360</v>
      </c>
      <c r="F24" s="14">
        <v>105.21</v>
      </c>
      <c r="G24" s="8">
        <f t="shared" si="0"/>
        <v>37875.599999999999</v>
      </c>
      <c r="H24" s="62"/>
      <c r="I24" s="63"/>
      <c r="J24" s="8">
        <f t="shared" si="2"/>
        <v>0</v>
      </c>
      <c r="K24" s="8">
        <f t="shared" si="3"/>
        <v>37875.599999999999</v>
      </c>
      <c r="L24" s="65"/>
      <c r="M24" s="65">
        <f>M23+K24-L24</f>
        <v>37875.599999999999</v>
      </c>
      <c r="N24" s="186"/>
      <c r="O24" s="66"/>
    </row>
    <row r="25" spans="1:15">
      <c r="A25" s="43">
        <v>21</v>
      </c>
      <c r="B25" s="212">
        <v>46225</v>
      </c>
      <c r="C25" s="64"/>
      <c r="D25" s="309"/>
      <c r="E25" s="14">
        <v>296</v>
      </c>
      <c r="F25" s="14">
        <v>105.21</v>
      </c>
      <c r="G25" s="8">
        <f t="shared" si="0"/>
        <v>31142.16</v>
      </c>
      <c r="H25" s="62"/>
      <c r="I25" s="63"/>
      <c r="J25" s="8">
        <f t="shared" si="2"/>
        <v>0</v>
      </c>
      <c r="K25" s="8">
        <f t="shared" si="3"/>
        <v>31142.16</v>
      </c>
      <c r="L25" s="65"/>
      <c r="M25" s="65">
        <f t="shared" si="1"/>
        <v>69017.759999999995</v>
      </c>
      <c r="N25" s="186"/>
      <c r="O25" s="66"/>
    </row>
    <row r="26" spans="1:15">
      <c r="A26" s="43">
        <v>22</v>
      </c>
      <c r="B26" s="212">
        <v>46226</v>
      </c>
      <c r="C26" s="64"/>
      <c r="D26" s="309"/>
      <c r="E26" s="14">
        <v>210.08</v>
      </c>
      <c r="F26" s="14">
        <v>105.21</v>
      </c>
      <c r="G26" s="8">
        <f t="shared" si="0"/>
        <v>22102.516800000001</v>
      </c>
      <c r="H26" s="62"/>
      <c r="I26" s="63"/>
      <c r="J26" s="8">
        <f t="shared" si="2"/>
        <v>0</v>
      </c>
      <c r="K26" s="8">
        <f t="shared" si="3"/>
        <v>22102.516800000001</v>
      </c>
      <c r="L26" s="65"/>
      <c r="M26" s="65">
        <f t="shared" si="1"/>
        <v>91120.276799999992</v>
      </c>
      <c r="N26" s="186"/>
      <c r="O26" s="66"/>
    </row>
    <row r="27" spans="1:15">
      <c r="A27" s="43">
        <v>23</v>
      </c>
      <c r="B27" s="212">
        <v>46227</v>
      </c>
      <c r="C27" s="64"/>
      <c r="D27" s="309"/>
      <c r="E27" s="14">
        <v>188.55</v>
      </c>
      <c r="F27" s="14">
        <v>105.21</v>
      </c>
      <c r="G27" s="8">
        <f t="shared" si="0"/>
        <v>19837.345499999999</v>
      </c>
      <c r="H27" s="62">
        <v>5</v>
      </c>
      <c r="I27" s="63">
        <v>117.58</v>
      </c>
      <c r="J27" s="8">
        <f t="shared" si="2"/>
        <v>587.9</v>
      </c>
      <c r="K27" s="8">
        <f t="shared" si="3"/>
        <v>20425.245500000001</v>
      </c>
      <c r="L27" s="65"/>
      <c r="M27" s="65">
        <f t="shared" si="1"/>
        <v>111545.5223</v>
      </c>
      <c r="N27" s="186"/>
      <c r="O27" s="66"/>
    </row>
    <row r="28" spans="1:15">
      <c r="A28" s="43">
        <v>24</v>
      </c>
      <c r="B28" s="212">
        <v>46228</v>
      </c>
      <c r="C28" s="64"/>
      <c r="D28" s="309"/>
      <c r="E28" s="14">
        <v>113</v>
      </c>
      <c r="F28" s="14">
        <v>105.21</v>
      </c>
      <c r="G28" s="8">
        <f t="shared" si="0"/>
        <v>11888.73</v>
      </c>
      <c r="H28" s="62">
        <v>5</v>
      </c>
      <c r="I28" s="63">
        <v>117.58</v>
      </c>
      <c r="J28" s="8">
        <f t="shared" si="2"/>
        <v>587.9</v>
      </c>
      <c r="K28" s="8">
        <f t="shared" si="3"/>
        <v>12476.63</v>
      </c>
      <c r="L28" s="65"/>
      <c r="M28" s="65">
        <f t="shared" si="1"/>
        <v>124022.1523</v>
      </c>
      <c r="N28" s="186"/>
      <c r="O28" s="66"/>
    </row>
    <row r="29" spans="1:15">
      <c r="A29" s="214">
        <v>25</v>
      </c>
      <c r="B29" s="212">
        <v>46229</v>
      </c>
      <c r="C29" s="64"/>
      <c r="D29" s="309"/>
      <c r="E29" s="14">
        <v>245</v>
      </c>
      <c r="F29" s="14">
        <v>105.21</v>
      </c>
      <c r="G29" s="8">
        <f t="shared" si="0"/>
        <v>25776.449999999997</v>
      </c>
      <c r="H29" s="62"/>
      <c r="I29" s="63"/>
      <c r="J29" s="8">
        <f t="shared" si="2"/>
        <v>0</v>
      </c>
      <c r="K29" s="8">
        <f t="shared" si="3"/>
        <v>25776.449999999997</v>
      </c>
      <c r="L29" s="65"/>
      <c r="M29" s="65">
        <f t="shared" si="1"/>
        <v>149798.6023</v>
      </c>
      <c r="N29" s="186"/>
      <c r="O29" s="66"/>
    </row>
    <row r="30" spans="1:15">
      <c r="A30" s="214"/>
      <c r="B30" s="212">
        <v>46230</v>
      </c>
      <c r="C30" s="64"/>
      <c r="D30" s="309"/>
      <c r="E30" s="14">
        <v>220</v>
      </c>
      <c r="F30" s="14">
        <v>105.21</v>
      </c>
      <c r="G30" s="8">
        <f t="shared" si="0"/>
        <v>23146.199999999997</v>
      </c>
      <c r="H30" s="62">
        <v>10</v>
      </c>
      <c r="I30" s="63">
        <v>117.58</v>
      </c>
      <c r="J30" s="8">
        <f t="shared" si="2"/>
        <v>1175.8</v>
      </c>
      <c r="K30" s="8">
        <f t="shared" si="3"/>
        <v>24321.999999999996</v>
      </c>
      <c r="L30" s="65"/>
      <c r="M30" s="65">
        <f t="shared" si="1"/>
        <v>174120.6023</v>
      </c>
      <c r="N30" s="186"/>
      <c r="O30" s="66"/>
    </row>
    <row r="31" spans="1:15">
      <c r="A31" s="214">
        <v>26</v>
      </c>
      <c r="B31" s="212">
        <v>46231</v>
      </c>
      <c r="C31" s="64"/>
      <c r="D31" s="152"/>
      <c r="E31" s="14">
        <v>186</v>
      </c>
      <c r="F31" s="14">
        <v>105.21</v>
      </c>
      <c r="G31" s="16">
        <f t="shared" si="0"/>
        <v>19569.059999999998</v>
      </c>
      <c r="H31" s="62"/>
      <c r="I31" s="63"/>
      <c r="J31" s="16">
        <f t="shared" si="2"/>
        <v>0</v>
      </c>
      <c r="K31" s="16">
        <f t="shared" si="3"/>
        <v>19569.059999999998</v>
      </c>
      <c r="L31" s="65"/>
      <c r="M31" s="65">
        <f t="shared" si="1"/>
        <v>193689.6623</v>
      </c>
      <c r="N31" s="8"/>
      <c r="O31" s="66"/>
    </row>
    <row r="32" spans="1:15">
      <c r="A32" s="214">
        <v>27</v>
      </c>
      <c r="B32" s="212">
        <v>46232</v>
      </c>
      <c r="C32" s="64"/>
      <c r="D32" s="152"/>
      <c r="E32" s="14">
        <v>15</v>
      </c>
      <c r="F32" s="14">
        <v>105.21</v>
      </c>
      <c r="G32" s="8">
        <f t="shared" si="0"/>
        <v>1578.1499999999999</v>
      </c>
      <c r="H32" s="62">
        <v>10</v>
      </c>
      <c r="I32" s="63">
        <v>117.58</v>
      </c>
      <c r="J32" s="8">
        <f t="shared" si="2"/>
        <v>1175.8</v>
      </c>
      <c r="K32" s="8">
        <f t="shared" si="3"/>
        <v>2753.95</v>
      </c>
      <c r="L32" s="65">
        <v>150000</v>
      </c>
      <c r="M32" s="65">
        <f t="shared" si="1"/>
        <v>46443.612300000008</v>
      </c>
      <c r="N32" s="8"/>
      <c r="O32" s="66"/>
    </row>
    <row r="33" spans="1:15">
      <c r="A33" s="214">
        <v>28</v>
      </c>
      <c r="B33" s="212">
        <v>46233</v>
      </c>
      <c r="C33" s="64"/>
      <c r="D33" s="152"/>
      <c r="E33" s="152">
        <v>279.5</v>
      </c>
      <c r="F33" s="14">
        <v>105.21</v>
      </c>
      <c r="G33" s="8">
        <f t="shared" si="0"/>
        <v>29406.195</v>
      </c>
      <c r="H33" s="62"/>
      <c r="I33" s="63"/>
      <c r="J33" s="8">
        <f t="shared" si="2"/>
        <v>0</v>
      </c>
      <c r="K33" s="8">
        <f t="shared" si="3"/>
        <v>29406.195</v>
      </c>
      <c r="L33" s="65"/>
      <c r="M33" s="65">
        <f t="shared" si="1"/>
        <v>75849.807300000015</v>
      </c>
      <c r="N33" s="8"/>
      <c r="O33" s="66"/>
    </row>
    <row r="34" spans="1:15">
      <c r="A34" s="215">
        <v>29</v>
      </c>
      <c r="B34" s="212">
        <v>46234</v>
      </c>
      <c r="C34" s="64"/>
      <c r="D34" s="152"/>
      <c r="E34" s="14">
        <v>149</v>
      </c>
      <c r="F34" s="14">
        <v>105.21</v>
      </c>
      <c r="G34" s="8">
        <f t="shared" si="0"/>
        <v>15676.289999999999</v>
      </c>
      <c r="H34" s="62">
        <v>7</v>
      </c>
      <c r="I34" s="63">
        <v>117.58</v>
      </c>
      <c r="J34" s="8">
        <f t="shared" si="2"/>
        <v>823.06</v>
      </c>
      <c r="K34" s="8">
        <f t="shared" si="3"/>
        <v>16499.349999999999</v>
      </c>
      <c r="L34" s="65"/>
      <c r="M34" s="65">
        <f t="shared" si="1"/>
        <v>92349.157300000021</v>
      </c>
      <c r="N34" s="8"/>
      <c r="O34" s="66"/>
    </row>
    <row r="35" spans="1:15">
      <c r="A35" s="215">
        <v>30</v>
      </c>
      <c r="B35" s="212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2"/>
        <v>0</v>
      </c>
      <c r="K35" s="8">
        <f t="shared" si="3"/>
        <v>0</v>
      </c>
      <c r="L35" s="65"/>
      <c r="M35" s="65">
        <f t="shared" si="1"/>
        <v>92349.157300000021</v>
      </c>
      <c r="N35" s="8"/>
      <c r="O35" s="66"/>
    </row>
    <row r="36" spans="1:15">
      <c r="A36" s="215">
        <v>31</v>
      </c>
      <c r="B36" s="212"/>
      <c r="C36" s="64"/>
      <c r="D36" s="152"/>
      <c r="E36" s="250"/>
      <c r="F36" s="14"/>
      <c r="G36" s="8">
        <f t="shared" si="0"/>
        <v>0</v>
      </c>
      <c r="H36" s="62"/>
      <c r="I36" s="63"/>
      <c r="J36" s="8">
        <f t="shared" si="2"/>
        <v>0</v>
      </c>
      <c r="K36" s="8">
        <f t="shared" si="3"/>
        <v>0</v>
      </c>
      <c r="L36" s="65"/>
      <c r="M36" s="65">
        <f t="shared" si="1"/>
        <v>92349.157300000021</v>
      </c>
      <c r="N36" s="8"/>
      <c r="O36" s="66"/>
    </row>
    <row r="37" spans="1:15">
      <c r="A37" s="59"/>
      <c r="B37" s="59"/>
      <c r="C37" s="59"/>
      <c r="D37" s="59"/>
      <c r="E37" s="251">
        <f>SUM(E4:E36)</f>
        <v>2262.13</v>
      </c>
      <c r="F37" s="251"/>
      <c r="G37" s="60">
        <f>SUM(G4:G36)</f>
        <v>237998.6973</v>
      </c>
      <c r="H37" s="60">
        <f>SUM(H4:H36)</f>
        <v>37</v>
      </c>
      <c r="I37" s="60"/>
      <c r="J37" s="60">
        <f>SUM(J4:J36)</f>
        <v>4350.4599999999991</v>
      </c>
      <c r="K37" s="60">
        <f>SUM(K4:K36)</f>
        <v>242349.15730000002</v>
      </c>
      <c r="L37" s="60">
        <f>SUM(L4:L36)</f>
        <v>150000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58"/>
      <c r="C45" s="558"/>
      <c r="D45" s="558"/>
      <c r="E45" s="558"/>
      <c r="F45" s="66"/>
      <c r="G45" s="66"/>
      <c r="H45" s="66"/>
      <c r="I45" s="558"/>
      <c r="J45" s="558"/>
      <c r="K45" s="558"/>
      <c r="L45" s="558"/>
      <c r="M45" s="558"/>
      <c r="N45" s="558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FAD2-7836-4B7B-A3FA-065AF83176ED}">
  <dimension ref="A1:R46"/>
  <sheetViews>
    <sheetView topLeftCell="A21" workbookViewId="0">
      <selection activeCell="M36" sqref="M36"/>
    </sheetView>
  </sheetViews>
  <sheetFormatPr defaultRowHeight="15"/>
  <cols>
    <col min="4" max="4" width="12.7109375" customWidth="1"/>
    <col min="11" max="11" width="13.5703125" bestFit="1" customWidth="1"/>
    <col min="12" max="12" width="20" customWidth="1"/>
    <col min="13" max="13" width="11.5703125" bestFit="1" customWidth="1"/>
  </cols>
  <sheetData>
    <row r="1" spans="1:18" ht="15.75">
      <c r="A1" s="539" t="s">
        <v>244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79"/>
    </row>
    <row r="2" spans="1:18" ht="30.75">
      <c r="A2" s="95" t="s">
        <v>0</v>
      </c>
      <c r="B2" s="96" t="s">
        <v>163</v>
      </c>
      <c r="C2" s="96" t="s">
        <v>164</v>
      </c>
      <c r="D2" s="96" t="s">
        <v>186</v>
      </c>
      <c r="E2" s="249" t="s">
        <v>166</v>
      </c>
      <c r="F2" s="249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135" t="s">
        <v>171</v>
      </c>
      <c r="M2" s="138" t="s">
        <v>187</v>
      </c>
      <c r="N2" s="98" t="s">
        <v>173</v>
      </c>
      <c r="O2" s="56"/>
    </row>
    <row r="3" spans="1:18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2"/>
      <c r="M3" s="143">
        <v>0</v>
      </c>
      <c r="N3" s="149"/>
      <c r="O3" s="56"/>
    </row>
    <row r="4" spans="1:18">
      <c r="A4" s="189">
        <v>1</v>
      </c>
      <c r="B4" s="212">
        <v>46204</v>
      </c>
      <c r="C4" s="64"/>
      <c r="D4" s="152"/>
      <c r="E4" s="250"/>
      <c r="F4" s="250"/>
      <c r="G4" s="8">
        <f t="shared" ref="G4:G36" si="0">E4*F4</f>
        <v>0</v>
      </c>
      <c r="H4" s="62"/>
      <c r="I4" s="63"/>
      <c r="J4" s="8">
        <f>H4*I4</f>
        <v>0</v>
      </c>
      <c r="K4" s="8">
        <v>0</v>
      </c>
      <c r="L4" s="65">
        <v>0</v>
      </c>
      <c r="M4" s="65">
        <f>M3+K4-L4</f>
        <v>0</v>
      </c>
      <c r="N4" s="149"/>
    </row>
    <row r="5" spans="1:18">
      <c r="A5" s="189">
        <v>2</v>
      </c>
      <c r="B5" s="212">
        <v>46205</v>
      </c>
      <c r="C5" s="64"/>
      <c r="D5" s="73"/>
      <c r="E5" s="250"/>
      <c r="F5" s="250"/>
      <c r="G5" s="8"/>
      <c r="H5" s="62"/>
      <c r="I5" s="63"/>
      <c r="J5" s="8">
        <f>H5*I5</f>
        <v>0</v>
      </c>
      <c r="K5" s="8">
        <f>G5+J5</f>
        <v>0</v>
      </c>
      <c r="L5" s="65">
        <f>+K5</f>
        <v>0</v>
      </c>
      <c r="M5" s="65">
        <f t="shared" ref="M5:M36" si="1">M4+K5-L5</f>
        <v>0</v>
      </c>
      <c r="N5" s="149"/>
    </row>
    <row r="6" spans="1:18">
      <c r="A6" s="43">
        <v>3</v>
      </c>
      <c r="B6" s="212">
        <v>46206</v>
      </c>
      <c r="C6" s="64"/>
      <c r="E6" s="250"/>
      <c r="F6" s="250"/>
      <c r="G6" s="8">
        <f t="shared" si="0"/>
        <v>0</v>
      </c>
      <c r="H6" s="62"/>
      <c r="I6" s="63"/>
      <c r="J6" s="8">
        <f t="shared" ref="J6:J36" si="2">H6*I6</f>
        <v>0</v>
      </c>
      <c r="K6" s="8">
        <f t="shared" ref="K6:K36" si="3">G6+J6</f>
        <v>0</v>
      </c>
      <c r="L6" s="65">
        <f t="shared" ref="L6:L36" si="4">+K6</f>
        <v>0</v>
      </c>
      <c r="M6" s="65">
        <f t="shared" si="1"/>
        <v>0</v>
      </c>
      <c r="N6" s="149"/>
    </row>
    <row r="7" spans="1:18">
      <c r="A7" s="189">
        <v>4</v>
      </c>
      <c r="B7" s="212">
        <v>46207</v>
      </c>
      <c r="C7" s="64"/>
      <c r="D7" s="152"/>
      <c r="E7" s="250"/>
      <c r="F7" s="250"/>
      <c r="G7" s="8">
        <f t="shared" si="0"/>
        <v>0</v>
      </c>
      <c r="H7" s="62"/>
      <c r="I7" s="63"/>
      <c r="J7" s="8">
        <f t="shared" si="2"/>
        <v>0</v>
      </c>
      <c r="K7" s="8">
        <f t="shared" si="3"/>
        <v>0</v>
      </c>
      <c r="L7" s="65">
        <f t="shared" si="4"/>
        <v>0</v>
      </c>
      <c r="M7" s="65">
        <f t="shared" si="1"/>
        <v>0</v>
      </c>
      <c r="N7" s="149"/>
    </row>
    <row r="8" spans="1:18">
      <c r="A8" s="189">
        <v>5</v>
      </c>
      <c r="B8" s="212">
        <v>46208</v>
      </c>
      <c r="C8" s="64"/>
      <c r="D8" s="152"/>
      <c r="E8" s="250"/>
      <c r="F8" s="250"/>
      <c r="G8" s="8">
        <f t="shared" si="0"/>
        <v>0</v>
      </c>
      <c r="H8" s="62"/>
      <c r="I8" s="63"/>
      <c r="J8" s="8">
        <f t="shared" si="2"/>
        <v>0</v>
      </c>
      <c r="K8" s="8">
        <f t="shared" si="3"/>
        <v>0</v>
      </c>
      <c r="L8" s="65">
        <f t="shared" si="4"/>
        <v>0</v>
      </c>
      <c r="M8" s="65">
        <f t="shared" si="1"/>
        <v>0</v>
      </c>
      <c r="N8" s="149"/>
    </row>
    <row r="9" spans="1:18">
      <c r="A9" s="43">
        <v>6</v>
      </c>
      <c r="B9" s="212">
        <v>46209</v>
      </c>
      <c r="C9" s="64"/>
      <c r="D9" s="152"/>
      <c r="E9" s="250"/>
      <c r="F9" s="250"/>
      <c r="G9" s="8">
        <f t="shared" si="0"/>
        <v>0</v>
      </c>
      <c r="H9" s="62"/>
      <c r="I9" s="63"/>
      <c r="J9" s="8">
        <f t="shared" si="2"/>
        <v>0</v>
      </c>
      <c r="K9" s="8">
        <f t="shared" si="3"/>
        <v>0</v>
      </c>
      <c r="L9" s="65">
        <f t="shared" si="4"/>
        <v>0</v>
      </c>
      <c r="M9" s="65">
        <f t="shared" si="1"/>
        <v>0</v>
      </c>
      <c r="N9" s="149"/>
      <c r="O9" s="66"/>
      <c r="R9" s="218"/>
    </row>
    <row r="10" spans="1:18">
      <c r="A10" s="189">
        <v>7</v>
      </c>
      <c r="B10" s="212">
        <v>46210</v>
      </c>
      <c r="C10" s="64"/>
      <c r="D10" s="152"/>
      <c r="E10" s="250"/>
      <c r="F10" s="250"/>
      <c r="G10" s="8">
        <f t="shared" si="0"/>
        <v>0</v>
      </c>
      <c r="H10" s="62"/>
      <c r="I10" s="63"/>
      <c r="J10" s="8">
        <f t="shared" si="2"/>
        <v>0</v>
      </c>
      <c r="K10" s="8">
        <f t="shared" si="3"/>
        <v>0</v>
      </c>
      <c r="L10" s="65">
        <f t="shared" si="4"/>
        <v>0</v>
      </c>
      <c r="M10" s="65">
        <f t="shared" si="1"/>
        <v>0</v>
      </c>
      <c r="N10" s="149"/>
      <c r="O10" s="66"/>
    </row>
    <row r="11" spans="1:18">
      <c r="A11" s="189">
        <v>8</v>
      </c>
      <c r="B11" s="212">
        <v>46211</v>
      </c>
      <c r="C11" s="64"/>
      <c r="D11" s="152"/>
      <c r="E11" s="250"/>
      <c r="F11" s="250"/>
      <c r="G11" s="8">
        <f t="shared" si="0"/>
        <v>0</v>
      </c>
      <c r="H11" s="62"/>
      <c r="I11" s="63"/>
      <c r="J11" s="8">
        <f t="shared" si="2"/>
        <v>0</v>
      </c>
      <c r="K11" s="8">
        <f t="shared" si="3"/>
        <v>0</v>
      </c>
      <c r="L11" s="65">
        <f t="shared" si="4"/>
        <v>0</v>
      </c>
      <c r="M11" s="65">
        <f t="shared" si="1"/>
        <v>0</v>
      </c>
      <c r="N11" s="149"/>
      <c r="O11" s="66"/>
    </row>
    <row r="12" spans="1:18">
      <c r="A12" s="43">
        <v>9</v>
      </c>
      <c r="B12" s="212">
        <v>46212</v>
      </c>
      <c r="C12" s="64"/>
      <c r="D12" s="152"/>
      <c r="E12" s="250"/>
      <c r="F12" s="250"/>
      <c r="G12" s="8">
        <f t="shared" si="0"/>
        <v>0</v>
      </c>
      <c r="H12" s="62"/>
      <c r="I12" s="63"/>
      <c r="J12" s="8">
        <f t="shared" si="2"/>
        <v>0</v>
      </c>
      <c r="K12" s="8">
        <f t="shared" si="3"/>
        <v>0</v>
      </c>
      <c r="L12" s="65">
        <f t="shared" si="4"/>
        <v>0</v>
      </c>
      <c r="M12" s="65">
        <f t="shared" si="1"/>
        <v>0</v>
      </c>
      <c r="N12" s="149"/>
      <c r="O12" s="66"/>
    </row>
    <row r="13" spans="1:18">
      <c r="A13" s="189">
        <v>10</v>
      </c>
      <c r="B13" s="212">
        <v>46213</v>
      </c>
      <c r="C13" s="64"/>
      <c r="D13" s="152"/>
      <c r="E13" s="250"/>
      <c r="F13" s="250"/>
      <c r="G13" s="8">
        <f t="shared" si="0"/>
        <v>0</v>
      </c>
      <c r="H13" s="62"/>
      <c r="I13" s="63"/>
      <c r="J13" s="8">
        <f t="shared" si="2"/>
        <v>0</v>
      </c>
      <c r="K13" s="8">
        <f t="shared" si="3"/>
        <v>0</v>
      </c>
      <c r="L13" s="65">
        <f t="shared" si="4"/>
        <v>0</v>
      </c>
      <c r="M13" s="65">
        <f t="shared" si="1"/>
        <v>0</v>
      </c>
      <c r="N13" s="149"/>
      <c r="O13" s="66"/>
    </row>
    <row r="14" spans="1:18">
      <c r="A14" s="189">
        <v>11</v>
      </c>
      <c r="B14" s="212">
        <v>46214</v>
      </c>
      <c r="C14" s="64"/>
      <c r="D14" s="152"/>
      <c r="E14" s="250"/>
      <c r="F14" s="250"/>
      <c r="G14" s="8">
        <f t="shared" si="0"/>
        <v>0</v>
      </c>
      <c r="H14" s="62"/>
      <c r="I14" s="63"/>
      <c r="J14" s="8">
        <f t="shared" si="2"/>
        <v>0</v>
      </c>
      <c r="K14" s="8">
        <f t="shared" si="3"/>
        <v>0</v>
      </c>
      <c r="L14" s="65">
        <f t="shared" si="4"/>
        <v>0</v>
      </c>
      <c r="M14" s="65">
        <f t="shared" si="1"/>
        <v>0</v>
      </c>
      <c r="N14" s="149"/>
      <c r="O14" s="66"/>
    </row>
    <row r="15" spans="1:18">
      <c r="A15" s="43">
        <v>12</v>
      </c>
      <c r="B15" s="212">
        <v>46215</v>
      </c>
      <c r="C15" s="64"/>
      <c r="D15" s="152"/>
      <c r="E15" s="250"/>
      <c r="F15" s="250"/>
      <c r="G15" s="8">
        <f t="shared" si="0"/>
        <v>0</v>
      </c>
      <c r="H15" s="62"/>
      <c r="I15" s="63"/>
      <c r="J15" s="8">
        <f t="shared" si="2"/>
        <v>0</v>
      </c>
      <c r="K15" s="8">
        <f>G15+J15</f>
        <v>0</v>
      </c>
      <c r="L15" s="65">
        <f>+K15</f>
        <v>0</v>
      </c>
      <c r="M15" s="65">
        <f t="shared" si="1"/>
        <v>0</v>
      </c>
      <c r="N15" s="149"/>
      <c r="O15" s="66"/>
    </row>
    <row r="16" spans="1:18">
      <c r="A16" s="189">
        <v>13</v>
      </c>
      <c r="B16" s="212">
        <v>46216</v>
      </c>
      <c r="C16" s="64"/>
      <c r="D16" s="152"/>
      <c r="E16" s="250"/>
      <c r="F16" s="250"/>
      <c r="G16" s="8">
        <f t="shared" si="0"/>
        <v>0</v>
      </c>
      <c r="H16" s="62"/>
      <c r="I16" s="63"/>
      <c r="J16" s="8">
        <f t="shared" si="2"/>
        <v>0</v>
      </c>
      <c r="K16" s="8">
        <f t="shared" si="3"/>
        <v>0</v>
      </c>
      <c r="L16" s="65">
        <f t="shared" si="4"/>
        <v>0</v>
      </c>
      <c r="M16" s="65">
        <f t="shared" si="1"/>
        <v>0</v>
      </c>
      <c r="N16" s="8"/>
      <c r="O16" s="66"/>
    </row>
    <row r="17" spans="1:15">
      <c r="A17" s="189">
        <v>14</v>
      </c>
      <c r="B17" s="212">
        <v>46217</v>
      </c>
      <c r="C17" s="64"/>
      <c r="D17" s="152"/>
      <c r="E17" s="250"/>
      <c r="F17" s="250"/>
      <c r="G17" s="8">
        <f t="shared" si="0"/>
        <v>0</v>
      </c>
      <c r="H17" s="62"/>
      <c r="I17" s="63"/>
      <c r="J17" s="8">
        <f t="shared" si="2"/>
        <v>0</v>
      </c>
      <c r="K17" s="8">
        <f t="shared" si="3"/>
        <v>0</v>
      </c>
      <c r="L17" s="65">
        <f t="shared" si="4"/>
        <v>0</v>
      </c>
      <c r="M17" s="65">
        <f t="shared" si="1"/>
        <v>0</v>
      </c>
      <c r="N17" s="8"/>
      <c r="O17" s="66"/>
    </row>
    <row r="18" spans="1:15">
      <c r="A18" s="43">
        <v>15</v>
      </c>
      <c r="B18" s="212">
        <v>46218</v>
      </c>
      <c r="C18" s="64"/>
      <c r="D18" s="152"/>
      <c r="E18" s="250"/>
      <c r="F18" s="250"/>
      <c r="G18" s="8">
        <f t="shared" si="0"/>
        <v>0</v>
      </c>
      <c r="H18" s="62"/>
      <c r="I18" s="63"/>
      <c r="J18" s="8">
        <f t="shared" si="2"/>
        <v>0</v>
      </c>
      <c r="K18" s="8">
        <f t="shared" si="3"/>
        <v>0</v>
      </c>
      <c r="L18" s="65">
        <f t="shared" si="4"/>
        <v>0</v>
      </c>
      <c r="M18" s="65">
        <f t="shared" si="1"/>
        <v>0</v>
      </c>
      <c r="N18" s="8"/>
      <c r="O18" s="66"/>
    </row>
    <row r="19" spans="1:15">
      <c r="A19" s="189">
        <v>16</v>
      </c>
      <c r="B19" s="212">
        <v>46219</v>
      </c>
      <c r="C19" s="64"/>
      <c r="D19" s="152"/>
      <c r="E19" s="310"/>
      <c r="F19" s="310"/>
      <c r="G19" s="175">
        <f t="shared" si="0"/>
        <v>0</v>
      </c>
      <c r="H19" s="62"/>
      <c r="I19" s="63"/>
      <c r="J19" s="175">
        <f t="shared" si="2"/>
        <v>0</v>
      </c>
      <c r="K19" s="175">
        <f t="shared" si="3"/>
        <v>0</v>
      </c>
      <c r="L19" s="311">
        <f t="shared" si="4"/>
        <v>0</v>
      </c>
      <c r="M19" s="65">
        <f t="shared" si="1"/>
        <v>0</v>
      </c>
      <c r="N19" s="8"/>
      <c r="O19" s="66"/>
    </row>
    <row r="20" spans="1:15">
      <c r="A20" s="189">
        <v>17</v>
      </c>
      <c r="B20" s="212">
        <v>46220</v>
      </c>
      <c r="C20" s="64"/>
      <c r="D20" s="309"/>
      <c r="E20" s="250"/>
      <c r="F20" s="250"/>
      <c r="G20" s="8">
        <f t="shared" si="0"/>
        <v>0</v>
      </c>
      <c r="H20" s="62"/>
      <c r="I20" s="63"/>
      <c r="J20" s="8">
        <f t="shared" si="2"/>
        <v>0</v>
      </c>
      <c r="K20" s="8">
        <f t="shared" si="3"/>
        <v>0</v>
      </c>
      <c r="L20" s="65">
        <f>+K20</f>
        <v>0</v>
      </c>
      <c r="M20" s="65">
        <f t="shared" si="1"/>
        <v>0</v>
      </c>
      <c r="N20" s="186"/>
      <c r="O20" s="66"/>
    </row>
    <row r="21" spans="1:15">
      <c r="A21" s="43">
        <v>18</v>
      </c>
      <c r="B21" s="212">
        <v>46221</v>
      </c>
      <c r="C21" s="64"/>
      <c r="D21" s="309"/>
      <c r="E21" s="250"/>
      <c r="F21" s="250"/>
      <c r="G21" s="8">
        <f t="shared" si="0"/>
        <v>0</v>
      </c>
      <c r="H21" s="62"/>
      <c r="I21" s="63"/>
      <c r="J21" s="8">
        <f t="shared" si="2"/>
        <v>0</v>
      </c>
      <c r="K21" s="8">
        <f t="shared" si="3"/>
        <v>0</v>
      </c>
      <c r="L21" s="65">
        <f t="shared" si="4"/>
        <v>0</v>
      </c>
      <c r="M21" s="65">
        <f t="shared" si="1"/>
        <v>0</v>
      </c>
      <c r="N21" s="186"/>
      <c r="O21" s="66"/>
    </row>
    <row r="22" spans="1:15">
      <c r="A22" s="189">
        <v>19</v>
      </c>
      <c r="B22" s="212">
        <v>46222</v>
      </c>
      <c r="C22" s="64"/>
      <c r="D22" s="309"/>
      <c r="E22" s="14"/>
      <c r="F22" s="14"/>
      <c r="G22" s="8">
        <f t="shared" si="0"/>
        <v>0</v>
      </c>
      <c r="H22" s="62"/>
      <c r="I22" s="63"/>
      <c r="J22" s="8">
        <f t="shared" si="2"/>
        <v>0</v>
      </c>
      <c r="K22" s="8">
        <f t="shared" si="3"/>
        <v>0</v>
      </c>
      <c r="L22" s="65">
        <f t="shared" si="4"/>
        <v>0</v>
      </c>
      <c r="M22" s="65">
        <f t="shared" si="1"/>
        <v>0</v>
      </c>
      <c r="N22" s="186"/>
      <c r="O22" s="66"/>
    </row>
    <row r="23" spans="1:15">
      <c r="A23" s="189">
        <v>20</v>
      </c>
      <c r="B23" s="212">
        <v>46223</v>
      </c>
      <c r="C23" s="64"/>
      <c r="D23" s="309"/>
      <c r="E23" s="14"/>
      <c r="F23" s="14"/>
      <c r="G23" s="8">
        <f t="shared" si="0"/>
        <v>0</v>
      </c>
      <c r="H23" s="62"/>
      <c r="I23" s="63"/>
      <c r="J23" s="8">
        <f t="shared" si="2"/>
        <v>0</v>
      </c>
      <c r="K23" s="8">
        <f t="shared" si="3"/>
        <v>0</v>
      </c>
      <c r="L23" s="65">
        <f t="shared" si="4"/>
        <v>0</v>
      </c>
      <c r="M23" s="65">
        <f t="shared" si="1"/>
        <v>0</v>
      </c>
      <c r="N23" s="186"/>
      <c r="O23" s="66"/>
    </row>
    <row r="24" spans="1:15">
      <c r="A24" s="43">
        <v>21</v>
      </c>
      <c r="B24" s="212">
        <v>46224</v>
      </c>
      <c r="C24" s="64"/>
      <c r="D24" s="309"/>
      <c r="E24" s="14">
        <v>40</v>
      </c>
      <c r="F24" s="14">
        <v>105.46</v>
      </c>
      <c r="G24" s="8">
        <f t="shared" si="0"/>
        <v>4218.3999999999996</v>
      </c>
      <c r="H24" s="62">
        <v>5</v>
      </c>
      <c r="I24" s="63">
        <v>117.84</v>
      </c>
      <c r="J24" s="8">
        <f t="shared" si="2"/>
        <v>589.20000000000005</v>
      </c>
      <c r="K24" s="8">
        <f t="shared" si="3"/>
        <v>4807.5999999999995</v>
      </c>
      <c r="L24" s="65">
        <v>0</v>
      </c>
      <c r="M24" s="65">
        <f t="shared" si="1"/>
        <v>4807.5999999999995</v>
      </c>
      <c r="N24" s="186"/>
      <c r="O24" s="66"/>
    </row>
    <row r="25" spans="1:15">
      <c r="A25" s="189">
        <v>22</v>
      </c>
      <c r="B25" s="212">
        <v>46225</v>
      </c>
      <c r="C25" s="64"/>
      <c r="D25" s="309"/>
      <c r="E25" s="14"/>
      <c r="F25" s="14"/>
      <c r="G25" s="8">
        <f t="shared" si="0"/>
        <v>0</v>
      </c>
      <c r="H25" s="62"/>
      <c r="I25" s="63"/>
      <c r="J25" s="8">
        <f t="shared" si="2"/>
        <v>0</v>
      </c>
      <c r="K25" s="8">
        <f t="shared" si="3"/>
        <v>0</v>
      </c>
      <c r="L25" s="65">
        <v>0</v>
      </c>
      <c r="M25" s="65">
        <f t="shared" si="1"/>
        <v>4807.5999999999995</v>
      </c>
      <c r="N25" s="186"/>
      <c r="O25" s="66"/>
    </row>
    <row r="26" spans="1:15">
      <c r="A26" s="189">
        <v>23</v>
      </c>
      <c r="B26" s="212">
        <v>46226</v>
      </c>
      <c r="C26" s="64"/>
      <c r="D26" s="309"/>
      <c r="E26" s="14">
        <v>30</v>
      </c>
      <c r="F26" s="14">
        <v>105.46</v>
      </c>
      <c r="G26" s="8">
        <f t="shared" si="0"/>
        <v>3163.7999999999997</v>
      </c>
      <c r="H26" s="62"/>
      <c r="I26" s="63"/>
      <c r="J26" s="8">
        <f t="shared" si="2"/>
        <v>0</v>
      </c>
      <c r="K26" s="8">
        <f t="shared" si="3"/>
        <v>3163.7999999999997</v>
      </c>
      <c r="L26" s="65">
        <v>0</v>
      </c>
      <c r="M26" s="65">
        <f t="shared" si="1"/>
        <v>7971.4</v>
      </c>
      <c r="N26" s="186"/>
      <c r="O26" s="66"/>
    </row>
    <row r="27" spans="1:15">
      <c r="A27" s="43">
        <v>24</v>
      </c>
      <c r="B27" s="212">
        <v>46227</v>
      </c>
      <c r="C27" s="64"/>
      <c r="D27" s="309"/>
      <c r="E27" s="14"/>
      <c r="F27" s="14"/>
      <c r="G27" s="8">
        <f t="shared" si="0"/>
        <v>0</v>
      </c>
      <c r="H27" s="62"/>
      <c r="I27" s="63"/>
      <c r="J27" s="8">
        <f t="shared" si="2"/>
        <v>0</v>
      </c>
      <c r="K27" s="8">
        <f t="shared" si="3"/>
        <v>0</v>
      </c>
      <c r="L27" s="65">
        <v>0</v>
      </c>
      <c r="M27" s="65">
        <f t="shared" si="1"/>
        <v>7971.4</v>
      </c>
      <c r="N27" s="186"/>
      <c r="O27" s="66"/>
    </row>
    <row r="28" spans="1:15">
      <c r="A28" s="189">
        <v>25</v>
      </c>
      <c r="B28" s="212">
        <v>46228</v>
      </c>
      <c r="C28" s="64"/>
      <c r="D28" s="309"/>
      <c r="E28" s="14"/>
      <c r="F28" s="14"/>
      <c r="G28" s="8">
        <f t="shared" si="0"/>
        <v>0</v>
      </c>
      <c r="H28" s="62"/>
      <c r="I28" s="63"/>
      <c r="J28" s="8">
        <f t="shared" si="2"/>
        <v>0</v>
      </c>
      <c r="K28" s="8">
        <f t="shared" si="3"/>
        <v>0</v>
      </c>
      <c r="L28" s="65">
        <v>0</v>
      </c>
      <c r="M28" s="65">
        <f t="shared" si="1"/>
        <v>7971.4</v>
      </c>
      <c r="N28" s="186"/>
      <c r="O28" s="66"/>
    </row>
    <row r="29" spans="1:15">
      <c r="A29" s="189">
        <v>26</v>
      </c>
      <c r="B29" s="212">
        <v>46229</v>
      </c>
      <c r="C29" s="64"/>
      <c r="D29" s="309"/>
      <c r="E29" s="14">
        <v>40</v>
      </c>
      <c r="F29" s="14">
        <v>105.46</v>
      </c>
      <c r="G29" s="8">
        <f t="shared" si="0"/>
        <v>4218.3999999999996</v>
      </c>
      <c r="H29" s="62">
        <v>5</v>
      </c>
      <c r="I29" s="63">
        <v>117.84</v>
      </c>
      <c r="J29" s="8">
        <f t="shared" si="2"/>
        <v>589.20000000000005</v>
      </c>
      <c r="K29" s="8">
        <f t="shared" si="3"/>
        <v>4807.5999999999995</v>
      </c>
      <c r="L29" s="65">
        <v>0</v>
      </c>
      <c r="M29" s="65">
        <f t="shared" si="1"/>
        <v>12779</v>
      </c>
      <c r="N29" s="186"/>
      <c r="O29" s="66"/>
    </row>
    <row r="30" spans="1:15">
      <c r="A30" s="43">
        <v>27</v>
      </c>
      <c r="B30" s="212">
        <v>46230</v>
      </c>
      <c r="C30" s="64"/>
      <c r="D30" s="309"/>
      <c r="E30" s="14"/>
      <c r="F30" s="14"/>
      <c r="G30" s="16"/>
      <c r="H30" s="62"/>
      <c r="I30" s="63"/>
      <c r="J30" s="8">
        <f t="shared" si="2"/>
        <v>0</v>
      </c>
      <c r="K30" s="8">
        <f t="shared" si="3"/>
        <v>0</v>
      </c>
      <c r="L30" s="65">
        <v>0</v>
      </c>
      <c r="M30" s="65">
        <f t="shared" si="1"/>
        <v>12779</v>
      </c>
      <c r="N30" s="186"/>
      <c r="O30" s="66"/>
    </row>
    <row r="31" spans="1:15">
      <c r="A31" s="189">
        <v>28</v>
      </c>
      <c r="B31" s="212">
        <v>46231</v>
      </c>
      <c r="C31" s="64"/>
      <c r="D31" s="152"/>
      <c r="E31" s="14"/>
      <c r="F31" s="14"/>
      <c r="G31" s="16">
        <f t="shared" si="0"/>
        <v>0</v>
      </c>
      <c r="H31" s="62"/>
      <c r="I31" s="63"/>
      <c r="J31" s="16">
        <f t="shared" si="2"/>
        <v>0</v>
      </c>
      <c r="K31" s="16">
        <f t="shared" si="3"/>
        <v>0</v>
      </c>
      <c r="L31" s="126">
        <f t="shared" si="4"/>
        <v>0</v>
      </c>
      <c r="M31" s="65">
        <f t="shared" si="1"/>
        <v>12779</v>
      </c>
      <c r="N31" s="8"/>
      <c r="O31" s="66"/>
    </row>
    <row r="32" spans="1:15">
      <c r="A32" s="189">
        <v>29</v>
      </c>
      <c r="B32" s="212">
        <v>46232</v>
      </c>
      <c r="C32" s="64"/>
      <c r="D32" s="152"/>
      <c r="E32" s="14"/>
      <c r="F32" s="14"/>
      <c r="G32" s="8">
        <f t="shared" si="0"/>
        <v>0</v>
      </c>
      <c r="H32" s="62"/>
      <c r="I32" s="63"/>
      <c r="J32" s="8">
        <f t="shared" si="2"/>
        <v>0</v>
      </c>
      <c r="K32" s="8">
        <f t="shared" si="3"/>
        <v>0</v>
      </c>
      <c r="L32" s="65">
        <f t="shared" si="4"/>
        <v>0</v>
      </c>
      <c r="M32" s="65">
        <f t="shared" si="1"/>
        <v>12779</v>
      </c>
      <c r="N32" s="8"/>
      <c r="O32" s="66"/>
    </row>
    <row r="33" spans="1:15">
      <c r="A33" s="43">
        <v>30</v>
      </c>
      <c r="B33" s="212">
        <v>46233</v>
      </c>
      <c r="C33" s="64"/>
      <c r="D33" s="152"/>
      <c r="E33" s="152">
        <v>60</v>
      </c>
      <c r="F33" s="14">
        <v>105.46</v>
      </c>
      <c r="G33" s="8">
        <f t="shared" si="0"/>
        <v>6327.5999999999995</v>
      </c>
      <c r="H33" s="62"/>
      <c r="I33" s="63"/>
      <c r="J33" s="8">
        <f t="shared" si="2"/>
        <v>0</v>
      </c>
      <c r="K33" s="8">
        <f t="shared" si="3"/>
        <v>6327.5999999999995</v>
      </c>
      <c r="L33" s="65">
        <v>0</v>
      </c>
      <c r="M33" s="65">
        <f t="shared" si="1"/>
        <v>19106.599999999999</v>
      </c>
      <c r="N33" s="8"/>
      <c r="O33" s="66"/>
    </row>
    <row r="34" spans="1:15">
      <c r="A34" s="189">
        <v>31</v>
      </c>
      <c r="B34" s="212">
        <v>46234</v>
      </c>
      <c r="C34" s="64"/>
      <c r="D34" s="152"/>
      <c r="E34" s="14"/>
      <c r="F34" s="14"/>
      <c r="G34" s="8">
        <f t="shared" si="0"/>
        <v>0</v>
      </c>
      <c r="H34" s="62"/>
      <c r="I34" s="63"/>
      <c r="J34" s="8">
        <f t="shared" si="2"/>
        <v>0</v>
      </c>
      <c r="K34" s="8">
        <f t="shared" si="3"/>
        <v>0</v>
      </c>
      <c r="L34" s="65">
        <f t="shared" si="4"/>
        <v>0</v>
      </c>
      <c r="M34" s="65">
        <f t="shared" si="1"/>
        <v>19106.599999999999</v>
      </c>
      <c r="N34" s="8"/>
      <c r="O34" s="66"/>
    </row>
    <row r="35" spans="1:15">
      <c r="A35" s="189">
        <v>32</v>
      </c>
      <c r="B35" s="212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2"/>
        <v>0</v>
      </c>
      <c r="K35" s="8">
        <f t="shared" si="3"/>
        <v>0</v>
      </c>
      <c r="L35" s="65">
        <f t="shared" si="4"/>
        <v>0</v>
      </c>
      <c r="M35" s="65">
        <f t="shared" si="1"/>
        <v>19106.599999999999</v>
      </c>
      <c r="N35" s="8"/>
      <c r="O35" s="66"/>
    </row>
    <row r="36" spans="1:15">
      <c r="A36" s="43">
        <v>33</v>
      </c>
      <c r="B36" s="212"/>
      <c r="C36" s="64"/>
      <c r="D36" s="152"/>
      <c r="E36" s="250"/>
      <c r="F36" s="14"/>
      <c r="G36" s="8">
        <f t="shared" si="0"/>
        <v>0</v>
      </c>
      <c r="H36" s="62"/>
      <c r="I36" s="63"/>
      <c r="J36" s="8">
        <f t="shared" si="2"/>
        <v>0</v>
      </c>
      <c r="K36" s="8">
        <f t="shared" si="3"/>
        <v>0</v>
      </c>
      <c r="L36" s="65">
        <f t="shared" si="4"/>
        <v>0</v>
      </c>
      <c r="M36" s="65">
        <f t="shared" si="1"/>
        <v>19106.599999999999</v>
      </c>
      <c r="N36" s="8"/>
      <c r="O36" s="66"/>
    </row>
    <row r="37" spans="1:15">
      <c r="A37" s="59"/>
      <c r="B37" s="59"/>
      <c r="C37" s="59"/>
      <c r="D37" s="59"/>
      <c r="E37" s="251">
        <f>SUM(E4:E36)</f>
        <v>170</v>
      </c>
      <c r="F37" s="251"/>
      <c r="G37" s="60">
        <f>SUM(G4:G36)</f>
        <v>17928.199999999997</v>
      </c>
      <c r="H37" s="60">
        <f>SUM(H4:H36)</f>
        <v>10</v>
      </c>
      <c r="I37" s="60"/>
      <c r="J37" s="60">
        <f>SUM(J4:J36)</f>
        <v>1178.4000000000001</v>
      </c>
      <c r="K37" s="60">
        <f>SUM(K4:K36)</f>
        <v>19106.599999999999</v>
      </c>
      <c r="L37" s="60">
        <f>SUM(L4:L36)</f>
        <v>0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58"/>
      <c r="C45" s="558"/>
      <c r="D45" s="558"/>
      <c r="E45" s="558"/>
      <c r="F45" s="66"/>
      <c r="G45" s="66"/>
      <c r="H45" s="66"/>
      <c r="I45" s="558"/>
      <c r="J45" s="558"/>
      <c r="K45" s="558"/>
      <c r="L45" s="558"/>
      <c r="M45" s="558"/>
      <c r="N45" s="558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6"/>
  <sheetViews>
    <sheetView workbookViewId="0">
      <selection sqref="A1:XFD1048576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539" t="s">
        <v>190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79"/>
    </row>
    <row r="2" spans="1:18" ht="30.75">
      <c r="A2" s="95" t="s">
        <v>0</v>
      </c>
      <c r="B2" s="96" t="s">
        <v>163</v>
      </c>
      <c r="C2" s="96" t="s">
        <v>164</v>
      </c>
      <c r="D2" s="96" t="s">
        <v>186</v>
      </c>
      <c r="E2" s="249" t="s">
        <v>166</v>
      </c>
      <c r="F2" s="249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135" t="s">
        <v>171</v>
      </c>
      <c r="M2" s="138" t="s">
        <v>187</v>
      </c>
      <c r="N2" s="98" t="s">
        <v>173</v>
      </c>
      <c r="O2" s="56"/>
    </row>
    <row r="3" spans="1:18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2"/>
      <c r="M3" s="143">
        <v>0</v>
      </c>
      <c r="N3" s="149"/>
      <c r="O3" s="56"/>
    </row>
    <row r="4" spans="1:18">
      <c r="A4" s="189">
        <v>1</v>
      </c>
      <c r="B4" s="212">
        <v>46204</v>
      </c>
      <c r="C4" s="64"/>
      <c r="D4" s="152"/>
      <c r="E4" s="250"/>
      <c r="F4" s="250"/>
      <c r="G4" s="8">
        <f t="shared" ref="G4:G36" si="0">E4*F4</f>
        <v>0</v>
      </c>
      <c r="H4" s="62"/>
      <c r="I4" s="63"/>
      <c r="J4" s="8">
        <f>H4*I4</f>
        <v>0</v>
      </c>
      <c r="K4" s="8">
        <f>G4+J4</f>
        <v>0</v>
      </c>
      <c r="L4" s="65">
        <f>+K4</f>
        <v>0</v>
      </c>
      <c r="M4" s="65">
        <v>0</v>
      </c>
      <c r="N4" s="8"/>
    </row>
    <row r="5" spans="1:18">
      <c r="A5" s="189"/>
      <c r="B5" s="212">
        <v>46205</v>
      </c>
      <c r="C5" s="64"/>
      <c r="D5" s="73"/>
      <c r="E5" s="250"/>
      <c r="F5" s="250"/>
      <c r="G5" s="8"/>
      <c r="H5" s="62"/>
      <c r="I5" s="63"/>
      <c r="J5" s="8">
        <f>H5*I5</f>
        <v>0</v>
      </c>
      <c r="K5" s="8">
        <f>G5+J5</f>
        <v>0</v>
      </c>
      <c r="L5" s="65">
        <f>+K5</f>
        <v>0</v>
      </c>
      <c r="M5" s="65"/>
      <c r="N5" s="175"/>
    </row>
    <row r="6" spans="1:18">
      <c r="A6" s="43">
        <v>2</v>
      </c>
      <c r="B6" s="212">
        <v>46206</v>
      </c>
      <c r="C6" s="64"/>
      <c r="E6" s="250"/>
      <c r="F6" s="250"/>
      <c r="G6" s="8">
        <f t="shared" si="0"/>
        <v>0</v>
      </c>
      <c r="H6" s="62"/>
      <c r="I6" s="63"/>
      <c r="J6" s="8">
        <f t="shared" ref="J6:J36" si="1">H6*I6</f>
        <v>0</v>
      </c>
      <c r="K6" s="8">
        <f t="shared" ref="K6:K36" si="2">G6+J6</f>
        <v>0</v>
      </c>
      <c r="L6" s="65">
        <f t="shared" ref="L6:L36" si="3">+K6</f>
        <v>0</v>
      </c>
      <c r="M6" s="65">
        <v>0</v>
      </c>
      <c r="N6" s="175" t="s">
        <v>245</v>
      </c>
    </row>
    <row r="7" spans="1:18">
      <c r="A7" s="43">
        <v>3</v>
      </c>
      <c r="B7" s="212">
        <v>46207</v>
      </c>
      <c r="C7" s="64"/>
      <c r="D7" s="152"/>
      <c r="E7" s="250"/>
      <c r="F7" s="250"/>
      <c r="G7" s="8">
        <f t="shared" si="0"/>
        <v>0</v>
      </c>
      <c r="H7" s="62"/>
      <c r="I7" s="63"/>
      <c r="J7" s="8">
        <f t="shared" si="1"/>
        <v>0</v>
      </c>
      <c r="K7" s="8">
        <f t="shared" si="2"/>
        <v>0</v>
      </c>
      <c r="L7" s="65">
        <f t="shared" si="3"/>
        <v>0</v>
      </c>
      <c r="M7" s="361">
        <v>0</v>
      </c>
      <c r="N7" s="14"/>
    </row>
    <row r="8" spans="1:18">
      <c r="A8" s="43">
        <v>4</v>
      </c>
      <c r="B8" s="212">
        <v>46208</v>
      </c>
      <c r="C8" s="64"/>
      <c r="D8" s="152"/>
      <c r="E8" s="250"/>
      <c r="F8" s="250"/>
      <c r="G8" s="8">
        <f t="shared" si="0"/>
        <v>0</v>
      </c>
      <c r="H8" s="62"/>
      <c r="I8" s="63"/>
      <c r="J8" s="8">
        <f t="shared" si="1"/>
        <v>0</v>
      </c>
      <c r="K8" s="8">
        <f t="shared" si="2"/>
        <v>0</v>
      </c>
      <c r="L8" s="65">
        <f t="shared" si="3"/>
        <v>0</v>
      </c>
      <c r="M8" s="361">
        <v>0</v>
      </c>
      <c r="N8" s="8"/>
    </row>
    <row r="9" spans="1:18">
      <c r="A9" s="43">
        <v>5</v>
      </c>
      <c r="B9" s="212">
        <v>46209</v>
      </c>
      <c r="C9" s="64"/>
      <c r="D9" s="152"/>
      <c r="E9" s="250"/>
      <c r="F9" s="250"/>
      <c r="G9" s="8">
        <f t="shared" si="0"/>
        <v>0</v>
      </c>
      <c r="H9" s="62"/>
      <c r="I9" s="63"/>
      <c r="J9" s="8">
        <f t="shared" si="1"/>
        <v>0</v>
      </c>
      <c r="K9" s="8">
        <f t="shared" si="2"/>
        <v>0</v>
      </c>
      <c r="L9" s="65">
        <f t="shared" si="3"/>
        <v>0</v>
      </c>
      <c r="M9" s="361">
        <v>0</v>
      </c>
      <c r="N9" s="8"/>
      <c r="O9" s="66"/>
      <c r="R9" s="218"/>
    </row>
    <row r="10" spans="1:18">
      <c r="A10" s="43">
        <v>6</v>
      </c>
      <c r="B10" s="212">
        <v>46210</v>
      </c>
      <c r="C10" s="64"/>
      <c r="D10" s="152"/>
      <c r="E10" s="250"/>
      <c r="F10" s="250"/>
      <c r="G10" s="8">
        <f t="shared" si="0"/>
        <v>0</v>
      </c>
      <c r="H10" s="62"/>
      <c r="I10" s="63"/>
      <c r="J10" s="8">
        <f t="shared" si="1"/>
        <v>0</v>
      </c>
      <c r="K10" s="8">
        <f t="shared" si="2"/>
        <v>0</v>
      </c>
      <c r="L10" s="65">
        <f t="shared" si="3"/>
        <v>0</v>
      </c>
      <c r="M10" s="65">
        <v>0</v>
      </c>
      <c r="N10" s="16" t="s">
        <v>177</v>
      </c>
      <c r="O10" s="66"/>
    </row>
    <row r="11" spans="1:18">
      <c r="A11" s="43">
        <v>7</v>
      </c>
      <c r="B11" s="212">
        <v>46211</v>
      </c>
      <c r="C11" s="64"/>
      <c r="D11" s="152"/>
      <c r="E11" s="250"/>
      <c r="F11" s="250"/>
      <c r="G11" s="8">
        <f t="shared" si="0"/>
        <v>0</v>
      </c>
      <c r="H11" s="62"/>
      <c r="I11" s="63"/>
      <c r="J11" s="8">
        <f t="shared" si="1"/>
        <v>0</v>
      </c>
      <c r="K11" s="8">
        <f t="shared" si="2"/>
        <v>0</v>
      </c>
      <c r="L11" s="65">
        <f t="shared" si="3"/>
        <v>0</v>
      </c>
      <c r="M11" s="65">
        <v>0</v>
      </c>
      <c r="N11" s="8"/>
      <c r="O11" s="66">
        <v>169.99</v>
      </c>
    </row>
    <row r="12" spans="1:18">
      <c r="A12" s="43">
        <v>8</v>
      </c>
      <c r="B12" s="212">
        <v>46212</v>
      </c>
      <c r="C12" s="64"/>
      <c r="D12" s="152"/>
      <c r="E12" s="250"/>
      <c r="F12" s="250"/>
      <c r="G12" s="8">
        <f t="shared" si="0"/>
        <v>0</v>
      </c>
      <c r="H12" s="62"/>
      <c r="I12" s="63"/>
      <c r="J12" s="8">
        <f t="shared" si="1"/>
        <v>0</v>
      </c>
      <c r="K12" s="8">
        <f t="shared" si="2"/>
        <v>0</v>
      </c>
      <c r="L12" s="65">
        <f t="shared" si="3"/>
        <v>0</v>
      </c>
      <c r="M12" s="65">
        <v>0</v>
      </c>
      <c r="N12" s="8"/>
      <c r="O12" s="66">
        <v>80</v>
      </c>
    </row>
    <row r="13" spans="1:18">
      <c r="A13" s="43">
        <v>9</v>
      </c>
      <c r="B13" s="212">
        <v>46213</v>
      </c>
      <c r="C13" s="64"/>
      <c r="D13" s="152"/>
      <c r="E13" s="250"/>
      <c r="F13" s="250"/>
      <c r="G13" s="8">
        <f t="shared" si="0"/>
        <v>0</v>
      </c>
      <c r="H13" s="62"/>
      <c r="I13" s="63"/>
      <c r="J13" s="8">
        <f t="shared" si="1"/>
        <v>0</v>
      </c>
      <c r="K13" s="8">
        <f t="shared" si="2"/>
        <v>0</v>
      </c>
      <c r="L13" s="65">
        <f t="shared" si="3"/>
        <v>0</v>
      </c>
      <c r="M13" s="65">
        <v>0</v>
      </c>
      <c r="N13" s="8"/>
      <c r="O13" s="66">
        <f>SUM(O11:O12)</f>
        <v>249.99</v>
      </c>
      <c r="P13">
        <v>97.76</v>
      </c>
      <c r="Q13">
        <f>O13*P13</f>
        <v>24439.022400000002</v>
      </c>
    </row>
    <row r="14" spans="1:18">
      <c r="A14" s="43">
        <v>10</v>
      </c>
      <c r="B14" s="212">
        <v>46214</v>
      </c>
      <c r="C14" s="64"/>
      <c r="D14" s="152"/>
      <c r="E14" s="250"/>
      <c r="F14" s="250"/>
      <c r="G14" s="8">
        <f t="shared" si="0"/>
        <v>0</v>
      </c>
      <c r="H14" s="62"/>
      <c r="I14" s="63"/>
      <c r="J14" s="8">
        <f t="shared" si="1"/>
        <v>0</v>
      </c>
      <c r="K14" s="8">
        <f t="shared" si="2"/>
        <v>0</v>
      </c>
      <c r="L14" s="65">
        <f t="shared" si="3"/>
        <v>0</v>
      </c>
      <c r="M14" s="65">
        <v>0</v>
      </c>
      <c r="N14" s="8"/>
      <c r="O14" s="66"/>
    </row>
    <row r="15" spans="1:18">
      <c r="A15" s="43">
        <v>11</v>
      </c>
      <c r="B15" s="212">
        <v>46215</v>
      </c>
      <c r="C15" s="64"/>
      <c r="D15" s="152"/>
      <c r="E15" s="250"/>
      <c r="F15" s="250"/>
      <c r="G15" s="8">
        <f t="shared" si="0"/>
        <v>0</v>
      </c>
      <c r="H15" s="62"/>
      <c r="I15" s="63"/>
      <c r="J15" s="8">
        <f t="shared" si="1"/>
        <v>0</v>
      </c>
      <c r="K15" s="8">
        <f>G15+J15</f>
        <v>0</v>
      </c>
      <c r="L15" s="65">
        <f>+K15</f>
        <v>0</v>
      </c>
      <c r="M15" s="65">
        <v>0</v>
      </c>
      <c r="N15" s="8"/>
      <c r="O15" s="66"/>
    </row>
    <row r="16" spans="1:18">
      <c r="A16" s="43">
        <v>12</v>
      </c>
      <c r="B16" s="212">
        <v>46216</v>
      </c>
      <c r="C16" s="64"/>
      <c r="D16" s="152"/>
      <c r="E16" s="250"/>
      <c r="F16" s="250"/>
      <c r="G16" s="8">
        <f t="shared" si="0"/>
        <v>0</v>
      </c>
      <c r="H16" s="62"/>
      <c r="I16" s="63"/>
      <c r="J16" s="8">
        <f t="shared" si="1"/>
        <v>0</v>
      </c>
      <c r="K16" s="8">
        <f t="shared" si="2"/>
        <v>0</v>
      </c>
      <c r="L16" s="65">
        <f t="shared" si="3"/>
        <v>0</v>
      </c>
      <c r="M16" s="65">
        <v>0</v>
      </c>
      <c r="N16" s="8"/>
      <c r="O16" s="66"/>
      <c r="P16">
        <v>7820.8</v>
      </c>
    </row>
    <row r="17" spans="1:16">
      <c r="A17" s="43">
        <v>13</v>
      </c>
      <c r="B17" s="212">
        <v>46217</v>
      </c>
      <c r="C17" s="64"/>
      <c r="D17" s="152"/>
      <c r="E17" s="250"/>
      <c r="F17" s="250"/>
      <c r="G17" s="8">
        <f t="shared" si="0"/>
        <v>0</v>
      </c>
      <c r="H17" s="62">
        <v>3.4</v>
      </c>
      <c r="I17" s="63">
        <v>117.46</v>
      </c>
      <c r="J17" s="8">
        <f t="shared" si="1"/>
        <v>399.36399999999998</v>
      </c>
      <c r="K17" s="8">
        <f t="shared" si="2"/>
        <v>399.36399999999998</v>
      </c>
      <c r="L17" s="65">
        <f t="shared" si="3"/>
        <v>399.36399999999998</v>
      </c>
      <c r="M17" s="65">
        <v>0</v>
      </c>
      <c r="N17" s="8"/>
      <c r="O17" s="66"/>
      <c r="P17">
        <v>16619.2</v>
      </c>
    </row>
    <row r="18" spans="1:16">
      <c r="A18" s="43">
        <v>14</v>
      </c>
      <c r="B18" s="212">
        <v>46218</v>
      </c>
      <c r="C18" s="64"/>
      <c r="D18" s="152"/>
      <c r="E18" s="250"/>
      <c r="F18" s="250"/>
      <c r="G18" s="8">
        <f t="shared" si="0"/>
        <v>0</v>
      </c>
      <c r="H18" s="62"/>
      <c r="I18" s="63"/>
      <c r="J18" s="8">
        <f t="shared" si="1"/>
        <v>0</v>
      </c>
      <c r="K18" s="8">
        <f t="shared" si="2"/>
        <v>0</v>
      </c>
      <c r="L18" s="65">
        <f t="shared" si="3"/>
        <v>0</v>
      </c>
      <c r="M18" s="65">
        <v>0</v>
      </c>
      <c r="N18" s="8"/>
      <c r="O18" s="66"/>
      <c r="P18">
        <f>SUM(P16:P17)</f>
        <v>24440</v>
      </c>
    </row>
    <row r="19" spans="1:16">
      <c r="A19" s="43">
        <v>15</v>
      </c>
      <c r="B19" s="212">
        <v>46219</v>
      </c>
      <c r="C19" s="64"/>
      <c r="D19" s="152"/>
      <c r="E19" s="310"/>
      <c r="F19" s="310"/>
      <c r="G19" s="175">
        <f t="shared" si="0"/>
        <v>0</v>
      </c>
      <c r="H19" s="62"/>
      <c r="I19" s="63"/>
      <c r="J19" s="175">
        <f t="shared" si="1"/>
        <v>0</v>
      </c>
      <c r="K19" s="175">
        <f t="shared" si="2"/>
        <v>0</v>
      </c>
      <c r="L19" s="311">
        <f t="shared" si="3"/>
        <v>0</v>
      </c>
      <c r="M19" s="311">
        <v>0</v>
      </c>
      <c r="N19" s="8"/>
      <c r="O19" s="66"/>
    </row>
    <row r="20" spans="1:16">
      <c r="A20" s="43">
        <v>16</v>
      </c>
      <c r="B20" s="212">
        <v>46220</v>
      </c>
      <c r="C20" s="64"/>
      <c r="D20" s="309"/>
      <c r="E20" s="250"/>
      <c r="F20" s="250"/>
      <c r="G20" s="8">
        <f t="shared" si="0"/>
        <v>0</v>
      </c>
      <c r="H20" s="62"/>
      <c r="I20" s="63"/>
      <c r="J20" s="8">
        <f t="shared" si="1"/>
        <v>0</v>
      </c>
      <c r="K20" s="8">
        <f t="shared" si="2"/>
        <v>0</v>
      </c>
      <c r="L20" s="65">
        <f>+K20</f>
        <v>0</v>
      </c>
      <c r="M20" s="65">
        <v>0</v>
      </c>
      <c r="N20" s="186"/>
      <c r="O20" s="66"/>
    </row>
    <row r="21" spans="1:16">
      <c r="A21" s="43">
        <v>17</v>
      </c>
      <c r="B21" s="212">
        <v>46221</v>
      </c>
      <c r="C21" s="64"/>
      <c r="D21" s="309"/>
      <c r="E21" s="250"/>
      <c r="F21" s="250"/>
      <c r="G21" s="8">
        <f t="shared" si="0"/>
        <v>0</v>
      </c>
      <c r="H21" s="62"/>
      <c r="I21" s="63"/>
      <c r="J21" s="8">
        <f t="shared" si="1"/>
        <v>0</v>
      </c>
      <c r="K21" s="8">
        <f t="shared" si="2"/>
        <v>0</v>
      </c>
      <c r="L21" s="65">
        <f t="shared" si="3"/>
        <v>0</v>
      </c>
      <c r="M21" s="65">
        <v>0</v>
      </c>
      <c r="N21" s="186"/>
      <c r="O21" s="66"/>
    </row>
    <row r="22" spans="1:16">
      <c r="A22" s="43">
        <v>18</v>
      </c>
      <c r="B22" s="212">
        <v>46222</v>
      </c>
      <c r="C22" s="64"/>
      <c r="D22" s="309"/>
      <c r="E22" s="14"/>
      <c r="F22" s="14"/>
      <c r="G22" s="8">
        <f t="shared" si="0"/>
        <v>0</v>
      </c>
      <c r="H22" s="62"/>
      <c r="I22" s="63"/>
      <c r="J22" s="8">
        <f t="shared" si="1"/>
        <v>0</v>
      </c>
      <c r="K22" s="8">
        <f t="shared" si="2"/>
        <v>0</v>
      </c>
      <c r="L22" s="65">
        <f t="shared" si="3"/>
        <v>0</v>
      </c>
      <c r="M22" s="65">
        <v>0</v>
      </c>
      <c r="N22" s="186"/>
      <c r="O22" s="66"/>
    </row>
    <row r="23" spans="1:16">
      <c r="A23" s="43">
        <v>19</v>
      </c>
      <c r="B23" s="212">
        <v>46223</v>
      </c>
      <c r="C23" s="64"/>
      <c r="D23" s="309"/>
      <c r="E23" s="14"/>
      <c r="F23" s="14"/>
      <c r="G23" s="8">
        <f t="shared" si="0"/>
        <v>0</v>
      </c>
      <c r="H23" s="62"/>
      <c r="I23" s="63"/>
      <c r="J23" s="8">
        <f t="shared" si="1"/>
        <v>0</v>
      </c>
      <c r="K23" s="8">
        <f t="shared" si="2"/>
        <v>0</v>
      </c>
      <c r="L23" s="65">
        <f t="shared" si="3"/>
        <v>0</v>
      </c>
      <c r="M23" s="65">
        <v>0</v>
      </c>
      <c r="N23" s="186"/>
      <c r="O23" s="66"/>
    </row>
    <row r="24" spans="1:16">
      <c r="A24" s="43">
        <v>20</v>
      </c>
      <c r="B24" s="212">
        <v>46224</v>
      </c>
      <c r="C24" s="64"/>
      <c r="D24" s="309"/>
      <c r="E24" s="14"/>
      <c r="F24" s="14"/>
      <c r="G24" s="8">
        <f t="shared" si="0"/>
        <v>0</v>
      </c>
      <c r="H24" s="62"/>
      <c r="I24" s="63"/>
      <c r="J24" s="8">
        <f t="shared" si="1"/>
        <v>0</v>
      </c>
      <c r="K24" s="8">
        <f t="shared" si="2"/>
        <v>0</v>
      </c>
      <c r="L24" s="65">
        <f t="shared" si="3"/>
        <v>0</v>
      </c>
      <c r="M24" s="65">
        <v>0</v>
      </c>
      <c r="N24" s="186"/>
      <c r="O24" s="66"/>
    </row>
    <row r="25" spans="1:16">
      <c r="A25" s="43">
        <v>21</v>
      </c>
      <c r="B25" s="212">
        <v>46225</v>
      </c>
      <c r="C25" s="64"/>
      <c r="D25" s="309"/>
      <c r="E25" s="14"/>
      <c r="F25" s="14"/>
      <c r="G25" s="8">
        <f t="shared" si="0"/>
        <v>0</v>
      </c>
      <c r="H25" s="62"/>
      <c r="I25" s="63"/>
      <c r="J25" s="8">
        <f t="shared" si="1"/>
        <v>0</v>
      </c>
      <c r="K25" s="8">
        <f t="shared" si="2"/>
        <v>0</v>
      </c>
      <c r="L25" s="65">
        <f t="shared" si="3"/>
        <v>0</v>
      </c>
      <c r="M25" s="65">
        <v>0</v>
      </c>
      <c r="N25" s="186"/>
      <c r="O25" s="66"/>
    </row>
    <row r="26" spans="1:16">
      <c r="A26" s="43">
        <v>22</v>
      </c>
      <c r="B26" s="212">
        <v>46226</v>
      </c>
      <c r="C26" s="64"/>
      <c r="D26" s="309"/>
      <c r="E26" s="14"/>
      <c r="F26" s="14"/>
      <c r="G26" s="8">
        <f t="shared" si="0"/>
        <v>0</v>
      </c>
      <c r="H26" s="62"/>
      <c r="I26" s="63"/>
      <c r="J26" s="8">
        <f t="shared" si="1"/>
        <v>0</v>
      </c>
      <c r="K26" s="8">
        <f t="shared" si="2"/>
        <v>0</v>
      </c>
      <c r="L26" s="65">
        <f t="shared" si="3"/>
        <v>0</v>
      </c>
      <c r="M26" s="65">
        <v>0</v>
      </c>
      <c r="N26" s="186"/>
      <c r="O26" s="66"/>
    </row>
    <row r="27" spans="1:16">
      <c r="A27" s="43">
        <v>23</v>
      </c>
      <c r="B27" s="212">
        <v>46227</v>
      </c>
      <c r="C27" s="64"/>
      <c r="D27" s="309"/>
      <c r="E27" s="14"/>
      <c r="F27" s="14"/>
      <c r="G27" s="8">
        <f t="shared" si="0"/>
        <v>0</v>
      </c>
      <c r="H27" s="62"/>
      <c r="I27" s="63"/>
      <c r="J27" s="8">
        <f t="shared" si="1"/>
        <v>0</v>
      </c>
      <c r="K27" s="8">
        <f t="shared" si="2"/>
        <v>0</v>
      </c>
      <c r="L27" s="65">
        <f t="shared" si="3"/>
        <v>0</v>
      </c>
      <c r="M27" s="65">
        <v>0</v>
      </c>
      <c r="N27" s="186"/>
      <c r="O27" s="66"/>
    </row>
    <row r="28" spans="1:16">
      <c r="A28" s="43">
        <v>24</v>
      </c>
      <c r="B28" s="212">
        <v>46228</v>
      </c>
      <c r="C28" s="64"/>
      <c r="D28" s="309"/>
      <c r="E28" s="14"/>
      <c r="F28" s="14"/>
      <c r="G28" s="8">
        <f t="shared" si="0"/>
        <v>0</v>
      </c>
      <c r="H28" s="62"/>
      <c r="I28" s="63"/>
      <c r="J28" s="8">
        <f t="shared" si="1"/>
        <v>0</v>
      </c>
      <c r="K28" s="8">
        <f t="shared" si="2"/>
        <v>0</v>
      </c>
      <c r="L28" s="65">
        <f t="shared" si="3"/>
        <v>0</v>
      </c>
      <c r="M28" s="65">
        <v>0</v>
      </c>
      <c r="N28" s="186"/>
      <c r="O28" s="66"/>
    </row>
    <row r="29" spans="1:16">
      <c r="A29" s="214">
        <v>25</v>
      </c>
      <c r="B29" s="212">
        <v>46229</v>
      </c>
      <c r="C29" s="64"/>
      <c r="D29" s="309"/>
      <c r="E29" s="14"/>
      <c r="F29" s="14"/>
      <c r="G29" s="8">
        <f t="shared" si="0"/>
        <v>0</v>
      </c>
      <c r="H29" s="62"/>
      <c r="I29" s="63"/>
      <c r="J29" s="8">
        <f t="shared" si="1"/>
        <v>0</v>
      </c>
      <c r="K29" s="8">
        <f t="shared" si="2"/>
        <v>0</v>
      </c>
      <c r="L29" s="65">
        <f t="shared" si="3"/>
        <v>0</v>
      </c>
      <c r="M29" s="65">
        <v>0</v>
      </c>
      <c r="N29" s="186"/>
      <c r="O29" s="66"/>
    </row>
    <row r="30" spans="1:16">
      <c r="A30" s="214"/>
      <c r="B30" s="212">
        <v>46230</v>
      </c>
      <c r="C30" s="64"/>
      <c r="D30" s="309"/>
      <c r="E30" s="14"/>
      <c r="F30" s="14"/>
      <c r="G30" s="16"/>
      <c r="H30" s="62"/>
      <c r="I30" s="63"/>
      <c r="J30" s="8">
        <f t="shared" si="1"/>
        <v>0</v>
      </c>
      <c r="K30" s="8">
        <f t="shared" si="2"/>
        <v>0</v>
      </c>
      <c r="L30" s="65">
        <f t="shared" si="3"/>
        <v>0</v>
      </c>
      <c r="M30" s="126"/>
      <c r="N30" s="186"/>
      <c r="O30" s="66"/>
    </row>
    <row r="31" spans="1:16">
      <c r="A31" s="214">
        <v>26</v>
      </c>
      <c r="B31" s="212">
        <v>46231</v>
      </c>
      <c r="C31" s="64"/>
      <c r="D31" s="152"/>
      <c r="E31" s="14"/>
      <c r="F31" s="14"/>
      <c r="G31" s="16">
        <f t="shared" si="0"/>
        <v>0</v>
      </c>
      <c r="H31" s="62"/>
      <c r="I31" s="63"/>
      <c r="J31" s="16">
        <f t="shared" si="1"/>
        <v>0</v>
      </c>
      <c r="K31" s="16">
        <f t="shared" si="2"/>
        <v>0</v>
      </c>
      <c r="L31" s="126">
        <f t="shared" si="3"/>
        <v>0</v>
      </c>
      <c r="M31" s="126">
        <v>0</v>
      </c>
      <c r="N31" s="8"/>
      <c r="O31" s="66"/>
    </row>
    <row r="32" spans="1:16">
      <c r="A32" s="214">
        <v>27</v>
      </c>
      <c r="B32" s="212">
        <v>46232</v>
      </c>
      <c r="C32" s="64"/>
      <c r="D32" s="152"/>
      <c r="E32" s="14"/>
      <c r="F32" s="14"/>
      <c r="G32" s="8">
        <f t="shared" si="0"/>
        <v>0</v>
      </c>
      <c r="H32" s="62"/>
      <c r="I32" s="63"/>
      <c r="J32" s="8">
        <f t="shared" si="1"/>
        <v>0</v>
      </c>
      <c r="K32" s="8">
        <f t="shared" si="2"/>
        <v>0</v>
      </c>
      <c r="L32" s="65">
        <f t="shared" si="3"/>
        <v>0</v>
      </c>
      <c r="M32" s="65">
        <v>0</v>
      </c>
      <c r="N32" s="8"/>
      <c r="O32" s="66"/>
    </row>
    <row r="33" spans="1:15">
      <c r="A33" s="214">
        <v>28</v>
      </c>
      <c r="B33" s="212">
        <v>46233</v>
      </c>
      <c r="C33" s="64"/>
      <c r="D33" s="152"/>
      <c r="E33" s="152"/>
      <c r="F33" s="14"/>
      <c r="G33" s="8">
        <f t="shared" si="0"/>
        <v>0</v>
      </c>
      <c r="H33" s="62"/>
      <c r="I33" s="63"/>
      <c r="J33" s="8">
        <f t="shared" si="1"/>
        <v>0</v>
      </c>
      <c r="K33" s="8">
        <f t="shared" si="2"/>
        <v>0</v>
      </c>
      <c r="L33" s="65">
        <f t="shared" si="3"/>
        <v>0</v>
      </c>
      <c r="M33" s="65">
        <v>0</v>
      </c>
      <c r="N33" s="8"/>
      <c r="O33" s="66"/>
    </row>
    <row r="34" spans="1:15">
      <c r="A34" s="215">
        <v>29</v>
      </c>
      <c r="B34" s="212">
        <v>46234</v>
      </c>
      <c r="C34" s="64"/>
      <c r="D34" s="152"/>
      <c r="E34" s="14"/>
      <c r="F34" s="14"/>
      <c r="G34" s="8">
        <f t="shared" si="0"/>
        <v>0</v>
      </c>
      <c r="H34" s="62"/>
      <c r="I34" s="63"/>
      <c r="J34" s="8">
        <f t="shared" si="1"/>
        <v>0</v>
      </c>
      <c r="K34" s="8">
        <f t="shared" si="2"/>
        <v>0</v>
      </c>
      <c r="L34" s="65">
        <f t="shared" si="3"/>
        <v>0</v>
      </c>
      <c r="M34" s="65">
        <v>0</v>
      </c>
      <c r="N34" s="8"/>
      <c r="O34" s="66"/>
    </row>
    <row r="35" spans="1:15">
      <c r="A35" s="215">
        <v>30</v>
      </c>
      <c r="B35" s="212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1"/>
        <v>0</v>
      </c>
      <c r="K35" s="8">
        <f t="shared" si="2"/>
        <v>0</v>
      </c>
      <c r="L35" s="65">
        <f t="shared" si="3"/>
        <v>0</v>
      </c>
      <c r="M35" s="65">
        <v>0</v>
      </c>
      <c r="N35" s="8"/>
      <c r="O35" s="66"/>
    </row>
    <row r="36" spans="1:15">
      <c r="A36" s="215">
        <v>31</v>
      </c>
      <c r="B36" s="212"/>
      <c r="C36" s="64"/>
      <c r="D36" s="152"/>
      <c r="E36" s="250"/>
      <c r="F36" s="14"/>
      <c r="G36" s="8">
        <f t="shared" si="0"/>
        <v>0</v>
      </c>
      <c r="H36" s="62"/>
      <c r="I36" s="63"/>
      <c r="J36" s="8">
        <f t="shared" si="1"/>
        <v>0</v>
      </c>
      <c r="K36" s="8">
        <f t="shared" si="2"/>
        <v>0</v>
      </c>
      <c r="L36" s="65">
        <f t="shared" si="3"/>
        <v>0</v>
      </c>
      <c r="M36" s="65">
        <v>0</v>
      </c>
      <c r="N36" s="8"/>
      <c r="O36" s="66"/>
    </row>
    <row r="37" spans="1:15">
      <c r="A37" s="59"/>
      <c r="B37" s="59"/>
      <c r="C37" s="59"/>
      <c r="D37" s="59"/>
      <c r="E37" s="251">
        <f>SUM(E4:E36)</f>
        <v>0</v>
      </c>
      <c r="F37" s="251"/>
      <c r="G37" s="60">
        <f>SUM(G4:G36)</f>
        <v>0</v>
      </c>
      <c r="H37" s="60">
        <f>SUM(H4:H36)</f>
        <v>3.4</v>
      </c>
      <c r="I37" s="60"/>
      <c r="J37" s="60">
        <f>SUM(J4:J36)</f>
        <v>399.36399999999998</v>
      </c>
      <c r="K37" s="60">
        <f>SUM(K4:K36)</f>
        <v>399.36399999999998</v>
      </c>
      <c r="L37" s="60">
        <f>SUM(L4:L36)</f>
        <v>399.36399999999998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58"/>
      <c r="C45" s="558"/>
      <c r="D45" s="558"/>
      <c r="E45" s="558"/>
      <c r="F45" s="66"/>
      <c r="G45" s="66"/>
      <c r="H45" s="66"/>
      <c r="I45" s="558"/>
      <c r="J45" s="558"/>
      <c r="K45" s="558"/>
      <c r="L45" s="558"/>
      <c r="M45" s="558"/>
      <c r="N45" s="558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3" activePane="bottomLeft" state="frozen"/>
      <selection pane="bottomLeft" activeCell="K3" sqref="K3"/>
    </sheetView>
  </sheetViews>
  <sheetFormatPr defaultColWidth="12.28515625" defaultRowHeight="12.75"/>
  <cols>
    <col min="1" max="1" width="8.42578125" style="58" customWidth="1"/>
    <col min="2" max="3" width="12.28515625" style="58"/>
    <col min="4" max="4" width="13.5703125" style="58" customWidth="1"/>
    <col min="5" max="5" width="12.28515625" style="58"/>
    <col min="6" max="6" width="13.7109375" style="58" bestFit="1" customWidth="1"/>
    <col min="7" max="16384" width="12.28515625" style="58"/>
  </cols>
  <sheetData>
    <row r="1" spans="1:15" ht="15.75" customHeight="1">
      <c r="A1" s="560" t="s">
        <v>100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7"/>
    </row>
    <row r="2" spans="1:15" ht="15.75" customHeight="1">
      <c r="A2" s="84" t="s">
        <v>0</v>
      </c>
      <c r="B2" s="85" t="s">
        <v>163</v>
      </c>
      <c r="C2" s="85" t="s">
        <v>164</v>
      </c>
      <c r="D2" s="85" t="s">
        <v>165</v>
      </c>
      <c r="E2" s="85" t="s">
        <v>166</v>
      </c>
      <c r="F2" s="85" t="s">
        <v>167</v>
      </c>
      <c r="G2" s="85" t="s">
        <v>168</v>
      </c>
      <c r="H2" s="85" t="s">
        <v>169</v>
      </c>
      <c r="I2" s="85" t="s">
        <v>167</v>
      </c>
      <c r="J2" s="108" t="s">
        <v>168</v>
      </c>
      <c r="K2" s="110" t="s">
        <v>170</v>
      </c>
      <c r="L2" s="111" t="s">
        <v>171</v>
      </c>
      <c r="M2" s="112" t="s">
        <v>187</v>
      </c>
      <c r="N2" s="86" t="s">
        <v>173</v>
      </c>
      <c r="O2" s="30"/>
    </row>
    <row r="3" spans="1:15" ht="15.75" customHeight="1">
      <c r="A3" s="540" t="s">
        <v>174</v>
      </c>
      <c r="B3" s="541"/>
      <c r="C3" s="553"/>
      <c r="D3" s="553"/>
      <c r="E3" s="553"/>
      <c r="F3" s="553"/>
      <c r="G3" s="553"/>
      <c r="H3" s="553"/>
      <c r="I3" s="553"/>
      <c r="J3" s="559"/>
      <c r="K3" s="193">
        <v>325301.90000000002</v>
      </c>
      <c r="L3" s="196">
        <v>0</v>
      </c>
      <c r="M3" s="193">
        <v>325301.90000000002</v>
      </c>
      <c r="N3" s="196"/>
      <c r="O3" s="30">
        <v>207239.43099999998</v>
      </c>
    </row>
    <row r="4" spans="1:15" ht="15">
      <c r="A4" s="23">
        <v>1</v>
      </c>
      <c r="B4" s="24">
        <v>45839</v>
      </c>
      <c r="C4" s="103"/>
      <c r="D4" s="103"/>
      <c r="E4" s="33"/>
      <c r="F4" s="33"/>
      <c r="G4" s="33">
        <f>E4*F4</f>
        <v>0</v>
      </c>
      <c r="H4" s="192"/>
      <c r="I4" s="192"/>
      <c r="J4" s="33">
        <f>H4*I4</f>
        <v>0</v>
      </c>
      <c r="K4" s="33">
        <f>G4+J4</f>
        <v>0</v>
      </c>
      <c r="L4" s="196"/>
      <c r="M4" s="193">
        <f>M3+K4-L4</f>
        <v>325301.90000000002</v>
      </c>
      <c r="N4" s="33"/>
      <c r="O4" s="25"/>
    </row>
    <row r="5" spans="1:15" ht="15">
      <c r="A5" s="23">
        <v>2</v>
      </c>
      <c r="B5" s="24">
        <v>45840</v>
      </c>
      <c r="C5" s="103"/>
      <c r="D5" s="103"/>
      <c r="E5" s="33"/>
      <c r="F5" s="33"/>
      <c r="G5" s="33">
        <f t="shared" ref="G5:G33" si="0">E5*F5</f>
        <v>0</v>
      </c>
      <c r="H5" s="192"/>
      <c r="I5" s="192"/>
      <c r="J5" s="33">
        <f t="shared" ref="J5:J33" si="1">H5*I5</f>
        <v>0</v>
      </c>
      <c r="K5" s="33">
        <f t="shared" ref="K5:K33" si="2">G5+J5</f>
        <v>0</v>
      </c>
      <c r="L5" s="196"/>
      <c r="M5" s="193">
        <f>M4+K5-L5</f>
        <v>325301.90000000002</v>
      </c>
      <c r="N5" s="33"/>
      <c r="O5" s="25"/>
    </row>
    <row r="6" spans="1:15" ht="15">
      <c r="A6" s="23">
        <v>3</v>
      </c>
      <c r="B6" s="24">
        <v>45841</v>
      </c>
      <c r="C6" s="103"/>
      <c r="D6" s="103"/>
      <c r="E6" s="33"/>
      <c r="F6" s="33"/>
      <c r="G6" s="33">
        <f t="shared" si="0"/>
        <v>0</v>
      </c>
      <c r="H6" s="192"/>
      <c r="I6" s="192"/>
      <c r="J6" s="33">
        <f t="shared" si="1"/>
        <v>0</v>
      </c>
      <c r="K6" s="33">
        <f t="shared" si="2"/>
        <v>0</v>
      </c>
      <c r="L6" s="196"/>
      <c r="M6" s="193">
        <f>M5+K6-L6</f>
        <v>325301.90000000002</v>
      </c>
      <c r="N6" s="33"/>
      <c r="O6" s="25"/>
    </row>
    <row r="7" spans="1:15" ht="15">
      <c r="A7" s="23">
        <v>4</v>
      </c>
      <c r="B7" s="24">
        <v>45842</v>
      </c>
      <c r="C7" s="103"/>
      <c r="D7" s="103"/>
      <c r="E7" s="33"/>
      <c r="F7" s="33"/>
      <c r="G7" s="33">
        <f t="shared" si="0"/>
        <v>0</v>
      </c>
      <c r="H7" s="192"/>
      <c r="I7" s="192"/>
      <c r="J7" s="33">
        <f t="shared" si="1"/>
        <v>0</v>
      </c>
      <c r="K7" s="33">
        <f t="shared" si="2"/>
        <v>0</v>
      </c>
      <c r="L7" s="196"/>
      <c r="M7" s="193">
        <f>M6+K7-L7</f>
        <v>325301.90000000002</v>
      </c>
      <c r="N7" s="33"/>
      <c r="O7" s="25"/>
    </row>
    <row r="8" spans="1:15" ht="15">
      <c r="A8" s="23">
        <v>5</v>
      </c>
      <c r="B8" s="24">
        <v>45843</v>
      </c>
      <c r="C8" s="103"/>
      <c r="D8" s="103"/>
      <c r="E8" s="33"/>
      <c r="F8" s="33"/>
      <c r="G8" s="33">
        <f t="shared" si="0"/>
        <v>0</v>
      </c>
      <c r="H8" s="192"/>
      <c r="I8" s="192"/>
      <c r="J8" s="33">
        <f t="shared" si="1"/>
        <v>0</v>
      </c>
      <c r="K8" s="33">
        <f t="shared" si="2"/>
        <v>0</v>
      </c>
      <c r="L8" s="196"/>
      <c r="M8" s="193">
        <f>M7+K8-L8</f>
        <v>325301.90000000002</v>
      </c>
      <c r="N8" s="33"/>
      <c r="O8" s="25"/>
    </row>
    <row r="9" spans="1:15" ht="15">
      <c r="A9" s="23">
        <v>6</v>
      </c>
      <c r="B9" s="24">
        <v>45844</v>
      </c>
      <c r="C9" s="103"/>
      <c r="D9" s="103"/>
      <c r="E9" s="33"/>
      <c r="F9" s="33"/>
      <c r="G9" s="33">
        <f t="shared" ref="G9:G18" si="3">E9*F9</f>
        <v>0</v>
      </c>
      <c r="H9" s="192"/>
      <c r="I9" s="192"/>
      <c r="J9" s="33">
        <f t="shared" si="1"/>
        <v>0</v>
      </c>
      <c r="K9" s="33">
        <f t="shared" si="2"/>
        <v>0</v>
      </c>
      <c r="L9" s="196"/>
      <c r="M9" s="193">
        <f t="shared" ref="M9:M33" si="4">M8+K9-L9</f>
        <v>325301.90000000002</v>
      </c>
      <c r="N9" s="33"/>
      <c r="O9" s="25"/>
    </row>
    <row r="10" spans="1:15" ht="15">
      <c r="A10" s="23">
        <v>7</v>
      </c>
      <c r="B10" s="24">
        <v>45845</v>
      </c>
      <c r="C10" s="103"/>
      <c r="D10" s="103"/>
      <c r="E10" s="33"/>
      <c r="F10" s="33"/>
      <c r="G10" s="33">
        <f t="shared" si="3"/>
        <v>0</v>
      </c>
      <c r="H10" s="192"/>
      <c r="I10" s="192"/>
      <c r="J10" s="33">
        <f t="shared" ref="J10:J17" si="5">H10*I10</f>
        <v>0</v>
      </c>
      <c r="K10" s="33">
        <f t="shared" ref="K10:K17" si="6">G10+J10</f>
        <v>0</v>
      </c>
      <c r="L10" s="196"/>
      <c r="M10" s="193">
        <f t="shared" si="4"/>
        <v>325301.90000000002</v>
      </c>
      <c r="N10" s="33"/>
      <c r="O10" s="25"/>
    </row>
    <row r="11" spans="1:15" ht="15">
      <c r="A11" s="23">
        <v>8</v>
      </c>
      <c r="B11" s="24">
        <v>45846</v>
      </c>
      <c r="C11" s="103"/>
      <c r="D11" s="103"/>
      <c r="E11" s="33"/>
      <c r="F11" s="33"/>
      <c r="G11" s="33">
        <f t="shared" si="3"/>
        <v>0</v>
      </c>
      <c r="H11" s="192"/>
      <c r="I11" s="192"/>
      <c r="J11" s="33">
        <f t="shared" si="5"/>
        <v>0</v>
      </c>
      <c r="K11" s="33">
        <f t="shared" si="6"/>
        <v>0</v>
      </c>
      <c r="L11" s="196"/>
      <c r="M11" s="193">
        <f t="shared" si="4"/>
        <v>325301.90000000002</v>
      </c>
      <c r="N11" s="33"/>
      <c r="O11" s="25"/>
    </row>
    <row r="12" spans="1:15" ht="15">
      <c r="A12" s="23">
        <v>9</v>
      </c>
      <c r="B12" s="24">
        <v>45847</v>
      </c>
      <c r="C12" s="103"/>
      <c r="D12" s="103"/>
      <c r="E12" s="33"/>
      <c r="F12" s="33"/>
      <c r="G12" s="33">
        <f t="shared" si="3"/>
        <v>0</v>
      </c>
      <c r="H12" s="192"/>
      <c r="I12" s="192"/>
      <c r="J12" s="33">
        <f t="shared" si="5"/>
        <v>0</v>
      </c>
      <c r="K12" s="33">
        <f t="shared" si="6"/>
        <v>0</v>
      </c>
      <c r="L12" s="196"/>
      <c r="M12" s="193">
        <f t="shared" si="4"/>
        <v>325301.90000000002</v>
      </c>
      <c r="N12" s="33"/>
      <c r="O12" s="25"/>
    </row>
    <row r="13" spans="1:15" ht="15">
      <c r="A13" s="23">
        <v>10</v>
      </c>
      <c r="B13" s="24">
        <v>45848</v>
      </c>
      <c r="C13" s="103"/>
      <c r="D13" s="103"/>
      <c r="E13" s="33"/>
      <c r="F13" s="33"/>
      <c r="G13" s="33">
        <f t="shared" si="3"/>
        <v>0</v>
      </c>
      <c r="H13" s="192"/>
      <c r="I13" s="192"/>
      <c r="J13" s="33">
        <f t="shared" si="5"/>
        <v>0</v>
      </c>
      <c r="K13" s="33">
        <f t="shared" si="6"/>
        <v>0</v>
      </c>
      <c r="L13" s="196"/>
      <c r="M13" s="193">
        <f t="shared" si="4"/>
        <v>325301.90000000002</v>
      </c>
      <c r="N13" s="33"/>
      <c r="O13" s="25"/>
    </row>
    <row r="14" spans="1:15" ht="15">
      <c r="A14" s="23">
        <v>11</v>
      </c>
      <c r="B14" s="24">
        <v>45849</v>
      </c>
      <c r="C14" s="103"/>
      <c r="D14" s="103"/>
      <c r="E14" s="33"/>
      <c r="F14" s="33"/>
      <c r="G14" s="33">
        <f t="shared" si="3"/>
        <v>0</v>
      </c>
      <c r="H14" s="192"/>
      <c r="I14" s="192"/>
      <c r="J14" s="33">
        <f t="shared" si="5"/>
        <v>0</v>
      </c>
      <c r="K14" s="33">
        <f t="shared" si="6"/>
        <v>0</v>
      </c>
      <c r="L14" s="196"/>
      <c r="M14" s="193">
        <f t="shared" si="4"/>
        <v>325301.90000000002</v>
      </c>
      <c r="N14" s="33"/>
      <c r="O14" s="25"/>
    </row>
    <row r="15" spans="1:15" ht="15">
      <c r="A15" s="23">
        <v>12</v>
      </c>
      <c r="B15" s="24">
        <v>45850</v>
      </c>
      <c r="C15" s="103"/>
      <c r="D15" s="103"/>
      <c r="E15" s="33"/>
      <c r="F15" s="33"/>
      <c r="G15" s="33">
        <f t="shared" si="3"/>
        <v>0</v>
      </c>
      <c r="H15" s="192"/>
      <c r="I15" s="192"/>
      <c r="J15" s="33">
        <f t="shared" si="5"/>
        <v>0</v>
      </c>
      <c r="K15" s="33">
        <f t="shared" si="6"/>
        <v>0</v>
      </c>
      <c r="L15" s="196"/>
      <c r="M15" s="193">
        <f t="shared" si="4"/>
        <v>325301.90000000002</v>
      </c>
      <c r="N15" s="33"/>
      <c r="O15" s="25"/>
    </row>
    <row r="16" spans="1:15" ht="15">
      <c r="A16" s="23">
        <v>13</v>
      </c>
      <c r="B16" s="24">
        <v>45851</v>
      </c>
      <c r="C16" s="103"/>
      <c r="D16" s="103"/>
      <c r="E16" s="33"/>
      <c r="F16" s="33"/>
      <c r="G16" s="33">
        <f t="shared" si="3"/>
        <v>0</v>
      </c>
      <c r="H16" s="192"/>
      <c r="I16" s="192"/>
      <c r="J16" s="33">
        <f t="shared" si="5"/>
        <v>0</v>
      </c>
      <c r="K16" s="33">
        <f t="shared" si="6"/>
        <v>0</v>
      </c>
      <c r="L16" s="196"/>
      <c r="M16" s="193">
        <f t="shared" si="4"/>
        <v>325301.90000000002</v>
      </c>
      <c r="N16" s="33"/>
      <c r="O16" s="25"/>
    </row>
    <row r="17" spans="1:15" ht="15">
      <c r="A17" s="23">
        <v>14</v>
      </c>
      <c r="B17" s="24">
        <v>45852</v>
      </c>
      <c r="C17" s="103"/>
      <c r="D17" s="103"/>
      <c r="E17" s="33"/>
      <c r="F17" s="33"/>
      <c r="G17" s="33">
        <f t="shared" si="3"/>
        <v>0</v>
      </c>
      <c r="H17" s="192"/>
      <c r="I17" s="192"/>
      <c r="J17" s="33">
        <f t="shared" si="5"/>
        <v>0</v>
      </c>
      <c r="K17" s="33">
        <f t="shared" si="6"/>
        <v>0</v>
      </c>
      <c r="L17" s="196"/>
      <c r="M17" s="193">
        <f t="shared" si="4"/>
        <v>325301.90000000002</v>
      </c>
      <c r="N17" s="33"/>
      <c r="O17" s="25"/>
    </row>
    <row r="18" spans="1:15" ht="15">
      <c r="A18" s="23">
        <v>15</v>
      </c>
      <c r="B18" s="24">
        <v>45853</v>
      </c>
      <c r="C18" s="103"/>
      <c r="D18" s="103"/>
      <c r="E18" s="33"/>
      <c r="F18" s="33"/>
      <c r="G18" s="33">
        <f t="shared" si="3"/>
        <v>0</v>
      </c>
      <c r="H18" s="192"/>
      <c r="I18" s="192"/>
      <c r="J18" s="33">
        <f t="shared" si="1"/>
        <v>0</v>
      </c>
      <c r="K18" s="33">
        <f t="shared" si="2"/>
        <v>0</v>
      </c>
      <c r="L18" s="196"/>
      <c r="M18" s="193">
        <f t="shared" si="4"/>
        <v>325301.90000000002</v>
      </c>
      <c r="N18" s="33"/>
      <c r="O18" s="25"/>
    </row>
    <row r="19" spans="1:15" ht="15">
      <c r="A19" s="23">
        <v>16</v>
      </c>
      <c r="B19" s="24">
        <v>45854</v>
      </c>
      <c r="C19" s="103"/>
      <c r="D19" s="103"/>
      <c r="E19" s="33">
        <v>2000</v>
      </c>
      <c r="F19" s="33">
        <v>99.96</v>
      </c>
      <c r="G19" s="33">
        <f t="shared" si="0"/>
        <v>199920</v>
      </c>
      <c r="H19" s="192">
        <v>35</v>
      </c>
      <c r="I19" s="192">
        <v>112.3</v>
      </c>
      <c r="J19" s="33">
        <f t="shared" si="1"/>
        <v>3930.5</v>
      </c>
      <c r="K19" s="33">
        <f t="shared" si="2"/>
        <v>203850.5</v>
      </c>
      <c r="L19" s="196"/>
      <c r="M19" s="193">
        <f t="shared" si="4"/>
        <v>529152.4</v>
      </c>
      <c r="N19" s="33"/>
      <c r="O19" s="25"/>
    </row>
    <row r="20" spans="1:15" ht="15">
      <c r="A20" s="23">
        <v>17</v>
      </c>
      <c r="B20" s="24">
        <v>45855</v>
      </c>
      <c r="C20" s="103"/>
      <c r="D20" s="103"/>
      <c r="E20" s="33">
        <v>1400</v>
      </c>
      <c r="F20" s="33">
        <v>99.96</v>
      </c>
      <c r="G20" s="33">
        <f t="shared" si="0"/>
        <v>139944</v>
      </c>
      <c r="H20" s="192">
        <v>35</v>
      </c>
      <c r="I20" s="192">
        <v>112.3</v>
      </c>
      <c r="J20" s="33">
        <f t="shared" si="1"/>
        <v>3930.5</v>
      </c>
      <c r="K20" s="33">
        <f t="shared" si="2"/>
        <v>143874.5</v>
      </c>
      <c r="L20" s="196"/>
      <c r="M20" s="193">
        <f t="shared" si="4"/>
        <v>673026.9</v>
      </c>
      <c r="N20" s="33"/>
      <c r="O20" s="25"/>
    </row>
    <row r="21" spans="1:15" ht="15">
      <c r="A21" s="23">
        <v>18</v>
      </c>
      <c r="B21" s="24">
        <v>45856</v>
      </c>
      <c r="C21" s="103"/>
      <c r="D21" s="103"/>
      <c r="E21" s="33"/>
      <c r="F21" s="33"/>
      <c r="G21" s="33">
        <f t="shared" si="0"/>
        <v>0</v>
      </c>
      <c r="H21" s="192">
        <v>0</v>
      </c>
      <c r="I21" s="192">
        <v>0</v>
      </c>
      <c r="J21" s="33">
        <f t="shared" si="1"/>
        <v>0</v>
      </c>
      <c r="K21" s="33">
        <f t="shared" si="2"/>
        <v>0</v>
      </c>
      <c r="L21" s="196"/>
      <c r="M21" s="193">
        <f t="shared" si="4"/>
        <v>673026.9</v>
      </c>
      <c r="N21" s="33"/>
      <c r="O21" s="25"/>
    </row>
    <row r="22" spans="1:15" ht="15">
      <c r="A22" s="23">
        <v>19</v>
      </c>
      <c r="B22" s="24">
        <v>45857</v>
      </c>
      <c r="C22" s="103"/>
      <c r="D22" s="103"/>
      <c r="E22" s="33"/>
      <c r="F22" s="33"/>
      <c r="G22" s="33"/>
      <c r="H22" s="192">
        <v>0</v>
      </c>
      <c r="I22" s="192">
        <v>0</v>
      </c>
      <c r="J22" s="33">
        <f t="shared" si="1"/>
        <v>0</v>
      </c>
      <c r="K22" s="33">
        <f t="shared" si="2"/>
        <v>0</v>
      </c>
      <c r="L22" s="196"/>
      <c r="M22" s="193">
        <f t="shared" si="4"/>
        <v>673026.9</v>
      </c>
      <c r="N22" s="33"/>
      <c r="O22" s="25"/>
    </row>
    <row r="23" spans="1:15" ht="15">
      <c r="A23" s="23">
        <v>20</v>
      </c>
      <c r="B23" s="24">
        <v>45858</v>
      </c>
      <c r="C23" s="103"/>
      <c r="D23" s="103"/>
      <c r="E23" s="33"/>
      <c r="F23" s="33"/>
      <c r="G23" s="33"/>
      <c r="H23" s="192">
        <v>0</v>
      </c>
      <c r="I23" s="192">
        <v>0</v>
      </c>
      <c r="J23" s="33">
        <f t="shared" ref="J23:J32" si="7">H23*I23</f>
        <v>0</v>
      </c>
      <c r="K23" s="33">
        <f t="shared" ref="K23:K32" si="8">G23+J23</f>
        <v>0</v>
      </c>
      <c r="L23" s="196"/>
      <c r="M23" s="193">
        <f t="shared" si="4"/>
        <v>673026.9</v>
      </c>
      <c r="N23" s="33"/>
      <c r="O23" s="25"/>
    </row>
    <row r="24" spans="1:15" ht="15">
      <c r="A24" s="23">
        <v>21</v>
      </c>
      <c r="B24" s="24">
        <v>45859</v>
      </c>
      <c r="C24" s="103"/>
      <c r="D24" s="103"/>
      <c r="E24" s="33"/>
      <c r="F24" s="33"/>
      <c r="G24" s="33"/>
      <c r="H24" s="192"/>
      <c r="I24" s="192"/>
      <c r="J24" s="33">
        <f t="shared" si="7"/>
        <v>0</v>
      </c>
      <c r="K24" s="33">
        <f t="shared" si="8"/>
        <v>0</v>
      </c>
      <c r="L24" s="196"/>
      <c r="M24" s="193">
        <f t="shared" si="4"/>
        <v>673026.9</v>
      </c>
      <c r="N24" s="33"/>
      <c r="O24" s="25"/>
    </row>
    <row r="25" spans="1:15" ht="15">
      <c r="A25" s="23">
        <v>22</v>
      </c>
      <c r="B25" s="24">
        <v>45860</v>
      </c>
      <c r="C25" s="103"/>
      <c r="D25" s="103"/>
      <c r="E25" s="33"/>
      <c r="F25" s="33"/>
      <c r="G25" s="33"/>
      <c r="H25" s="192"/>
      <c r="I25" s="192"/>
      <c r="J25" s="33">
        <f t="shared" si="7"/>
        <v>0</v>
      </c>
      <c r="K25" s="33">
        <f t="shared" si="8"/>
        <v>0</v>
      </c>
      <c r="L25" s="196"/>
      <c r="M25" s="193">
        <f t="shared" si="4"/>
        <v>673026.9</v>
      </c>
      <c r="N25" s="33"/>
      <c r="O25" s="25"/>
    </row>
    <row r="26" spans="1:15" ht="15">
      <c r="A26" s="23">
        <v>23</v>
      </c>
      <c r="B26" s="24">
        <v>45861</v>
      </c>
      <c r="C26" s="103"/>
      <c r="D26" s="103"/>
      <c r="E26" s="33"/>
      <c r="F26" s="33"/>
      <c r="G26" s="33"/>
      <c r="H26" s="192"/>
      <c r="I26" s="192"/>
      <c r="J26" s="33">
        <f t="shared" si="7"/>
        <v>0</v>
      </c>
      <c r="K26" s="33">
        <f t="shared" si="8"/>
        <v>0</v>
      </c>
      <c r="L26" s="196"/>
      <c r="M26" s="193">
        <f t="shared" si="4"/>
        <v>673026.9</v>
      </c>
      <c r="N26" s="33"/>
      <c r="O26" s="25"/>
    </row>
    <row r="27" spans="1:15" ht="15">
      <c r="A27" s="23">
        <v>24</v>
      </c>
      <c r="B27" s="24">
        <v>45862</v>
      </c>
      <c r="C27" s="103"/>
      <c r="D27" s="103"/>
      <c r="E27" s="33"/>
      <c r="F27" s="33"/>
      <c r="G27" s="33"/>
      <c r="H27" s="192"/>
      <c r="I27" s="192"/>
      <c r="J27" s="33">
        <f t="shared" si="7"/>
        <v>0</v>
      </c>
      <c r="K27" s="33">
        <f t="shared" si="8"/>
        <v>0</v>
      </c>
      <c r="L27" s="196"/>
      <c r="M27" s="193">
        <f t="shared" si="4"/>
        <v>673026.9</v>
      </c>
      <c r="N27" s="33"/>
      <c r="O27" s="25"/>
    </row>
    <row r="28" spans="1:15" ht="15">
      <c r="A28" s="23">
        <v>25</v>
      </c>
      <c r="B28" s="24">
        <v>45863</v>
      </c>
      <c r="C28" s="103"/>
      <c r="D28" s="103"/>
      <c r="E28" s="33"/>
      <c r="F28" s="33"/>
      <c r="G28" s="33"/>
      <c r="H28" s="192"/>
      <c r="I28" s="192"/>
      <c r="J28" s="33">
        <f t="shared" si="7"/>
        <v>0</v>
      </c>
      <c r="K28" s="33">
        <f t="shared" si="8"/>
        <v>0</v>
      </c>
      <c r="L28" s="196"/>
      <c r="M28" s="193">
        <f>M27+K28-L28</f>
        <v>673026.9</v>
      </c>
      <c r="N28" s="33"/>
      <c r="O28" s="25"/>
    </row>
    <row r="29" spans="1:15" ht="15">
      <c r="A29" s="23">
        <v>26</v>
      </c>
      <c r="B29" s="24">
        <v>45864</v>
      </c>
      <c r="C29" s="103"/>
      <c r="D29" s="103"/>
      <c r="E29" s="33"/>
      <c r="F29" s="33"/>
      <c r="G29" s="33"/>
      <c r="H29" s="192"/>
      <c r="I29" s="192"/>
      <c r="J29" s="33">
        <f t="shared" si="7"/>
        <v>0</v>
      </c>
      <c r="K29" s="33">
        <f t="shared" si="8"/>
        <v>0</v>
      </c>
      <c r="L29" s="196"/>
      <c r="M29" s="193">
        <f t="shared" si="4"/>
        <v>673026.9</v>
      </c>
      <c r="N29" s="33"/>
      <c r="O29" s="25"/>
    </row>
    <row r="30" spans="1:15" ht="15">
      <c r="A30" s="23">
        <v>27</v>
      </c>
      <c r="B30" s="24">
        <v>45865</v>
      </c>
      <c r="C30" s="103"/>
      <c r="D30" s="103"/>
      <c r="E30" s="33"/>
      <c r="F30" s="33"/>
      <c r="G30" s="33"/>
      <c r="H30" s="192"/>
      <c r="I30" s="192"/>
      <c r="J30" s="33">
        <f t="shared" si="7"/>
        <v>0</v>
      </c>
      <c r="K30" s="33">
        <f t="shared" si="8"/>
        <v>0</v>
      </c>
      <c r="L30" s="196"/>
      <c r="M30" s="193">
        <f t="shared" si="4"/>
        <v>673026.9</v>
      </c>
      <c r="N30" s="33"/>
      <c r="O30" s="25"/>
    </row>
    <row r="31" spans="1:15" ht="15">
      <c r="A31" s="23">
        <v>28</v>
      </c>
      <c r="B31" s="24">
        <v>45866</v>
      </c>
      <c r="C31" s="103"/>
      <c r="D31" s="103"/>
      <c r="E31" s="33"/>
      <c r="F31" s="33"/>
      <c r="G31" s="33"/>
      <c r="H31" s="192"/>
      <c r="I31" s="192"/>
      <c r="J31" s="33">
        <f t="shared" si="7"/>
        <v>0</v>
      </c>
      <c r="K31" s="33">
        <f t="shared" si="8"/>
        <v>0</v>
      </c>
      <c r="L31" s="196"/>
      <c r="M31" s="193">
        <f t="shared" si="4"/>
        <v>673026.9</v>
      </c>
      <c r="N31" s="33"/>
      <c r="O31" s="25"/>
    </row>
    <row r="32" spans="1:15" ht="15">
      <c r="A32" s="23">
        <v>29</v>
      </c>
      <c r="B32" s="24">
        <v>45867</v>
      </c>
      <c r="C32" s="103"/>
      <c r="D32" s="103"/>
      <c r="E32" s="33"/>
      <c r="F32" s="33"/>
      <c r="G32" s="33">
        <f t="shared" ref="G32" si="9">E32*F32</f>
        <v>0</v>
      </c>
      <c r="H32" s="192">
        <v>0</v>
      </c>
      <c r="I32" s="192">
        <v>0</v>
      </c>
      <c r="J32" s="33">
        <f t="shared" si="7"/>
        <v>0</v>
      </c>
      <c r="K32" s="33">
        <f t="shared" si="8"/>
        <v>0</v>
      </c>
      <c r="L32" s="196"/>
      <c r="M32" s="193">
        <f t="shared" si="4"/>
        <v>673026.9</v>
      </c>
      <c r="N32" s="209"/>
      <c r="O32" s="25"/>
    </row>
    <row r="33" spans="1:15" ht="15">
      <c r="A33" s="23">
        <v>30</v>
      </c>
      <c r="B33" s="24">
        <v>45868</v>
      </c>
      <c r="C33" s="103"/>
      <c r="D33" s="103"/>
      <c r="E33" s="33"/>
      <c r="F33" s="33">
        <v>0</v>
      </c>
      <c r="G33" s="33">
        <f t="shared" si="0"/>
        <v>0</v>
      </c>
      <c r="H33" s="192">
        <v>0</v>
      </c>
      <c r="I33" s="192">
        <v>0</v>
      </c>
      <c r="J33" s="33">
        <f t="shared" si="1"/>
        <v>0</v>
      </c>
      <c r="K33" s="33">
        <f t="shared" si="2"/>
        <v>0</v>
      </c>
      <c r="L33" s="196"/>
      <c r="M33" s="193">
        <f t="shared" si="4"/>
        <v>673026.9</v>
      </c>
      <c r="N33" s="209"/>
      <c r="O33" s="25"/>
    </row>
    <row r="34" spans="1:15" ht="15">
      <c r="A34" s="23">
        <v>31</v>
      </c>
      <c r="B34" s="24"/>
      <c r="C34" s="103"/>
      <c r="D34" s="103"/>
      <c r="E34" s="33"/>
      <c r="F34" s="33">
        <v>0</v>
      </c>
      <c r="G34" s="33">
        <f t="shared" ref="G34" si="10">E34*F34</f>
        <v>0</v>
      </c>
      <c r="H34" s="192"/>
      <c r="I34" s="192"/>
      <c r="J34" s="33">
        <f t="shared" ref="J34" si="11">H34*I34</f>
        <v>0</v>
      </c>
      <c r="K34" s="33">
        <f t="shared" ref="K34" si="12">G34+J34</f>
        <v>0</v>
      </c>
      <c r="L34" s="196"/>
      <c r="M34" s="209"/>
      <c r="N34" s="209"/>
      <c r="O34" s="25"/>
    </row>
    <row r="35" spans="1:15">
      <c r="A35" s="39"/>
      <c r="B35" s="39"/>
      <c r="C35" s="197"/>
      <c r="D35" s="197"/>
      <c r="E35" s="198">
        <f>SUM(E4:E34)</f>
        <v>3400</v>
      </c>
      <c r="F35" s="198"/>
      <c r="G35" s="198">
        <f>SUM(G4:G34)</f>
        <v>339864</v>
      </c>
      <c r="H35" s="198">
        <f>SUM(H4:H34)</f>
        <v>70</v>
      </c>
      <c r="I35" s="198"/>
      <c r="J35" s="198">
        <f>SUM(J4:J34)</f>
        <v>7861</v>
      </c>
      <c r="K35" s="198">
        <f>SUM(K4:K34)</f>
        <v>347725</v>
      </c>
      <c r="L35" s="198">
        <f>SUM(L4:L31)</f>
        <v>0</v>
      </c>
      <c r="M35" s="198"/>
      <c r="N35" s="198"/>
      <c r="O35" s="30"/>
    </row>
    <row r="36" spans="1:15">
      <c r="A36" s="27"/>
      <c r="B36" s="27"/>
      <c r="C36" s="27"/>
      <c r="D36" s="27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5"/>
    </row>
    <row r="37" spans="1:15">
      <c r="A37" s="25"/>
      <c r="B37" s="25"/>
      <c r="C37" s="25"/>
      <c r="D37" s="25"/>
      <c r="E37" s="25"/>
      <c r="F37" s="25"/>
      <c r="G37" s="28"/>
      <c r="H37" s="25"/>
      <c r="I37" s="25"/>
      <c r="J37" s="25"/>
      <c r="K37" s="25"/>
      <c r="L37" s="25"/>
      <c r="M37" s="25"/>
      <c r="N37" s="25"/>
      <c r="O37" s="29"/>
    </row>
    <row r="38" spans="1:15">
      <c r="A38" s="25"/>
      <c r="B38" s="561"/>
      <c r="C38" s="561"/>
      <c r="D38" s="561"/>
      <c r="E38" s="561"/>
      <c r="F38" s="25"/>
      <c r="G38" s="25"/>
      <c r="H38" s="25"/>
      <c r="I38" s="561"/>
      <c r="J38" s="561"/>
      <c r="K38" s="561"/>
      <c r="L38" s="561"/>
      <c r="M38" s="561"/>
      <c r="N38" s="561"/>
      <c r="O38" s="29"/>
    </row>
    <row r="39" spans="1: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9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41"/>
  <sheetViews>
    <sheetView topLeftCell="A28" workbookViewId="0">
      <selection activeCell="L34" sqref="L34:M34"/>
    </sheetView>
  </sheetViews>
  <sheetFormatPr defaultRowHeight="15"/>
  <cols>
    <col min="2" max="2" width="10.28515625" customWidth="1"/>
    <col min="5" max="5" width="12.5703125" bestFit="1" customWidth="1"/>
    <col min="10" max="10" width="10.85546875" bestFit="1" customWidth="1"/>
    <col min="11" max="11" width="10.42578125" bestFit="1" customWidth="1"/>
    <col min="12" max="12" width="11.85546875" bestFit="1" customWidth="1"/>
    <col min="13" max="13" width="13.5703125" bestFit="1" customWidth="1"/>
    <col min="14" max="14" width="25.28515625" bestFit="1" customWidth="1"/>
  </cols>
  <sheetData>
    <row r="1" spans="1:34">
      <c r="A1" s="562" t="s">
        <v>93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</row>
    <row r="2" spans="1:34" ht="25.5">
      <c r="A2" s="84" t="s">
        <v>0</v>
      </c>
      <c r="B2" s="85" t="s">
        <v>163</v>
      </c>
      <c r="C2" s="85" t="s">
        <v>164</v>
      </c>
      <c r="D2" s="85" t="s">
        <v>165</v>
      </c>
      <c r="E2" s="85" t="s">
        <v>166</v>
      </c>
      <c r="F2" s="85" t="s">
        <v>167</v>
      </c>
      <c r="G2" s="85" t="s">
        <v>168</v>
      </c>
      <c r="H2" s="85" t="s">
        <v>169</v>
      </c>
      <c r="I2" s="85" t="s">
        <v>167</v>
      </c>
      <c r="J2" s="108" t="s">
        <v>168</v>
      </c>
      <c r="K2" s="85" t="s">
        <v>170</v>
      </c>
      <c r="L2" s="108" t="s">
        <v>171</v>
      </c>
      <c r="M2" s="107" t="s">
        <v>187</v>
      </c>
      <c r="N2" s="86" t="s">
        <v>173</v>
      </c>
      <c r="O2" s="3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</row>
    <row r="3" spans="1:34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63"/>
      <c r="K3" s="26">
        <v>282784.15990299999</v>
      </c>
      <c r="L3" s="43"/>
      <c r="M3" s="109">
        <v>282784.15990299999</v>
      </c>
      <c r="N3" s="43"/>
      <c r="O3" s="30"/>
      <c r="P3" s="46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</row>
    <row r="4" spans="1:34">
      <c r="A4" s="23">
        <v>1</v>
      </c>
      <c r="B4" s="24">
        <v>46204</v>
      </c>
      <c r="C4" s="44" t="s">
        <v>246</v>
      </c>
      <c r="D4" s="45" t="s">
        <v>246</v>
      </c>
      <c r="E4" s="44"/>
      <c r="F4" s="44"/>
      <c r="G4" s="43">
        <f t="shared" ref="G4:G5" si="0">E4*F4</f>
        <v>0</v>
      </c>
      <c r="H4" s="44"/>
      <c r="I4" s="44"/>
      <c r="J4" s="46">
        <f t="shared" ref="J4" si="1">H4*I4</f>
        <v>0</v>
      </c>
      <c r="K4" s="43">
        <f t="shared" ref="K4:L5" si="2">G4+J4</f>
        <v>0</v>
      </c>
      <c r="L4" s="43">
        <v>150000</v>
      </c>
      <c r="M4" s="46">
        <f>M3+K4-L4</f>
        <v>132784.15990299999</v>
      </c>
      <c r="N4" s="101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</row>
    <row r="5" spans="1:34">
      <c r="A5" s="23"/>
      <c r="B5" s="24">
        <v>46205</v>
      </c>
      <c r="C5" s="44"/>
      <c r="D5" s="45"/>
      <c r="E5" s="44">
        <v>1200</v>
      </c>
      <c r="F5" s="44">
        <v>99.14</v>
      </c>
      <c r="G5" s="43">
        <f t="shared" si="0"/>
        <v>118968</v>
      </c>
      <c r="H5" s="44"/>
      <c r="I5" s="44"/>
      <c r="J5" s="46"/>
      <c r="K5" s="43">
        <f t="shared" si="2"/>
        <v>118968</v>
      </c>
      <c r="L5" s="43"/>
      <c r="M5" s="46">
        <f>M4+K5-L5</f>
        <v>251752.15990299999</v>
      </c>
      <c r="N5" s="428" t="s">
        <v>247</v>
      </c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</row>
    <row r="6" spans="1:34">
      <c r="A6" s="23">
        <v>2</v>
      </c>
      <c r="B6" s="24">
        <v>46206</v>
      </c>
      <c r="C6" s="44" t="s">
        <v>246</v>
      </c>
      <c r="D6" s="45" t="s">
        <v>246</v>
      </c>
      <c r="E6" s="44"/>
      <c r="F6" s="44"/>
      <c r="G6" s="43">
        <f t="shared" ref="G6:G36" si="3">E6*F6</f>
        <v>0</v>
      </c>
      <c r="H6" s="44"/>
      <c r="I6" s="44"/>
      <c r="J6" s="46">
        <f t="shared" ref="J6:J36" si="4">H6*I6</f>
        <v>0</v>
      </c>
      <c r="K6" s="43">
        <f t="shared" ref="K6:L36" si="5">G6+J6</f>
        <v>0</v>
      </c>
      <c r="L6" s="43"/>
      <c r="M6" s="46">
        <f t="shared" ref="M6:M38" si="6">M5+K6-L6</f>
        <v>251752.15990299999</v>
      </c>
      <c r="N6" s="101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</row>
    <row r="7" spans="1:34">
      <c r="A7" s="23">
        <v>3</v>
      </c>
      <c r="B7" s="24">
        <v>46207</v>
      </c>
      <c r="C7" s="44" t="s">
        <v>246</v>
      </c>
      <c r="D7" s="45" t="s">
        <v>246</v>
      </c>
      <c r="E7" s="44"/>
      <c r="F7" s="44"/>
      <c r="G7" s="43">
        <f t="shared" si="3"/>
        <v>0</v>
      </c>
      <c r="H7" s="44"/>
      <c r="I7" s="44"/>
      <c r="J7" s="46">
        <f t="shared" si="4"/>
        <v>0</v>
      </c>
      <c r="K7" s="43">
        <f t="shared" si="5"/>
        <v>0</v>
      </c>
      <c r="L7" s="43"/>
      <c r="M7" s="46">
        <f t="shared" si="6"/>
        <v>251752.15990299999</v>
      </c>
      <c r="N7" s="106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</row>
    <row r="8" spans="1:34">
      <c r="A8" s="23">
        <v>4</v>
      </c>
      <c r="B8" s="24">
        <v>46208</v>
      </c>
      <c r="C8" s="44" t="s">
        <v>246</v>
      </c>
      <c r="D8" s="45" t="s">
        <v>246</v>
      </c>
      <c r="E8" s="44"/>
      <c r="F8" s="44"/>
      <c r="G8" s="43">
        <f t="shared" ref="G8:G17" si="7">E8*F8</f>
        <v>0</v>
      </c>
      <c r="H8" s="44"/>
      <c r="I8" s="44"/>
      <c r="J8" s="46">
        <f t="shared" si="4"/>
        <v>0</v>
      </c>
      <c r="K8" s="43">
        <f t="shared" si="5"/>
        <v>0</v>
      </c>
      <c r="L8" s="43"/>
      <c r="M8" s="46">
        <f t="shared" si="6"/>
        <v>251752.15990299999</v>
      </c>
      <c r="N8" s="106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</row>
    <row r="9" spans="1:34">
      <c r="A9" s="23">
        <v>5</v>
      </c>
      <c r="B9" s="24">
        <v>46209</v>
      </c>
      <c r="C9" s="44" t="s">
        <v>246</v>
      </c>
      <c r="D9" s="45" t="s">
        <v>246</v>
      </c>
      <c r="E9" s="44"/>
      <c r="F9" s="44"/>
      <c r="G9" s="43">
        <f t="shared" ref="G9:G37" si="8">E9*F9</f>
        <v>0</v>
      </c>
      <c r="H9" s="44"/>
      <c r="I9" s="44"/>
      <c r="J9" s="46">
        <f t="shared" si="4"/>
        <v>0</v>
      </c>
      <c r="K9" s="43">
        <f t="shared" si="5"/>
        <v>0</v>
      </c>
      <c r="L9" s="43"/>
      <c r="M9" s="46">
        <f t="shared" si="6"/>
        <v>251752.15990299999</v>
      </c>
      <c r="N9" s="101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</row>
    <row r="10" spans="1:34">
      <c r="A10" s="23">
        <v>6</v>
      </c>
      <c r="B10" s="24">
        <v>46210</v>
      </c>
      <c r="C10" s="44" t="s">
        <v>246</v>
      </c>
      <c r="D10" s="45" t="s">
        <v>246</v>
      </c>
      <c r="E10" s="44"/>
      <c r="F10" s="44"/>
      <c r="G10" s="43">
        <f t="shared" si="8"/>
        <v>0</v>
      </c>
      <c r="H10" s="44"/>
      <c r="I10" s="44"/>
      <c r="J10" s="46">
        <f t="shared" si="4"/>
        <v>0</v>
      </c>
      <c r="K10" s="43">
        <f t="shared" si="5"/>
        <v>0</v>
      </c>
      <c r="L10" s="43"/>
      <c r="M10" s="46">
        <f t="shared" si="6"/>
        <v>251752.15990299999</v>
      </c>
      <c r="N10" s="106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</row>
    <row r="11" spans="1:34">
      <c r="A11" s="23">
        <v>7</v>
      </c>
      <c r="B11" s="24">
        <v>46211</v>
      </c>
      <c r="C11" s="44" t="s">
        <v>246</v>
      </c>
      <c r="D11" s="45" t="s">
        <v>246</v>
      </c>
      <c r="E11" s="44">
        <v>1200</v>
      </c>
      <c r="F11" s="44">
        <v>99.14</v>
      </c>
      <c r="G11" s="43">
        <f t="shared" si="8"/>
        <v>118968</v>
      </c>
      <c r="H11" s="44">
        <v>70</v>
      </c>
      <c r="I11" s="44">
        <v>111.24</v>
      </c>
      <c r="J11" s="46">
        <f t="shared" si="4"/>
        <v>7786.7999999999993</v>
      </c>
      <c r="K11" s="43">
        <f t="shared" si="5"/>
        <v>126754.8</v>
      </c>
      <c r="L11" s="43">
        <v>150000</v>
      </c>
      <c r="M11" s="46">
        <f t="shared" si="6"/>
        <v>228506.95990299998</v>
      </c>
      <c r="N11" s="101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</row>
    <row r="12" spans="1:34">
      <c r="A12" s="23">
        <v>8</v>
      </c>
      <c r="B12" s="24">
        <v>46212</v>
      </c>
      <c r="C12" s="44" t="s">
        <v>246</v>
      </c>
      <c r="D12" s="45" t="s">
        <v>246</v>
      </c>
      <c r="E12" s="44"/>
      <c r="F12" s="44"/>
      <c r="G12" s="43">
        <f t="shared" si="8"/>
        <v>0</v>
      </c>
      <c r="H12" s="44"/>
      <c r="I12" s="44"/>
      <c r="J12" s="46">
        <f t="shared" si="4"/>
        <v>0</v>
      </c>
      <c r="K12" s="43">
        <f t="shared" si="5"/>
        <v>0</v>
      </c>
      <c r="L12" s="43"/>
      <c r="M12" s="46">
        <f t="shared" si="6"/>
        <v>228506.95990299998</v>
      </c>
      <c r="N12" s="105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</row>
    <row r="13" spans="1:34">
      <c r="A13" s="23">
        <v>9</v>
      </c>
      <c r="B13" s="24">
        <v>46213</v>
      </c>
      <c r="C13" s="44" t="s">
        <v>246</v>
      </c>
      <c r="D13" s="45" t="s">
        <v>246</v>
      </c>
      <c r="E13" s="44"/>
      <c r="F13" s="44"/>
      <c r="G13" s="43">
        <f t="shared" si="8"/>
        <v>0</v>
      </c>
      <c r="H13" s="44"/>
      <c r="I13" s="44"/>
      <c r="J13" s="46">
        <f t="shared" si="4"/>
        <v>0</v>
      </c>
      <c r="K13" s="43">
        <f t="shared" si="5"/>
        <v>0</v>
      </c>
      <c r="L13" s="43"/>
      <c r="M13" s="46">
        <f t="shared" si="6"/>
        <v>228506.95990299998</v>
      </c>
      <c r="N13" s="101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</row>
    <row r="14" spans="1:34">
      <c r="A14" s="23">
        <v>10</v>
      </c>
      <c r="B14" s="24">
        <v>46214</v>
      </c>
      <c r="C14" s="44" t="s">
        <v>246</v>
      </c>
      <c r="D14" s="45" t="s">
        <v>246</v>
      </c>
      <c r="E14" s="44"/>
      <c r="F14" s="44"/>
      <c r="G14" s="43">
        <f t="shared" si="8"/>
        <v>0</v>
      </c>
      <c r="H14" s="44"/>
      <c r="I14" s="44"/>
      <c r="J14" s="46">
        <f t="shared" si="4"/>
        <v>0</v>
      </c>
      <c r="K14" s="43">
        <f t="shared" si="5"/>
        <v>0</v>
      </c>
      <c r="L14" s="43"/>
      <c r="M14" s="46">
        <f t="shared" si="6"/>
        <v>228506.95990299998</v>
      </c>
      <c r="N14" s="101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</row>
    <row r="15" spans="1:34">
      <c r="A15" s="23">
        <v>11</v>
      </c>
      <c r="B15" s="24">
        <v>46215</v>
      </c>
      <c r="C15" s="44" t="s">
        <v>246</v>
      </c>
      <c r="D15" s="45" t="s">
        <v>246</v>
      </c>
      <c r="E15" s="44"/>
      <c r="F15" s="44"/>
      <c r="G15" s="43">
        <f t="shared" si="8"/>
        <v>0</v>
      </c>
      <c r="H15" s="44"/>
      <c r="I15" s="44"/>
      <c r="J15" s="46">
        <f t="shared" si="4"/>
        <v>0</v>
      </c>
      <c r="K15" s="43">
        <f t="shared" si="5"/>
        <v>0</v>
      </c>
      <c r="L15" s="43"/>
      <c r="M15" s="46">
        <f t="shared" si="6"/>
        <v>228506.95990299998</v>
      </c>
      <c r="N15" s="10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</row>
    <row r="16" spans="1:34">
      <c r="A16" s="23">
        <v>12</v>
      </c>
      <c r="B16" s="24">
        <v>46216</v>
      </c>
      <c r="C16" s="44"/>
      <c r="D16" s="45"/>
      <c r="E16" s="44"/>
      <c r="F16" s="44"/>
      <c r="G16" s="43">
        <f t="shared" si="8"/>
        <v>0</v>
      </c>
      <c r="H16" s="44"/>
      <c r="I16" s="44"/>
      <c r="J16" s="46"/>
      <c r="K16" s="43">
        <f t="shared" si="5"/>
        <v>0</v>
      </c>
      <c r="L16" s="43"/>
      <c r="M16" s="46">
        <f t="shared" si="6"/>
        <v>228506.95990299998</v>
      </c>
      <c r="N16" s="101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</row>
    <row r="17" spans="1:34">
      <c r="A17" s="23">
        <v>13</v>
      </c>
      <c r="B17" s="24">
        <v>46217</v>
      </c>
      <c r="C17" s="44" t="s">
        <v>246</v>
      </c>
      <c r="D17" s="45" t="s">
        <v>246</v>
      </c>
      <c r="E17" s="44"/>
      <c r="F17" s="44"/>
      <c r="G17" s="43">
        <f t="shared" si="8"/>
        <v>0</v>
      </c>
      <c r="H17" s="44"/>
      <c r="I17" s="44"/>
      <c r="J17" s="46">
        <f t="shared" si="4"/>
        <v>0</v>
      </c>
      <c r="K17" s="43">
        <f t="shared" si="5"/>
        <v>0</v>
      </c>
      <c r="L17" s="43"/>
      <c r="M17" s="46">
        <f t="shared" si="6"/>
        <v>228506.95990299998</v>
      </c>
      <c r="N17" s="101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</row>
    <row r="18" spans="1:34">
      <c r="A18" s="23">
        <v>14</v>
      </c>
      <c r="B18" s="24">
        <v>46218</v>
      </c>
      <c r="C18" s="44" t="s">
        <v>246</v>
      </c>
      <c r="D18" s="45" t="s">
        <v>246</v>
      </c>
      <c r="E18" s="44"/>
      <c r="F18" s="44"/>
      <c r="G18" s="43">
        <f t="shared" si="8"/>
        <v>0</v>
      </c>
      <c r="H18" s="44"/>
      <c r="I18" s="44"/>
      <c r="J18" s="46">
        <f t="shared" si="4"/>
        <v>0</v>
      </c>
      <c r="K18" s="43">
        <f t="shared" si="5"/>
        <v>0</v>
      </c>
      <c r="L18" s="43">
        <v>150000</v>
      </c>
      <c r="M18" s="46">
        <f t="shared" si="6"/>
        <v>78506.959902999981</v>
      </c>
      <c r="N18" s="101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</row>
    <row r="19" spans="1:34">
      <c r="A19" s="23">
        <v>15</v>
      </c>
      <c r="B19" s="24">
        <v>46219</v>
      </c>
      <c r="C19" s="44" t="s">
        <v>246</v>
      </c>
      <c r="D19" s="45" t="s">
        <v>246</v>
      </c>
      <c r="E19" s="44">
        <v>1200</v>
      </c>
      <c r="F19" s="44">
        <v>99.14</v>
      </c>
      <c r="G19" s="43">
        <f t="shared" si="8"/>
        <v>118968</v>
      </c>
      <c r="H19" s="44">
        <v>70</v>
      </c>
      <c r="I19" s="44">
        <v>111.24</v>
      </c>
      <c r="J19" s="46">
        <f t="shared" si="4"/>
        <v>7786.7999999999993</v>
      </c>
      <c r="K19" s="43">
        <f t="shared" si="5"/>
        <v>126754.8</v>
      </c>
      <c r="L19" s="43"/>
      <c r="M19" s="46">
        <f t="shared" si="6"/>
        <v>205261.75990299997</v>
      </c>
      <c r="N19" s="46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</row>
    <row r="20" spans="1:34">
      <c r="A20" s="23">
        <v>16</v>
      </c>
      <c r="B20" s="24">
        <v>46220</v>
      </c>
      <c r="C20" s="44" t="s">
        <v>246</v>
      </c>
      <c r="D20" s="45" t="s">
        <v>246</v>
      </c>
      <c r="E20" s="44"/>
      <c r="F20" s="44"/>
      <c r="G20" s="43">
        <f t="shared" si="8"/>
        <v>0</v>
      </c>
      <c r="H20" s="44"/>
      <c r="I20" s="44"/>
      <c r="J20" s="46">
        <f t="shared" si="4"/>
        <v>0</v>
      </c>
      <c r="K20" s="43">
        <f t="shared" si="5"/>
        <v>0</v>
      </c>
      <c r="L20" s="43"/>
      <c r="M20" s="46">
        <f t="shared" si="6"/>
        <v>205261.75990299997</v>
      </c>
      <c r="N20" s="101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</row>
    <row r="21" spans="1:34">
      <c r="A21" s="23">
        <v>17</v>
      </c>
      <c r="B21" s="24">
        <v>46221</v>
      </c>
      <c r="C21" s="44" t="s">
        <v>246</v>
      </c>
      <c r="D21" s="45" t="s">
        <v>246</v>
      </c>
      <c r="E21" s="44"/>
      <c r="F21" s="44"/>
      <c r="G21" s="43">
        <f t="shared" si="8"/>
        <v>0</v>
      </c>
      <c r="H21" s="436"/>
      <c r="I21" s="44"/>
      <c r="J21" s="46">
        <f t="shared" si="4"/>
        <v>0</v>
      </c>
      <c r="K21" s="43">
        <f t="shared" si="5"/>
        <v>0</v>
      </c>
      <c r="L21" s="43"/>
      <c r="M21" s="46">
        <f t="shared" si="6"/>
        <v>205261.75990299997</v>
      </c>
      <c r="N21" s="101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</row>
    <row r="22" spans="1:34">
      <c r="A22" s="23">
        <v>18</v>
      </c>
      <c r="B22" s="24">
        <v>46222</v>
      </c>
      <c r="C22" s="44" t="s">
        <v>246</v>
      </c>
      <c r="D22" s="45" t="s">
        <v>246</v>
      </c>
      <c r="E22" s="44"/>
      <c r="F22" s="44"/>
      <c r="G22" s="43">
        <f t="shared" si="8"/>
        <v>0</v>
      </c>
      <c r="H22" s="44"/>
      <c r="I22" s="44"/>
      <c r="J22" s="46">
        <f t="shared" si="4"/>
        <v>0</v>
      </c>
      <c r="K22" s="43">
        <f t="shared" si="5"/>
        <v>0</v>
      </c>
      <c r="L22" s="43"/>
      <c r="M22" s="46">
        <f t="shared" si="6"/>
        <v>205261.75990299997</v>
      </c>
      <c r="N22" s="101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</row>
    <row r="23" spans="1:34">
      <c r="A23" s="23">
        <v>19</v>
      </c>
      <c r="B23" s="24">
        <v>46223</v>
      </c>
      <c r="C23" s="44" t="s">
        <v>246</v>
      </c>
      <c r="D23" s="45" t="s">
        <v>246</v>
      </c>
      <c r="E23" s="44">
        <v>1000</v>
      </c>
      <c r="F23" s="44">
        <v>99.14</v>
      </c>
      <c r="G23" s="43">
        <f t="shared" si="8"/>
        <v>99140</v>
      </c>
      <c r="H23" s="44">
        <v>35</v>
      </c>
      <c r="I23" s="44">
        <v>111.24</v>
      </c>
      <c r="J23" s="46">
        <f t="shared" si="4"/>
        <v>3893.3999999999996</v>
      </c>
      <c r="K23" s="43">
        <f t="shared" si="5"/>
        <v>103033.4</v>
      </c>
      <c r="L23" s="43"/>
      <c r="M23" s="46">
        <f t="shared" si="6"/>
        <v>308295.15990299999</v>
      </c>
      <c r="N23" s="101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</row>
    <row r="24" spans="1:34">
      <c r="A24" s="23">
        <v>20</v>
      </c>
      <c r="B24" s="24">
        <v>46224</v>
      </c>
      <c r="C24" s="44" t="s">
        <v>246</v>
      </c>
      <c r="D24" s="45" t="s">
        <v>246</v>
      </c>
      <c r="E24" s="44"/>
      <c r="F24" s="44"/>
      <c r="G24" s="43">
        <f t="shared" si="8"/>
        <v>0</v>
      </c>
      <c r="H24" s="44"/>
      <c r="I24" s="44"/>
      <c r="J24" s="46">
        <f t="shared" si="4"/>
        <v>0</v>
      </c>
      <c r="K24" s="43">
        <f t="shared" si="5"/>
        <v>0</v>
      </c>
      <c r="L24" s="43"/>
      <c r="M24" s="46">
        <f t="shared" si="6"/>
        <v>308295.15990299999</v>
      </c>
      <c r="N24" s="101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</row>
    <row r="25" spans="1:34">
      <c r="A25" s="23">
        <v>21</v>
      </c>
      <c r="B25" s="24">
        <v>46225</v>
      </c>
      <c r="C25" s="44" t="s">
        <v>246</v>
      </c>
      <c r="D25" s="45" t="s">
        <v>246</v>
      </c>
      <c r="E25" s="44"/>
      <c r="F25" s="44"/>
      <c r="G25" s="43">
        <f t="shared" si="8"/>
        <v>0</v>
      </c>
      <c r="H25" s="44"/>
      <c r="I25" s="44"/>
      <c r="J25" s="46">
        <f t="shared" si="4"/>
        <v>0</v>
      </c>
      <c r="K25" s="43">
        <f t="shared" si="5"/>
        <v>0</v>
      </c>
      <c r="L25" s="43"/>
      <c r="M25" s="46">
        <f t="shared" si="6"/>
        <v>308295.15990299999</v>
      </c>
      <c r="N25" s="101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  <row r="26" spans="1:34">
      <c r="A26" s="23">
        <v>22</v>
      </c>
      <c r="B26" s="24">
        <v>46226</v>
      </c>
      <c r="C26" s="44" t="s">
        <v>246</v>
      </c>
      <c r="D26" s="45" t="s">
        <v>246</v>
      </c>
      <c r="E26" s="44"/>
      <c r="F26" s="44"/>
      <c r="G26" s="43">
        <f t="shared" si="8"/>
        <v>0</v>
      </c>
      <c r="H26" s="44"/>
      <c r="I26" s="44"/>
      <c r="J26" s="46">
        <f t="shared" si="4"/>
        <v>0</v>
      </c>
      <c r="K26" s="43">
        <f t="shared" si="5"/>
        <v>0</v>
      </c>
      <c r="L26" s="43">
        <v>250000</v>
      </c>
      <c r="M26" s="46">
        <f t="shared" si="6"/>
        <v>58295.159902999992</v>
      </c>
      <c r="N26" s="101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</row>
    <row r="27" spans="1:34">
      <c r="A27" s="23">
        <v>23</v>
      </c>
      <c r="B27" s="24">
        <v>46227</v>
      </c>
      <c r="C27" s="44" t="s">
        <v>246</v>
      </c>
      <c r="D27" s="45" t="s">
        <v>246</v>
      </c>
      <c r="E27" s="44"/>
      <c r="F27" s="44"/>
      <c r="G27" s="43">
        <f t="shared" si="8"/>
        <v>0</v>
      </c>
      <c r="H27" s="44"/>
      <c r="I27" s="44"/>
      <c r="J27" s="46">
        <f t="shared" si="4"/>
        <v>0</v>
      </c>
      <c r="K27" s="43">
        <f t="shared" si="5"/>
        <v>0</v>
      </c>
      <c r="L27" s="43"/>
      <c r="M27" s="46">
        <f t="shared" si="6"/>
        <v>58295.159902999992</v>
      </c>
      <c r="N27" s="101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</row>
    <row r="28" spans="1:34">
      <c r="A28" s="23">
        <v>24</v>
      </c>
      <c r="B28" s="24">
        <v>46228</v>
      </c>
      <c r="C28" s="44" t="s">
        <v>246</v>
      </c>
      <c r="D28" s="45" t="s">
        <v>246</v>
      </c>
      <c r="E28" s="44">
        <v>1200</v>
      </c>
      <c r="F28" s="44">
        <v>99.14</v>
      </c>
      <c r="G28" s="43">
        <f t="shared" si="8"/>
        <v>118968</v>
      </c>
      <c r="H28" s="44">
        <v>35</v>
      </c>
      <c r="I28" s="44">
        <v>111.24</v>
      </c>
      <c r="J28" s="46">
        <f t="shared" si="4"/>
        <v>3893.3999999999996</v>
      </c>
      <c r="K28" s="43">
        <f t="shared" si="5"/>
        <v>122861.4</v>
      </c>
      <c r="L28" s="43"/>
      <c r="M28" s="46">
        <f t="shared" si="6"/>
        <v>181156.55990299999</v>
      </c>
      <c r="N28" s="101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</row>
    <row r="29" spans="1:34">
      <c r="A29" s="23">
        <v>25</v>
      </c>
      <c r="B29" s="24">
        <v>46229</v>
      </c>
      <c r="C29" s="44" t="s">
        <v>246</v>
      </c>
      <c r="D29" s="45" t="s">
        <v>246</v>
      </c>
      <c r="E29" s="44"/>
      <c r="F29" s="44"/>
      <c r="G29" s="43">
        <f t="shared" si="8"/>
        <v>0</v>
      </c>
      <c r="H29" s="44"/>
      <c r="I29" s="44"/>
      <c r="J29" s="46">
        <f t="shared" si="4"/>
        <v>0</v>
      </c>
      <c r="K29" s="43">
        <f t="shared" si="5"/>
        <v>0</v>
      </c>
      <c r="L29" s="43"/>
      <c r="M29" s="46">
        <f t="shared" si="6"/>
        <v>181156.55990299999</v>
      </c>
      <c r="N29" s="101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</row>
    <row r="30" spans="1:34">
      <c r="A30" s="23">
        <v>26</v>
      </c>
      <c r="B30" s="24">
        <v>46230</v>
      </c>
      <c r="C30" s="44"/>
      <c r="D30" s="45"/>
      <c r="E30" s="44">
        <v>1200</v>
      </c>
      <c r="F30" s="44">
        <v>99.14</v>
      </c>
      <c r="G30" s="43">
        <f t="shared" si="8"/>
        <v>118968</v>
      </c>
      <c r="H30" s="44"/>
      <c r="I30" s="44"/>
      <c r="J30" s="46">
        <f t="shared" si="4"/>
        <v>0</v>
      </c>
      <c r="K30" s="43">
        <f t="shared" si="5"/>
        <v>118968</v>
      </c>
      <c r="L30" s="43"/>
      <c r="M30" s="46">
        <f t="shared" si="6"/>
        <v>300124.55990300002</v>
      </c>
      <c r="N30" s="101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</row>
    <row r="31" spans="1:34">
      <c r="A31" s="23">
        <v>27</v>
      </c>
      <c r="B31" s="24">
        <v>46231</v>
      </c>
      <c r="C31" s="44"/>
      <c r="D31" s="45"/>
      <c r="E31" s="44"/>
      <c r="F31" s="44"/>
      <c r="G31" s="43">
        <f t="shared" si="8"/>
        <v>0</v>
      </c>
      <c r="H31" s="44"/>
      <c r="I31" s="44"/>
      <c r="J31" s="46">
        <f t="shared" si="4"/>
        <v>0</v>
      </c>
      <c r="K31" s="43">
        <f t="shared" si="5"/>
        <v>0</v>
      </c>
      <c r="L31" s="43"/>
      <c r="M31" s="46">
        <f t="shared" si="6"/>
        <v>300124.55990300002</v>
      </c>
      <c r="N31" s="101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</row>
    <row r="32" spans="1:34">
      <c r="A32" s="23">
        <v>28</v>
      </c>
      <c r="B32" s="24">
        <v>46232</v>
      </c>
      <c r="C32" s="44" t="s">
        <v>246</v>
      </c>
      <c r="D32" s="45" t="s">
        <v>246</v>
      </c>
      <c r="E32" s="44">
        <v>1500</v>
      </c>
      <c r="F32" s="44">
        <v>99.14</v>
      </c>
      <c r="G32" s="43">
        <f t="shared" si="8"/>
        <v>148710</v>
      </c>
      <c r="H32" s="44">
        <v>70</v>
      </c>
      <c r="I32" s="44">
        <v>111.24</v>
      </c>
      <c r="J32" s="46">
        <f t="shared" si="4"/>
        <v>7786.7999999999993</v>
      </c>
      <c r="K32" s="43">
        <f t="shared" si="5"/>
        <v>156496.79999999999</v>
      </c>
      <c r="L32" s="43"/>
      <c r="M32" s="46">
        <f t="shared" si="6"/>
        <v>456621.359903</v>
      </c>
      <c r="N32" s="101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</row>
    <row r="33" spans="1:34">
      <c r="A33" s="23">
        <v>29</v>
      </c>
      <c r="B33" s="24">
        <v>46233</v>
      </c>
      <c r="C33" s="44" t="s">
        <v>246</v>
      </c>
      <c r="D33" s="45" t="s">
        <v>246</v>
      </c>
      <c r="E33" s="44"/>
      <c r="F33" s="44"/>
      <c r="G33" s="43">
        <f t="shared" si="8"/>
        <v>0</v>
      </c>
      <c r="H33" s="44"/>
      <c r="I33" s="44"/>
      <c r="J33" s="46">
        <f t="shared" si="4"/>
        <v>0</v>
      </c>
      <c r="K33" s="43">
        <f t="shared" si="5"/>
        <v>0</v>
      </c>
      <c r="L33" s="43"/>
      <c r="M33" s="46">
        <f t="shared" si="6"/>
        <v>456621.359903</v>
      </c>
      <c r="N33" s="101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</row>
    <row r="34" spans="1:34">
      <c r="A34" s="23">
        <v>30</v>
      </c>
      <c r="B34" s="24">
        <v>46234</v>
      </c>
      <c r="C34" s="44" t="s">
        <v>246</v>
      </c>
      <c r="D34" s="45" t="s">
        <v>246</v>
      </c>
      <c r="E34" s="44"/>
      <c r="F34" s="44"/>
      <c r="G34" s="43">
        <f t="shared" si="8"/>
        <v>0</v>
      </c>
      <c r="H34" s="44"/>
      <c r="I34" s="44"/>
      <c r="J34" s="46">
        <f t="shared" si="4"/>
        <v>0</v>
      </c>
      <c r="K34" s="43">
        <f t="shared" si="5"/>
        <v>0</v>
      </c>
      <c r="L34" s="43">
        <v>160000</v>
      </c>
      <c r="M34" s="46">
        <f t="shared" si="6"/>
        <v>296621.359903</v>
      </c>
      <c r="N34" s="101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</row>
    <row r="35" spans="1:34">
      <c r="A35" s="23">
        <v>31</v>
      </c>
      <c r="B35" s="24"/>
      <c r="C35" s="43"/>
      <c r="D35" s="45" t="s">
        <v>246</v>
      </c>
      <c r="E35" s="44"/>
      <c r="F35" s="44"/>
      <c r="G35" s="43">
        <f t="shared" si="8"/>
        <v>0</v>
      </c>
      <c r="H35" s="44"/>
      <c r="I35" s="44"/>
      <c r="J35" s="46">
        <f t="shared" si="4"/>
        <v>0</v>
      </c>
      <c r="K35" s="43">
        <f t="shared" si="5"/>
        <v>0</v>
      </c>
      <c r="L35" s="43"/>
      <c r="M35" s="46">
        <f t="shared" si="6"/>
        <v>296621.359903</v>
      </c>
      <c r="N35" s="101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</row>
    <row r="36" spans="1:34">
      <c r="A36" s="23">
        <v>32</v>
      </c>
      <c r="B36" s="24"/>
      <c r="C36" s="43"/>
      <c r="D36" s="45" t="s">
        <v>246</v>
      </c>
      <c r="E36" s="44"/>
      <c r="F36" s="44"/>
      <c r="G36" s="43">
        <f t="shared" si="8"/>
        <v>0</v>
      </c>
      <c r="H36" s="44"/>
      <c r="I36" s="44"/>
      <c r="J36" s="46">
        <f t="shared" si="4"/>
        <v>0</v>
      </c>
      <c r="K36" s="43">
        <f t="shared" si="5"/>
        <v>0</v>
      </c>
      <c r="L36" s="43"/>
      <c r="M36" s="46">
        <f t="shared" si="6"/>
        <v>296621.359903</v>
      </c>
      <c r="N36" s="101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</row>
    <row r="37" spans="1:34">
      <c r="A37" s="23">
        <v>33</v>
      </c>
      <c r="B37" s="24"/>
      <c r="C37" s="43"/>
      <c r="D37" s="45" t="s">
        <v>246</v>
      </c>
      <c r="E37" s="44"/>
      <c r="F37" s="44"/>
      <c r="G37" s="43">
        <f t="shared" si="8"/>
        <v>0</v>
      </c>
      <c r="H37" s="44"/>
      <c r="I37" s="44"/>
      <c r="J37" s="46">
        <f t="shared" ref="J6:J37" si="9">H37*I37</f>
        <v>0</v>
      </c>
      <c r="K37" s="43">
        <f t="shared" ref="K6:K38" si="10">G37+J37</f>
        <v>0</v>
      </c>
      <c r="L37" s="43"/>
      <c r="M37" s="46">
        <f t="shared" si="6"/>
        <v>296621.359903</v>
      </c>
      <c r="N37" s="101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</row>
    <row r="38" spans="1:34">
      <c r="A38" s="23">
        <v>34</v>
      </c>
      <c r="B38" s="24"/>
      <c r="C38" s="43"/>
      <c r="D38" s="45" t="s">
        <v>246</v>
      </c>
      <c r="E38" s="44"/>
      <c r="F38" s="44"/>
      <c r="G38" s="43">
        <f t="shared" ref="G6:G38" si="11">E38*F38</f>
        <v>0</v>
      </c>
      <c r="H38" s="44"/>
      <c r="I38" s="44"/>
      <c r="J38" s="46">
        <f t="shared" ref="J6:J38" si="12">H38*I38</f>
        <v>0</v>
      </c>
      <c r="K38" s="43">
        <f t="shared" si="10"/>
        <v>0</v>
      </c>
      <c r="L38" s="104"/>
      <c r="M38" s="46">
        <f t="shared" si="6"/>
        <v>296621.359903</v>
      </c>
      <c r="N38" s="101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</row>
    <row r="39" spans="1:34">
      <c r="A39" s="39"/>
      <c r="B39" s="39"/>
      <c r="C39" s="39"/>
      <c r="D39" s="39"/>
      <c r="E39" s="40">
        <f>SUM(E4:E38)</f>
        <v>8500</v>
      </c>
      <c r="F39" s="40"/>
      <c r="G39" s="40">
        <f>SUM(G4:G38)</f>
        <v>842690</v>
      </c>
      <c r="H39" s="40">
        <f>SUM(H4:H38)</f>
        <v>280</v>
      </c>
      <c r="I39" s="40"/>
      <c r="J39" s="40">
        <f>SUM(J4:J38)</f>
        <v>31147.200000000001</v>
      </c>
      <c r="K39" s="40">
        <f>SUM(K4:K38)</f>
        <v>873837.2</v>
      </c>
      <c r="L39" s="40">
        <f>SUM(L4:L38)</f>
        <v>860000</v>
      </c>
      <c r="M39" s="40"/>
      <c r="N39" s="40"/>
      <c r="O39" s="30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</row>
    <row r="40" spans="1:34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</row>
    <row r="41" spans="1:34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</row>
  </sheetData>
  <mergeCells count="2">
    <mergeCell ref="A1:N1"/>
    <mergeCell ref="A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660B-2832-46A0-9F46-5DA983B0C51D}">
  <dimension ref="A1:AH41"/>
  <sheetViews>
    <sheetView topLeftCell="A26" workbookViewId="0">
      <selection activeCell="L34" sqref="L34:M34"/>
    </sheetView>
  </sheetViews>
  <sheetFormatPr defaultRowHeight="15"/>
  <cols>
    <col min="11" max="11" width="10.7109375" customWidth="1"/>
    <col min="12" max="12" width="10.28515625" customWidth="1"/>
    <col min="13" max="13" width="11.7109375" customWidth="1"/>
  </cols>
  <sheetData>
    <row r="1" spans="1:34">
      <c r="A1" s="562" t="s">
        <v>248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</row>
    <row r="2" spans="1:34" ht="27">
      <c r="A2" s="84" t="s">
        <v>0</v>
      </c>
      <c r="B2" s="85" t="s">
        <v>163</v>
      </c>
      <c r="C2" s="85" t="s">
        <v>164</v>
      </c>
      <c r="D2" s="85" t="s">
        <v>165</v>
      </c>
      <c r="E2" s="85" t="s">
        <v>166</v>
      </c>
      <c r="F2" s="85" t="s">
        <v>167</v>
      </c>
      <c r="G2" s="85" t="s">
        <v>168</v>
      </c>
      <c r="H2" s="85" t="s">
        <v>169</v>
      </c>
      <c r="I2" s="85" t="s">
        <v>167</v>
      </c>
      <c r="J2" s="108" t="s">
        <v>168</v>
      </c>
      <c r="K2" s="85" t="s">
        <v>170</v>
      </c>
      <c r="L2" s="108" t="s">
        <v>171</v>
      </c>
      <c r="M2" s="107" t="s">
        <v>187</v>
      </c>
      <c r="N2" s="86" t="s">
        <v>173</v>
      </c>
      <c r="O2" s="3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</row>
    <row r="3" spans="1:34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63"/>
      <c r="K3" s="26">
        <v>207747.6</v>
      </c>
      <c r="L3" s="43"/>
      <c r="M3" s="109">
        <v>207747.6</v>
      </c>
      <c r="N3" s="43"/>
      <c r="O3" s="30"/>
      <c r="P3" s="46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</row>
    <row r="4" spans="1:34">
      <c r="A4" s="23">
        <v>1</v>
      </c>
      <c r="B4" s="24">
        <v>46204</v>
      </c>
      <c r="C4" s="44" t="s">
        <v>246</v>
      </c>
      <c r="D4" s="45" t="s">
        <v>246</v>
      </c>
      <c r="E4" s="44"/>
      <c r="F4" s="44"/>
      <c r="G4" s="43"/>
      <c r="H4" s="44"/>
      <c r="I4" s="44"/>
      <c r="J4" s="46"/>
      <c r="K4" s="43"/>
      <c r="L4" s="43">
        <v>200000</v>
      </c>
      <c r="M4" s="46">
        <f>M3+K4-L4</f>
        <v>7747.6000000000058</v>
      </c>
      <c r="N4" s="101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</row>
    <row r="5" spans="1:34">
      <c r="A5" s="23"/>
      <c r="B5" s="24">
        <v>46205</v>
      </c>
      <c r="C5" s="44"/>
      <c r="D5" s="45"/>
      <c r="E5" s="44"/>
      <c r="F5" s="44"/>
      <c r="G5" s="43"/>
      <c r="H5" s="44"/>
      <c r="I5" s="44"/>
      <c r="J5" s="46"/>
      <c r="K5" s="43"/>
      <c r="L5" s="43"/>
      <c r="M5" s="46">
        <f>M4+K5-L5</f>
        <v>7747.6000000000058</v>
      </c>
      <c r="N5" s="428" t="s">
        <v>247</v>
      </c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</row>
    <row r="6" spans="1:34">
      <c r="A6" s="23">
        <v>2</v>
      </c>
      <c r="B6" s="24">
        <v>46206</v>
      </c>
      <c r="C6" s="44" t="s">
        <v>246</v>
      </c>
      <c r="D6" s="45" t="s">
        <v>246</v>
      </c>
      <c r="E6" s="44"/>
      <c r="F6" s="44"/>
      <c r="G6" s="43"/>
      <c r="H6" s="44"/>
      <c r="I6" s="44"/>
      <c r="J6" s="46"/>
      <c r="K6" s="43"/>
      <c r="L6" s="43"/>
      <c r="M6" s="46">
        <f>M4+K6-L6</f>
        <v>7747.6000000000058</v>
      </c>
      <c r="N6" s="101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</row>
    <row r="7" spans="1:34">
      <c r="A7" s="23">
        <v>3</v>
      </c>
      <c r="B7" s="24">
        <v>46207</v>
      </c>
      <c r="C7" s="44" t="s">
        <v>246</v>
      </c>
      <c r="D7" s="45" t="s">
        <v>246</v>
      </c>
      <c r="E7" s="44">
        <v>1000</v>
      </c>
      <c r="F7" s="44">
        <v>99.02</v>
      </c>
      <c r="G7" s="43">
        <f>E7*F7</f>
        <v>99020</v>
      </c>
      <c r="H7" s="44">
        <v>35</v>
      </c>
      <c r="I7" s="44">
        <v>111.12</v>
      </c>
      <c r="J7" s="46">
        <f>H7*I7</f>
        <v>3889.2000000000003</v>
      </c>
      <c r="K7" s="46">
        <f>G7+J7</f>
        <v>102909.2</v>
      </c>
      <c r="L7" s="43"/>
      <c r="M7" s="46">
        <f t="shared" ref="M7:M38" si="0">M6+K7-L7</f>
        <v>110656.8</v>
      </c>
      <c r="N7" s="106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</row>
    <row r="8" spans="1:34">
      <c r="A8" s="23">
        <v>4</v>
      </c>
      <c r="B8" s="24">
        <v>46208</v>
      </c>
      <c r="C8" s="44" t="s">
        <v>246</v>
      </c>
      <c r="D8" s="45" t="s">
        <v>246</v>
      </c>
      <c r="E8" s="44"/>
      <c r="F8" s="44"/>
      <c r="G8" s="43">
        <f t="shared" ref="G8:G9" si="1">E8*F8</f>
        <v>0</v>
      </c>
      <c r="H8" s="44"/>
      <c r="I8" s="44"/>
      <c r="J8" s="46"/>
      <c r="K8" s="46">
        <f t="shared" ref="K8:K9" si="2">G8+J8</f>
        <v>0</v>
      </c>
      <c r="L8" s="43"/>
      <c r="M8" s="46">
        <f t="shared" si="0"/>
        <v>110656.8</v>
      </c>
      <c r="N8" s="106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</row>
    <row r="9" spans="1:34">
      <c r="A9" s="23">
        <v>5</v>
      </c>
      <c r="B9" s="24">
        <v>46209</v>
      </c>
      <c r="C9" s="44" t="s">
        <v>246</v>
      </c>
      <c r="D9" s="45" t="s">
        <v>246</v>
      </c>
      <c r="E9" s="44">
        <v>1000</v>
      </c>
      <c r="F9" s="44">
        <v>99.02</v>
      </c>
      <c r="G9" s="43">
        <f t="shared" si="1"/>
        <v>99020</v>
      </c>
      <c r="H9" s="44"/>
      <c r="I9" s="44"/>
      <c r="J9" s="46"/>
      <c r="K9" s="46">
        <f t="shared" si="2"/>
        <v>99020</v>
      </c>
      <c r="L9" s="43"/>
      <c r="M9" s="46">
        <f t="shared" si="0"/>
        <v>209676.79999999999</v>
      </c>
      <c r="N9" s="101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</row>
    <row r="10" spans="1:34">
      <c r="A10" s="23">
        <v>6</v>
      </c>
      <c r="B10" s="24">
        <v>46210</v>
      </c>
      <c r="C10" s="44" t="s">
        <v>246</v>
      </c>
      <c r="D10" s="45" t="s">
        <v>246</v>
      </c>
      <c r="E10" s="44"/>
      <c r="F10" s="44"/>
      <c r="G10" s="43"/>
      <c r="H10" s="44"/>
      <c r="I10" s="44"/>
      <c r="J10" s="46"/>
      <c r="K10" s="43"/>
      <c r="L10" s="43"/>
      <c r="M10" s="46">
        <f t="shared" si="0"/>
        <v>209676.79999999999</v>
      </c>
      <c r="N10" s="106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</row>
    <row r="11" spans="1:34">
      <c r="A11" s="23">
        <v>7</v>
      </c>
      <c r="B11" s="24">
        <v>46211</v>
      </c>
      <c r="C11" s="44" t="s">
        <v>246</v>
      </c>
      <c r="D11" s="45" t="s">
        <v>246</v>
      </c>
      <c r="E11" s="44"/>
      <c r="F11" s="44"/>
      <c r="G11" s="43"/>
      <c r="H11" s="44"/>
      <c r="I11" s="44"/>
      <c r="J11" s="46"/>
      <c r="K11" s="43"/>
      <c r="L11" s="43"/>
      <c r="M11" s="46">
        <f t="shared" si="0"/>
        <v>209676.79999999999</v>
      </c>
      <c r="N11" s="101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</row>
    <row r="12" spans="1:34">
      <c r="A12" s="23">
        <v>8</v>
      </c>
      <c r="B12" s="24">
        <v>46212</v>
      </c>
      <c r="C12" s="44" t="s">
        <v>246</v>
      </c>
      <c r="D12" s="45" t="s">
        <v>246</v>
      </c>
      <c r="E12" s="44"/>
      <c r="F12" s="44"/>
      <c r="G12" s="43"/>
      <c r="H12" s="44"/>
      <c r="I12" s="44"/>
      <c r="J12" s="46"/>
      <c r="K12" s="43"/>
      <c r="L12" s="43"/>
      <c r="M12" s="46">
        <f t="shared" si="0"/>
        <v>209676.79999999999</v>
      </c>
      <c r="N12" s="105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</row>
    <row r="13" spans="1:34">
      <c r="A13" s="23">
        <v>9</v>
      </c>
      <c r="B13" s="24">
        <v>46213</v>
      </c>
      <c r="C13" s="44" t="s">
        <v>246</v>
      </c>
      <c r="D13" s="45" t="s">
        <v>246</v>
      </c>
      <c r="E13" s="44"/>
      <c r="F13" s="44"/>
      <c r="G13" s="43"/>
      <c r="H13" s="44"/>
      <c r="I13" s="44"/>
      <c r="J13" s="46"/>
      <c r="K13" s="43"/>
      <c r="L13" s="43"/>
      <c r="M13" s="46">
        <f t="shared" si="0"/>
        <v>209676.79999999999</v>
      </c>
      <c r="N13" s="101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</row>
    <row r="14" spans="1:34">
      <c r="A14" s="23">
        <v>10</v>
      </c>
      <c r="B14" s="24">
        <v>46214</v>
      </c>
      <c r="C14" s="44" t="s">
        <v>246</v>
      </c>
      <c r="D14" s="45" t="s">
        <v>246</v>
      </c>
      <c r="E14" s="44"/>
      <c r="F14" s="44"/>
      <c r="G14" s="43"/>
      <c r="H14" s="44"/>
      <c r="I14" s="44"/>
      <c r="J14" s="46"/>
      <c r="K14" s="43"/>
      <c r="L14" s="43"/>
      <c r="M14" s="46">
        <f t="shared" si="0"/>
        <v>209676.79999999999</v>
      </c>
      <c r="N14" s="101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</row>
    <row r="15" spans="1:34">
      <c r="A15" s="23">
        <v>11</v>
      </c>
      <c r="B15" s="24">
        <v>46215</v>
      </c>
      <c r="C15" s="44" t="s">
        <v>246</v>
      </c>
      <c r="D15" s="45" t="s">
        <v>246</v>
      </c>
      <c r="E15" s="44"/>
      <c r="F15" s="44"/>
      <c r="G15" s="43"/>
      <c r="H15" s="44"/>
      <c r="I15" s="44"/>
      <c r="J15" s="46"/>
      <c r="K15" s="43"/>
      <c r="L15" s="43"/>
      <c r="M15" s="46">
        <f t="shared" si="0"/>
        <v>209676.79999999999</v>
      </c>
      <c r="N15" s="10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</row>
    <row r="16" spans="1:34">
      <c r="A16" s="23">
        <v>12</v>
      </c>
      <c r="B16" s="24">
        <v>46216</v>
      </c>
      <c r="C16" s="44"/>
      <c r="D16" s="45"/>
      <c r="E16" s="44">
        <v>1000</v>
      </c>
      <c r="F16" s="44">
        <v>99.02</v>
      </c>
      <c r="G16" s="43">
        <f t="shared" ref="G4:G38" si="3">E16*F16</f>
        <v>99020</v>
      </c>
      <c r="H16" s="44">
        <v>35</v>
      </c>
      <c r="I16" s="44">
        <v>111.12</v>
      </c>
      <c r="J16" s="46">
        <f>H16*I16</f>
        <v>3889.2000000000003</v>
      </c>
      <c r="K16" s="43">
        <f t="shared" ref="K4:L19" si="4">G16+J16</f>
        <v>102909.2</v>
      </c>
      <c r="L16" s="43"/>
      <c r="M16" s="46">
        <f t="shared" si="0"/>
        <v>312586</v>
      </c>
      <c r="N16" s="101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</row>
    <row r="17" spans="1:34">
      <c r="A17" s="23">
        <v>13</v>
      </c>
      <c r="B17" s="24">
        <v>46217</v>
      </c>
      <c r="C17" s="44" t="s">
        <v>246</v>
      </c>
      <c r="D17" s="45" t="s">
        <v>246</v>
      </c>
      <c r="E17" s="44"/>
      <c r="F17" s="44"/>
      <c r="G17" s="43">
        <f t="shared" si="3"/>
        <v>0</v>
      </c>
      <c r="H17" s="44"/>
      <c r="I17" s="44"/>
      <c r="J17" s="46">
        <f t="shared" ref="J6:J38" si="5">H17*I17</f>
        <v>0</v>
      </c>
      <c r="K17" s="43">
        <f t="shared" si="4"/>
        <v>0</v>
      </c>
      <c r="L17" s="43"/>
      <c r="M17" s="46">
        <f t="shared" si="0"/>
        <v>312586</v>
      </c>
      <c r="N17" s="101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</row>
    <row r="18" spans="1:34">
      <c r="A18" s="23">
        <v>14</v>
      </c>
      <c r="B18" s="24">
        <v>46218</v>
      </c>
      <c r="C18" s="44" t="s">
        <v>246</v>
      </c>
      <c r="D18" s="45" t="s">
        <v>246</v>
      </c>
      <c r="E18" s="44"/>
      <c r="F18" s="44"/>
      <c r="G18" s="43">
        <f t="shared" si="3"/>
        <v>0</v>
      </c>
      <c r="H18" s="44"/>
      <c r="I18" s="44"/>
      <c r="J18" s="46">
        <f t="shared" si="5"/>
        <v>0</v>
      </c>
      <c r="K18" s="43">
        <f t="shared" si="4"/>
        <v>0</v>
      </c>
      <c r="L18" s="43">
        <v>150000</v>
      </c>
      <c r="M18" s="46">
        <f t="shared" si="0"/>
        <v>162586</v>
      </c>
      <c r="N18" s="101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</row>
    <row r="19" spans="1:34">
      <c r="A19" s="23">
        <v>15</v>
      </c>
      <c r="B19" s="24">
        <v>46219</v>
      </c>
      <c r="C19" s="44" t="s">
        <v>246</v>
      </c>
      <c r="D19" s="45" t="s">
        <v>246</v>
      </c>
      <c r="E19" s="44"/>
      <c r="F19" s="44"/>
      <c r="G19" s="43">
        <f t="shared" si="3"/>
        <v>0</v>
      </c>
      <c r="H19" s="44"/>
      <c r="I19" s="44"/>
      <c r="J19" s="46">
        <f t="shared" si="5"/>
        <v>0</v>
      </c>
      <c r="K19" s="43">
        <f t="shared" si="4"/>
        <v>0</v>
      </c>
      <c r="L19" s="43"/>
      <c r="M19" s="46">
        <f t="shared" si="0"/>
        <v>162586</v>
      </c>
      <c r="N19" s="46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</row>
    <row r="20" spans="1:34">
      <c r="A20" s="23">
        <v>16</v>
      </c>
      <c r="B20" s="24">
        <v>46220</v>
      </c>
      <c r="C20" s="44" t="s">
        <v>246</v>
      </c>
      <c r="D20" s="45" t="s">
        <v>246</v>
      </c>
      <c r="E20" s="44"/>
      <c r="F20" s="44"/>
      <c r="G20" s="43">
        <f t="shared" si="3"/>
        <v>0</v>
      </c>
      <c r="H20" s="44"/>
      <c r="I20" s="44"/>
      <c r="J20" s="46">
        <f t="shared" si="5"/>
        <v>0</v>
      </c>
      <c r="K20" s="43">
        <f t="shared" ref="K20:K41" si="6">G20+J20</f>
        <v>0</v>
      </c>
      <c r="L20" s="43"/>
      <c r="M20" s="46">
        <f t="shared" si="0"/>
        <v>162586</v>
      </c>
      <c r="N20" s="101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</row>
    <row r="21" spans="1:34">
      <c r="A21" s="23">
        <v>17</v>
      </c>
      <c r="B21" s="24">
        <v>46221</v>
      </c>
      <c r="C21" s="44" t="s">
        <v>246</v>
      </c>
      <c r="D21" s="45" t="s">
        <v>246</v>
      </c>
      <c r="E21" s="44"/>
      <c r="F21" s="44"/>
      <c r="G21" s="43">
        <f t="shared" si="3"/>
        <v>0</v>
      </c>
      <c r="H21" s="44"/>
      <c r="I21" s="44"/>
      <c r="J21" s="46">
        <f t="shared" si="5"/>
        <v>0</v>
      </c>
      <c r="K21" s="43">
        <f t="shared" si="6"/>
        <v>0</v>
      </c>
      <c r="L21" s="43"/>
      <c r="M21" s="46">
        <f t="shared" si="0"/>
        <v>162586</v>
      </c>
      <c r="N21" s="101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</row>
    <row r="22" spans="1:34">
      <c r="A22" s="23">
        <v>18</v>
      </c>
      <c r="B22" s="24">
        <v>46222</v>
      </c>
      <c r="C22" s="44" t="s">
        <v>246</v>
      </c>
      <c r="D22" s="45" t="s">
        <v>246</v>
      </c>
      <c r="E22" s="44"/>
      <c r="F22" s="44"/>
      <c r="G22" s="43">
        <f t="shared" si="3"/>
        <v>0</v>
      </c>
      <c r="H22" s="44"/>
      <c r="I22" s="44"/>
      <c r="J22" s="46">
        <f t="shared" si="5"/>
        <v>0</v>
      </c>
      <c r="K22" s="43">
        <f t="shared" si="6"/>
        <v>0</v>
      </c>
      <c r="L22" s="43"/>
      <c r="M22" s="46">
        <f t="shared" si="0"/>
        <v>162586</v>
      </c>
      <c r="N22" s="101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</row>
    <row r="23" spans="1:34">
      <c r="A23" s="23">
        <v>19</v>
      </c>
      <c r="B23" s="24">
        <v>46223</v>
      </c>
      <c r="C23" s="44" t="s">
        <v>246</v>
      </c>
      <c r="D23" s="45" t="s">
        <v>246</v>
      </c>
      <c r="E23" s="44"/>
      <c r="F23" s="44"/>
      <c r="G23" s="43">
        <f t="shared" si="3"/>
        <v>0</v>
      </c>
      <c r="H23" s="44"/>
      <c r="I23" s="44"/>
      <c r="J23" s="46">
        <f t="shared" si="5"/>
        <v>0</v>
      </c>
      <c r="K23" s="43">
        <f t="shared" si="6"/>
        <v>0</v>
      </c>
      <c r="L23" s="43"/>
      <c r="M23" s="46">
        <f t="shared" si="0"/>
        <v>162586</v>
      </c>
      <c r="N23" s="101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</row>
    <row r="24" spans="1:34">
      <c r="A24" s="23">
        <v>20</v>
      </c>
      <c r="B24" s="24">
        <v>46224</v>
      </c>
      <c r="C24" s="44" t="s">
        <v>246</v>
      </c>
      <c r="D24" s="45" t="s">
        <v>246</v>
      </c>
      <c r="E24" s="44"/>
      <c r="F24" s="44"/>
      <c r="G24" s="43">
        <f t="shared" si="3"/>
        <v>0</v>
      </c>
      <c r="H24" s="44"/>
      <c r="I24" s="44"/>
      <c r="J24" s="46">
        <f t="shared" si="5"/>
        <v>0</v>
      </c>
      <c r="K24" s="43">
        <f t="shared" si="6"/>
        <v>0</v>
      </c>
      <c r="L24" s="43"/>
      <c r="M24" s="46">
        <f t="shared" si="0"/>
        <v>162586</v>
      </c>
      <c r="N24" s="101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</row>
    <row r="25" spans="1:34">
      <c r="A25" s="23">
        <v>21</v>
      </c>
      <c r="B25" s="24">
        <v>46225</v>
      </c>
      <c r="C25" s="44" t="s">
        <v>246</v>
      </c>
      <c r="D25" s="45" t="s">
        <v>246</v>
      </c>
      <c r="E25" s="44">
        <v>1200</v>
      </c>
      <c r="F25" s="44">
        <v>99.02</v>
      </c>
      <c r="G25" s="43">
        <f t="shared" si="3"/>
        <v>118824</v>
      </c>
      <c r="H25" s="44">
        <v>35</v>
      </c>
      <c r="I25" s="44">
        <v>111.12</v>
      </c>
      <c r="J25" s="46">
        <f t="shared" si="5"/>
        <v>3889.2000000000003</v>
      </c>
      <c r="K25" s="43">
        <f t="shared" si="6"/>
        <v>122713.2</v>
      </c>
      <c r="L25" s="43">
        <v>150000</v>
      </c>
      <c r="M25" s="46">
        <f t="shared" si="0"/>
        <v>135299.20000000001</v>
      </c>
      <c r="N25" s="101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  <row r="26" spans="1:34">
      <c r="A26" s="23">
        <v>22</v>
      </c>
      <c r="B26" s="24">
        <v>46226</v>
      </c>
      <c r="C26" s="44" t="s">
        <v>246</v>
      </c>
      <c r="D26" s="45" t="s">
        <v>246</v>
      </c>
      <c r="E26" s="44"/>
      <c r="F26" s="44"/>
      <c r="G26" s="43">
        <f t="shared" si="3"/>
        <v>0</v>
      </c>
      <c r="H26" s="44"/>
      <c r="I26" s="44"/>
      <c r="J26" s="46">
        <f t="shared" si="5"/>
        <v>0</v>
      </c>
      <c r="K26" s="43">
        <f t="shared" si="6"/>
        <v>0</v>
      </c>
      <c r="L26" s="43"/>
      <c r="M26" s="46">
        <f t="shared" si="0"/>
        <v>135299.20000000001</v>
      </c>
      <c r="N26" s="101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</row>
    <row r="27" spans="1:34">
      <c r="A27" s="23">
        <v>23</v>
      </c>
      <c r="B27" s="24">
        <v>46227</v>
      </c>
      <c r="C27" s="44" t="s">
        <v>246</v>
      </c>
      <c r="D27" s="45" t="s">
        <v>246</v>
      </c>
      <c r="E27" s="44"/>
      <c r="F27" s="44"/>
      <c r="G27" s="43">
        <f t="shared" si="3"/>
        <v>0</v>
      </c>
      <c r="H27" s="44"/>
      <c r="I27" s="44"/>
      <c r="J27" s="46">
        <f t="shared" si="5"/>
        <v>0</v>
      </c>
      <c r="K27" s="43">
        <f t="shared" si="6"/>
        <v>0</v>
      </c>
      <c r="L27" s="43"/>
      <c r="M27" s="46">
        <f t="shared" si="0"/>
        <v>135299.20000000001</v>
      </c>
      <c r="N27" s="101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</row>
    <row r="28" spans="1:34">
      <c r="A28" s="23">
        <v>24</v>
      </c>
      <c r="B28" s="24">
        <v>46228</v>
      </c>
      <c r="C28" s="44" t="s">
        <v>246</v>
      </c>
      <c r="D28" s="45" t="s">
        <v>246</v>
      </c>
      <c r="E28" s="44"/>
      <c r="F28" s="44"/>
      <c r="G28" s="43">
        <f t="shared" si="3"/>
        <v>0</v>
      </c>
      <c r="H28" s="44"/>
      <c r="I28" s="44"/>
      <c r="J28" s="46">
        <f t="shared" si="5"/>
        <v>0</v>
      </c>
      <c r="K28" s="43">
        <f t="shared" si="6"/>
        <v>0</v>
      </c>
      <c r="L28" s="43"/>
      <c r="M28" s="46">
        <f t="shared" si="0"/>
        <v>135299.20000000001</v>
      </c>
      <c r="N28" s="101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</row>
    <row r="29" spans="1:34">
      <c r="A29" s="23">
        <v>25</v>
      </c>
      <c r="B29" s="24">
        <v>46229</v>
      </c>
      <c r="C29" s="44" t="s">
        <v>246</v>
      </c>
      <c r="D29" s="45" t="s">
        <v>246</v>
      </c>
      <c r="E29" s="44"/>
      <c r="F29" s="44"/>
      <c r="G29" s="43">
        <f t="shared" si="3"/>
        <v>0</v>
      </c>
      <c r="H29" s="44"/>
      <c r="I29" s="44"/>
      <c r="J29" s="46">
        <f t="shared" si="5"/>
        <v>0</v>
      </c>
      <c r="K29" s="43">
        <f t="shared" si="6"/>
        <v>0</v>
      </c>
      <c r="L29" s="43"/>
      <c r="M29" s="46">
        <f t="shared" si="0"/>
        <v>135299.20000000001</v>
      </c>
      <c r="N29" s="101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</row>
    <row r="30" spans="1:34">
      <c r="A30" s="23">
        <v>26</v>
      </c>
      <c r="B30" s="24">
        <v>46230</v>
      </c>
      <c r="C30" s="44"/>
      <c r="D30" s="45"/>
      <c r="E30" s="44"/>
      <c r="F30" s="44"/>
      <c r="G30" s="43">
        <f t="shared" si="3"/>
        <v>0</v>
      </c>
      <c r="H30" s="44"/>
      <c r="I30" s="44"/>
      <c r="J30" s="46">
        <f t="shared" si="5"/>
        <v>0</v>
      </c>
      <c r="K30" s="43">
        <f t="shared" si="6"/>
        <v>0</v>
      </c>
      <c r="L30" s="43"/>
      <c r="M30" s="46">
        <f t="shared" si="0"/>
        <v>135299.20000000001</v>
      </c>
      <c r="N30" s="101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</row>
    <row r="31" spans="1:34">
      <c r="A31" s="23">
        <v>27</v>
      </c>
      <c r="B31" s="24">
        <v>46231</v>
      </c>
      <c r="C31" s="44"/>
      <c r="D31" s="45"/>
      <c r="E31" s="44"/>
      <c r="F31" s="44"/>
      <c r="G31" s="43">
        <f t="shared" si="3"/>
        <v>0</v>
      </c>
      <c r="H31" s="44"/>
      <c r="I31" s="44"/>
      <c r="J31" s="46">
        <f t="shared" si="5"/>
        <v>0</v>
      </c>
      <c r="K31" s="43">
        <f t="shared" si="6"/>
        <v>0</v>
      </c>
      <c r="L31" s="43"/>
      <c r="M31" s="46">
        <f t="shared" si="0"/>
        <v>135299.20000000001</v>
      </c>
      <c r="N31" s="101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</row>
    <row r="32" spans="1:34">
      <c r="A32" s="23">
        <v>28</v>
      </c>
      <c r="B32" s="24">
        <v>46232</v>
      </c>
      <c r="C32" s="44" t="s">
        <v>246</v>
      </c>
      <c r="D32" s="45" t="s">
        <v>246</v>
      </c>
      <c r="E32" s="44"/>
      <c r="F32" s="44"/>
      <c r="G32" s="43">
        <f t="shared" si="3"/>
        <v>0</v>
      </c>
      <c r="H32" s="44"/>
      <c r="I32" s="44"/>
      <c r="J32" s="46">
        <f t="shared" si="5"/>
        <v>0</v>
      </c>
      <c r="K32" s="43">
        <f t="shared" si="6"/>
        <v>0</v>
      </c>
      <c r="L32" s="43"/>
      <c r="M32" s="46">
        <f t="shared" si="0"/>
        <v>135299.20000000001</v>
      </c>
      <c r="N32" s="101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</row>
    <row r="33" spans="1:34">
      <c r="A33" s="23">
        <v>29</v>
      </c>
      <c r="B33" s="24">
        <v>46233</v>
      </c>
      <c r="C33" s="44" t="s">
        <v>246</v>
      </c>
      <c r="D33" s="45" t="s">
        <v>246</v>
      </c>
      <c r="E33" s="44"/>
      <c r="F33" s="44"/>
      <c r="G33" s="43">
        <f t="shared" si="3"/>
        <v>0</v>
      </c>
      <c r="H33" s="44"/>
      <c r="I33" s="44"/>
      <c r="J33" s="46">
        <f t="shared" si="5"/>
        <v>0</v>
      </c>
      <c r="K33" s="43">
        <f t="shared" si="6"/>
        <v>0</v>
      </c>
      <c r="L33" s="43"/>
      <c r="M33" s="46">
        <f t="shared" si="0"/>
        <v>135299.20000000001</v>
      </c>
      <c r="N33" s="101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</row>
    <row r="34" spans="1:34">
      <c r="A34" s="23">
        <v>30</v>
      </c>
      <c r="B34" s="24">
        <v>46234</v>
      </c>
      <c r="C34" s="44" t="s">
        <v>246</v>
      </c>
      <c r="D34" s="45" t="s">
        <v>246</v>
      </c>
      <c r="E34" s="44">
        <v>403.96</v>
      </c>
      <c r="F34" s="44">
        <v>99.02</v>
      </c>
      <c r="G34" s="43">
        <f t="shared" si="3"/>
        <v>40000.119199999994</v>
      </c>
      <c r="H34" s="44"/>
      <c r="I34" s="44"/>
      <c r="J34" s="46">
        <f t="shared" si="5"/>
        <v>0</v>
      </c>
      <c r="K34" s="43">
        <f t="shared" si="6"/>
        <v>40000.119199999994</v>
      </c>
      <c r="L34" s="43">
        <v>175000</v>
      </c>
      <c r="M34" s="46">
        <f t="shared" si="0"/>
        <v>299.31919999999809</v>
      </c>
      <c r="N34" s="101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</row>
    <row r="35" spans="1:34">
      <c r="A35" s="23">
        <v>31</v>
      </c>
      <c r="B35" s="24"/>
      <c r="C35" s="43"/>
      <c r="D35" s="45" t="s">
        <v>246</v>
      </c>
      <c r="E35" s="44"/>
      <c r="F35" s="44"/>
      <c r="G35" s="43">
        <f t="shared" si="3"/>
        <v>0</v>
      </c>
      <c r="H35" s="44"/>
      <c r="I35" s="44"/>
      <c r="J35" s="46">
        <f t="shared" si="5"/>
        <v>0</v>
      </c>
      <c r="K35" s="43">
        <f t="shared" si="6"/>
        <v>0</v>
      </c>
      <c r="L35" s="43"/>
      <c r="M35" s="46">
        <f t="shared" si="0"/>
        <v>299.31919999999809</v>
      </c>
      <c r="N35" s="101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</row>
    <row r="36" spans="1:34">
      <c r="A36" s="23">
        <v>32</v>
      </c>
      <c r="B36" s="24"/>
      <c r="C36" s="43"/>
      <c r="D36" s="45" t="s">
        <v>246</v>
      </c>
      <c r="E36" s="44"/>
      <c r="F36" s="44"/>
      <c r="G36" s="43">
        <f t="shared" si="3"/>
        <v>0</v>
      </c>
      <c r="H36" s="44"/>
      <c r="I36" s="44"/>
      <c r="J36" s="46">
        <f t="shared" si="5"/>
        <v>0</v>
      </c>
      <c r="K36" s="43">
        <f t="shared" si="6"/>
        <v>0</v>
      </c>
      <c r="L36" s="43"/>
      <c r="M36" s="46">
        <f t="shared" si="0"/>
        <v>299.31919999999809</v>
      </c>
      <c r="N36" s="101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</row>
    <row r="37" spans="1:34">
      <c r="A37" s="23">
        <v>33</v>
      </c>
      <c r="B37" s="24"/>
      <c r="C37" s="43"/>
      <c r="D37" s="45" t="s">
        <v>246</v>
      </c>
      <c r="E37" s="44"/>
      <c r="F37" s="44"/>
      <c r="G37" s="43">
        <f t="shared" si="3"/>
        <v>0</v>
      </c>
      <c r="H37" s="44"/>
      <c r="I37" s="44"/>
      <c r="J37" s="46">
        <f t="shared" si="5"/>
        <v>0</v>
      </c>
      <c r="K37" s="43">
        <f t="shared" si="6"/>
        <v>0</v>
      </c>
      <c r="L37" s="43"/>
      <c r="M37" s="46">
        <f t="shared" si="0"/>
        <v>299.31919999999809</v>
      </c>
      <c r="N37" s="101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</row>
    <row r="38" spans="1:34">
      <c r="A38" s="23">
        <v>34</v>
      </c>
      <c r="B38" s="24"/>
      <c r="C38" s="43"/>
      <c r="D38" s="45" t="s">
        <v>246</v>
      </c>
      <c r="E38" s="44"/>
      <c r="F38" s="44"/>
      <c r="G38" s="43">
        <f t="shared" si="3"/>
        <v>0</v>
      </c>
      <c r="H38" s="44"/>
      <c r="I38" s="44"/>
      <c r="J38" s="46">
        <f t="shared" si="5"/>
        <v>0</v>
      </c>
      <c r="K38" s="43">
        <f t="shared" si="6"/>
        <v>0</v>
      </c>
      <c r="L38" s="104"/>
      <c r="M38" s="46">
        <f t="shared" si="0"/>
        <v>299.31919999999809</v>
      </c>
      <c r="N38" s="101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</row>
    <row r="39" spans="1:34">
      <c r="A39" s="39"/>
      <c r="B39" s="39"/>
      <c r="C39" s="39"/>
      <c r="D39" s="39"/>
      <c r="E39" s="40">
        <f>SUM(E4:E38)</f>
        <v>4603.96</v>
      </c>
      <c r="F39" s="40"/>
      <c r="G39" s="40">
        <f>SUM(G4:G38)</f>
        <v>455884.11920000002</v>
      </c>
      <c r="H39" s="40">
        <f>SUM(H4:H38)</f>
        <v>105</v>
      </c>
      <c r="I39" s="40"/>
      <c r="J39" s="40">
        <f>SUM(J4:J38)</f>
        <v>11667.6</v>
      </c>
      <c r="K39" s="40">
        <f>SUM(K4:K38)</f>
        <v>467551.71920000005</v>
      </c>
      <c r="L39" s="40">
        <f>SUM(L4:L38)</f>
        <v>675000</v>
      </c>
      <c r="M39" s="40"/>
      <c r="N39" s="40"/>
      <c r="O39" s="30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</row>
    <row r="40" spans="1:34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</row>
    <row r="41" spans="1:34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topLeftCell="A18" workbookViewId="0">
      <selection activeCell="S37" sqref="S37"/>
    </sheetView>
  </sheetViews>
  <sheetFormatPr defaultRowHeight="15"/>
  <cols>
    <col min="2" max="2" width="10.1406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4" max="14" width="14.85546875" bestFit="1" customWidth="1"/>
    <col min="16" max="16" width="10" customWidth="1"/>
  </cols>
  <sheetData>
    <row r="1" spans="1:14" ht="15.75" customHeight="1">
      <c r="A1" s="564" t="s">
        <v>96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</row>
    <row r="2" spans="1:14" ht="25.5">
      <c r="A2" s="100" t="s">
        <v>0</v>
      </c>
      <c r="B2" s="102" t="s">
        <v>163</v>
      </c>
      <c r="C2" s="102" t="s">
        <v>164</v>
      </c>
      <c r="D2" s="102" t="s">
        <v>165</v>
      </c>
      <c r="E2" s="102" t="s">
        <v>166</v>
      </c>
      <c r="F2" s="102" t="s">
        <v>167</v>
      </c>
      <c r="G2" s="102" t="s">
        <v>168</v>
      </c>
      <c r="H2" s="102" t="s">
        <v>169</v>
      </c>
      <c r="I2" s="102" t="s">
        <v>167</v>
      </c>
      <c r="J2" s="102" t="s">
        <v>168</v>
      </c>
      <c r="K2" s="102" t="s">
        <v>170</v>
      </c>
      <c r="L2" s="102" t="s">
        <v>171</v>
      </c>
      <c r="M2" s="102" t="s">
        <v>187</v>
      </c>
      <c r="N2" s="102" t="s">
        <v>173</v>
      </c>
    </row>
    <row r="3" spans="1:14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2"/>
      <c r="K3">
        <v>114284.3940999998</v>
      </c>
      <c r="L3" s="145"/>
      <c r="M3" s="145">
        <v>114284.3940999998</v>
      </c>
      <c r="N3" s="103"/>
    </row>
    <row r="4" spans="1:14">
      <c r="A4" s="23">
        <v>1</v>
      </c>
      <c r="B4" s="24">
        <v>46204</v>
      </c>
      <c r="C4" s="103">
        <v>0</v>
      </c>
      <c r="D4" s="117"/>
      <c r="E4" s="33">
        <v>0</v>
      </c>
      <c r="F4" s="33">
        <v>0</v>
      </c>
      <c r="G4" s="33">
        <f>E4*F4</f>
        <v>0</v>
      </c>
      <c r="H4" s="118"/>
      <c r="I4" s="118"/>
      <c r="J4" s="33">
        <f>H4*I4</f>
        <v>0</v>
      </c>
      <c r="K4" s="33">
        <f>G4+J4</f>
        <v>0</v>
      </c>
      <c r="L4" s="33">
        <v>100000</v>
      </c>
      <c r="M4" s="33">
        <f t="shared" ref="M4:M33" si="0">M3+K4-L4</f>
        <v>14284.394099999801</v>
      </c>
      <c r="N4" s="103"/>
    </row>
    <row r="5" spans="1:14">
      <c r="A5" s="23">
        <v>2</v>
      </c>
      <c r="B5" s="24">
        <v>46205</v>
      </c>
      <c r="C5" s="103">
        <v>0</v>
      </c>
      <c r="D5" s="117"/>
      <c r="E5" s="33">
        <v>1000</v>
      </c>
      <c r="F5" s="33">
        <v>99.38</v>
      </c>
      <c r="G5" s="33">
        <f t="shared" ref="G5:G31" si="1">E5*F5</f>
        <v>99380</v>
      </c>
      <c r="H5" s="118">
        <v>70</v>
      </c>
      <c r="I5" s="118">
        <v>111.72</v>
      </c>
      <c r="J5" s="33">
        <f t="shared" ref="J5:J31" si="2">H5*I5</f>
        <v>7820.4</v>
      </c>
      <c r="K5" s="33">
        <f t="shared" ref="K5:K31" si="3">G5+J5</f>
        <v>107200.4</v>
      </c>
      <c r="L5" s="33"/>
      <c r="M5" s="33">
        <f t="shared" si="0"/>
        <v>121484.7940999998</v>
      </c>
      <c r="N5" s="103"/>
    </row>
    <row r="6" spans="1:14">
      <c r="A6" s="23">
        <v>3</v>
      </c>
      <c r="B6" s="24">
        <v>46206</v>
      </c>
      <c r="C6" s="103">
        <v>0</v>
      </c>
      <c r="D6" s="117"/>
      <c r="E6" s="33"/>
      <c r="F6" s="33"/>
      <c r="G6" s="33">
        <f t="shared" si="1"/>
        <v>0</v>
      </c>
      <c r="H6" s="118"/>
      <c r="I6" s="118"/>
      <c r="J6" s="33">
        <f t="shared" si="2"/>
        <v>0</v>
      </c>
      <c r="K6" s="33">
        <f t="shared" si="3"/>
        <v>0</v>
      </c>
      <c r="L6" s="33"/>
      <c r="M6" s="33">
        <f t="shared" si="0"/>
        <v>121484.7940999998</v>
      </c>
      <c r="N6" s="41"/>
    </row>
    <row r="7" spans="1:14">
      <c r="A7" s="23">
        <v>4</v>
      </c>
      <c r="B7" s="24">
        <v>46207</v>
      </c>
      <c r="C7" s="103">
        <v>0</v>
      </c>
      <c r="D7" s="117"/>
      <c r="E7" s="33"/>
      <c r="F7" s="33"/>
      <c r="G7" s="33">
        <f t="shared" si="1"/>
        <v>0</v>
      </c>
      <c r="H7" s="118"/>
      <c r="I7" s="118"/>
      <c r="J7" s="33">
        <f t="shared" si="2"/>
        <v>0</v>
      </c>
      <c r="K7" s="33">
        <f t="shared" si="3"/>
        <v>0</v>
      </c>
      <c r="L7" s="33"/>
      <c r="M7" s="33">
        <f t="shared" si="0"/>
        <v>121484.7940999998</v>
      </c>
      <c r="N7" s="41"/>
    </row>
    <row r="8" spans="1:14">
      <c r="A8" s="23">
        <v>5</v>
      </c>
      <c r="B8" s="24">
        <v>46208</v>
      </c>
      <c r="C8" s="103">
        <v>0</v>
      </c>
      <c r="D8" s="117"/>
      <c r="E8" s="33"/>
      <c r="F8" s="33"/>
      <c r="G8" s="33">
        <f t="shared" ref="G8:G20" si="4">E8*F8</f>
        <v>0</v>
      </c>
      <c r="H8" s="118"/>
      <c r="I8" s="118"/>
      <c r="J8" s="33">
        <f t="shared" ref="J8:J20" si="5">H8*I8</f>
        <v>0</v>
      </c>
      <c r="K8" s="33">
        <f t="shared" ref="K8:K34" si="6">G8+J8</f>
        <v>0</v>
      </c>
      <c r="L8" s="33"/>
      <c r="M8" s="33">
        <f t="shared" si="0"/>
        <v>121484.7940999998</v>
      </c>
      <c r="N8" s="41"/>
    </row>
    <row r="9" spans="1:14">
      <c r="A9" s="23">
        <v>6</v>
      </c>
      <c r="B9" s="24">
        <v>46209</v>
      </c>
      <c r="C9" s="103">
        <v>0</v>
      </c>
      <c r="D9" s="117"/>
      <c r="E9" s="33"/>
      <c r="F9" s="33"/>
      <c r="G9" s="33">
        <f t="shared" si="4"/>
        <v>0</v>
      </c>
      <c r="H9" s="118"/>
      <c r="I9" s="118"/>
      <c r="J9" s="33">
        <f t="shared" si="5"/>
        <v>0</v>
      </c>
      <c r="K9" s="33">
        <f t="shared" si="6"/>
        <v>0</v>
      </c>
      <c r="L9" s="33"/>
      <c r="M9" s="33">
        <f t="shared" si="0"/>
        <v>121484.7940999998</v>
      </c>
      <c r="N9" s="41"/>
    </row>
    <row r="10" spans="1:14">
      <c r="A10" s="23">
        <v>7</v>
      </c>
      <c r="B10" s="24">
        <v>46210</v>
      </c>
      <c r="C10" s="103">
        <v>0</v>
      </c>
      <c r="D10" s="117"/>
      <c r="E10" s="33"/>
      <c r="F10" s="33"/>
      <c r="G10" s="33">
        <f t="shared" si="4"/>
        <v>0</v>
      </c>
      <c r="H10" s="118"/>
      <c r="I10" s="118"/>
      <c r="J10" s="33">
        <f t="shared" si="5"/>
        <v>0</v>
      </c>
      <c r="K10" s="33">
        <f t="shared" si="6"/>
        <v>0</v>
      </c>
      <c r="L10" s="33"/>
      <c r="M10" s="33">
        <f t="shared" si="0"/>
        <v>121484.7940999998</v>
      </c>
      <c r="N10" s="41"/>
    </row>
    <row r="11" spans="1:14">
      <c r="A11" s="23">
        <v>8</v>
      </c>
      <c r="B11" s="24">
        <v>46211</v>
      </c>
      <c r="C11" s="103">
        <v>0</v>
      </c>
      <c r="D11" s="117"/>
      <c r="E11" s="33"/>
      <c r="F11" s="33"/>
      <c r="G11" s="33">
        <f t="shared" si="4"/>
        <v>0</v>
      </c>
      <c r="H11" s="118"/>
      <c r="I11" s="118"/>
      <c r="J11" s="33">
        <f t="shared" si="5"/>
        <v>0</v>
      </c>
      <c r="K11" s="33">
        <f t="shared" si="6"/>
        <v>0</v>
      </c>
      <c r="L11" s="33"/>
      <c r="M11" s="33">
        <f t="shared" si="0"/>
        <v>121484.7940999998</v>
      </c>
      <c r="N11" s="41"/>
    </row>
    <row r="12" spans="1:14">
      <c r="A12" s="23">
        <v>9</v>
      </c>
      <c r="B12" s="24">
        <v>46212</v>
      </c>
      <c r="C12" s="103">
        <v>0</v>
      </c>
      <c r="D12" s="117"/>
      <c r="E12" s="33"/>
      <c r="F12" s="33"/>
      <c r="G12" s="33">
        <f t="shared" si="4"/>
        <v>0</v>
      </c>
      <c r="H12" s="118"/>
      <c r="I12" s="118"/>
      <c r="J12" s="33">
        <f t="shared" si="5"/>
        <v>0</v>
      </c>
      <c r="K12" s="33">
        <f t="shared" si="6"/>
        <v>0</v>
      </c>
      <c r="L12" s="33"/>
      <c r="M12" s="33">
        <f t="shared" si="0"/>
        <v>121484.7940999998</v>
      </c>
      <c r="N12" s="41"/>
    </row>
    <row r="13" spans="1:14">
      <c r="A13" s="23">
        <v>10</v>
      </c>
      <c r="B13" s="24">
        <v>46213</v>
      </c>
      <c r="C13" s="103">
        <v>0</v>
      </c>
      <c r="D13" s="117"/>
      <c r="E13" s="33"/>
      <c r="F13" s="33"/>
      <c r="G13" s="33">
        <f t="shared" si="4"/>
        <v>0</v>
      </c>
      <c r="H13" s="118"/>
      <c r="I13" s="118"/>
      <c r="J13" s="33">
        <f t="shared" si="5"/>
        <v>0</v>
      </c>
      <c r="K13" s="33">
        <f t="shared" si="6"/>
        <v>0</v>
      </c>
      <c r="L13" s="33"/>
      <c r="M13" s="33">
        <f t="shared" si="0"/>
        <v>121484.7940999998</v>
      </c>
      <c r="N13" s="41"/>
    </row>
    <row r="14" spans="1:14">
      <c r="A14" s="23">
        <v>11</v>
      </c>
      <c r="B14" s="24">
        <v>46214</v>
      </c>
      <c r="C14" s="103">
        <v>0</v>
      </c>
      <c r="D14" s="117"/>
      <c r="E14" s="33"/>
      <c r="F14" s="33"/>
      <c r="G14" s="33">
        <f t="shared" si="4"/>
        <v>0</v>
      </c>
      <c r="H14" s="118"/>
      <c r="I14" s="118"/>
      <c r="J14" s="33">
        <f t="shared" si="5"/>
        <v>0</v>
      </c>
      <c r="K14" s="33">
        <f t="shared" si="6"/>
        <v>0</v>
      </c>
      <c r="L14" s="33"/>
      <c r="M14" s="33">
        <f t="shared" si="0"/>
        <v>121484.7940999998</v>
      </c>
      <c r="N14" s="41"/>
    </row>
    <row r="15" spans="1:14">
      <c r="A15" s="23">
        <v>12</v>
      </c>
      <c r="B15" s="24">
        <v>46215</v>
      </c>
      <c r="C15" s="103">
        <v>0</v>
      </c>
      <c r="D15" s="117"/>
      <c r="E15" s="33"/>
      <c r="F15" s="33"/>
      <c r="G15" s="33">
        <f t="shared" si="4"/>
        <v>0</v>
      </c>
      <c r="H15" s="118"/>
      <c r="I15" s="118"/>
      <c r="J15" s="33">
        <f t="shared" si="5"/>
        <v>0</v>
      </c>
      <c r="K15" s="33">
        <f t="shared" si="6"/>
        <v>0</v>
      </c>
      <c r="L15" s="33"/>
      <c r="M15" s="33">
        <f t="shared" si="0"/>
        <v>121484.7940999998</v>
      </c>
      <c r="N15" s="41"/>
    </row>
    <row r="16" spans="1:14">
      <c r="A16" s="23">
        <v>13</v>
      </c>
      <c r="B16" s="24">
        <v>46216</v>
      </c>
      <c r="C16" s="103">
        <v>0</v>
      </c>
      <c r="D16" s="117"/>
      <c r="E16" s="33"/>
      <c r="F16" s="33"/>
      <c r="G16" s="33">
        <f t="shared" si="4"/>
        <v>0</v>
      </c>
      <c r="H16" s="118"/>
      <c r="I16" s="118"/>
      <c r="J16" s="33">
        <f t="shared" si="5"/>
        <v>0</v>
      </c>
      <c r="K16" s="33">
        <f t="shared" si="6"/>
        <v>0</v>
      </c>
      <c r="L16" s="33"/>
      <c r="M16" s="33">
        <f t="shared" si="0"/>
        <v>121484.7940999998</v>
      </c>
      <c r="N16" s="41"/>
    </row>
    <row r="17" spans="1:14">
      <c r="A17" s="23">
        <v>14</v>
      </c>
      <c r="B17" s="24">
        <v>46217</v>
      </c>
      <c r="C17" s="103">
        <v>0</v>
      </c>
      <c r="D17" s="117"/>
      <c r="E17" s="33"/>
      <c r="F17" s="33"/>
      <c r="G17" s="33">
        <f t="shared" si="4"/>
        <v>0</v>
      </c>
      <c r="H17" s="118"/>
      <c r="I17" s="118"/>
      <c r="J17" s="33">
        <f t="shared" si="5"/>
        <v>0</v>
      </c>
      <c r="K17" s="33">
        <f t="shared" si="6"/>
        <v>0</v>
      </c>
      <c r="L17" s="33"/>
      <c r="M17" s="33">
        <f t="shared" si="0"/>
        <v>121484.7940999998</v>
      </c>
      <c r="N17" s="41"/>
    </row>
    <row r="18" spans="1:14">
      <c r="A18" s="23">
        <v>15</v>
      </c>
      <c r="B18" s="24">
        <v>46218</v>
      </c>
      <c r="C18" s="103">
        <v>0</v>
      </c>
      <c r="D18" s="117"/>
      <c r="E18" s="33"/>
      <c r="F18" s="33"/>
      <c r="G18" s="33">
        <f t="shared" si="4"/>
        <v>0</v>
      </c>
      <c r="H18" s="118"/>
      <c r="I18" s="118"/>
      <c r="J18" s="33">
        <f t="shared" si="5"/>
        <v>0</v>
      </c>
      <c r="K18" s="33">
        <f t="shared" si="6"/>
        <v>0</v>
      </c>
      <c r="L18" s="33"/>
      <c r="M18" s="33">
        <f t="shared" si="0"/>
        <v>121484.7940999998</v>
      </c>
      <c r="N18" s="41"/>
    </row>
    <row r="19" spans="1:14">
      <c r="A19" s="23">
        <v>16</v>
      </c>
      <c r="B19" s="24">
        <v>46219</v>
      </c>
      <c r="C19" s="103">
        <v>0</v>
      </c>
      <c r="D19" s="117"/>
      <c r="E19" s="33"/>
      <c r="F19" s="33"/>
      <c r="G19" s="33">
        <f t="shared" si="4"/>
        <v>0</v>
      </c>
      <c r="H19" s="118"/>
      <c r="I19" s="118"/>
      <c r="J19" s="33">
        <f t="shared" si="5"/>
        <v>0</v>
      </c>
      <c r="K19" s="33">
        <f t="shared" si="6"/>
        <v>0</v>
      </c>
      <c r="L19" s="33"/>
      <c r="M19" s="33">
        <f t="shared" si="0"/>
        <v>121484.7940999998</v>
      </c>
      <c r="N19" s="41"/>
    </row>
    <row r="20" spans="1:14">
      <c r="A20" s="23">
        <v>17</v>
      </c>
      <c r="B20" s="24">
        <v>46220</v>
      </c>
      <c r="C20" s="103">
        <v>0</v>
      </c>
      <c r="D20" s="117"/>
      <c r="E20" s="33"/>
      <c r="F20" s="33"/>
      <c r="G20" s="33">
        <f t="shared" si="4"/>
        <v>0</v>
      </c>
      <c r="H20" s="118"/>
      <c r="I20" s="118"/>
      <c r="J20" s="33">
        <f t="shared" si="5"/>
        <v>0</v>
      </c>
      <c r="K20" s="33">
        <f t="shared" si="6"/>
        <v>0</v>
      </c>
      <c r="L20" s="33"/>
      <c r="M20" s="33">
        <f t="shared" si="0"/>
        <v>121484.7940999998</v>
      </c>
      <c r="N20" s="41"/>
    </row>
    <row r="21" spans="1:14">
      <c r="A21" s="23">
        <v>18</v>
      </c>
      <c r="B21" s="24">
        <v>46221</v>
      </c>
      <c r="C21" s="103">
        <v>0</v>
      </c>
      <c r="D21" s="117"/>
      <c r="E21" s="33"/>
      <c r="F21" s="33"/>
      <c r="G21" s="33">
        <f t="shared" si="1"/>
        <v>0</v>
      </c>
      <c r="H21" s="118"/>
      <c r="I21" s="118"/>
      <c r="J21" s="33">
        <f t="shared" si="2"/>
        <v>0</v>
      </c>
      <c r="K21" s="33">
        <f t="shared" si="6"/>
        <v>0</v>
      </c>
      <c r="L21" s="33"/>
      <c r="M21" s="33">
        <f t="shared" si="0"/>
        <v>121484.7940999998</v>
      </c>
      <c r="N21" s="41"/>
    </row>
    <row r="22" spans="1:14">
      <c r="A22" s="23">
        <v>19</v>
      </c>
      <c r="B22" s="24">
        <v>46222</v>
      </c>
      <c r="C22" s="103">
        <v>0</v>
      </c>
      <c r="D22" s="117"/>
      <c r="E22" s="33"/>
      <c r="F22" s="33"/>
      <c r="G22" s="33">
        <f t="shared" si="1"/>
        <v>0</v>
      </c>
      <c r="H22" s="118"/>
      <c r="I22" s="118"/>
      <c r="J22" s="33">
        <f t="shared" si="2"/>
        <v>0</v>
      </c>
      <c r="K22" s="33">
        <f t="shared" si="6"/>
        <v>0</v>
      </c>
      <c r="L22" s="33"/>
      <c r="M22" s="33">
        <f t="shared" si="0"/>
        <v>121484.7940999998</v>
      </c>
      <c r="N22" s="41"/>
    </row>
    <row r="23" spans="1:14">
      <c r="A23" s="23">
        <v>20</v>
      </c>
      <c r="B23" s="24">
        <v>46223</v>
      </c>
      <c r="C23" s="103">
        <v>0</v>
      </c>
      <c r="D23" s="117"/>
      <c r="E23" s="33"/>
      <c r="F23" s="33"/>
      <c r="G23" s="33">
        <f t="shared" si="1"/>
        <v>0</v>
      </c>
      <c r="H23" s="118"/>
      <c r="I23" s="118"/>
      <c r="J23" s="33">
        <f t="shared" si="2"/>
        <v>0</v>
      </c>
      <c r="K23" s="33">
        <f t="shared" si="6"/>
        <v>0</v>
      </c>
      <c r="L23" s="33"/>
      <c r="M23" s="33">
        <f t="shared" si="0"/>
        <v>121484.7940999998</v>
      </c>
      <c r="N23" s="41"/>
    </row>
    <row r="24" spans="1:14">
      <c r="A24" s="23">
        <v>21</v>
      </c>
      <c r="B24" s="24">
        <v>46224</v>
      </c>
      <c r="C24" s="103">
        <v>0</v>
      </c>
      <c r="D24" s="117"/>
      <c r="E24" s="33"/>
      <c r="F24" s="33"/>
      <c r="G24" s="33">
        <f t="shared" si="1"/>
        <v>0</v>
      </c>
      <c r="H24" s="118"/>
      <c r="I24" s="118"/>
      <c r="J24" s="33">
        <f t="shared" si="2"/>
        <v>0</v>
      </c>
      <c r="K24" s="33">
        <f t="shared" si="6"/>
        <v>0</v>
      </c>
      <c r="L24" s="33"/>
      <c r="M24" s="33">
        <f t="shared" si="0"/>
        <v>121484.7940999998</v>
      </c>
      <c r="N24" s="41"/>
    </row>
    <row r="25" spans="1:14">
      <c r="A25" s="23">
        <v>22</v>
      </c>
      <c r="B25" s="24">
        <v>46225</v>
      </c>
      <c r="C25" s="103">
        <v>0</v>
      </c>
      <c r="D25" s="117"/>
      <c r="E25" s="33"/>
      <c r="F25" s="33"/>
      <c r="G25" s="33">
        <f t="shared" ref="G25:G33" si="7">E25*F25</f>
        <v>0</v>
      </c>
      <c r="H25" s="118"/>
      <c r="I25" s="118"/>
      <c r="J25" s="33">
        <f t="shared" ref="J25:J33" si="8">H25*I25</f>
        <v>0</v>
      </c>
      <c r="K25" s="33">
        <f t="shared" si="6"/>
        <v>0</v>
      </c>
      <c r="L25" s="33">
        <v>121000</v>
      </c>
      <c r="M25" s="33">
        <f t="shared" si="0"/>
        <v>484.79409999979543</v>
      </c>
      <c r="N25" s="41"/>
    </row>
    <row r="26" spans="1:14">
      <c r="A26" s="23">
        <v>23</v>
      </c>
      <c r="B26" s="24">
        <v>46226</v>
      </c>
      <c r="C26" s="103">
        <v>0</v>
      </c>
      <c r="D26" s="117"/>
      <c r="E26" s="33"/>
      <c r="F26" s="33"/>
      <c r="G26" s="33">
        <f t="shared" si="7"/>
        <v>0</v>
      </c>
      <c r="H26" s="118"/>
      <c r="I26" s="118"/>
      <c r="J26" s="33">
        <f t="shared" si="8"/>
        <v>0</v>
      </c>
      <c r="K26" s="33">
        <f t="shared" si="6"/>
        <v>0</v>
      </c>
      <c r="L26" s="33"/>
      <c r="M26" s="33">
        <f t="shared" si="0"/>
        <v>484.79409999979543</v>
      </c>
      <c r="N26" s="41"/>
    </row>
    <row r="27" spans="1:14">
      <c r="A27" s="23">
        <v>24</v>
      </c>
      <c r="B27" s="24">
        <v>46227</v>
      </c>
      <c r="C27" s="103">
        <v>0</v>
      </c>
      <c r="D27" s="117"/>
      <c r="E27" s="33"/>
      <c r="F27" s="33"/>
      <c r="G27" s="33">
        <f t="shared" si="7"/>
        <v>0</v>
      </c>
      <c r="H27" s="118"/>
      <c r="I27" s="118"/>
      <c r="J27" s="33">
        <f t="shared" si="8"/>
        <v>0</v>
      </c>
      <c r="K27" s="33">
        <f t="shared" si="6"/>
        <v>0</v>
      </c>
      <c r="L27" s="33"/>
      <c r="M27" s="33">
        <f t="shared" si="0"/>
        <v>484.79409999979543</v>
      </c>
      <c r="N27" s="41"/>
    </row>
    <row r="28" spans="1:14">
      <c r="A28" s="23">
        <v>25</v>
      </c>
      <c r="B28" s="24">
        <v>46228</v>
      </c>
      <c r="C28" s="103">
        <v>0</v>
      </c>
      <c r="D28" s="117"/>
      <c r="E28" s="33"/>
      <c r="F28" s="33"/>
      <c r="G28" s="33">
        <f t="shared" si="7"/>
        <v>0</v>
      </c>
      <c r="H28" s="118"/>
      <c r="I28" s="118"/>
      <c r="J28" s="33">
        <f t="shared" si="8"/>
        <v>0</v>
      </c>
      <c r="K28" s="33">
        <f t="shared" si="6"/>
        <v>0</v>
      </c>
      <c r="L28" s="33"/>
      <c r="M28" s="33">
        <f t="shared" si="0"/>
        <v>484.79409999979543</v>
      </c>
      <c r="N28" s="41"/>
    </row>
    <row r="29" spans="1:14">
      <c r="A29" s="23">
        <v>26</v>
      </c>
      <c r="B29" s="24">
        <v>46229</v>
      </c>
      <c r="C29" s="103">
        <v>0</v>
      </c>
      <c r="D29" s="117"/>
      <c r="E29" s="33"/>
      <c r="F29" s="33"/>
      <c r="G29" s="33">
        <f t="shared" si="7"/>
        <v>0</v>
      </c>
      <c r="H29" s="118"/>
      <c r="I29" s="118"/>
      <c r="J29" s="33">
        <f t="shared" si="8"/>
        <v>0</v>
      </c>
      <c r="K29" s="33">
        <f t="shared" si="6"/>
        <v>0</v>
      </c>
      <c r="L29" s="33"/>
      <c r="M29" s="33">
        <f t="shared" si="0"/>
        <v>484.79409999979543</v>
      </c>
      <c r="N29" s="41"/>
    </row>
    <row r="30" spans="1:14">
      <c r="A30" s="23">
        <v>27</v>
      </c>
      <c r="B30" s="24">
        <v>46230</v>
      </c>
      <c r="C30" s="103">
        <v>0</v>
      </c>
      <c r="D30" s="117"/>
      <c r="E30" s="33"/>
      <c r="F30" s="33"/>
      <c r="G30" s="33">
        <f t="shared" si="7"/>
        <v>0</v>
      </c>
      <c r="H30" s="118"/>
      <c r="I30" s="118"/>
      <c r="J30" s="33">
        <f t="shared" si="8"/>
        <v>0</v>
      </c>
      <c r="K30" s="33">
        <f t="shared" si="6"/>
        <v>0</v>
      </c>
      <c r="L30" s="33"/>
      <c r="M30" s="33">
        <f t="shared" si="0"/>
        <v>484.79409999979543</v>
      </c>
      <c r="N30" s="41"/>
    </row>
    <row r="31" spans="1:14">
      <c r="A31" s="23">
        <v>28</v>
      </c>
      <c r="B31" s="24">
        <v>46231</v>
      </c>
      <c r="C31" s="103">
        <v>0</v>
      </c>
      <c r="D31" s="117"/>
      <c r="E31" s="33"/>
      <c r="F31" s="33"/>
      <c r="G31" s="33">
        <f t="shared" si="7"/>
        <v>0</v>
      </c>
      <c r="H31" s="118"/>
      <c r="I31" s="118"/>
      <c r="J31" s="33">
        <f t="shared" si="8"/>
        <v>0</v>
      </c>
      <c r="K31" s="33">
        <f t="shared" si="6"/>
        <v>0</v>
      </c>
      <c r="L31" s="33"/>
      <c r="M31" s="33">
        <f t="shared" si="0"/>
        <v>484.79409999979543</v>
      </c>
      <c r="N31" s="41"/>
    </row>
    <row r="32" spans="1:14">
      <c r="A32" s="23">
        <v>29</v>
      </c>
      <c r="B32" s="24">
        <v>46232</v>
      </c>
      <c r="C32" s="103">
        <v>0</v>
      </c>
      <c r="D32" s="117"/>
      <c r="E32" s="33"/>
      <c r="F32" s="33"/>
      <c r="G32" s="33">
        <f t="shared" si="7"/>
        <v>0</v>
      </c>
      <c r="H32" s="118"/>
      <c r="I32" s="118"/>
      <c r="J32" s="33">
        <f t="shared" si="8"/>
        <v>0</v>
      </c>
      <c r="K32" s="33">
        <f t="shared" si="6"/>
        <v>0</v>
      </c>
      <c r="L32" s="33"/>
      <c r="M32" s="33">
        <f t="shared" si="0"/>
        <v>484.79409999979543</v>
      </c>
      <c r="N32" s="41"/>
    </row>
    <row r="33" spans="1:14">
      <c r="A33" s="23">
        <v>30</v>
      </c>
      <c r="B33" s="24">
        <v>46233</v>
      </c>
      <c r="C33" s="103">
        <v>0</v>
      </c>
      <c r="D33" s="117"/>
      <c r="E33" s="33"/>
      <c r="F33" s="33"/>
      <c r="G33" s="33">
        <f t="shared" si="7"/>
        <v>0</v>
      </c>
      <c r="H33" s="118"/>
      <c r="I33" s="118"/>
      <c r="J33" s="33">
        <f t="shared" si="8"/>
        <v>0</v>
      </c>
      <c r="K33" s="33">
        <f t="shared" si="6"/>
        <v>0</v>
      </c>
      <c r="L33" s="33"/>
      <c r="M33" s="33">
        <f t="shared" si="0"/>
        <v>484.79409999979543</v>
      </c>
      <c r="N33" s="41"/>
    </row>
    <row r="34" spans="1:14">
      <c r="A34" s="23">
        <v>31</v>
      </c>
      <c r="B34" s="24"/>
      <c r="C34" s="103"/>
      <c r="D34" s="117"/>
      <c r="E34" s="33"/>
      <c r="F34" s="33"/>
      <c r="G34" s="33"/>
      <c r="H34" s="118"/>
      <c r="I34" s="118"/>
      <c r="J34" s="33"/>
      <c r="K34" s="33">
        <f t="shared" si="6"/>
        <v>0</v>
      </c>
      <c r="L34" s="33"/>
      <c r="M34" s="33"/>
      <c r="N34" s="41"/>
    </row>
    <row r="35" spans="1:14">
      <c r="A35" s="39"/>
      <c r="B35" s="39"/>
      <c r="C35" s="39"/>
      <c r="D35" s="39"/>
      <c r="E35" s="40">
        <f>SUM(E4:E34)</f>
        <v>1000</v>
      </c>
      <c r="F35" s="40"/>
      <c r="G35" s="40">
        <f>SUM(G4:G34)</f>
        <v>99380</v>
      </c>
      <c r="H35" s="40">
        <f>SUM(H4:H34)</f>
        <v>70</v>
      </c>
      <c r="I35" s="40"/>
      <c r="J35" s="40">
        <f>SUM(J4:J34)</f>
        <v>7820.4</v>
      </c>
      <c r="K35" s="40">
        <f>SUM(K4:K34)</f>
        <v>107200.4</v>
      </c>
      <c r="L35" s="40">
        <f>SUM(L4:L34)</f>
        <v>221000</v>
      </c>
      <c r="M35" s="40"/>
      <c r="N35" s="40"/>
    </row>
  </sheetData>
  <mergeCells count="2">
    <mergeCell ref="A1:N1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23" activePane="bottomLeft" state="frozen"/>
      <selection pane="bottomLeft" activeCell="M28" sqref="M28"/>
    </sheetView>
  </sheetViews>
  <sheetFormatPr defaultColWidth="9.28515625" defaultRowHeight="15"/>
  <cols>
    <col min="1" max="1" width="5.42578125" style="48" bestFit="1" customWidth="1"/>
    <col min="2" max="2" width="11" style="48" bestFit="1" customWidth="1"/>
    <col min="3" max="3" width="7.140625" style="48" bestFit="1" customWidth="1"/>
    <col min="4" max="4" width="15.140625" style="48" bestFit="1" customWidth="1"/>
    <col min="5" max="5" width="9.28515625" style="48"/>
    <col min="6" max="6" width="9.85546875" style="48" bestFit="1" customWidth="1"/>
    <col min="7" max="7" width="10.42578125" style="48" bestFit="1" customWidth="1"/>
    <col min="8" max="8" width="9.28515625" style="48"/>
    <col min="9" max="9" width="11.7109375" style="48" customWidth="1"/>
    <col min="10" max="10" width="9.5703125" style="48" bestFit="1" customWidth="1"/>
    <col min="11" max="11" width="12.28515625" style="48" customWidth="1"/>
    <col min="12" max="12" width="11.7109375" style="48" bestFit="1" customWidth="1"/>
    <col min="13" max="13" width="11.7109375" style="48" customWidth="1"/>
    <col min="14" max="14" width="17.7109375" style="48" bestFit="1" customWidth="1"/>
    <col min="15" max="16384" width="9.28515625" style="48"/>
  </cols>
  <sheetData>
    <row r="1" spans="1:15" ht="15.75">
      <c r="A1" s="565" t="s">
        <v>102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</row>
    <row r="2" spans="1:15" ht="25.5">
      <c r="A2" s="84" t="s">
        <v>0</v>
      </c>
      <c r="B2" s="85" t="s">
        <v>163</v>
      </c>
      <c r="C2" s="85" t="s">
        <v>164</v>
      </c>
      <c r="D2" s="85" t="s">
        <v>165</v>
      </c>
      <c r="E2" s="85" t="s">
        <v>166</v>
      </c>
      <c r="F2" s="85" t="s">
        <v>167</v>
      </c>
      <c r="G2" s="85" t="s">
        <v>168</v>
      </c>
      <c r="H2" s="85" t="s">
        <v>169</v>
      </c>
      <c r="I2" s="85" t="s">
        <v>167</v>
      </c>
      <c r="J2" s="108" t="s">
        <v>168</v>
      </c>
      <c r="K2" s="110" t="s">
        <v>170</v>
      </c>
      <c r="L2" s="111" t="s">
        <v>171</v>
      </c>
      <c r="M2" s="112" t="s">
        <v>187</v>
      </c>
      <c r="N2" s="86" t="s">
        <v>173</v>
      </c>
      <c r="O2" s="30"/>
    </row>
    <row r="3" spans="1:15" ht="15.75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2"/>
      <c r="K3" s="49">
        <v>219362.70000000004</v>
      </c>
      <c r="L3" s="119"/>
      <c r="M3" s="116">
        <v>219362.70000000004</v>
      </c>
      <c r="N3" s="47"/>
    </row>
    <row r="4" spans="1:15" ht="15.75">
      <c r="A4" s="23">
        <v>1</v>
      </c>
      <c r="B4" s="24">
        <v>46204</v>
      </c>
      <c r="C4" s="114"/>
      <c r="D4" s="115"/>
      <c r="E4" s="76">
        <v>2000</v>
      </c>
      <c r="F4" s="113">
        <v>100.09</v>
      </c>
      <c r="G4" s="113">
        <f>E4*F4</f>
        <v>200180</v>
      </c>
      <c r="H4" s="113">
        <v>70</v>
      </c>
      <c r="I4" s="113">
        <v>112.12</v>
      </c>
      <c r="J4" s="113">
        <f>H4*I4</f>
        <v>7848.4000000000005</v>
      </c>
      <c r="K4" s="113">
        <f>G4+J4</f>
        <v>208028.4</v>
      </c>
      <c r="L4" s="113">
        <v>219000</v>
      </c>
      <c r="M4" s="119">
        <f>M3+K4-L4</f>
        <v>208391.10000000003</v>
      </c>
      <c r="N4" s="113"/>
    </row>
    <row r="5" spans="1:15" ht="15.75">
      <c r="A5" s="23">
        <v>2</v>
      </c>
      <c r="B5" s="24">
        <v>46205</v>
      </c>
      <c r="C5" s="20"/>
      <c r="D5" s="21"/>
      <c r="E5" s="76"/>
      <c r="F5" s="113"/>
      <c r="G5" s="113">
        <f t="shared" ref="G5:G33" si="0">E5*F5</f>
        <v>0</v>
      </c>
      <c r="H5" s="113"/>
      <c r="I5" s="113"/>
      <c r="J5" s="113">
        <f t="shared" ref="J5:J33" si="1">H5*I5</f>
        <v>0</v>
      </c>
      <c r="K5" s="113">
        <f t="shared" ref="K5:K33" si="2">G5+J5</f>
        <v>0</v>
      </c>
      <c r="L5" s="113"/>
      <c r="M5" s="119">
        <f>M4+K5-L5</f>
        <v>208391.10000000003</v>
      </c>
      <c r="N5" s="41"/>
    </row>
    <row r="6" spans="1:15" ht="18.75" customHeight="1">
      <c r="A6" s="23">
        <v>3</v>
      </c>
      <c r="B6" s="24">
        <v>46206</v>
      </c>
      <c r="C6" s="201"/>
      <c r="D6" s="182"/>
      <c r="E6" s="76"/>
      <c r="F6" s="113"/>
      <c r="G6" s="113">
        <f t="shared" si="0"/>
        <v>0</v>
      </c>
      <c r="H6" s="113"/>
      <c r="I6" s="113"/>
      <c r="J6" s="113">
        <f t="shared" si="1"/>
        <v>0</v>
      </c>
      <c r="K6" s="113">
        <f t="shared" si="2"/>
        <v>0</v>
      </c>
      <c r="L6" s="113"/>
      <c r="M6" s="119">
        <f>M5+K6-L6</f>
        <v>208391.10000000003</v>
      </c>
      <c r="N6" s="47"/>
    </row>
    <row r="7" spans="1:15" ht="15.75">
      <c r="A7" s="23">
        <v>4</v>
      </c>
      <c r="B7" s="24">
        <v>46207</v>
      </c>
      <c r="C7" s="199"/>
      <c r="D7" s="200"/>
      <c r="E7" s="76"/>
      <c r="F7" s="113"/>
      <c r="G7" s="113">
        <f t="shared" si="0"/>
        <v>0</v>
      </c>
      <c r="H7" s="113"/>
      <c r="I7" s="113"/>
      <c r="J7" s="113">
        <f t="shared" si="1"/>
        <v>0</v>
      </c>
      <c r="K7" s="113">
        <f t="shared" si="2"/>
        <v>0</v>
      </c>
      <c r="L7" s="113"/>
      <c r="M7" s="119">
        <f>M6+K7-L7</f>
        <v>208391.10000000003</v>
      </c>
      <c r="N7" s="41"/>
    </row>
    <row r="8" spans="1:15" ht="15.75" customHeight="1">
      <c r="A8" s="23">
        <v>5</v>
      </c>
      <c r="B8" s="24">
        <v>46208</v>
      </c>
      <c r="C8" s="113"/>
      <c r="D8" s="113"/>
      <c r="E8" s="76"/>
      <c r="F8" s="113"/>
      <c r="G8" s="113">
        <f t="shared" si="0"/>
        <v>0</v>
      </c>
      <c r="H8" s="113"/>
      <c r="I8" s="113"/>
      <c r="J8" s="113">
        <f t="shared" si="1"/>
        <v>0</v>
      </c>
      <c r="K8" s="113">
        <f t="shared" si="2"/>
        <v>0</v>
      </c>
      <c r="L8" s="113"/>
      <c r="M8" s="119">
        <f t="shared" ref="M8:M34" si="3">M7+K8-L8</f>
        <v>208391.10000000003</v>
      </c>
      <c r="N8" s="47"/>
    </row>
    <row r="9" spans="1:15" ht="15.75" customHeight="1">
      <c r="A9" s="23">
        <v>6</v>
      </c>
      <c r="B9" s="24">
        <v>46209</v>
      </c>
      <c r="C9" s="47"/>
      <c r="D9" s="113"/>
      <c r="E9" s="76"/>
      <c r="F9" s="113"/>
      <c r="G9" s="113">
        <f t="shared" si="0"/>
        <v>0</v>
      </c>
      <c r="H9" s="113"/>
      <c r="I9" s="113"/>
      <c r="J9" s="113">
        <f t="shared" si="1"/>
        <v>0</v>
      </c>
      <c r="K9" s="113">
        <f t="shared" si="2"/>
        <v>0</v>
      </c>
      <c r="L9" s="113"/>
      <c r="M9" s="119">
        <f t="shared" si="3"/>
        <v>208391.10000000003</v>
      </c>
      <c r="N9" s="47"/>
    </row>
    <row r="10" spans="1:15" ht="15.75" customHeight="1">
      <c r="A10" s="23">
        <v>7</v>
      </c>
      <c r="B10" s="24">
        <v>46210</v>
      </c>
      <c r="C10" s="47"/>
      <c r="D10" s="113"/>
      <c r="E10" s="76"/>
      <c r="F10" s="113"/>
      <c r="G10" s="113">
        <f t="shared" si="0"/>
        <v>0</v>
      </c>
      <c r="H10" s="113"/>
      <c r="I10" s="113"/>
      <c r="J10" s="113">
        <f t="shared" si="1"/>
        <v>0</v>
      </c>
      <c r="K10" s="113">
        <f t="shared" si="2"/>
        <v>0</v>
      </c>
      <c r="L10" s="113"/>
      <c r="M10" s="119">
        <f t="shared" si="3"/>
        <v>208391.10000000003</v>
      </c>
      <c r="N10" s="47"/>
    </row>
    <row r="11" spans="1:15" ht="15.75" customHeight="1">
      <c r="A11" s="23">
        <v>8</v>
      </c>
      <c r="B11" s="24">
        <v>46211</v>
      </c>
      <c r="C11" s="47"/>
      <c r="D11" s="113"/>
      <c r="E11" s="76"/>
      <c r="F11" s="113"/>
      <c r="G11" s="113">
        <f t="shared" si="0"/>
        <v>0</v>
      </c>
      <c r="H11" s="113"/>
      <c r="I11" s="113"/>
      <c r="J11" s="113">
        <f t="shared" si="1"/>
        <v>0</v>
      </c>
      <c r="K11" s="113">
        <f t="shared" si="2"/>
        <v>0</v>
      </c>
      <c r="L11" s="113"/>
      <c r="M11" s="119">
        <f t="shared" si="3"/>
        <v>208391.10000000003</v>
      </c>
      <c r="N11" s="47"/>
    </row>
    <row r="12" spans="1:15" ht="15.75" customHeight="1">
      <c r="A12" s="23">
        <v>9</v>
      </c>
      <c r="B12" s="24">
        <v>46212</v>
      </c>
      <c r="C12" s="47"/>
      <c r="D12" s="113"/>
      <c r="E12" s="76"/>
      <c r="F12" s="113"/>
      <c r="G12" s="113">
        <f t="shared" si="0"/>
        <v>0</v>
      </c>
      <c r="H12" s="113"/>
      <c r="I12" s="113"/>
      <c r="J12" s="113">
        <f t="shared" si="1"/>
        <v>0</v>
      </c>
      <c r="K12" s="113">
        <f t="shared" si="2"/>
        <v>0</v>
      </c>
      <c r="L12" s="113"/>
      <c r="M12" s="119">
        <f t="shared" si="3"/>
        <v>208391.10000000003</v>
      </c>
      <c r="N12" s="47"/>
    </row>
    <row r="13" spans="1:15" ht="15.75" customHeight="1">
      <c r="A13" s="23">
        <v>10</v>
      </c>
      <c r="B13" s="24">
        <v>46213</v>
      </c>
      <c r="C13" s="47"/>
      <c r="D13" s="113"/>
      <c r="E13" s="76"/>
      <c r="F13" s="113"/>
      <c r="G13" s="113">
        <f t="shared" si="0"/>
        <v>0</v>
      </c>
      <c r="H13" s="113"/>
      <c r="I13" s="113"/>
      <c r="J13" s="113">
        <f t="shared" si="1"/>
        <v>0</v>
      </c>
      <c r="K13" s="113">
        <f t="shared" si="2"/>
        <v>0</v>
      </c>
      <c r="L13" s="113"/>
      <c r="M13" s="119">
        <f t="shared" si="3"/>
        <v>208391.10000000003</v>
      </c>
      <c r="N13" s="47"/>
    </row>
    <row r="14" spans="1:15" ht="15.75" customHeight="1">
      <c r="A14" s="23">
        <v>11</v>
      </c>
      <c r="B14" s="24">
        <v>46214</v>
      </c>
      <c r="C14" s="47"/>
      <c r="D14" s="113"/>
      <c r="E14" s="76"/>
      <c r="F14" s="113"/>
      <c r="G14" s="113">
        <f t="shared" si="0"/>
        <v>0</v>
      </c>
      <c r="H14" s="113">
        <v>70</v>
      </c>
      <c r="I14" s="113">
        <v>112.12</v>
      </c>
      <c r="J14" s="113">
        <f t="shared" si="1"/>
        <v>7848.4000000000005</v>
      </c>
      <c r="K14" s="113">
        <f t="shared" si="2"/>
        <v>7848.4000000000005</v>
      </c>
      <c r="L14" s="113"/>
      <c r="M14" s="119">
        <f t="shared" si="3"/>
        <v>216239.50000000003</v>
      </c>
      <c r="N14" s="47"/>
    </row>
    <row r="15" spans="1:15" ht="15.75" customHeight="1">
      <c r="A15" s="23">
        <v>12</v>
      </c>
      <c r="B15" s="24">
        <v>46215</v>
      </c>
      <c r="C15" s="47"/>
      <c r="D15" s="113"/>
      <c r="E15" s="76"/>
      <c r="F15" s="113"/>
      <c r="G15" s="113">
        <f t="shared" si="0"/>
        <v>0</v>
      </c>
      <c r="H15" s="113"/>
      <c r="I15" s="113"/>
      <c r="J15" s="113">
        <f t="shared" si="1"/>
        <v>0</v>
      </c>
      <c r="K15" s="113">
        <f t="shared" si="2"/>
        <v>0</v>
      </c>
      <c r="L15" s="113"/>
      <c r="M15" s="119">
        <f t="shared" si="3"/>
        <v>216239.50000000003</v>
      </c>
      <c r="N15" s="47"/>
    </row>
    <row r="16" spans="1:15" ht="15.75" customHeight="1">
      <c r="A16" s="23">
        <v>13</v>
      </c>
      <c r="B16" s="24">
        <v>46216</v>
      </c>
      <c r="C16" s="47"/>
      <c r="D16" s="113"/>
      <c r="E16" s="76"/>
      <c r="F16" s="113"/>
      <c r="G16" s="113">
        <f t="shared" si="0"/>
        <v>0</v>
      </c>
      <c r="H16" s="113"/>
      <c r="I16" s="113"/>
      <c r="J16" s="113">
        <f t="shared" si="1"/>
        <v>0</v>
      </c>
      <c r="K16" s="113">
        <f t="shared" si="2"/>
        <v>0</v>
      </c>
      <c r="L16" s="113"/>
      <c r="M16" s="119">
        <f t="shared" si="3"/>
        <v>216239.50000000003</v>
      </c>
      <c r="N16" s="47"/>
    </row>
    <row r="17" spans="1:14" ht="15.75" customHeight="1">
      <c r="A17" s="23">
        <v>14</v>
      </c>
      <c r="B17" s="24">
        <v>46217</v>
      </c>
      <c r="C17" s="47"/>
      <c r="D17" s="113"/>
      <c r="E17" s="76"/>
      <c r="F17" s="113"/>
      <c r="G17" s="113">
        <f t="shared" si="0"/>
        <v>0</v>
      </c>
      <c r="H17" s="113"/>
      <c r="I17" s="113"/>
      <c r="J17" s="113">
        <f t="shared" si="1"/>
        <v>0</v>
      </c>
      <c r="K17" s="113">
        <f t="shared" si="2"/>
        <v>0</v>
      </c>
      <c r="L17" s="113"/>
      <c r="M17" s="119">
        <f t="shared" si="3"/>
        <v>216239.50000000003</v>
      </c>
      <c r="N17" s="47"/>
    </row>
    <row r="18" spans="1:14" ht="15.75" customHeight="1">
      <c r="A18" s="23">
        <v>15</v>
      </c>
      <c r="B18" s="24">
        <v>46218</v>
      </c>
      <c r="C18" s="47"/>
      <c r="D18" s="113"/>
      <c r="E18" s="76"/>
      <c r="F18" s="113"/>
      <c r="G18" s="113">
        <f t="shared" si="0"/>
        <v>0</v>
      </c>
      <c r="H18" s="113"/>
      <c r="I18" s="113"/>
      <c r="J18" s="113">
        <f t="shared" si="1"/>
        <v>0</v>
      </c>
      <c r="K18" s="113">
        <f t="shared" si="2"/>
        <v>0</v>
      </c>
      <c r="L18" s="113"/>
      <c r="M18" s="119">
        <f t="shared" si="3"/>
        <v>216239.50000000003</v>
      </c>
      <c r="N18" s="47"/>
    </row>
    <row r="19" spans="1:14" ht="15.75" customHeight="1">
      <c r="A19" s="23">
        <v>16</v>
      </c>
      <c r="B19" s="24">
        <v>46219</v>
      </c>
      <c r="C19" s="47"/>
      <c r="D19" s="113"/>
      <c r="E19" s="76"/>
      <c r="F19" s="113"/>
      <c r="G19" s="113">
        <f>E19*F19</f>
        <v>0</v>
      </c>
      <c r="H19" s="113"/>
      <c r="I19" s="113"/>
      <c r="J19" s="113">
        <f t="shared" si="1"/>
        <v>0</v>
      </c>
      <c r="K19" s="113">
        <f t="shared" si="2"/>
        <v>0</v>
      </c>
      <c r="L19" s="113"/>
      <c r="M19" s="119">
        <f t="shared" si="3"/>
        <v>216239.50000000003</v>
      </c>
      <c r="N19" s="47"/>
    </row>
    <row r="20" spans="1:14" ht="15.75" customHeight="1">
      <c r="A20" s="23">
        <v>17</v>
      </c>
      <c r="B20" s="24">
        <v>46220</v>
      </c>
      <c r="C20" s="47"/>
      <c r="D20" s="113"/>
      <c r="E20" s="76"/>
      <c r="F20" s="113"/>
      <c r="G20" s="113">
        <f t="shared" si="0"/>
        <v>0</v>
      </c>
      <c r="H20" s="113"/>
      <c r="I20" s="113"/>
      <c r="J20" s="113">
        <f t="shared" si="1"/>
        <v>0</v>
      </c>
      <c r="K20" s="113">
        <f t="shared" si="2"/>
        <v>0</v>
      </c>
      <c r="L20" s="113"/>
      <c r="M20" s="119">
        <f t="shared" si="3"/>
        <v>216239.50000000003</v>
      </c>
      <c r="N20" s="47"/>
    </row>
    <row r="21" spans="1:14" ht="15.75" customHeight="1">
      <c r="A21" s="23">
        <v>18</v>
      </c>
      <c r="B21" s="24">
        <v>46221</v>
      </c>
      <c r="C21" s="47"/>
      <c r="D21" s="113"/>
      <c r="E21" s="76"/>
      <c r="F21" s="113"/>
      <c r="G21" s="113">
        <f t="shared" si="0"/>
        <v>0</v>
      </c>
      <c r="H21" s="113"/>
      <c r="I21" s="113"/>
      <c r="J21" s="113">
        <f t="shared" si="1"/>
        <v>0</v>
      </c>
      <c r="K21" s="113">
        <f t="shared" si="2"/>
        <v>0</v>
      </c>
      <c r="L21" s="113"/>
      <c r="M21" s="119">
        <f t="shared" si="3"/>
        <v>216239.50000000003</v>
      </c>
      <c r="N21" s="47"/>
    </row>
    <row r="22" spans="1:14" ht="15.75" customHeight="1">
      <c r="A22" s="23">
        <v>19</v>
      </c>
      <c r="B22" s="24">
        <v>46222</v>
      </c>
      <c r="C22" s="47"/>
      <c r="D22" s="113"/>
      <c r="E22" s="76"/>
      <c r="F22" s="113"/>
      <c r="G22" s="113">
        <f t="shared" si="0"/>
        <v>0</v>
      </c>
      <c r="H22" s="113"/>
      <c r="I22" s="113"/>
      <c r="J22" s="113">
        <f t="shared" si="1"/>
        <v>0</v>
      </c>
      <c r="K22" s="113">
        <f t="shared" si="2"/>
        <v>0</v>
      </c>
      <c r="L22" s="113"/>
      <c r="M22" s="119">
        <f t="shared" si="3"/>
        <v>216239.50000000003</v>
      </c>
      <c r="N22" s="47"/>
    </row>
    <row r="23" spans="1:14" ht="15.75" customHeight="1">
      <c r="A23" s="23">
        <v>20</v>
      </c>
      <c r="B23" s="24">
        <v>46223</v>
      </c>
      <c r="C23" s="47"/>
      <c r="D23" s="113"/>
      <c r="E23" s="76"/>
      <c r="F23" s="113"/>
      <c r="G23" s="113">
        <f t="shared" si="0"/>
        <v>0</v>
      </c>
      <c r="H23" s="113"/>
      <c r="I23" s="113"/>
      <c r="J23" s="113">
        <f t="shared" si="1"/>
        <v>0</v>
      </c>
      <c r="K23" s="113">
        <f t="shared" si="2"/>
        <v>0</v>
      </c>
      <c r="L23" s="113"/>
      <c r="M23" s="119">
        <f t="shared" si="3"/>
        <v>216239.50000000003</v>
      </c>
      <c r="N23" s="47"/>
    </row>
    <row r="24" spans="1:14" ht="15.75" customHeight="1">
      <c r="A24" s="23">
        <v>21</v>
      </c>
      <c r="B24" s="24">
        <v>46224</v>
      </c>
      <c r="C24" s="47"/>
      <c r="D24" s="113"/>
      <c r="E24" s="76"/>
      <c r="F24" s="113"/>
      <c r="G24" s="113">
        <f t="shared" si="0"/>
        <v>0</v>
      </c>
      <c r="H24" s="113"/>
      <c r="I24" s="113"/>
      <c r="J24" s="113">
        <f t="shared" si="1"/>
        <v>0</v>
      </c>
      <c r="K24" s="113">
        <f t="shared" si="2"/>
        <v>0</v>
      </c>
      <c r="L24" s="113"/>
      <c r="M24" s="119">
        <f t="shared" si="3"/>
        <v>216239.50000000003</v>
      </c>
      <c r="N24" s="47"/>
    </row>
    <row r="25" spans="1:14" ht="15.75" customHeight="1">
      <c r="A25" s="23">
        <v>22</v>
      </c>
      <c r="B25" s="24">
        <v>46225</v>
      </c>
      <c r="C25" s="47"/>
      <c r="D25" s="113"/>
      <c r="E25" s="76"/>
      <c r="F25" s="113"/>
      <c r="G25" s="113">
        <f t="shared" si="0"/>
        <v>0</v>
      </c>
      <c r="H25" s="113"/>
      <c r="I25" s="113"/>
      <c r="J25" s="113">
        <f t="shared" si="1"/>
        <v>0</v>
      </c>
      <c r="K25" s="113">
        <f t="shared" si="2"/>
        <v>0</v>
      </c>
      <c r="L25" s="113">
        <v>216000</v>
      </c>
      <c r="M25" s="119">
        <f t="shared" si="3"/>
        <v>239.5000000000291</v>
      </c>
      <c r="N25" s="47"/>
    </row>
    <row r="26" spans="1:14" ht="15.75" customHeight="1">
      <c r="A26" s="23">
        <v>23</v>
      </c>
      <c r="B26" s="24">
        <v>46226</v>
      </c>
      <c r="C26" s="47"/>
      <c r="D26" s="113"/>
      <c r="E26" s="76"/>
      <c r="F26" s="113"/>
      <c r="G26" s="113">
        <f t="shared" si="0"/>
        <v>0</v>
      </c>
      <c r="H26" s="113"/>
      <c r="I26" s="113"/>
      <c r="J26" s="113">
        <f t="shared" si="1"/>
        <v>0</v>
      </c>
      <c r="K26" s="113">
        <f t="shared" si="2"/>
        <v>0</v>
      </c>
      <c r="L26" s="113"/>
      <c r="M26" s="119">
        <f t="shared" si="3"/>
        <v>239.5000000000291</v>
      </c>
      <c r="N26" s="47"/>
    </row>
    <row r="27" spans="1:14" ht="15.75" customHeight="1">
      <c r="A27" s="23">
        <v>24</v>
      </c>
      <c r="B27" s="24">
        <v>46227</v>
      </c>
      <c r="C27" s="47"/>
      <c r="D27" s="113"/>
      <c r="E27" s="76"/>
      <c r="F27" s="113"/>
      <c r="G27" s="113">
        <f t="shared" si="0"/>
        <v>0</v>
      </c>
      <c r="H27" s="113"/>
      <c r="I27" s="113"/>
      <c r="J27" s="113">
        <f t="shared" si="1"/>
        <v>0</v>
      </c>
      <c r="K27" s="113">
        <f t="shared" si="2"/>
        <v>0</v>
      </c>
      <c r="L27" s="113"/>
      <c r="M27" s="119">
        <f t="shared" si="3"/>
        <v>239.5000000000291</v>
      </c>
      <c r="N27" s="47"/>
    </row>
    <row r="28" spans="1:14" ht="15.75" customHeight="1">
      <c r="A28" s="23">
        <v>25</v>
      </c>
      <c r="B28" s="24">
        <v>46228</v>
      </c>
      <c r="C28" s="47"/>
      <c r="D28" s="113"/>
      <c r="E28" s="76">
        <v>2000</v>
      </c>
      <c r="F28" s="113">
        <v>100.09</v>
      </c>
      <c r="G28" s="113">
        <f t="shared" si="0"/>
        <v>200180</v>
      </c>
      <c r="H28" s="113">
        <v>70</v>
      </c>
      <c r="I28" s="113">
        <v>112.12</v>
      </c>
      <c r="J28" s="113">
        <f t="shared" si="1"/>
        <v>7848.4000000000005</v>
      </c>
      <c r="K28" s="113">
        <f t="shared" si="2"/>
        <v>208028.4</v>
      </c>
      <c r="L28" s="113"/>
      <c r="M28" s="119">
        <f t="shared" si="3"/>
        <v>208267.90000000002</v>
      </c>
      <c r="N28" s="47"/>
    </row>
    <row r="29" spans="1:14" ht="15.75" customHeight="1">
      <c r="A29" s="23">
        <v>26</v>
      </c>
      <c r="B29" s="24">
        <v>46229</v>
      </c>
      <c r="C29" s="47"/>
      <c r="D29" s="113"/>
      <c r="E29" s="76"/>
      <c r="F29" s="113"/>
      <c r="G29" s="113">
        <f t="shared" si="0"/>
        <v>0</v>
      </c>
      <c r="H29" s="113"/>
      <c r="I29" s="113"/>
      <c r="J29" s="113">
        <f t="shared" si="1"/>
        <v>0</v>
      </c>
      <c r="K29" s="113">
        <f t="shared" si="2"/>
        <v>0</v>
      </c>
      <c r="L29" s="113"/>
      <c r="M29" s="119">
        <f t="shared" si="3"/>
        <v>208267.90000000002</v>
      </c>
      <c r="N29" s="47"/>
    </row>
    <row r="30" spans="1:14" ht="15.75" customHeight="1">
      <c r="A30" s="23">
        <v>27</v>
      </c>
      <c r="B30" s="24">
        <v>46230</v>
      </c>
      <c r="C30" s="47"/>
      <c r="D30" s="113"/>
      <c r="E30" s="76"/>
      <c r="F30" s="113"/>
      <c r="G30" s="113">
        <f t="shared" si="0"/>
        <v>0</v>
      </c>
      <c r="H30" s="113"/>
      <c r="I30" s="113"/>
      <c r="J30" s="113">
        <f t="shared" si="1"/>
        <v>0</v>
      </c>
      <c r="K30" s="113">
        <f t="shared" si="2"/>
        <v>0</v>
      </c>
      <c r="L30" s="113"/>
      <c r="M30" s="119">
        <f t="shared" si="3"/>
        <v>208267.90000000002</v>
      </c>
      <c r="N30" s="47"/>
    </row>
    <row r="31" spans="1:14" ht="15.75" customHeight="1">
      <c r="A31" s="23">
        <v>28</v>
      </c>
      <c r="B31" s="24">
        <v>46231</v>
      </c>
      <c r="C31" s="47"/>
      <c r="D31" s="113"/>
      <c r="E31" s="76"/>
      <c r="F31" s="113"/>
      <c r="G31" s="113">
        <f t="shared" si="0"/>
        <v>0</v>
      </c>
      <c r="H31" s="113"/>
      <c r="I31" s="113"/>
      <c r="J31" s="113">
        <f t="shared" si="1"/>
        <v>0</v>
      </c>
      <c r="K31" s="113">
        <f t="shared" si="2"/>
        <v>0</v>
      </c>
      <c r="L31" s="113"/>
      <c r="M31" s="119">
        <f t="shared" si="3"/>
        <v>208267.90000000002</v>
      </c>
      <c r="N31" s="47"/>
    </row>
    <row r="32" spans="1:14" ht="15.75" customHeight="1">
      <c r="A32" s="23">
        <v>29</v>
      </c>
      <c r="B32" s="24">
        <v>46232</v>
      </c>
      <c r="C32" s="47"/>
      <c r="D32" s="113"/>
      <c r="E32" s="76"/>
      <c r="F32" s="113"/>
      <c r="G32" s="113">
        <f t="shared" si="0"/>
        <v>0</v>
      </c>
      <c r="H32" s="113"/>
      <c r="I32" s="113"/>
      <c r="J32" s="113">
        <f t="shared" si="1"/>
        <v>0</v>
      </c>
      <c r="K32" s="113">
        <f t="shared" si="2"/>
        <v>0</v>
      </c>
      <c r="L32" s="113"/>
      <c r="M32" s="119">
        <f t="shared" si="3"/>
        <v>208267.90000000002</v>
      </c>
      <c r="N32" s="47"/>
    </row>
    <row r="33" spans="1:15" ht="15.75" customHeight="1">
      <c r="A33" s="23">
        <v>30</v>
      </c>
      <c r="B33" s="24">
        <v>46233</v>
      </c>
      <c r="C33" s="47"/>
      <c r="D33" s="113"/>
      <c r="E33" s="76"/>
      <c r="F33" s="113"/>
      <c r="G33" s="113">
        <f t="shared" si="0"/>
        <v>0</v>
      </c>
      <c r="H33" s="113"/>
      <c r="I33" s="113"/>
      <c r="J33" s="113">
        <f t="shared" si="1"/>
        <v>0</v>
      </c>
      <c r="K33" s="113">
        <f t="shared" si="2"/>
        <v>0</v>
      </c>
      <c r="L33" s="113"/>
      <c r="M33" s="119">
        <f t="shared" si="3"/>
        <v>208267.90000000002</v>
      </c>
      <c r="N33" s="47"/>
    </row>
    <row r="34" spans="1:15" ht="15.75" customHeight="1">
      <c r="A34" s="23">
        <v>31</v>
      </c>
      <c r="B34" s="24"/>
      <c r="C34" s="47"/>
      <c r="D34" s="113"/>
      <c r="E34" s="76"/>
      <c r="F34" s="113"/>
      <c r="G34" s="113">
        <f t="shared" ref="G34" si="4">E34*F34</f>
        <v>0</v>
      </c>
      <c r="H34" s="113"/>
      <c r="I34" s="113"/>
      <c r="J34" s="113">
        <f t="shared" ref="J34" si="5">H34*I34</f>
        <v>0</v>
      </c>
      <c r="K34" s="113">
        <f t="shared" ref="K34" si="6">G34+J34</f>
        <v>0</v>
      </c>
      <c r="L34" s="113"/>
      <c r="M34" s="119">
        <f t="shared" si="3"/>
        <v>208267.90000000002</v>
      </c>
      <c r="N34" s="47"/>
    </row>
    <row r="35" spans="1:15">
      <c r="A35" s="39"/>
      <c r="B35" s="39"/>
      <c r="C35" s="39"/>
      <c r="D35" s="39"/>
      <c r="E35" s="40">
        <f>SUM(E4:E34)</f>
        <v>4000</v>
      </c>
      <c r="F35" s="40"/>
      <c r="G35" s="40">
        <f>SUM(G4:G34)</f>
        <v>400360</v>
      </c>
      <c r="H35" s="40">
        <f>SUM(H4:H34)</f>
        <v>210</v>
      </c>
      <c r="I35" s="40"/>
      <c r="J35" s="40">
        <f>SUM(J4:J34)</f>
        <v>23545.200000000001</v>
      </c>
      <c r="K35" s="40">
        <f>SUM(K4:K34)</f>
        <v>423905.19999999995</v>
      </c>
      <c r="L35" s="40">
        <f>SUM(L4:L34)</f>
        <v>435000</v>
      </c>
      <c r="M35" s="40"/>
      <c r="N35" s="40"/>
      <c r="O35" s="30"/>
    </row>
    <row r="37" spans="1:15">
      <c r="D37" s="42"/>
      <c r="E37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S46"/>
  <sheetViews>
    <sheetView workbookViewId="0">
      <pane ySplit="2" topLeftCell="A19" activePane="bottomLeft" state="frozen"/>
      <selection pane="bottomLeft" activeCell="O29" sqref="O29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27.5703125" bestFit="1" customWidth="1"/>
    <col min="15" max="15" width="10" customWidth="1"/>
    <col min="16" max="16" width="12" bestFit="1" customWidth="1"/>
    <col min="19" max="19" width="12" bestFit="1" customWidth="1"/>
  </cols>
  <sheetData>
    <row r="1" spans="1:15">
      <c r="A1" s="566" t="s">
        <v>249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79"/>
    </row>
    <row r="2" spans="1:15">
      <c r="A2" s="120" t="s">
        <v>0</v>
      </c>
      <c r="B2" s="121" t="s">
        <v>163</v>
      </c>
      <c r="C2" s="121" t="s">
        <v>164</v>
      </c>
      <c r="D2" s="121" t="s">
        <v>165</v>
      </c>
      <c r="E2" s="121" t="s">
        <v>166</v>
      </c>
      <c r="F2" s="121" t="s">
        <v>167</v>
      </c>
      <c r="G2" s="121" t="s">
        <v>168</v>
      </c>
      <c r="H2" s="121" t="s">
        <v>169</v>
      </c>
      <c r="I2" s="121" t="s">
        <v>167</v>
      </c>
      <c r="J2" s="122" t="s">
        <v>168</v>
      </c>
      <c r="K2" s="120" t="s">
        <v>170</v>
      </c>
      <c r="L2" s="123" t="s">
        <v>171</v>
      </c>
      <c r="M2" s="123" t="s">
        <v>187</v>
      </c>
      <c r="N2" s="121" t="s">
        <v>173</v>
      </c>
      <c r="O2" s="56"/>
    </row>
    <row r="3" spans="1:15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2"/>
      <c r="K3" s="93">
        <v>132362.10969999991</v>
      </c>
      <c r="L3" s="37"/>
      <c r="M3" s="37">
        <f>+K3</f>
        <v>132362.10969999991</v>
      </c>
      <c r="N3" s="14"/>
      <c r="O3" s="56">
        <v>46138.763999999966</v>
      </c>
    </row>
    <row r="4" spans="1:15">
      <c r="A4" s="23">
        <v>1</v>
      </c>
      <c r="B4" s="24">
        <v>45839</v>
      </c>
      <c r="C4" s="124"/>
      <c r="D4" s="125"/>
      <c r="E4" s="90"/>
      <c r="F4" s="90"/>
      <c r="G4" s="16">
        <f>E4*F4</f>
        <v>0</v>
      </c>
      <c r="H4" s="90"/>
      <c r="I4" s="317"/>
      <c r="J4" s="16">
        <f>H4*I4</f>
        <v>0</v>
      </c>
      <c r="K4" s="16">
        <f>G4+J4</f>
        <v>0</v>
      </c>
      <c r="L4" s="126">
        <v>0</v>
      </c>
      <c r="M4" s="126">
        <f>M3+K4-L4</f>
        <v>132362.10969999991</v>
      </c>
      <c r="N4" s="41"/>
    </row>
    <row r="5" spans="1:15">
      <c r="A5" s="23">
        <v>2</v>
      </c>
      <c r="B5" s="24">
        <v>45840</v>
      </c>
      <c r="C5" s="124"/>
      <c r="D5" s="125"/>
      <c r="E5" s="90"/>
      <c r="F5" s="90"/>
      <c r="G5" s="16">
        <f t="shared" ref="G5:G35" si="0">E5*F5</f>
        <v>0</v>
      </c>
      <c r="H5" s="90"/>
      <c r="I5" s="317"/>
      <c r="J5" s="16">
        <f t="shared" ref="J5:J35" si="1">H5*I5</f>
        <v>0</v>
      </c>
      <c r="K5" s="16">
        <f t="shared" ref="K5:L35" si="2">G5+J5</f>
        <v>0</v>
      </c>
      <c r="L5" s="126">
        <v>0</v>
      </c>
      <c r="M5" s="126">
        <f>M4+K5-L5</f>
        <v>132362.10969999991</v>
      </c>
      <c r="N5" s="41"/>
    </row>
    <row r="6" spans="1:15">
      <c r="A6" s="23">
        <v>3</v>
      </c>
      <c r="B6" s="24">
        <v>45841</v>
      </c>
      <c r="C6" s="124"/>
      <c r="D6" s="125"/>
      <c r="E6" s="90"/>
      <c r="F6" s="90"/>
      <c r="G6" s="16">
        <f t="shared" si="0"/>
        <v>0</v>
      </c>
      <c r="H6" s="90"/>
      <c r="I6" s="317"/>
      <c r="J6" s="16">
        <f t="shared" si="1"/>
        <v>0</v>
      </c>
      <c r="K6" s="16">
        <f t="shared" si="2"/>
        <v>0</v>
      </c>
      <c r="L6" s="126"/>
      <c r="M6" s="126">
        <f>M5+K6-L6</f>
        <v>132362.10969999991</v>
      </c>
      <c r="N6" s="41"/>
    </row>
    <row r="7" spans="1:15">
      <c r="A7" s="23">
        <v>4</v>
      </c>
      <c r="B7" s="24">
        <v>45842</v>
      </c>
      <c r="C7" s="124"/>
      <c r="D7" s="125"/>
      <c r="E7" s="90">
        <v>600</v>
      </c>
      <c r="F7" s="90">
        <v>99.99</v>
      </c>
      <c r="G7" s="16">
        <f t="shared" si="0"/>
        <v>59994</v>
      </c>
      <c r="H7" s="90">
        <v>30</v>
      </c>
      <c r="I7" s="317">
        <v>112.02</v>
      </c>
      <c r="J7" s="16">
        <f t="shared" si="1"/>
        <v>3360.6</v>
      </c>
      <c r="K7" s="16">
        <f t="shared" si="2"/>
        <v>63354.6</v>
      </c>
      <c r="L7" s="126"/>
      <c r="M7" s="126">
        <f>M6+K7-L7</f>
        <v>195716.70969999992</v>
      </c>
      <c r="N7" s="41"/>
    </row>
    <row r="8" spans="1:15">
      <c r="A8" s="23">
        <v>5</v>
      </c>
      <c r="B8" s="24">
        <v>45843</v>
      </c>
      <c r="C8" s="124"/>
      <c r="D8" s="125"/>
      <c r="E8" s="90"/>
      <c r="F8" s="90"/>
      <c r="G8" s="16">
        <f t="shared" ref="G8:G34" si="3">E8*F8</f>
        <v>0</v>
      </c>
      <c r="H8" s="90"/>
      <c r="I8" s="317"/>
      <c r="J8" s="16">
        <f t="shared" si="1"/>
        <v>0</v>
      </c>
      <c r="K8" s="16">
        <f t="shared" si="2"/>
        <v>0</v>
      </c>
      <c r="L8" s="126"/>
      <c r="M8" s="126">
        <f t="shared" ref="M8:M36" si="4">M7+K8-L8</f>
        <v>195716.70969999992</v>
      </c>
      <c r="N8" s="41"/>
      <c r="O8" s="66"/>
    </row>
    <row r="9" spans="1:15">
      <c r="A9" s="23">
        <v>6</v>
      </c>
      <c r="B9" s="24">
        <v>45844</v>
      </c>
      <c r="C9" s="124"/>
      <c r="D9" s="125"/>
      <c r="E9" s="90"/>
      <c r="F9" s="90"/>
      <c r="G9" s="16">
        <f t="shared" si="3"/>
        <v>0</v>
      </c>
      <c r="H9" s="90"/>
      <c r="I9" s="317"/>
      <c r="J9" s="16">
        <f t="shared" si="1"/>
        <v>0</v>
      </c>
      <c r="K9" s="16">
        <f t="shared" si="2"/>
        <v>0</v>
      </c>
      <c r="L9" s="126"/>
      <c r="M9" s="126">
        <f t="shared" si="4"/>
        <v>195716.70969999992</v>
      </c>
      <c r="N9" s="41"/>
      <c r="O9" s="66"/>
    </row>
    <row r="10" spans="1:15">
      <c r="A10" s="23">
        <v>7</v>
      </c>
      <c r="B10" s="24">
        <v>45845</v>
      </c>
      <c r="C10" s="124"/>
      <c r="D10" s="125"/>
      <c r="E10" s="90">
        <v>600</v>
      </c>
      <c r="F10" s="90">
        <v>99.99</v>
      </c>
      <c r="G10" s="16">
        <f t="shared" si="3"/>
        <v>59994</v>
      </c>
      <c r="H10" s="90"/>
      <c r="I10" s="317"/>
      <c r="J10" s="16">
        <f t="shared" si="1"/>
        <v>0</v>
      </c>
      <c r="K10" s="16">
        <f t="shared" si="2"/>
        <v>59994</v>
      </c>
      <c r="L10" s="126">
        <v>195000</v>
      </c>
      <c r="M10" s="126">
        <f t="shared" si="4"/>
        <v>60710.709699999919</v>
      </c>
      <c r="N10" s="41"/>
      <c r="O10" s="66"/>
    </row>
    <row r="11" spans="1:15">
      <c r="A11" s="23">
        <v>8</v>
      </c>
      <c r="B11" s="24">
        <v>45846</v>
      </c>
      <c r="C11" s="124"/>
      <c r="D11" s="125"/>
      <c r="E11" s="90"/>
      <c r="F11" s="90"/>
      <c r="G11" s="16">
        <f t="shared" si="3"/>
        <v>0</v>
      </c>
      <c r="H11" s="90"/>
      <c r="I11" s="317"/>
      <c r="J11" s="16">
        <f t="shared" si="1"/>
        <v>0</v>
      </c>
      <c r="K11" s="16">
        <f t="shared" si="2"/>
        <v>0</v>
      </c>
      <c r="L11" s="126"/>
      <c r="M11" s="126">
        <f t="shared" si="4"/>
        <v>60710.709699999919</v>
      </c>
      <c r="N11" s="41"/>
      <c r="O11" s="66"/>
    </row>
    <row r="12" spans="1:15">
      <c r="A12" s="23">
        <v>9</v>
      </c>
      <c r="B12" s="24">
        <v>45847</v>
      </c>
      <c r="C12" s="124"/>
      <c r="D12" s="125"/>
      <c r="E12" s="90">
        <v>800</v>
      </c>
      <c r="F12" s="90">
        <v>99.99</v>
      </c>
      <c r="G12" s="16">
        <f t="shared" si="3"/>
        <v>79992</v>
      </c>
      <c r="H12" s="90">
        <v>30</v>
      </c>
      <c r="I12" s="317">
        <v>112.02</v>
      </c>
      <c r="J12" s="16">
        <f t="shared" si="1"/>
        <v>3360.6</v>
      </c>
      <c r="K12" s="16">
        <f t="shared" si="2"/>
        <v>83352.600000000006</v>
      </c>
      <c r="L12" s="126"/>
      <c r="M12" s="126">
        <f t="shared" si="4"/>
        <v>144063.30969999993</v>
      </c>
      <c r="N12" s="41"/>
      <c r="O12" s="66"/>
    </row>
    <row r="13" spans="1:15">
      <c r="A13" s="23">
        <v>10</v>
      </c>
      <c r="B13" s="24">
        <v>45848</v>
      </c>
      <c r="C13" s="124"/>
      <c r="D13" s="125"/>
      <c r="E13" s="90"/>
      <c r="F13" s="90"/>
      <c r="G13" s="16">
        <f t="shared" si="3"/>
        <v>0</v>
      </c>
      <c r="H13" s="90"/>
      <c r="I13" s="317"/>
      <c r="J13" s="16">
        <f t="shared" si="1"/>
        <v>0</v>
      </c>
      <c r="K13" s="16">
        <f t="shared" si="2"/>
        <v>0</v>
      </c>
      <c r="L13" s="126"/>
      <c r="M13" s="126">
        <f t="shared" si="4"/>
        <v>144063.30969999993</v>
      </c>
      <c r="N13" s="41"/>
      <c r="O13" s="66"/>
    </row>
    <row r="14" spans="1:15">
      <c r="A14" s="23">
        <v>11</v>
      </c>
      <c r="B14" s="24">
        <v>45849</v>
      </c>
      <c r="C14" s="124"/>
      <c r="D14" s="125"/>
      <c r="E14" s="90">
        <v>600</v>
      </c>
      <c r="F14" s="90">
        <v>99.99</v>
      </c>
      <c r="G14" s="16">
        <f t="shared" si="3"/>
        <v>59994</v>
      </c>
      <c r="H14" s="90"/>
      <c r="I14" s="317"/>
      <c r="J14" s="16">
        <f t="shared" si="1"/>
        <v>0</v>
      </c>
      <c r="K14" s="16">
        <f t="shared" si="2"/>
        <v>59994</v>
      </c>
      <c r="L14" s="126"/>
      <c r="M14" s="126">
        <f t="shared" si="4"/>
        <v>204057.30969999993</v>
      </c>
      <c r="N14" s="41"/>
      <c r="O14" s="66"/>
    </row>
    <row r="15" spans="1:15">
      <c r="A15" s="23">
        <v>12</v>
      </c>
      <c r="B15" s="24">
        <v>45850</v>
      </c>
      <c r="C15" s="124"/>
      <c r="D15" s="125"/>
      <c r="E15" s="90"/>
      <c r="F15" s="90"/>
      <c r="G15" s="16">
        <f t="shared" si="3"/>
        <v>0</v>
      </c>
      <c r="H15" s="90"/>
      <c r="I15" s="317"/>
      <c r="J15" s="16">
        <f t="shared" si="1"/>
        <v>0</v>
      </c>
      <c r="K15" s="16">
        <f t="shared" si="2"/>
        <v>0</v>
      </c>
      <c r="L15" s="126"/>
      <c r="M15" s="126">
        <f t="shared" si="4"/>
        <v>204057.30969999993</v>
      </c>
      <c r="N15" s="41"/>
      <c r="O15" s="66"/>
    </row>
    <row r="16" spans="1:15">
      <c r="A16" s="23">
        <v>13</v>
      </c>
      <c r="B16" s="24">
        <v>45851</v>
      </c>
      <c r="C16" s="124"/>
      <c r="D16" s="125"/>
      <c r="E16" s="90"/>
      <c r="F16" s="90"/>
      <c r="G16" s="16">
        <f t="shared" si="3"/>
        <v>0</v>
      </c>
      <c r="H16" s="90"/>
      <c r="I16" s="317"/>
      <c r="J16" s="16">
        <f t="shared" si="1"/>
        <v>0</v>
      </c>
      <c r="K16" s="16">
        <f t="shared" si="2"/>
        <v>0</v>
      </c>
      <c r="L16" s="126"/>
      <c r="M16" s="126">
        <f t="shared" si="4"/>
        <v>204057.30969999993</v>
      </c>
      <c r="N16" s="41"/>
      <c r="O16" s="66"/>
    </row>
    <row r="17" spans="1:19">
      <c r="A17" s="23">
        <v>14</v>
      </c>
      <c r="B17" s="24">
        <v>45852</v>
      </c>
      <c r="C17" s="124"/>
      <c r="D17" s="125"/>
      <c r="E17" s="90"/>
      <c r="F17" s="90"/>
      <c r="G17" s="16">
        <f t="shared" si="3"/>
        <v>0</v>
      </c>
      <c r="H17" s="90">
        <v>30</v>
      </c>
      <c r="I17" s="317">
        <v>112.02</v>
      </c>
      <c r="J17" s="16">
        <f t="shared" si="1"/>
        <v>3360.6</v>
      </c>
      <c r="K17" s="16">
        <f t="shared" si="2"/>
        <v>3360.6</v>
      </c>
      <c r="L17" s="126"/>
      <c r="M17" s="126">
        <f t="shared" si="4"/>
        <v>207417.90969999993</v>
      </c>
      <c r="N17" s="41"/>
      <c r="O17" s="66"/>
    </row>
    <row r="18" spans="1:19">
      <c r="A18" s="23">
        <v>15</v>
      </c>
      <c r="B18" s="24">
        <v>45853</v>
      </c>
      <c r="C18" s="124"/>
      <c r="D18" s="125"/>
      <c r="E18" s="90">
        <v>600</v>
      </c>
      <c r="F18" s="90">
        <v>99.99</v>
      </c>
      <c r="G18" s="16">
        <f t="shared" si="3"/>
        <v>59994</v>
      </c>
      <c r="H18" s="90">
        <v>30</v>
      </c>
      <c r="I18" s="317">
        <v>112.02</v>
      </c>
      <c r="J18" s="16">
        <f t="shared" si="1"/>
        <v>3360.6</v>
      </c>
      <c r="K18" s="16">
        <f t="shared" si="2"/>
        <v>63354.6</v>
      </c>
      <c r="L18" s="126"/>
      <c r="M18" s="126">
        <f t="shared" si="4"/>
        <v>270772.50969999994</v>
      </c>
      <c r="N18" s="41" t="s">
        <v>189</v>
      </c>
      <c r="O18" s="66"/>
      <c r="Q18" s="234"/>
      <c r="S18" s="167"/>
    </row>
    <row r="19" spans="1:19">
      <c r="A19" s="23">
        <v>16</v>
      </c>
      <c r="B19" s="24">
        <v>45854</v>
      </c>
      <c r="C19" s="124"/>
      <c r="D19" s="125"/>
      <c r="E19" s="90"/>
      <c r="F19" s="90"/>
      <c r="G19" s="16">
        <f t="shared" si="3"/>
        <v>0</v>
      </c>
      <c r="H19" s="90"/>
      <c r="I19" s="317"/>
      <c r="J19" s="16">
        <f t="shared" si="1"/>
        <v>0</v>
      </c>
      <c r="K19" s="16">
        <f t="shared" si="2"/>
        <v>0</v>
      </c>
      <c r="L19" s="126"/>
      <c r="M19" s="126">
        <f t="shared" si="4"/>
        <v>270772.50969999994</v>
      </c>
      <c r="N19" s="41"/>
      <c r="O19" s="66"/>
    </row>
    <row r="20" spans="1:19">
      <c r="A20" s="23">
        <v>17</v>
      </c>
      <c r="B20" s="24">
        <v>45855</v>
      </c>
      <c r="C20" s="124"/>
      <c r="D20" s="125"/>
      <c r="E20" s="90"/>
      <c r="F20" s="90"/>
      <c r="G20" s="16">
        <f t="shared" si="3"/>
        <v>0</v>
      </c>
      <c r="H20" s="90"/>
      <c r="I20" s="317"/>
      <c r="J20" s="16">
        <f t="shared" si="1"/>
        <v>0</v>
      </c>
      <c r="K20" s="16">
        <f t="shared" si="2"/>
        <v>0</v>
      </c>
      <c r="L20" s="126"/>
      <c r="M20" s="126">
        <f t="shared" si="4"/>
        <v>270772.50969999994</v>
      </c>
      <c r="N20" s="41"/>
      <c r="O20" s="66"/>
    </row>
    <row r="21" spans="1:19">
      <c r="A21" s="23">
        <v>18</v>
      </c>
      <c r="B21" s="24">
        <v>45856</v>
      </c>
      <c r="C21" s="124"/>
      <c r="D21" s="125"/>
      <c r="E21" s="90"/>
      <c r="F21" s="90"/>
      <c r="G21" s="16">
        <f t="shared" si="3"/>
        <v>0</v>
      </c>
      <c r="H21" s="90"/>
      <c r="I21" s="317"/>
      <c r="J21" s="16">
        <f t="shared" si="1"/>
        <v>0</v>
      </c>
      <c r="K21" s="16">
        <f t="shared" si="2"/>
        <v>0</v>
      </c>
      <c r="L21" s="126"/>
      <c r="M21" s="126">
        <f t="shared" si="4"/>
        <v>270772.50969999994</v>
      </c>
      <c r="N21" s="41"/>
      <c r="O21" s="66"/>
    </row>
    <row r="22" spans="1:19">
      <c r="A22" s="23">
        <v>19</v>
      </c>
      <c r="B22" s="24">
        <v>45857</v>
      </c>
      <c r="C22" s="124"/>
      <c r="D22" s="125"/>
      <c r="E22" s="90"/>
      <c r="F22" s="90"/>
      <c r="G22" s="16">
        <f t="shared" si="3"/>
        <v>0</v>
      </c>
      <c r="H22" s="90"/>
      <c r="I22" s="317"/>
      <c r="J22" s="16">
        <f t="shared" si="1"/>
        <v>0</v>
      </c>
      <c r="K22" s="16">
        <f t="shared" si="2"/>
        <v>0</v>
      </c>
      <c r="L22" s="126"/>
      <c r="M22" s="126">
        <f t="shared" si="4"/>
        <v>270772.50969999994</v>
      </c>
      <c r="N22" s="41"/>
      <c r="O22" s="66"/>
    </row>
    <row r="23" spans="1:19">
      <c r="A23" s="23">
        <v>20</v>
      </c>
      <c r="B23" s="24">
        <v>45858</v>
      </c>
      <c r="C23" s="124"/>
      <c r="D23" s="125"/>
      <c r="E23" s="90">
        <v>199.94</v>
      </c>
      <c r="F23" s="90">
        <v>100.03</v>
      </c>
      <c r="G23" s="16">
        <f t="shared" si="3"/>
        <v>19999.998200000002</v>
      </c>
      <c r="H23" s="90"/>
      <c r="I23" s="317"/>
      <c r="J23" s="16">
        <f t="shared" si="1"/>
        <v>0</v>
      </c>
      <c r="K23" s="16">
        <f t="shared" si="2"/>
        <v>19999.998200000002</v>
      </c>
      <c r="L23" s="16">
        <f t="shared" si="2"/>
        <v>19999.998200000002</v>
      </c>
      <c r="M23" s="126">
        <f t="shared" si="4"/>
        <v>270772.50969999994</v>
      </c>
      <c r="N23" s="41" t="s">
        <v>250</v>
      </c>
      <c r="O23" s="66"/>
    </row>
    <row r="24" spans="1:19">
      <c r="A24" s="23">
        <v>21</v>
      </c>
      <c r="B24" s="24">
        <v>45859</v>
      </c>
      <c r="C24" s="124"/>
      <c r="D24" s="125"/>
      <c r="E24" s="90"/>
      <c r="F24" s="90"/>
      <c r="G24" s="16">
        <f t="shared" si="3"/>
        <v>0</v>
      </c>
      <c r="H24" s="90"/>
      <c r="I24" s="317"/>
      <c r="J24" s="16">
        <f t="shared" si="1"/>
        <v>0</v>
      </c>
      <c r="K24" s="16">
        <f t="shared" si="2"/>
        <v>0</v>
      </c>
      <c r="L24" s="126">
        <v>0</v>
      </c>
      <c r="M24" s="126">
        <f t="shared" si="4"/>
        <v>270772.50969999994</v>
      </c>
      <c r="N24" s="247"/>
      <c r="O24" s="233"/>
    </row>
    <row r="25" spans="1:19">
      <c r="A25" s="23">
        <v>22</v>
      </c>
      <c r="B25" s="24">
        <v>45860</v>
      </c>
      <c r="C25" s="124"/>
      <c r="D25" s="125"/>
      <c r="E25" s="90">
        <v>266.42</v>
      </c>
      <c r="F25" s="90">
        <v>99.99</v>
      </c>
      <c r="G25" s="16">
        <f t="shared" si="3"/>
        <v>26639.335800000001</v>
      </c>
      <c r="H25" s="90">
        <v>30</v>
      </c>
      <c r="I25" s="317">
        <v>112.02</v>
      </c>
      <c r="J25" s="16">
        <f t="shared" si="1"/>
        <v>3360.6</v>
      </c>
      <c r="K25" s="478">
        <f t="shared" si="2"/>
        <v>29999.935799999999</v>
      </c>
      <c r="L25" s="478">
        <v>29999.935799999999</v>
      </c>
      <c r="M25" s="126">
        <f t="shared" si="4"/>
        <v>270772.50969999994</v>
      </c>
      <c r="N25" s="41"/>
      <c r="O25" s="66"/>
    </row>
    <row r="26" spans="1:19">
      <c r="A26" s="23">
        <v>23</v>
      </c>
      <c r="B26" s="24">
        <v>45861</v>
      </c>
      <c r="C26" s="124"/>
      <c r="D26" s="125"/>
      <c r="E26" s="90"/>
      <c r="F26" s="90"/>
      <c r="G26" s="16">
        <f t="shared" si="3"/>
        <v>0</v>
      </c>
      <c r="H26" s="90"/>
      <c r="I26" s="317"/>
      <c r="J26" s="16">
        <f t="shared" si="1"/>
        <v>0</v>
      </c>
      <c r="K26" s="16">
        <f t="shared" si="2"/>
        <v>0</v>
      </c>
      <c r="L26" s="126"/>
      <c r="M26" s="126">
        <f t="shared" si="4"/>
        <v>270772.50969999994</v>
      </c>
      <c r="N26" s="41"/>
      <c r="O26" s="66"/>
    </row>
    <row r="27" spans="1:19">
      <c r="A27" s="23">
        <v>24</v>
      </c>
      <c r="B27" s="24">
        <v>45862</v>
      </c>
      <c r="C27" s="124"/>
      <c r="D27" s="125"/>
      <c r="E27" s="90"/>
      <c r="F27" s="90"/>
      <c r="G27" s="16">
        <f t="shared" si="3"/>
        <v>0</v>
      </c>
      <c r="H27" s="90"/>
      <c r="I27" s="317"/>
      <c r="J27" s="16">
        <f t="shared" si="1"/>
        <v>0</v>
      </c>
      <c r="K27" s="16">
        <f t="shared" si="2"/>
        <v>0</v>
      </c>
      <c r="L27" s="126"/>
      <c r="M27" s="126">
        <f t="shared" si="4"/>
        <v>270772.50969999994</v>
      </c>
      <c r="N27" s="41"/>
      <c r="O27" s="66"/>
    </row>
    <row r="28" spans="1:19">
      <c r="A28" s="23">
        <v>25</v>
      </c>
      <c r="B28" s="24">
        <v>45863</v>
      </c>
      <c r="C28" s="124"/>
      <c r="D28" s="125"/>
      <c r="E28" s="90">
        <v>299.91000000000003</v>
      </c>
      <c r="F28" s="90">
        <v>100.03</v>
      </c>
      <c r="G28" s="16">
        <f t="shared" si="3"/>
        <v>29999.997300000003</v>
      </c>
      <c r="H28" s="90"/>
      <c r="I28" s="317"/>
      <c r="J28" s="16">
        <f t="shared" si="1"/>
        <v>0</v>
      </c>
      <c r="K28" s="16">
        <f t="shared" si="2"/>
        <v>29999.997300000003</v>
      </c>
      <c r="L28" s="16">
        <f t="shared" si="2"/>
        <v>29999.997300000003</v>
      </c>
      <c r="M28" s="126">
        <f t="shared" si="4"/>
        <v>270772.50969999994</v>
      </c>
      <c r="N28" s="41"/>
      <c r="O28" s="66"/>
    </row>
    <row r="29" spans="1:19">
      <c r="A29" s="23">
        <v>26</v>
      </c>
      <c r="B29" s="24">
        <v>45864</v>
      </c>
      <c r="C29" s="124"/>
      <c r="D29" s="125"/>
      <c r="E29" s="90"/>
      <c r="F29" s="90"/>
      <c r="G29" s="16">
        <f t="shared" si="3"/>
        <v>0</v>
      </c>
      <c r="H29" s="90"/>
      <c r="I29" s="317"/>
      <c r="J29" s="16">
        <f t="shared" si="1"/>
        <v>0</v>
      </c>
      <c r="K29" s="16">
        <f t="shared" si="2"/>
        <v>0</v>
      </c>
      <c r="L29" s="126"/>
      <c r="M29" s="126">
        <f>M28+K29-L29</f>
        <v>270772.50969999994</v>
      </c>
      <c r="N29" s="41"/>
      <c r="O29" s="66"/>
    </row>
    <row r="30" spans="1:19">
      <c r="A30" s="23">
        <v>27</v>
      </c>
      <c r="B30" s="24">
        <v>45865</v>
      </c>
      <c r="C30" s="124"/>
      <c r="D30" s="125"/>
      <c r="E30" s="90">
        <v>266.3</v>
      </c>
      <c r="F30" s="90">
        <v>100.03</v>
      </c>
      <c r="G30" s="16">
        <f t="shared" si="3"/>
        <v>26637.989000000001</v>
      </c>
      <c r="H30" s="90">
        <v>30</v>
      </c>
      <c r="I30" s="317">
        <v>112.06</v>
      </c>
      <c r="J30" s="16">
        <f t="shared" si="1"/>
        <v>3361.8</v>
      </c>
      <c r="K30" s="478">
        <f t="shared" si="2"/>
        <v>29999.789000000001</v>
      </c>
      <c r="L30" s="478">
        <v>29999.789000000001</v>
      </c>
      <c r="M30" s="126">
        <f t="shared" si="4"/>
        <v>270772.50969999994</v>
      </c>
      <c r="N30" s="41"/>
      <c r="O30" s="66"/>
    </row>
    <row r="31" spans="1:19">
      <c r="A31" s="23">
        <v>28</v>
      </c>
      <c r="B31" s="24">
        <v>45866</v>
      </c>
      <c r="C31" s="124"/>
      <c r="D31" s="125"/>
      <c r="E31" s="90">
        <v>299.82</v>
      </c>
      <c r="F31" s="90">
        <v>100.06</v>
      </c>
      <c r="G31" s="16">
        <f t="shared" si="3"/>
        <v>29999.9892</v>
      </c>
      <c r="H31" s="90"/>
      <c r="I31" s="317"/>
      <c r="J31" s="16">
        <f t="shared" si="1"/>
        <v>0</v>
      </c>
      <c r="K31" s="478">
        <f t="shared" si="2"/>
        <v>29999.9892</v>
      </c>
      <c r="L31" s="478">
        <v>29999.789000000001</v>
      </c>
      <c r="M31" s="126">
        <f t="shared" si="4"/>
        <v>270772.70989999996</v>
      </c>
      <c r="N31" s="41" t="s">
        <v>251</v>
      </c>
      <c r="O31" s="66"/>
      <c r="P31" s="234"/>
    </row>
    <row r="32" spans="1:19">
      <c r="A32" s="23">
        <v>29</v>
      </c>
      <c r="B32" s="24">
        <v>45867</v>
      </c>
      <c r="C32" s="124"/>
      <c r="D32" s="125"/>
      <c r="E32" s="90"/>
      <c r="F32" s="90"/>
      <c r="G32" s="16">
        <f t="shared" si="3"/>
        <v>0</v>
      </c>
      <c r="H32" s="90"/>
      <c r="I32" s="317"/>
      <c r="J32" s="16">
        <f t="shared" si="1"/>
        <v>0</v>
      </c>
      <c r="K32" s="16">
        <f t="shared" si="2"/>
        <v>0</v>
      </c>
      <c r="L32" s="126">
        <v>200000</v>
      </c>
      <c r="M32" s="126">
        <f t="shared" si="4"/>
        <v>70772.709899999958</v>
      </c>
      <c r="N32" s="41" t="s">
        <v>189</v>
      </c>
      <c r="O32" s="66"/>
    </row>
    <row r="33" spans="1:19">
      <c r="A33" s="23">
        <v>30</v>
      </c>
      <c r="B33" s="24">
        <v>45868</v>
      </c>
      <c r="C33" s="124"/>
      <c r="D33" s="125"/>
      <c r="E33" s="90">
        <v>600</v>
      </c>
      <c r="F33" s="90">
        <v>99.99</v>
      </c>
      <c r="G33" s="16">
        <f t="shared" si="3"/>
        <v>59994</v>
      </c>
      <c r="H33" s="90"/>
      <c r="I33" s="317"/>
      <c r="J33" s="16">
        <f t="shared" si="1"/>
        <v>0</v>
      </c>
      <c r="K33" s="16">
        <f t="shared" si="2"/>
        <v>59994</v>
      </c>
      <c r="L33" s="126"/>
      <c r="M33" s="126">
        <f t="shared" si="4"/>
        <v>130766.70989999996</v>
      </c>
      <c r="N33" s="41"/>
      <c r="O33" s="66"/>
      <c r="P33" s="234"/>
    </row>
    <row r="34" spans="1:19">
      <c r="A34" s="23">
        <v>31</v>
      </c>
      <c r="B34" s="24">
        <v>45869</v>
      </c>
      <c r="C34" s="124"/>
      <c r="D34" s="125"/>
      <c r="E34" s="90"/>
      <c r="F34" s="90"/>
      <c r="G34" s="16">
        <f t="shared" si="3"/>
        <v>0</v>
      </c>
      <c r="H34" s="90"/>
      <c r="I34" s="317"/>
      <c r="J34" s="16">
        <f t="shared" si="1"/>
        <v>0</v>
      </c>
      <c r="K34" s="16">
        <f t="shared" si="2"/>
        <v>0</v>
      </c>
      <c r="L34" s="126">
        <v>0</v>
      </c>
      <c r="M34" s="126">
        <f t="shared" si="4"/>
        <v>130766.70989999996</v>
      </c>
      <c r="N34" s="41"/>
      <c r="O34" s="66"/>
    </row>
    <row r="35" spans="1:19">
      <c r="A35" s="23"/>
      <c r="B35" s="24"/>
      <c r="C35" s="124"/>
      <c r="D35" s="125"/>
      <c r="E35" s="90"/>
      <c r="F35" s="90"/>
      <c r="G35" s="16">
        <f t="shared" si="0"/>
        <v>0</v>
      </c>
      <c r="H35" s="90"/>
      <c r="I35" s="317"/>
      <c r="J35" s="16">
        <f t="shared" si="1"/>
        <v>0</v>
      </c>
      <c r="K35" s="16">
        <f t="shared" si="2"/>
        <v>0</v>
      </c>
      <c r="L35" s="126">
        <v>0</v>
      </c>
      <c r="M35" s="126">
        <f t="shared" si="4"/>
        <v>130766.70989999996</v>
      </c>
      <c r="N35" s="41"/>
      <c r="O35" s="66"/>
    </row>
    <row r="36" spans="1:19">
      <c r="A36" s="23"/>
      <c r="B36" s="24"/>
      <c r="C36" s="124"/>
      <c r="D36" s="125"/>
      <c r="E36" s="90">
        <v>0</v>
      </c>
      <c r="F36" s="90">
        <v>0</v>
      </c>
      <c r="G36" s="16">
        <f t="shared" ref="G36" si="5">E36*F36</f>
        <v>0</v>
      </c>
      <c r="H36" s="90">
        <v>0</v>
      </c>
      <c r="I36" s="317">
        <v>0</v>
      </c>
      <c r="J36" s="16">
        <f t="shared" ref="J36" si="6">H36*I36</f>
        <v>0</v>
      </c>
      <c r="K36" s="16">
        <f t="shared" ref="K36" si="7">G36+J36</f>
        <v>0</v>
      </c>
      <c r="L36" s="126">
        <v>0</v>
      </c>
      <c r="M36" s="126">
        <f t="shared" si="4"/>
        <v>130766.70989999996</v>
      </c>
      <c r="N36" s="41"/>
      <c r="O36" s="66"/>
    </row>
    <row r="37" spans="1:19">
      <c r="A37" s="39"/>
      <c r="B37" s="39"/>
      <c r="C37" s="39"/>
      <c r="D37" s="39"/>
      <c r="E37" s="40">
        <f>SUM(E4:E35)</f>
        <v>5132.3899999999994</v>
      </c>
      <c r="F37" s="40"/>
      <c r="G37" s="40">
        <f>SUM(G4:G35)</f>
        <v>513239.30950000003</v>
      </c>
      <c r="H37" s="40">
        <f>SUM(H4:H35)</f>
        <v>180</v>
      </c>
      <c r="I37" s="40"/>
      <c r="J37" s="40">
        <f>SUM(J4:J35)</f>
        <v>20164.8</v>
      </c>
      <c r="K37" s="40">
        <f>SUM(K4:K35)</f>
        <v>533404.1094999999</v>
      </c>
      <c r="L37" s="40">
        <f>SUM(L4:L35)</f>
        <v>534999.50930000003</v>
      </c>
      <c r="M37" s="40"/>
      <c r="N37" s="40"/>
      <c r="O37" s="30"/>
    </row>
    <row r="38" spans="1:19">
      <c r="A38" s="69"/>
      <c r="B38" s="70"/>
      <c r="C38" s="69"/>
      <c r="D38" s="69"/>
      <c r="E38" s="71">
        <v>0</v>
      </c>
      <c r="F38" s="71"/>
      <c r="G38" s="71">
        <v>0</v>
      </c>
      <c r="H38" s="71">
        <v>0</v>
      </c>
      <c r="I38" s="71"/>
      <c r="J38" s="72">
        <v>0</v>
      </c>
      <c r="K38" s="72">
        <f>G38+J38</f>
        <v>0</v>
      </c>
      <c r="L38" s="72">
        <v>0</v>
      </c>
      <c r="M38" s="72"/>
      <c r="N38" s="71"/>
      <c r="O38" s="66"/>
    </row>
    <row r="39" spans="1:19">
      <c r="E39" s="131"/>
      <c r="F39" s="131"/>
      <c r="G39" s="131"/>
      <c r="H39" s="131"/>
      <c r="I39" s="131"/>
      <c r="J39" s="131"/>
      <c r="K39" s="131"/>
      <c r="L39" s="131"/>
      <c r="M39" s="234"/>
      <c r="O39" s="66"/>
    </row>
    <row r="40" spans="1:19">
      <c r="O40" s="66"/>
    </row>
    <row r="41" spans="1:19">
      <c r="M41" s="167"/>
      <c r="O41" s="66"/>
    </row>
    <row r="42" spans="1:19">
      <c r="O42" s="66"/>
    </row>
    <row r="43" spans="1:19">
      <c r="O43" s="66"/>
      <c r="S43">
        <v>9052944708</v>
      </c>
    </row>
    <row r="44" spans="1:19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9">
      <c r="A45" s="66"/>
      <c r="B45" s="558"/>
      <c r="C45" s="558"/>
      <c r="D45" s="558"/>
      <c r="E45" s="558"/>
      <c r="F45" s="66"/>
      <c r="G45" s="66"/>
      <c r="H45" s="66"/>
      <c r="I45" s="558"/>
      <c r="J45" s="558"/>
      <c r="K45" s="558"/>
      <c r="L45" s="558"/>
      <c r="M45" s="558"/>
      <c r="N45" s="558"/>
      <c r="O45" s="71"/>
    </row>
    <row r="46" spans="1:19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topLeftCell="A22" workbookViewId="0">
      <selection activeCell="L34" sqref="L34:M34"/>
    </sheetView>
  </sheetViews>
  <sheetFormatPr defaultRowHeight="15"/>
  <cols>
    <col min="2" max="2" width="10.140625" bestFit="1" customWidth="1"/>
    <col min="4" max="4" width="24.85546875" bestFit="1" customWidth="1"/>
    <col min="12" max="12" width="9.28515625" bestFit="1" customWidth="1"/>
    <col min="13" max="13" width="10.42578125" bestFit="1" customWidth="1"/>
    <col min="14" max="14" width="12.7109375" customWidth="1"/>
  </cols>
  <sheetData>
    <row r="1" spans="1:14" ht="15.75">
      <c r="A1" s="564" t="s">
        <v>252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</row>
    <row r="2" spans="1:14" ht="25.5">
      <c r="A2" s="100" t="s">
        <v>0</v>
      </c>
      <c r="B2" s="102" t="s">
        <v>163</v>
      </c>
      <c r="C2" s="102" t="s">
        <v>164</v>
      </c>
      <c r="D2" s="102" t="s">
        <v>165</v>
      </c>
      <c r="E2" s="102" t="s">
        <v>166</v>
      </c>
      <c r="F2" s="102" t="s">
        <v>167</v>
      </c>
      <c r="G2" s="102" t="s">
        <v>168</v>
      </c>
      <c r="H2" s="102" t="s">
        <v>169</v>
      </c>
      <c r="I2" s="102" t="s">
        <v>167</v>
      </c>
      <c r="J2" s="102" t="s">
        <v>168</v>
      </c>
      <c r="K2" s="102" t="s">
        <v>170</v>
      </c>
      <c r="L2" s="102" t="s">
        <v>171</v>
      </c>
      <c r="M2" s="102" t="s">
        <v>187</v>
      </c>
      <c r="N2" s="102" t="s">
        <v>173</v>
      </c>
    </row>
    <row r="3" spans="1:14">
      <c r="A3" s="567" t="s">
        <v>174</v>
      </c>
      <c r="B3" s="567"/>
      <c r="C3" s="567"/>
      <c r="D3" s="567"/>
      <c r="E3" s="567"/>
      <c r="F3" s="567"/>
      <c r="G3" s="567"/>
      <c r="H3" s="567"/>
      <c r="I3" s="567"/>
      <c r="J3" s="567"/>
      <c r="K3" s="92">
        <v>8880.8599999999951</v>
      </c>
      <c r="L3" s="92">
        <v>0</v>
      </c>
      <c r="M3" s="92">
        <v>8880.8599999999951</v>
      </c>
      <c r="N3" s="14"/>
    </row>
    <row r="4" spans="1:14">
      <c r="A4" s="23">
        <v>1</v>
      </c>
      <c r="B4" s="24">
        <v>46204</v>
      </c>
      <c r="C4" s="14"/>
      <c r="D4" s="14"/>
      <c r="E4" s="83"/>
      <c r="F4" s="83"/>
      <c r="G4" s="14">
        <f>E4*F4</f>
        <v>0</v>
      </c>
      <c r="H4" s="83"/>
      <c r="I4" s="83"/>
      <c r="J4" s="14">
        <f>H4*I4</f>
        <v>0</v>
      </c>
      <c r="K4" s="14">
        <f>G4+J4</f>
        <v>0</v>
      </c>
      <c r="L4" s="14"/>
      <c r="M4" s="14">
        <f>M3+K4-L4</f>
        <v>8880.8599999999951</v>
      </c>
      <c r="N4" s="217"/>
    </row>
    <row r="5" spans="1:14">
      <c r="A5" s="23">
        <v>2</v>
      </c>
      <c r="B5" s="24">
        <v>46205</v>
      </c>
      <c r="C5" s="14"/>
      <c r="D5" s="14"/>
      <c r="E5" s="83"/>
      <c r="F5" s="83"/>
      <c r="G5" s="14">
        <f t="shared" ref="G5" si="0">E5*F5</f>
        <v>0</v>
      </c>
      <c r="H5" s="83"/>
      <c r="I5" s="83"/>
      <c r="J5" s="14">
        <f t="shared" ref="J5" si="1">H5*I5</f>
        <v>0</v>
      </c>
      <c r="K5" s="14">
        <f t="shared" ref="K5" si="2">G5+J5</f>
        <v>0</v>
      </c>
      <c r="L5" s="14"/>
      <c r="M5" s="94">
        <f t="shared" ref="M5:M34" si="3">M4+K5-L5</f>
        <v>8880.8599999999951</v>
      </c>
      <c r="N5" s="41"/>
    </row>
    <row r="6" spans="1:14">
      <c r="A6" s="23">
        <v>3</v>
      </c>
      <c r="B6" s="24">
        <v>46206</v>
      </c>
      <c r="C6" s="14"/>
      <c r="D6" s="14"/>
      <c r="E6" s="83"/>
      <c r="F6" s="83"/>
      <c r="G6" s="14">
        <f t="shared" ref="G6:G7" si="4">E6*F6</f>
        <v>0</v>
      </c>
      <c r="H6" s="83"/>
      <c r="I6" s="83"/>
      <c r="J6" s="14">
        <f t="shared" ref="J6:J33" si="5">H6*I6</f>
        <v>0</v>
      </c>
      <c r="K6" s="14">
        <f t="shared" ref="K6:K33" si="6">G6+J6</f>
        <v>0</v>
      </c>
      <c r="L6" s="14"/>
      <c r="M6" s="94">
        <f t="shared" si="3"/>
        <v>8880.8599999999951</v>
      </c>
      <c r="N6" s="41"/>
    </row>
    <row r="7" spans="1:14">
      <c r="A7" s="23">
        <v>4</v>
      </c>
      <c r="B7" s="24">
        <v>46207</v>
      </c>
      <c r="C7" s="14"/>
      <c r="D7" s="14"/>
      <c r="E7" s="83"/>
      <c r="F7" s="83"/>
      <c r="G7" s="14">
        <f t="shared" si="4"/>
        <v>0</v>
      </c>
      <c r="H7" s="83"/>
      <c r="I7" s="83"/>
      <c r="J7" s="14">
        <f t="shared" si="5"/>
        <v>0</v>
      </c>
      <c r="K7" s="14">
        <f t="shared" si="6"/>
        <v>0</v>
      </c>
      <c r="L7" s="14"/>
      <c r="M7" s="425">
        <f t="shared" si="3"/>
        <v>8880.8599999999951</v>
      </c>
      <c r="N7" s="14"/>
    </row>
    <row r="8" spans="1:14">
      <c r="A8" s="23">
        <v>5</v>
      </c>
      <c r="B8" s="24">
        <v>46208</v>
      </c>
      <c r="C8" s="14"/>
      <c r="D8" s="14"/>
      <c r="E8" s="83"/>
      <c r="F8" s="83"/>
      <c r="G8" s="14">
        <f>E8*F8</f>
        <v>0</v>
      </c>
      <c r="H8" s="83"/>
      <c r="I8" s="83"/>
      <c r="J8" s="14">
        <f t="shared" si="5"/>
        <v>0</v>
      </c>
      <c r="K8" s="14">
        <f t="shared" si="6"/>
        <v>0</v>
      </c>
      <c r="L8" s="14"/>
      <c r="M8" s="425">
        <f t="shared" si="3"/>
        <v>8880.8599999999951</v>
      </c>
      <c r="N8" s="41"/>
    </row>
    <row r="9" spans="1:14">
      <c r="A9" s="23">
        <v>6</v>
      </c>
      <c r="B9" s="24">
        <v>46209</v>
      </c>
      <c r="C9" s="14"/>
      <c r="D9" s="14"/>
      <c r="E9" s="83"/>
      <c r="F9" s="83"/>
      <c r="G9" s="14">
        <f>E9*F9</f>
        <v>0</v>
      </c>
      <c r="H9" s="83"/>
      <c r="I9" s="83"/>
      <c r="J9" s="14">
        <f t="shared" si="5"/>
        <v>0</v>
      </c>
      <c r="K9" s="14">
        <f t="shared" si="6"/>
        <v>0</v>
      </c>
      <c r="L9" s="14"/>
      <c r="M9" s="425">
        <f t="shared" si="3"/>
        <v>8880.8599999999951</v>
      </c>
      <c r="N9" s="41"/>
    </row>
    <row r="10" spans="1:14">
      <c r="A10" s="23">
        <v>7</v>
      </c>
      <c r="B10" s="24">
        <v>46210</v>
      </c>
      <c r="C10" s="14"/>
      <c r="D10" s="14"/>
      <c r="E10" s="83"/>
      <c r="F10" s="83"/>
      <c r="G10" s="14">
        <f>E10*F10</f>
        <v>0</v>
      </c>
      <c r="H10" s="83">
        <v>35</v>
      </c>
      <c r="I10" s="83">
        <v>112.06</v>
      </c>
      <c r="J10" s="14">
        <f t="shared" si="5"/>
        <v>3922.1</v>
      </c>
      <c r="K10" s="14">
        <f t="shared" si="6"/>
        <v>3922.1</v>
      </c>
      <c r="L10" s="14"/>
      <c r="M10" s="425">
        <f t="shared" si="3"/>
        <v>12802.959999999995</v>
      </c>
      <c r="N10" s="41"/>
    </row>
    <row r="11" spans="1:14">
      <c r="A11" s="23">
        <v>8</v>
      </c>
      <c r="B11" s="24">
        <v>46211</v>
      </c>
      <c r="C11" s="14"/>
      <c r="D11" s="14"/>
      <c r="E11" s="83">
        <v>200</v>
      </c>
      <c r="F11" s="83">
        <v>100.04</v>
      </c>
      <c r="G11" s="14">
        <f>E11*F11</f>
        <v>20008</v>
      </c>
      <c r="H11" s="83"/>
      <c r="I11" s="83"/>
      <c r="J11" s="14">
        <f t="shared" si="5"/>
        <v>0</v>
      </c>
      <c r="K11" s="14">
        <f t="shared" si="6"/>
        <v>20008</v>
      </c>
      <c r="L11" s="14"/>
      <c r="M11" s="425">
        <f t="shared" si="3"/>
        <v>32810.959999999992</v>
      </c>
      <c r="N11" s="41"/>
    </row>
    <row r="12" spans="1:14">
      <c r="A12" s="23">
        <v>9</v>
      </c>
      <c r="B12" s="24">
        <v>46212</v>
      </c>
      <c r="C12" s="14"/>
      <c r="D12" s="14"/>
      <c r="E12" s="83"/>
      <c r="F12" s="83"/>
      <c r="G12" s="14">
        <f>E12*F12</f>
        <v>0</v>
      </c>
      <c r="H12" s="83"/>
      <c r="I12" s="83"/>
      <c r="J12" s="14">
        <f t="shared" si="5"/>
        <v>0</v>
      </c>
      <c r="K12" s="14">
        <f t="shared" si="6"/>
        <v>0</v>
      </c>
      <c r="L12" s="14"/>
      <c r="M12" s="37">
        <f t="shared" si="3"/>
        <v>32810.959999999992</v>
      </c>
      <c r="N12" s="90"/>
    </row>
    <row r="13" spans="1:14">
      <c r="A13" s="23">
        <v>10</v>
      </c>
      <c r="B13" s="24">
        <v>46213</v>
      </c>
      <c r="C13" s="14"/>
      <c r="D13" s="14"/>
      <c r="E13" s="83"/>
      <c r="F13" s="83"/>
      <c r="G13" s="14">
        <f>E13*F13</f>
        <v>0</v>
      </c>
      <c r="H13" s="83"/>
      <c r="I13" s="83"/>
      <c r="J13" s="14">
        <f t="shared" si="5"/>
        <v>0</v>
      </c>
      <c r="K13" s="14">
        <f t="shared" si="6"/>
        <v>0</v>
      </c>
      <c r="L13" s="14"/>
      <c r="M13" s="37">
        <f t="shared" si="3"/>
        <v>32810.959999999992</v>
      </c>
      <c r="N13" s="41"/>
    </row>
    <row r="14" spans="1:14">
      <c r="A14" s="23">
        <v>11</v>
      </c>
      <c r="B14" s="24">
        <v>46214</v>
      </c>
      <c r="C14" s="14"/>
      <c r="D14" s="14"/>
      <c r="E14" s="83">
        <v>400</v>
      </c>
      <c r="F14" s="83">
        <v>100.04</v>
      </c>
      <c r="G14" s="14">
        <f>E14*F14</f>
        <v>40016</v>
      </c>
      <c r="H14" s="83"/>
      <c r="I14" s="83"/>
      <c r="J14" s="14">
        <f t="shared" si="5"/>
        <v>0</v>
      </c>
      <c r="K14" s="14">
        <f t="shared" si="6"/>
        <v>40016</v>
      </c>
      <c r="L14" s="14"/>
      <c r="M14" s="37">
        <f t="shared" si="3"/>
        <v>72826.959999999992</v>
      </c>
      <c r="N14" s="41"/>
    </row>
    <row r="15" spans="1:14">
      <c r="A15" s="23">
        <v>12</v>
      </c>
      <c r="B15" s="24">
        <v>46215</v>
      </c>
      <c r="C15" s="14"/>
      <c r="D15" s="14"/>
      <c r="E15" s="83"/>
      <c r="F15" s="83"/>
      <c r="G15" s="14">
        <f>E15*F15</f>
        <v>0</v>
      </c>
      <c r="H15" s="83"/>
      <c r="I15" s="83"/>
      <c r="J15" s="14">
        <f t="shared" si="5"/>
        <v>0</v>
      </c>
      <c r="K15" s="14">
        <f t="shared" si="6"/>
        <v>0</v>
      </c>
      <c r="L15" s="14"/>
      <c r="M15" s="37">
        <f t="shared" si="3"/>
        <v>72826.959999999992</v>
      </c>
      <c r="N15" s="41"/>
    </row>
    <row r="16" spans="1:14">
      <c r="A16" s="23">
        <v>13</v>
      </c>
      <c r="B16" s="24">
        <v>46216</v>
      </c>
      <c r="C16" s="14"/>
      <c r="D16" s="14"/>
      <c r="E16" s="83"/>
      <c r="F16" s="83"/>
      <c r="G16" s="14">
        <f>E16*F16</f>
        <v>0</v>
      </c>
      <c r="H16" s="83"/>
      <c r="I16" s="83"/>
      <c r="J16" s="14">
        <f t="shared" si="5"/>
        <v>0</v>
      </c>
      <c r="K16" s="14">
        <f t="shared" si="6"/>
        <v>0</v>
      </c>
      <c r="L16" s="14"/>
      <c r="M16" s="37">
        <f t="shared" si="3"/>
        <v>72826.959999999992</v>
      </c>
      <c r="N16" s="41"/>
    </row>
    <row r="17" spans="1:14">
      <c r="A17" s="23">
        <v>14</v>
      </c>
      <c r="B17" s="24">
        <v>46217</v>
      </c>
      <c r="C17" s="14"/>
      <c r="D17" s="14"/>
      <c r="E17" s="83"/>
      <c r="F17" s="83"/>
      <c r="G17" s="14">
        <f>E17*F17</f>
        <v>0</v>
      </c>
      <c r="H17" s="83">
        <v>35</v>
      </c>
      <c r="I17" s="83">
        <v>112.06</v>
      </c>
      <c r="J17" s="14">
        <f t="shared" si="5"/>
        <v>3922.1</v>
      </c>
      <c r="K17" s="14">
        <f t="shared" si="6"/>
        <v>3922.1</v>
      </c>
      <c r="L17" s="14"/>
      <c r="M17" s="37">
        <f t="shared" si="3"/>
        <v>76749.06</v>
      </c>
      <c r="N17" s="41"/>
    </row>
    <row r="18" spans="1:14">
      <c r="A18" s="23">
        <v>15</v>
      </c>
      <c r="B18" s="24">
        <v>46218</v>
      </c>
      <c r="C18" s="14"/>
      <c r="D18" s="14"/>
      <c r="E18" s="83">
        <v>400</v>
      </c>
      <c r="F18" s="83">
        <v>100.04</v>
      </c>
      <c r="G18" s="14">
        <f>E18*F18</f>
        <v>40016</v>
      </c>
      <c r="H18" s="83"/>
      <c r="I18" s="83"/>
      <c r="J18" s="14">
        <f t="shared" si="5"/>
        <v>0</v>
      </c>
      <c r="K18" s="14">
        <f t="shared" si="6"/>
        <v>40016</v>
      </c>
      <c r="L18" s="14"/>
      <c r="M18" s="37">
        <f t="shared" si="3"/>
        <v>116765.06</v>
      </c>
      <c r="N18" s="41"/>
    </row>
    <row r="19" spans="1:14">
      <c r="A19" s="23">
        <v>16</v>
      </c>
      <c r="B19" s="24">
        <v>46219</v>
      </c>
      <c r="C19" s="14"/>
      <c r="D19" s="14"/>
      <c r="E19" s="83"/>
      <c r="F19" s="83"/>
      <c r="G19" s="14">
        <f>E19*F19</f>
        <v>0</v>
      </c>
      <c r="H19" s="83"/>
      <c r="I19" s="83"/>
      <c r="J19" s="14">
        <f t="shared" si="5"/>
        <v>0</v>
      </c>
      <c r="K19" s="14">
        <f t="shared" si="6"/>
        <v>0</v>
      </c>
      <c r="L19" s="14"/>
      <c r="M19" s="37">
        <f t="shared" si="3"/>
        <v>116765.06</v>
      </c>
      <c r="N19" s="41"/>
    </row>
    <row r="20" spans="1:14">
      <c r="A20" s="23">
        <v>17</v>
      </c>
      <c r="B20" s="24">
        <v>46220</v>
      </c>
      <c r="C20" s="14"/>
      <c r="D20" s="14"/>
      <c r="E20" s="83"/>
      <c r="F20" s="83"/>
      <c r="G20" s="14">
        <f>E20*F20</f>
        <v>0</v>
      </c>
      <c r="H20" s="83">
        <v>35</v>
      </c>
      <c r="I20" s="83">
        <v>112.06</v>
      </c>
      <c r="J20" s="14">
        <f t="shared" si="5"/>
        <v>3922.1</v>
      </c>
      <c r="K20" s="14">
        <f t="shared" si="6"/>
        <v>3922.1</v>
      </c>
      <c r="L20" s="14"/>
      <c r="M20" s="37">
        <f t="shared" si="3"/>
        <v>120687.16</v>
      </c>
      <c r="N20" s="41"/>
    </row>
    <row r="21" spans="1:14">
      <c r="A21" s="23">
        <v>18</v>
      </c>
      <c r="B21" s="24">
        <v>46221</v>
      </c>
      <c r="C21" s="14"/>
      <c r="D21" s="14"/>
      <c r="E21" s="83"/>
      <c r="F21" s="83"/>
      <c r="G21" s="14">
        <f>E21*F21</f>
        <v>0</v>
      </c>
      <c r="H21" s="83"/>
      <c r="I21" s="83"/>
      <c r="J21" s="14">
        <f t="shared" si="5"/>
        <v>0</v>
      </c>
      <c r="K21" s="14">
        <f t="shared" si="6"/>
        <v>0</v>
      </c>
      <c r="L21" s="14"/>
      <c r="M21" s="37">
        <f t="shared" si="3"/>
        <v>120687.16</v>
      </c>
      <c r="N21" s="41"/>
    </row>
    <row r="22" spans="1:14">
      <c r="A22" s="23">
        <v>19</v>
      </c>
      <c r="B22" s="24">
        <v>46222</v>
      </c>
      <c r="C22" s="14"/>
      <c r="D22" s="14"/>
      <c r="E22" s="83"/>
      <c r="F22" s="83"/>
      <c r="G22" s="14">
        <f>E22*F22</f>
        <v>0</v>
      </c>
      <c r="H22" s="83"/>
      <c r="I22" s="83"/>
      <c r="J22" s="14">
        <f t="shared" si="5"/>
        <v>0</v>
      </c>
      <c r="K22" s="14">
        <f t="shared" si="6"/>
        <v>0</v>
      </c>
      <c r="L22" s="14"/>
      <c r="M22" s="37">
        <f t="shared" si="3"/>
        <v>120687.16</v>
      </c>
      <c r="N22" s="41"/>
    </row>
    <row r="23" spans="1:14">
      <c r="A23" s="23">
        <v>20</v>
      </c>
      <c r="B23" s="24">
        <v>46223</v>
      </c>
      <c r="C23" s="14"/>
      <c r="D23" s="14"/>
      <c r="E23" s="83"/>
      <c r="F23" s="83"/>
      <c r="G23" s="14">
        <f>E23*F23</f>
        <v>0</v>
      </c>
      <c r="H23" s="83"/>
      <c r="I23" s="83"/>
      <c r="J23" s="14">
        <f t="shared" si="5"/>
        <v>0</v>
      </c>
      <c r="K23" s="14">
        <f t="shared" si="6"/>
        <v>0</v>
      </c>
      <c r="L23" s="14"/>
      <c r="M23" s="37">
        <f t="shared" si="3"/>
        <v>120687.16</v>
      </c>
      <c r="N23" s="41"/>
    </row>
    <row r="24" spans="1:14">
      <c r="A24" s="23">
        <v>21</v>
      </c>
      <c r="B24" s="24">
        <v>46224</v>
      </c>
      <c r="C24" s="14"/>
      <c r="D24" s="14"/>
      <c r="E24" s="83"/>
      <c r="F24" s="83"/>
      <c r="G24" s="14">
        <f>E24*F24</f>
        <v>0</v>
      </c>
      <c r="H24" s="83"/>
      <c r="I24" s="83"/>
      <c r="J24" s="14">
        <f t="shared" si="5"/>
        <v>0</v>
      </c>
      <c r="K24" s="14">
        <f t="shared" si="6"/>
        <v>0</v>
      </c>
      <c r="L24" s="14"/>
      <c r="M24" s="37">
        <f t="shared" si="3"/>
        <v>120687.16</v>
      </c>
      <c r="N24" s="41"/>
    </row>
    <row r="25" spans="1:14">
      <c r="A25" s="23">
        <v>22</v>
      </c>
      <c r="B25" s="24">
        <v>46225</v>
      </c>
      <c r="C25" s="14"/>
      <c r="D25" s="14"/>
      <c r="E25" s="83">
        <v>300</v>
      </c>
      <c r="F25" s="83">
        <v>100.04</v>
      </c>
      <c r="G25" s="14">
        <f>E25*F25</f>
        <v>30012.000000000004</v>
      </c>
      <c r="H25" s="83"/>
      <c r="I25" s="83"/>
      <c r="J25" s="14">
        <f t="shared" si="5"/>
        <v>0</v>
      </c>
      <c r="K25" s="14">
        <f t="shared" si="6"/>
        <v>30012.000000000004</v>
      </c>
      <c r="L25" s="14"/>
      <c r="M25" s="37">
        <f>M24+K25-L25</f>
        <v>150699.16</v>
      </c>
      <c r="N25" s="41"/>
    </row>
    <row r="26" spans="1:14">
      <c r="A26" s="23">
        <v>23</v>
      </c>
      <c r="B26" s="24">
        <v>46226</v>
      </c>
      <c r="C26" s="14"/>
      <c r="D26" s="14"/>
      <c r="E26" s="83"/>
      <c r="F26" s="83"/>
      <c r="G26" s="14">
        <f>E26*F26</f>
        <v>0</v>
      </c>
      <c r="H26" s="83"/>
      <c r="I26" s="83"/>
      <c r="J26" s="14">
        <f t="shared" si="5"/>
        <v>0</v>
      </c>
      <c r="K26" s="14">
        <f t="shared" si="6"/>
        <v>0</v>
      </c>
      <c r="L26" s="14"/>
      <c r="M26" s="37">
        <f t="shared" si="3"/>
        <v>150699.16</v>
      </c>
      <c r="N26" s="41"/>
    </row>
    <row r="27" spans="1:14">
      <c r="A27" s="23">
        <v>24</v>
      </c>
      <c r="B27" s="24">
        <v>46227</v>
      </c>
      <c r="C27" s="14"/>
      <c r="D27" s="14"/>
      <c r="E27" s="83"/>
      <c r="F27" s="83"/>
      <c r="G27" s="14">
        <f>E27*F27</f>
        <v>0</v>
      </c>
      <c r="H27" s="83"/>
      <c r="I27" s="83"/>
      <c r="J27" s="14">
        <f t="shared" si="5"/>
        <v>0</v>
      </c>
      <c r="K27" s="14">
        <f t="shared" si="6"/>
        <v>0</v>
      </c>
      <c r="L27" s="14"/>
      <c r="M27" s="37">
        <f t="shared" si="3"/>
        <v>150699.16</v>
      </c>
      <c r="N27" s="41"/>
    </row>
    <row r="28" spans="1:14">
      <c r="A28" s="23">
        <v>25</v>
      </c>
      <c r="B28" s="24">
        <v>46228</v>
      </c>
      <c r="C28" s="14"/>
      <c r="D28" s="14"/>
      <c r="E28" s="83"/>
      <c r="F28" s="83"/>
      <c r="G28" s="14">
        <f>E28*F28</f>
        <v>0</v>
      </c>
      <c r="H28" s="83"/>
      <c r="I28" s="83"/>
      <c r="J28" s="14">
        <f t="shared" si="5"/>
        <v>0</v>
      </c>
      <c r="K28" s="14">
        <f t="shared" si="6"/>
        <v>0</v>
      </c>
      <c r="L28" s="14"/>
      <c r="M28" s="37">
        <f t="shared" si="3"/>
        <v>150699.16</v>
      </c>
      <c r="N28" s="41"/>
    </row>
    <row r="29" spans="1:14">
      <c r="A29" s="23">
        <v>26</v>
      </c>
      <c r="B29" s="24">
        <v>46229</v>
      </c>
      <c r="C29" s="14"/>
      <c r="D29" s="14"/>
      <c r="E29" s="83"/>
      <c r="F29" s="83"/>
      <c r="G29" s="14">
        <f>E29*F29</f>
        <v>0</v>
      </c>
      <c r="H29" s="83"/>
      <c r="I29" s="83"/>
      <c r="J29" s="14">
        <f t="shared" si="5"/>
        <v>0</v>
      </c>
      <c r="K29" s="14">
        <f t="shared" si="6"/>
        <v>0</v>
      </c>
      <c r="L29" s="14"/>
      <c r="M29" s="37">
        <f t="shared" si="3"/>
        <v>150699.16</v>
      </c>
      <c r="N29" s="41"/>
    </row>
    <row r="30" spans="1:14">
      <c r="A30" s="23">
        <v>27</v>
      </c>
      <c r="B30" s="24">
        <v>46230</v>
      </c>
      <c r="C30" s="14"/>
      <c r="D30" s="14"/>
      <c r="E30" s="83">
        <v>85</v>
      </c>
      <c r="F30" s="83">
        <v>100.03</v>
      </c>
      <c r="G30" s="14">
        <f>E30*F30</f>
        <v>8502.5499999999993</v>
      </c>
      <c r="H30" s="83">
        <v>20</v>
      </c>
      <c r="I30" s="83">
        <v>112.06</v>
      </c>
      <c r="J30" s="14">
        <f t="shared" si="5"/>
        <v>2241.1999999999998</v>
      </c>
      <c r="K30" s="14">
        <f t="shared" si="6"/>
        <v>10743.75</v>
      </c>
      <c r="L30" s="14">
        <v>10743.75</v>
      </c>
      <c r="M30" s="37">
        <f t="shared" si="3"/>
        <v>150699.16</v>
      </c>
      <c r="N30" s="41"/>
    </row>
    <row r="31" spans="1:14">
      <c r="A31" s="23">
        <v>28</v>
      </c>
      <c r="B31" s="24">
        <v>46231</v>
      </c>
      <c r="C31" s="14"/>
      <c r="D31" s="14"/>
      <c r="E31" s="83"/>
      <c r="F31" s="83"/>
      <c r="G31" s="14">
        <f>E31*F31</f>
        <v>0</v>
      </c>
      <c r="H31" s="83"/>
      <c r="I31" s="83"/>
      <c r="J31" s="14">
        <f t="shared" si="5"/>
        <v>0</v>
      </c>
      <c r="K31" s="14">
        <f t="shared" si="6"/>
        <v>0</v>
      </c>
      <c r="L31" s="14"/>
      <c r="M31" s="37">
        <f t="shared" si="3"/>
        <v>150699.16</v>
      </c>
      <c r="N31" s="41"/>
    </row>
    <row r="32" spans="1:14">
      <c r="A32" s="23">
        <v>29</v>
      </c>
      <c r="B32" s="24">
        <v>46232</v>
      </c>
      <c r="C32" s="14"/>
      <c r="D32" s="14"/>
      <c r="E32" s="83"/>
      <c r="F32" s="83"/>
      <c r="G32" s="14">
        <f>E32*F32</f>
        <v>0</v>
      </c>
      <c r="H32" s="83"/>
      <c r="I32" s="83"/>
      <c r="J32" s="14">
        <f t="shared" si="5"/>
        <v>0</v>
      </c>
      <c r="K32" s="14">
        <f t="shared" si="6"/>
        <v>0</v>
      </c>
      <c r="L32" s="14"/>
      <c r="M32" s="37">
        <f t="shared" si="3"/>
        <v>150699.16</v>
      </c>
      <c r="N32" s="41"/>
    </row>
    <row r="33" spans="1:14">
      <c r="A33" s="23">
        <v>30</v>
      </c>
      <c r="B33" s="24">
        <v>46233</v>
      </c>
      <c r="C33" s="14"/>
      <c r="D33" s="14"/>
      <c r="E33" s="83">
        <v>85</v>
      </c>
      <c r="F33" s="83">
        <v>100.03</v>
      </c>
      <c r="G33" s="14">
        <f>E33*F33</f>
        <v>8502.5499999999993</v>
      </c>
      <c r="H33" s="83">
        <v>10</v>
      </c>
      <c r="I33" s="83">
        <v>112.06</v>
      </c>
      <c r="J33" s="14">
        <f t="shared" si="5"/>
        <v>1120.5999999999999</v>
      </c>
      <c r="K33" s="14">
        <f t="shared" si="6"/>
        <v>9623.15</v>
      </c>
      <c r="L33" s="14">
        <v>9623.15</v>
      </c>
      <c r="M33" s="37">
        <f t="shared" si="3"/>
        <v>150699.16</v>
      </c>
      <c r="N33" s="41"/>
    </row>
    <row r="34" spans="1:14">
      <c r="A34" s="23">
        <v>31</v>
      </c>
      <c r="B34" s="24"/>
      <c r="C34" s="14"/>
      <c r="D34" s="14"/>
      <c r="E34" s="83"/>
      <c r="F34" s="83"/>
      <c r="G34" s="14">
        <f t="shared" ref="G34" si="7">E34*F34</f>
        <v>0</v>
      </c>
      <c r="H34" s="83"/>
      <c r="I34" s="83"/>
      <c r="J34" s="14"/>
      <c r="K34" s="14">
        <f>G34+J34</f>
        <v>0</v>
      </c>
      <c r="L34" s="14">
        <v>100000</v>
      </c>
      <c r="M34" s="37">
        <f>M33+K34-L34</f>
        <v>50699.16</v>
      </c>
      <c r="N34" s="41"/>
    </row>
    <row r="35" spans="1:14">
      <c r="A35" s="39"/>
      <c r="B35" s="39"/>
      <c r="C35" s="39"/>
      <c r="D35" s="39"/>
      <c r="E35" s="39">
        <f>SUM(E4:E34)</f>
        <v>1470</v>
      </c>
      <c r="F35" s="39"/>
      <c r="G35" s="39">
        <f>SUM(G4:G34)</f>
        <v>147057.09999999998</v>
      </c>
      <c r="H35" s="39">
        <f>SUM(H4:H34)</f>
        <v>135</v>
      </c>
      <c r="I35" s="39"/>
      <c r="J35" s="39">
        <f>SUM(J4:J34)</f>
        <v>15128.1</v>
      </c>
      <c r="K35" s="39">
        <f>SUM(K4:K34)</f>
        <v>162185.20000000001</v>
      </c>
      <c r="L35" s="39">
        <f>SUM(L4:L34)</f>
        <v>120366.9</v>
      </c>
      <c r="M35" s="39"/>
      <c r="N35" s="39"/>
    </row>
  </sheetData>
  <mergeCells count="2">
    <mergeCell ref="A1:N1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S38"/>
  <sheetViews>
    <sheetView topLeftCell="A21" workbookViewId="0">
      <selection activeCell="L34" sqref="L34"/>
    </sheetView>
  </sheetViews>
  <sheetFormatPr defaultRowHeight="15"/>
  <cols>
    <col min="2" max="2" width="18.42578125" customWidth="1"/>
    <col min="5" max="5" width="9.28515625" bestFit="1" customWidth="1"/>
    <col min="7" max="7" width="9.28515625" bestFit="1" customWidth="1"/>
    <col min="12" max="12" width="16.85546875" customWidth="1"/>
    <col min="14" max="14" width="24.7109375" bestFit="1" customWidth="1"/>
    <col min="19" max="19" width="9.28515625" bestFit="1" customWidth="1"/>
  </cols>
  <sheetData>
    <row r="1" spans="1:19" ht="15.75">
      <c r="A1" s="564" t="s">
        <v>253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</row>
    <row r="2" spans="1:19" ht="25.5">
      <c r="A2" s="100" t="s">
        <v>0</v>
      </c>
      <c r="B2" s="102" t="s">
        <v>163</v>
      </c>
      <c r="C2" s="102" t="s">
        <v>164</v>
      </c>
      <c r="D2" s="102" t="s">
        <v>165</v>
      </c>
      <c r="E2" s="102" t="s">
        <v>166</v>
      </c>
      <c r="F2" s="102" t="s">
        <v>167</v>
      </c>
      <c r="G2" s="102" t="s">
        <v>168</v>
      </c>
      <c r="H2" s="102" t="s">
        <v>169</v>
      </c>
      <c r="I2" s="102" t="s">
        <v>167</v>
      </c>
      <c r="J2" s="102" t="s">
        <v>168</v>
      </c>
      <c r="K2" s="102" t="s">
        <v>170</v>
      </c>
      <c r="L2" s="102" t="s">
        <v>171</v>
      </c>
      <c r="M2" s="102" t="s">
        <v>187</v>
      </c>
      <c r="N2" s="102" t="s">
        <v>173</v>
      </c>
    </row>
    <row r="3" spans="1:19">
      <c r="A3" s="567" t="s">
        <v>174</v>
      </c>
      <c r="B3" s="567"/>
      <c r="C3" s="567"/>
      <c r="D3" s="567"/>
      <c r="E3" s="567"/>
      <c r="F3" s="567"/>
      <c r="G3" s="567"/>
      <c r="H3" s="567"/>
      <c r="I3" s="567"/>
      <c r="J3" s="567"/>
      <c r="K3" s="92">
        <v>116056.55139999994</v>
      </c>
      <c r="L3" s="92">
        <v>160498.01619999987</v>
      </c>
      <c r="M3" s="92">
        <v>116056.55139999994</v>
      </c>
      <c r="N3" s="14"/>
    </row>
    <row r="4" spans="1:19">
      <c r="A4" s="23">
        <v>1</v>
      </c>
      <c r="B4" s="24">
        <v>46204</v>
      </c>
      <c r="C4" s="14"/>
      <c r="D4" s="14"/>
      <c r="E4" s="369"/>
      <c r="F4" s="369"/>
      <c r="G4" s="14">
        <f>E4*F4</f>
        <v>0</v>
      </c>
      <c r="H4" s="83"/>
      <c r="I4" s="83"/>
      <c r="J4" s="14">
        <f>H4*I4</f>
        <v>0</v>
      </c>
      <c r="K4" s="14">
        <f>G4+J4</f>
        <v>0</v>
      </c>
      <c r="L4" s="14"/>
      <c r="M4" s="14">
        <f>M3+K4-L4</f>
        <v>116056.55139999994</v>
      </c>
      <c r="N4" s="41"/>
    </row>
    <row r="5" spans="1:19">
      <c r="A5" s="23">
        <v>2</v>
      </c>
      <c r="B5" s="24">
        <v>46205</v>
      </c>
      <c r="C5" s="14"/>
      <c r="D5" s="14"/>
      <c r="E5" s="83"/>
      <c r="F5" s="83"/>
      <c r="G5" s="14">
        <f t="shared" ref="G5:G35" si="0">E5*F5</f>
        <v>0</v>
      </c>
      <c r="H5" s="83"/>
      <c r="I5" s="83"/>
      <c r="J5" s="14">
        <f t="shared" ref="J5:J35" si="1">H5*I5</f>
        <v>0</v>
      </c>
      <c r="K5" s="14">
        <f t="shared" ref="K5:L35" si="2">G5+J5</f>
        <v>0</v>
      </c>
      <c r="L5" s="14"/>
      <c r="M5" s="14">
        <f t="shared" ref="M5:M35" si="3">M4+K5-L5</f>
        <v>116056.55139999994</v>
      </c>
      <c r="N5" s="41"/>
    </row>
    <row r="6" spans="1:19">
      <c r="A6" s="23">
        <v>3</v>
      </c>
      <c r="B6" s="24">
        <v>46206</v>
      </c>
      <c r="C6" s="14"/>
      <c r="D6" s="14"/>
      <c r="E6" s="83"/>
      <c r="F6" s="83"/>
      <c r="G6" s="14">
        <f t="shared" si="0"/>
        <v>0</v>
      </c>
      <c r="H6" s="83"/>
      <c r="I6" s="83"/>
      <c r="J6" s="14">
        <f t="shared" si="1"/>
        <v>0</v>
      </c>
      <c r="K6" s="14">
        <f t="shared" si="2"/>
        <v>0</v>
      </c>
      <c r="L6" s="14"/>
      <c r="M6" s="14">
        <f t="shared" si="3"/>
        <v>116056.55139999994</v>
      </c>
      <c r="N6" s="41"/>
      <c r="R6">
        <f>L7+L8</f>
        <v>0</v>
      </c>
    </row>
    <row r="7" spans="1:19">
      <c r="A7" s="23">
        <v>4</v>
      </c>
      <c r="B7" s="24">
        <v>46207</v>
      </c>
      <c r="C7" s="14"/>
      <c r="D7" s="14"/>
      <c r="E7" s="83">
        <v>600</v>
      </c>
      <c r="F7" s="83">
        <v>100.05</v>
      </c>
      <c r="G7" s="14">
        <f t="shared" si="0"/>
        <v>60030</v>
      </c>
      <c r="H7" s="83">
        <v>35</v>
      </c>
      <c r="I7" s="83">
        <v>112.07</v>
      </c>
      <c r="J7" s="14">
        <f t="shared" si="1"/>
        <v>3922.45</v>
      </c>
      <c r="K7" s="14">
        <f t="shared" si="2"/>
        <v>63952.45</v>
      </c>
      <c r="L7" s="14"/>
      <c r="M7" s="14">
        <f t="shared" si="3"/>
        <v>180009.00139999995</v>
      </c>
      <c r="N7" s="41"/>
    </row>
    <row r="8" spans="1:19">
      <c r="A8" s="23">
        <v>5</v>
      </c>
      <c r="B8" s="24">
        <v>46208</v>
      </c>
      <c r="C8" s="14"/>
      <c r="D8" s="14"/>
      <c r="E8" s="83"/>
      <c r="F8" s="83"/>
      <c r="G8" s="14">
        <f t="shared" si="0"/>
        <v>0</v>
      </c>
      <c r="H8" s="83"/>
      <c r="I8" s="83"/>
      <c r="J8" s="14">
        <f t="shared" si="1"/>
        <v>0</v>
      </c>
      <c r="K8" s="14">
        <f t="shared" si="2"/>
        <v>0</v>
      </c>
      <c r="L8" s="14"/>
      <c r="M8" s="14">
        <f t="shared" si="3"/>
        <v>180009.00139999995</v>
      </c>
      <c r="N8" s="41"/>
    </row>
    <row r="9" spans="1:19">
      <c r="A9" s="23">
        <v>6</v>
      </c>
      <c r="B9" s="24">
        <v>46209</v>
      </c>
      <c r="C9" s="14"/>
      <c r="D9" s="14"/>
      <c r="E9" s="83"/>
      <c r="F9" s="83"/>
      <c r="G9" s="14">
        <f t="shared" si="0"/>
        <v>0</v>
      </c>
      <c r="H9" s="83"/>
      <c r="I9" s="83"/>
      <c r="J9" s="14">
        <f t="shared" si="1"/>
        <v>0</v>
      </c>
      <c r="K9" s="14">
        <f t="shared" si="2"/>
        <v>0</v>
      </c>
      <c r="L9" s="14"/>
      <c r="M9" s="14">
        <f t="shared" si="3"/>
        <v>180009.00139999995</v>
      </c>
      <c r="N9" s="41"/>
      <c r="Q9">
        <v>54242</v>
      </c>
    </row>
    <row r="10" spans="1:19">
      <c r="A10" s="23">
        <v>7</v>
      </c>
      <c r="B10" s="24">
        <v>46210</v>
      </c>
      <c r="C10" s="14"/>
      <c r="D10" s="14"/>
      <c r="E10" s="83"/>
      <c r="F10" s="83"/>
      <c r="G10" s="14">
        <f t="shared" si="0"/>
        <v>0</v>
      </c>
      <c r="H10" s="83"/>
      <c r="I10" s="83"/>
      <c r="J10" s="14">
        <f t="shared" si="1"/>
        <v>0</v>
      </c>
      <c r="K10" s="14">
        <f t="shared" si="2"/>
        <v>0</v>
      </c>
      <c r="L10" s="14"/>
      <c r="M10" s="14">
        <f>M9+K10-L10</f>
        <v>180009.00139999995</v>
      </c>
      <c r="N10" s="41"/>
      <c r="S10">
        <v>80000</v>
      </c>
    </row>
    <row r="11" spans="1:19">
      <c r="A11" s="23">
        <v>8</v>
      </c>
      <c r="B11" s="24">
        <v>46211</v>
      </c>
      <c r="C11" s="14"/>
      <c r="D11" s="14"/>
      <c r="E11" s="83"/>
      <c r="F11" s="83"/>
      <c r="G11" s="14">
        <f t="shared" si="0"/>
        <v>0</v>
      </c>
      <c r="H11" s="83"/>
      <c r="I11" s="83"/>
      <c r="J11" s="14">
        <f t="shared" si="1"/>
        <v>0</v>
      </c>
      <c r="K11" s="14">
        <f t="shared" si="2"/>
        <v>0</v>
      </c>
      <c r="L11" s="14"/>
      <c r="M11" s="14">
        <f t="shared" si="3"/>
        <v>180009.00139999995</v>
      </c>
      <c r="N11" s="41"/>
      <c r="S11">
        <v>18414</v>
      </c>
    </row>
    <row r="12" spans="1:19">
      <c r="A12" s="23">
        <v>9</v>
      </c>
      <c r="B12" s="24">
        <v>46212</v>
      </c>
      <c r="C12" s="14"/>
      <c r="D12" s="14"/>
      <c r="E12" s="83">
        <v>600</v>
      </c>
      <c r="F12" s="83">
        <v>100.05</v>
      </c>
      <c r="G12" s="14">
        <f t="shared" si="0"/>
        <v>60030</v>
      </c>
      <c r="H12" s="83">
        <v>35</v>
      </c>
      <c r="I12" s="83">
        <v>112.07</v>
      </c>
      <c r="J12" s="14">
        <f t="shared" si="1"/>
        <v>3922.45</v>
      </c>
      <c r="K12" s="14">
        <f t="shared" si="2"/>
        <v>63952.45</v>
      </c>
      <c r="L12" s="14"/>
      <c r="M12" s="14">
        <f t="shared" si="3"/>
        <v>243961.45139999996</v>
      </c>
      <c r="N12" s="41"/>
      <c r="S12">
        <v>18414</v>
      </c>
    </row>
    <row r="13" spans="1:19">
      <c r="A13" s="23">
        <v>10</v>
      </c>
      <c r="B13" s="24">
        <v>46213</v>
      </c>
      <c r="C13" s="14"/>
      <c r="D13" s="14"/>
      <c r="E13" s="83"/>
      <c r="F13" s="83"/>
      <c r="G13" s="14">
        <f t="shared" si="0"/>
        <v>0</v>
      </c>
      <c r="H13" s="83"/>
      <c r="I13" s="83"/>
      <c r="J13" s="14">
        <f t="shared" si="1"/>
        <v>0</v>
      </c>
      <c r="K13" s="14">
        <f t="shared" si="2"/>
        <v>0</v>
      </c>
      <c r="L13" s="14"/>
      <c r="M13" s="14">
        <f t="shared" si="3"/>
        <v>243961.45139999996</v>
      </c>
      <c r="N13" s="41"/>
      <c r="S13">
        <v>18417.68</v>
      </c>
    </row>
    <row r="14" spans="1:19">
      <c r="A14" s="23">
        <v>11</v>
      </c>
      <c r="B14" s="24">
        <v>46214</v>
      </c>
      <c r="C14" s="14"/>
      <c r="D14" s="14"/>
      <c r="E14" s="83"/>
      <c r="F14" s="83"/>
      <c r="G14" s="14">
        <f t="shared" ref="G14" si="4">E14*F14</f>
        <v>0</v>
      </c>
      <c r="H14" s="83"/>
      <c r="I14" s="83"/>
      <c r="J14" s="14">
        <f t="shared" si="1"/>
        <v>0</v>
      </c>
      <c r="K14" s="14">
        <f t="shared" si="2"/>
        <v>0</v>
      </c>
      <c r="L14" s="14"/>
      <c r="M14" s="14">
        <f t="shared" si="3"/>
        <v>243961.45139999996</v>
      </c>
      <c r="N14" s="41"/>
      <c r="S14">
        <f>SUM(S10:S13)</f>
        <v>135245.68</v>
      </c>
    </row>
    <row r="15" spans="1:19">
      <c r="A15" s="23">
        <v>12</v>
      </c>
      <c r="B15" s="24">
        <v>46215</v>
      </c>
      <c r="C15" s="14"/>
      <c r="D15" s="14"/>
      <c r="E15" s="83"/>
      <c r="F15" s="83"/>
      <c r="G15" s="14">
        <f t="shared" si="0"/>
        <v>0</v>
      </c>
      <c r="H15" s="83"/>
      <c r="I15" s="83"/>
      <c r="J15" s="14">
        <f t="shared" si="1"/>
        <v>0</v>
      </c>
      <c r="K15" s="14">
        <f t="shared" si="2"/>
        <v>0</v>
      </c>
      <c r="L15" s="14"/>
      <c r="M15" s="14">
        <f t="shared" si="3"/>
        <v>243961.45139999996</v>
      </c>
      <c r="N15" s="41"/>
    </row>
    <row r="16" spans="1:19">
      <c r="A16" s="23">
        <v>13</v>
      </c>
      <c r="B16" s="24">
        <v>46216</v>
      </c>
      <c r="C16" s="14"/>
      <c r="D16" s="14"/>
      <c r="E16" s="83"/>
      <c r="F16" s="83"/>
      <c r="G16" s="14">
        <f t="shared" si="0"/>
        <v>0</v>
      </c>
      <c r="H16" s="83"/>
      <c r="I16" s="83"/>
      <c r="J16" s="14">
        <f t="shared" si="1"/>
        <v>0</v>
      </c>
      <c r="K16" s="14">
        <f t="shared" si="2"/>
        <v>0</v>
      </c>
      <c r="L16" s="14"/>
      <c r="M16" s="14">
        <f t="shared" si="3"/>
        <v>243961.45139999996</v>
      </c>
      <c r="N16" s="41"/>
    </row>
    <row r="17" spans="1:14">
      <c r="A17" s="23">
        <v>14</v>
      </c>
      <c r="B17" s="24">
        <v>46217</v>
      </c>
      <c r="C17" s="14"/>
      <c r="D17" s="14"/>
      <c r="E17" s="83">
        <v>600</v>
      </c>
      <c r="F17" s="83">
        <v>100.05</v>
      </c>
      <c r="G17" s="14">
        <f t="shared" si="0"/>
        <v>60030</v>
      </c>
      <c r="H17" s="83">
        <v>70</v>
      </c>
      <c r="I17" s="83">
        <v>112.07</v>
      </c>
      <c r="J17" s="14">
        <f t="shared" si="1"/>
        <v>7844.9</v>
      </c>
      <c r="K17" s="14">
        <f t="shared" si="2"/>
        <v>67874.899999999994</v>
      </c>
      <c r="L17" s="14"/>
      <c r="M17" s="14">
        <f t="shared" si="3"/>
        <v>311836.35139999993</v>
      </c>
      <c r="N17" s="41"/>
    </row>
    <row r="18" spans="1:14">
      <c r="A18" s="23">
        <v>15</v>
      </c>
      <c r="B18" s="24">
        <v>46218</v>
      </c>
      <c r="C18" s="14"/>
      <c r="D18" s="14"/>
      <c r="E18" s="83"/>
      <c r="F18" s="83"/>
      <c r="G18" s="14">
        <f t="shared" si="0"/>
        <v>0</v>
      </c>
      <c r="H18" s="83"/>
      <c r="I18" s="83"/>
      <c r="J18" s="14">
        <f t="shared" si="1"/>
        <v>0</v>
      </c>
      <c r="K18" s="14">
        <f t="shared" si="2"/>
        <v>0</v>
      </c>
      <c r="L18" s="14"/>
      <c r="M18" s="14">
        <f t="shared" si="3"/>
        <v>311836.35139999993</v>
      </c>
      <c r="N18" s="41"/>
    </row>
    <row r="19" spans="1:14">
      <c r="A19" s="23">
        <v>16</v>
      </c>
      <c r="B19" s="24">
        <v>46219</v>
      </c>
      <c r="C19" s="14"/>
      <c r="D19" s="14"/>
      <c r="E19" s="83"/>
      <c r="F19" s="83"/>
      <c r="G19" s="14">
        <f t="shared" si="0"/>
        <v>0</v>
      </c>
      <c r="H19" s="83"/>
      <c r="I19" s="83"/>
      <c r="J19" s="14">
        <f t="shared" si="1"/>
        <v>0</v>
      </c>
      <c r="K19" s="14">
        <f t="shared" si="2"/>
        <v>0</v>
      </c>
      <c r="L19" s="14"/>
      <c r="M19" s="14">
        <f t="shared" si="3"/>
        <v>311836.35139999993</v>
      </c>
      <c r="N19" s="41"/>
    </row>
    <row r="20" spans="1:14">
      <c r="A20" s="23">
        <v>17</v>
      </c>
      <c r="B20" s="24">
        <v>46220</v>
      </c>
      <c r="C20" s="14"/>
      <c r="D20" s="14"/>
      <c r="E20" s="83"/>
      <c r="F20" s="83"/>
      <c r="G20" s="14">
        <f t="shared" si="0"/>
        <v>0</v>
      </c>
      <c r="H20" s="83"/>
      <c r="I20" s="83"/>
      <c r="J20" s="14">
        <f t="shared" si="1"/>
        <v>0</v>
      </c>
      <c r="K20" s="14">
        <f t="shared" si="2"/>
        <v>0</v>
      </c>
      <c r="L20" s="14"/>
      <c r="M20" s="14">
        <f t="shared" si="3"/>
        <v>311836.35139999993</v>
      </c>
      <c r="N20" s="41"/>
    </row>
    <row r="21" spans="1:14">
      <c r="A21" s="23">
        <v>18</v>
      </c>
      <c r="B21" s="24">
        <v>46221</v>
      </c>
      <c r="C21" s="14"/>
      <c r="D21" s="14"/>
      <c r="E21" s="83">
        <v>600</v>
      </c>
      <c r="F21" s="83">
        <v>100.05</v>
      </c>
      <c r="G21" s="14">
        <f t="shared" si="0"/>
        <v>60030</v>
      </c>
      <c r="H21" s="83">
        <v>35</v>
      </c>
      <c r="I21" s="83">
        <v>112.07</v>
      </c>
      <c r="J21" s="14">
        <f t="shared" si="1"/>
        <v>3922.45</v>
      </c>
      <c r="K21" s="14">
        <f t="shared" si="2"/>
        <v>63952.45</v>
      </c>
      <c r="L21" s="14"/>
      <c r="M21" s="14">
        <f t="shared" si="3"/>
        <v>375788.80139999994</v>
      </c>
      <c r="N21" s="41"/>
    </row>
    <row r="22" spans="1:14">
      <c r="A22" s="23">
        <v>19</v>
      </c>
      <c r="B22" s="24">
        <v>46222</v>
      </c>
      <c r="C22" s="14"/>
      <c r="D22" s="14"/>
      <c r="E22" s="83"/>
      <c r="F22" s="83"/>
      <c r="G22" s="14">
        <f t="shared" si="0"/>
        <v>0</v>
      </c>
      <c r="H22" s="83"/>
      <c r="I22" s="83"/>
      <c r="J22" s="14">
        <f t="shared" si="1"/>
        <v>0</v>
      </c>
      <c r="K22" s="14">
        <f t="shared" si="2"/>
        <v>0</v>
      </c>
      <c r="L22" s="14"/>
      <c r="M22" s="14">
        <f t="shared" si="3"/>
        <v>375788.80139999994</v>
      </c>
      <c r="N22" s="41"/>
    </row>
    <row r="23" spans="1:14">
      <c r="A23" s="23">
        <v>20</v>
      </c>
      <c r="B23" s="24">
        <v>46223</v>
      </c>
      <c r="C23" s="14"/>
      <c r="D23" s="14"/>
      <c r="E23" s="83"/>
      <c r="F23" s="83"/>
      <c r="G23" s="14">
        <f t="shared" si="0"/>
        <v>0</v>
      </c>
      <c r="H23" s="83"/>
      <c r="I23" s="83"/>
      <c r="J23" s="14">
        <f t="shared" si="1"/>
        <v>0</v>
      </c>
      <c r="K23" s="14">
        <f t="shared" si="2"/>
        <v>0</v>
      </c>
      <c r="L23" s="14"/>
      <c r="M23" s="14">
        <f t="shared" si="3"/>
        <v>375788.80139999994</v>
      </c>
      <c r="N23" s="41"/>
    </row>
    <row r="24" spans="1:14">
      <c r="A24" s="23"/>
      <c r="B24" s="24">
        <v>46224</v>
      </c>
      <c r="C24" s="14"/>
      <c r="D24" s="14"/>
      <c r="E24" s="83"/>
      <c r="F24" s="83"/>
      <c r="G24" s="14"/>
      <c r="H24" s="83"/>
      <c r="I24" s="83"/>
      <c r="J24" s="14"/>
      <c r="K24" s="14"/>
      <c r="L24" s="14"/>
      <c r="M24" s="14">
        <f t="shared" si="3"/>
        <v>375788.80139999994</v>
      </c>
      <c r="N24" s="41"/>
    </row>
    <row r="25" spans="1:14">
      <c r="A25" s="23">
        <v>21</v>
      </c>
      <c r="B25" s="24">
        <v>46225</v>
      </c>
      <c r="C25" s="14"/>
      <c r="D25" s="14"/>
      <c r="E25" s="83"/>
      <c r="F25" s="83"/>
      <c r="G25" s="14">
        <f t="shared" si="0"/>
        <v>0</v>
      </c>
      <c r="H25" s="83"/>
      <c r="I25" s="83"/>
      <c r="J25" s="14">
        <f t="shared" si="1"/>
        <v>0</v>
      </c>
      <c r="K25" s="14">
        <f t="shared" si="2"/>
        <v>0</v>
      </c>
      <c r="L25" s="14">
        <v>300000</v>
      </c>
      <c r="M25" s="14">
        <f t="shared" si="3"/>
        <v>75788.801399999938</v>
      </c>
      <c r="N25" s="477" t="s">
        <v>254</v>
      </c>
    </row>
    <row r="26" spans="1:14">
      <c r="A26" s="23">
        <v>22</v>
      </c>
      <c r="B26" s="24">
        <v>46226</v>
      </c>
      <c r="C26" s="14"/>
      <c r="D26" s="14"/>
      <c r="E26" s="83">
        <v>600</v>
      </c>
      <c r="F26" s="83">
        <v>100.05</v>
      </c>
      <c r="G26" s="14">
        <f t="shared" si="0"/>
        <v>60030</v>
      </c>
      <c r="H26" s="83">
        <v>70</v>
      </c>
      <c r="I26" s="83">
        <v>112.07</v>
      </c>
      <c r="J26" s="14">
        <f t="shared" si="1"/>
        <v>7844.9</v>
      </c>
      <c r="K26" s="14">
        <f t="shared" si="2"/>
        <v>67874.899999999994</v>
      </c>
      <c r="L26" s="14"/>
      <c r="M26" s="14">
        <f t="shared" si="3"/>
        <v>143663.70139999993</v>
      </c>
      <c r="N26" s="41"/>
    </row>
    <row r="27" spans="1:14">
      <c r="A27" s="23">
        <v>23</v>
      </c>
      <c r="B27" s="24">
        <v>46227</v>
      </c>
      <c r="C27" s="14"/>
      <c r="D27" s="14"/>
      <c r="E27" s="83"/>
      <c r="F27" s="83"/>
      <c r="G27" s="14">
        <f t="shared" si="0"/>
        <v>0</v>
      </c>
      <c r="H27" s="83"/>
      <c r="I27" s="83"/>
      <c r="J27" s="14">
        <f t="shared" si="1"/>
        <v>0</v>
      </c>
      <c r="K27" s="14">
        <f t="shared" si="2"/>
        <v>0</v>
      </c>
      <c r="L27" s="14"/>
      <c r="M27" s="14">
        <f t="shared" si="3"/>
        <v>143663.70139999993</v>
      </c>
      <c r="N27" s="41"/>
    </row>
    <row r="28" spans="1:14">
      <c r="A28" s="23">
        <v>24</v>
      </c>
      <c r="B28" s="24">
        <v>46228</v>
      </c>
      <c r="C28" s="14"/>
      <c r="D28" s="14"/>
      <c r="E28" s="83"/>
      <c r="F28" s="83"/>
      <c r="G28" s="14">
        <f t="shared" si="0"/>
        <v>0</v>
      </c>
      <c r="H28" s="83"/>
      <c r="I28" s="83"/>
      <c r="J28" s="14">
        <f t="shared" si="1"/>
        <v>0</v>
      </c>
      <c r="K28" s="14">
        <f t="shared" si="2"/>
        <v>0</v>
      </c>
      <c r="L28" s="14"/>
      <c r="M28" s="14">
        <f t="shared" si="3"/>
        <v>143663.70139999993</v>
      </c>
      <c r="N28" s="41"/>
    </row>
    <row r="29" spans="1:14">
      <c r="A29" s="23">
        <v>25</v>
      </c>
      <c r="B29" s="24">
        <v>46229</v>
      </c>
      <c r="C29" s="14"/>
      <c r="D29" s="14"/>
      <c r="E29" s="83"/>
      <c r="F29" s="83"/>
      <c r="G29" s="14">
        <f t="shared" si="0"/>
        <v>0</v>
      </c>
      <c r="H29" s="83"/>
      <c r="I29" s="83"/>
      <c r="J29" s="14">
        <f t="shared" si="1"/>
        <v>0</v>
      </c>
      <c r="K29" s="14">
        <f t="shared" si="2"/>
        <v>0</v>
      </c>
      <c r="L29" s="14"/>
      <c r="M29" s="14">
        <f t="shared" si="3"/>
        <v>143663.70139999993</v>
      </c>
      <c r="N29" s="41"/>
    </row>
    <row r="30" spans="1:14">
      <c r="A30" s="23">
        <v>26</v>
      </c>
      <c r="B30" s="24">
        <v>46230</v>
      </c>
      <c r="C30" s="14"/>
      <c r="D30" s="14"/>
      <c r="E30" s="83"/>
      <c r="F30" s="83"/>
      <c r="G30" s="14">
        <f t="shared" si="0"/>
        <v>0</v>
      </c>
      <c r="H30" s="83"/>
      <c r="I30" s="83"/>
      <c r="J30" s="14">
        <f t="shared" si="1"/>
        <v>0</v>
      </c>
      <c r="K30" s="14">
        <f t="shared" si="2"/>
        <v>0</v>
      </c>
      <c r="L30" s="14"/>
      <c r="M30" s="14">
        <f t="shared" si="3"/>
        <v>143663.70139999993</v>
      </c>
      <c r="N30" s="41"/>
    </row>
    <row r="31" spans="1:14">
      <c r="A31" s="23">
        <v>27</v>
      </c>
      <c r="B31" s="24">
        <v>46231</v>
      </c>
      <c r="C31" s="14"/>
      <c r="D31" s="14"/>
      <c r="E31" s="83"/>
      <c r="F31" s="83"/>
      <c r="G31" s="14">
        <f t="shared" si="0"/>
        <v>0</v>
      </c>
      <c r="H31" s="83"/>
      <c r="I31" s="83"/>
      <c r="J31" s="14">
        <f t="shared" si="1"/>
        <v>0</v>
      </c>
      <c r="K31" s="14">
        <f t="shared" si="2"/>
        <v>0</v>
      </c>
      <c r="L31" s="14"/>
      <c r="M31" s="14">
        <f t="shared" si="3"/>
        <v>143663.70139999993</v>
      </c>
      <c r="N31" s="41"/>
    </row>
    <row r="32" spans="1:14">
      <c r="A32" s="23">
        <v>28</v>
      </c>
      <c r="B32" s="24">
        <v>46232</v>
      </c>
      <c r="C32" s="14"/>
      <c r="D32" s="14"/>
      <c r="E32" s="83">
        <v>600</v>
      </c>
      <c r="F32" s="83">
        <v>100.05</v>
      </c>
      <c r="G32" s="14">
        <f t="shared" si="0"/>
        <v>60030</v>
      </c>
      <c r="H32" s="83">
        <v>65</v>
      </c>
      <c r="I32" s="83">
        <v>112.07</v>
      </c>
      <c r="J32" s="14">
        <f t="shared" si="1"/>
        <v>7284.5499999999993</v>
      </c>
      <c r="K32" s="14">
        <f t="shared" si="2"/>
        <v>67314.55</v>
      </c>
      <c r="L32" s="14"/>
      <c r="M32" s="14">
        <f t="shared" si="3"/>
        <v>210978.25139999995</v>
      </c>
      <c r="N32" s="41"/>
    </row>
    <row r="33" spans="1:14">
      <c r="A33" s="23">
        <v>29</v>
      </c>
      <c r="B33" s="24">
        <v>46233</v>
      </c>
      <c r="C33" s="14"/>
      <c r="D33" s="14"/>
      <c r="E33" s="83"/>
      <c r="F33" s="83"/>
      <c r="G33" s="14">
        <f t="shared" si="0"/>
        <v>0</v>
      </c>
      <c r="H33" s="83"/>
      <c r="I33" s="83"/>
      <c r="J33" s="14">
        <f t="shared" si="1"/>
        <v>0</v>
      </c>
      <c r="K33" s="14">
        <f t="shared" si="2"/>
        <v>0</v>
      </c>
      <c r="L33" s="14"/>
      <c r="M33" s="14">
        <f t="shared" si="3"/>
        <v>210978.25139999995</v>
      </c>
      <c r="N33" s="41"/>
    </row>
    <row r="34" spans="1:14">
      <c r="A34" s="23">
        <v>30</v>
      </c>
      <c r="B34" s="24">
        <v>46234</v>
      </c>
      <c r="C34" s="14"/>
      <c r="D34" s="14"/>
      <c r="E34" s="83"/>
      <c r="F34" s="83"/>
      <c r="G34" s="14">
        <f t="shared" si="0"/>
        <v>0</v>
      </c>
      <c r="H34" s="83"/>
      <c r="I34" s="83"/>
      <c r="J34" s="14">
        <f t="shared" si="1"/>
        <v>0</v>
      </c>
      <c r="K34" s="14">
        <f t="shared" si="2"/>
        <v>0</v>
      </c>
      <c r="L34" s="14"/>
      <c r="M34" s="14">
        <f t="shared" si="3"/>
        <v>210978.25139999995</v>
      </c>
      <c r="N34" s="41"/>
    </row>
    <row r="35" spans="1:14">
      <c r="A35" s="23">
        <v>31</v>
      </c>
      <c r="B35" s="24"/>
      <c r="C35" s="14"/>
      <c r="D35" s="14"/>
      <c r="E35" s="83"/>
      <c r="F35" s="83"/>
      <c r="G35" s="14">
        <f t="shared" si="0"/>
        <v>0</v>
      </c>
      <c r="H35" s="83"/>
      <c r="I35" s="83"/>
      <c r="J35" s="14">
        <f t="shared" si="1"/>
        <v>0</v>
      </c>
      <c r="K35" s="14">
        <f t="shared" si="2"/>
        <v>0</v>
      </c>
      <c r="L35" s="14"/>
      <c r="M35" s="14">
        <f t="shared" si="3"/>
        <v>210978.25139999995</v>
      </c>
      <c r="N35" s="41"/>
    </row>
    <row r="36" spans="1:14">
      <c r="A36" s="23"/>
      <c r="B36" s="24"/>
      <c r="C36" s="14"/>
      <c r="D36" s="14"/>
      <c r="E36" s="83"/>
      <c r="F36" s="83"/>
      <c r="G36" s="14"/>
      <c r="H36" s="83"/>
      <c r="I36" s="83"/>
      <c r="J36" s="14"/>
      <c r="K36" s="14"/>
      <c r="L36" s="14"/>
      <c r="M36" s="14"/>
      <c r="N36" s="41"/>
    </row>
    <row r="37" spans="1:14">
      <c r="A37" s="23"/>
      <c r="B37" s="24"/>
      <c r="C37" s="14"/>
      <c r="D37" s="14"/>
      <c r="E37" s="83"/>
      <c r="F37" s="83"/>
      <c r="G37" s="14"/>
      <c r="H37" s="83"/>
      <c r="I37" s="83"/>
      <c r="J37" s="14"/>
      <c r="K37" s="14"/>
      <c r="L37" s="14"/>
      <c r="M37" s="14"/>
      <c r="N37" s="41"/>
    </row>
    <row r="38" spans="1:14">
      <c r="A38" s="39"/>
      <c r="B38" s="39"/>
      <c r="C38" s="39"/>
      <c r="D38" s="39"/>
      <c r="E38" s="39">
        <f>SUM(E4:E35)</f>
        <v>3600</v>
      </c>
      <c r="F38" s="39"/>
      <c r="G38" s="39">
        <f>SUM(G4:G35)</f>
        <v>360180</v>
      </c>
      <c r="H38" s="39">
        <f>SUM(H4:H35)</f>
        <v>310</v>
      </c>
      <c r="I38" s="39"/>
      <c r="J38" s="39">
        <f>SUM(J4:J35)</f>
        <v>34741.699999999997</v>
      </c>
      <c r="K38" s="39">
        <f>SUM(K4:K35)</f>
        <v>394921.7</v>
      </c>
      <c r="L38" s="39">
        <f>SUM(L4:L35)</f>
        <v>300000</v>
      </c>
      <c r="M38" s="39"/>
      <c r="N38" s="39"/>
    </row>
  </sheetData>
  <mergeCells count="2">
    <mergeCell ref="A1:N1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T36"/>
  <sheetViews>
    <sheetView topLeftCell="A21" workbookViewId="0">
      <selection activeCell="L39" sqref="L39"/>
    </sheetView>
  </sheetViews>
  <sheetFormatPr defaultRowHeight="15"/>
  <cols>
    <col min="2" max="2" width="10.5703125" bestFit="1" customWidth="1"/>
    <col min="3" max="3" width="15.42578125" customWidth="1"/>
    <col min="4" max="4" width="19.140625" customWidth="1"/>
    <col min="14" max="14" width="33.7109375" bestFit="1" customWidth="1"/>
  </cols>
  <sheetData>
    <row r="1" spans="1:14" ht="15.75">
      <c r="A1" s="564" t="s">
        <v>255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</row>
    <row r="2" spans="1:14" ht="27">
      <c r="A2" s="100" t="s">
        <v>0</v>
      </c>
      <c r="B2" s="102" t="s">
        <v>163</v>
      </c>
      <c r="C2" s="102" t="s">
        <v>164</v>
      </c>
      <c r="D2" s="102" t="s">
        <v>165</v>
      </c>
      <c r="E2" s="102" t="s">
        <v>166</v>
      </c>
      <c r="F2" s="102" t="s">
        <v>167</v>
      </c>
      <c r="G2" s="102" t="s">
        <v>168</v>
      </c>
      <c r="H2" s="102" t="s">
        <v>169</v>
      </c>
      <c r="I2" s="102" t="s">
        <v>167</v>
      </c>
      <c r="J2" s="102" t="s">
        <v>168</v>
      </c>
      <c r="K2" s="102" t="s">
        <v>170</v>
      </c>
      <c r="L2" s="102" t="s">
        <v>171</v>
      </c>
      <c r="M2" s="102" t="s">
        <v>187</v>
      </c>
      <c r="N2" s="102" t="s">
        <v>173</v>
      </c>
    </row>
    <row r="3" spans="1:14">
      <c r="A3" s="567" t="s">
        <v>174</v>
      </c>
      <c r="B3" s="567"/>
      <c r="C3" s="567"/>
      <c r="D3" s="567"/>
      <c r="E3" s="567"/>
      <c r="F3" s="567"/>
      <c r="G3" s="567"/>
      <c r="H3" s="567"/>
      <c r="I3" s="567"/>
      <c r="J3" s="567"/>
      <c r="K3" s="92">
        <v>0</v>
      </c>
      <c r="L3" s="92">
        <v>0</v>
      </c>
      <c r="M3" s="92">
        <v>0</v>
      </c>
      <c r="N3" s="14"/>
    </row>
    <row r="4" spans="1:14">
      <c r="A4" s="23">
        <v>1</v>
      </c>
      <c r="B4" s="24">
        <v>46204</v>
      </c>
      <c r="C4" s="14"/>
      <c r="D4" s="14"/>
      <c r="E4" s="83">
        <v>140</v>
      </c>
      <c r="F4" s="83">
        <v>100.05</v>
      </c>
      <c r="G4" s="14">
        <f>E4*F4</f>
        <v>14007</v>
      </c>
      <c r="H4" s="83"/>
      <c r="I4" s="83"/>
      <c r="J4" s="14">
        <f>H4*I4</f>
        <v>0</v>
      </c>
      <c r="K4" s="14">
        <f>G4+J4</f>
        <v>14007</v>
      </c>
      <c r="L4" s="14">
        <f>K4</f>
        <v>14007</v>
      </c>
      <c r="M4" s="14">
        <f>M3+K4-L4</f>
        <v>0</v>
      </c>
      <c r="N4" s="41"/>
    </row>
    <row r="5" spans="1:14">
      <c r="A5" s="23">
        <v>2</v>
      </c>
      <c r="B5" s="24">
        <v>46205</v>
      </c>
      <c r="C5" s="14"/>
      <c r="D5" s="14"/>
      <c r="E5" s="83"/>
      <c r="F5" s="83"/>
      <c r="G5" s="14">
        <f t="shared" ref="G5:G34" si="0">E5*F5</f>
        <v>0</v>
      </c>
      <c r="H5" s="83"/>
      <c r="I5" s="83"/>
      <c r="J5" s="14">
        <f t="shared" ref="J5:J34" si="1">H5*I5</f>
        <v>0</v>
      </c>
      <c r="K5" s="14">
        <f>G5+J5</f>
        <v>0</v>
      </c>
      <c r="L5" s="14">
        <f t="shared" ref="L5:L35" si="2">K5</f>
        <v>0</v>
      </c>
      <c r="M5" s="14">
        <f t="shared" ref="M5:M28" si="3">M4+K5-L5</f>
        <v>0</v>
      </c>
      <c r="N5" s="41"/>
    </row>
    <row r="6" spans="1:14">
      <c r="A6" s="23">
        <v>3</v>
      </c>
      <c r="B6" s="24">
        <v>46206</v>
      </c>
      <c r="C6" s="14"/>
      <c r="D6" s="14"/>
      <c r="E6" s="83"/>
      <c r="F6" s="83"/>
      <c r="G6" s="14">
        <f t="shared" si="0"/>
        <v>0</v>
      </c>
      <c r="H6" s="83"/>
      <c r="I6" s="83"/>
      <c r="J6" s="14">
        <f t="shared" si="1"/>
        <v>0</v>
      </c>
      <c r="K6" s="14">
        <f t="shared" ref="K6:K35" si="4">G6+J6</f>
        <v>0</v>
      </c>
      <c r="L6" s="14">
        <f t="shared" si="2"/>
        <v>0</v>
      </c>
      <c r="M6" s="14">
        <f t="shared" si="3"/>
        <v>0</v>
      </c>
      <c r="N6" s="41"/>
    </row>
    <row r="7" spans="1:14">
      <c r="A7" s="23">
        <v>4</v>
      </c>
      <c r="B7" s="24">
        <v>46207</v>
      </c>
      <c r="C7" s="14"/>
      <c r="D7" s="14"/>
      <c r="E7" s="83"/>
      <c r="F7" s="83"/>
      <c r="G7" s="14">
        <f t="shared" si="0"/>
        <v>0</v>
      </c>
      <c r="H7" s="83"/>
      <c r="I7" s="83"/>
      <c r="J7" s="14">
        <f t="shared" si="1"/>
        <v>0</v>
      </c>
      <c r="K7" s="14">
        <f t="shared" si="4"/>
        <v>0</v>
      </c>
      <c r="L7" s="14">
        <f t="shared" si="2"/>
        <v>0</v>
      </c>
      <c r="M7" s="14">
        <f t="shared" si="3"/>
        <v>0</v>
      </c>
      <c r="N7" s="41"/>
    </row>
    <row r="8" spans="1:14">
      <c r="A8" s="23">
        <v>5</v>
      </c>
      <c r="B8" s="24">
        <v>46208</v>
      </c>
      <c r="C8" s="14"/>
      <c r="D8" s="14"/>
      <c r="E8" s="83"/>
      <c r="F8" s="83"/>
      <c r="G8" s="14">
        <f t="shared" si="0"/>
        <v>0</v>
      </c>
      <c r="H8" s="83"/>
      <c r="I8" s="83"/>
      <c r="J8" s="14">
        <f t="shared" si="1"/>
        <v>0</v>
      </c>
      <c r="K8" s="14">
        <f t="shared" si="4"/>
        <v>0</v>
      </c>
      <c r="L8" s="14">
        <f t="shared" si="2"/>
        <v>0</v>
      </c>
      <c r="M8" s="14">
        <f t="shared" si="3"/>
        <v>0</v>
      </c>
      <c r="N8" s="41"/>
    </row>
    <row r="9" spans="1:14">
      <c r="A9" s="23">
        <v>6</v>
      </c>
      <c r="B9" s="24">
        <v>46209</v>
      </c>
      <c r="C9" s="14"/>
      <c r="D9" s="14"/>
      <c r="E9" s="83"/>
      <c r="F9" s="83"/>
      <c r="G9" s="14">
        <f t="shared" si="0"/>
        <v>0</v>
      </c>
      <c r="H9" s="83">
        <v>12</v>
      </c>
      <c r="I9" s="83">
        <v>112.07</v>
      </c>
      <c r="J9" s="14">
        <f t="shared" si="1"/>
        <v>1344.84</v>
      </c>
      <c r="K9" s="14">
        <f t="shared" si="4"/>
        <v>1344.84</v>
      </c>
      <c r="L9" s="14">
        <f t="shared" si="2"/>
        <v>1344.84</v>
      </c>
      <c r="M9" s="14">
        <f t="shared" si="3"/>
        <v>0</v>
      </c>
      <c r="N9" s="41"/>
    </row>
    <row r="10" spans="1:14">
      <c r="A10" s="23">
        <v>7</v>
      </c>
      <c r="B10" s="24">
        <v>46210</v>
      </c>
      <c r="C10" s="14"/>
      <c r="D10" s="14"/>
      <c r="E10" s="83">
        <v>20</v>
      </c>
      <c r="F10" s="83">
        <v>100.05</v>
      </c>
      <c r="G10" s="14">
        <f t="shared" si="0"/>
        <v>2001</v>
      </c>
      <c r="H10" s="83"/>
      <c r="I10" s="83"/>
      <c r="J10" s="14">
        <f t="shared" si="1"/>
        <v>0</v>
      </c>
      <c r="K10" s="14">
        <f t="shared" si="4"/>
        <v>2001</v>
      </c>
      <c r="L10" s="14">
        <f t="shared" si="2"/>
        <v>2001</v>
      </c>
      <c r="M10" s="14">
        <f t="shared" si="3"/>
        <v>0</v>
      </c>
      <c r="N10" s="41"/>
    </row>
    <row r="11" spans="1:14">
      <c r="A11" s="23">
        <v>8</v>
      </c>
      <c r="B11" s="24">
        <v>46211</v>
      </c>
      <c r="C11" s="14"/>
      <c r="D11" s="14"/>
      <c r="E11" s="83"/>
      <c r="F11" s="83"/>
      <c r="G11" s="14">
        <f t="shared" si="0"/>
        <v>0</v>
      </c>
      <c r="H11" s="83"/>
      <c r="I11" s="83"/>
      <c r="J11" s="14">
        <f t="shared" si="1"/>
        <v>0</v>
      </c>
      <c r="K11" s="14">
        <f t="shared" si="4"/>
        <v>0</v>
      </c>
      <c r="L11" s="14">
        <f t="shared" si="2"/>
        <v>0</v>
      </c>
      <c r="M11" s="14">
        <f t="shared" si="3"/>
        <v>0</v>
      </c>
      <c r="N11" s="41"/>
    </row>
    <row r="12" spans="1:14">
      <c r="A12" s="23">
        <v>9</v>
      </c>
      <c r="B12" s="24">
        <v>46212</v>
      </c>
      <c r="C12" s="14"/>
      <c r="D12" s="14"/>
      <c r="E12" s="83">
        <v>39</v>
      </c>
      <c r="F12" s="83">
        <v>100.05</v>
      </c>
      <c r="G12" s="14">
        <f t="shared" si="0"/>
        <v>3901.95</v>
      </c>
      <c r="H12" s="83"/>
      <c r="I12" s="83"/>
      <c r="J12" s="14">
        <f t="shared" si="1"/>
        <v>0</v>
      </c>
      <c r="K12" s="14">
        <f t="shared" si="4"/>
        <v>3901.95</v>
      </c>
      <c r="L12" s="14">
        <f t="shared" si="2"/>
        <v>3901.95</v>
      </c>
      <c r="M12" s="14">
        <f t="shared" si="3"/>
        <v>0</v>
      </c>
      <c r="N12" s="41"/>
    </row>
    <row r="13" spans="1:14">
      <c r="A13" s="23">
        <v>10</v>
      </c>
      <c r="B13" s="24">
        <v>46213</v>
      </c>
      <c r="C13" s="14"/>
      <c r="D13" s="14"/>
      <c r="E13" s="83"/>
      <c r="F13" s="83"/>
      <c r="G13" s="14">
        <f t="shared" si="0"/>
        <v>0</v>
      </c>
      <c r="H13" s="83"/>
      <c r="I13" s="83"/>
      <c r="J13" s="14">
        <f t="shared" si="1"/>
        <v>0</v>
      </c>
      <c r="K13" s="14">
        <f t="shared" si="4"/>
        <v>0</v>
      </c>
      <c r="L13" s="14">
        <f t="shared" si="2"/>
        <v>0</v>
      </c>
      <c r="M13" s="14">
        <f t="shared" si="3"/>
        <v>0</v>
      </c>
      <c r="N13" s="41"/>
    </row>
    <row r="14" spans="1:14">
      <c r="A14" s="23">
        <v>11</v>
      </c>
      <c r="B14" s="24">
        <v>46214</v>
      </c>
      <c r="C14" s="14"/>
      <c r="D14" s="14"/>
      <c r="E14" s="83">
        <v>70</v>
      </c>
      <c r="F14" s="83">
        <v>100.05</v>
      </c>
      <c r="G14" s="14">
        <f t="shared" si="0"/>
        <v>7003.5</v>
      </c>
      <c r="H14" s="83">
        <v>4.37</v>
      </c>
      <c r="I14" s="83">
        <v>112.07</v>
      </c>
      <c r="J14" s="14">
        <f t="shared" si="1"/>
        <v>489.74590000000001</v>
      </c>
      <c r="K14" s="14">
        <f t="shared" si="4"/>
        <v>7493.2458999999999</v>
      </c>
      <c r="L14" s="14">
        <f t="shared" si="2"/>
        <v>7493.2458999999999</v>
      </c>
      <c r="M14" s="14">
        <f t="shared" si="3"/>
        <v>0</v>
      </c>
      <c r="N14" s="41"/>
    </row>
    <row r="15" spans="1:14">
      <c r="A15" s="23">
        <v>12</v>
      </c>
      <c r="B15" s="24">
        <v>46215</v>
      </c>
      <c r="C15" s="14"/>
      <c r="D15" s="14"/>
      <c r="E15" s="83"/>
      <c r="F15" s="83"/>
      <c r="G15" s="14">
        <f t="shared" si="0"/>
        <v>0</v>
      </c>
      <c r="H15" s="83"/>
      <c r="I15" s="83"/>
      <c r="J15" s="14">
        <f t="shared" si="1"/>
        <v>0</v>
      </c>
      <c r="K15" s="14">
        <f t="shared" si="4"/>
        <v>0</v>
      </c>
      <c r="L15" s="14">
        <f t="shared" si="2"/>
        <v>0</v>
      </c>
      <c r="M15" s="14">
        <f t="shared" si="3"/>
        <v>0</v>
      </c>
      <c r="N15" s="41"/>
    </row>
    <row r="16" spans="1:14">
      <c r="A16" s="23">
        <v>13</v>
      </c>
      <c r="B16" s="24">
        <v>46216</v>
      </c>
      <c r="C16" s="14"/>
      <c r="D16" s="14"/>
      <c r="E16" s="83">
        <v>48</v>
      </c>
      <c r="F16" s="83">
        <v>100.05</v>
      </c>
      <c r="G16" s="14">
        <f t="shared" si="0"/>
        <v>4802.3999999999996</v>
      </c>
      <c r="H16" s="83"/>
      <c r="I16" s="83"/>
      <c r="J16" s="14">
        <f t="shared" si="1"/>
        <v>0</v>
      </c>
      <c r="K16" s="14">
        <f t="shared" si="4"/>
        <v>4802.3999999999996</v>
      </c>
      <c r="L16" s="14">
        <f t="shared" si="2"/>
        <v>4802.3999999999996</v>
      </c>
      <c r="M16" s="14">
        <f t="shared" si="3"/>
        <v>0</v>
      </c>
      <c r="N16" s="41"/>
    </row>
    <row r="17" spans="1:20">
      <c r="A17" s="23">
        <v>14</v>
      </c>
      <c r="B17" s="24">
        <v>46217</v>
      </c>
      <c r="C17" s="14"/>
      <c r="D17" s="14"/>
      <c r="E17" s="83">
        <v>70</v>
      </c>
      <c r="F17" s="83">
        <v>100.05</v>
      </c>
      <c r="G17" s="14">
        <f t="shared" si="0"/>
        <v>7003.5</v>
      </c>
      <c r="H17" s="83"/>
      <c r="I17" s="83"/>
      <c r="J17" s="14">
        <f t="shared" si="1"/>
        <v>0</v>
      </c>
      <c r="K17" s="14">
        <f t="shared" si="4"/>
        <v>7003.5</v>
      </c>
      <c r="L17" s="14">
        <f t="shared" si="2"/>
        <v>7003.5</v>
      </c>
      <c r="M17" s="14">
        <f t="shared" si="3"/>
        <v>0</v>
      </c>
      <c r="N17" s="41"/>
    </row>
    <row r="18" spans="1:20">
      <c r="A18" s="23">
        <v>15</v>
      </c>
      <c r="B18" s="24">
        <v>46218</v>
      </c>
      <c r="C18" s="14"/>
      <c r="D18" s="14"/>
      <c r="E18" s="83"/>
      <c r="F18" s="83"/>
      <c r="G18" s="14">
        <f t="shared" si="0"/>
        <v>0</v>
      </c>
      <c r="H18" s="83"/>
      <c r="I18" s="83"/>
      <c r="J18" s="14">
        <f t="shared" si="1"/>
        <v>0</v>
      </c>
      <c r="K18" s="14">
        <f t="shared" si="4"/>
        <v>0</v>
      </c>
      <c r="L18" s="14">
        <f t="shared" si="2"/>
        <v>0</v>
      </c>
      <c r="M18" s="14">
        <f t="shared" si="3"/>
        <v>0</v>
      </c>
      <c r="N18" s="41"/>
    </row>
    <row r="19" spans="1:20">
      <c r="A19" s="23">
        <v>16</v>
      </c>
      <c r="B19" s="24">
        <v>46219</v>
      </c>
      <c r="C19" s="14"/>
      <c r="D19" s="14"/>
      <c r="E19" s="83">
        <v>89</v>
      </c>
      <c r="F19" s="83">
        <v>100.05</v>
      </c>
      <c r="G19" s="14">
        <f t="shared" si="0"/>
        <v>8904.4499999999989</v>
      </c>
      <c r="H19" s="83">
        <v>6</v>
      </c>
      <c r="I19" s="83">
        <v>112.07</v>
      </c>
      <c r="J19" s="14">
        <f t="shared" si="1"/>
        <v>672.42</v>
      </c>
      <c r="K19" s="14">
        <f t="shared" si="4"/>
        <v>9576.869999999999</v>
      </c>
      <c r="L19" s="14">
        <f t="shared" si="2"/>
        <v>9576.869999999999</v>
      </c>
      <c r="M19" s="14">
        <f t="shared" si="3"/>
        <v>0</v>
      </c>
      <c r="N19" s="41"/>
    </row>
    <row r="20" spans="1:20">
      <c r="A20" s="23">
        <v>17</v>
      </c>
      <c r="B20" s="24">
        <v>46220</v>
      </c>
      <c r="C20" s="14"/>
      <c r="D20" s="14"/>
      <c r="E20" s="83"/>
      <c r="F20" s="83"/>
      <c r="G20" s="14">
        <f t="shared" si="0"/>
        <v>0</v>
      </c>
      <c r="H20" s="83"/>
      <c r="I20" s="83"/>
      <c r="J20" s="14">
        <f t="shared" si="1"/>
        <v>0</v>
      </c>
      <c r="K20" s="14">
        <f t="shared" si="4"/>
        <v>0</v>
      </c>
      <c r="L20" s="14">
        <f t="shared" si="2"/>
        <v>0</v>
      </c>
      <c r="M20" s="14">
        <f t="shared" si="3"/>
        <v>0</v>
      </c>
      <c r="N20" s="41"/>
      <c r="T20">
        <v>54.83</v>
      </c>
    </row>
    <row r="21" spans="1:20">
      <c r="A21" s="23">
        <v>18</v>
      </c>
      <c r="B21" s="24">
        <v>46221</v>
      </c>
      <c r="C21" s="14"/>
      <c r="D21" s="14"/>
      <c r="E21" s="83">
        <v>80.16</v>
      </c>
      <c r="F21" s="83">
        <v>100.05</v>
      </c>
      <c r="G21" s="14">
        <f t="shared" si="0"/>
        <v>8020.0079999999998</v>
      </c>
      <c r="H21" s="83"/>
      <c r="I21" s="83"/>
      <c r="J21" s="14">
        <f t="shared" si="1"/>
        <v>0</v>
      </c>
      <c r="K21" s="14">
        <f t="shared" si="4"/>
        <v>8020.0079999999998</v>
      </c>
      <c r="L21" s="14">
        <f t="shared" si="2"/>
        <v>8020.0079999999998</v>
      </c>
      <c r="M21" s="14">
        <f t="shared" si="3"/>
        <v>0</v>
      </c>
      <c r="N21" s="41"/>
      <c r="T21">
        <v>0.55000000000000004</v>
      </c>
    </row>
    <row r="22" spans="1:20">
      <c r="A22" s="23">
        <v>19</v>
      </c>
      <c r="B22" s="24">
        <v>46222</v>
      </c>
      <c r="C22" s="14"/>
      <c r="D22" s="14"/>
      <c r="E22" s="83"/>
      <c r="F22" s="83"/>
      <c r="G22" s="14">
        <f t="shared" si="0"/>
        <v>0</v>
      </c>
      <c r="H22" s="83">
        <v>11.97</v>
      </c>
      <c r="I22" s="83">
        <v>112.07</v>
      </c>
      <c r="J22" s="14">
        <f t="shared" si="1"/>
        <v>1341.4779000000001</v>
      </c>
      <c r="K22" s="14">
        <f t="shared" si="4"/>
        <v>1341.4779000000001</v>
      </c>
      <c r="L22" s="14">
        <f t="shared" si="2"/>
        <v>1341.4779000000001</v>
      </c>
      <c r="M22" s="14">
        <f t="shared" si="3"/>
        <v>0</v>
      </c>
      <c r="N22" s="41"/>
    </row>
    <row r="23" spans="1:20">
      <c r="A23" s="23"/>
      <c r="B23" s="24">
        <v>46223</v>
      </c>
      <c r="C23" s="14"/>
      <c r="D23" s="14"/>
      <c r="E23" s="83"/>
      <c r="F23" s="83"/>
      <c r="G23" s="14">
        <f t="shared" si="0"/>
        <v>0</v>
      </c>
      <c r="H23" s="83"/>
      <c r="I23" s="83"/>
      <c r="J23" s="14"/>
      <c r="K23" s="14">
        <f t="shared" si="4"/>
        <v>0</v>
      </c>
      <c r="L23" s="14">
        <f t="shared" si="2"/>
        <v>0</v>
      </c>
      <c r="M23" s="14"/>
      <c r="N23" s="41"/>
    </row>
    <row r="24" spans="1:20">
      <c r="A24" s="23">
        <v>20</v>
      </c>
      <c r="B24" s="24">
        <v>46224</v>
      </c>
      <c r="C24" s="14"/>
      <c r="D24" s="14"/>
      <c r="E24" s="83"/>
      <c r="F24" s="83"/>
      <c r="G24" s="14">
        <f t="shared" si="0"/>
        <v>0</v>
      </c>
      <c r="H24" s="83"/>
      <c r="I24" s="83"/>
      <c r="J24" s="14">
        <f t="shared" si="1"/>
        <v>0</v>
      </c>
      <c r="K24" s="14">
        <f t="shared" si="4"/>
        <v>0</v>
      </c>
      <c r="L24" s="14">
        <f t="shared" si="2"/>
        <v>0</v>
      </c>
      <c r="M24" s="14">
        <f>M22+K24-L24</f>
        <v>0</v>
      </c>
      <c r="N24" s="41"/>
    </row>
    <row r="25" spans="1:20">
      <c r="A25" s="23">
        <v>21</v>
      </c>
      <c r="B25" s="24">
        <v>46225</v>
      </c>
      <c r="C25" s="14"/>
      <c r="D25" s="14"/>
      <c r="E25" s="83">
        <v>43</v>
      </c>
      <c r="F25" s="83">
        <v>100.05</v>
      </c>
      <c r="G25" s="14">
        <f t="shared" si="0"/>
        <v>4302.1499999999996</v>
      </c>
      <c r="H25" s="83"/>
      <c r="I25" s="83"/>
      <c r="J25" s="14">
        <f t="shared" si="1"/>
        <v>0</v>
      </c>
      <c r="K25" s="14">
        <f t="shared" si="4"/>
        <v>4302.1499999999996</v>
      </c>
      <c r="L25" s="14">
        <f t="shared" si="2"/>
        <v>4302.1499999999996</v>
      </c>
      <c r="M25" s="14">
        <f t="shared" si="3"/>
        <v>0</v>
      </c>
      <c r="N25" s="41"/>
    </row>
    <row r="26" spans="1:20">
      <c r="A26" s="23">
        <v>22</v>
      </c>
      <c r="B26" s="24">
        <v>46226</v>
      </c>
      <c r="C26" s="14"/>
      <c r="D26" s="14"/>
      <c r="E26" s="83"/>
      <c r="F26" s="83"/>
      <c r="G26" s="14">
        <f t="shared" si="0"/>
        <v>0</v>
      </c>
      <c r="H26" s="83">
        <v>12</v>
      </c>
      <c r="I26" s="83">
        <v>112.07</v>
      </c>
      <c r="J26" s="14">
        <f t="shared" si="1"/>
        <v>1344.84</v>
      </c>
      <c r="K26" s="14">
        <f t="shared" si="4"/>
        <v>1344.84</v>
      </c>
      <c r="L26" s="14">
        <f t="shared" si="2"/>
        <v>1344.84</v>
      </c>
      <c r="M26" s="14">
        <f t="shared" si="3"/>
        <v>0</v>
      </c>
      <c r="N26" s="41"/>
    </row>
    <row r="27" spans="1:20">
      <c r="A27" s="23">
        <v>23</v>
      </c>
      <c r="B27" s="24">
        <v>46227</v>
      </c>
      <c r="C27" s="14"/>
      <c r="D27" s="14"/>
      <c r="E27" s="83"/>
      <c r="F27" s="83"/>
      <c r="G27" s="14">
        <f t="shared" si="0"/>
        <v>0</v>
      </c>
      <c r="H27" s="83"/>
      <c r="I27" s="83"/>
      <c r="J27" s="14">
        <f t="shared" si="1"/>
        <v>0</v>
      </c>
      <c r="K27" s="14">
        <f t="shared" si="4"/>
        <v>0</v>
      </c>
      <c r="L27" s="14">
        <f t="shared" si="2"/>
        <v>0</v>
      </c>
      <c r="M27" s="14">
        <f t="shared" si="3"/>
        <v>0</v>
      </c>
      <c r="N27" s="41"/>
    </row>
    <row r="28" spans="1:20">
      <c r="A28" s="23">
        <v>24</v>
      </c>
      <c r="B28" s="24">
        <v>46228</v>
      </c>
      <c r="C28" s="14"/>
      <c r="D28" s="14"/>
      <c r="E28" s="83">
        <v>39.984000000000002</v>
      </c>
      <c r="F28" s="83">
        <v>100.04</v>
      </c>
      <c r="G28" s="14">
        <f t="shared" si="0"/>
        <v>3999.9993600000003</v>
      </c>
      <c r="H28" s="83"/>
      <c r="I28" s="83"/>
      <c r="J28" s="14">
        <f t="shared" si="1"/>
        <v>0</v>
      </c>
      <c r="K28" s="14">
        <f t="shared" si="4"/>
        <v>3999.9993600000003</v>
      </c>
      <c r="L28" s="14">
        <f t="shared" si="2"/>
        <v>3999.9993600000003</v>
      </c>
      <c r="M28" s="14">
        <f t="shared" si="3"/>
        <v>0</v>
      </c>
      <c r="N28" s="41" t="s">
        <v>256</v>
      </c>
    </row>
    <row r="29" spans="1:20">
      <c r="A29" s="23">
        <v>25</v>
      </c>
      <c r="B29" s="24">
        <v>46229</v>
      </c>
      <c r="C29" s="14"/>
      <c r="D29" s="14"/>
      <c r="E29" s="83"/>
      <c r="F29" s="83"/>
      <c r="G29" s="14">
        <f t="shared" si="0"/>
        <v>0</v>
      </c>
      <c r="H29" s="83"/>
      <c r="I29" s="83"/>
      <c r="J29" s="14">
        <f t="shared" si="1"/>
        <v>0</v>
      </c>
      <c r="K29" s="14">
        <f>G29+J29</f>
        <v>0</v>
      </c>
      <c r="L29" s="14">
        <f t="shared" si="2"/>
        <v>0</v>
      </c>
      <c r="M29" s="14">
        <v>0</v>
      </c>
      <c r="N29" s="41"/>
    </row>
    <row r="30" spans="1:20">
      <c r="A30" s="23">
        <v>26</v>
      </c>
      <c r="B30" s="24">
        <v>46230</v>
      </c>
      <c r="C30" s="14"/>
      <c r="D30" s="14"/>
      <c r="E30" s="83"/>
      <c r="F30" s="83"/>
      <c r="G30" s="14">
        <f t="shared" si="0"/>
        <v>0</v>
      </c>
      <c r="H30" s="83"/>
      <c r="I30" s="83"/>
      <c r="J30" s="14">
        <f t="shared" si="1"/>
        <v>0</v>
      </c>
      <c r="K30" s="14">
        <f t="shared" si="4"/>
        <v>0</v>
      </c>
      <c r="L30" s="14">
        <f t="shared" si="2"/>
        <v>0</v>
      </c>
      <c r="M30" s="14">
        <v>0</v>
      </c>
      <c r="N30" s="41"/>
    </row>
    <row r="31" spans="1:20">
      <c r="A31" s="23">
        <v>27</v>
      </c>
      <c r="B31" s="24">
        <v>46231</v>
      </c>
      <c r="C31" s="14"/>
      <c r="D31" s="14"/>
      <c r="E31" s="83">
        <v>37</v>
      </c>
      <c r="F31" s="83">
        <v>100.05</v>
      </c>
      <c r="G31" s="14">
        <f t="shared" si="0"/>
        <v>3701.85</v>
      </c>
      <c r="H31" s="83">
        <v>6</v>
      </c>
      <c r="I31" s="83">
        <v>112.07</v>
      </c>
      <c r="J31" s="14">
        <f t="shared" si="1"/>
        <v>672.42</v>
      </c>
      <c r="K31" s="14">
        <f t="shared" si="4"/>
        <v>4374.2699999999995</v>
      </c>
      <c r="L31" s="14">
        <f t="shared" si="2"/>
        <v>4374.2699999999995</v>
      </c>
      <c r="M31" s="14">
        <v>0</v>
      </c>
      <c r="N31" s="41"/>
    </row>
    <row r="32" spans="1:20">
      <c r="A32" s="23">
        <v>28</v>
      </c>
      <c r="B32" s="24">
        <v>46232</v>
      </c>
      <c r="C32" s="14"/>
      <c r="D32" s="14"/>
      <c r="E32" s="83"/>
      <c r="F32" s="83"/>
      <c r="G32" s="14">
        <f t="shared" si="0"/>
        <v>0</v>
      </c>
      <c r="H32" s="83"/>
      <c r="I32" s="83"/>
      <c r="J32" s="14">
        <f t="shared" si="1"/>
        <v>0</v>
      </c>
      <c r="K32" s="14">
        <f t="shared" si="4"/>
        <v>0</v>
      </c>
      <c r="L32" s="14">
        <f t="shared" si="2"/>
        <v>0</v>
      </c>
      <c r="M32" s="14">
        <v>0</v>
      </c>
      <c r="N32" s="41"/>
    </row>
    <row r="33" spans="1:14">
      <c r="A33" s="23">
        <v>29</v>
      </c>
      <c r="B33" s="24">
        <v>46233</v>
      </c>
      <c r="C33" s="14"/>
      <c r="D33" s="14"/>
      <c r="E33" s="83">
        <v>39.61</v>
      </c>
      <c r="F33" s="83">
        <v>100.05</v>
      </c>
      <c r="G33" s="14">
        <f t="shared" si="0"/>
        <v>3962.9804999999997</v>
      </c>
      <c r="H33" s="83">
        <v>6</v>
      </c>
      <c r="I33" s="83">
        <v>112.07</v>
      </c>
      <c r="J33" s="14">
        <f t="shared" si="1"/>
        <v>672.42</v>
      </c>
      <c r="K33" s="14">
        <f t="shared" si="4"/>
        <v>4635.4004999999997</v>
      </c>
      <c r="L33" s="14">
        <f t="shared" si="2"/>
        <v>4635.4004999999997</v>
      </c>
      <c r="M33" s="14"/>
      <c r="N33" s="41"/>
    </row>
    <row r="34" spans="1:14">
      <c r="A34" s="23">
        <v>30</v>
      </c>
      <c r="B34" s="24"/>
      <c r="C34" s="14"/>
      <c r="D34" s="14"/>
      <c r="E34" s="83"/>
      <c r="F34" s="83"/>
      <c r="G34" s="14">
        <f t="shared" si="0"/>
        <v>0</v>
      </c>
      <c r="H34" s="83"/>
      <c r="I34" s="83"/>
      <c r="J34" s="14">
        <f t="shared" si="1"/>
        <v>0</v>
      </c>
      <c r="K34" s="14">
        <f t="shared" si="4"/>
        <v>0</v>
      </c>
      <c r="L34" s="14">
        <f t="shared" si="2"/>
        <v>0</v>
      </c>
      <c r="M34" s="14"/>
      <c r="N34" s="41"/>
    </row>
    <row r="35" spans="1:14">
      <c r="A35" s="23">
        <v>31</v>
      </c>
      <c r="B35" s="24"/>
      <c r="C35" s="14"/>
      <c r="D35" s="14"/>
      <c r="E35" s="83"/>
      <c r="F35" s="83"/>
      <c r="G35" s="14">
        <f t="shared" ref="G5:G35" si="5">E35*F35</f>
        <v>0</v>
      </c>
      <c r="H35" s="83"/>
      <c r="I35" s="83"/>
      <c r="J35" s="14">
        <f t="shared" ref="J5:J35" si="6">H35*I35</f>
        <v>0</v>
      </c>
      <c r="K35" s="14">
        <f t="shared" si="4"/>
        <v>0</v>
      </c>
      <c r="L35" s="14">
        <f t="shared" si="2"/>
        <v>0</v>
      </c>
      <c r="M35" s="14"/>
      <c r="N35" s="41"/>
    </row>
    <row r="36" spans="1:14">
      <c r="A36" s="39"/>
      <c r="B36" s="39"/>
      <c r="C36" s="39"/>
      <c r="D36" s="39"/>
      <c r="E36" s="39">
        <f>SUM(E4:E35)</f>
        <v>715.75400000000002</v>
      </c>
      <c r="F36" s="39"/>
      <c r="G36" s="39">
        <f>SUM(G4:G35)</f>
        <v>71610.787860000011</v>
      </c>
      <c r="H36" s="39">
        <f>SUM(H4:H35)</f>
        <v>58.34</v>
      </c>
      <c r="I36" s="39"/>
      <c r="J36" s="39">
        <f>SUM(J4:J35)</f>
        <v>6538.1638000000003</v>
      </c>
      <c r="K36" s="39">
        <f>SUM(K4:K35)</f>
        <v>78148.951660000006</v>
      </c>
      <c r="L36" s="39">
        <f>SUM(L4:L35)</f>
        <v>78148.951660000006</v>
      </c>
      <c r="M36" s="39"/>
      <c r="N36" s="39"/>
    </row>
  </sheetData>
  <mergeCells count="2">
    <mergeCell ref="A1:N1"/>
    <mergeCell ref="A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topLeftCell="A20" workbookViewId="0">
      <selection activeCell="L34" sqref="L34"/>
    </sheetView>
  </sheetViews>
  <sheetFormatPr defaultRowHeight="15"/>
  <cols>
    <col min="2" max="2" width="10.140625" bestFit="1" customWidth="1"/>
    <col min="9" max="9" width="12" customWidth="1"/>
    <col min="10" max="10" width="11" customWidth="1"/>
    <col min="11" max="11" width="11.28515625" customWidth="1"/>
    <col min="12" max="12" width="11.42578125" customWidth="1"/>
  </cols>
  <sheetData>
    <row r="1" spans="1:14" ht="15.75">
      <c r="A1" s="564" t="s">
        <v>108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</row>
    <row r="2" spans="1:14" ht="27">
      <c r="A2" s="100" t="s">
        <v>0</v>
      </c>
      <c r="B2" s="102" t="s">
        <v>163</v>
      </c>
      <c r="C2" s="102" t="s">
        <v>164</v>
      </c>
      <c r="D2" s="102" t="s">
        <v>165</v>
      </c>
      <c r="E2" s="102" t="s">
        <v>166</v>
      </c>
      <c r="F2" s="102" t="s">
        <v>167</v>
      </c>
      <c r="G2" s="102" t="s">
        <v>168</v>
      </c>
      <c r="H2" s="102" t="s">
        <v>169</v>
      </c>
      <c r="I2" s="102" t="s">
        <v>167</v>
      </c>
      <c r="J2" s="102" t="s">
        <v>168</v>
      </c>
      <c r="K2" s="102" t="s">
        <v>170</v>
      </c>
      <c r="L2" s="102" t="s">
        <v>171</v>
      </c>
      <c r="M2" s="102" t="s">
        <v>187</v>
      </c>
      <c r="N2" s="102" t="s">
        <v>173</v>
      </c>
    </row>
    <row r="3" spans="1:14">
      <c r="A3" s="567" t="s">
        <v>174</v>
      </c>
      <c r="B3" s="567"/>
      <c r="C3" s="567"/>
      <c r="D3" s="567"/>
      <c r="E3" s="567"/>
      <c r="F3" s="567"/>
      <c r="G3" s="567"/>
      <c r="H3" s="567"/>
      <c r="I3" s="567"/>
      <c r="J3" s="567"/>
      <c r="K3" s="92">
        <v>0</v>
      </c>
      <c r="L3" s="92">
        <v>0</v>
      </c>
      <c r="M3" s="92">
        <f>+K3</f>
        <v>0</v>
      </c>
      <c r="N3" s="14"/>
    </row>
    <row r="4" spans="1:14">
      <c r="A4" s="23">
        <v>1</v>
      </c>
      <c r="B4" s="24">
        <v>46204</v>
      </c>
      <c r="C4" s="14"/>
      <c r="D4" s="14"/>
      <c r="E4" s="14">
        <v>160</v>
      </c>
      <c r="F4" s="373">
        <v>99.87</v>
      </c>
      <c r="G4" s="14">
        <f>E4*F4</f>
        <v>15979.2</v>
      </c>
      <c r="H4" s="83">
        <v>29.99</v>
      </c>
      <c r="I4" s="83">
        <v>112.06</v>
      </c>
      <c r="J4" s="14">
        <f>H4*I4</f>
        <v>3360.6794</v>
      </c>
      <c r="K4" s="323">
        <f>G4+J4</f>
        <v>19339.879400000002</v>
      </c>
      <c r="L4" s="323">
        <f>K4</f>
        <v>19339.879400000002</v>
      </c>
      <c r="M4" s="14">
        <f>M3+K4-L4</f>
        <v>0</v>
      </c>
      <c r="N4" s="41"/>
    </row>
    <row r="5" spans="1:14">
      <c r="A5" s="23">
        <v>2</v>
      </c>
      <c r="B5" s="24">
        <v>46205</v>
      </c>
      <c r="C5" s="14"/>
      <c r="D5" s="14"/>
      <c r="E5" s="373"/>
      <c r="F5" s="373"/>
      <c r="G5" s="14">
        <f t="shared" ref="G5:G34" si="0">E5*F5</f>
        <v>0</v>
      </c>
      <c r="H5" s="83"/>
      <c r="I5" s="83"/>
      <c r="J5" s="14">
        <f t="shared" ref="J5:J33" si="1">H5*I5</f>
        <v>0</v>
      </c>
      <c r="K5" s="323">
        <f>G5+J5</f>
        <v>0</v>
      </c>
      <c r="L5" s="323">
        <f t="shared" ref="L5:L34" si="2">K5</f>
        <v>0</v>
      </c>
      <c r="M5" s="14">
        <f t="shared" ref="M5:M27" si="3">M4+K5-L5</f>
        <v>0</v>
      </c>
      <c r="N5" s="41"/>
    </row>
    <row r="6" spans="1:14">
      <c r="A6" s="23">
        <v>3</v>
      </c>
      <c r="B6" s="24">
        <v>46206</v>
      </c>
      <c r="C6" s="14"/>
      <c r="D6" s="14"/>
      <c r="E6" s="83"/>
      <c r="F6" s="83"/>
      <c r="G6" s="14">
        <f t="shared" ref="G6:G33" si="4">E6*F6</f>
        <v>0</v>
      </c>
      <c r="H6" s="83"/>
      <c r="I6" s="83"/>
      <c r="J6" s="14">
        <f t="shared" ref="J6:J33" si="5">H6*I6</f>
        <v>0</v>
      </c>
      <c r="K6" s="323">
        <f t="shared" ref="K6:K34" si="6">G6+J6</f>
        <v>0</v>
      </c>
      <c r="L6" s="323">
        <f t="shared" si="2"/>
        <v>0</v>
      </c>
      <c r="M6" s="14">
        <f t="shared" si="3"/>
        <v>0</v>
      </c>
      <c r="N6" s="41"/>
    </row>
    <row r="7" spans="1:14">
      <c r="A7" s="23">
        <v>4</v>
      </c>
      <c r="B7" s="24">
        <v>46207</v>
      </c>
      <c r="C7" s="14"/>
      <c r="D7" s="14"/>
      <c r="E7" s="83">
        <v>200</v>
      </c>
      <c r="F7" s="83">
        <v>99.87</v>
      </c>
      <c r="G7" s="14">
        <f t="shared" si="4"/>
        <v>19974</v>
      </c>
      <c r="H7" s="83"/>
      <c r="I7" s="83"/>
      <c r="J7" s="14">
        <f t="shared" si="5"/>
        <v>0</v>
      </c>
      <c r="K7" s="323">
        <f t="shared" si="6"/>
        <v>19974</v>
      </c>
      <c r="L7" s="323">
        <f t="shared" si="2"/>
        <v>19974</v>
      </c>
      <c r="M7" s="14">
        <f t="shared" si="3"/>
        <v>0</v>
      </c>
      <c r="N7" s="41"/>
    </row>
    <row r="8" spans="1:14">
      <c r="A8" s="23">
        <v>5</v>
      </c>
      <c r="B8" s="24">
        <v>46208</v>
      </c>
      <c r="C8" s="14"/>
      <c r="D8" s="14"/>
      <c r="E8" s="373"/>
      <c r="F8" s="373"/>
      <c r="G8" s="14">
        <f t="shared" si="4"/>
        <v>0</v>
      </c>
      <c r="H8" s="83"/>
      <c r="I8" s="83"/>
      <c r="J8" s="14">
        <f t="shared" si="5"/>
        <v>0</v>
      </c>
      <c r="K8" s="323">
        <f t="shared" si="6"/>
        <v>0</v>
      </c>
      <c r="L8" s="323">
        <f t="shared" si="2"/>
        <v>0</v>
      </c>
      <c r="M8" s="14">
        <f t="shared" si="3"/>
        <v>0</v>
      </c>
      <c r="N8" s="41"/>
    </row>
    <row r="9" spans="1:14">
      <c r="A9" s="23">
        <v>6</v>
      </c>
      <c r="B9" s="24">
        <v>46209</v>
      </c>
      <c r="C9" s="14"/>
      <c r="D9" s="14"/>
      <c r="E9" s="83"/>
      <c r="F9" s="83"/>
      <c r="G9" s="14">
        <f t="shared" si="4"/>
        <v>0</v>
      </c>
      <c r="H9" s="83"/>
      <c r="I9" s="83"/>
      <c r="J9" s="14">
        <f t="shared" si="5"/>
        <v>0</v>
      </c>
      <c r="K9" s="323">
        <f t="shared" si="6"/>
        <v>0</v>
      </c>
      <c r="L9" s="323">
        <f t="shared" si="2"/>
        <v>0</v>
      </c>
      <c r="M9" s="14">
        <f t="shared" si="3"/>
        <v>0</v>
      </c>
      <c r="N9" s="41"/>
    </row>
    <row r="10" spans="1:14">
      <c r="A10" s="23">
        <v>7</v>
      </c>
      <c r="B10" s="24">
        <v>46210</v>
      </c>
      <c r="C10" s="14"/>
      <c r="D10" s="14"/>
      <c r="E10" s="83"/>
      <c r="F10" s="83"/>
      <c r="G10" s="14">
        <f t="shared" si="4"/>
        <v>0</v>
      </c>
      <c r="H10" s="83"/>
      <c r="I10" s="83"/>
      <c r="J10" s="14">
        <f t="shared" si="5"/>
        <v>0</v>
      </c>
      <c r="K10" s="323">
        <f t="shared" si="6"/>
        <v>0</v>
      </c>
      <c r="L10" s="323">
        <f t="shared" si="2"/>
        <v>0</v>
      </c>
      <c r="M10" s="14">
        <f t="shared" si="3"/>
        <v>0</v>
      </c>
      <c r="N10" s="41"/>
    </row>
    <row r="11" spans="1:14">
      <c r="A11" s="23">
        <v>8</v>
      </c>
      <c r="B11" s="24">
        <v>46211</v>
      </c>
      <c r="C11" s="14"/>
      <c r="D11" s="14"/>
      <c r="E11" s="83"/>
      <c r="F11" s="83"/>
      <c r="G11" s="14">
        <f t="shared" si="4"/>
        <v>0</v>
      </c>
      <c r="H11" s="83"/>
      <c r="I11" s="83"/>
      <c r="J11" s="14">
        <f t="shared" si="5"/>
        <v>0</v>
      </c>
      <c r="K11" s="323">
        <f t="shared" si="6"/>
        <v>0</v>
      </c>
      <c r="L11" s="323">
        <f t="shared" si="2"/>
        <v>0</v>
      </c>
      <c r="M11" s="14">
        <f t="shared" si="3"/>
        <v>0</v>
      </c>
      <c r="N11" s="41"/>
    </row>
    <row r="12" spans="1:14">
      <c r="A12" s="23">
        <v>9</v>
      </c>
      <c r="B12" s="24">
        <v>46212</v>
      </c>
      <c r="C12" s="14"/>
      <c r="D12" s="14"/>
      <c r="E12" s="83">
        <v>160</v>
      </c>
      <c r="F12" s="83">
        <v>99.87</v>
      </c>
      <c r="G12" s="14">
        <f t="shared" si="4"/>
        <v>15979.2</v>
      </c>
      <c r="H12" s="83"/>
      <c r="I12" s="83"/>
      <c r="J12" s="14">
        <f t="shared" si="5"/>
        <v>0</v>
      </c>
      <c r="K12" s="323">
        <f t="shared" si="6"/>
        <v>15979.2</v>
      </c>
      <c r="L12" s="323">
        <f t="shared" si="2"/>
        <v>15979.2</v>
      </c>
      <c r="M12" s="14">
        <f t="shared" si="3"/>
        <v>0</v>
      </c>
      <c r="N12" s="41"/>
    </row>
    <row r="13" spans="1:14">
      <c r="A13" s="23">
        <v>10</v>
      </c>
      <c r="B13" s="24">
        <v>46213</v>
      </c>
      <c r="C13" s="14"/>
      <c r="D13" s="14"/>
      <c r="E13" s="83"/>
      <c r="F13" s="83"/>
      <c r="G13" s="14">
        <f t="shared" si="4"/>
        <v>0</v>
      </c>
      <c r="H13" s="83"/>
      <c r="I13" s="83"/>
      <c r="J13" s="14">
        <f t="shared" si="5"/>
        <v>0</v>
      </c>
      <c r="K13" s="323">
        <f t="shared" si="6"/>
        <v>0</v>
      </c>
      <c r="L13" s="323">
        <f t="shared" si="2"/>
        <v>0</v>
      </c>
      <c r="M13" s="14">
        <f t="shared" si="3"/>
        <v>0</v>
      </c>
      <c r="N13" s="41"/>
    </row>
    <row r="14" spans="1:14">
      <c r="A14" s="23">
        <v>11</v>
      </c>
      <c r="B14" s="24">
        <v>46214</v>
      </c>
      <c r="C14" s="14"/>
      <c r="D14" s="14"/>
      <c r="E14" s="83"/>
      <c r="F14" s="83"/>
      <c r="G14" s="14">
        <f t="shared" si="4"/>
        <v>0</v>
      </c>
      <c r="H14" s="83"/>
      <c r="I14" s="83"/>
      <c r="J14" s="14">
        <f t="shared" si="5"/>
        <v>0</v>
      </c>
      <c r="K14" s="323">
        <f t="shared" si="6"/>
        <v>0</v>
      </c>
      <c r="L14" s="323">
        <f t="shared" si="2"/>
        <v>0</v>
      </c>
      <c r="M14" s="14">
        <f t="shared" si="3"/>
        <v>0</v>
      </c>
      <c r="N14" s="41"/>
    </row>
    <row r="15" spans="1:14">
      <c r="A15" s="23">
        <v>12</v>
      </c>
      <c r="B15" s="24">
        <v>46215</v>
      </c>
      <c r="C15" s="14"/>
      <c r="D15" s="14"/>
      <c r="E15" s="83"/>
      <c r="F15" s="83"/>
      <c r="G15" s="14">
        <f t="shared" si="4"/>
        <v>0</v>
      </c>
      <c r="H15" s="83"/>
      <c r="I15" s="83"/>
      <c r="J15" s="14">
        <f t="shared" si="5"/>
        <v>0</v>
      </c>
      <c r="K15" s="323">
        <f t="shared" si="6"/>
        <v>0</v>
      </c>
      <c r="L15" s="323">
        <f t="shared" si="2"/>
        <v>0</v>
      </c>
      <c r="M15" s="14">
        <f t="shared" si="3"/>
        <v>0</v>
      </c>
      <c r="N15" s="41"/>
    </row>
    <row r="16" spans="1:14">
      <c r="A16" s="23">
        <v>13</v>
      </c>
      <c r="B16" s="24">
        <v>46216</v>
      </c>
      <c r="C16" s="14"/>
      <c r="D16" s="14"/>
      <c r="E16" s="83">
        <v>150</v>
      </c>
      <c r="F16" s="83">
        <v>99.87</v>
      </c>
      <c r="G16" s="14">
        <f t="shared" si="4"/>
        <v>14980.5</v>
      </c>
      <c r="H16" s="83"/>
      <c r="I16" s="83"/>
      <c r="J16" s="14">
        <f t="shared" si="5"/>
        <v>0</v>
      </c>
      <c r="K16" s="323">
        <f t="shared" si="6"/>
        <v>14980.5</v>
      </c>
      <c r="L16" s="323">
        <f t="shared" si="2"/>
        <v>14980.5</v>
      </c>
      <c r="M16" s="14">
        <f t="shared" si="3"/>
        <v>0</v>
      </c>
      <c r="N16" s="41"/>
    </row>
    <row r="17" spans="1:14">
      <c r="A17" s="23">
        <v>14</v>
      </c>
      <c r="B17" s="24">
        <v>46217</v>
      </c>
      <c r="C17" s="14"/>
      <c r="D17" s="14"/>
      <c r="E17" s="83"/>
      <c r="F17" s="83"/>
      <c r="G17" s="14">
        <f t="shared" si="4"/>
        <v>0</v>
      </c>
      <c r="H17" s="83"/>
      <c r="I17" s="83"/>
      <c r="J17" s="14">
        <f t="shared" si="5"/>
        <v>0</v>
      </c>
      <c r="K17" s="323">
        <f t="shared" si="6"/>
        <v>0</v>
      </c>
      <c r="L17" s="323">
        <f t="shared" si="2"/>
        <v>0</v>
      </c>
      <c r="M17" s="14">
        <f t="shared" si="3"/>
        <v>0</v>
      </c>
      <c r="N17" s="41"/>
    </row>
    <row r="18" spans="1:14">
      <c r="A18" s="23">
        <v>15</v>
      </c>
      <c r="B18" s="24">
        <v>46218</v>
      </c>
      <c r="C18" s="14"/>
      <c r="D18" s="14"/>
      <c r="E18" s="83"/>
      <c r="F18" s="83"/>
      <c r="G18" s="14">
        <f t="shared" si="4"/>
        <v>0</v>
      </c>
      <c r="H18" s="83"/>
      <c r="I18" s="83"/>
      <c r="J18" s="14">
        <f t="shared" si="5"/>
        <v>0</v>
      </c>
      <c r="K18" s="323">
        <f t="shared" si="6"/>
        <v>0</v>
      </c>
      <c r="L18" s="323">
        <f t="shared" si="2"/>
        <v>0</v>
      </c>
      <c r="M18" s="14">
        <f t="shared" si="3"/>
        <v>0</v>
      </c>
      <c r="N18" s="41"/>
    </row>
    <row r="19" spans="1:14">
      <c r="A19" s="23">
        <v>16</v>
      </c>
      <c r="B19" s="24">
        <v>46219</v>
      </c>
      <c r="C19" s="14"/>
      <c r="D19" s="14"/>
      <c r="E19" s="83">
        <v>116</v>
      </c>
      <c r="F19" s="83">
        <v>99.87</v>
      </c>
      <c r="G19" s="14">
        <f t="shared" si="4"/>
        <v>11584.92</v>
      </c>
      <c r="H19" s="83">
        <v>30</v>
      </c>
      <c r="I19" s="83">
        <v>112.06</v>
      </c>
      <c r="J19" s="14">
        <f t="shared" si="5"/>
        <v>3361.8</v>
      </c>
      <c r="K19" s="323">
        <f t="shared" si="6"/>
        <v>14946.720000000001</v>
      </c>
      <c r="L19" s="323">
        <f t="shared" si="2"/>
        <v>14946.720000000001</v>
      </c>
      <c r="M19" s="14">
        <f t="shared" si="3"/>
        <v>0</v>
      </c>
      <c r="N19" s="41"/>
    </row>
    <row r="20" spans="1:14">
      <c r="A20" s="23">
        <v>17</v>
      </c>
      <c r="B20" s="24">
        <v>46220</v>
      </c>
      <c r="C20" s="14"/>
      <c r="D20" s="14"/>
      <c r="E20" s="83"/>
      <c r="F20" s="83"/>
      <c r="G20" s="14">
        <f t="shared" si="4"/>
        <v>0</v>
      </c>
      <c r="H20" s="83"/>
      <c r="I20" s="83"/>
      <c r="J20" s="14">
        <f t="shared" si="5"/>
        <v>0</v>
      </c>
      <c r="K20" s="323">
        <f t="shared" si="6"/>
        <v>0</v>
      </c>
      <c r="L20" s="323">
        <f t="shared" si="2"/>
        <v>0</v>
      </c>
      <c r="M20" s="14">
        <f t="shared" si="3"/>
        <v>0</v>
      </c>
      <c r="N20" s="41"/>
    </row>
    <row r="21" spans="1:14">
      <c r="A21" s="23">
        <v>18</v>
      </c>
      <c r="B21" s="24">
        <v>46221</v>
      </c>
      <c r="C21" s="14"/>
      <c r="D21" s="14"/>
      <c r="E21" s="83"/>
      <c r="F21" s="83"/>
      <c r="G21" s="14">
        <f t="shared" si="4"/>
        <v>0</v>
      </c>
      <c r="H21" s="83"/>
      <c r="I21" s="83"/>
      <c r="J21" s="14">
        <f t="shared" si="5"/>
        <v>0</v>
      </c>
      <c r="K21" s="323">
        <f t="shared" si="6"/>
        <v>0</v>
      </c>
      <c r="L21" s="323">
        <f t="shared" si="2"/>
        <v>0</v>
      </c>
      <c r="M21" s="14">
        <f t="shared" si="3"/>
        <v>0</v>
      </c>
      <c r="N21" s="41"/>
    </row>
    <row r="22" spans="1:14">
      <c r="A22" s="23">
        <v>19</v>
      </c>
      <c r="B22" s="24">
        <v>46222</v>
      </c>
      <c r="C22" s="14"/>
      <c r="D22" s="14"/>
      <c r="E22" s="83"/>
      <c r="F22" s="83"/>
      <c r="G22" s="14">
        <f t="shared" si="4"/>
        <v>0</v>
      </c>
      <c r="H22" s="83"/>
      <c r="I22" s="83"/>
      <c r="J22" s="14">
        <f t="shared" si="5"/>
        <v>0</v>
      </c>
      <c r="K22" s="323">
        <f t="shared" si="6"/>
        <v>0</v>
      </c>
      <c r="L22" s="323">
        <f t="shared" si="2"/>
        <v>0</v>
      </c>
      <c r="M22" s="14">
        <f t="shared" si="3"/>
        <v>0</v>
      </c>
      <c r="N22" s="41"/>
    </row>
    <row r="23" spans="1:14">
      <c r="A23" s="23">
        <v>20</v>
      </c>
      <c r="B23" s="24">
        <v>46223</v>
      </c>
      <c r="C23" s="14"/>
      <c r="D23" s="14"/>
      <c r="E23" s="83"/>
      <c r="F23" s="83"/>
      <c r="G23" s="14">
        <f t="shared" si="4"/>
        <v>0</v>
      </c>
      <c r="H23" s="83"/>
      <c r="I23" s="83"/>
      <c r="J23" s="14">
        <f t="shared" si="5"/>
        <v>0</v>
      </c>
      <c r="K23" s="323">
        <f t="shared" si="6"/>
        <v>0</v>
      </c>
      <c r="L23" s="323">
        <f t="shared" si="2"/>
        <v>0</v>
      </c>
      <c r="M23" s="14">
        <f t="shared" si="3"/>
        <v>0</v>
      </c>
      <c r="N23" s="41"/>
    </row>
    <row r="24" spans="1:14">
      <c r="A24" s="23">
        <v>21</v>
      </c>
      <c r="B24" s="24">
        <v>46224</v>
      </c>
      <c r="C24" s="14"/>
      <c r="D24" s="14"/>
      <c r="E24" s="83"/>
      <c r="F24" s="83"/>
      <c r="G24" s="14">
        <f t="shared" si="4"/>
        <v>0</v>
      </c>
      <c r="H24" s="83"/>
      <c r="I24" s="83"/>
      <c r="J24" s="14">
        <f t="shared" si="5"/>
        <v>0</v>
      </c>
      <c r="K24" s="323">
        <f t="shared" si="6"/>
        <v>0</v>
      </c>
      <c r="L24" s="323">
        <f t="shared" si="2"/>
        <v>0</v>
      </c>
      <c r="M24" s="14">
        <f t="shared" si="3"/>
        <v>0</v>
      </c>
      <c r="N24" s="41"/>
    </row>
    <row r="25" spans="1:14">
      <c r="A25" s="23">
        <v>22</v>
      </c>
      <c r="B25" s="24">
        <v>46225</v>
      </c>
      <c r="C25" s="14"/>
      <c r="D25" s="14"/>
      <c r="E25" s="83">
        <v>130.16999999999999</v>
      </c>
      <c r="F25" s="83">
        <v>99.87</v>
      </c>
      <c r="G25" s="14">
        <f t="shared" si="4"/>
        <v>13000.0779</v>
      </c>
      <c r="H25" s="83"/>
      <c r="I25" s="83"/>
      <c r="J25" s="14">
        <f t="shared" si="5"/>
        <v>0</v>
      </c>
      <c r="K25" s="323">
        <f t="shared" si="6"/>
        <v>13000.0779</v>
      </c>
      <c r="L25" s="323">
        <f t="shared" si="2"/>
        <v>13000.0779</v>
      </c>
      <c r="M25" s="14">
        <f t="shared" si="3"/>
        <v>0</v>
      </c>
      <c r="N25" s="41"/>
    </row>
    <row r="26" spans="1:14">
      <c r="A26" s="23">
        <v>23</v>
      </c>
      <c r="B26" s="24">
        <v>46226</v>
      </c>
      <c r="C26" s="14"/>
      <c r="D26" s="14"/>
      <c r="E26" s="83"/>
      <c r="F26" s="83"/>
      <c r="G26" s="14">
        <f t="shared" si="4"/>
        <v>0</v>
      </c>
      <c r="H26" s="83"/>
      <c r="I26" s="83"/>
      <c r="J26" s="14">
        <f t="shared" si="5"/>
        <v>0</v>
      </c>
      <c r="K26" s="323">
        <f t="shared" si="6"/>
        <v>0</v>
      </c>
      <c r="L26" s="323">
        <f t="shared" si="2"/>
        <v>0</v>
      </c>
      <c r="M26" s="14">
        <f t="shared" si="3"/>
        <v>0</v>
      </c>
      <c r="N26" s="41"/>
    </row>
    <row r="27" spans="1:14">
      <c r="A27" s="23">
        <v>24</v>
      </c>
      <c r="B27" s="24">
        <v>46227</v>
      </c>
      <c r="C27" s="14"/>
      <c r="D27" s="14"/>
      <c r="E27" s="83">
        <v>200</v>
      </c>
      <c r="F27" s="83">
        <v>99.87</v>
      </c>
      <c r="G27" s="14">
        <f t="shared" si="4"/>
        <v>19974</v>
      </c>
      <c r="H27" s="83"/>
      <c r="I27" s="83"/>
      <c r="J27" s="14">
        <f t="shared" si="5"/>
        <v>0</v>
      </c>
      <c r="K27" s="323">
        <f t="shared" si="6"/>
        <v>19974</v>
      </c>
      <c r="L27" s="323">
        <f t="shared" si="2"/>
        <v>19974</v>
      </c>
      <c r="M27" s="14">
        <f t="shared" si="3"/>
        <v>0</v>
      </c>
      <c r="N27" s="41"/>
    </row>
    <row r="28" spans="1:14">
      <c r="A28" s="23">
        <v>25</v>
      </c>
      <c r="B28" s="24">
        <v>46228</v>
      </c>
      <c r="C28" s="14"/>
      <c r="D28" s="14"/>
      <c r="E28" s="83"/>
      <c r="F28" s="83"/>
      <c r="G28" s="14">
        <f t="shared" si="4"/>
        <v>0</v>
      </c>
      <c r="H28" s="83"/>
      <c r="I28" s="83"/>
      <c r="J28" s="14">
        <f t="shared" si="5"/>
        <v>0</v>
      </c>
      <c r="K28" s="323">
        <f>G28+J28</f>
        <v>0</v>
      </c>
      <c r="L28" s="323">
        <f t="shared" si="2"/>
        <v>0</v>
      </c>
      <c r="M28" s="14">
        <v>0</v>
      </c>
      <c r="N28" s="41"/>
    </row>
    <row r="29" spans="1:14">
      <c r="A29" s="23">
        <v>26</v>
      </c>
      <c r="B29" s="24">
        <v>46229</v>
      </c>
      <c r="C29" s="14"/>
      <c r="D29" s="14"/>
      <c r="E29" s="83"/>
      <c r="F29" s="83"/>
      <c r="G29" s="14">
        <f t="shared" si="4"/>
        <v>0</v>
      </c>
      <c r="H29" s="83"/>
      <c r="I29" s="83"/>
      <c r="J29" s="14">
        <f t="shared" si="5"/>
        <v>0</v>
      </c>
      <c r="K29" s="323">
        <f t="shared" si="6"/>
        <v>0</v>
      </c>
      <c r="L29" s="323">
        <f t="shared" si="2"/>
        <v>0</v>
      </c>
      <c r="M29" s="14">
        <v>0</v>
      </c>
      <c r="N29" s="41"/>
    </row>
    <row r="30" spans="1:14">
      <c r="A30" s="23">
        <v>27</v>
      </c>
      <c r="B30" s="24">
        <v>46230</v>
      </c>
      <c r="C30" s="14"/>
      <c r="D30" s="14"/>
      <c r="E30" s="83"/>
      <c r="F30" s="83"/>
      <c r="G30" s="14">
        <f t="shared" si="4"/>
        <v>0</v>
      </c>
      <c r="H30" s="83"/>
      <c r="I30" s="83"/>
      <c r="J30" s="14">
        <f t="shared" si="5"/>
        <v>0</v>
      </c>
      <c r="K30" s="323">
        <f t="shared" si="6"/>
        <v>0</v>
      </c>
      <c r="L30" s="323">
        <f t="shared" si="2"/>
        <v>0</v>
      </c>
      <c r="M30" s="14">
        <v>0</v>
      </c>
      <c r="N30" s="41"/>
    </row>
    <row r="31" spans="1:14">
      <c r="A31" s="23">
        <v>28</v>
      </c>
      <c r="B31" s="24">
        <v>46231</v>
      </c>
      <c r="C31" s="14"/>
      <c r="D31" s="14"/>
      <c r="E31" s="83">
        <v>100</v>
      </c>
      <c r="F31" s="83">
        <v>99.9</v>
      </c>
      <c r="G31" s="14">
        <f t="shared" si="4"/>
        <v>9990</v>
      </c>
      <c r="H31" s="83"/>
      <c r="I31" s="83"/>
      <c r="J31" s="14">
        <f t="shared" si="5"/>
        <v>0</v>
      </c>
      <c r="K31" s="323">
        <f t="shared" si="6"/>
        <v>9990</v>
      </c>
      <c r="L31" s="323">
        <f t="shared" si="2"/>
        <v>9990</v>
      </c>
      <c r="M31" s="14">
        <v>0</v>
      </c>
      <c r="N31" s="41"/>
    </row>
    <row r="32" spans="1:14">
      <c r="A32" s="23">
        <v>29</v>
      </c>
      <c r="B32" s="24">
        <v>46232</v>
      </c>
      <c r="C32" s="14"/>
      <c r="D32" s="14"/>
      <c r="E32" s="83"/>
      <c r="F32" s="83"/>
      <c r="G32" s="14">
        <f t="shared" si="4"/>
        <v>0</v>
      </c>
      <c r="H32" s="83"/>
      <c r="I32" s="83"/>
      <c r="J32" s="14">
        <f t="shared" si="5"/>
        <v>0</v>
      </c>
      <c r="K32" s="323">
        <f t="shared" si="6"/>
        <v>0</v>
      </c>
      <c r="L32" s="323">
        <f t="shared" si="2"/>
        <v>0</v>
      </c>
      <c r="M32" s="14"/>
      <c r="N32" s="41"/>
    </row>
    <row r="33" spans="1:14">
      <c r="A33" s="23">
        <v>30</v>
      </c>
      <c r="B33" s="24">
        <v>46233</v>
      </c>
      <c r="C33" s="14"/>
      <c r="D33" s="14"/>
      <c r="E33" s="83"/>
      <c r="F33" s="83"/>
      <c r="G33" s="14">
        <f t="shared" si="4"/>
        <v>0</v>
      </c>
      <c r="H33" s="83"/>
      <c r="I33" s="83"/>
      <c r="J33" s="14">
        <f t="shared" si="5"/>
        <v>0</v>
      </c>
      <c r="K33" s="323">
        <f t="shared" si="6"/>
        <v>0</v>
      </c>
      <c r="L33" s="323">
        <f t="shared" si="2"/>
        <v>0</v>
      </c>
      <c r="M33" s="14"/>
      <c r="N33" s="41"/>
    </row>
    <row r="34" spans="1:14">
      <c r="A34" s="23">
        <v>31</v>
      </c>
      <c r="B34" s="24">
        <v>46234</v>
      </c>
      <c r="C34" s="14"/>
      <c r="D34" s="14"/>
      <c r="E34" s="83">
        <v>116</v>
      </c>
      <c r="F34" s="83">
        <v>99.87</v>
      </c>
      <c r="G34" s="526">
        <v>11584.92</v>
      </c>
      <c r="H34" s="83">
        <v>30</v>
      </c>
      <c r="I34" s="83">
        <v>112.06</v>
      </c>
      <c r="J34" s="526">
        <v>3361.8</v>
      </c>
      <c r="K34" s="323">
        <f t="shared" si="6"/>
        <v>14946.720000000001</v>
      </c>
      <c r="L34" s="323">
        <f t="shared" si="2"/>
        <v>14946.720000000001</v>
      </c>
      <c r="M34" s="14"/>
      <c r="N34" s="41"/>
    </row>
    <row r="35" spans="1:14">
      <c r="A35" s="39"/>
      <c r="B35" s="39"/>
      <c r="C35" s="39"/>
      <c r="D35" s="39"/>
      <c r="E35" s="39">
        <f>SUM(E4:E34)</f>
        <v>1332.17</v>
      </c>
      <c r="F35" s="39"/>
      <c r="G35" s="39">
        <f>SUM(G4:G34)</f>
        <v>133046.81789999999</v>
      </c>
      <c r="H35" s="39">
        <f>SUM(H4:H34)</f>
        <v>89.99</v>
      </c>
      <c r="I35" s="39"/>
      <c r="J35" s="39">
        <f>SUM(J4:J34)</f>
        <v>10084.279399999999</v>
      </c>
      <c r="K35" s="39">
        <f>SUM(K4:K34)</f>
        <v>143131.09730000002</v>
      </c>
      <c r="L35" s="39">
        <f>SUM(L4:L34)</f>
        <v>143131.09730000002</v>
      </c>
      <c r="M35" s="39"/>
      <c r="N35" s="39"/>
    </row>
  </sheetData>
  <mergeCells count="2">
    <mergeCell ref="A1:N1"/>
    <mergeCell ref="A3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T37"/>
  <sheetViews>
    <sheetView topLeftCell="A15" workbookViewId="0">
      <selection activeCell="M34" sqref="M34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9.28515625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20" ht="15.75" customHeight="1">
      <c r="A1" s="568" t="s">
        <v>110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</row>
    <row r="2" spans="1:20">
      <c r="A2" s="120" t="s">
        <v>0</v>
      </c>
      <c r="B2" s="120" t="s">
        <v>163</v>
      </c>
      <c r="C2" s="120" t="s">
        <v>164</v>
      </c>
      <c r="D2" s="120" t="s">
        <v>165</v>
      </c>
      <c r="E2" s="168" t="s">
        <v>166</v>
      </c>
      <c r="F2" s="168" t="s">
        <v>167</v>
      </c>
      <c r="G2" s="168" t="s">
        <v>168</v>
      </c>
      <c r="H2" s="168" t="s">
        <v>169</v>
      </c>
      <c r="I2" s="168" t="s">
        <v>167</v>
      </c>
      <c r="J2" s="168" t="s">
        <v>168</v>
      </c>
      <c r="K2" s="168" t="s">
        <v>170</v>
      </c>
      <c r="L2" s="120" t="s">
        <v>257</v>
      </c>
      <c r="M2" s="123" t="s">
        <v>171</v>
      </c>
      <c r="N2" s="120" t="s">
        <v>173</v>
      </c>
    </row>
    <row r="3" spans="1:20">
      <c r="A3" s="14"/>
      <c r="B3" s="14"/>
      <c r="C3" s="14"/>
      <c r="D3" s="14" t="s">
        <v>174</v>
      </c>
      <c r="E3" s="14"/>
      <c r="F3" s="14"/>
      <c r="G3" s="14"/>
      <c r="H3" s="14"/>
      <c r="I3" s="14"/>
      <c r="J3" s="14"/>
      <c r="K3" s="172">
        <v>105067.74809999995</v>
      </c>
      <c r="L3" s="14"/>
      <c r="M3" s="172">
        <v>105067.74809999995</v>
      </c>
      <c r="N3" s="14"/>
    </row>
    <row r="4" spans="1:20">
      <c r="A4" s="23">
        <v>1</v>
      </c>
      <c r="B4" s="24">
        <v>46204</v>
      </c>
      <c r="C4" s="133"/>
      <c r="D4" s="133"/>
      <c r="E4" s="90">
        <v>47.18</v>
      </c>
      <c r="F4" s="90">
        <v>98.69</v>
      </c>
      <c r="G4" s="172">
        <f>E4*F4</f>
        <v>4656.1941999999999</v>
      </c>
      <c r="H4" s="90"/>
      <c r="I4" s="90"/>
      <c r="J4" s="172">
        <f>H4*I4</f>
        <v>0</v>
      </c>
      <c r="K4" s="172">
        <f>G4+J4</f>
        <v>4656.1941999999999</v>
      </c>
      <c r="L4" s="172"/>
      <c r="M4" s="172">
        <f>M3+K4-L4</f>
        <v>109723.94229999995</v>
      </c>
      <c r="N4" s="133"/>
    </row>
    <row r="5" spans="1:20">
      <c r="A5" s="23">
        <v>2</v>
      </c>
      <c r="B5" s="24">
        <v>46205</v>
      </c>
      <c r="C5" s="14"/>
      <c r="D5" s="133"/>
      <c r="E5" s="90">
        <v>5</v>
      </c>
      <c r="F5" s="90">
        <v>98.69</v>
      </c>
      <c r="G5" s="172">
        <f t="shared" ref="G5:G28" si="0">E5*F5</f>
        <v>493.45</v>
      </c>
      <c r="H5" s="90">
        <v>5</v>
      </c>
      <c r="I5" s="90">
        <v>111.98</v>
      </c>
      <c r="J5" s="172">
        <f>H5*I5</f>
        <v>559.9</v>
      </c>
      <c r="K5" s="172">
        <f t="shared" ref="K5:K13" si="1">G5+J5</f>
        <v>1053.3499999999999</v>
      </c>
      <c r="L5" s="172"/>
      <c r="M5" s="172">
        <f t="shared" ref="M5:M34" si="2">M4+K5-L5</f>
        <v>110777.29229999996</v>
      </c>
      <c r="N5" s="14"/>
      <c r="S5">
        <v>90.88</v>
      </c>
      <c r="T5">
        <v>102.77</v>
      </c>
    </row>
    <row r="6" spans="1:20">
      <c r="A6" s="23">
        <v>3</v>
      </c>
      <c r="B6" s="24">
        <v>46206</v>
      </c>
      <c r="C6" s="14"/>
      <c r="D6" s="133"/>
      <c r="E6" s="90"/>
      <c r="F6" s="90"/>
      <c r="G6" s="172">
        <f t="shared" si="0"/>
        <v>0</v>
      </c>
      <c r="H6" s="90"/>
      <c r="I6" s="90"/>
      <c r="J6" s="172">
        <f t="shared" ref="J6:J8" si="3">H6*I6</f>
        <v>0</v>
      </c>
      <c r="K6" s="172">
        <f t="shared" si="1"/>
        <v>0</v>
      </c>
      <c r="L6" s="172"/>
      <c r="M6" s="172">
        <f t="shared" si="2"/>
        <v>110777.29229999996</v>
      </c>
      <c r="N6" s="14"/>
    </row>
    <row r="7" spans="1:20">
      <c r="A7" s="23">
        <v>4</v>
      </c>
      <c r="B7" s="24">
        <v>46207</v>
      </c>
      <c r="C7" s="14"/>
      <c r="D7" s="133"/>
      <c r="E7" s="90">
        <v>31.6</v>
      </c>
      <c r="F7" s="90">
        <v>98.69</v>
      </c>
      <c r="G7" s="172">
        <f t="shared" si="0"/>
        <v>3118.6040000000003</v>
      </c>
      <c r="H7" s="90">
        <v>5</v>
      </c>
      <c r="I7" s="90">
        <v>111.98</v>
      </c>
      <c r="J7" s="172">
        <f t="shared" si="3"/>
        <v>559.9</v>
      </c>
      <c r="K7" s="172">
        <f t="shared" si="1"/>
        <v>3678.5040000000004</v>
      </c>
      <c r="L7" s="172"/>
      <c r="M7" s="172">
        <f t="shared" si="2"/>
        <v>114455.79629999996</v>
      </c>
      <c r="N7" s="14"/>
    </row>
    <row r="8" spans="1:20">
      <c r="A8" s="23">
        <v>5</v>
      </c>
      <c r="B8" s="24">
        <v>46208</v>
      </c>
      <c r="C8" s="14"/>
      <c r="D8" s="133"/>
      <c r="E8" s="90">
        <v>199.31</v>
      </c>
      <c r="F8" s="90">
        <v>98.69</v>
      </c>
      <c r="G8" s="172">
        <f t="shared" si="0"/>
        <v>19669.903900000001</v>
      </c>
      <c r="H8" s="90"/>
      <c r="I8" s="90"/>
      <c r="J8" s="172">
        <f t="shared" si="3"/>
        <v>0</v>
      </c>
      <c r="K8" s="172">
        <f t="shared" si="1"/>
        <v>19669.903900000001</v>
      </c>
      <c r="L8" s="172"/>
      <c r="M8" s="172">
        <f t="shared" si="2"/>
        <v>134125.70019999996</v>
      </c>
      <c r="N8" s="14"/>
    </row>
    <row r="9" spans="1:20">
      <c r="A9" s="23">
        <v>6</v>
      </c>
      <c r="B9" s="24">
        <v>46209</v>
      </c>
      <c r="C9" s="14"/>
      <c r="D9" s="133"/>
      <c r="E9" s="90">
        <v>50</v>
      </c>
      <c r="F9" s="90">
        <v>98.69</v>
      </c>
      <c r="G9" s="172">
        <f t="shared" si="0"/>
        <v>4934.5</v>
      </c>
      <c r="H9" s="90">
        <v>10</v>
      </c>
      <c r="I9" s="90">
        <v>110.74</v>
      </c>
      <c r="J9" s="172">
        <f>H9*I9</f>
        <v>1107.3999999999999</v>
      </c>
      <c r="K9" s="172">
        <f t="shared" si="1"/>
        <v>6041.9</v>
      </c>
      <c r="L9" s="172"/>
      <c r="M9" s="172">
        <f t="shared" si="2"/>
        <v>140167.60019999996</v>
      </c>
      <c r="N9" s="14"/>
    </row>
    <row r="10" spans="1:20">
      <c r="A10" s="23">
        <v>7</v>
      </c>
      <c r="B10" s="24">
        <v>46210</v>
      </c>
      <c r="C10" s="14"/>
      <c r="D10" s="133"/>
      <c r="E10" s="90">
        <v>48.32</v>
      </c>
      <c r="F10" s="90">
        <v>98.69</v>
      </c>
      <c r="G10" s="172">
        <f t="shared" si="0"/>
        <v>4768.7007999999996</v>
      </c>
      <c r="H10" s="90">
        <v>5</v>
      </c>
      <c r="I10" s="90">
        <v>110.74</v>
      </c>
      <c r="J10" s="172">
        <f t="shared" ref="J10:J16" si="4">H10*I10</f>
        <v>553.69999999999993</v>
      </c>
      <c r="K10" s="172">
        <f t="shared" si="1"/>
        <v>5322.4007999999994</v>
      </c>
      <c r="L10" s="172"/>
      <c r="M10" s="172">
        <f t="shared" si="2"/>
        <v>145490.00099999996</v>
      </c>
      <c r="N10" s="14"/>
    </row>
    <row r="11" spans="1:20">
      <c r="A11" s="23">
        <v>8</v>
      </c>
      <c r="B11" s="24">
        <v>46211</v>
      </c>
      <c r="C11" s="14"/>
      <c r="D11" s="133"/>
      <c r="E11" s="90">
        <v>70</v>
      </c>
      <c r="F11" s="90">
        <v>98.69</v>
      </c>
      <c r="G11" s="172">
        <f t="shared" si="0"/>
        <v>6908.3</v>
      </c>
      <c r="H11" s="90"/>
      <c r="I11" s="90"/>
      <c r="J11" s="172">
        <f t="shared" si="4"/>
        <v>0</v>
      </c>
      <c r="K11" s="172">
        <f t="shared" si="1"/>
        <v>6908.3</v>
      </c>
      <c r="L11" s="172"/>
      <c r="M11" s="172">
        <f t="shared" si="2"/>
        <v>152398.30099999995</v>
      </c>
      <c r="N11" s="14"/>
    </row>
    <row r="12" spans="1:20">
      <c r="A12" s="23">
        <v>9</v>
      </c>
      <c r="B12" s="24">
        <v>46212</v>
      </c>
      <c r="C12" s="14"/>
      <c r="D12" s="133"/>
      <c r="E12" s="90"/>
      <c r="F12" s="90"/>
      <c r="G12" s="172">
        <f t="shared" si="0"/>
        <v>0</v>
      </c>
      <c r="H12" s="90">
        <v>5</v>
      </c>
      <c r="I12" s="90">
        <v>110.74</v>
      </c>
      <c r="J12" s="172">
        <f t="shared" si="4"/>
        <v>553.69999999999993</v>
      </c>
      <c r="K12" s="172">
        <f t="shared" si="1"/>
        <v>553.69999999999993</v>
      </c>
      <c r="L12" s="172"/>
      <c r="M12" s="172">
        <f t="shared" si="2"/>
        <v>152952.00099999996</v>
      </c>
      <c r="N12" s="14"/>
    </row>
    <row r="13" spans="1:20">
      <c r="A13" s="23">
        <v>10</v>
      </c>
      <c r="B13" s="24">
        <v>46213</v>
      </c>
      <c r="C13" s="14"/>
      <c r="D13" s="133"/>
      <c r="E13" s="90">
        <v>19.510000000000002</v>
      </c>
      <c r="F13" s="90">
        <v>98.69</v>
      </c>
      <c r="G13" s="172">
        <f t="shared" si="0"/>
        <v>1925.4419</v>
      </c>
      <c r="H13" s="90">
        <v>10</v>
      </c>
      <c r="I13" s="90">
        <v>110.74</v>
      </c>
      <c r="J13" s="172">
        <f t="shared" si="4"/>
        <v>1107.3999999999999</v>
      </c>
      <c r="K13" s="172">
        <f t="shared" si="1"/>
        <v>3032.8418999999999</v>
      </c>
      <c r="L13" s="172"/>
      <c r="M13" s="172">
        <f>M12+K13-L13</f>
        <v>155984.84289999996</v>
      </c>
      <c r="N13" s="14"/>
    </row>
    <row r="14" spans="1:20">
      <c r="A14" s="23">
        <v>11</v>
      </c>
      <c r="B14" s="24">
        <v>46214</v>
      </c>
      <c r="C14" s="14"/>
      <c r="D14" s="133"/>
      <c r="E14" s="90"/>
      <c r="F14" s="90"/>
      <c r="G14" s="172">
        <f t="shared" ref="G14:G20" si="5">E14*F14</f>
        <v>0</v>
      </c>
      <c r="H14" s="90"/>
      <c r="I14" s="90"/>
      <c r="J14" s="172">
        <f t="shared" ref="J14:J20" si="6">H14*I14</f>
        <v>0</v>
      </c>
      <c r="K14" s="172">
        <f t="shared" ref="K14:K20" si="7">G14+J14</f>
        <v>0</v>
      </c>
      <c r="L14" s="172"/>
      <c r="M14" s="172">
        <f t="shared" si="2"/>
        <v>155984.84289999996</v>
      </c>
      <c r="N14" s="14"/>
    </row>
    <row r="15" spans="1:20">
      <c r="A15" s="23">
        <v>12</v>
      </c>
      <c r="B15" s="24">
        <v>46215</v>
      </c>
      <c r="C15" s="14"/>
      <c r="D15" s="133"/>
      <c r="E15" s="90"/>
      <c r="F15" s="90"/>
      <c r="G15" s="172">
        <f t="shared" si="5"/>
        <v>0</v>
      </c>
      <c r="H15" s="90"/>
      <c r="I15" s="90"/>
      <c r="J15" s="172">
        <f t="shared" si="6"/>
        <v>0</v>
      </c>
      <c r="K15" s="172">
        <f t="shared" si="7"/>
        <v>0</v>
      </c>
      <c r="L15" s="172"/>
      <c r="M15" s="172">
        <f t="shared" si="2"/>
        <v>155984.84289999996</v>
      </c>
      <c r="N15" s="14"/>
    </row>
    <row r="16" spans="1:20">
      <c r="A16" s="23">
        <v>13</v>
      </c>
      <c r="B16" s="24">
        <v>46216</v>
      </c>
      <c r="C16" s="14"/>
      <c r="D16" s="133"/>
      <c r="E16" s="90"/>
      <c r="F16" s="90"/>
      <c r="G16" s="172">
        <f t="shared" si="5"/>
        <v>0</v>
      </c>
      <c r="H16" s="90"/>
      <c r="I16" s="90"/>
      <c r="J16" s="172">
        <f t="shared" si="6"/>
        <v>0</v>
      </c>
      <c r="K16" s="172">
        <f t="shared" si="7"/>
        <v>0</v>
      </c>
      <c r="L16" s="172"/>
      <c r="M16" s="172">
        <f t="shared" si="2"/>
        <v>155984.84289999996</v>
      </c>
      <c r="N16" s="14"/>
    </row>
    <row r="17" spans="1:14">
      <c r="A17" s="23">
        <v>14</v>
      </c>
      <c r="B17" s="24">
        <v>46217</v>
      </c>
      <c r="C17" s="14"/>
      <c r="D17" s="133"/>
      <c r="E17" s="90">
        <v>30</v>
      </c>
      <c r="F17" s="90">
        <v>98.69</v>
      </c>
      <c r="G17" s="172">
        <f t="shared" si="5"/>
        <v>2960.7</v>
      </c>
      <c r="H17" s="90"/>
      <c r="I17" s="90"/>
      <c r="J17" s="172">
        <f t="shared" si="6"/>
        <v>0</v>
      </c>
      <c r="K17" s="172">
        <f t="shared" si="7"/>
        <v>2960.7</v>
      </c>
      <c r="L17" s="172"/>
      <c r="M17" s="172">
        <f t="shared" si="2"/>
        <v>158945.54289999997</v>
      </c>
      <c r="N17" s="14"/>
    </row>
    <row r="18" spans="1:14">
      <c r="A18" s="23">
        <v>15</v>
      </c>
      <c r="B18" s="24">
        <v>46218</v>
      </c>
      <c r="C18" s="14"/>
      <c r="D18" s="133"/>
      <c r="E18" s="90"/>
      <c r="F18" s="90"/>
      <c r="G18" s="172">
        <f t="shared" si="5"/>
        <v>0</v>
      </c>
      <c r="H18" s="90"/>
      <c r="I18" s="90"/>
      <c r="J18" s="172">
        <f t="shared" si="6"/>
        <v>0</v>
      </c>
      <c r="K18" s="172">
        <f t="shared" si="7"/>
        <v>0</v>
      </c>
      <c r="L18" s="172">
        <v>100000</v>
      </c>
      <c r="M18" s="172">
        <f>M17+K18-L18</f>
        <v>58945.542899999971</v>
      </c>
      <c r="N18" s="14"/>
    </row>
    <row r="19" spans="1:14">
      <c r="A19" s="23">
        <v>16</v>
      </c>
      <c r="B19" s="24">
        <v>46219</v>
      </c>
      <c r="C19" s="14"/>
      <c r="D19" s="133"/>
      <c r="E19" s="90">
        <v>50</v>
      </c>
      <c r="F19" s="90">
        <v>98.69</v>
      </c>
      <c r="G19" s="172">
        <f t="shared" si="5"/>
        <v>4934.5</v>
      </c>
      <c r="H19" s="90"/>
      <c r="I19" s="90"/>
      <c r="J19" s="172">
        <f t="shared" si="6"/>
        <v>0</v>
      </c>
      <c r="K19" s="172">
        <f t="shared" si="7"/>
        <v>4934.5</v>
      </c>
      <c r="L19" s="172"/>
      <c r="M19" s="172">
        <f t="shared" si="2"/>
        <v>63880.042899999971</v>
      </c>
      <c r="N19" s="14"/>
    </row>
    <row r="20" spans="1:14">
      <c r="A20" s="23">
        <v>17</v>
      </c>
      <c r="B20" s="24">
        <v>46220</v>
      </c>
      <c r="C20" s="14"/>
      <c r="D20" s="133"/>
      <c r="E20" s="90">
        <v>5</v>
      </c>
      <c r="F20" s="90">
        <v>98.69</v>
      </c>
      <c r="G20" s="172">
        <f t="shared" si="5"/>
        <v>493.45</v>
      </c>
      <c r="H20" s="90">
        <v>10</v>
      </c>
      <c r="I20" s="90">
        <v>110.74</v>
      </c>
      <c r="J20" s="172">
        <f t="shared" si="6"/>
        <v>1107.3999999999999</v>
      </c>
      <c r="K20" s="172">
        <f t="shared" si="7"/>
        <v>1600.85</v>
      </c>
      <c r="L20" s="172"/>
      <c r="M20" s="172">
        <f t="shared" si="2"/>
        <v>65480.89289999997</v>
      </c>
      <c r="N20" s="14"/>
    </row>
    <row r="21" spans="1:14">
      <c r="A21" s="23">
        <v>18</v>
      </c>
      <c r="B21" s="24">
        <v>46221</v>
      </c>
      <c r="C21" s="14"/>
      <c r="D21" s="133"/>
      <c r="E21" s="90"/>
      <c r="F21" s="90"/>
      <c r="G21" s="172">
        <f t="shared" si="0"/>
        <v>0</v>
      </c>
      <c r="H21" s="90"/>
      <c r="I21" s="90"/>
      <c r="J21" s="172">
        <f>H21*I21</f>
        <v>0</v>
      </c>
      <c r="K21" s="172">
        <f t="shared" ref="K21:K34" si="8">G21+J21</f>
        <v>0</v>
      </c>
      <c r="L21" s="172"/>
      <c r="M21" s="172">
        <f>M20+K21-L21</f>
        <v>65480.89289999997</v>
      </c>
      <c r="N21" s="14"/>
    </row>
    <row r="22" spans="1:14">
      <c r="A22" s="23">
        <v>19</v>
      </c>
      <c r="B22" s="24">
        <v>46222</v>
      </c>
      <c r="C22" s="14"/>
      <c r="D22" s="133"/>
      <c r="E22" s="90"/>
      <c r="F22" s="90"/>
      <c r="G22" s="172">
        <f t="shared" si="0"/>
        <v>0</v>
      </c>
      <c r="H22" s="90"/>
      <c r="I22" s="90"/>
      <c r="J22" s="172">
        <f>H22*I22</f>
        <v>0</v>
      </c>
      <c r="K22" s="172">
        <f t="shared" si="8"/>
        <v>0</v>
      </c>
      <c r="L22" s="172"/>
      <c r="M22" s="172">
        <f t="shared" si="2"/>
        <v>65480.89289999997</v>
      </c>
      <c r="N22" s="14"/>
    </row>
    <row r="23" spans="1:14">
      <c r="A23" s="23">
        <v>20</v>
      </c>
      <c r="B23" s="24">
        <v>46223</v>
      </c>
      <c r="C23" s="14"/>
      <c r="D23" s="133"/>
      <c r="E23" s="90">
        <v>44.21</v>
      </c>
      <c r="F23" s="90">
        <v>98.69</v>
      </c>
      <c r="G23" s="172">
        <f t="shared" si="0"/>
        <v>4363.0848999999998</v>
      </c>
      <c r="H23" s="90">
        <v>5</v>
      </c>
      <c r="I23" s="90">
        <v>110.74</v>
      </c>
      <c r="J23" s="172">
        <f t="shared" ref="J23:J34" si="9">H23*I23</f>
        <v>553.69999999999993</v>
      </c>
      <c r="K23" s="172">
        <f t="shared" si="8"/>
        <v>4916.7848999999997</v>
      </c>
      <c r="L23" s="172"/>
      <c r="M23" s="172">
        <f t="shared" si="2"/>
        <v>70397.677799999976</v>
      </c>
      <c r="N23" s="14">
        <v>0</v>
      </c>
    </row>
    <row r="24" spans="1:14">
      <c r="A24" s="23">
        <v>21</v>
      </c>
      <c r="B24" s="24">
        <v>46224</v>
      </c>
      <c r="C24" s="14"/>
      <c r="D24" s="133"/>
      <c r="E24" s="90"/>
      <c r="F24" s="90"/>
      <c r="G24" s="172">
        <f t="shared" si="0"/>
        <v>0</v>
      </c>
      <c r="H24" s="90"/>
      <c r="I24" s="90"/>
      <c r="J24" s="172">
        <f t="shared" si="9"/>
        <v>0</v>
      </c>
      <c r="K24" s="172">
        <f t="shared" si="8"/>
        <v>0</v>
      </c>
      <c r="L24" s="172"/>
      <c r="M24" s="172">
        <f t="shared" si="2"/>
        <v>70397.677799999976</v>
      </c>
      <c r="N24" s="14"/>
    </row>
    <row r="25" spans="1:14">
      <c r="A25" s="23">
        <v>22</v>
      </c>
      <c r="B25" s="24">
        <v>46225</v>
      </c>
      <c r="C25" s="14"/>
      <c r="D25" s="133"/>
      <c r="E25" s="90"/>
      <c r="F25" s="90"/>
      <c r="G25" s="172">
        <f t="shared" si="0"/>
        <v>0</v>
      </c>
      <c r="H25" s="90">
        <v>5</v>
      </c>
      <c r="I25" s="90">
        <v>110.74</v>
      </c>
      <c r="J25" s="172">
        <f t="shared" si="9"/>
        <v>553.69999999999993</v>
      </c>
      <c r="K25" s="172">
        <f t="shared" si="8"/>
        <v>553.69999999999993</v>
      </c>
      <c r="L25" s="172"/>
      <c r="M25" s="172">
        <f t="shared" si="2"/>
        <v>70951.377799999973</v>
      </c>
      <c r="N25" s="14"/>
    </row>
    <row r="26" spans="1:14">
      <c r="A26" s="23">
        <v>23</v>
      </c>
      <c r="B26" s="24">
        <v>46226</v>
      </c>
      <c r="C26" s="14"/>
      <c r="D26" s="133"/>
      <c r="E26" s="90"/>
      <c r="F26" s="90"/>
      <c r="G26" s="172">
        <f t="shared" si="0"/>
        <v>0</v>
      </c>
      <c r="H26" s="90"/>
      <c r="I26" s="90"/>
      <c r="J26" s="172">
        <f t="shared" si="9"/>
        <v>0</v>
      </c>
      <c r="K26" s="172">
        <f t="shared" si="8"/>
        <v>0</v>
      </c>
      <c r="L26" s="172"/>
      <c r="M26" s="172">
        <f t="shared" si="2"/>
        <v>70951.377799999973</v>
      </c>
      <c r="N26" s="14"/>
    </row>
    <row r="27" spans="1:14">
      <c r="A27" s="23">
        <v>24</v>
      </c>
      <c r="B27" s="24">
        <v>46227</v>
      </c>
      <c r="C27" s="14"/>
      <c r="D27" s="133"/>
      <c r="E27" s="90"/>
      <c r="F27" s="90"/>
      <c r="G27" s="172">
        <f t="shared" si="0"/>
        <v>0</v>
      </c>
      <c r="H27" s="90"/>
      <c r="I27" s="90"/>
      <c r="J27" s="172">
        <f t="shared" si="9"/>
        <v>0</v>
      </c>
      <c r="K27" s="172">
        <f t="shared" si="8"/>
        <v>0</v>
      </c>
      <c r="L27" s="172"/>
      <c r="M27" s="172">
        <f t="shared" si="2"/>
        <v>70951.377799999973</v>
      </c>
      <c r="N27" s="14"/>
    </row>
    <row r="28" spans="1:14">
      <c r="A28" s="23">
        <v>25</v>
      </c>
      <c r="B28" s="24">
        <v>46228</v>
      </c>
      <c r="C28" s="14"/>
      <c r="D28" s="133"/>
      <c r="E28" s="90"/>
      <c r="F28" s="90"/>
      <c r="G28" s="172">
        <f t="shared" si="0"/>
        <v>0</v>
      </c>
      <c r="H28" s="90"/>
      <c r="I28" s="90"/>
      <c r="J28" s="172">
        <f t="shared" si="9"/>
        <v>0</v>
      </c>
      <c r="K28" s="172">
        <f t="shared" si="8"/>
        <v>0</v>
      </c>
      <c r="L28" s="172"/>
      <c r="M28" s="172">
        <f t="shared" si="2"/>
        <v>70951.377799999973</v>
      </c>
      <c r="N28" s="14"/>
    </row>
    <row r="29" spans="1:14">
      <c r="A29" s="23">
        <v>26</v>
      </c>
      <c r="B29" s="24">
        <v>46229</v>
      </c>
      <c r="C29" s="14"/>
      <c r="D29" s="133"/>
      <c r="E29" s="90"/>
      <c r="F29" s="90"/>
      <c r="G29" s="172">
        <f t="shared" ref="G5:G34" si="10">F29*E29</f>
        <v>0</v>
      </c>
      <c r="H29" s="90">
        <v>10</v>
      </c>
      <c r="I29" s="90">
        <v>110.74</v>
      </c>
      <c r="J29" s="172">
        <f t="shared" si="9"/>
        <v>1107.3999999999999</v>
      </c>
      <c r="K29" s="172">
        <f t="shared" si="8"/>
        <v>1107.3999999999999</v>
      </c>
      <c r="L29" s="172"/>
      <c r="M29" s="172">
        <f t="shared" si="2"/>
        <v>72058.777799999967</v>
      </c>
      <c r="N29" s="14"/>
    </row>
    <row r="30" spans="1:14">
      <c r="A30" s="23">
        <v>27</v>
      </c>
      <c r="B30" s="24">
        <v>46230</v>
      </c>
      <c r="C30" s="14"/>
      <c r="D30" s="133"/>
      <c r="E30" s="257">
        <v>87.19</v>
      </c>
      <c r="F30" s="41">
        <v>98.69</v>
      </c>
      <c r="G30" s="63">
        <f t="shared" ref="G30:G31" si="11">E30*F30</f>
        <v>8604.7811000000002</v>
      </c>
      <c r="H30" s="41"/>
      <c r="I30" s="41"/>
      <c r="J30" s="172">
        <f t="shared" si="9"/>
        <v>0</v>
      </c>
      <c r="K30" s="172">
        <f t="shared" si="8"/>
        <v>8604.7811000000002</v>
      </c>
      <c r="L30" s="172"/>
      <c r="M30" s="172">
        <f t="shared" si="2"/>
        <v>80663.558899999975</v>
      </c>
      <c r="N30" s="14"/>
    </row>
    <row r="31" spans="1:14">
      <c r="A31" s="23">
        <v>28</v>
      </c>
      <c r="B31" s="24">
        <v>46231</v>
      </c>
      <c r="C31" s="14"/>
      <c r="D31" s="133"/>
      <c r="E31" s="257"/>
      <c r="F31" s="41"/>
      <c r="G31" s="63">
        <f t="shared" si="11"/>
        <v>0</v>
      </c>
      <c r="H31" s="41"/>
      <c r="I31" s="41"/>
      <c r="J31" s="172">
        <f t="shared" si="9"/>
        <v>0</v>
      </c>
      <c r="K31" s="172">
        <f t="shared" si="8"/>
        <v>0</v>
      </c>
      <c r="L31" s="172"/>
      <c r="M31" s="172">
        <f>M30+K31-L31</f>
        <v>80663.558899999975</v>
      </c>
      <c r="N31" s="14"/>
    </row>
    <row r="32" spans="1:14">
      <c r="A32" s="23">
        <v>29</v>
      </c>
      <c r="B32" s="24">
        <v>46232</v>
      </c>
      <c r="C32" s="14"/>
      <c r="D32" s="133"/>
      <c r="E32" s="90"/>
      <c r="F32" s="90"/>
      <c r="G32" s="172">
        <f t="shared" si="10"/>
        <v>0</v>
      </c>
      <c r="H32" s="90"/>
      <c r="I32" s="90"/>
      <c r="J32" s="172">
        <f t="shared" si="9"/>
        <v>0</v>
      </c>
      <c r="K32" s="172">
        <f t="shared" si="8"/>
        <v>0</v>
      </c>
      <c r="L32" s="172"/>
      <c r="M32" s="172">
        <f t="shared" si="2"/>
        <v>80663.558899999975</v>
      </c>
      <c r="N32" s="14"/>
    </row>
    <row r="33" spans="1:14">
      <c r="A33" s="23">
        <v>30</v>
      </c>
      <c r="B33" s="24">
        <v>46233</v>
      </c>
      <c r="C33" s="14"/>
      <c r="D33" s="133"/>
      <c r="E33" s="90">
        <v>30</v>
      </c>
      <c r="F33" s="90">
        <v>98.69</v>
      </c>
      <c r="G33" s="172">
        <f t="shared" si="10"/>
        <v>2960.7</v>
      </c>
      <c r="H33" s="90">
        <v>10</v>
      </c>
      <c r="I33" s="90">
        <v>110.74</v>
      </c>
      <c r="J33" s="172">
        <f t="shared" si="9"/>
        <v>1107.3999999999999</v>
      </c>
      <c r="K33" s="172">
        <f t="shared" si="8"/>
        <v>4068.0999999999995</v>
      </c>
      <c r="L33" s="172"/>
      <c r="M33" s="172">
        <f t="shared" si="2"/>
        <v>84731.65889999998</v>
      </c>
      <c r="N33" s="14"/>
    </row>
    <row r="34" spans="1:14">
      <c r="A34" s="23">
        <v>31</v>
      </c>
      <c r="B34" s="24">
        <v>46234</v>
      </c>
      <c r="C34" s="14"/>
      <c r="D34" s="14"/>
      <c r="E34" s="90"/>
      <c r="F34" s="90"/>
      <c r="G34" s="172">
        <f t="shared" si="10"/>
        <v>0</v>
      </c>
      <c r="H34" s="90"/>
      <c r="I34" s="90"/>
      <c r="J34" s="172">
        <f t="shared" si="9"/>
        <v>0</v>
      </c>
      <c r="K34" s="172">
        <f t="shared" si="8"/>
        <v>0</v>
      </c>
      <c r="L34" s="133"/>
      <c r="M34" s="172">
        <f t="shared" si="2"/>
        <v>84731.65889999998</v>
      </c>
      <c r="N34" s="14"/>
    </row>
    <row r="35" spans="1:14">
      <c r="A35" s="39"/>
      <c r="B35" s="39"/>
      <c r="C35" s="39"/>
      <c r="D35" s="39"/>
      <c r="E35" s="39">
        <f>SUM(E4:E34)</f>
        <v>717.32000000000016</v>
      </c>
      <c r="F35" s="39"/>
      <c r="G35" s="39">
        <f>SUM(G4:G34)</f>
        <v>70792.310799999992</v>
      </c>
      <c r="H35" s="39">
        <f>SUM(H4:H34)</f>
        <v>80</v>
      </c>
      <c r="I35" s="39"/>
      <c r="J35" s="39">
        <f>SUM(J4:J34)</f>
        <v>8871.5999999999985</v>
      </c>
      <c r="K35" s="39">
        <f>SUM(K4:K34)</f>
        <v>79663.910800000012</v>
      </c>
      <c r="L35" s="39">
        <f>SUM(L4:L34)</f>
        <v>100000</v>
      </c>
      <c r="M35" s="39">
        <f>SUM(M4:M34)</f>
        <v>3181134.7446999997</v>
      </c>
      <c r="N35" s="39"/>
    </row>
    <row r="37" spans="1:14">
      <c r="K37" s="19"/>
    </row>
  </sheetData>
  <mergeCells count="1">
    <mergeCell ref="A1:N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425B-F20E-4178-950E-FB51E0DEDA4F}">
  <dimension ref="A1:Q40"/>
  <sheetViews>
    <sheetView topLeftCell="A20" workbookViewId="0">
      <selection activeCell="E33" sqref="E33:F33"/>
    </sheetView>
  </sheetViews>
  <sheetFormatPr defaultRowHeight="15"/>
  <cols>
    <col min="2" max="2" width="14.42578125" customWidth="1"/>
    <col min="4" max="4" width="14.85546875" customWidth="1"/>
    <col min="5" max="5" width="10.7109375" bestFit="1" customWidth="1"/>
    <col min="7" max="7" width="10.42578125" bestFit="1" customWidth="1"/>
    <col min="11" max="12" width="13.5703125" bestFit="1" customWidth="1"/>
    <col min="13" max="13" width="11.28515625" bestFit="1" customWidth="1"/>
  </cols>
  <sheetData>
    <row r="1" spans="1:17" ht="15.75">
      <c r="A1" s="568" t="s">
        <v>258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89"/>
      <c r="P1" s="89"/>
      <c r="Q1" s="89"/>
    </row>
    <row r="2" spans="1:17">
      <c r="A2" s="61" t="s">
        <v>0</v>
      </c>
      <c r="B2" s="61" t="s">
        <v>163</v>
      </c>
      <c r="C2" s="61" t="s">
        <v>164</v>
      </c>
      <c r="D2" s="61" t="s">
        <v>165</v>
      </c>
      <c r="E2" s="88" t="s">
        <v>166</v>
      </c>
      <c r="F2" s="88" t="s">
        <v>167</v>
      </c>
      <c r="G2" s="88" t="s">
        <v>168</v>
      </c>
      <c r="H2" s="88" t="s">
        <v>169</v>
      </c>
      <c r="I2" s="88" t="s">
        <v>167</v>
      </c>
      <c r="J2" s="88" t="s">
        <v>168</v>
      </c>
      <c r="K2" s="88" t="s">
        <v>170</v>
      </c>
      <c r="L2" s="82" t="s">
        <v>171</v>
      </c>
      <c r="M2" s="82" t="s">
        <v>172</v>
      </c>
      <c r="N2" s="61" t="s">
        <v>173</v>
      </c>
    </row>
    <row r="3" spans="1:17">
      <c r="A3" s="14"/>
      <c r="B3" s="14"/>
      <c r="C3" s="14"/>
      <c r="D3" s="14" t="s">
        <v>174</v>
      </c>
      <c r="E3" s="14"/>
      <c r="F3" s="14"/>
      <c r="G3" s="14"/>
      <c r="H3" s="14"/>
      <c r="I3" s="14"/>
      <c r="J3" s="14"/>
      <c r="K3" s="37">
        <v>0</v>
      </c>
      <c r="L3" s="14"/>
      <c r="M3" s="37">
        <v>0</v>
      </c>
      <c r="N3" s="14"/>
      <c r="O3" s="37"/>
    </row>
    <row r="4" spans="1:17">
      <c r="A4" s="23">
        <v>1</v>
      </c>
      <c r="B4" s="24">
        <v>46204</v>
      </c>
      <c r="C4" s="14"/>
      <c r="D4" s="14"/>
      <c r="E4" s="359"/>
      <c r="F4" s="90"/>
      <c r="G4" s="37">
        <f t="shared" ref="G4" si="0">E4*F4</f>
        <v>0</v>
      </c>
      <c r="H4" s="41"/>
      <c r="I4" s="41"/>
      <c r="J4" s="37">
        <f t="shared" ref="J4" si="1">H4*I4</f>
        <v>0</v>
      </c>
      <c r="K4" s="37">
        <f>G4+J4</f>
        <v>0</v>
      </c>
      <c r="L4" s="37"/>
      <c r="M4" s="37">
        <f>M3+K4-L4</f>
        <v>0</v>
      </c>
      <c r="N4" s="14"/>
    </row>
    <row r="5" spans="1:17">
      <c r="A5" s="23">
        <v>2</v>
      </c>
      <c r="B5" s="24">
        <v>46205</v>
      </c>
      <c r="C5" s="326"/>
      <c r="D5" s="14"/>
      <c r="E5" s="359"/>
      <c r="F5" s="90"/>
      <c r="G5" s="37">
        <f t="shared" ref="G5:G38" si="2">E5*F5</f>
        <v>0</v>
      </c>
      <c r="H5" s="41"/>
      <c r="I5" s="41"/>
      <c r="J5" s="37">
        <f t="shared" ref="J5:J38" si="3">H5*I5</f>
        <v>0</v>
      </c>
      <c r="K5" s="37">
        <f t="shared" ref="K5:L39" si="4">G5+J5</f>
        <v>0</v>
      </c>
      <c r="L5" s="37"/>
      <c r="M5" s="37">
        <f>M4+K5-L5</f>
        <v>0</v>
      </c>
      <c r="N5" s="14" t="s">
        <v>259</v>
      </c>
    </row>
    <row r="6" spans="1:17">
      <c r="A6" s="23">
        <v>3</v>
      </c>
      <c r="B6" s="24">
        <v>46206</v>
      </c>
      <c r="C6" s="14"/>
      <c r="D6" s="14"/>
      <c r="E6" s="359"/>
      <c r="F6" s="90"/>
      <c r="G6" s="37">
        <f t="shared" si="2"/>
        <v>0</v>
      </c>
      <c r="H6" s="41"/>
      <c r="I6" s="41"/>
      <c r="J6" s="37">
        <f t="shared" si="3"/>
        <v>0</v>
      </c>
      <c r="K6" s="37">
        <f t="shared" si="4"/>
        <v>0</v>
      </c>
      <c r="L6" s="37"/>
      <c r="M6" s="37">
        <f>M5+K6-L6</f>
        <v>0</v>
      </c>
      <c r="N6" s="14"/>
    </row>
    <row r="7" spans="1:17">
      <c r="A7" s="23">
        <v>4</v>
      </c>
      <c r="B7" s="24">
        <v>46207</v>
      </c>
      <c r="C7" s="14"/>
      <c r="D7" s="14"/>
      <c r="E7" s="359"/>
      <c r="F7" s="90"/>
      <c r="G7" s="37">
        <f t="shared" si="2"/>
        <v>0</v>
      </c>
      <c r="H7" s="41"/>
      <c r="I7" s="41"/>
      <c r="J7" s="37">
        <f t="shared" si="3"/>
        <v>0</v>
      </c>
      <c r="K7" s="37">
        <f t="shared" si="4"/>
        <v>0</v>
      </c>
      <c r="L7" s="37"/>
      <c r="M7" s="37">
        <f>M6+K7-L7</f>
        <v>0</v>
      </c>
      <c r="N7" s="14"/>
    </row>
    <row r="8" spans="1:17">
      <c r="A8" s="23">
        <v>5</v>
      </c>
      <c r="B8" s="24">
        <v>46208</v>
      </c>
      <c r="C8" s="14"/>
      <c r="D8" s="14"/>
      <c r="E8" s="359"/>
      <c r="F8" s="90"/>
      <c r="G8" s="37">
        <f t="shared" si="2"/>
        <v>0</v>
      </c>
      <c r="H8" s="41"/>
      <c r="I8" s="41"/>
      <c r="J8" s="37">
        <f t="shared" si="3"/>
        <v>0</v>
      </c>
      <c r="K8" s="37">
        <f t="shared" si="4"/>
        <v>0</v>
      </c>
      <c r="L8" s="37"/>
      <c r="M8" s="37">
        <f>M7+K8-L8</f>
        <v>0</v>
      </c>
      <c r="N8" s="14"/>
    </row>
    <row r="9" spans="1:17">
      <c r="A9" s="23">
        <v>6</v>
      </c>
      <c r="B9" s="24">
        <v>46209</v>
      </c>
      <c r="C9" s="14"/>
      <c r="D9" s="14"/>
      <c r="E9" s="359"/>
      <c r="F9" s="90"/>
      <c r="G9" s="37">
        <f t="shared" si="2"/>
        <v>0</v>
      </c>
      <c r="H9" s="41"/>
      <c r="I9" s="41"/>
      <c r="J9" s="37">
        <f t="shared" si="3"/>
        <v>0</v>
      </c>
      <c r="K9" s="37">
        <f t="shared" si="4"/>
        <v>0</v>
      </c>
      <c r="L9" s="37"/>
      <c r="M9" s="37">
        <f t="shared" ref="M9:M39" si="5">M8+K9-L9</f>
        <v>0</v>
      </c>
      <c r="N9" s="14"/>
    </row>
    <row r="10" spans="1:17">
      <c r="A10" s="23">
        <v>7</v>
      </c>
      <c r="B10" s="24">
        <v>46210</v>
      </c>
      <c r="C10" s="14"/>
      <c r="D10" s="14"/>
      <c r="E10" s="359"/>
      <c r="F10" s="90"/>
      <c r="G10" s="37">
        <f t="shared" si="2"/>
        <v>0</v>
      </c>
      <c r="H10" s="41"/>
      <c r="I10" s="41"/>
      <c r="J10" s="37">
        <f t="shared" si="3"/>
        <v>0</v>
      </c>
      <c r="K10" s="37">
        <f t="shared" si="4"/>
        <v>0</v>
      </c>
      <c r="L10" s="37"/>
      <c r="M10" s="37">
        <f t="shared" si="5"/>
        <v>0</v>
      </c>
      <c r="N10" s="14"/>
    </row>
    <row r="11" spans="1:17">
      <c r="A11" s="23">
        <v>8</v>
      </c>
      <c r="B11" s="24">
        <v>46211</v>
      </c>
      <c r="C11" s="14"/>
      <c r="D11" s="14"/>
      <c r="E11" s="359"/>
      <c r="F11" s="90"/>
      <c r="G11" s="37">
        <f t="shared" si="2"/>
        <v>0</v>
      </c>
      <c r="H11" s="41"/>
      <c r="I11" s="41"/>
      <c r="J11" s="37">
        <f t="shared" si="3"/>
        <v>0</v>
      </c>
      <c r="K11" s="37">
        <f>G11+J11</f>
        <v>0</v>
      </c>
      <c r="L11" s="37"/>
      <c r="M11" s="37">
        <f t="shared" si="5"/>
        <v>0</v>
      </c>
      <c r="N11" s="14"/>
    </row>
    <row r="12" spans="1:17">
      <c r="A12" s="23">
        <v>9</v>
      </c>
      <c r="B12" s="24">
        <v>46212</v>
      </c>
      <c r="C12" s="14"/>
      <c r="D12" s="14"/>
      <c r="E12" s="388"/>
      <c r="F12" s="388"/>
      <c r="G12" s="37">
        <f t="shared" si="2"/>
        <v>0</v>
      </c>
      <c r="H12" s="41"/>
      <c r="I12" s="41"/>
      <c r="J12" s="37">
        <f t="shared" si="3"/>
        <v>0</v>
      </c>
      <c r="K12" s="37">
        <f t="shared" si="4"/>
        <v>0</v>
      </c>
      <c r="L12" s="37"/>
      <c r="M12" s="37">
        <f t="shared" si="5"/>
        <v>0</v>
      </c>
      <c r="N12" s="14"/>
    </row>
    <row r="13" spans="1:17">
      <c r="A13" s="23">
        <v>10</v>
      </c>
      <c r="B13" s="24">
        <v>46213</v>
      </c>
      <c r="C13" s="14"/>
      <c r="D13" s="14"/>
      <c r="E13" s="388"/>
      <c r="F13" s="388"/>
      <c r="G13" s="37">
        <f t="shared" si="2"/>
        <v>0</v>
      </c>
      <c r="H13" s="41"/>
      <c r="I13" s="41"/>
      <c r="J13" s="37">
        <f t="shared" si="3"/>
        <v>0</v>
      </c>
      <c r="K13" s="37">
        <f t="shared" si="4"/>
        <v>0</v>
      </c>
      <c r="L13" s="37"/>
      <c r="M13" s="37">
        <f t="shared" si="5"/>
        <v>0</v>
      </c>
      <c r="N13" s="14"/>
    </row>
    <row r="14" spans="1:17">
      <c r="A14" s="23">
        <v>11</v>
      </c>
      <c r="B14" s="24">
        <v>46214</v>
      </c>
      <c r="C14" s="14"/>
      <c r="D14" s="14"/>
      <c r="E14" s="359"/>
      <c r="F14" s="90"/>
      <c r="G14" s="37">
        <f t="shared" si="2"/>
        <v>0</v>
      </c>
      <c r="H14" s="41"/>
      <c r="I14" s="41"/>
      <c r="J14" s="37">
        <f t="shared" si="3"/>
        <v>0</v>
      </c>
      <c r="K14" s="37">
        <f t="shared" si="4"/>
        <v>0</v>
      </c>
      <c r="L14" s="37"/>
      <c r="M14" s="37">
        <f t="shared" si="5"/>
        <v>0</v>
      </c>
      <c r="N14" s="14"/>
    </row>
    <row r="15" spans="1:17">
      <c r="A15" s="23">
        <v>12</v>
      </c>
      <c r="B15" s="24">
        <v>46215</v>
      </c>
      <c r="C15" s="14"/>
      <c r="D15" s="14"/>
      <c r="E15" s="359"/>
      <c r="F15" s="90"/>
      <c r="G15" s="37">
        <f t="shared" si="2"/>
        <v>0</v>
      </c>
      <c r="H15" s="41"/>
      <c r="I15" s="41"/>
      <c r="J15" s="37">
        <f t="shared" si="3"/>
        <v>0</v>
      </c>
      <c r="K15" s="37">
        <f t="shared" si="4"/>
        <v>0</v>
      </c>
      <c r="L15" s="37"/>
      <c r="M15" s="37">
        <f t="shared" si="5"/>
        <v>0</v>
      </c>
      <c r="N15" s="14"/>
    </row>
    <row r="16" spans="1:17">
      <c r="A16" s="23">
        <v>13</v>
      </c>
      <c r="B16" s="24">
        <v>46216</v>
      </c>
      <c r="C16" s="14"/>
      <c r="D16" s="90"/>
      <c r="E16" s="359"/>
      <c r="F16" s="90"/>
      <c r="G16" s="37">
        <f t="shared" si="2"/>
        <v>0</v>
      </c>
      <c r="H16" s="41">
        <v>30</v>
      </c>
      <c r="I16" s="41">
        <v>111.45</v>
      </c>
      <c r="J16" s="37">
        <f t="shared" si="3"/>
        <v>3343.5</v>
      </c>
      <c r="K16" s="37">
        <f t="shared" si="4"/>
        <v>3343.5</v>
      </c>
      <c r="L16" s="37"/>
      <c r="M16" s="37">
        <f t="shared" si="5"/>
        <v>3343.5</v>
      </c>
      <c r="N16" s="14"/>
    </row>
    <row r="17" spans="1:17">
      <c r="A17" s="23">
        <v>14</v>
      </c>
      <c r="B17" s="24">
        <v>46217</v>
      </c>
      <c r="C17" s="14"/>
      <c r="D17" s="90"/>
      <c r="E17" s="359">
        <v>1000</v>
      </c>
      <c r="F17" s="90">
        <v>99.35</v>
      </c>
      <c r="G17" s="37">
        <f t="shared" si="2"/>
        <v>99350</v>
      </c>
      <c r="H17" s="41"/>
      <c r="I17" s="41"/>
      <c r="J17" s="37"/>
      <c r="K17" s="37">
        <f t="shared" si="4"/>
        <v>99350</v>
      </c>
      <c r="L17" s="37"/>
      <c r="M17" s="37">
        <f t="shared" si="5"/>
        <v>102693.5</v>
      </c>
      <c r="N17" s="14"/>
    </row>
    <row r="18" spans="1:17">
      <c r="A18" s="23">
        <v>15</v>
      </c>
      <c r="B18" s="24">
        <v>46218</v>
      </c>
      <c r="C18" s="14"/>
      <c r="D18" s="14">
        <v>0</v>
      </c>
      <c r="E18" s="359"/>
      <c r="F18" s="90"/>
      <c r="G18" s="37">
        <f t="shared" si="2"/>
        <v>0</v>
      </c>
      <c r="H18" s="41"/>
      <c r="I18" s="41"/>
      <c r="J18" s="37">
        <f t="shared" si="3"/>
        <v>0</v>
      </c>
      <c r="K18" s="37">
        <f t="shared" si="4"/>
        <v>0</v>
      </c>
      <c r="L18" s="37"/>
      <c r="M18" s="37">
        <f t="shared" si="5"/>
        <v>102693.5</v>
      </c>
      <c r="N18" s="14"/>
      <c r="Q18" s="316"/>
    </row>
    <row r="19" spans="1:17">
      <c r="A19" s="23">
        <v>16</v>
      </c>
      <c r="B19" s="24">
        <v>46219</v>
      </c>
      <c r="C19" s="14"/>
      <c r="D19" s="14"/>
      <c r="E19" s="359">
        <v>500</v>
      </c>
      <c r="F19" s="90">
        <v>99.35</v>
      </c>
      <c r="G19" s="37">
        <f t="shared" si="2"/>
        <v>49675</v>
      </c>
      <c r="H19" s="41">
        <v>30</v>
      </c>
      <c r="I19" s="41">
        <v>111.49</v>
      </c>
      <c r="J19" s="37">
        <f t="shared" si="3"/>
        <v>3344.7</v>
      </c>
      <c r="K19" s="37">
        <f t="shared" si="4"/>
        <v>53019.7</v>
      </c>
      <c r="L19" s="37"/>
      <c r="M19" s="37">
        <f t="shared" si="5"/>
        <v>155713.20000000001</v>
      </c>
      <c r="N19" s="14"/>
    </row>
    <row r="20" spans="1:17">
      <c r="A20" s="23">
        <v>17</v>
      </c>
      <c r="B20" s="24">
        <v>46220</v>
      </c>
      <c r="C20" s="14"/>
      <c r="D20" s="14"/>
      <c r="E20" s="359"/>
      <c r="F20" s="90"/>
      <c r="G20" s="37">
        <f t="shared" si="2"/>
        <v>0</v>
      </c>
      <c r="H20" s="41"/>
      <c r="I20" s="41"/>
      <c r="J20" s="37">
        <f t="shared" si="3"/>
        <v>0</v>
      </c>
      <c r="K20" s="37">
        <f t="shared" si="4"/>
        <v>0</v>
      </c>
      <c r="L20" s="37"/>
      <c r="M20" s="37">
        <f t="shared" si="5"/>
        <v>155713.20000000001</v>
      </c>
      <c r="N20" s="14"/>
    </row>
    <row r="21" spans="1:17">
      <c r="A21" s="23">
        <v>18</v>
      </c>
      <c r="B21" s="24">
        <v>46221</v>
      </c>
      <c r="C21" s="14"/>
      <c r="D21" s="14"/>
      <c r="E21" s="359">
        <v>500</v>
      </c>
      <c r="F21" s="90">
        <v>99.35</v>
      </c>
      <c r="G21" s="37">
        <f t="shared" si="2"/>
        <v>49675</v>
      </c>
      <c r="H21" s="41">
        <v>20</v>
      </c>
      <c r="I21" s="41">
        <v>111.49</v>
      </c>
      <c r="J21" s="37">
        <f t="shared" si="3"/>
        <v>2229.7999999999997</v>
      </c>
      <c r="K21" s="37">
        <f t="shared" si="4"/>
        <v>51904.800000000003</v>
      </c>
      <c r="L21" s="37"/>
      <c r="M21" s="37">
        <f t="shared" si="5"/>
        <v>207618</v>
      </c>
      <c r="N21" s="14"/>
    </row>
    <row r="22" spans="1:17">
      <c r="A22" s="23">
        <v>19</v>
      </c>
      <c r="B22" s="24">
        <v>46222</v>
      </c>
      <c r="C22" s="14"/>
      <c r="D22" s="14"/>
      <c r="E22" s="359"/>
      <c r="F22" s="90"/>
      <c r="G22" s="37">
        <f t="shared" si="2"/>
        <v>0</v>
      </c>
      <c r="H22" s="41"/>
      <c r="I22" s="41"/>
      <c r="J22" s="37">
        <f t="shared" si="3"/>
        <v>0</v>
      </c>
      <c r="K22" s="37">
        <f t="shared" si="4"/>
        <v>0</v>
      </c>
      <c r="L22" s="37"/>
      <c r="M22" s="37">
        <f t="shared" si="5"/>
        <v>207618</v>
      </c>
      <c r="N22" s="14"/>
    </row>
    <row r="23" spans="1:17">
      <c r="A23" s="23">
        <v>20</v>
      </c>
      <c r="B23" s="24">
        <v>46223</v>
      </c>
      <c r="C23" s="14"/>
      <c r="D23" s="14"/>
      <c r="E23" s="359"/>
      <c r="F23" s="90"/>
      <c r="G23" s="37">
        <v>0</v>
      </c>
      <c r="H23" s="41"/>
      <c r="I23" s="41"/>
      <c r="J23" s="37">
        <v>0</v>
      </c>
      <c r="K23" s="37">
        <v>0</v>
      </c>
      <c r="L23" s="37"/>
      <c r="M23" s="37">
        <f t="shared" si="5"/>
        <v>207618</v>
      </c>
      <c r="N23" s="14"/>
    </row>
    <row r="24" spans="1:17">
      <c r="A24" s="23">
        <v>21</v>
      </c>
      <c r="B24" s="24">
        <v>46224</v>
      </c>
      <c r="C24" s="14"/>
      <c r="D24" s="14"/>
      <c r="E24" s="359"/>
      <c r="F24" s="90"/>
      <c r="G24" s="37">
        <f t="shared" si="2"/>
        <v>0</v>
      </c>
      <c r="H24" s="41"/>
      <c r="I24" s="41"/>
      <c r="J24" s="37">
        <f t="shared" si="3"/>
        <v>0</v>
      </c>
      <c r="K24" s="37">
        <f t="shared" si="4"/>
        <v>0</v>
      </c>
      <c r="L24" s="37"/>
      <c r="M24" s="37">
        <f t="shared" si="5"/>
        <v>207618</v>
      </c>
      <c r="N24" s="14"/>
      <c r="P24" s="19"/>
    </row>
    <row r="25" spans="1:17">
      <c r="A25" s="23">
        <v>22</v>
      </c>
      <c r="B25" s="24">
        <v>46225</v>
      </c>
      <c r="C25" s="14"/>
      <c r="D25" s="14"/>
      <c r="E25" s="359"/>
      <c r="F25" s="90"/>
      <c r="G25" s="37">
        <f t="shared" si="2"/>
        <v>0</v>
      </c>
      <c r="H25" s="41"/>
      <c r="I25" s="41"/>
      <c r="J25" s="37">
        <f t="shared" si="3"/>
        <v>0</v>
      </c>
      <c r="K25" s="37">
        <f t="shared" si="4"/>
        <v>0</v>
      </c>
      <c r="L25" s="37">
        <v>200000</v>
      </c>
      <c r="M25" s="37">
        <f t="shared" si="5"/>
        <v>7618</v>
      </c>
      <c r="N25" s="14"/>
    </row>
    <row r="26" spans="1:17">
      <c r="A26" s="23">
        <v>23</v>
      </c>
      <c r="B26" s="24">
        <v>46226</v>
      </c>
      <c r="C26" s="14"/>
      <c r="D26" s="14"/>
      <c r="E26" s="359"/>
      <c r="F26" s="90"/>
      <c r="G26" s="37">
        <f t="shared" si="2"/>
        <v>0</v>
      </c>
      <c r="H26" s="41"/>
      <c r="I26" s="41"/>
      <c r="J26" s="37">
        <f t="shared" si="3"/>
        <v>0</v>
      </c>
      <c r="K26" s="37">
        <f t="shared" si="4"/>
        <v>0</v>
      </c>
      <c r="L26" s="37"/>
      <c r="M26" s="37">
        <f t="shared" si="5"/>
        <v>7618</v>
      </c>
      <c r="N26" s="14"/>
    </row>
    <row r="27" spans="1:17">
      <c r="A27" s="23">
        <v>24</v>
      </c>
      <c r="B27" s="24">
        <v>46227</v>
      </c>
      <c r="C27" s="14"/>
      <c r="D27" s="14"/>
      <c r="E27" s="359">
        <v>800</v>
      </c>
      <c r="F27" s="90">
        <v>99.35</v>
      </c>
      <c r="G27" s="37">
        <f t="shared" si="2"/>
        <v>79480</v>
      </c>
      <c r="H27" s="41"/>
      <c r="I27" s="41"/>
      <c r="J27" s="37">
        <f t="shared" si="3"/>
        <v>0</v>
      </c>
      <c r="K27" s="37">
        <f t="shared" si="4"/>
        <v>79480</v>
      </c>
      <c r="L27" s="37"/>
      <c r="M27" s="37">
        <f t="shared" si="5"/>
        <v>87098</v>
      </c>
      <c r="N27" s="14"/>
    </row>
    <row r="28" spans="1:17">
      <c r="A28" s="23">
        <v>25</v>
      </c>
      <c r="B28" s="24">
        <v>46228</v>
      </c>
      <c r="C28" s="14"/>
      <c r="D28" s="14"/>
      <c r="E28" s="359"/>
      <c r="F28" s="90"/>
      <c r="G28" s="37">
        <f t="shared" si="2"/>
        <v>0</v>
      </c>
      <c r="H28" s="41"/>
      <c r="I28" s="41"/>
      <c r="J28" s="37">
        <f t="shared" si="3"/>
        <v>0</v>
      </c>
      <c r="K28" s="37">
        <f t="shared" si="4"/>
        <v>0</v>
      </c>
      <c r="L28" s="37"/>
      <c r="M28" s="37">
        <f t="shared" si="5"/>
        <v>87098</v>
      </c>
      <c r="N28" s="14"/>
    </row>
    <row r="29" spans="1:17">
      <c r="A29" s="23">
        <v>26</v>
      </c>
      <c r="B29" s="24">
        <v>46229</v>
      </c>
      <c r="C29" s="14"/>
      <c r="D29" s="14"/>
      <c r="E29" s="359"/>
      <c r="F29" s="90"/>
      <c r="G29" s="37">
        <f t="shared" si="2"/>
        <v>0</v>
      </c>
      <c r="H29" s="41"/>
      <c r="I29" s="41"/>
      <c r="J29" s="37">
        <f t="shared" si="3"/>
        <v>0</v>
      </c>
      <c r="K29" s="37">
        <f t="shared" si="4"/>
        <v>0</v>
      </c>
      <c r="L29" s="37"/>
      <c r="M29" s="37">
        <f t="shared" si="5"/>
        <v>87098</v>
      </c>
      <c r="N29" s="14"/>
    </row>
    <row r="30" spans="1:17">
      <c r="A30" s="23">
        <v>27</v>
      </c>
      <c r="B30" s="24">
        <v>46230</v>
      </c>
      <c r="C30" s="14"/>
      <c r="D30" s="14"/>
      <c r="E30" s="359"/>
      <c r="F30" s="90"/>
      <c r="G30" s="37">
        <f t="shared" si="2"/>
        <v>0</v>
      </c>
      <c r="H30" s="41"/>
      <c r="I30" s="41"/>
      <c r="J30" s="37">
        <f t="shared" si="3"/>
        <v>0</v>
      </c>
      <c r="K30" s="37">
        <f t="shared" si="4"/>
        <v>0</v>
      </c>
      <c r="L30" s="37"/>
      <c r="M30" s="37">
        <f t="shared" si="5"/>
        <v>87098</v>
      </c>
      <c r="N30" s="14"/>
      <c r="P30" s="19"/>
    </row>
    <row r="31" spans="1:17">
      <c r="A31" s="23">
        <v>28</v>
      </c>
      <c r="B31" s="24">
        <v>46231</v>
      </c>
      <c r="C31" s="14"/>
      <c r="D31" s="14"/>
      <c r="E31" s="359"/>
      <c r="F31" s="90"/>
      <c r="G31" s="37">
        <f t="shared" si="2"/>
        <v>0</v>
      </c>
      <c r="H31" s="41"/>
      <c r="I31" s="41"/>
      <c r="J31" s="37">
        <f t="shared" si="3"/>
        <v>0</v>
      </c>
      <c r="K31" s="37">
        <f t="shared" si="4"/>
        <v>0</v>
      </c>
      <c r="L31" s="37"/>
      <c r="M31" s="37">
        <f t="shared" si="5"/>
        <v>87098</v>
      </c>
      <c r="N31" s="14"/>
    </row>
    <row r="32" spans="1:17">
      <c r="A32" s="23">
        <v>29</v>
      </c>
      <c r="B32" s="24">
        <v>46232</v>
      </c>
      <c r="C32" s="14"/>
      <c r="D32" s="223"/>
      <c r="E32" s="359"/>
      <c r="F32" s="90"/>
      <c r="G32" s="37">
        <f t="shared" si="2"/>
        <v>0</v>
      </c>
      <c r="H32" s="41"/>
      <c r="I32" s="41"/>
      <c r="J32" s="37">
        <f t="shared" si="3"/>
        <v>0</v>
      </c>
      <c r="K32" s="37">
        <f t="shared" si="4"/>
        <v>0</v>
      </c>
      <c r="L32" s="37"/>
      <c r="M32" s="37">
        <f t="shared" si="5"/>
        <v>87098</v>
      </c>
      <c r="N32" s="14"/>
    </row>
    <row r="33" spans="1:17">
      <c r="A33" s="23">
        <v>30</v>
      </c>
      <c r="B33" s="24">
        <v>46233</v>
      </c>
      <c r="C33" s="14"/>
      <c r="D33" s="14"/>
      <c r="E33" s="359">
        <v>600</v>
      </c>
      <c r="F33" s="90">
        <v>99.35</v>
      </c>
      <c r="G33" s="37">
        <f t="shared" si="2"/>
        <v>59610</v>
      </c>
      <c r="H33" s="41"/>
      <c r="I33" s="41"/>
      <c r="J33" s="37">
        <f t="shared" si="3"/>
        <v>0</v>
      </c>
      <c r="K33" s="37">
        <f t="shared" si="4"/>
        <v>59610</v>
      </c>
      <c r="L33" s="37"/>
      <c r="M33" s="37">
        <f t="shared" si="5"/>
        <v>146708</v>
      </c>
      <c r="N33" s="14"/>
    </row>
    <row r="34" spans="1:17">
      <c r="A34" s="23">
        <v>31</v>
      </c>
      <c r="B34" s="24"/>
      <c r="C34" s="14"/>
      <c r="D34" s="14"/>
      <c r="E34" s="359"/>
      <c r="F34" s="90"/>
      <c r="G34" s="37">
        <f t="shared" si="2"/>
        <v>0</v>
      </c>
      <c r="H34" s="41"/>
      <c r="I34" s="41"/>
      <c r="J34" s="37">
        <f t="shared" si="3"/>
        <v>0</v>
      </c>
      <c r="K34" s="37">
        <f t="shared" si="4"/>
        <v>0</v>
      </c>
      <c r="L34" s="37"/>
      <c r="M34" s="37">
        <f t="shared" si="5"/>
        <v>146708</v>
      </c>
      <c r="N34" s="14"/>
    </row>
    <row r="35" spans="1:17">
      <c r="A35" s="23">
        <v>32</v>
      </c>
      <c r="B35" s="24"/>
      <c r="C35" s="14"/>
      <c r="D35" s="14"/>
      <c r="E35" s="359"/>
      <c r="F35" s="90"/>
      <c r="G35" s="37">
        <f t="shared" si="2"/>
        <v>0</v>
      </c>
      <c r="H35" s="41"/>
      <c r="I35" s="41"/>
      <c r="J35" s="37">
        <f t="shared" si="3"/>
        <v>0</v>
      </c>
      <c r="K35" s="37">
        <f t="shared" si="4"/>
        <v>0</v>
      </c>
      <c r="L35" s="37"/>
      <c r="M35" s="37">
        <f t="shared" si="5"/>
        <v>146708</v>
      </c>
      <c r="N35" s="14"/>
    </row>
    <row r="36" spans="1:17">
      <c r="A36" s="23">
        <v>33</v>
      </c>
      <c r="B36" s="24"/>
      <c r="C36" s="14"/>
      <c r="D36" s="14"/>
      <c r="E36" s="359"/>
      <c r="F36" s="90"/>
      <c r="G36" s="37">
        <f t="shared" si="2"/>
        <v>0</v>
      </c>
      <c r="H36" s="41"/>
      <c r="I36" s="41"/>
      <c r="J36" s="37">
        <f t="shared" si="3"/>
        <v>0</v>
      </c>
      <c r="K36" s="37">
        <f t="shared" si="4"/>
        <v>0</v>
      </c>
      <c r="L36" s="37"/>
      <c r="M36" s="37">
        <f t="shared" si="5"/>
        <v>146708</v>
      </c>
      <c r="N36" s="14"/>
    </row>
    <row r="37" spans="1:17">
      <c r="A37" s="23">
        <v>34</v>
      </c>
      <c r="B37" s="24"/>
      <c r="C37" s="14"/>
      <c r="D37" s="14"/>
      <c r="E37" s="359"/>
      <c r="F37" s="90"/>
      <c r="G37" s="37">
        <f t="shared" si="2"/>
        <v>0</v>
      </c>
      <c r="H37" s="41"/>
      <c r="I37" s="41"/>
      <c r="J37" s="37">
        <f t="shared" si="3"/>
        <v>0</v>
      </c>
      <c r="K37" s="37">
        <f t="shared" si="4"/>
        <v>0</v>
      </c>
      <c r="L37" s="37"/>
      <c r="M37" s="37">
        <f t="shared" si="5"/>
        <v>146708</v>
      </c>
      <c r="N37" s="14"/>
      <c r="Q37" s="234"/>
    </row>
    <row r="38" spans="1:17">
      <c r="A38" s="23">
        <v>35</v>
      </c>
      <c r="B38" s="24"/>
      <c r="C38" s="14"/>
      <c r="D38" s="14"/>
      <c r="E38" s="359"/>
      <c r="F38" s="90"/>
      <c r="G38" s="37">
        <f t="shared" si="2"/>
        <v>0</v>
      </c>
      <c r="H38" s="41"/>
      <c r="I38" s="41"/>
      <c r="J38" s="37">
        <f t="shared" si="3"/>
        <v>0</v>
      </c>
      <c r="K38" s="37">
        <f t="shared" si="4"/>
        <v>0</v>
      </c>
      <c r="L38" s="37"/>
      <c r="M38" s="37">
        <f t="shared" si="5"/>
        <v>146708</v>
      </c>
      <c r="N38" s="14"/>
      <c r="Q38" s="234"/>
    </row>
    <row r="39" spans="1:17">
      <c r="A39" s="23">
        <v>36</v>
      </c>
      <c r="B39" s="24"/>
      <c r="C39" s="14"/>
      <c r="D39" s="14"/>
      <c r="E39" s="90"/>
      <c r="F39" s="90"/>
      <c r="G39" s="37">
        <f t="shared" ref="G5:G39" si="6">E39*F39</f>
        <v>0</v>
      </c>
      <c r="H39" s="41"/>
      <c r="I39" s="41"/>
      <c r="J39" s="37">
        <f t="shared" ref="J5:J39" si="7">H39*I39</f>
        <v>0</v>
      </c>
      <c r="K39" s="37">
        <f t="shared" si="4"/>
        <v>0</v>
      </c>
      <c r="L39" s="37"/>
      <c r="M39" s="37">
        <f t="shared" si="5"/>
        <v>146708</v>
      </c>
      <c r="N39" s="14"/>
      <c r="Q39" s="234"/>
    </row>
    <row r="40" spans="1:17">
      <c r="A40" s="39"/>
      <c r="B40" s="39"/>
      <c r="C40" s="39"/>
      <c r="D40" s="39"/>
      <c r="E40" s="39">
        <f>SUM(E4:E39)</f>
        <v>3400</v>
      </c>
      <c r="F40" s="39"/>
      <c r="G40" s="39">
        <f>SUM(G4:G39)</f>
        <v>337790</v>
      </c>
      <c r="H40" s="39">
        <f>SUM(H4:H39)</f>
        <v>80</v>
      </c>
      <c r="I40" s="39"/>
      <c r="J40" s="39">
        <f>SUM(J4:J39)</f>
        <v>8918</v>
      </c>
      <c r="K40" s="39">
        <f>SUM(K4:K39)</f>
        <v>346708</v>
      </c>
      <c r="L40" s="39">
        <f>SUM(L4:L39)</f>
        <v>200000</v>
      </c>
      <c r="M40" s="39"/>
      <c r="N40" s="39"/>
    </row>
  </sheetData>
  <mergeCells count="1">
    <mergeCell ref="A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86DD-CD71-4150-9FE7-AC077EDC0FB9}">
  <dimension ref="A1:Q39"/>
  <sheetViews>
    <sheetView topLeftCell="A25" workbookViewId="0">
      <selection activeCell="M38" sqref="M38"/>
    </sheetView>
  </sheetViews>
  <sheetFormatPr defaultRowHeight="15"/>
  <cols>
    <col min="1" max="1" width="5.140625" bestFit="1" customWidth="1"/>
    <col min="2" max="2" width="10.5703125" bestFit="1" customWidth="1"/>
    <col min="6" max="6" width="16.42578125" customWidth="1"/>
    <col min="7" max="7" width="9.28515625" bestFit="1" customWidth="1"/>
    <col min="8" max="8" width="10.7109375" bestFit="1" customWidth="1"/>
    <col min="11" max="11" width="13.5703125" bestFit="1" customWidth="1"/>
    <col min="12" max="12" width="10.42578125" bestFit="1" customWidth="1"/>
    <col min="13" max="13" width="11.28515625" bestFit="1" customWidth="1"/>
  </cols>
  <sheetData>
    <row r="1" spans="1:17" ht="15.75">
      <c r="A1" s="568" t="s">
        <v>260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89"/>
      <c r="P1" s="89"/>
      <c r="Q1" s="89"/>
    </row>
    <row r="2" spans="1:17">
      <c r="A2" s="61" t="s">
        <v>0</v>
      </c>
      <c r="B2" s="61" t="s">
        <v>163</v>
      </c>
      <c r="C2" s="61" t="s">
        <v>164</v>
      </c>
      <c r="D2" s="61" t="s">
        <v>165</v>
      </c>
      <c r="E2" s="88" t="s">
        <v>166</v>
      </c>
      <c r="F2" s="88" t="s">
        <v>167</v>
      </c>
      <c r="G2" s="88" t="s">
        <v>168</v>
      </c>
      <c r="H2" s="88" t="s">
        <v>169</v>
      </c>
      <c r="I2" s="88" t="s">
        <v>167</v>
      </c>
      <c r="J2" s="88" t="s">
        <v>168</v>
      </c>
      <c r="K2" s="88" t="s">
        <v>170</v>
      </c>
      <c r="L2" s="82" t="s">
        <v>171</v>
      </c>
      <c r="M2" s="82" t="s">
        <v>172</v>
      </c>
      <c r="N2" s="61" t="s">
        <v>173</v>
      </c>
    </row>
    <row r="3" spans="1:17">
      <c r="A3" s="14"/>
      <c r="B3" s="14"/>
      <c r="C3" s="14"/>
      <c r="D3" s="14" t="s">
        <v>174</v>
      </c>
      <c r="E3" s="14"/>
      <c r="F3" s="14"/>
      <c r="G3" s="14"/>
      <c r="H3" s="14"/>
      <c r="I3" s="14"/>
      <c r="J3" s="14"/>
      <c r="K3" s="37">
        <v>478435.42479999992</v>
      </c>
      <c r="L3" s="14"/>
      <c r="M3" s="37">
        <v>478435.42479999992</v>
      </c>
      <c r="N3" s="14"/>
      <c r="O3" s="37"/>
    </row>
    <row r="4" spans="1:17">
      <c r="A4" s="23">
        <v>1</v>
      </c>
      <c r="B4" s="24">
        <v>46204</v>
      </c>
      <c r="C4" s="14"/>
      <c r="D4" s="14"/>
      <c r="E4" s="359">
        <v>500</v>
      </c>
      <c r="F4" s="90">
        <v>99.13</v>
      </c>
      <c r="G4" s="37">
        <f t="shared" ref="G4:G38" si="0">E4*F4</f>
        <v>49565</v>
      </c>
      <c r="H4" s="41"/>
      <c r="I4" s="41"/>
      <c r="J4" s="37">
        <f t="shared" ref="J4:J38" si="1">H4*I4</f>
        <v>0</v>
      </c>
      <c r="K4" s="37">
        <f>G4+J4</f>
        <v>49565</v>
      </c>
      <c r="L4" s="37"/>
      <c r="M4" s="37">
        <f>M3+K4-L4</f>
        <v>528000.42479999992</v>
      </c>
      <c r="N4" s="14"/>
    </row>
    <row r="5" spans="1:17">
      <c r="A5" s="23">
        <v>2</v>
      </c>
      <c r="B5" s="24">
        <v>46205</v>
      </c>
      <c r="C5" s="326"/>
      <c r="D5" s="14"/>
      <c r="E5" s="359">
        <v>600</v>
      </c>
      <c r="F5" s="90">
        <v>99.13</v>
      </c>
      <c r="G5" s="37">
        <f t="shared" si="0"/>
        <v>59478</v>
      </c>
      <c r="H5" s="41">
        <v>20</v>
      </c>
      <c r="I5" s="41">
        <v>111.21</v>
      </c>
      <c r="J5" s="37">
        <f t="shared" si="1"/>
        <v>2224.1999999999998</v>
      </c>
      <c r="K5" s="37">
        <f t="shared" ref="K5:K38" si="2">G5+J5</f>
        <v>61702.2</v>
      </c>
      <c r="L5" s="37"/>
      <c r="M5" s="37">
        <f>M4+K5-L5</f>
        <v>589702.62479999987</v>
      </c>
      <c r="N5" s="14" t="s">
        <v>259</v>
      </c>
    </row>
    <row r="6" spans="1:17">
      <c r="A6" s="23">
        <v>3</v>
      </c>
      <c r="B6" s="24">
        <v>46206</v>
      </c>
      <c r="C6" s="14"/>
      <c r="D6" s="14"/>
      <c r="E6" s="359">
        <v>400</v>
      </c>
      <c r="F6" s="90">
        <v>99.13</v>
      </c>
      <c r="G6" s="37">
        <f t="shared" si="0"/>
        <v>39652</v>
      </c>
      <c r="H6" s="41">
        <v>20</v>
      </c>
      <c r="I6" s="41">
        <v>111.21</v>
      </c>
      <c r="J6" s="37">
        <f t="shared" si="1"/>
        <v>2224.1999999999998</v>
      </c>
      <c r="K6" s="37">
        <f t="shared" si="2"/>
        <v>41876.199999999997</v>
      </c>
      <c r="L6" s="37"/>
      <c r="M6" s="37">
        <f>M5+K6-L6</f>
        <v>631578.82479999983</v>
      </c>
      <c r="N6" s="14"/>
    </row>
    <row r="7" spans="1:17">
      <c r="A7" s="23">
        <v>4</v>
      </c>
      <c r="B7" s="24">
        <v>46207</v>
      </c>
      <c r="C7" s="14"/>
      <c r="D7" s="14"/>
      <c r="E7" s="359">
        <v>400</v>
      </c>
      <c r="F7" s="90">
        <v>99.13</v>
      </c>
      <c r="G7" s="37">
        <f t="shared" si="0"/>
        <v>39652</v>
      </c>
      <c r="H7" s="41"/>
      <c r="I7" s="41"/>
      <c r="J7" s="37">
        <f t="shared" si="1"/>
        <v>0</v>
      </c>
      <c r="K7" s="37">
        <f t="shared" si="2"/>
        <v>39652</v>
      </c>
      <c r="L7" s="37"/>
      <c r="M7" s="37">
        <f>M6+K7-L7</f>
        <v>671230.82479999983</v>
      </c>
      <c r="N7" s="14"/>
    </row>
    <row r="8" spans="1:17">
      <c r="A8" s="23">
        <v>5</v>
      </c>
      <c r="B8" s="24">
        <v>46208</v>
      </c>
      <c r="C8" s="14"/>
      <c r="D8" s="14"/>
      <c r="E8" s="359">
        <v>200</v>
      </c>
      <c r="F8" s="90">
        <v>99.13</v>
      </c>
      <c r="G8" s="37">
        <f t="shared" si="0"/>
        <v>19826</v>
      </c>
      <c r="H8" s="41"/>
      <c r="I8" s="41"/>
      <c r="J8" s="37">
        <f t="shared" si="1"/>
        <v>0</v>
      </c>
      <c r="K8" s="37">
        <f t="shared" si="2"/>
        <v>19826</v>
      </c>
      <c r="L8" s="37"/>
      <c r="M8" s="37">
        <f>M7+K8-L8</f>
        <v>691056.82479999983</v>
      </c>
      <c r="N8" s="14"/>
    </row>
    <row r="9" spans="1:17">
      <c r="A9" s="23">
        <v>6</v>
      </c>
      <c r="B9" s="24">
        <v>46209</v>
      </c>
      <c r="C9" s="14"/>
      <c r="D9" s="14"/>
      <c r="E9" s="359">
        <v>400</v>
      </c>
      <c r="F9" s="90">
        <v>99.13</v>
      </c>
      <c r="G9" s="37">
        <f t="shared" si="0"/>
        <v>39652</v>
      </c>
      <c r="H9" s="41">
        <v>20</v>
      </c>
      <c r="I9" s="41">
        <v>111.21</v>
      </c>
      <c r="J9" s="37">
        <f t="shared" si="1"/>
        <v>2224.1999999999998</v>
      </c>
      <c r="K9" s="37">
        <f t="shared" si="2"/>
        <v>41876.199999999997</v>
      </c>
      <c r="L9" s="37"/>
      <c r="M9" s="37">
        <f t="shared" ref="M9:M38" si="3">M8+K9-L9</f>
        <v>732933.02479999978</v>
      </c>
      <c r="N9" s="14"/>
    </row>
    <row r="10" spans="1:17">
      <c r="A10" s="23">
        <v>7</v>
      </c>
      <c r="B10" s="24">
        <v>46210</v>
      </c>
      <c r="C10" s="14"/>
      <c r="D10" s="14"/>
      <c r="E10" s="359">
        <v>200</v>
      </c>
      <c r="F10" s="90">
        <v>99.13</v>
      </c>
      <c r="G10" s="37">
        <f t="shared" si="0"/>
        <v>19826</v>
      </c>
      <c r="H10" s="41"/>
      <c r="I10" s="41"/>
      <c r="J10" s="37">
        <f t="shared" si="1"/>
        <v>0</v>
      </c>
      <c r="K10" s="37">
        <f t="shared" si="2"/>
        <v>19826</v>
      </c>
      <c r="L10" s="37"/>
      <c r="M10" s="37">
        <f t="shared" si="3"/>
        <v>752759.02479999978</v>
      </c>
      <c r="N10" s="14"/>
    </row>
    <row r="11" spans="1:17">
      <c r="A11" s="23">
        <v>8</v>
      </c>
      <c r="B11" s="24">
        <v>46211</v>
      </c>
      <c r="C11" s="14"/>
      <c r="D11" s="14"/>
      <c r="E11" s="359">
        <v>400</v>
      </c>
      <c r="F11" s="90">
        <v>99.13</v>
      </c>
      <c r="G11" s="37">
        <f t="shared" si="0"/>
        <v>39652</v>
      </c>
      <c r="H11" s="41"/>
      <c r="I11" s="41"/>
      <c r="J11" s="37">
        <f t="shared" si="1"/>
        <v>0</v>
      </c>
      <c r="K11" s="37">
        <f t="shared" si="2"/>
        <v>39652</v>
      </c>
      <c r="L11" s="37"/>
      <c r="M11" s="37">
        <f t="shared" si="3"/>
        <v>792411.02479999978</v>
      </c>
      <c r="N11" s="14"/>
    </row>
    <row r="12" spans="1:17">
      <c r="A12" s="23">
        <v>9</v>
      </c>
      <c r="B12" s="24">
        <v>46212</v>
      </c>
      <c r="C12" s="14"/>
      <c r="D12" s="14"/>
      <c r="E12" s="388">
        <v>600</v>
      </c>
      <c r="F12" s="90">
        <v>99.13</v>
      </c>
      <c r="G12" s="37">
        <f t="shared" si="0"/>
        <v>59478</v>
      </c>
      <c r="H12" s="41"/>
      <c r="I12" s="41"/>
      <c r="J12" s="37">
        <f t="shared" si="1"/>
        <v>0</v>
      </c>
      <c r="K12" s="37">
        <f t="shared" si="2"/>
        <v>59478</v>
      </c>
      <c r="L12" s="37"/>
      <c r="M12" s="37">
        <f t="shared" si="3"/>
        <v>851889.02479999978</v>
      </c>
      <c r="N12" s="14"/>
    </row>
    <row r="13" spans="1:17">
      <c r="A13" s="23">
        <v>10</v>
      </c>
      <c r="B13" s="24">
        <v>46213</v>
      </c>
      <c r="C13" s="14"/>
      <c r="D13" s="14"/>
      <c r="E13" s="388">
        <v>400</v>
      </c>
      <c r="F13" s="388">
        <v>99.13</v>
      </c>
      <c r="G13" s="37">
        <f t="shared" si="0"/>
        <v>39652</v>
      </c>
      <c r="H13" s="41">
        <v>20</v>
      </c>
      <c r="I13" s="41">
        <v>111.21</v>
      </c>
      <c r="J13" s="37">
        <f t="shared" si="1"/>
        <v>2224.1999999999998</v>
      </c>
      <c r="K13" s="37">
        <f t="shared" si="2"/>
        <v>41876.199999999997</v>
      </c>
      <c r="L13" s="37"/>
      <c r="M13" s="37">
        <f t="shared" si="3"/>
        <v>893765.22479999973</v>
      </c>
      <c r="N13" s="14"/>
    </row>
    <row r="14" spans="1:17">
      <c r="A14" s="23">
        <v>11</v>
      </c>
      <c r="B14" s="24">
        <v>46214</v>
      </c>
      <c r="C14" s="14"/>
      <c r="D14" s="14"/>
      <c r="E14" s="359">
        <v>200</v>
      </c>
      <c r="F14" s="90">
        <v>99.13</v>
      </c>
      <c r="G14" s="37">
        <f t="shared" si="0"/>
        <v>19826</v>
      </c>
      <c r="H14" s="41"/>
      <c r="I14" s="41"/>
      <c r="J14" s="37">
        <f t="shared" si="1"/>
        <v>0</v>
      </c>
      <c r="K14" s="37">
        <f t="shared" si="2"/>
        <v>19826</v>
      </c>
      <c r="L14" s="37"/>
      <c r="M14" s="37">
        <f t="shared" si="3"/>
        <v>913591.22479999973</v>
      </c>
      <c r="N14" s="14"/>
    </row>
    <row r="15" spans="1:17">
      <c r="A15" s="23">
        <v>12</v>
      </c>
      <c r="B15" s="24">
        <v>46215</v>
      </c>
      <c r="C15" s="14"/>
      <c r="D15" s="14"/>
      <c r="E15" s="359"/>
      <c r="F15" s="90"/>
      <c r="G15" s="37">
        <f t="shared" si="0"/>
        <v>0</v>
      </c>
      <c r="H15" s="41"/>
      <c r="I15" s="41"/>
      <c r="J15" s="37">
        <f t="shared" si="1"/>
        <v>0</v>
      </c>
      <c r="K15" s="37">
        <f t="shared" si="2"/>
        <v>0</v>
      </c>
      <c r="L15" s="37"/>
      <c r="M15" s="37">
        <f t="shared" si="3"/>
        <v>913591.22479999973</v>
      </c>
      <c r="N15" s="14"/>
    </row>
    <row r="16" spans="1:17">
      <c r="A16" s="23">
        <v>13</v>
      </c>
      <c r="B16" s="24">
        <v>46216</v>
      </c>
      <c r="C16" s="14"/>
      <c r="D16" s="90"/>
      <c r="E16" s="359"/>
      <c r="F16" s="90"/>
      <c r="G16" s="37">
        <f t="shared" si="0"/>
        <v>0</v>
      </c>
      <c r="H16" s="41"/>
      <c r="I16" s="41"/>
      <c r="J16" s="37">
        <f t="shared" si="1"/>
        <v>0</v>
      </c>
      <c r="K16" s="37">
        <f t="shared" si="2"/>
        <v>0</v>
      </c>
      <c r="L16" s="37"/>
      <c r="M16" s="37">
        <f t="shared" si="3"/>
        <v>913591.22479999973</v>
      </c>
      <c r="N16" s="14"/>
    </row>
    <row r="17" spans="1:17">
      <c r="A17" s="23">
        <v>14</v>
      </c>
      <c r="B17" s="24">
        <v>46217</v>
      </c>
      <c r="C17" s="14"/>
      <c r="D17" s="90"/>
      <c r="E17" s="359"/>
      <c r="F17" s="90"/>
      <c r="G17" s="37">
        <f t="shared" si="0"/>
        <v>0</v>
      </c>
      <c r="H17" s="41"/>
      <c r="I17" s="41"/>
      <c r="J17" s="37">
        <f t="shared" si="1"/>
        <v>0</v>
      </c>
      <c r="K17" s="37">
        <f t="shared" si="2"/>
        <v>0</v>
      </c>
      <c r="L17" s="37"/>
      <c r="M17" s="37">
        <f t="shared" si="3"/>
        <v>913591.22479999973</v>
      </c>
      <c r="N17" s="14"/>
    </row>
    <row r="18" spans="1:17">
      <c r="A18" s="23">
        <v>15</v>
      </c>
      <c r="B18" s="24">
        <v>46218</v>
      </c>
      <c r="C18" s="14"/>
      <c r="D18" s="14">
        <v>0</v>
      </c>
      <c r="E18" s="359"/>
      <c r="F18" s="90"/>
      <c r="G18" s="37">
        <f t="shared" si="0"/>
        <v>0</v>
      </c>
      <c r="H18" s="41"/>
      <c r="I18" s="41"/>
      <c r="J18" s="37">
        <f t="shared" si="1"/>
        <v>0</v>
      </c>
      <c r="K18" s="37">
        <f t="shared" si="2"/>
        <v>0</v>
      </c>
      <c r="L18" s="37">
        <v>200000</v>
      </c>
      <c r="M18" s="37">
        <f t="shared" si="3"/>
        <v>713591.22479999973</v>
      </c>
      <c r="N18" s="14"/>
      <c r="Q18" s="316"/>
    </row>
    <row r="19" spans="1:17">
      <c r="A19" s="23">
        <v>16</v>
      </c>
      <c r="B19" s="24">
        <v>46219</v>
      </c>
      <c r="C19" s="14"/>
      <c r="D19" s="14"/>
      <c r="E19" s="359"/>
      <c r="F19" s="90"/>
      <c r="G19" s="37">
        <f t="shared" si="0"/>
        <v>0</v>
      </c>
      <c r="H19" s="41"/>
      <c r="I19" s="41"/>
      <c r="J19" s="37">
        <f t="shared" si="1"/>
        <v>0</v>
      </c>
      <c r="K19" s="37">
        <f t="shared" si="2"/>
        <v>0</v>
      </c>
      <c r="L19" s="37"/>
      <c r="M19" s="37">
        <f t="shared" si="3"/>
        <v>713591.22479999973</v>
      </c>
      <c r="N19" s="14"/>
    </row>
    <row r="20" spans="1:17">
      <c r="A20" s="23">
        <v>17</v>
      </c>
      <c r="B20" s="24">
        <v>46220</v>
      </c>
      <c r="C20" s="14"/>
      <c r="D20" s="14"/>
      <c r="E20" s="359"/>
      <c r="F20" s="90"/>
      <c r="G20" s="37">
        <f t="shared" si="0"/>
        <v>0</v>
      </c>
      <c r="H20" s="41"/>
      <c r="I20" s="41"/>
      <c r="J20" s="37">
        <f t="shared" si="1"/>
        <v>0</v>
      </c>
      <c r="K20" s="37">
        <f t="shared" si="2"/>
        <v>0</v>
      </c>
      <c r="L20" s="37"/>
      <c r="M20" s="37">
        <f t="shared" si="3"/>
        <v>713591.22479999973</v>
      </c>
      <c r="N20" s="14"/>
    </row>
    <row r="21" spans="1:17">
      <c r="A21" s="23">
        <v>18</v>
      </c>
      <c r="B21" s="24">
        <v>46221</v>
      </c>
      <c r="C21" s="14"/>
      <c r="D21" s="14"/>
      <c r="E21" s="359"/>
      <c r="F21" s="90"/>
      <c r="G21" s="37">
        <f t="shared" si="0"/>
        <v>0</v>
      </c>
      <c r="H21" s="41"/>
      <c r="I21" s="41"/>
      <c r="J21" s="37">
        <f t="shared" si="1"/>
        <v>0</v>
      </c>
      <c r="K21" s="37">
        <f t="shared" si="2"/>
        <v>0</v>
      </c>
      <c r="L21" s="37"/>
      <c r="M21" s="37">
        <f t="shared" si="3"/>
        <v>713591.22479999973</v>
      </c>
      <c r="N21" s="14"/>
    </row>
    <row r="22" spans="1:17">
      <c r="A22" s="23">
        <v>19</v>
      </c>
      <c r="B22" s="24">
        <v>46222</v>
      </c>
      <c r="C22" s="14"/>
      <c r="D22" s="14"/>
      <c r="E22" s="359"/>
      <c r="F22" s="90"/>
      <c r="G22" s="37">
        <f t="shared" si="0"/>
        <v>0</v>
      </c>
      <c r="H22" s="41"/>
      <c r="I22" s="41"/>
      <c r="J22" s="37">
        <f t="shared" si="1"/>
        <v>0</v>
      </c>
      <c r="K22" s="37">
        <f t="shared" si="2"/>
        <v>0</v>
      </c>
      <c r="L22" s="37"/>
      <c r="M22" s="37">
        <f t="shared" si="3"/>
        <v>713591.22479999973</v>
      </c>
      <c r="N22" s="14"/>
    </row>
    <row r="23" spans="1:17">
      <c r="A23" s="23">
        <v>20</v>
      </c>
      <c r="B23" s="24">
        <v>46223</v>
      </c>
      <c r="C23" s="14"/>
      <c r="D23" s="14"/>
      <c r="E23" s="359"/>
      <c r="F23" s="90"/>
      <c r="G23" s="37">
        <f t="shared" si="0"/>
        <v>0</v>
      </c>
      <c r="H23" s="41"/>
      <c r="I23" s="41"/>
      <c r="J23" s="37">
        <f t="shared" si="1"/>
        <v>0</v>
      </c>
      <c r="K23" s="37">
        <f t="shared" si="2"/>
        <v>0</v>
      </c>
      <c r="L23" s="37">
        <v>300000</v>
      </c>
      <c r="M23" s="37">
        <f t="shared" si="3"/>
        <v>413591.22479999973</v>
      </c>
      <c r="N23" s="14"/>
    </row>
    <row r="24" spans="1:17">
      <c r="A24" s="23">
        <v>22</v>
      </c>
      <c r="B24" s="24">
        <v>46224</v>
      </c>
      <c r="C24" s="14"/>
      <c r="D24" s="14"/>
      <c r="E24" s="359">
        <v>500</v>
      </c>
      <c r="F24" s="90">
        <v>99.13</v>
      </c>
      <c r="G24" s="37">
        <f t="shared" si="0"/>
        <v>49565</v>
      </c>
      <c r="H24" s="41">
        <v>30</v>
      </c>
      <c r="I24" s="41">
        <v>111.21</v>
      </c>
      <c r="J24" s="37">
        <f t="shared" si="1"/>
        <v>3336.2999999999997</v>
      </c>
      <c r="K24" s="37">
        <f t="shared" si="2"/>
        <v>52901.3</v>
      </c>
      <c r="L24" s="37"/>
      <c r="M24" s="37">
        <f t="shared" si="3"/>
        <v>466492.52479999972</v>
      </c>
      <c r="N24" s="14"/>
    </row>
    <row r="25" spans="1:17">
      <c r="A25" s="23">
        <v>23</v>
      </c>
      <c r="B25" s="24">
        <v>46225</v>
      </c>
      <c r="C25" s="14"/>
      <c r="D25" s="14"/>
      <c r="E25" s="359"/>
      <c r="F25" s="90"/>
      <c r="G25" s="37">
        <f t="shared" si="0"/>
        <v>0</v>
      </c>
      <c r="H25" s="41"/>
      <c r="I25" s="41"/>
      <c r="J25" s="37">
        <f t="shared" si="1"/>
        <v>0</v>
      </c>
      <c r="K25" s="37">
        <f t="shared" si="2"/>
        <v>0</v>
      </c>
      <c r="L25" s="37"/>
      <c r="M25" s="37">
        <f t="shared" si="3"/>
        <v>466492.52479999972</v>
      </c>
      <c r="N25" s="14"/>
    </row>
    <row r="26" spans="1:17">
      <c r="A26" s="23">
        <v>24</v>
      </c>
      <c r="B26" s="24">
        <v>46226</v>
      </c>
      <c r="C26" s="14"/>
      <c r="D26" s="14"/>
      <c r="E26" s="359"/>
      <c r="F26" s="90"/>
      <c r="G26" s="37">
        <f t="shared" si="0"/>
        <v>0</v>
      </c>
      <c r="H26" s="41"/>
      <c r="I26" s="41"/>
      <c r="J26" s="37">
        <f t="shared" si="1"/>
        <v>0</v>
      </c>
      <c r="K26" s="37">
        <f t="shared" si="2"/>
        <v>0</v>
      </c>
      <c r="L26" s="37"/>
      <c r="M26" s="37">
        <f t="shared" si="3"/>
        <v>466492.52479999972</v>
      </c>
      <c r="N26" s="14"/>
    </row>
    <row r="27" spans="1:17">
      <c r="A27" s="23">
        <v>25</v>
      </c>
      <c r="B27" s="24">
        <v>46227</v>
      </c>
      <c r="C27" s="14"/>
      <c r="D27" s="14"/>
      <c r="E27" s="359"/>
      <c r="F27" s="90"/>
      <c r="G27" s="37">
        <f t="shared" si="0"/>
        <v>0</v>
      </c>
      <c r="H27" s="41">
        <v>30</v>
      </c>
      <c r="I27" s="41">
        <v>111.21</v>
      </c>
      <c r="J27" s="37">
        <f t="shared" si="1"/>
        <v>3336.2999999999997</v>
      </c>
      <c r="K27" s="37">
        <f t="shared" si="2"/>
        <v>3336.2999999999997</v>
      </c>
      <c r="L27" s="37"/>
      <c r="M27" s="37">
        <f t="shared" si="3"/>
        <v>469828.82479999971</v>
      </c>
      <c r="N27" s="14"/>
    </row>
    <row r="28" spans="1:17">
      <c r="A28" s="23">
        <v>26</v>
      </c>
      <c r="B28" s="24">
        <v>46228</v>
      </c>
      <c r="C28" s="14"/>
      <c r="D28" s="14"/>
      <c r="E28" s="359"/>
      <c r="F28" s="90"/>
      <c r="G28" s="37">
        <f t="shared" si="0"/>
        <v>0</v>
      </c>
      <c r="H28" s="41"/>
      <c r="I28" s="41"/>
      <c r="J28" s="37">
        <f t="shared" si="1"/>
        <v>0</v>
      </c>
      <c r="K28" s="37">
        <f t="shared" si="2"/>
        <v>0</v>
      </c>
      <c r="L28" s="37"/>
      <c r="M28" s="37">
        <f t="shared" si="3"/>
        <v>469828.82479999971</v>
      </c>
      <c r="N28" s="14"/>
    </row>
    <row r="29" spans="1:17">
      <c r="A29" s="23">
        <v>27</v>
      </c>
      <c r="B29" s="24">
        <v>46229</v>
      </c>
      <c r="C29" s="14"/>
      <c r="D29" s="14"/>
      <c r="E29" s="359"/>
      <c r="F29" s="90"/>
      <c r="G29" s="37">
        <f t="shared" si="0"/>
        <v>0</v>
      </c>
      <c r="H29" s="41"/>
      <c r="I29" s="41"/>
      <c r="J29" s="37">
        <f t="shared" si="1"/>
        <v>0</v>
      </c>
      <c r="K29" s="37">
        <f t="shared" si="2"/>
        <v>0</v>
      </c>
      <c r="L29" s="37"/>
      <c r="M29" s="37">
        <f t="shared" si="3"/>
        <v>469828.82479999971</v>
      </c>
      <c r="N29" s="14"/>
      <c r="P29" s="19"/>
    </row>
    <row r="30" spans="1:17">
      <c r="A30" s="23">
        <v>28</v>
      </c>
      <c r="B30" s="24">
        <v>46230</v>
      </c>
      <c r="C30" s="14"/>
      <c r="D30" s="14"/>
      <c r="E30" s="359"/>
      <c r="F30" s="90"/>
      <c r="G30" s="37">
        <f t="shared" si="0"/>
        <v>0</v>
      </c>
      <c r="H30" s="41"/>
      <c r="I30" s="41"/>
      <c r="J30" s="37">
        <f t="shared" si="1"/>
        <v>0</v>
      </c>
      <c r="K30" s="37">
        <f t="shared" si="2"/>
        <v>0</v>
      </c>
      <c r="L30" s="37"/>
      <c r="M30" s="37">
        <f t="shared" si="3"/>
        <v>469828.82479999971</v>
      </c>
      <c r="N30" s="14"/>
    </row>
    <row r="31" spans="1:17">
      <c r="A31" s="23">
        <v>29</v>
      </c>
      <c r="B31" s="24">
        <v>46231</v>
      </c>
      <c r="C31" s="14"/>
      <c r="D31" s="223"/>
      <c r="E31" s="359"/>
      <c r="F31" s="90"/>
      <c r="G31" s="37">
        <f t="shared" si="0"/>
        <v>0</v>
      </c>
      <c r="H31" s="41"/>
      <c r="I31" s="41"/>
      <c r="J31" s="37">
        <f t="shared" si="1"/>
        <v>0</v>
      </c>
      <c r="K31" s="37">
        <f t="shared" si="2"/>
        <v>0</v>
      </c>
      <c r="L31" s="37"/>
      <c r="M31" s="37">
        <f t="shared" si="3"/>
        <v>469828.82479999971</v>
      </c>
      <c r="N31" s="14"/>
      <c r="Q31">
        <v>166834</v>
      </c>
    </row>
    <row r="32" spans="1:17">
      <c r="A32" s="23">
        <v>30</v>
      </c>
      <c r="B32" s="24">
        <v>46232</v>
      </c>
      <c r="C32" s="14"/>
      <c r="D32" s="14"/>
      <c r="E32" s="359"/>
      <c r="F32" s="90"/>
      <c r="G32" s="37">
        <f t="shared" si="0"/>
        <v>0</v>
      </c>
      <c r="H32" s="41"/>
      <c r="I32" s="41"/>
      <c r="J32" s="37">
        <f t="shared" si="1"/>
        <v>0</v>
      </c>
      <c r="K32" s="37">
        <f t="shared" si="2"/>
        <v>0</v>
      </c>
      <c r="L32" s="37"/>
      <c r="M32" s="37">
        <f t="shared" si="3"/>
        <v>469828.82479999971</v>
      </c>
      <c r="N32" s="14"/>
    </row>
    <row r="33" spans="1:17">
      <c r="A33" s="23">
        <v>31</v>
      </c>
      <c r="B33" s="24">
        <v>46233</v>
      </c>
      <c r="C33" s="14"/>
      <c r="D33" s="14"/>
      <c r="E33" s="359"/>
      <c r="F33" s="90"/>
      <c r="G33" s="37">
        <f t="shared" si="0"/>
        <v>0</v>
      </c>
      <c r="H33" s="41"/>
      <c r="I33" s="41"/>
      <c r="J33" s="37">
        <f t="shared" si="1"/>
        <v>0</v>
      </c>
      <c r="K33" s="37">
        <f t="shared" si="2"/>
        <v>0</v>
      </c>
      <c r="L33" s="37"/>
      <c r="M33" s="37">
        <f t="shared" si="3"/>
        <v>469828.82479999971</v>
      </c>
      <c r="N33" s="14"/>
    </row>
    <row r="34" spans="1:17">
      <c r="A34" s="23">
        <v>32</v>
      </c>
      <c r="B34" s="24">
        <v>46234</v>
      </c>
      <c r="C34" s="14"/>
      <c r="D34" s="14"/>
      <c r="E34" s="359"/>
      <c r="F34" s="90"/>
      <c r="G34" s="37">
        <f t="shared" si="0"/>
        <v>0</v>
      </c>
      <c r="H34" s="41">
        <v>40</v>
      </c>
      <c r="I34" s="41">
        <v>111.21</v>
      </c>
      <c r="J34" s="37">
        <f t="shared" si="1"/>
        <v>4448.3999999999996</v>
      </c>
      <c r="K34" s="37">
        <f t="shared" si="2"/>
        <v>4448.3999999999996</v>
      </c>
      <c r="L34" s="37">
        <v>200000</v>
      </c>
      <c r="M34" s="37">
        <f t="shared" si="3"/>
        <v>274277.22479999973</v>
      </c>
      <c r="N34" s="14"/>
    </row>
    <row r="35" spans="1:17">
      <c r="A35" s="23">
        <v>33</v>
      </c>
      <c r="B35" s="24"/>
      <c r="C35" s="14"/>
      <c r="D35" s="14"/>
      <c r="E35" s="359"/>
      <c r="F35" s="90"/>
      <c r="G35" s="37">
        <f t="shared" si="0"/>
        <v>0</v>
      </c>
      <c r="H35" s="41"/>
      <c r="I35" s="41"/>
      <c r="J35" s="37">
        <f t="shared" si="1"/>
        <v>0</v>
      </c>
      <c r="K35" s="37">
        <f t="shared" si="2"/>
        <v>0</v>
      </c>
      <c r="L35" s="37"/>
      <c r="M35" s="37">
        <f t="shared" si="3"/>
        <v>274277.22479999973</v>
      </c>
      <c r="N35" s="14"/>
    </row>
    <row r="36" spans="1:17">
      <c r="A36" s="23">
        <v>34</v>
      </c>
      <c r="B36" s="24"/>
      <c r="C36" s="14"/>
      <c r="D36" s="14"/>
      <c r="E36" s="359"/>
      <c r="F36" s="90"/>
      <c r="G36" s="37">
        <f t="shared" si="0"/>
        <v>0</v>
      </c>
      <c r="H36" s="41"/>
      <c r="I36" s="41"/>
      <c r="J36" s="37">
        <f t="shared" si="1"/>
        <v>0</v>
      </c>
      <c r="K36" s="37">
        <f t="shared" si="2"/>
        <v>0</v>
      </c>
      <c r="L36" s="37"/>
      <c r="M36" s="37">
        <f t="shared" si="3"/>
        <v>274277.22479999973</v>
      </c>
      <c r="N36" s="14"/>
      <c r="Q36" s="234"/>
    </row>
    <row r="37" spans="1:17">
      <c r="A37" s="23">
        <v>35</v>
      </c>
      <c r="B37" s="24"/>
      <c r="C37" s="14"/>
      <c r="D37" s="14"/>
      <c r="E37" s="359"/>
      <c r="F37" s="90"/>
      <c r="G37" s="37">
        <f t="shared" si="0"/>
        <v>0</v>
      </c>
      <c r="H37" s="41"/>
      <c r="I37" s="41"/>
      <c r="J37" s="37">
        <f t="shared" si="1"/>
        <v>0</v>
      </c>
      <c r="K37" s="37">
        <f t="shared" si="2"/>
        <v>0</v>
      </c>
      <c r="L37" s="37"/>
      <c r="M37" s="37">
        <f t="shared" si="3"/>
        <v>274277.22479999973</v>
      </c>
      <c r="N37" s="14"/>
      <c r="Q37" s="234"/>
    </row>
    <row r="38" spans="1:17">
      <c r="A38" s="23">
        <v>36</v>
      </c>
      <c r="B38" s="24"/>
      <c r="C38" s="14"/>
      <c r="D38" s="14"/>
      <c r="E38" s="90"/>
      <c r="F38" s="90"/>
      <c r="G38" s="37">
        <f t="shared" si="0"/>
        <v>0</v>
      </c>
      <c r="H38" s="41"/>
      <c r="I38" s="41"/>
      <c r="J38" s="37">
        <f t="shared" si="1"/>
        <v>0</v>
      </c>
      <c r="K38" s="37">
        <f t="shared" si="2"/>
        <v>0</v>
      </c>
      <c r="L38" s="37"/>
      <c r="M38" s="37">
        <f t="shared" si="3"/>
        <v>274277.22479999973</v>
      </c>
      <c r="N38" s="14"/>
      <c r="Q38" s="234"/>
    </row>
    <row r="39" spans="1:17">
      <c r="A39" s="39"/>
      <c r="B39" s="39"/>
      <c r="C39" s="39"/>
      <c r="D39" s="39"/>
      <c r="E39" s="39">
        <f>SUM(E4:E38)</f>
        <v>4800</v>
      </c>
      <c r="F39" s="39"/>
      <c r="G39" s="39">
        <f>SUM(G4:G38)</f>
        <v>475824</v>
      </c>
      <c r="H39" s="39">
        <f>SUM(H4:H38)</f>
        <v>180</v>
      </c>
      <c r="I39" s="39"/>
      <c r="J39" s="39">
        <f>SUM(J4:J38)</f>
        <v>20017.799999999996</v>
      </c>
      <c r="K39" s="39">
        <f>SUM(K4:K38)</f>
        <v>495841.8</v>
      </c>
      <c r="L39" s="39">
        <f>SUM(L4:L38)</f>
        <v>700000</v>
      </c>
      <c r="M39" s="39"/>
      <c r="N39" s="39"/>
    </row>
  </sheetData>
  <mergeCells count="1"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4"/>
  <sheetViews>
    <sheetView workbookViewId="0">
      <pane ySplit="2" topLeftCell="A3" activePane="bottomLeft" state="frozen"/>
      <selection pane="bottomLeft" activeCell="J44" sqref="J44"/>
    </sheetView>
  </sheetViews>
  <sheetFormatPr defaultRowHeight="15"/>
  <cols>
    <col min="1" max="1" width="5.140625" style="74" bestFit="1" customWidth="1"/>
    <col min="2" max="2" width="10.85546875" style="74" bestFit="1" customWidth="1"/>
    <col min="3" max="3" width="16" style="74" bestFit="1" customWidth="1"/>
    <col min="4" max="4" width="13.28515625" style="74" bestFit="1" customWidth="1"/>
    <col min="5" max="6" width="10.7109375" style="74" bestFit="1" customWidth="1"/>
    <col min="7" max="7" width="11.5703125" style="74" bestFit="1" customWidth="1"/>
    <col min="8" max="8" width="10.7109375" style="74" bestFit="1" customWidth="1"/>
    <col min="9" max="9" width="7.140625" style="74" bestFit="1" customWidth="1"/>
    <col min="10" max="10" width="9.7109375" style="74" bestFit="1" customWidth="1"/>
    <col min="11" max="11" width="13.5703125" style="74" bestFit="1" customWidth="1"/>
    <col min="12" max="12" width="13.5703125" style="245" bestFit="1" customWidth="1"/>
    <col min="13" max="13" width="19.42578125" style="74" customWidth="1"/>
    <col min="14" max="14" width="14.28515625" style="74" bestFit="1" customWidth="1"/>
    <col min="15" max="15" width="16.7109375" style="74" customWidth="1"/>
    <col min="16" max="16384" width="9.140625" style="74"/>
  </cols>
  <sheetData>
    <row r="1" spans="1:15" ht="15.75">
      <c r="A1" s="560" t="s">
        <v>115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0"/>
    </row>
    <row r="2" spans="1:15" ht="30">
      <c r="A2" s="95" t="s">
        <v>0</v>
      </c>
      <c r="B2" s="96" t="s">
        <v>163</v>
      </c>
      <c r="C2" s="96" t="s">
        <v>164</v>
      </c>
      <c r="D2" s="96" t="s">
        <v>186</v>
      </c>
      <c r="E2" s="96" t="s">
        <v>166</v>
      </c>
      <c r="F2" s="96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220" t="s">
        <v>171</v>
      </c>
      <c r="M2" s="138" t="s">
        <v>187</v>
      </c>
      <c r="N2" s="98" t="s">
        <v>173</v>
      </c>
      <c r="O2" s="56"/>
    </row>
    <row r="3" spans="1:15">
      <c r="A3" s="570" t="s">
        <v>174</v>
      </c>
      <c r="B3" s="571"/>
      <c r="C3" s="571"/>
      <c r="D3" s="571"/>
      <c r="E3" s="571"/>
      <c r="F3" s="571"/>
      <c r="G3" s="571"/>
      <c r="H3" s="571"/>
      <c r="I3" s="571"/>
      <c r="J3" s="572"/>
      <c r="K3" s="202">
        <v>208.39069999998901</v>
      </c>
      <c r="L3" s="202"/>
      <c r="M3" s="202">
        <v>208.39069999998901</v>
      </c>
      <c r="N3" s="149"/>
      <c r="O3" s="8"/>
    </row>
    <row r="4" spans="1:15">
      <c r="A4" s="23">
        <v>1</v>
      </c>
      <c r="B4" s="24">
        <v>46204</v>
      </c>
      <c r="C4" s="22"/>
      <c r="D4" s="15"/>
      <c r="E4" s="44"/>
      <c r="F4" s="44"/>
      <c r="G4" s="8">
        <f>E4*F4</f>
        <v>0</v>
      </c>
      <c r="H4" s="44"/>
      <c r="I4" s="44"/>
      <c r="J4" s="8">
        <f>H4*I4</f>
        <v>0</v>
      </c>
      <c r="K4" s="8">
        <f>G4+J4</f>
        <v>0</v>
      </c>
      <c r="L4" s="243"/>
      <c r="M4" s="8">
        <f>M3+K4-L4</f>
        <v>208.39069999998901</v>
      </c>
      <c r="N4" s="8"/>
      <c r="O4" s="56"/>
    </row>
    <row r="5" spans="1:15">
      <c r="A5" s="23">
        <v>2</v>
      </c>
      <c r="B5" s="24">
        <v>46205</v>
      </c>
      <c r="C5" s="22"/>
      <c r="D5" s="15"/>
      <c r="E5" s="44"/>
      <c r="F5" s="44"/>
      <c r="G5" s="8">
        <f t="shared" ref="G5:G33" si="0">E5*F5</f>
        <v>0</v>
      </c>
      <c r="H5" s="44"/>
      <c r="I5" s="44"/>
      <c r="J5" s="8">
        <f t="shared" ref="J5:J33" si="1">H5*I5</f>
        <v>0</v>
      </c>
      <c r="K5" s="8">
        <f t="shared" ref="K5:K34" si="2">G5+J5</f>
        <v>0</v>
      </c>
      <c r="L5" s="243"/>
      <c r="M5" s="8">
        <f t="shared" ref="M5:M15" si="3">M4+K5-L5</f>
        <v>208.39069999998901</v>
      </c>
      <c r="N5" s="8"/>
      <c r="O5" s="56"/>
    </row>
    <row r="6" spans="1:15">
      <c r="A6" s="23">
        <v>3</v>
      </c>
      <c r="B6" s="24">
        <v>46206</v>
      </c>
      <c r="C6" s="22"/>
      <c r="D6" s="15"/>
      <c r="E6" s="44"/>
      <c r="F6" s="44"/>
      <c r="G6" s="8">
        <f t="shared" si="0"/>
        <v>0</v>
      </c>
      <c r="H6" s="44"/>
      <c r="I6" s="44"/>
      <c r="J6" s="8">
        <f t="shared" si="1"/>
        <v>0</v>
      </c>
      <c r="K6" s="8">
        <f t="shared" ref="K6:K33" si="4">G6+J6</f>
        <v>0</v>
      </c>
      <c r="L6" s="243"/>
      <c r="M6" s="8">
        <f t="shared" si="3"/>
        <v>208.39069999998901</v>
      </c>
      <c r="N6" s="8"/>
      <c r="O6" s="56"/>
    </row>
    <row r="7" spans="1:15">
      <c r="A7" s="23">
        <v>4</v>
      </c>
      <c r="B7" s="24">
        <v>46207</v>
      </c>
      <c r="C7" s="22"/>
      <c r="D7" s="15"/>
      <c r="E7" s="44"/>
      <c r="F7" s="44"/>
      <c r="G7" s="8">
        <f t="shared" si="0"/>
        <v>0</v>
      </c>
      <c r="H7" s="44"/>
      <c r="I7" s="44"/>
      <c r="J7" s="8">
        <f t="shared" si="1"/>
        <v>0</v>
      </c>
      <c r="K7" s="8">
        <f t="shared" si="4"/>
        <v>0</v>
      </c>
      <c r="L7" s="243"/>
      <c r="M7" s="8">
        <f t="shared" si="3"/>
        <v>208.39069999998901</v>
      </c>
      <c r="N7" s="8"/>
      <c r="O7" s="56"/>
    </row>
    <row r="8" spans="1:15">
      <c r="A8" s="23">
        <v>5</v>
      </c>
      <c r="B8" s="24">
        <v>46208</v>
      </c>
      <c r="C8" s="22"/>
      <c r="D8" s="15"/>
      <c r="E8" s="44"/>
      <c r="F8" s="44"/>
      <c r="G8" s="8">
        <f t="shared" si="0"/>
        <v>0</v>
      </c>
      <c r="H8" s="44"/>
      <c r="I8" s="44"/>
      <c r="J8" s="8">
        <f t="shared" si="1"/>
        <v>0</v>
      </c>
      <c r="K8" s="8">
        <f t="shared" si="4"/>
        <v>0</v>
      </c>
      <c r="L8" s="243"/>
      <c r="M8" s="8">
        <f t="shared" si="3"/>
        <v>208.39069999998901</v>
      </c>
      <c r="N8" s="8"/>
      <c r="O8" s="56"/>
    </row>
    <row r="9" spans="1:15">
      <c r="A9" s="23">
        <v>6</v>
      </c>
      <c r="B9" s="24">
        <v>46209</v>
      </c>
      <c r="C9" s="22"/>
      <c r="D9" s="15"/>
      <c r="E9" s="44"/>
      <c r="F9" s="44"/>
      <c r="G9" s="8">
        <f t="shared" si="0"/>
        <v>0</v>
      </c>
      <c r="H9" s="44"/>
      <c r="I9" s="44"/>
      <c r="J9" s="8">
        <f t="shared" si="1"/>
        <v>0</v>
      </c>
      <c r="K9" s="8">
        <f t="shared" si="4"/>
        <v>0</v>
      </c>
      <c r="L9" s="243"/>
      <c r="M9" s="8">
        <f t="shared" si="3"/>
        <v>208.39069999998901</v>
      </c>
      <c r="N9" s="8"/>
      <c r="O9" s="56"/>
    </row>
    <row r="10" spans="1:15">
      <c r="A10" s="23">
        <v>7</v>
      </c>
      <c r="B10" s="24">
        <v>46210</v>
      </c>
      <c r="C10" s="22"/>
      <c r="D10" s="15"/>
      <c r="E10" s="44"/>
      <c r="F10" s="44"/>
      <c r="G10" s="8">
        <f t="shared" si="0"/>
        <v>0</v>
      </c>
      <c r="H10" s="44"/>
      <c r="I10" s="44"/>
      <c r="J10" s="8">
        <f t="shared" si="1"/>
        <v>0</v>
      </c>
      <c r="K10" s="8">
        <f t="shared" si="4"/>
        <v>0</v>
      </c>
      <c r="L10" s="243"/>
      <c r="M10" s="8">
        <f t="shared" si="3"/>
        <v>208.39069999998901</v>
      </c>
      <c r="N10" s="8"/>
      <c r="O10" s="56"/>
    </row>
    <row r="11" spans="1:15">
      <c r="A11" s="23">
        <v>8</v>
      </c>
      <c r="B11" s="24">
        <v>46211</v>
      </c>
      <c r="C11" s="22"/>
      <c r="D11" s="15"/>
      <c r="E11" s="44"/>
      <c r="F11" s="44"/>
      <c r="G11" s="8">
        <f t="shared" si="0"/>
        <v>0</v>
      </c>
      <c r="H11" s="44"/>
      <c r="I11" s="44"/>
      <c r="J11" s="8">
        <f t="shared" si="1"/>
        <v>0</v>
      </c>
      <c r="K11" s="8">
        <f t="shared" si="4"/>
        <v>0</v>
      </c>
      <c r="L11" s="243"/>
      <c r="M11" s="8">
        <f t="shared" si="3"/>
        <v>208.39069999998901</v>
      </c>
      <c r="N11" s="8"/>
      <c r="O11" s="56"/>
    </row>
    <row r="12" spans="1:15">
      <c r="A12" s="23">
        <v>9</v>
      </c>
      <c r="B12" s="24">
        <v>46212</v>
      </c>
      <c r="C12" s="22"/>
      <c r="D12" s="15"/>
      <c r="E12" s="258"/>
      <c r="F12" s="286"/>
      <c r="G12" s="8">
        <f t="shared" si="0"/>
        <v>0</v>
      </c>
      <c r="H12" s="258"/>
      <c r="I12" s="286"/>
      <c r="J12" s="8">
        <f t="shared" si="1"/>
        <v>0</v>
      </c>
      <c r="K12" s="8">
        <f t="shared" si="4"/>
        <v>0</v>
      </c>
      <c r="L12" s="243"/>
      <c r="M12" s="8">
        <f t="shared" si="3"/>
        <v>208.39069999998901</v>
      </c>
      <c r="N12" s="8"/>
      <c r="O12" s="56"/>
    </row>
    <row r="13" spans="1:15">
      <c r="A13" s="23">
        <v>10</v>
      </c>
      <c r="B13" s="24">
        <v>46213</v>
      </c>
      <c r="C13" s="22"/>
      <c r="D13" s="15"/>
      <c r="E13" s="258"/>
      <c r="F13" s="286"/>
      <c r="G13" s="8">
        <f t="shared" si="0"/>
        <v>0</v>
      </c>
      <c r="H13" s="258"/>
      <c r="I13" s="286"/>
      <c r="J13" s="8">
        <f t="shared" si="1"/>
        <v>0</v>
      </c>
      <c r="K13" s="8">
        <f t="shared" si="4"/>
        <v>0</v>
      </c>
      <c r="L13" s="243"/>
      <c r="M13" s="8">
        <f>M12+K13-L13</f>
        <v>208.39069999998901</v>
      </c>
      <c r="N13" s="16"/>
      <c r="O13" s="56"/>
    </row>
    <row r="14" spans="1:15">
      <c r="A14" s="23">
        <v>11</v>
      </c>
      <c r="B14" s="24">
        <v>46214</v>
      </c>
      <c r="C14" s="22"/>
      <c r="D14" s="15"/>
      <c r="E14" s="44"/>
      <c r="F14" s="44"/>
      <c r="G14" s="8">
        <f t="shared" si="0"/>
        <v>0</v>
      </c>
      <c r="H14" s="44"/>
      <c r="I14" s="286"/>
      <c r="J14" s="8">
        <f t="shared" si="1"/>
        <v>0</v>
      </c>
      <c r="K14" s="8">
        <f t="shared" si="4"/>
        <v>0</v>
      </c>
      <c r="L14" s="243"/>
      <c r="M14" s="8">
        <f>M13+K14-L14</f>
        <v>208.39069999998901</v>
      </c>
      <c r="N14" s="16"/>
      <c r="O14" s="56"/>
    </row>
    <row r="15" spans="1:15">
      <c r="A15" s="23">
        <v>12</v>
      </c>
      <c r="B15" s="24">
        <v>46215</v>
      </c>
      <c r="C15" s="22"/>
      <c r="D15" s="15"/>
      <c r="E15" s="44"/>
      <c r="F15" s="44"/>
      <c r="G15" s="8">
        <f t="shared" si="0"/>
        <v>0</v>
      </c>
      <c r="H15" s="44"/>
      <c r="I15" s="44"/>
      <c r="J15" s="8">
        <f t="shared" si="1"/>
        <v>0</v>
      </c>
      <c r="K15" s="8">
        <f t="shared" si="4"/>
        <v>0</v>
      </c>
      <c r="L15" s="243"/>
      <c r="M15" s="8">
        <f t="shared" si="3"/>
        <v>208.39069999998901</v>
      </c>
      <c r="N15" s="16"/>
      <c r="O15" s="56"/>
    </row>
    <row r="16" spans="1:15">
      <c r="A16" s="23">
        <v>13</v>
      </c>
      <c r="B16" s="24">
        <v>46216</v>
      </c>
      <c r="C16" s="22"/>
      <c r="D16" s="15"/>
      <c r="E16" s="44"/>
      <c r="F16" s="44"/>
      <c r="G16" s="8">
        <f t="shared" si="0"/>
        <v>0</v>
      </c>
      <c r="H16" s="44"/>
      <c r="I16" s="44"/>
      <c r="J16" s="8">
        <f t="shared" si="1"/>
        <v>0</v>
      </c>
      <c r="K16" s="8">
        <f t="shared" si="4"/>
        <v>0</v>
      </c>
      <c r="L16" s="243"/>
      <c r="M16" s="8">
        <f t="shared" ref="M16:M24" si="5">M15+K16-L16</f>
        <v>208.39069999998901</v>
      </c>
      <c r="N16" s="16"/>
      <c r="O16" s="56"/>
    </row>
    <row r="17" spans="1:18">
      <c r="A17" s="23">
        <v>14</v>
      </c>
      <c r="B17" s="24">
        <v>46217</v>
      </c>
      <c r="C17" s="22"/>
      <c r="D17" s="15"/>
      <c r="E17" s="44"/>
      <c r="F17" s="44"/>
      <c r="G17" s="8">
        <f t="shared" si="0"/>
        <v>0</v>
      </c>
      <c r="H17" s="44"/>
      <c r="I17" s="286"/>
      <c r="J17" s="8">
        <f t="shared" si="1"/>
        <v>0</v>
      </c>
      <c r="K17" s="8">
        <f t="shared" si="4"/>
        <v>0</v>
      </c>
      <c r="L17" s="243"/>
      <c r="M17" s="8">
        <f t="shared" si="5"/>
        <v>208.39069999998901</v>
      </c>
      <c r="N17" s="16"/>
      <c r="O17" s="56"/>
    </row>
    <row r="18" spans="1:18">
      <c r="A18" s="23">
        <v>15</v>
      </c>
      <c r="B18" s="24">
        <v>46218</v>
      </c>
      <c r="C18" s="22"/>
      <c r="D18" s="15"/>
      <c r="E18" s="44"/>
      <c r="F18" s="44"/>
      <c r="G18" s="8">
        <f t="shared" si="0"/>
        <v>0</v>
      </c>
      <c r="H18" s="44"/>
      <c r="I18" s="44"/>
      <c r="J18" s="8">
        <f t="shared" si="1"/>
        <v>0</v>
      </c>
      <c r="K18" s="8">
        <f t="shared" si="4"/>
        <v>0</v>
      </c>
      <c r="L18" s="243"/>
      <c r="M18" s="8">
        <f t="shared" si="5"/>
        <v>208.39069999998901</v>
      </c>
      <c r="N18" s="16"/>
      <c r="O18" s="56"/>
    </row>
    <row r="19" spans="1:18">
      <c r="A19" s="23">
        <v>16</v>
      </c>
      <c r="B19" s="24">
        <v>46219</v>
      </c>
      <c r="C19" s="22"/>
      <c r="D19" s="15"/>
      <c r="E19" s="44"/>
      <c r="F19" s="44"/>
      <c r="G19" s="8">
        <f t="shared" si="0"/>
        <v>0</v>
      </c>
      <c r="H19" s="44"/>
      <c r="I19" s="44"/>
      <c r="J19" s="8">
        <f t="shared" si="1"/>
        <v>0</v>
      </c>
      <c r="K19" s="8">
        <f t="shared" si="4"/>
        <v>0</v>
      </c>
      <c r="L19" s="243"/>
      <c r="M19" s="8">
        <f t="shared" si="5"/>
        <v>208.39069999998901</v>
      </c>
      <c r="N19" s="16"/>
      <c r="O19" s="56"/>
    </row>
    <row r="20" spans="1:18">
      <c r="A20" s="23">
        <v>17</v>
      </c>
      <c r="B20" s="24">
        <v>46220</v>
      </c>
      <c r="C20" s="22"/>
      <c r="D20" s="15"/>
      <c r="E20" s="44"/>
      <c r="F20" s="44"/>
      <c r="G20" s="8">
        <f t="shared" si="0"/>
        <v>0</v>
      </c>
      <c r="H20" s="44"/>
      <c r="I20" s="44"/>
      <c r="J20" s="8">
        <f t="shared" si="1"/>
        <v>0</v>
      </c>
      <c r="K20" s="8">
        <f t="shared" si="4"/>
        <v>0</v>
      </c>
      <c r="L20" s="243"/>
      <c r="M20" s="8">
        <f t="shared" si="5"/>
        <v>208.39069999998901</v>
      </c>
      <c r="N20" s="16"/>
      <c r="O20" s="56"/>
    </row>
    <row r="21" spans="1:18">
      <c r="A21" s="23">
        <v>18</v>
      </c>
      <c r="B21" s="24">
        <v>46221</v>
      </c>
      <c r="C21" s="22"/>
      <c r="D21" s="15"/>
      <c r="E21" s="44"/>
      <c r="F21" s="44"/>
      <c r="G21" s="8">
        <f t="shared" si="0"/>
        <v>0</v>
      </c>
      <c r="H21" s="44"/>
      <c r="I21" s="44"/>
      <c r="J21" s="8">
        <f t="shared" si="1"/>
        <v>0</v>
      </c>
      <c r="K21" s="8">
        <f t="shared" si="4"/>
        <v>0</v>
      </c>
      <c r="L21" s="243"/>
      <c r="M21" s="8">
        <f t="shared" si="5"/>
        <v>208.39069999998901</v>
      </c>
      <c r="N21" s="16"/>
      <c r="O21" s="56"/>
    </row>
    <row r="22" spans="1:18">
      <c r="A22" s="23">
        <v>19</v>
      </c>
      <c r="B22" s="24">
        <v>46222</v>
      </c>
      <c r="C22" s="22"/>
      <c r="D22" s="15"/>
      <c r="E22" s="44"/>
      <c r="F22" s="44"/>
      <c r="G22" s="8">
        <f t="shared" si="0"/>
        <v>0</v>
      </c>
      <c r="H22" s="44"/>
      <c r="I22" s="44"/>
      <c r="J22" s="8">
        <f t="shared" si="1"/>
        <v>0</v>
      </c>
      <c r="K22" s="8">
        <f t="shared" si="4"/>
        <v>0</v>
      </c>
      <c r="L22" s="243"/>
      <c r="M22" s="8">
        <f t="shared" si="5"/>
        <v>208.39069999998901</v>
      </c>
      <c r="N22" s="16"/>
      <c r="O22" s="56"/>
    </row>
    <row r="23" spans="1:18">
      <c r="A23" s="23">
        <v>20</v>
      </c>
      <c r="B23" s="24">
        <v>46223</v>
      </c>
      <c r="C23" s="22"/>
      <c r="D23" s="15"/>
      <c r="E23" s="44"/>
      <c r="F23" s="44"/>
      <c r="G23" s="8">
        <f t="shared" si="0"/>
        <v>0</v>
      </c>
      <c r="H23" s="44"/>
      <c r="I23" s="44"/>
      <c r="J23" s="8">
        <f t="shared" si="1"/>
        <v>0</v>
      </c>
      <c r="K23" s="8">
        <f t="shared" si="4"/>
        <v>0</v>
      </c>
      <c r="L23" s="243"/>
      <c r="M23" s="8">
        <f t="shared" si="5"/>
        <v>208.39069999998901</v>
      </c>
      <c r="N23" s="16"/>
      <c r="O23" s="56"/>
    </row>
    <row r="24" spans="1:18">
      <c r="A24" s="23">
        <v>21</v>
      </c>
      <c r="B24" s="24">
        <v>46224</v>
      </c>
      <c r="C24" s="22"/>
      <c r="D24" s="15"/>
      <c r="E24" s="44"/>
      <c r="F24" s="44"/>
      <c r="G24" s="8">
        <f t="shared" si="0"/>
        <v>0</v>
      </c>
      <c r="H24" s="44"/>
      <c r="I24" s="44"/>
      <c r="J24" s="8">
        <f t="shared" si="1"/>
        <v>0</v>
      </c>
      <c r="K24" s="8">
        <f t="shared" si="4"/>
        <v>0</v>
      </c>
      <c r="L24" s="243"/>
      <c r="M24" s="8">
        <f t="shared" si="5"/>
        <v>208.39069999998901</v>
      </c>
      <c r="N24" s="16"/>
      <c r="O24" s="56"/>
    </row>
    <row r="25" spans="1:18">
      <c r="A25" s="23">
        <v>22</v>
      </c>
      <c r="B25" s="24">
        <v>46225</v>
      </c>
      <c r="C25" s="22"/>
      <c r="D25" s="15"/>
      <c r="E25" s="44"/>
      <c r="F25" s="44"/>
      <c r="G25" s="8">
        <f t="shared" si="0"/>
        <v>0</v>
      </c>
      <c r="H25" s="44"/>
      <c r="I25" s="44"/>
      <c r="J25" s="8">
        <f t="shared" si="1"/>
        <v>0</v>
      </c>
      <c r="K25" s="8">
        <f t="shared" si="4"/>
        <v>0</v>
      </c>
      <c r="L25" s="243"/>
      <c r="M25" s="8">
        <f t="shared" ref="M25:M34" si="6">M24+K25-L25</f>
        <v>208.39069999998901</v>
      </c>
      <c r="N25" s="16"/>
      <c r="O25" s="56"/>
    </row>
    <row r="26" spans="1:18">
      <c r="A26" s="23">
        <v>23</v>
      </c>
      <c r="B26" s="24">
        <v>46226</v>
      </c>
      <c r="C26" s="22"/>
      <c r="D26" s="15"/>
      <c r="E26" s="44"/>
      <c r="F26" s="44"/>
      <c r="G26" s="8">
        <f t="shared" si="0"/>
        <v>0</v>
      </c>
      <c r="H26" s="44"/>
      <c r="I26" s="44"/>
      <c r="J26" s="8">
        <f t="shared" si="1"/>
        <v>0</v>
      </c>
      <c r="K26" s="8">
        <f t="shared" si="4"/>
        <v>0</v>
      </c>
      <c r="L26" s="243"/>
      <c r="M26" s="8">
        <f t="shared" si="6"/>
        <v>208.39069999998901</v>
      </c>
      <c r="N26" s="16"/>
      <c r="O26" s="56"/>
      <c r="Q26" s="74" t="s">
        <v>261</v>
      </c>
    </row>
    <row r="27" spans="1:18">
      <c r="A27" s="23">
        <v>24</v>
      </c>
      <c r="B27" s="24">
        <v>46227</v>
      </c>
      <c r="C27" s="22"/>
      <c r="D27" s="15"/>
      <c r="E27" s="44"/>
      <c r="F27" s="44"/>
      <c r="G27" s="8">
        <f t="shared" si="0"/>
        <v>0</v>
      </c>
      <c r="H27" s="44"/>
      <c r="I27" s="44"/>
      <c r="J27" s="8">
        <f t="shared" si="1"/>
        <v>0</v>
      </c>
      <c r="K27" s="8">
        <f t="shared" si="4"/>
        <v>0</v>
      </c>
      <c r="L27" s="243"/>
      <c r="M27" s="8">
        <f t="shared" si="6"/>
        <v>208.39069999998901</v>
      </c>
      <c r="N27" s="16"/>
      <c r="O27" s="56"/>
      <c r="Q27" s="74">
        <v>30</v>
      </c>
      <c r="R27" s="74">
        <v>50</v>
      </c>
    </row>
    <row r="28" spans="1:18">
      <c r="A28" s="23">
        <v>25</v>
      </c>
      <c r="B28" s="24">
        <v>46228</v>
      </c>
      <c r="C28" s="22"/>
      <c r="D28" s="15"/>
      <c r="E28" s="44"/>
      <c r="F28" s="44"/>
      <c r="G28" s="8">
        <f t="shared" si="0"/>
        <v>0</v>
      </c>
      <c r="H28" s="44"/>
      <c r="I28" s="44"/>
      <c r="J28" s="8">
        <f t="shared" si="1"/>
        <v>0</v>
      </c>
      <c r="K28" s="8">
        <f t="shared" si="4"/>
        <v>0</v>
      </c>
      <c r="L28" s="243"/>
      <c r="M28" s="8">
        <f t="shared" si="6"/>
        <v>208.39069999998901</v>
      </c>
      <c r="N28" s="16"/>
      <c r="O28" s="56"/>
      <c r="Q28" s="74">
        <v>50</v>
      </c>
      <c r="R28" s="74">
        <v>4.51</v>
      </c>
    </row>
    <row r="29" spans="1:18">
      <c r="A29" s="23">
        <v>26</v>
      </c>
      <c r="B29" s="24">
        <v>46229</v>
      </c>
      <c r="C29" s="22"/>
      <c r="D29" s="15"/>
      <c r="E29" s="44"/>
      <c r="F29" s="44"/>
      <c r="G29" s="8">
        <f t="shared" si="0"/>
        <v>0</v>
      </c>
      <c r="H29" s="44"/>
      <c r="I29" s="44"/>
      <c r="J29" s="8">
        <f t="shared" si="1"/>
        <v>0</v>
      </c>
      <c r="K29" s="8">
        <f t="shared" si="4"/>
        <v>0</v>
      </c>
      <c r="L29" s="243"/>
      <c r="M29" s="8">
        <f t="shared" si="6"/>
        <v>208.39069999998901</v>
      </c>
      <c r="N29" s="16"/>
      <c r="O29" s="56"/>
    </row>
    <row r="30" spans="1:18">
      <c r="A30" s="23">
        <v>27</v>
      </c>
      <c r="B30" s="24">
        <v>46230</v>
      </c>
      <c r="C30" s="22"/>
      <c r="D30" s="15"/>
      <c r="E30" s="44"/>
      <c r="F30" s="44"/>
      <c r="G30" s="8">
        <f t="shared" si="0"/>
        <v>0</v>
      </c>
      <c r="H30" s="44"/>
      <c r="I30" s="44"/>
      <c r="J30" s="8">
        <f t="shared" si="1"/>
        <v>0</v>
      </c>
      <c r="K30" s="8">
        <f t="shared" si="4"/>
        <v>0</v>
      </c>
      <c r="L30" s="243"/>
      <c r="M30" s="8">
        <f t="shared" si="6"/>
        <v>208.39069999998901</v>
      </c>
      <c r="N30" s="16"/>
      <c r="O30" s="56"/>
    </row>
    <row r="31" spans="1:18">
      <c r="A31" s="210">
        <v>28</v>
      </c>
      <c r="B31" s="24">
        <v>46231</v>
      </c>
      <c r="C31" s="22"/>
      <c r="D31" s="15"/>
      <c r="E31" s="44"/>
      <c r="F31" s="44"/>
      <c r="G31" s="8">
        <f t="shared" si="0"/>
        <v>0</v>
      </c>
      <c r="H31" s="44"/>
      <c r="I31" s="44"/>
      <c r="J31" s="8">
        <f t="shared" si="1"/>
        <v>0</v>
      </c>
      <c r="K31" s="8">
        <f t="shared" si="4"/>
        <v>0</v>
      </c>
      <c r="L31" s="243"/>
      <c r="M31" s="8">
        <f t="shared" si="6"/>
        <v>208.39069999998901</v>
      </c>
      <c r="N31" s="16"/>
      <c r="O31" s="56"/>
    </row>
    <row r="32" spans="1:18">
      <c r="A32" s="23">
        <v>29</v>
      </c>
      <c r="B32" s="24">
        <v>46232</v>
      </c>
      <c r="C32" s="22"/>
      <c r="D32" s="15"/>
      <c r="E32" s="44"/>
      <c r="F32" s="44"/>
      <c r="G32" s="8">
        <f t="shared" si="0"/>
        <v>0</v>
      </c>
      <c r="H32" s="44"/>
      <c r="I32" s="44"/>
      <c r="J32" s="8">
        <f t="shared" si="1"/>
        <v>0</v>
      </c>
      <c r="K32" s="8">
        <f t="shared" si="4"/>
        <v>0</v>
      </c>
      <c r="L32" s="243"/>
      <c r="M32" s="8">
        <f t="shared" si="6"/>
        <v>208.39069999998901</v>
      </c>
      <c r="N32" s="16"/>
      <c r="O32" s="56"/>
    </row>
    <row r="33" spans="1:15">
      <c r="A33" s="23">
        <v>30</v>
      </c>
      <c r="B33" s="24">
        <v>46233</v>
      </c>
      <c r="C33" s="22"/>
      <c r="D33" s="15"/>
      <c r="E33" s="44"/>
      <c r="F33" s="44"/>
      <c r="G33" s="8">
        <f t="shared" si="0"/>
        <v>0</v>
      </c>
      <c r="H33" s="44"/>
      <c r="I33" s="44"/>
      <c r="J33" s="8">
        <f t="shared" si="1"/>
        <v>0</v>
      </c>
      <c r="K33" s="8">
        <f t="shared" si="4"/>
        <v>0</v>
      </c>
      <c r="L33" s="243"/>
      <c r="M33" s="8">
        <f t="shared" si="6"/>
        <v>208.39069999998901</v>
      </c>
      <c r="N33" s="16"/>
      <c r="O33" s="56"/>
    </row>
    <row r="34" spans="1:15">
      <c r="A34" s="23">
        <v>31</v>
      </c>
      <c r="B34" s="24"/>
      <c r="C34" s="22"/>
      <c r="D34" s="15"/>
      <c r="E34" s="44"/>
      <c r="F34" s="44"/>
      <c r="G34" s="8">
        <f t="shared" ref="G5:G34" si="7">E34*F34</f>
        <v>0</v>
      </c>
      <c r="H34" s="44"/>
      <c r="I34" s="44"/>
      <c r="J34" s="8">
        <f t="shared" ref="J5:J34" si="8">H34*I34</f>
        <v>0</v>
      </c>
      <c r="K34" s="8">
        <f t="shared" si="2"/>
        <v>0</v>
      </c>
      <c r="L34" s="243"/>
      <c r="M34" s="8">
        <f>M33+K34-L34</f>
        <v>208.39069999998901</v>
      </c>
      <c r="N34" s="16"/>
      <c r="O34" s="56"/>
    </row>
    <row r="35" spans="1:15">
      <c r="A35" s="153"/>
      <c r="B35" s="153"/>
      <c r="C35" s="153"/>
      <c r="D35" s="153"/>
      <c r="E35" s="154">
        <f>SUM(E4:E34)</f>
        <v>0</v>
      </c>
      <c r="F35" s="154"/>
      <c r="G35" s="154">
        <f>SUM(G4:G34)</f>
        <v>0</v>
      </c>
      <c r="H35" s="154">
        <f>SUM(H4:H34)</f>
        <v>0</v>
      </c>
      <c r="I35" s="154"/>
      <c r="J35" s="154">
        <f>SUM(J4:J34)</f>
        <v>0</v>
      </c>
      <c r="K35" s="154">
        <f>SUM(K4:K34)</f>
        <v>0</v>
      </c>
      <c r="L35" s="154">
        <f>SUM(L4:L34)</f>
        <v>0</v>
      </c>
      <c r="M35" s="154"/>
      <c r="N35" s="154"/>
      <c r="O35" s="56"/>
    </row>
    <row r="36" spans="1:15">
      <c r="A36" s="70"/>
      <c r="B36" s="70"/>
      <c r="C36" s="70"/>
      <c r="D36" s="70"/>
      <c r="E36" s="72"/>
      <c r="F36" s="72"/>
      <c r="G36" s="72"/>
      <c r="H36" s="72"/>
      <c r="I36" s="72"/>
      <c r="J36" s="72"/>
      <c r="K36" s="72"/>
      <c r="L36" s="244"/>
      <c r="M36" s="72"/>
      <c r="N36" s="72"/>
      <c r="O36" s="56"/>
    </row>
    <row r="37" spans="1:15">
      <c r="E37" s="248"/>
      <c r="F37" s="248"/>
      <c r="G37" s="248"/>
      <c r="H37" s="248"/>
      <c r="I37" s="248"/>
      <c r="J37" s="248"/>
      <c r="K37" s="248"/>
      <c r="L37" s="248"/>
      <c r="O37" s="56"/>
    </row>
    <row r="38" spans="1:15">
      <c r="O38" s="56"/>
    </row>
    <row r="39" spans="1:15">
      <c r="O39" s="56"/>
    </row>
    <row r="40" spans="1:15">
      <c r="O40" s="56"/>
    </row>
    <row r="41" spans="1:15">
      <c r="O41" s="56"/>
    </row>
    <row r="42" spans="1:15">
      <c r="A42" s="56"/>
      <c r="B42" s="56"/>
      <c r="C42" s="56"/>
      <c r="D42" s="56"/>
      <c r="E42" s="56"/>
      <c r="F42" s="56"/>
      <c r="G42" s="78"/>
      <c r="H42" s="56"/>
      <c r="I42" s="56"/>
      <c r="J42" s="56"/>
      <c r="K42" s="56"/>
      <c r="L42" s="70"/>
      <c r="M42" s="56"/>
      <c r="N42" s="56"/>
      <c r="O42" s="72"/>
    </row>
    <row r="43" spans="1:15">
      <c r="A43" s="56"/>
      <c r="B43" s="569"/>
      <c r="C43" s="569"/>
      <c r="D43" s="569"/>
      <c r="E43" s="569"/>
      <c r="F43" s="56"/>
      <c r="G43" s="56"/>
      <c r="H43" s="56"/>
      <c r="I43" s="569"/>
      <c r="J43" s="569"/>
      <c r="K43" s="569"/>
      <c r="L43" s="569"/>
      <c r="M43" s="569"/>
      <c r="N43" s="569"/>
      <c r="O43" s="72"/>
    </row>
    <row r="44" spans="1:1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70"/>
      <c r="M44" s="56"/>
      <c r="N44" s="56"/>
      <c r="O44" s="72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6"/>
  <sheetViews>
    <sheetView workbookViewId="0">
      <pane ySplit="2" topLeftCell="A24" activePane="bottomLeft" state="frozen"/>
      <selection pane="bottomLeft" activeCell="L34" sqref="L34:M34"/>
    </sheetView>
  </sheetViews>
  <sheetFormatPr defaultRowHeight="15"/>
  <cols>
    <col min="1" max="1" width="5.140625" style="66" bestFit="1" customWidth="1"/>
    <col min="2" max="2" width="10.85546875" style="66" bestFit="1" customWidth="1"/>
    <col min="3" max="3" width="8" style="66" bestFit="1" customWidth="1"/>
    <col min="4" max="4" width="16" style="66" bestFit="1" customWidth="1"/>
    <col min="5" max="5" width="10.7109375" style="66" bestFit="1" customWidth="1"/>
    <col min="6" max="6" width="14.5703125" style="66" bestFit="1" customWidth="1"/>
    <col min="7" max="7" width="18.28515625" style="66" customWidth="1"/>
    <col min="8" max="8" width="10.7109375" style="66" bestFit="1" customWidth="1"/>
    <col min="9" max="9" width="15.5703125" style="66" customWidth="1"/>
    <col min="10" max="10" width="10.85546875" style="66" bestFit="1" customWidth="1"/>
    <col min="11" max="11" width="14.5703125" style="66" bestFit="1" customWidth="1"/>
    <col min="12" max="12" width="13.5703125" style="66" bestFit="1" customWidth="1"/>
    <col min="13" max="13" width="13.5703125" style="66" customWidth="1"/>
    <col min="14" max="14" width="14.140625" style="66" bestFit="1" customWidth="1"/>
    <col min="15" max="15" width="11.28515625" style="66" customWidth="1"/>
    <col min="16" max="16" width="11.5703125" style="66" bestFit="1" customWidth="1"/>
    <col min="17" max="16384" width="9.140625" style="66"/>
  </cols>
  <sheetData>
    <row r="1" spans="1:17" ht="15.75">
      <c r="A1" s="564" t="s">
        <v>117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79"/>
    </row>
    <row r="2" spans="1:17">
      <c r="A2" s="61" t="s">
        <v>0</v>
      </c>
      <c r="B2" s="80" t="s">
        <v>163</v>
      </c>
      <c r="C2" s="80" t="s">
        <v>164</v>
      </c>
      <c r="D2" s="80" t="s">
        <v>165</v>
      </c>
      <c r="E2" s="80" t="s">
        <v>166</v>
      </c>
      <c r="F2" s="80" t="s">
        <v>167</v>
      </c>
      <c r="G2" s="80" t="s">
        <v>168</v>
      </c>
      <c r="H2" s="80" t="s">
        <v>169</v>
      </c>
      <c r="I2" s="80" t="s">
        <v>167</v>
      </c>
      <c r="J2" s="81" t="s">
        <v>168</v>
      </c>
      <c r="K2" s="61" t="s">
        <v>170</v>
      </c>
      <c r="L2" s="82" t="s">
        <v>171</v>
      </c>
      <c r="M2" s="82" t="s">
        <v>187</v>
      </c>
      <c r="N2" s="80" t="s">
        <v>173</v>
      </c>
      <c r="O2" s="56"/>
    </row>
    <row r="3" spans="1:17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2"/>
      <c r="K3" s="156">
        <v>529659.86890000035</v>
      </c>
      <c r="L3" s="64">
        <v>0</v>
      </c>
      <c r="M3" s="156">
        <v>529659.86890000035</v>
      </c>
      <c r="N3" s="64"/>
      <c r="O3" s="56"/>
      <c r="P3" s="233"/>
    </row>
    <row r="4" spans="1:17">
      <c r="A4" s="23">
        <v>1</v>
      </c>
      <c r="B4" s="24">
        <v>46204</v>
      </c>
      <c r="C4" s="64"/>
      <c r="D4" s="152"/>
      <c r="E4" s="157"/>
      <c r="F4" s="157"/>
      <c r="G4" s="8">
        <f>E4*F4</f>
        <v>0</v>
      </c>
      <c r="H4" s="157"/>
      <c r="I4" s="157"/>
      <c r="J4" s="8">
        <f>H4*I4</f>
        <v>0</v>
      </c>
      <c r="K4" s="8">
        <f>G4+J4</f>
        <v>0</v>
      </c>
      <c r="L4" s="158">
        <v>0</v>
      </c>
      <c r="M4" s="158">
        <f t="shared" ref="M4:M35" si="0">M3+K4-L4</f>
        <v>529659.86890000035</v>
      </c>
      <c r="N4" s="38"/>
    </row>
    <row r="5" spans="1:17">
      <c r="A5" s="23">
        <v>2</v>
      </c>
      <c r="B5" s="24">
        <v>46205</v>
      </c>
      <c r="C5" s="64"/>
      <c r="D5" s="152"/>
      <c r="E5" s="157">
        <v>720</v>
      </c>
      <c r="F5" s="157">
        <v>99.74</v>
      </c>
      <c r="G5" s="8">
        <f t="shared" ref="G5:G36" si="1">E5*F5</f>
        <v>71812.800000000003</v>
      </c>
      <c r="H5" s="157"/>
      <c r="I5" s="157"/>
      <c r="J5" s="8">
        <f t="shared" ref="J5:J36" si="2">H5*I5</f>
        <v>0</v>
      </c>
      <c r="K5" s="8">
        <f t="shared" ref="K5:K36" si="3">G5+J5</f>
        <v>71812.800000000003</v>
      </c>
      <c r="L5" s="158">
        <v>0</v>
      </c>
      <c r="M5" s="158">
        <f t="shared" si="0"/>
        <v>601472.6689000004</v>
      </c>
      <c r="N5" s="38"/>
    </row>
    <row r="6" spans="1:17">
      <c r="A6" s="23">
        <v>3</v>
      </c>
      <c r="B6" s="24">
        <v>46206</v>
      </c>
      <c r="C6" s="64"/>
      <c r="D6" s="152"/>
      <c r="E6" s="157">
        <v>130</v>
      </c>
      <c r="F6" s="157">
        <v>99.74</v>
      </c>
      <c r="G6" s="8">
        <f t="shared" si="1"/>
        <v>12966.199999999999</v>
      </c>
      <c r="H6" s="157"/>
      <c r="I6" s="157"/>
      <c r="J6" s="8">
        <f t="shared" si="2"/>
        <v>0</v>
      </c>
      <c r="K6" s="8">
        <f t="shared" si="3"/>
        <v>12966.199999999999</v>
      </c>
      <c r="L6" s="158"/>
      <c r="M6" s="158">
        <f t="shared" si="0"/>
        <v>614438.86890000035</v>
      </c>
      <c r="N6" s="38"/>
    </row>
    <row r="7" spans="1:17">
      <c r="A7" s="23">
        <v>4</v>
      </c>
      <c r="B7" s="24">
        <v>46207</v>
      </c>
      <c r="C7" s="64"/>
      <c r="D7" s="152"/>
      <c r="E7" s="157">
        <v>55</v>
      </c>
      <c r="F7" s="157">
        <v>99.74</v>
      </c>
      <c r="G7" s="8">
        <f t="shared" si="1"/>
        <v>5485.7</v>
      </c>
      <c r="H7" s="157"/>
      <c r="I7" s="157"/>
      <c r="J7" s="8">
        <f t="shared" si="2"/>
        <v>0</v>
      </c>
      <c r="K7" s="8">
        <f t="shared" si="3"/>
        <v>5485.7</v>
      </c>
      <c r="L7" s="158"/>
      <c r="M7" s="158">
        <f t="shared" si="0"/>
        <v>619924.5689000003</v>
      </c>
      <c r="N7" s="38"/>
    </row>
    <row r="8" spans="1:17">
      <c r="A8" s="23">
        <v>5</v>
      </c>
      <c r="B8" s="24">
        <v>46208</v>
      </c>
      <c r="C8" s="64"/>
      <c r="D8" s="152"/>
      <c r="E8" s="157">
        <v>180</v>
      </c>
      <c r="F8" s="157">
        <v>99.74</v>
      </c>
      <c r="G8" s="8">
        <f t="shared" si="1"/>
        <v>17953.2</v>
      </c>
      <c r="H8" s="157"/>
      <c r="I8" s="157"/>
      <c r="J8" s="8">
        <f t="shared" si="2"/>
        <v>0</v>
      </c>
      <c r="K8" s="8">
        <f t="shared" si="3"/>
        <v>17953.2</v>
      </c>
      <c r="L8" s="158"/>
      <c r="M8" s="158">
        <f t="shared" si="0"/>
        <v>637877.76890000026</v>
      </c>
      <c r="N8" s="38"/>
      <c r="P8" s="233"/>
    </row>
    <row r="9" spans="1:17">
      <c r="A9" s="23">
        <v>6</v>
      </c>
      <c r="B9" s="24">
        <v>46209</v>
      </c>
      <c r="C9" s="64"/>
      <c r="D9" s="152"/>
      <c r="E9" s="157">
        <v>420</v>
      </c>
      <c r="F9" s="157">
        <v>99.74</v>
      </c>
      <c r="G9" s="8">
        <f t="shared" si="1"/>
        <v>41890.799999999996</v>
      </c>
      <c r="H9" s="157"/>
      <c r="I9" s="157"/>
      <c r="J9" s="8">
        <f t="shared" si="2"/>
        <v>0</v>
      </c>
      <c r="K9" s="8">
        <f t="shared" si="3"/>
        <v>41890.799999999996</v>
      </c>
      <c r="L9" s="158"/>
      <c r="M9" s="158">
        <f t="shared" si="0"/>
        <v>679768.5689000003</v>
      </c>
      <c r="N9" s="38"/>
    </row>
    <row r="10" spans="1:17">
      <c r="A10" s="23">
        <v>7</v>
      </c>
      <c r="B10" s="24">
        <v>46210</v>
      </c>
      <c r="C10" s="64"/>
      <c r="D10" s="152"/>
      <c r="E10" s="157">
        <v>35</v>
      </c>
      <c r="F10" s="157">
        <v>99.74</v>
      </c>
      <c r="G10" s="8">
        <f t="shared" si="1"/>
        <v>3490.8999999999996</v>
      </c>
      <c r="H10" s="157"/>
      <c r="I10" s="157"/>
      <c r="J10" s="8">
        <f t="shared" si="2"/>
        <v>0</v>
      </c>
      <c r="K10" s="8">
        <f t="shared" si="3"/>
        <v>3490.8999999999996</v>
      </c>
      <c r="L10" s="158">
        <v>530000</v>
      </c>
      <c r="M10" s="158">
        <f t="shared" si="0"/>
        <v>153259.46890000033</v>
      </c>
      <c r="N10" s="38"/>
    </row>
    <row r="11" spans="1:17">
      <c r="A11" s="23">
        <v>8</v>
      </c>
      <c r="B11" s="24">
        <v>46211</v>
      </c>
      <c r="C11" s="64"/>
      <c r="D11" s="152"/>
      <c r="E11" s="157">
        <v>153.01</v>
      </c>
      <c r="F11" s="157">
        <v>99.74</v>
      </c>
      <c r="G11" s="8">
        <f t="shared" si="1"/>
        <v>15261.217399999998</v>
      </c>
      <c r="H11" s="157"/>
      <c r="I11" s="157"/>
      <c r="J11" s="8">
        <f t="shared" si="2"/>
        <v>0</v>
      </c>
      <c r="K11" s="8">
        <f t="shared" si="3"/>
        <v>15261.217399999998</v>
      </c>
      <c r="L11" s="158"/>
      <c r="M11" s="158">
        <f t="shared" si="0"/>
        <v>168520.68630000032</v>
      </c>
      <c r="N11" s="38" t="s">
        <v>190</v>
      </c>
      <c r="P11" s="232"/>
      <c r="Q11" s="233"/>
    </row>
    <row r="12" spans="1:17">
      <c r="A12" s="23">
        <v>9</v>
      </c>
      <c r="B12" s="24">
        <v>46212</v>
      </c>
      <c r="C12" s="64"/>
      <c r="D12" s="152"/>
      <c r="E12" s="157">
        <v>521</v>
      </c>
      <c r="F12" s="157">
        <v>99.74</v>
      </c>
      <c r="G12" s="8">
        <f t="shared" si="1"/>
        <v>51964.54</v>
      </c>
      <c r="H12" s="157"/>
      <c r="I12" s="157"/>
      <c r="J12" s="8">
        <f t="shared" si="2"/>
        <v>0</v>
      </c>
      <c r="K12" s="8">
        <f t="shared" si="3"/>
        <v>51964.54</v>
      </c>
      <c r="L12" s="158"/>
      <c r="M12" s="158">
        <f t="shared" si="0"/>
        <v>220485.22630000033</v>
      </c>
      <c r="N12" s="38"/>
    </row>
    <row r="13" spans="1:17">
      <c r="A13" s="23">
        <v>10</v>
      </c>
      <c r="B13" s="24">
        <v>46213</v>
      </c>
      <c r="C13" s="64"/>
      <c r="D13" s="152"/>
      <c r="E13" s="157">
        <v>40</v>
      </c>
      <c r="F13" s="157">
        <v>99.74</v>
      </c>
      <c r="G13" s="8">
        <f t="shared" si="1"/>
        <v>3989.6</v>
      </c>
      <c r="H13" s="157"/>
      <c r="I13" s="157"/>
      <c r="J13" s="8">
        <f t="shared" si="2"/>
        <v>0</v>
      </c>
      <c r="K13" s="8">
        <f t="shared" si="3"/>
        <v>3989.6</v>
      </c>
      <c r="L13" s="158"/>
      <c r="M13" s="158">
        <f t="shared" si="0"/>
        <v>224474.82630000034</v>
      </c>
      <c r="N13" s="38"/>
    </row>
    <row r="14" spans="1:17">
      <c r="A14" s="23">
        <v>11</v>
      </c>
      <c r="B14" s="24">
        <v>46214</v>
      </c>
      <c r="C14" s="64"/>
      <c r="D14" s="152"/>
      <c r="E14" s="157">
        <v>118.88</v>
      </c>
      <c r="F14" s="157">
        <v>99.74</v>
      </c>
      <c r="G14" s="8">
        <f t="shared" si="1"/>
        <v>11857.091199999999</v>
      </c>
      <c r="H14" s="157"/>
      <c r="I14" s="157"/>
      <c r="J14" s="8">
        <f t="shared" si="2"/>
        <v>0</v>
      </c>
      <c r="K14" s="8">
        <f t="shared" si="3"/>
        <v>11857.091199999999</v>
      </c>
      <c r="L14" s="158"/>
      <c r="M14" s="158">
        <f t="shared" si="0"/>
        <v>236331.91750000033</v>
      </c>
      <c r="N14" s="38"/>
    </row>
    <row r="15" spans="1:17">
      <c r="A15" s="23">
        <v>12</v>
      </c>
      <c r="B15" s="24">
        <v>46215</v>
      </c>
      <c r="C15" s="64"/>
      <c r="D15" s="152"/>
      <c r="E15" s="157">
        <v>525</v>
      </c>
      <c r="F15" s="157">
        <v>99.74</v>
      </c>
      <c r="G15" s="8">
        <f t="shared" si="1"/>
        <v>52363.5</v>
      </c>
      <c r="H15" s="157">
        <v>35</v>
      </c>
      <c r="I15" s="157">
        <v>111.85</v>
      </c>
      <c r="J15" s="8">
        <f t="shared" si="2"/>
        <v>3914.75</v>
      </c>
      <c r="K15" s="8">
        <f t="shared" si="3"/>
        <v>56278.25</v>
      </c>
      <c r="L15" s="158"/>
      <c r="M15" s="158">
        <f t="shared" si="0"/>
        <v>292610.16750000033</v>
      </c>
      <c r="N15" s="38"/>
    </row>
    <row r="16" spans="1:17">
      <c r="A16" s="23">
        <v>13</v>
      </c>
      <c r="B16" s="24">
        <v>46216</v>
      </c>
      <c r="C16" s="64"/>
      <c r="D16" s="152"/>
      <c r="E16" s="157">
        <v>80</v>
      </c>
      <c r="F16" s="157">
        <v>99.74</v>
      </c>
      <c r="G16" s="8">
        <f t="shared" si="1"/>
        <v>7979.2</v>
      </c>
      <c r="H16" s="157"/>
      <c r="I16" s="157"/>
      <c r="J16" s="8">
        <f t="shared" si="2"/>
        <v>0</v>
      </c>
      <c r="K16" s="8">
        <f t="shared" si="3"/>
        <v>7979.2</v>
      </c>
      <c r="L16" s="158"/>
      <c r="M16" s="158">
        <f t="shared" si="0"/>
        <v>300589.36750000034</v>
      </c>
      <c r="N16" s="38"/>
    </row>
    <row r="17" spans="1:17">
      <c r="A17" s="23">
        <v>14</v>
      </c>
      <c r="B17" s="24">
        <v>46217</v>
      </c>
      <c r="C17" s="64"/>
      <c r="D17" s="152"/>
      <c r="E17" s="157">
        <v>50</v>
      </c>
      <c r="F17" s="157">
        <v>99.74</v>
      </c>
      <c r="G17" s="8">
        <f t="shared" si="1"/>
        <v>4987</v>
      </c>
      <c r="H17" s="157"/>
      <c r="I17" s="157"/>
      <c r="J17" s="8">
        <f t="shared" si="2"/>
        <v>0</v>
      </c>
      <c r="K17" s="8">
        <f t="shared" si="3"/>
        <v>4987</v>
      </c>
      <c r="L17" s="158"/>
      <c r="M17" s="158">
        <f t="shared" si="0"/>
        <v>305576.36750000034</v>
      </c>
      <c r="N17" s="38"/>
    </row>
    <row r="18" spans="1:17">
      <c r="A18" s="23">
        <v>15</v>
      </c>
      <c r="B18" s="24">
        <v>46218</v>
      </c>
      <c r="C18" s="64"/>
      <c r="D18" s="152"/>
      <c r="E18" s="157">
        <v>636.23</v>
      </c>
      <c r="F18" s="157">
        <v>99.74</v>
      </c>
      <c r="G18" s="8">
        <f t="shared" si="1"/>
        <v>63457.580199999997</v>
      </c>
      <c r="H18" s="157">
        <v>6</v>
      </c>
      <c r="I18" s="157">
        <v>111.85</v>
      </c>
      <c r="J18" s="8">
        <f t="shared" si="2"/>
        <v>671.09999999999991</v>
      </c>
      <c r="K18" s="8">
        <f t="shared" si="3"/>
        <v>64128.680199999995</v>
      </c>
      <c r="L18" s="158"/>
      <c r="M18" s="158">
        <f t="shared" si="0"/>
        <v>369705.04770000034</v>
      </c>
      <c r="N18" s="38"/>
    </row>
    <row r="19" spans="1:17">
      <c r="A19" s="23">
        <v>16</v>
      </c>
      <c r="B19" s="24">
        <v>46219</v>
      </c>
      <c r="C19" s="64"/>
      <c r="D19" s="152"/>
      <c r="E19" s="157">
        <v>570</v>
      </c>
      <c r="F19" s="157">
        <v>99.74</v>
      </c>
      <c r="G19" s="8">
        <f t="shared" si="1"/>
        <v>56851.799999999996</v>
      </c>
      <c r="H19" s="157">
        <v>35</v>
      </c>
      <c r="I19" s="157">
        <v>111.85</v>
      </c>
      <c r="J19" s="8">
        <f t="shared" si="2"/>
        <v>3914.75</v>
      </c>
      <c r="K19" s="8">
        <f t="shared" si="3"/>
        <v>60766.549999999996</v>
      </c>
      <c r="L19" s="158"/>
      <c r="M19" s="158">
        <f t="shared" si="0"/>
        <v>430471.59770000033</v>
      </c>
      <c r="N19" s="38"/>
      <c r="Q19" s="233"/>
    </row>
    <row r="20" spans="1:17">
      <c r="A20" s="23">
        <v>17</v>
      </c>
      <c r="B20" s="24">
        <v>46220</v>
      </c>
      <c r="C20" s="64"/>
      <c r="D20" s="152"/>
      <c r="E20" s="157">
        <v>364.19</v>
      </c>
      <c r="F20" s="157">
        <v>99.74</v>
      </c>
      <c r="G20" s="8">
        <f t="shared" si="1"/>
        <v>36324.310599999997</v>
      </c>
      <c r="H20" s="157"/>
      <c r="I20" s="157"/>
      <c r="J20" s="8">
        <f t="shared" si="2"/>
        <v>0</v>
      </c>
      <c r="K20" s="8">
        <f t="shared" si="3"/>
        <v>36324.310599999997</v>
      </c>
      <c r="L20" s="158"/>
      <c r="M20" s="158">
        <f t="shared" si="0"/>
        <v>466795.90830000036</v>
      </c>
      <c r="N20" s="38"/>
    </row>
    <row r="21" spans="1:17">
      <c r="A21" s="23"/>
      <c r="B21" s="24">
        <v>46221</v>
      </c>
      <c r="C21" s="64"/>
      <c r="D21" s="152"/>
      <c r="E21" s="157">
        <v>400</v>
      </c>
      <c r="F21" s="157">
        <v>99.74</v>
      </c>
      <c r="G21" s="8">
        <f t="shared" si="1"/>
        <v>39896</v>
      </c>
      <c r="H21" s="157"/>
      <c r="I21" s="157"/>
      <c r="J21" s="8">
        <f t="shared" si="2"/>
        <v>0</v>
      </c>
      <c r="K21" s="8">
        <f t="shared" si="3"/>
        <v>39896</v>
      </c>
      <c r="L21" s="158"/>
      <c r="M21" s="158">
        <f t="shared" si="0"/>
        <v>506691.90830000036</v>
      </c>
      <c r="N21" s="38"/>
    </row>
    <row r="22" spans="1:17">
      <c r="A22" s="23">
        <v>18</v>
      </c>
      <c r="B22" s="24">
        <v>46222</v>
      </c>
      <c r="C22" s="64"/>
      <c r="D22" s="152"/>
      <c r="E22" s="157"/>
      <c r="F22" s="157"/>
      <c r="G22" s="8">
        <f t="shared" si="1"/>
        <v>0</v>
      </c>
      <c r="H22" s="157"/>
      <c r="I22" s="157"/>
      <c r="J22" s="8">
        <f t="shared" si="2"/>
        <v>0</v>
      </c>
      <c r="K22" s="8">
        <f t="shared" si="3"/>
        <v>0</v>
      </c>
      <c r="L22" s="158"/>
      <c r="M22" s="158">
        <f t="shared" si="0"/>
        <v>506691.90830000036</v>
      </c>
      <c r="N22" s="38" t="s">
        <v>189</v>
      </c>
    </row>
    <row r="23" spans="1:17">
      <c r="A23" s="23">
        <v>19</v>
      </c>
      <c r="B23" s="24">
        <v>46223</v>
      </c>
      <c r="C23" s="64"/>
      <c r="D23" s="152"/>
      <c r="E23" s="157">
        <v>35</v>
      </c>
      <c r="F23" s="157">
        <v>99.74</v>
      </c>
      <c r="G23" s="8">
        <f t="shared" si="1"/>
        <v>3490.8999999999996</v>
      </c>
      <c r="H23" s="157"/>
      <c r="I23" s="157"/>
      <c r="J23" s="8">
        <f t="shared" si="2"/>
        <v>0</v>
      </c>
      <c r="K23" s="8">
        <f t="shared" si="3"/>
        <v>3490.8999999999996</v>
      </c>
      <c r="L23" s="158"/>
      <c r="M23" s="158">
        <f t="shared" si="0"/>
        <v>510182.80830000038</v>
      </c>
      <c r="N23" s="38"/>
    </row>
    <row r="24" spans="1:17">
      <c r="A24" s="23">
        <v>20</v>
      </c>
      <c r="B24" s="24">
        <v>46224</v>
      </c>
      <c r="C24" s="64"/>
      <c r="D24" s="152"/>
      <c r="E24" s="157">
        <v>50</v>
      </c>
      <c r="F24" s="157">
        <v>99.74</v>
      </c>
      <c r="G24" s="8">
        <f t="shared" si="1"/>
        <v>4987</v>
      </c>
      <c r="H24" s="157"/>
      <c r="I24" s="157"/>
      <c r="J24" s="8">
        <f t="shared" si="2"/>
        <v>0</v>
      </c>
      <c r="K24" s="8">
        <f t="shared" si="3"/>
        <v>4987</v>
      </c>
      <c r="L24" s="158">
        <v>0</v>
      </c>
      <c r="M24" s="158">
        <f t="shared" si="0"/>
        <v>515169.80830000038</v>
      </c>
      <c r="N24" s="38"/>
    </row>
    <row r="25" spans="1:17">
      <c r="A25" s="23">
        <v>21</v>
      </c>
      <c r="B25" s="24">
        <v>46225</v>
      </c>
      <c r="C25" s="64"/>
      <c r="D25" s="152"/>
      <c r="E25" s="157">
        <v>570.51</v>
      </c>
      <c r="F25" s="157">
        <v>99.74</v>
      </c>
      <c r="G25" s="8">
        <f t="shared" si="1"/>
        <v>56902.667399999998</v>
      </c>
      <c r="H25" s="157"/>
      <c r="I25" s="157"/>
      <c r="J25" s="8">
        <f t="shared" si="2"/>
        <v>0</v>
      </c>
      <c r="K25" s="8">
        <f t="shared" si="3"/>
        <v>56902.667399999998</v>
      </c>
      <c r="L25" s="158">
        <v>0</v>
      </c>
      <c r="M25" s="158">
        <f t="shared" si="0"/>
        <v>572072.47570000042</v>
      </c>
      <c r="N25" s="38"/>
    </row>
    <row r="26" spans="1:17">
      <c r="A26" s="23">
        <v>22</v>
      </c>
      <c r="B26" s="24">
        <v>46226</v>
      </c>
      <c r="C26" s="64"/>
      <c r="D26" s="152"/>
      <c r="E26" s="157">
        <v>200</v>
      </c>
      <c r="F26" s="157">
        <v>99.74</v>
      </c>
      <c r="G26" s="8">
        <f t="shared" si="1"/>
        <v>19948</v>
      </c>
      <c r="H26" s="157"/>
      <c r="I26" s="157"/>
      <c r="J26" s="8">
        <f t="shared" si="2"/>
        <v>0</v>
      </c>
      <c r="K26" s="8">
        <f t="shared" si="3"/>
        <v>19948</v>
      </c>
      <c r="L26" s="158">
        <v>0</v>
      </c>
      <c r="M26" s="158">
        <f t="shared" si="0"/>
        <v>592020.47570000042</v>
      </c>
      <c r="N26" s="38"/>
    </row>
    <row r="27" spans="1:17">
      <c r="A27" s="23"/>
      <c r="B27" s="24">
        <v>46227</v>
      </c>
      <c r="C27" s="64"/>
      <c r="D27" s="152"/>
      <c r="E27" s="157"/>
      <c r="F27" s="157"/>
      <c r="G27" s="8">
        <f t="shared" si="1"/>
        <v>0</v>
      </c>
      <c r="H27" s="157"/>
      <c r="I27" s="157"/>
      <c r="J27" s="8">
        <f t="shared" si="2"/>
        <v>0</v>
      </c>
      <c r="K27" s="8">
        <f t="shared" si="3"/>
        <v>0</v>
      </c>
      <c r="L27" s="158">
        <v>0</v>
      </c>
      <c r="M27" s="158">
        <f t="shared" si="0"/>
        <v>592020.47570000042</v>
      </c>
      <c r="N27" s="38"/>
    </row>
    <row r="28" spans="1:17">
      <c r="A28" s="23">
        <v>23</v>
      </c>
      <c r="B28" s="24">
        <v>46228</v>
      </c>
      <c r="C28" s="64"/>
      <c r="D28" s="152"/>
      <c r="E28" s="157"/>
      <c r="F28" s="157"/>
      <c r="G28" s="8">
        <f t="shared" si="1"/>
        <v>0</v>
      </c>
      <c r="H28" s="157"/>
      <c r="I28" s="157"/>
      <c r="J28" s="8">
        <f t="shared" si="2"/>
        <v>0</v>
      </c>
      <c r="K28" s="8">
        <f t="shared" si="3"/>
        <v>0</v>
      </c>
      <c r="L28" s="158">
        <v>0</v>
      </c>
      <c r="M28" s="158">
        <f t="shared" si="0"/>
        <v>592020.47570000042</v>
      </c>
      <c r="N28" s="38"/>
    </row>
    <row r="29" spans="1:17">
      <c r="A29" s="23">
        <v>24</v>
      </c>
      <c r="B29" s="24">
        <v>46229</v>
      </c>
      <c r="C29" s="64"/>
      <c r="D29" s="152"/>
      <c r="E29" s="444"/>
      <c r="F29" s="412"/>
      <c r="G29" s="8">
        <f t="shared" si="1"/>
        <v>0</v>
      </c>
      <c r="H29" s="157"/>
      <c r="I29" s="157"/>
      <c r="J29" s="8">
        <f t="shared" si="2"/>
        <v>0</v>
      </c>
      <c r="K29" s="8">
        <f t="shared" si="3"/>
        <v>0</v>
      </c>
      <c r="L29" s="158">
        <v>0</v>
      </c>
      <c r="M29" s="158">
        <f t="shared" si="0"/>
        <v>592020.47570000042</v>
      </c>
      <c r="N29" s="38"/>
    </row>
    <row r="30" spans="1:17">
      <c r="A30" s="23">
        <v>25</v>
      </c>
      <c r="B30" s="24">
        <v>46230</v>
      </c>
      <c r="C30" s="64"/>
      <c r="D30" s="152"/>
      <c r="E30" s="157"/>
      <c r="F30" s="157"/>
      <c r="G30" s="8">
        <f t="shared" si="1"/>
        <v>0</v>
      </c>
      <c r="H30" s="157"/>
      <c r="I30" s="157"/>
      <c r="J30" s="8">
        <f t="shared" si="2"/>
        <v>0</v>
      </c>
      <c r="K30" s="8">
        <f t="shared" si="3"/>
        <v>0</v>
      </c>
      <c r="L30" s="158">
        <v>0</v>
      </c>
      <c r="M30" s="158">
        <f t="shared" si="0"/>
        <v>592020.47570000042</v>
      </c>
      <c r="N30" s="38"/>
    </row>
    <row r="31" spans="1:17">
      <c r="A31" s="23">
        <v>26</v>
      </c>
      <c r="B31" s="24">
        <v>46231</v>
      </c>
      <c r="C31" s="188"/>
      <c r="D31" s="152"/>
      <c r="E31" s="157"/>
      <c r="F31" s="157"/>
      <c r="G31" s="8">
        <f t="shared" si="1"/>
        <v>0</v>
      </c>
      <c r="H31" s="157"/>
      <c r="I31" s="157"/>
      <c r="J31" s="8">
        <f t="shared" si="2"/>
        <v>0</v>
      </c>
      <c r="K31" s="8">
        <f t="shared" si="3"/>
        <v>0</v>
      </c>
      <c r="L31" s="158">
        <v>0</v>
      </c>
      <c r="M31" s="158">
        <f t="shared" si="0"/>
        <v>592020.47570000042</v>
      </c>
      <c r="N31" s="38"/>
    </row>
    <row r="32" spans="1:17">
      <c r="A32" s="23">
        <v>27</v>
      </c>
      <c r="B32" s="24">
        <v>46232</v>
      </c>
      <c r="C32" s="64"/>
      <c r="D32" s="152"/>
      <c r="E32" s="157"/>
      <c r="F32" s="157"/>
      <c r="G32" s="8">
        <f t="shared" si="1"/>
        <v>0</v>
      </c>
      <c r="H32" s="157"/>
      <c r="I32" s="157"/>
      <c r="J32" s="8">
        <f t="shared" si="2"/>
        <v>0</v>
      </c>
      <c r="K32" s="8">
        <f t="shared" si="3"/>
        <v>0</v>
      </c>
      <c r="L32" s="158">
        <v>0</v>
      </c>
      <c r="M32" s="158">
        <f t="shared" si="0"/>
        <v>592020.47570000042</v>
      </c>
      <c r="N32" s="38"/>
      <c r="P32" s="66">
        <f>600*99.73</f>
        <v>59838</v>
      </c>
    </row>
    <row r="33" spans="1:15">
      <c r="A33" s="23">
        <v>28</v>
      </c>
      <c r="B33" s="24">
        <v>46233</v>
      </c>
      <c r="C33" s="64"/>
      <c r="D33" s="152"/>
      <c r="E33" s="157"/>
      <c r="F33" s="157"/>
      <c r="G33" s="8">
        <f t="shared" si="1"/>
        <v>0</v>
      </c>
      <c r="H33" s="157"/>
      <c r="I33" s="157"/>
      <c r="J33" s="8">
        <f t="shared" si="2"/>
        <v>0</v>
      </c>
      <c r="K33" s="8">
        <f t="shared" si="3"/>
        <v>0</v>
      </c>
      <c r="L33" s="158">
        <v>0</v>
      </c>
      <c r="M33" s="158">
        <f t="shared" si="0"/>
        <v>592020.47570000042</v>
      </c>
      <c r="N33" s="38"/>
    </row>
    <row r="34" spans="1:15">
      <c r="A34" s="23">
        <v>29</v>
      </c>
      <c r="B34" s="24">
        <v>46234</v>
      </c>
      <c r="C34" s="64"/>
      <c r="D34" s="152"/>
      <c r="E34" s="157"/>
      <c r="F34" s="157"/>
      <c r="G34" s="8">
        <f t="shared" si="1"/>
        <v>0</v>
      </c>
      <c r="H34" s="157"/>
      <c r="I34" s="157"/>
      <c r="J34" s="8">
        <f t="shared" si="2"/>
        <v>0</v>
      </c>
      <c r="K34" s="8">
        <f t="shared" si="3"/>
        <v>0</v>
      </c>
      <c r="L34" s="158">
        <v>250000</v>
      </c>
      <c r="M34" s="158">
        <f t="shared" si="0"/>
        <v>342020.47570000042</v>
      </c>
      <c r="N34" s="38"/>
    </row>
    <row r="35" spans="1:15">
      <c r="A35" s="23">
        <v>30</v>
      </c>
      <c r="B35" s="24"/>
      <c r="C35" s="64"/>
      <c r="D35" s="152"/>
      <c r="E35" s="157"/>
      <c r="F35" s="157"/>
      <c r="G35" s="8">
        <f t="shared" si="1"/>
        <v>0</v>
      </c>
      <c r="H35" s="157"/>
      <c r="I35" s="157"/>
      <c r="J35" s="8">
        <f t="shared" si="2"/>
        <v>0</v>
      </c>
      <c r="K35" s="8">
        <f t="shared" si="3"/>
        <v>0</v>
      </c>
      <c r="L35" s="158">
        <v>0</v>
      </c>
      <c r="M35" s="158">
        <f t="shared" si="0"/>
        <v>342020.47570000042</v>
      </c>
      <c r="N35" s="38"/>
    </row>
    <row r="36" spans="1:15">
      <c r="A36" s="23">
        <v>31</v>
      </c>
      <c r="B36" s="24"/>
      <c r="C36" s="64"/>
      <c r="D36" s="152"/>
      <c r="E36" s="157"/>
      <c r="F36" s="157"/>
      <c r="G36" s="8">
        <f t="shared" si="1"/>
        <v>0</v>
      </c>
      <c r="H36" s="157"/>
      <c r="I36" s="157"/>
      <c r="J36" s="8">
        <f t="shared" si="2"/>
        <v>0</v>
      </c>
      <c r="K36" s="8">
        <f t="shared" si="3"/>
        <v>0</v>
      </c>
      <c r="L36" s="158">
        <v>0</v>
      </c>
      <c r="M36" s="158">
        <f>M35+K36-L36</f>
        <v>342020.47570000042</v>
      </c>
      <c r="N36" s="38"/>
    </row>
    <row r="37" spans="1:15">
      <c r="A37" s="153"/>
      <c r="B37" s="153"/>
      <c r="C37" s="153"/>
      <c r="D37" s="153"/>
      <c r="E37" s="154">
        <f>SUM(E4:E36)</f>
        <v>5853.8200000000006</v>
      </c>
      <c r="F37" s="154"/>
      <c r="G37" s="154">
        <f>SUM(G4:G36)</f>
        <v>583860.00680000009</v>
      </c>
      <c r="H37" s="154">
        <f>SUM(H4:H36)</f>
        <v>76</v>
      </c>
      <c r="I37" s="60"/>
      <c r="J37" s="154">
        <f>SUM(J4:J36)</f>
        <v>8500.6</v>
      </c>
      <c r="K37" s="154">
        <f>SUM(K4:K36)</f>
        <v>592360.60680000007</v>
      </c>
      <c r="L37" s="154">
        <f>SUM(L4:L36)</f>
        <v>780000</v>
      </c>
      <c r="M37" s="154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</row>
    <row r="44" spans="1:15">
      <c r="B44" s="56"/>
      <c r="G44" s="73"/>
      <c r="J44" s="56"/>
      <c r="K44" s="56"/>
      <c r="L44" s="56"/>
      <c r="M44" s="56"/>
      <c r="O44" s="71"/>
    </row>
    <row r="45" spans="1:15">
      <c r="B45" s="558"/>
      <c r="C45" s="558"/>
      <c r="D45" s="558"/>
      <c r="E45" s="558"/>
      <c r="I45" s="558"/>
      <c r="J45" s="558"/>
      <c r="K45" s="558"/>
      <c r="L45" s="558"/>
      <c r="M45" s="558"/>
      <c r="N45" s="558"/>
      <c r="O45" s="71"/>
    </row>
    <row r="46" spans="1:15">
      <c r="B46" s="56"/>
      <c r="J46" s="56"/>
      <c r="K46" s="56"/>
      <c r="L46" s="56"/>
      <c r="M46" s="56"/>
      <c r="O46" s="71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4708-290B-4AF1-B44A-9672881C5B56}">
  <dimension ref="A1:R46"/>
  <sheetViews>
    <sheetView workbookViewId="0">
      <selection activeCell="M36" sqref="M36"/>
    </sheetView>
  </sheetViews>
  <sheetFormatPr defaultRowHeight="15"/>
  <cols>
    <col min="2" max="2" width="18.28515625" customWidth="1"/>
    <col min="4" max="4" width="11.42578125" customWidth="1"/>
    <col min="7" max="7" width="14.7109375" customWidth="1"/>
    <col min="10" max="10" width="13.7109375" customWidth="1"/>
    <col min="11" max="11" width="23.7109375" customWidth="1"/>
    <col min="12" max="12" width="19" customWidth="1"/>
    <col min="13" max="13" width="18.140625" customWidth="1"/>
    <col min="14" max="14" width="32.140625" bestFit="1" customWidth="1"/>
  </cols>
  <sheetData>
    <row r="1" spans="1:18" ht="15.75">
      <c r="A1" s="560" t="s">
        <v>262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0"/>
      <c r="P1" s="74"/>
      <c r="Q1" s="74"/>
      <c r="R1" s="74"/>
    </row>
    <row r="2" spans="1:18" ht="30.75">
      <c r="A2" s="95" t="s">
        <v>0</v>
      </c>
      <c r="B2" s="96" t="s">
        <v>163</v>
      </c>
      <c r="C2" s="96" t="s">
        <v>164</v>
      </c>
      <c r="D2" s="96" t="s">
        <v>186</v>
      </c>
      <c r="E2" s="96" t="s">
        <v>166</v>
      </c>
      <c r="F2" s="96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220" t="s">
        <v>171</v>
      </c>
      <c r="M2" s="138" t="s">
        <v>187</v>
      </c>
      <c r="N2" s="98" t="s">
        <v>173</v>
      </c>
      <c r="O2" s="56"/>
      <c r="P2" s="74"/>
      <c r="Q2" s="74"/>
      <c r="R2" s="74"/>
    </row>
    <row r="3" spans="1:18">
      <c r="A3" s="570" t="s">
        <v>174</v>
      </c>
      <c r="B3" s="571"/>
      <c r="C3" s="571"/>
      <c r="D3" s="571"/>
      <c r="E3" s="571"/>
      <c r="F3" s="571"/>
      <c r="G3" s="571"/>
      <c r="H3" s="571"/>
      <c r="I3" s="571"/>
      <c r="J3" s="572"/>
      <c r="K3" s="202">
        <v>296953.00000000012</v>
      </c>
      <c r="L3" s="202"/>
      <c r="M3" s="202">
        <v>296953.00000000012</v>
      </c>
      <c r="N3" s="149"/>
      <c r="O3" s="8"/>
      <c r="P3" s="74"/>
      <c r="Q3" s="74"/>
      <c r="R3" s="74"/>
    </row>
    <row r="4" spans="1:18">
      <c r="A4" s="23">
        <v>1</v>
      </c>
      <c r="B4" s="24">
        <v>46204</v>
      </c>
      <c r="C4" s="22"/>
      <c r="D4" s="15"/>
      <c r="E4" s="44"/>
      <c r="F4" s="44"/>
      <c r="G4" s="8">
        <f>E4*F4</f>
        <v>0</v>
      </c>
      <c r="H4" s="44"/>
      <c r="I4" s="412"/>
      <c r="J4" s="8">
        <f>H4*I4</f>
        <v>0</v>
      </c>
      <c r="K4" s="8">
        <f>G4+J4</f>
        <v>0</v>
      </c>
      <c r="L4" s="243"/>
      <c r="M4" s="8">
        <f>M3+K4-L4</f>
        <v>296953.00000000012</v>
      </c>
      <c r="N4" s="8"/>
      <c r="O4" s="56"/>
      <c r="P4" s="74"/>
      <c r="Q4" s="74"/>
      <c r="R4" s="74"/>
    </row>
    <row r="5" spans="1:18">
      <c r="A5" s="23">
        <v>2</v>
      </c>
      <c r="B5" s="24">
        <v>46205</v>
      </c>
      <c r="C5" s="22"/>
      <c r="D5" s="15"/>
      <c r="E5" s="44">
        <v>470</v>
      </c>
      <c r="F5" s="44">
        <v>99.73</v>
      </c>
      <c r="G5" s="8">
        <f t="shared" ref="G5:G36" si="0">E5*F5</f>
        <v>46873.1</v>
      </c>
      <c r="H5" s="44"/>
      <c r="I5" s="412"/>
      <c r="J5" s="8">
        <f>H5*I5</f>
        <v>0</v>
      </c>
      <c r="K5" s="8">
        <f t="shared" ref="K5:L36" si="1">G5+J5</f>
        <v>46873.1</v>
      </c>
      <c r="L5" s="243"/>
      <c r="M5" s="8">
        <f t="shared" ref="M5:M35" si="2">M4+K5-L5</f>
        <v>343826.10000000009</v>
      </c>
      <c r="N5" s="8"/>
      <c r="O5" s="56"/>
      <c r="P5" s="74"/>
      <c r="Q5" s="74"/>
      <c r="R5" s="74"/>
    </row>
    <row r="6" spans="1:18">
      <c r="A6" s="23">
        <v>3</v>
      </c>
      <c r="B6" s="24">
        <v>46206</v>
      </c>
      <c r="C6" s="22"/>
      <c r="D6" s="15"/>
      <c r="E6" s="44">
        <v>20</v>
      </c>
      <c r="F6" s="44">
        <v>99.73</v>
      </c>
      <c r="G6" s="8">
        <f t="shared" si="0"/>
        <v>1994.6000000000001</v>
      </c>
      <c r="H6" s="44"/>
      <c r="I6" s="412"/>
      <c r="J6" s="8">
        <f t="shared" ref="J5:J36" si="3">H6*I6</f>
        <v>0</v>
      </c>
      <c r="K6" s="8">
        <f t="shared" si="1"/>
        <v>1994.6000000000001</v>
      </c>
      <c r="L6" s="243"/>
      <c r="M6" s="8">
        <f t="shared" si="2"/>
        <v>345820.70000000007</v>
      </c>
      <c r="N6" s="8"/>
      <c r="O6" s="56"/>
      <c r="P6" s="74"/>
      <c r="Q6" s="74"/>
      <c r="R6" s="74"/>
    </row>
    <row r="7" spans="1:18">
      <c r="A7" s="23">
        <v>4</v>
      </c>
      <c r="B7" s="24">
        <v>46207</v>
      </c>
      <c r="C7" s="22"/>
      <c r="D7" s="15"/>
      <c r="E7" s="44">
        <v>430</v>
      </c>
      <c r="F7" s="44">
        <v>99.73</v>
      </c>
      <c r="G7" s="8">
        <f t="shared" si="0"/>
        <v>42883.9</v>
      </c>
      <c r="H7" s="44">
        <v>40</v>
      </c>
      <c r="I7" s="412">
        <v>111.85</v>
      </c>
      <c r="J7" s="8">
        <f t="shared" si="3"/>
        <v>4474</v>
      </c>
      <c r="K7" s="8">
        <f t="shared" si="1"/>
        <v>47357.9</v>
      </c>
      <c r="L7" s="243"/>
      <c r="M7" s="8">
        <f t="shared" si="2"/>
        <v>393178.60000000009</v>
      </c>
      <c r="N7" s="8"/>
      <c r="O7" s="56"/>
      <c r="P7" s="74"/>
      <c r="Q7" s="74"/>
      <c r="R7" s="74"/>
    </row>
    <row r="8" spans="1:18">
      <c r="A8" s="23">
        <v>5</v>
      </c>
      <c r="B8" s="24">
        <v>46208</v>
      </c>
      <c r="C8" s="22"/>
      <c r="D8" s="15"/>
      <c r="E8" s="44"/>
      <c r="F8" s="44"/>
      <c r="G8" s="8">
        <f t="shared" si="0"/>
        <v>0</v>
      </c>
      <c r="H8" s="44"/>
      <c r="I8" s="44"/>
      <c r="J8" s="8">
        <f t="shared" si="3"/>
        <v>0</v>
      </c>
      <c r="K8" s="8">
        <f t="shared" si="1"/>
        <v>0</v>
      </c>
      <c r="L8" s="243"/>
      <c r="M8" s="8">
        <f t="shared" si="2"/>
        <v>393178.60000000009</v>
      </c>
      <c r="N8" s="8"/>
      <c r="O8" s="56"/>
      <c r="P8" s="74"/>
      <c r="Q8" s="74"/>
      <c r="R8" s="74"/>
    </row>
    <row r="9" spans="1:18">
      <c r="A9" s="23">
        <v>6</v>
      </c>
      <c r="B9" s="24">
        <v>46209</v>
      </c>
      <c r="C9" s="22"/>
      <c r="D9" s="15"/>
      <c r="E9" s="44">
        <v>40</v>
      </c>
      <c r="F9" s="44">
        <v>99.73</v>
      </c>
      <c r="G9" s="8">
        <f t="shared" si="0"/>
        <v>3989.2000000000003</v>
      </c>
      <c r="H9" s="44"/>
      <c r="I9" s="44"/>
      <c r="J9" s="8">
        <f t="shared" si="3"/>
        <v>0</v>
      </c>
      <c r="K9" s="8">
        <f t="shared" si="1"/>
        <v>3989.2000000000003</v>
      </c>
      <c r="L9" s="243"/>
      <c r="M9" s="8">
        <f t="shared" si="2"/>
        <v>397167.8000000001</v>
      </c>
      <c r="N9" s="8"/>
      <c r="O9" s="56"/>
      <c r="P9" s="74"/>
      <c r="Q9" s="74"/>
      <c r="R9" s="74"/>
    </row>
    <row r="10" spans="1:18">
      <c r="A10" s="23">
        <v>7</v>
      </c>
      <c r="B10" s="24">
        <v>46210</v>
      </c>
      <c r="C10" s="22"/>
      <c r="D10" s="15"/>
      <c r="E10" s="44">
        <v>500</v>
      </c>
      <c r="F10" s="44">
        <v>99.73</v>
      </c>
      <c r="G10" s="8">
        <f t="shared" si="0"/>
        <v>49865</v>
      </c>
      <c r="H10" s="44">
        <v>23</v>
      </c>
      <c r="I10" s="44">
        <v>111.85</v>
      </c>
      <c r="J10" s="8">
        <f t="shared" si="3"/>
        <v>2572.5499999999997</v>
      </c>
      <c r="K10" s="8">
        <f t="shared" si="1"/>
        <v>52437.55</v>
      </c>
      <c r="L10" s="243"/>
      <c r="M10" s="8">
        <f t="shared" si="2"/>
        <v>449605.35000000009</v>
      </c>
      <c r="N10" s="8"/>
      <c r="O10" s="56"/>
      <c r="P10" s="74"/>
      <c r="Q10" s="74"/>
      <c r="R10" s="74"/>
    </row>
    <row r="11" spans="1:18">
      <c r="A11" s="23">
        <v>8</v>
      </c>
      <c r="B11" s="24">
        <v>46211</v>
      </c>
      <c r="C11" s="22"/>
      <c r="D11" s="15"/>
      <c r="E11" s="44"/>
      <c r="F11" s="44"/>
      <c r="G11" s="8">
        <f t="shared" si="0"/>
        <v>0</v>
      </c>
      <c r="H11" s="44"/>
      <c r="I11" s="44"/>
      <c r="J11" s="8">
        <f t="shared" si="3"/>
        <v>0</v>
      </c>
      <c r="K11" s="8">
        <f t="shared" si="1"/>
        <v>0</v>
      </c>
      <c r="L11" s="243"/>
      <c r="M11" s="8">
        <f t="shared" si="2"/>
        <v>449605.35000000009</v>
      </c>
      <c r="N11" s="8"/>
      <c r="O11" s="56"/>
      <c r="P11" s="74"/>
      <c r="Q11" s="74"/>
      <c r="R11" s="74"/>
    </row>
    <row r="12" spans="1:18">
      <c r="A12" s="23">
        <v>9</v>
      </c>
      <c r="B12" s="24">
        <v>46212</v>
      </c>
      <c r="C12" s="22"/>
      <c r="D12" s="15"/>
      <c r="E12" s="258">
        <v>305</v>
      </c>
      <c r="F12" s="286">
        <v>99.73</v>
      </c>
      <c r="G12" s="8">
        <f t="shared" si="0"/>
        <v>30417.65</v>
      </c>
      <c r="H12" s="258">
        <v>30</v>
      </c>
      <c r="I12" s="44">
        <v>111.85</v>
      </c>
      <c r="J12" s="8">
        <f t="shared" si="3"/>
        <v>3355.5</v>
      </c>
      <c r="K12" s="8">
        <f t="shared" si="1"/>
        <v>33773.15</v>
      </c>
      <c r="L12" s="243"/>
      <c r="M12" s="8">
        <f t="shared" si="2"/>
        <v>483378.50000000012</v>
      </c>
      <c r="N12" s="8"/>
      <c r="O12" s="56"/>
      <c r="P12" s="74"/>
      <c r="Q12" s="74"/>
      <c r="R12" s="74"/>
    </row>
    <row r="13" spans="1:18">
      <c r="A13" s="23">
        <v>10</v>
      </c>
      <c r="B13" s="24">
        <v>46213</v>
      </c>
      <c r="C13" s="22"/>
      <c r="D13" s="15"/>
      <c r="E13" s="258">
        <v>100</v>
      </c>
      <c r="F13" s="286">
        <v>99.73</v>
      </c>
      <c r="G13" s="8">
        <f t="shared" si="0"/>
        <v>9973</v>
      </c>
      <c r="H13" s="258">
        <v>5</v>
      </c>
      <c r="I13" s="44">
        <v>111.85</v>
      </c>
      <c r="J13" s="8">
        <f t="shared" si="3"/>
        <v>559.25</v>
      </c>
      <c r="K13" s="8">
        <f t="shared" si="1"/>
        <v>10532.25</v>
      </c>
      <c r="L13" s="243"/>
      <c r="M13" s="8">
        <f>M12+K13-L13</f>
        <v>493910.75000000012</v>
      </c>
      <c r="N13" s="16"/>
      <c r="O13" s="56"/>
      <c r="P13" s="74"/>
      <c r="Q13" s="74"/>
      <c r="R13" s="74"/>
    </row>
    <row r="14" spans="1:18">
      <c r="A14" s="23">
        <v>11</v>
      </c>
      <c r="B14" s="24">
        <v>46214</v>
      </c>
      <c r="C14" s="22"/>
      <c r="D14" s="15"/>
      <c r="E14" s="44">
        <v>445</v>
      </c>
      <c r="F14" s="44">
        <v>99.73</v>
      </c>
      <c r="G14" s="8">
        <f t="shared" si="0"/>
        <v>44379.85</v>
      </c>
      <c r="H14" s="44"/>
      <c r="I14" s="286"/>
      <c r="J14" s="8">
        <f t="shared" si="3"/>
        <v>0</v>
      </c>
      <c r="K14" s="8">
        <f t="shared" si="1"/>
        <v>44379.85</v>
      </c>
      <c r="L14" s="243"/>
      <c r="M14" s="8">
        <f>M13+K14-L14</f>
        <v>538290.60000000009</v>
      </c>
      <c r="N14" s="16"/>
      <c r="O14" s="56"/>
      <c r="P14" s="74"/>
      <c r="Q14" s="74"/>
      <c r="R14" s="74"/>
    </row>
    <row r="15" spans="1:18">
      <c r="A15" s="23">
        <v>12</v>
      </c>
      <c r="B15" s="24">
        <v>46215</v>
      </c>
      <c r="C15" s="22"/>
      <c r="D15" s="15"/>
      <c r="E15" s="44">
        <v>100</v>
      </c>
      <c r="F15" s="44">
        <v>99.73</v>
      </c>
      <c r="G15" s="8">
        <f t="shared" si="0"/>
        <v>9973</v>
      </c>
      <c r="H15" s="44">
        <v>23</v>
      </c>
      <c r="I15" s="44">
        <v>111.85</v>
      </c>
      <c r="J15" s="8">
        <f t="shared" si="3"/>
        <v>2572.5499999999997</v>
      </c>
      <c r="K15" s="8">
        <f t="shared" si="1"/>
        <v>12545.55</v>
      </c>
      <c r="L15" s="243"/>
      <c r="M15" s="8">
        <f t="shared" si="2"/>
        <v>550836.15000000014</v>
      </c>
      <c r="N15" s="16"/>
      <c r="O15" s="56"/>
      <c r="P15" s="74"/>
      <c r="Q15" s="74"/>
      <c r="R15" s="74"/>
    </row>
    <row r="16" spans="1:18">
      <c r="A16" s="23">
        <v>13</v>
      </c>
      <c r="B16" s="24">
        <v>46216</v>
      </c>
      <c r="C16" s="22"/>
      <c r="D16" s="15"/>
      <c r="E16" s="44">
        <v>35</v>
      </c>
      <c r="F16" s="44">
        <v>99.73</v>
      </c>
      <c r="G16" s="8">
        <f t="shared" si="0"/>
        <v>3490.55</v>
      </c>
      <c r="H16" s="44"/>
      <c r="I16" s="44"/>
      <c r="J16" s="8">
        <f t="shared" si="3"/>
        <v>0</v>
      </c>
      <c r="K16" s="8">
        <f t="shared" si="1"/>
        <v>3490.55</v>
      </c>
      <c r="L16" s="243"/>
      <c r="M16" s="8">
        <f t="shared" si="2"/>
        <v>554326.70000000019</v>
      </c>
      <c r="N16" s="16"/>
      <c r="O16" s="56"/>
      <c r="P16" s="74"/>
      <c r="Q16" s="74"/>
      <c r="R16" s="74"/>
    </row>
    <row r="17" spans="1:18">
      <c r="A17" s="23">
        <v>14</v>
      </c>
      <c r="B17" s="24">
        <v>46217</v>
      </c>
      <c r="C17" s="22"/>
      <c r="D17" s="15"/>
      <c r="E17" s="44">
        <v>40</v>
      </c>
      <c r="F17" s="44">
        <v>99.73</v>
      </c>
      <c r="G17" s="8">
        <f t="shared" si="0"/>
        <v>3989.2000000000003</v>
      </c>
      <c r="H17" s="44"/>
      <c r="I17" s="286"/>
      <c r="J17" s="8">
        <f t="shared" si="3"/>
        <v>0</v>
      </c>
      <c r="K17" s="8">
        <f t="shared" si="1"/>
        <v>3989.2000000000003</v>
      </c>
      <c r="L17" s="243"/>
      <c r="M17" s="8">
        <f t="shared" si="2"/>
        <v>558315.90000000014</v>
      </c>
      <c r="N17" s="16"/>
      <c r="O17" s="56"/>
      <c r="P17" s="74"/>
      <c r="Q17" s="74"/>
      <c r="R17" s="74"/>
    </row>
    <row r="18" spans="1:18">
      <c r="A18" s="23">
        <v>15</v>
      </c>
      <c r="B18" s="24">
        <v>46218</v>
      </c>
      <c r="C18" s="22"/>
      <c r="D18" s="15"/>
      <c r="E18" s="44">
        <v>100</v>
      </c>
      <c r="F18" s="44">
        <v>99.73</v>
      </c>
      <c r="G18" s="8">
        <f t="shared" si="0"/>
        <v>9973</v>
      </c>
      <c r="H18" s="44">
        <v>17</v>
      </c>
      <c r="I18" s="44">
        <v>111.85</v>
      </c>
      <c r="J18" s="8">
        <f t="shared" si="3"/>
        <v>1901.4499999999998</v>
      </c>
      <c r="K18" s="8">
        <f t="shared" si="1"/>
        <v>11874.45</v>
      </c>
      <c r="L18" s="243"/>
      <c r="M18" s="8">
        <f t="shared" si="2"/>
        <v>570190.35000000009</v>
      </c>
      <c r="N18" s="16"/>
      <c r="O18" s="56"/>
      <c r="P18" s="74"/>
      <c r="Q18" s="74"/>
      <c r="R18" s="74"/>
    </row>
    <row r="19" spans="1:18">
      <c r="A19" s="23">
        <v>16</v>
      </c>
      <c r="B19" s="24">
        <v>46219</v>
      </c>
      <c r="C19" s="22"/>
      <c r="D19" s="15"/>
      <c r="E19" s="44"/>
      <c r="F19" s="44"/>
      <c r="G19" s="8">
        <f t="shared" si="0"/>
        <v>0</v>
      </c>
      <c r="H19" s="44">
        <v>6</v>
      </c>
      <c r="I19" s="44">
        <v>111.85</v>
      </c>
      <c r="J19" s="8">
        <f t="shared" si="3"/>
        <v>671.09999999999991</v>
      </c>
      <c r="K19" s="8">
        <f t="shared" si="1"/>
        <v>671.09999999999991</v>
      </c>
      <c r="L19" s="243"/>
      <c r="M19" s="8">
        <f t="shared" si="2"/>
        <v>570861.45000000007</v>
      </c>
      <c r="N19" s="16"/>
      <c r="O19" s="56"/>
      <c r="P19" s="74"/>
      <c r="Q19" s="74"/>
      <c r="R19" s="74"/>
    </row>
    <row r="20" spans="1:18">
      <c r="A20" s="23">
        <v>17</v>
      </c>
      <c r="B20" s="24">
        <v>46220</v>
      </c>
      <c r="C20" s="22"/>
      <c r="D20" s="15"/>
      <c r="E20" s="444">
        <v>85</v>
      </c>
      <c r="F20" s="412">
        <v>99.73</v>
      </c>
      <c r="G20" s="8">
        <f t="shared" si="0"/>
        <v>8477.0500000000011</v>
      </c>
      <c r="H20" s="44"/>
      <c r="I20" s="44"/>
      <c r="J20" s="8">
        <f t="shared" si="3"/>
        <v>0</v>
      </c>
      <c r="K20" s="8">
        <f t="shared" si="1"/>
        <v>8477.0500000000011</v>
      </c>
      <c r="L20" s="243"/>
      <c r="M20" s="8">
        <f t="shared" si="2"/>
        <v>579338.50000000012</v>
      </c>
      <c r="N20" s="16"/>
      <c r="O20" s="56"/>
      <c r="P20" s="74"/>
      <c r="Q20" s="74"/>
      <c r="R20" s="74"/>
    </row>
    <row r="21" spans="1:18">
      <c r="A21" s="23"/>
      <c r="B21" s="24">
        <v>46220</v>
      </c>
      <c r="C21" s="22"/>
      <c r="D21" s="15"/>
      <c r="E21" s="474">
        <v>69.98</v>
      </c>
      <c r="F21" s="475">
        <v>100.03</v>
      </c>
      <c r="G21" s="8">
        <f t="shared" si="0"/>
        <v>7000.0994000000001</v>
      </c>
      <c r="H21" s="44"/>
      <c r="I21" s="44"/>
      <c r="J21" s="8"/>
      <c r="K21" s="8">
        <f t="shared" si="1"/>
        <v>7000.0994000000001</v>
      </c>
      <c r="L21" s="8">
        <f t="shared" si="1"/>
        <v>7000.0994000000001</v>
      </c>
      <c r="M21" s="8">
        <f t="shared" si="2"/>
        <v>579338.50000000012</v>
      </c>
      <c r="N21" s="16" t="s">
        <v>263</v>
      </c>
      <c r="O21" s="56"/>
      <c r="P21" s="74"/>
      <c r="Q21" s="74"/>
      <c r="R21" s="74"/>
    </row>
    <row r="22" spans="1:18">
      <c r="A22" s="23"/>
      <c r="B22" s="24">
        <v>46220</v>
      </c>
      <c r="C22" s="22"/>
      <c r="D22" s="15"/>
      <c r="E22" s="474">
        <v>29.98</v>
      </c>
      <c r="F22" s="475">
        <v>100.07</v>
      </c>
      <c r="G22" s="8">
        <f t="shared" si="0"/>
        <v>3000.0985999999998</v>
      </c>
      <c r="H22" s="44"/>
      <c r="I22" s="44"/>
      <c r="J22" s="8"/>
      <c r="K22" s="8">
        <f t="shared" si="1"/>
        <v>3000.0985999999998</v>
      </c>
      <c r="L22" s="8">
        <f t="shared" si="1"/>
        <v>3000.0985999999998</v>
      </c>
      <c r="M22" s="8">
        <f t="shared" si="2"/>
        <v>579338.50000000012</v>
      </c>
      <c r="N22" s="16" t="s">
        <v>264</v>
      </c>
      <c r="O22" s="56"/>
      <c r="P22" s="74"/>
      <c r="Q22" s="74"/>
      <c r="R22" s="74"/>
    </row>
    <row r="23" spans="1:18">
      <c r="A23" s="23">
        <v>18</v>
      </c>
      <c r="B23" s="24">
        <v>46221</v>
      </c>
      <c r="C23" s="22"/>
      <c r="D23" s="15"/>
      <c r="E23" s="44">
        <v>400</v>
      </c>
      <c r="F23" s="44">
        <v>99.73</v>
      </c>
      <c r="G23" s="8">
        <f t="shared" si="0"/>
        <v>39892</v>
      </c>
      <c r="H23" s="44">
        <v>20</v>
      </c>
      <c r="I23" s="44">
        <v>111.85</v>
      </c>
      <c r="J23" s="8">
        <f t="shared" si="3"/>
        <v>2237</v>
      </c>
      <c r="K23" s="8">
        <f t="shared" si="1"/>
        <v>42129</v>
      </c>
      <c r="L23" s="243"/>
      <c r="M23" s="8">
        <f t="shared" si="2"/>
        <v>621467.50000000012</v>
      </c>
      <c r="N23" s="16"/>
      <c r="O23" s="56"/>
      <c r="P23" s="74"/>
      <c r="Q23" s="74"/>
      <c r="R23" s="74"/>
    </row>
    <row r="24" spans="1:18">
      <c r="A24" s="23">
        <v>19</v>
      </c>
      <c r="B24" s="24">
        <v>46222</v>
      </c>
      <c r="C24" s="22"/>
      <c r="D24" s="15"/>
      <c r="E24" s="44"/>
      <c r="F24" s="44"/>
      <c r="G24" s="8">
        <f t="shared" si="0"/>
        <v>0</v>
      </c>
      <c r="H24" s="44">
        <v>35</v>
      </c>
      <c r="I24" s="44">
        <v>111.85</v>
      </c>
      <c r="J24" s="8">
        <f t="shared" si="3"/>
        <v>3914.75</v>
      </c>
      <c r="K24" s="8">
        <f t="shared" si="1"/>
        <v>3914.75</v>
      </c>
      <c r="L24" s="243"/>
      <c r="M24" s="8">
        <f t="shared" si="2"/>
        <v>625382.25000000012</v>
      </c>
      <c r="N24" s="16"/>
      <c r="O24" s="56"/>
      <c r="P24" s="74"/>
      <c r="Q24" s="74"/>
      <c r="R24" s="74"/>
    </row>
    <row r="25" spans="1:18">
      <c r="A25" s="23">
        <v>20</v>
      </c>
      <c r="B25" s="24">
        <v>46223</v>
      </c>
      <c r="C25" s="22"/>
      <c r="D25" s="15"/>
      <c r="E25" s="44"/>
      <c r="F25" s="44"/>
      <c r="G25" s="8">
        <f t="shared" si="0"/>
        <v>0</v>
      </c>
      <c r="H25" s="44"/>
      <c r="I25" s="44"/>
      <c r="J25" s="8">
        <f t="shared" si="3"/>
        <v>0</v>
      </c>
      <c r="K25" s="8">
        <f t="shared" si="1"/>
        <v>0</v>
      </c>
      <c r="L25" s="243"/>
      <c r="M25" s="8">
        <f t="shared" si="2"/>
        <v>625382.25000000012</v>
      </c>
      <c r="N25" s="16"/>
      <c r="O25" s="56"/>
      <c r="P25" s="74"/>
      <c r="Q25" s="74"/>
      <c r="R25" s="74"/>
    </row>
    <row r="26" spans="1:18">
      <c r="A26" s="23">
        <v>21</v>
      </c>
      <c r="B26" s="24">
        <v>46224</v>
      </c>
      <c r="C26" s="22"/>
      <c r="D26" s="15"/>
      <c r="E26" s="44">
        <v>195</v>
      </c>
      <c r="F26" s="44">
        <v>99.73</v>
      </c>
      <c r="G26" s="8">
        <f t="shared" si="0"/>
        <v>19447.350000000002</v>
      </c>
      <c r="H26" s="44">
        <v>35</v>
      </c>
      <c r="I26" s="44">
        <v>111.85</v>
      </c>
      <c r="J26" s="8">
        <f t="shared" si="3"/>
        <v>3914.75</v>
      </c>
      <c r="K26" s="8">
        <f t="shared" si="1"/>
        <v>23362.100000000002</v>
      </c>
      <c r="L26" s="243"/>
      <c r="M26" s="8">
        <f t="shared" si="2"/>
        <v>648744.35000000009</v>
      </c>
      <c r="N26" s="16"/>
      <c r="O26" s="56"/>
      <c r="P26" s="74"/>
      <c r="Q26" s="74"/>
      <c r="R26" s="74"/>
    </row>
    <row r="27" spans="1:18">
      <c r="A27" s="23">
        <v>22</v>
      </c>
      <c r="B27" s="24">
        <v>46225</v>
      </c>
      <c r="C27" s="22"/>
      <c r="D27" s="15"/>
      <c r="E27" s="44">
        <v>35</v>
      </c>
      <c r="F27" s="44">
        <v>99.73</v>
      </c>
      <c r="G27" s="8">
        <f t="shared" si="0"/>
        <v>3490.55</v>
      </c>
      <c r="H27" s="44"/>
      <c r="I27" s="44"/>
      <c r="J27" s="8">
        <f t="shared" si="3"/>
        <v>0</v>
      </c>
      <c r="K27" s="8">
        <f t="shared" si="1"/>
        <v>3490.55</v>
      </c>
      <c r="L27" s="243">
        <v>400000</v>
      </c>
      <c r="M27" s="8">
        <f t="shared" si="2"/>
        <v>252234.90000000014</v>
      </c>
      <c r="N27" s="16"/>
      <c r="O27" s="56"/>
      <c r="P27" s="74"/>
      <c r="Q27" s="74"/>
      <c r="R27" s="74"/>
    </row>
    <row r="28" spans="1:18">
      <c r="A28" s="23">
        <v>23</v>
      </c>
      <c r="B28" s="24">
        <v>46226</v>
      </c>
      <c r="C28" s="22"/>
      <c r="D28" s="15"/>
      <c r="E28" s="44">
        <v>235</v>
      </c>
      <c r="F28" s="44">
        <v>99.73</v>
      </c>
      <c r="G28" s="8">
        <f t="shared" si="0"/>
        <v>23436.55</v>
      </c>
      <c r="H28" s="44"/>
      <c r="I28" s="44"/>
      <c r="J28" s="8">
        <f t="shared" si="3"/>
        <v>0</v>
      </c>
      <c r="K28" s="8">
        <f t="shared" si="1"/>
        <v>23436.55</v>
      </c>
      <c r="L28" s="243"/>
      <c r="M28" s="8">
        <f t="shared" si="2"/>
        <v>275671.45000000013</v>
      </c>
      <c r="N28" s="16"/>
      <c r="O28" s="56"/>
      <c r="P28" s="74"/>
      <c r="Q28" s="74" t="s">
        <v>261</v>
      </c>
      <c r="R28" s="74"/>
    </row>
    <row r="29" spans="1:18">
      <c r="A29" s="23">
        <v>24</v>
      </c>
      <c r="B29" s="24">
        <v>46227</v>
      </c>
      <c r="C29" s="22"/>
      <c r="D29" s="15"/>
      <c r="E29" s="44"/>
      <c r="F29" s="44"/>
      <c r="G29" s="8">
        <f t="shared" si="0"/>
        <v>0</v>
      </c>
      <c r="H29" s="44"/>
      <c r="I29" s="44"/>
      <c r="J29" s="8">
        <f t="shared" si="3"/>
        <v>0</v>
      </c>
      <c r="K29" s="8">
        <f t="shared" si="1"/>
        <v>0</v>
      </c>
      <c r="L29" s="243"/>
      <c r="M29" s="8">
        <f t="shared" si="2"/>
        <v>275671.45000000013</v>
      </c>
      <c r="N29" s="16"/>
      <c r="O29" s="56"/>
      <c r="P29" s="74"/>
      <c r="Q29" s="74">
        <v>30</v>
      </c>
      <c r="R29" s="74">
        <v>50</v>
      </c>
    </row>
    <row r="30" spans="1:18">
      <c r="A30" s="23">
        <v>25</v>
      </c>
      <c r="B30" s="24">
        <v>46228</v>
      </c>
      <c r="C30" s="22"/>
      <c r="D30" s="15"/>
      <c r="E30" s="44">
        <v>70</v>
      </c>
      <c r="F30" s="44">
        <v>99.73</v>
      </c>
      <c r="G30" s="8">
        <f t="shared" si="0"/>
        <v>6981.1</v>
      </c>
      <c r="H30" s="44">
        <v>17</v>
      </c>
      <c r="I30" s="44">
        <v>111.85</v>
      </c>
      <c r="J30" s="8">
        <f t="shared" si="3"/>
        <v>1901.4499999999998</v>
      </c>
      <c r="K30" s="8">
        <f t="shared" si="1"/>
        <v>8882.5499999999993</v>
      </c>
      <c r="L30" s="243"/>
      <c r="M30" s="8">
        <f t="shared" si="2"/>
        <v>284554.00000000012</v>
      </c>
      <c r="N30" s="16"/>
      <c r="O30" s="56"/>
      <c r="P30" s="74"/>
      <c r="Q30" s="74">
        <v>50</v>
      </c>
      <c r="R30" s="74">
        <v>4.51</v>
      </c>
    </row>
    <row r="31" spans="1:18">
      <c r="A31" s="23">
        <v>26</v>
      </c>
      <c r="B31" s="24">
        <v>46229</v>
      </c>
      <c r="C31" s="22"/>
      <c r="D31" s="15"/>
      <c r="E31" s="44">
        <v>400</v>
      </c>
      <c r="F31" s="44">
        <v>99.73</v>
      </c>
      <c r="G31" s="8">
        <f t="shared" si="0"/>
        <v>39892</v>
      </c>
      <c r="H31" s="44">
        <v>35</v>
      </c>
      <c r="I31" s="44">
        <v>111.85</v>
      </c>
      <c r="J31" s="8">
        <f t="shared" si="3"/>
        <v>3914.75</v>
      </c>
      <c r="K31" s="8">
        <f t="shared" si="1"/>
        <v>43806.75</v>
      </c>
      <c r="L31" s="243"/>
      <c r="M31" s="8">
        <f t="shared" si="2"/>
        <v>328360.75000000012</v>
      </c>
      <c r="N31" s="16"/>
      <c r="O31" s="56"/>
      <c r="P31" s="74"/>
      <c r="Q31" s="74"/>
      <c r="R31" s="74"/>
    </row>
    <row r="32" spans="1:18">
      <c r="A32" s="23">
        <v>27</v>
      </c>
      <c r="B32" s="24">
        <v>46230</v>
      </c>
      <c r="C32" s="22"/>
      <c r="D32" s="15"/>
      <c r="E32" s="44">
        <v>620</v>
      </c>
      <c r="F32" s="44">
        <v>99.73</v>
      </c>
      <c r="G32" s="8">
        <f t="shared" si="0"/>
        <v>61832.600000000006</v>
      </c>
      <c r="H32" s="44">
        <v>46</v>
      </c>
      <c r="I32" s="44">
        <v>111.85</v>
      </c>
      <c r="J32" s="8">
        <f t="shared" si="3"/>
        <v>5145.0999999999995</v>
      </c>
      <c r="K32" s="8">
        <f t="shared" si="1"/>
        <v>66977.700000000012</v>
      </c>
      <c r="L32" s="243"/>
      <c r="M32" s="8">
        <f t="shared" si="2"/>
        <v>395338.45000000013</v>
      </c>
      <c r="N32" s="16"/>
      <c r="O32" s="56"/>
      <c r="P32" s="74"/>
      <c r="Q32" s="74"/>
      <c r="R32" s="74"/>
    </row>
    <row r="33" spans="1:18">
      <c r="A33" s="210">
        <v>28</v>
      </c>
      <c r="B33" s="24">
        <v>46231</v>
      </c>
      <c r="C33" s="22"/>
      <c r="D33" s="15"/>
      <c r="E33" s="44">
        <v>270</v>
      </c>
      <c r="F33" s="44">
        <v>99.73</v>
      </c>
      <c r="G33" s="8">
        <f t="shared" si="0"/>
        <v>26927.100000000002</v>
      </c>
      <c r="H33" s="44"/>
      <c r="I33" s="44"/>
      <c r="J33" s="8">
        <f t="shared" si="3"/>
        <v>0</v>
      </c>
      <c r="K33" s="8">
        <f t="shared" si="1"/>
        <v>26927.100000000002</v>
      </c>
      <c r="L33" s="243"/>
      <c r="M33" s="8">
        <f t="shared" si="2"/>
        <v>422265.5500000001</v>
      </c>
      <c r="N33" s="16"/>
      <c r="O33" s="56"/>
      <c r="P33" s="74"/>
      <c r="Q33" s="74"/>
      <c r="R33" s="74"/>
    </row>
    <row r="34" spans="1:18">
      <c r="A34" s="23">
        <v>29</v>
      </c>
      <c r="B34" s="24">
        <v>46232</v>
      </c>
      <c r="C34" s="22"/>
      <c r="D34" s="15"/>
      <c r="E34" s="44">
        <v>390</v>
      </c>
      <c r="F34" s="44">
        <v>99.73</v>
      </c>
      <c r="G34" s="8">
        <f t="shared" si="0"/>
        <v>38894.700000000004</v>
      </c>
      <c r="H34" s="44">
        <v>20</v>
      </c>
      <c r="I34" s="44">
        <v>111.85</v>
      </c>
      <c r="J34" s="8">
        <f t="shared" si="3"/>
        <v>2237</v>
      </c>
      <c r="K34" s="8">
        <f t="shared" si="1"/>
        <v>41131.700000000004</v>
      </c>
      <c r="L34" s="243"/>
      <c r="M34" s="8">
        <f t="shared" si="2"/>
        <v>463397.25000000012</v>
      </c>
      <c r="N34" s="16"/>
      <c r="O34" s="56"/>
      <c r="P34" s="74"/>
      <c r="Q34" s="74"/>
      <c r="R34" s="74"/>
    </row>
    <row r="35" spans="1:18">
      <c r="A35" s="23">
        <v>30</v>
      </c>
      <c r="B35" s="24">
        <v>46233</v>
      </c>
      <c r="C35" s="22"/>
      <c r="D35" s="15"/>
      <c r="E35" s="44">
        <v>30</v>
      </c>
      <c r="F35" s="44">
        <v>99.73</v>
      </c>
      <c r="G35" s="8">
        <f t="shared" si="0"/>
        <v>2991.9</v>
      </c>
      <c r="H35" s="44"/>
      <c r="I35" s="44"/>
      <c r="J35" s="8">
        <f t="shared" si="3"/>
        <v>0</v>
      </c>
      <c r="K35" s="8">
        <f t="shared" si="1"/>
        <v>2991.9</v>
      </c>
      <c r="L35" s="243"/>
      <c r="M35" s="8">
        <f t="shared" si="2"/>
        <v>466389.15000000014</v>
      </c>
      <c r="N35" s="16"/>
      <c r="O35" s="56"/>
      <c r="P35" s="74"/>
      <c r="Q35" s="74"/>
      <c r="R35" s="74"/>
    </row>
    <row r="36" spans="1:18">
      <c r="A36" s="23">
        <v>31</v>
      </c>
      <c r="B36" s="24">
        <v>46234</v>
      </c>
      <c r="C36" s="22"/>
      <c r="D36" s="15"/>
      <c r="E36" s="44">
        <v>400</v>
      </c>
      <c r="F36" s="44">
        <v>99.73</v>
      </c>
      <c r="G36" s="8">
        <f t="shared" si="0"/>
        <v>39892</v>
      </c>
      <c r="H36" s="44"/>
      <c r="I36" s="412"/>
      <c r="J36" s="8">
        <f t="shared" si="3"/>
        <v>0</v>
      </c>
      <c r="K36" s="8">
        <f t="shared" si="1"/>
        <v>39892</v>
      </c>
      <c r="L36" s="243"/>
      <c r="M36" s="8">
        <f>M35+K36-L36</f>
        <v>506281.15000000014</v>
      </c>
      <c r="N36" s="16"/>
      <c r="O36" s="56"/>
      <c r="P36" s="74"/>
      <c r="Q36" s="74"/>
      <c r="R36" s="74"/>
    </row>
    <row r="37" spans="1:18">
      <c r="A37" s="153"/>
      <c r="B37" s="153"/>
      <c r="C37" s="153"/>
      <c r="D37" s="153"/>
      <c r="E37" s="154">
        <f>SUM(E4:E36)</f>
        <v>5814.96</v>
      </c>
      <c r="F37" s="154"/>
      <c r="G37" s="154">
        <f>SUM(G4:G36)</f>
        <v>579957.14799999993</v>
      </c>
      <c r="H37" s="154">
        <f>SUM(H4:H36)</f>
        <v>352</v>
      </c>
      <c r="I37" s="154"/>
      <c r="J37" s="154">
        <f>SUM(J4:J36)</f>
        <v>39371.200000000004</v>
      </c>
      <c r="K37" s="154">
        <f>SUM(K4:K36)</f>
        <v>619328.34799999988</v>
      </c>
      <c r="L37" s="154">
        <f>SUM(L4:L36)</f>
        <v>410000.19799999997</v>
      </c>
      <c r="M37" s="154"/>
      <c r="N37" s="154"/>
      <c r="O37" s="56"/>
      <c r="P37" s="74"/>
      <c r="Q37" s="74"/>
      <c r="R37" s="74"/>
    </row>
    <row r="38" spans="1:18">
      <c r="A38" s="70"/>
      <c r="B38" s="70"/>
      <c r="C38" s="70"/>
      <c r="D38" s="70"/>
      <c r="E38" s="72"/>
      <c r="F38" s="72"/>
      <c r="G38" s="72"/>
      <c r="H38" s="72"/>
      <c r="I38" s="72"/>
      <c r="J38" s="72"/>
      <c r="K38" s="72"/>
      <c r="L38" s="244"/>
      <c r="M38" s="72"/>
      <c r="N38" s="72"/>
      <c r="O38" s="56"/>
      <c r="P38" s="74"/>
      <c r="Q38" s="74"/>
      <c r="R38" s="74"/>
    </row>
    <row r="39" spans="1:18">
      <c r="A39" s="74"/>
      <c r="B39" s="74"/>
      <c r="C39" s="74"/>
      <c r="D39" s="74"/>
      <c r="E39" s="248"/>
      <c r="F39" s="248"/>
      <c r="G39" s="248"/>
      <c r="H39" s="248"/>
      <c r="I39" s="248"/>
      <c r="J39" s="248"/>
      <c r="K39" s="248"/>
      <c r="L39" s="248"/>
      <c r="M39" s="74"/>
      <c r="N39" s="74"/>
      <c r="O39" s="56"/>
      <c r="P39" s="74"/>
      <c r="Q39" s="74"/>
      <c r="R39" s="74"/>
    </row>
    <row r="40" spans="1:18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245"/>
      <c r="M40" s="74"/>
      <c r="N40" s="74"/>
      <c r="O40" s="56"/>
      <c r="P40" s="74"/>
      <c r="Q40" s="74"/>
      <c r="R40" s="74"/>
    </row>
    <row r="41" spans="1:18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245"/>
      <c r="M41" s="74"/>
      <c r="N41" s="74"/>
      <c r="O41" s="56"/>
      <c r="P41" s="74"/>
      <c r="Q41" s="74"/>
      <c r="R41" s="74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245"/>
      <c r="M42" s="74"/>
      <c r="N42" s="74"/>
      <c r="O42" s="56"/>
      <c r="P42" s="74"/>
      <c r="Q42" s="74"/>
      <c r="R42" s="74"/>
    </row>
    <row r="43" spans="1:18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245"/>
      <c r="M43" s="74"/>
      <c r="N43" s="74"/>
      <c r="O43" s="56"/>
      <c r="P43" s="74"/>
      <c r="Q43" s="74"/>
      <c r="R43" s="74"/>
    </row>
    <row r="44" spans="1:18">
      <c r="A44" s="56"/>
      <c r="B44" s="56"/>
      <c r="C44" s="56"/>
      <c r="D44" s="56"/>
      <c r="E44" s="56"/>
      <c r="F44" s="56"/>
      <c r="G44" s="78"/>
      <c r="H44" s="56"/>
      <c r="I44" s="56"/>
      <c r="J44" s="56"/>
      <c r="K44" s="56"/>
      <c r="L44" s="70"/>
      <c r="M44" s="56"/>
      <c r="N44" s="56"/>
      <c r="O44" s="72"/>
      <c r="P44" s="74"/>
      <c r="Q44" s="74"/>
      <c r="R44" s="74"/>
    </row>
    <row r="45" spans="1:18">
      <c r="A45" s="56"/>
      <c r="B45" s="569"/>
      <c r="C45" s="569"/>
      <c r="D45" s="569"/>
      <c r="E45" s="569"/>
      <c r="F45" s="56"/>
      <c r="G45" s="56"/>
      <c r="H45" s="56"/>
      <c r="I45" s="569"/>
      <c r="J45" s="569"/>
      <c r="K45" s="569"/>
      <c r="L45" s="569"/>
      <c r="M45" s="569"/>
      <c r="N45" s="569"/>
      <c r="O45" s="72"/>
      <c r="P45" s="74"/>
      <c r="Q45" s="74"/>
      <c r="R45" s="74"/>
    </row>
    <row r="46" spans="1:18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70"/>
      <c r="M46" s="56"/>
      <c r="N46" s="56"/>
      <c r="O46" s="72"/>
      <c r="P46" s="74"/>
      <c r="Q46" s="74"/>
      <c r="R46" s="74"/>
    </row>
  </sheetData>
  <mergeCells count="4">
    <mergeCell ref="A1:N1"/>
    <mergeCell ref="A3:J3"/>
    <mergeCell ref="B45:E45"/>
    <mergeCell ref="I45:N4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workbookViewId="0">
      <selection activeCell="L19" sqref="L19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19" customWidth="1"/>
    <col min="8" max="8" width="12" style="19" customWidth="1"/>
    <col min="9" max="9" width="9.140625" style="19"/>
    <col min="10" max="10" width="11.140625" style="19" customWidth="1"/>
    <col min="11" max="11" width="12" style="19" customWidth="1"/>
    <col min="12" max="12" width="11.85546875" style="19" customWidth="1"/>
    <col min="13" max="13" width="13.85546875" customWidth="1"/>
  </cols>
  <sheetData>
    <row r="1" spans="1:14" ht="15.75">
      <c r="A1" s="560" t="s">
        <v>121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4">
      <c r="A2" s="95" t="s">
        <v>0</v>
      </c>
      <c r="B2" s="96" t="s">
        <v>163</v>
      </c>
      <c r="C2" s="96" t="s">
        <v>164</v>
      </c>
      <c r="D2" s="96" t="s">
        <v>186</v>
      </c>
      <c r="E2" s="96" t="s">
        <v>166</v>
      </c>
      <c r="F2" s="96" t="s">
        <v>167</v>
      </c>
      <c r="G2" s="219" t="s">
        <v>168</v>
      </c>
      <c r="H2" s="219" t="s">
        <v>169</v>
      </c>
      <c r="I2" s="219" t="s">
        <v>167</v>
      </c>
      <c r="J2" s="219" t="s">
        <v>168</v>
      </c>
      <c r="K2" s="220" t="s">
        <v>170</v>
      </c>
      <c r="L2" s="220" t="s">
        <v>171</v>
      </c>
      <c r="M2" s="138" t="s">
        <v>187</v>
      </c>
      <c r="N2" s="98" t="s">
        <v>173</v>
      </c>
    </row>
    <row r="3" spans="1:14">
      <c r="A3" s="573" t="s">
        <v>174</v>
      </c>
      <c r="B3" s="574"/>
      <c r="C3" s="574"/>
      <c r="D3" s="574"/>
      <c r="E3" s="574"/>
      <c r="F3" s="574"/>
      <c r="G3" s="574"/>
      <c r="H3" s="574"/>
      <c r="I3" s="574"/>
      <c r="J3" s="575"/>
      <c r="K3" s="207">
        <v>0</v>
      </c>
      <c r="L3" s="207"/>
      <c r="M3" s="166">
        <f>+K3</f>
        <v>0</v>
      </c>
      <c r="N3" s="208"/>
    </row>
    <row r="4" spans="1:14">
      <c r="A4" s="23">
        <v>1</v>
      </c>
      <c r="B4" s="24">
        <v>46204</v>
      </c>
      <c r="C4" s="14"/>
      <c r="D4" s="14"/>
      <c r="E4" s="187"/>
      <c r="F4" s="187"/>
      <c r="G4" s="202">
        <f>E4*F4</f>
        <v>0</v>
      </c>
      <c r="H4" s="258"/>
      <c r="I4" s="202"/>
      <c r="J4" s="202">
        <f>H4*I4</f>
        <v>0</v>
      </c>
      <c r="K4" s="202">
        <f>G4+J4</f>
        <v>0</v>
      </c>
      <c r="L4" s="202">
        <f>+K4</f>
        <v>0</v>
      </c>
      <c r="M4" s="187"/>
      <c r="N4" s="14"/>
    </row>
    <row r="5" spans="1:14">
      <c r="A5" s="23">
        <v>2</v>
      </c>
      <c r="B5" s="24">
        <v>46205</v>
      </c>
      <c r="C5" s="14"/>
      <c r="D5" s="14"/>
      <c r="E5" s="187"/>
      <c r="F5" s="187"/>
      <c r="G5" s="202">
        <f t="shared" ref="G5:G32" si="0">E5*F5</f>
        <v>0</v>
      </c>
      <c r="H5" s="258"/>
      <c r="I5" s="202"/>
      <c r="J5" s="202">
        <f>H5*I5</f>
        <v>0</v>
      </c>
      <c r="K5" s="202">
        <f t="shared" ref="K5:L34" si="1">G5+J5</f>
        <v>0</v>
      </c>
      <c r="L5" s="202">
        <f t="shared" ref="L5:L33" si="2">+K5</f>
        <v>0</v>
      </c>
      <c r="M5" s="187"/>
      <c r="N5" s="14"/>
    </row>
    <row r="6" spans="1:14">
      <c r="A6" s="23">
        <v>3</v>
      </c>
      <c r="B6" s="24">
        <v>46206</v>
      </c>
      <c r="C6" s="14"/>
      <c r="D6" s="14"/>
      <c r="E6" s="187"/>
      <c r="F6" s="187"/>
      <c r="G6" s="202">
        <f t="shared" si="0"/>
        <v>0</v>
      </c>
      <c r="H6" s="258"/>
      <c r="I6" s="202"/>
      <c r="J6" s="202">
        <f t="shared" ref="J6:J34" si="3">H6*I6</f>
        <v>0</v>
      </c>
      <c r="K6" s="202">
        <f t="shared" si="1"/>
        <v>0</v>
      </c>
      <c r="L6" s="202">
        <f t="shared" si="2"/>
        <v>0</v>
      </c>
      <c r="M6" s="187"/>
      <c r="N6" s="14"/>
    </row>
    <row r="7" spans="1:14">
      <c r="A7" s="23">
        <v>4</v>
      </c>
      <c r="B7" s="24">
        <v>46207</v>
      </c>
      <c r="C7" s="14"/>
      <c r="D7" s="14"/>
      <c r="E7" s="187"/>
      <c r="F7" s="187"/>
      <c r="G7" s="202">
        <f t="shared" si="0"/>
        <v>0</v>
      </c>
      <c r="H7" s="258"/>
      <c r="I7" s="202"/>
      <c r="J7" s="202">
        <f t="shared" si="3"/>
        <v>0</v>
      </c>
      <c r="K7" s="202">
        <f t="shared" si="1"/>
        <v>0</v>
      </c>
      <c r="L7" s="202">
        <f t="shared" si="2"/>
        <v>0</v>
      </c>
      <c r="M7" s="187"/>
      <c r="N7" s="14"/>
    </row>
    <row r="8" spans="1:14">
      <c r="A8" s="23">
        <v>5</v>
      </c>
      <c r="B8" s="24">
        <v>46208</v>
      </c>
      <c r="C8" s="14"/>
      <c r="D8" s="14"/>
      <c r="E8" s="187"/>
      <c r="F8" s="187"/>
      <c r="G8" s="202">
        <f t="shared" si="0"/>
        <v>0</v>
      </c>
      <c r="H8" s="258"/>
      <c r="I8" s="202"/>
      <c r="J8" s="202">
        <f t="shared" si="3"/>
        <v>0</v>
      </c>
      <c r="K8" s="202">
        <f t="shared" si="1"/>
        <v>0</v>
      </c>
      <c r="L8" s="202">
        <f t="shared" si="2"/>
        <v>0</v>
      </c>
      <c r="M8" s="187"/>
      <c r="N8" s="14"/>
    </row>
    <row r="9" spans="1:14">
      <c r="A9" s="23">
        <v>6</v>
      </c>
      <c r="B9" s="24">
        <v>46209</v>
      </c>
      <c r="C9" s="14"/>
      <c r="D9" s="14"/>
      <c r="E9" s="187"/>
      <c r="F9" s="187"/>
      <c r="G9" s="202">
        <f t="shared" si="0"/>
        <v>0</v>
      </c>
      <c r="H9" s="258"/>
      <c r="I9" s="202"/>
      <c r="J9" s="202">
        <f t="shared" si="3"/>
        <v>0</v>
      </c>
      <c r="K9" s="202">
        <f t="shared" si="1"/>
        <v>0</v>
      </c>
      <c r="L9" s="202">
        <f t="shared" si="2"/>
        <v>0</v>
      </c>
      <c r="M9" s="187"/>
      <c r="N9" s="14"/>
    </row>
    <row r="10" spans="1:14">
      <c r="A10" s="23">
        <v>7</v>
      </c>
      <c r="B10" s="24">
        <v>46210</v>
      </c>
      <c r="C10" s="14"/>
      <c r="D10" s="14"/>
      <c r="E10" s="187"/>
      <c r="F10" s="187"/>
      <c r="G10" s="202">
        <f t="shared" si="0"/>
        <v>0</v>
      </c>
      <c r="H10" s="258"/>
      <c r="I10" s="202"/>
      <c r="J10" s="202">
        <f t="shared" si="3"/>
        <v>0</v>
      </c>
      <c r="K10" s="202">
        <f t="shared" si="1"/>
        <v>0</v>
      </c>
      <c r="L10" s="202">
        <f t="shared" si="2"/>
        <v>0</v>
      </c>
      <c r="M10" s="187"/>
      <c r="N10" s="14"/>
    </row>
    <row r="11" spans="1:14">
      <c r="A11" s="23">
        <v>8</v>
      </c>
      <c r="B11" s="24">
        <v>46211</v>
      </c>
      <c r="C11" s="14"/>
      <c r="D11" s="14"/>
      <c r="E11" s="187"/>
      <c r="F11" s="187"/>
      <c r="G11" s="202">
        <f t="shared" si="0"/>
        <v>0</v>
      </c>
      <c r="H11" s="258"/>
      <c r="I11" s="202"/>
      <c r="J11" s="202">
        <f t="shared" si="3"/>
        <v>0</v>
      </c>
      <c r="K11" s="202">
        <f t="shared" si="1"/>
        <v>0</v>
      </c>
      <c r="L11" s="202">
        <f t="shared" si="2"/>
        <v>0</v>
      </c>
      <c r="M11" s="187"/>
      <c r="N11" s="14"/>
    </row>
    <row r="12" spans="1:14">
      <c r="A12" s="23">
        <v>9</v>
      </c>
      <c r="B12" s="24">
        <v>46212</v>
      </c>
      <c r="C12" s="14"/>
      <c r="D12" s="14"/>
      <c r="E12" s="187"/>
      <c r="F12" s="187"/>
      <c r="G12" s="202">
        <f t="shared" si="0"/>
        <v>0</v>
      </c>
      <c r="H12" s="258"/>
      <c r="I12" s="202"/>
      <c r="J12" s="202">
        <f t="shared" si="3"/>
        <v>0</v>
      </c>
      <c r="K12" s="202">
        <f t="shared" si="1"/>
        <v>0</v>
      </c>
      <c r="L12" s="202">
        <f t="shared" si="2"/>
        <v>0</v>
      </c>
      <c r="M12" s="187"/>
      <c r="N12" s="14"/>
    </row>
    <row r="13" spans="1:14">
      <c r="A13" s="23">
        <v>10</v>
      </c>
      <c r="B13" s="24">
        <v>46213</v>
      </c>
      <c r="C13" s="14"/>
      <c r="D13" s="14"/>
      <c r="E13" s="187"/>
      <c r="F13" s="187"/>
      <c r="G13" s="202">
        <f t="shared" si="0"/>
        <v>0</v>
      </c>
      <c r="H13" s="258"/>
      <c r="I13" s="202"/>
      <c r="J13" s="202">
        <f t="shared" si="3"/>
        <v>0</v>
      </c>
      <c r="K13" s="202">
        <f t="shared" si="1"/>
        <v>0</v>
      </c>
      <c r="L13" s="202">
        <f t="shared" si="2"/>
        <v>0</v>
      </c>
      <c r="M13" s="187"/>
      <c r="N13" s="14"/>
    </row>
    <row r="14" spans="1:14">
      <c r="A14" s="23">
        <v>11</v>
      </c>
      <c r="B14" s="24">
        <v>46214</v>
      </c>
      <c r="C14" s="14"/>
      <c r="D14" s="14"/>
      <c r="E14" s="187"/>
      <c r="F14" s="187"/>
      <c r="G14" s="202">
        <f t="shared" si="0"/>
        <v>0</v>
      </c>
      <c r="H14" s="258"/>
      <c r="I14" s="202"/>
      <c r="J14" s="202">
        <f t="shared" si="3"/>
        <v>0</v>
      </c>
      <c r="K14" s="202">
        <f t="shared" si="1"/>
        <v>0</v>
      </c>
      <c r="L14" s="202">
        <f t="shared" si="2"/>
        <v>0</v>
      </c>
      <c r="M14" s="187"/>
      <c r="N14" s="14"/>
    </row>
    <row r="15" spans="1:14">
      <c r="A15" s="23">
        <v>12</v>
      </c>
      <c r="B15" s="24">
        <v>46215</v>
      </c>
      <c r="C15" s="14"/>
      <c r="D15" s="14"/>
      <c r="E15" s="187"/>
      <c r="F15" s="187"/>
      <c r="G15" s="202">
        <f t="shared" si="0"/>
        <v>0</v>
      </c>
      <c r="H15" s="258"/>
      <c r="I15" s="202"/>
      <c r="J15" s="202">
        <f t="shared" si="3"/>
        <v>0</v>
      </c>
      <c r="K15" s="202">
        <f t="shared" si="1"/>
        <v>0</v>
      </c>
      <c r="L15" s="202">
        <f t="shared" si="2"/>
        <v>0</v>
      </c>
      <c r="M15" s="187"/>
      <c r="N15" s="14"/>
    </row>
    <row r="16" spans="1:14">
      <c r="A16" s="23">
        <v>13</v>
      </c>
      <c r="B16" s="24">
        <v>46216</v>
      </c>
      <c r="C16" s="14"/>
      <c r="D16" s="14"/>
      <c r="E16" s="187"/>
      <c r="F16" s="187"/>
      <c r="G16" s="202">
        <f t="shared" si="0"/>
        <v>0</v>
      </c>
      <c r="H16" s="258"/>
      <c r="I16" s="202"/>
      <c r="J16" s="202">
        <f t="shared" si="3"/>
        <v>0</v>
      </c>
      <c r="K16" s="202">
        <f t="shared" si="1"/>
        <v>0</v>
      </c>
      <c r="L16" s="202">
        <f t="shared" si="2"/>
        <v>0</v>
      </c>
      <c r="M16" s="187"/>
      <c r="N16" s="14"/>
    </row>
    <row r="17" spans="1:15">
      <c r="A17" s="23">
        <v>14</v>
      </c>
      <c r="B17" s="24">
        <v>46217</v>
      </c>
      <c r="C17" s="14"/>
      <c r="D17" s="14"/>
      <c r="E17" s="187"/>
      <c r="F17" s="187"/>
      <c r="G17" s="202">
        <f t="shared" si="0"/>
        <v>0</v>
      </c>
      <c r="H17" s="258"/>
      <c r="I17" s="202"/>
      <c r="J17" s="202">
        <f t="shared" si="3"/>
        <v>0</v>
      </c>
      <c r="K17" s="202">
        <f t="shared" si="1"/>
        <v>0</v>
      </c>
      <c r="L17" s="202">
        <f t="shared" si="2"/>
        <v>0</v>
      </c>
      <c r="M17" s="187"/>
      <c r="N17" s="14"/>
    </row>
    <row r="18" spans="1:15">
      <c r="A18" s="23">
        <v>15</v>
      </c>
      <c r="B18" s="24">
        <v>46218</v>
      </c>
      <c r="C18" s="14"/>
      <c r="D18" s="14"/>
      <c r="E18" s="187">
        <v>80.48</v>
      </c>
      <c r="F18" s="187">
        <v>99.41</v>
      </c>
      <c r="G18" s="202">
        <f t="shared" si="0"/>
        <v>8000.5168000000003</v>
      </c>
      <c r="H18" s="258"/>
      <c r="I18" s="202"/>
      <c r="J18" s="202">
        <f t="shared" si="3"/>
        <v>0</v>
      </c>
      <c r="K18" s="202">
        <f t="shared" si="1"/>
        <v>8000.5168000000003</v>
      </c>
      <c r="L18" s="202">
        <f t="shared" si="2"/>
        <v>8000.5168000000003</v>
      </c>
      <c r="M18" s="187"/>
      <c r="N18" s="91"/>
    </row>
    <row r="19" spans="1:15">
      <c r="A19" s="23">
        <v>16</v>
      </c>
      <c r="B19" s="24">
        <v>46219</v>
      </c>
      <c r="C19" s="14"/>
      <c r="D19" s="14"/>
      <c r="E19" s="187">
        <v>60</v>
      </c>
      <c r="F19" s="187">
        <v>99.41</v>
      </c>
      <c r="G19" s="202">
        <f t="shared" si="0"/>
        <v>5964.5999999999995</v>
      </c>
      <c r="H19" s="258"/>
      <c r="I19" s="202"/>
      <c r="J19" s="202">
        <f t="shared" si="3"/>
        <v>0</v>
      </c>
      <c r="K19" s="202">
        <f t="shared" si="1"/>
        <v>5964.5999999999995</v>
      </c>
      <c r="L19" s="202">
        <f t="shared" si="2"/>
        <v>5964.5999999999995</v>
      </c>
      <c r="M19" s="422"/>
      <c r="N19" s="14"/>
    </row>
    <row r="20" spans="1:15">
      <c r="A20" s="23">
        <v>17</v>
      </c>
      <c r="B20" s="24">
        <v>46220</v>
      </c>
      <c r="C20" s="14"/>
      <c r="D20" s="14"/>
      <c r="E20" s="187"/>
      <c r="F20" s="187"/>
      <c r="G20" s="202">
        <f t="shared" si="0"/>
        <v>0</v>
      </c>
      <c r="H20" s="258"/>
      <c r="I20" s="202"/>
      <c r="J20" s="202">
        <f t="shared" si="3"/>
        <v>0</v>
      </c>
      <c r="K20" s="202">
        <f t="shared" si="1"/>
        <v>0</v>
      </c>
      <c r="L20" s="202">
        <f t="shared" si="2"/>
        <v>0</v>
      </c>
      <c r="M20" s="422"/>
      <c r="N20" s="14"/>
    </row>
    <row r="21" spans="1:15">
      <c r="A21" s="23">
        <v>18</v>
      </c>
      <c r="B21" s="24">
        <v>46221</v>
      </c>
      <c r="C21" s="14"/>
      <c r="D21" s="14"/>
      <c r="E21" s="187"/>
      <c r="F21" s="187"/>
      <c r="G21" s="202">
        <f t="shared" si="0"/>
        <v>0</v>
      </c>
      <c r="H21" s="258"/>
      <c r="I21" s="202"/>
      <c r="J21" s="202">
        <f t="shared" si="3"/>
        <v>0</v>
      </c>
      <c r="K21" s="202">
        <f t="shared" si="1"/>
        <v>0</v>
      </c>
      <c r="L21" s="202">
        <f t="shared" si="2"/>
        <v>0</v>
      </c>
      <c r="M21" s="422"/>
      <c r="N21" s="14"/>
    </row>
    <row r="22" spans="1:15">
      <c r="A22" s="23">
        <v>19</v>
      </c>
      <c r="B22" s="24">
        <v>46222</v>
      </c>
      <c r="C22" s="14"/>
      <c r="D22" s="14"/>
      <c r="E22" s="187"/>
      <c r="F22" s="187"/>
      <c r="G22" s="202">
        <f t="shared" si="0"/>
        <v>0</v>
      </c>
      <c r="H22" s="258"/>
      <c r="I22" s="202"/>
      <c r="J22" s="202">
        <f t="shared" si="3"/>
        <v>0</v>
      </c>
      <c r="K22" s="202">
        <f t="shared" si="1"/>
        <v>0</v>
      </c>
      <c r="L22" s="202">
        <f t="shared" si="2"/>
        <v>0</v>
      </c>
      <c r="M22" s="422"/>
      <c r="N22" s="14"/>
    </row>
    <row r="23" spans="1:15">
      <c r="A23" s="23">
        <v>20</v>
      </c>
      <c r="B23" s="24">
        <v>46223</v>
      </c>
      <c r="C23" s="14"/>
      <c r="D23" s="14"/>
      <c r="E23" s="187"/>
      <c r="F23" s="187"/>
      <c r="G23" s="202">
        <f t="shared" si="0"/>
        <v>0</v>
      </c>
      <c r="H23" s="258"/>
      <c r="I23" s="202"/>
      <c r="J23" s="202">
        <f t="shared" si="3"/>
        <v>0</v>
      </c>
      <c r="K23" s="202">
        <f t="shared" si="1"/>
        <v>0</v>
      </c>
      <c r="L23" s="202">
        <f t="shared" si="2"/>
        <v>0</v>
      </c>
      <c r="M23" s="422"/>
      <c r="N23" s="14"/>
    </row>
    <row r="24" spans="1:15">
      <c r="A24" s="23">
        <v>21</v>
      </c>
      <c r="B24" s="24">
        <v>46224</v>
      </c>
      <c r="C24" s="14"/>
      <c r="D24" s="14"/>
      <c r="E24" s="187"/>
      <c r="F24" s="187"/>
      <c r="G24" s="202">
        <f t="shared" si="0"/>
        <v>0</v>
      </c>
      <c r="H24" s="258"/>
      <c r="I24" s="202"/>
      <c r="J24" s="202">
        <f t="shared" si="3"/>
        <v>0</v>
      </c>
      <c r="K24" s="202">
        <f t="shared" si="1"/>
        <v>0</v>
      </c>
      <c r="L24" s="202">
        <f t="shared" si="2"/>
        <v>0</v>
      </c>
      <c r="M24" s="422"/>
      <c r="N24" s="14"/>
    </row>
    <row r="25" spans="1:15">
      <c r="A25" s="23">
        <v>22</v>
      </c>
      <c r="B25" s="24">
        <v>46225</v>
      </c>
      <c r="C25" s="14"/>
      <c r="D25" s="14"/>
      <c r="E25" s="187"/>
      <c r="F25" s="187"/>
      <c r="G25" s="202">
        <f t="shared" si="0"/>
        <v>0</v>
      </c>
      <c r="H25" s="258"/>
      <c r="I25" s="202"/>
      <c r="J25" s="202">
        <f t="shared" si="3"/>
        <v>0</v>
      </c>
      <c r="K25" s="202">
        <f t="shared" si="1"/>
        <v>0</v>
      </c>
      <c r="L25" s="202">
        <f t="shared" si="2"/>
        <v>0</v>
      </c>
      <c r="M25" s="422"/>
      <c r="N25" s="14"/>
    </row>
    <row r="26" spans="1:15">
      <c r="A26" s="23">
        <v>23</v>
      </c>
      <c r="B26" s="24">
        <v>46226</v>
      </c>
      <c r="C26" s="14"/>
      <c r="D26" s="14"/>
      <c r="E26" s="187"/>
      <c r="F26" s="187"/>
      <c r="G26" s="202">
        <f t="shared" si="0"/>
        <v>0</v>
      </c>
      <c r="H26" s="258"/>
      <c r="I26" s="202"/>
      <c r="J26" s="202">
        <f t="shared" si="3"/>
        <v>0</v>
      </c>
      <c r="K26" s="202">
        <f t="shared" si="1"/>
        <v>0</v>
      </c>
      <c r="L26" s="202">
        <f t="shared" si="2"/>
        <v>0</v>
      </c>
      <c r="M26" s="187"/>
      <c r="N26" s="133"/>
    </row>
    <row r="27" spans="1:15">
      <c r="A27" s="23">
        <v>24</v>
      </c>
      <c r="B27" s="24">
        <v>46227</v>
      </c>
      <c r="C27" s="14"/>
      <c r="D27" s="14"/>
      <c r="E27" s="187"/>
      <c r="F27" s="187"/>
      <c r="G27" s="202">
        <f t="shared" si="0"/>
        <v>0</v>
      </c>
      <c r="H27" s="258"/>
      <c r="I27" s="202"/>
      <c r="J27" s="202">
        <f t="shared" si="3"/>
        <v>0</v>
      </c>
      <c r="K27" s="202">
        <f t="shared" ref="K27:K33" si="4">G27+J27</f>
        <v>0</v>
      </c>
      <c r="L27" s="202">
        <f t="shared" si="2"/>
        <v>0</v>
      </c>
      <c r="M27" s="187"/>
      <c r="N27" s="14"/>
      <c r="O27">
        <v>0</v>
      </c>
    </row>
    <row r="28" spans="1:15">
      <c r="A28" s="23">
        <v>25</v>
      </c>
      <c r="B28" s="24">
        <v>46228</v>
      </c>
      <c r="C28" s="14"/>
      <c r="D28" s="14"/>
      <c r="E28" s="187"/>
      <c r="F28" s="187"/>
      <c r="G28" s="202">
        <f t="shared" si="0"/>
        <v>0</v>
      </c>
      <c r="H28" s="258"/>
      <c r="I28" s="202"/>
      <c r="J28" s="202">
        <f t="shared" si="3"/>
        <v>0</v>
      </c>
      <c r="K28" s="202">
        <f t="shared" si="4"/>
        <v>0</v>
      </c>
      <c r="L28" s="202">
        <f t="shared" si="2"/>
        <v>0</v>
      </c>
      <c r="M28" s="187"/>
      <c r="N28" s="14"/>
    </row>
    <row r="29" spans="1:15">
      <c r="A29" s="23">
        <v>26</v>
      </c>
      <c r="B29" s="24">
        <v>46229</v>
      </c>
      <c r="C29" s="14"/>
      <c r="D29" s="14"/>
      <c r="E29" s="187"/>
      <c r="F29" s="187"/>
      <c r="G29" s="202">
        <f t="shared" si="0"/>
        <v>0</v>
      </c>
      <c r="H29" s="258"/>
      <c r="I29" s="202"/>
      <c r="J29" s="202">
        <f t="shared" si="3"/>
        <v>0</v>
      </c>
      <c r="K29" s="202">
        <f t="shared" si="4"/>
        <v>0</v>
      </c>
      <c r="L29" s="202">
        <f t="shared" si="2"/>
        <v>0</v>
      </c>
      <c r="M29" s="187"/>
      <c r="N29" s="14"/>
    </row>
    <row r="30" spans="1:15">
      <c r="A30" s="23">
        <v>27</v>
      </c>
      <c r="B30" s="24">
        <v>46230</v>
      </c>
      <c r="C30" s="14"/>
      <c r="D30" s="14"/>
      <c r="E30" s="187"/>
      <c r="F30" s="187"/>
      <c r="G30" s="202">
        <f t="shared" si="0"/>
        <v>0</v>
      </c>
      <c r="H30" s="258"/>
      <c r="I30" s="202"/>
      <c r="J30" s="202">
        <f t="shared" si="3"/>
        <v>0</v>
      </c>
      <c r="K30" s="202">
        <f t="shared" si="4"/>
        <v>0</v>
      </c>
      <c r="L30" s="202">
        <f t="shared" si="2"/>
        <v>0</v>
      </c>
      <c r="M30" s="187"/>
      <c r="N30" s="14"/>
    </row>
    <row r="31" spans="1:15">
      <c r="A31" s="210">
        <v>28</v>
      </c>
      <c r="B31" s="24">
        <v>46231</v>
      </c>
      <c r="C31" s="14"/>
      <c r="D31" s="14"/>
      <c r="E31" s="187"/>
      <c r="F31" s="187"/>
      <c r="G31" s="202">
        <f t="shared" si="0"/>
        <v>0</v>
      </c>
      <c r="H31" s="258"/>
      <c r="I31" s="202"/>
      <c r="J31" s="202">
        <f t="shared" si="3"/>
        <v>0</v>
      </c>
      <c r="K31" s="202">
        <f t="shared" si="4"/>
        <v>0</v>
      </c>
      <c r="L31" s="202">
        <f t="shared" si="2"/>
        <v>0</v>
      </c>
      <c r="M31" s="187"/>
      <c r="N31" s="91"/>
    </row>
    <row r="32" spans="1:15">
      <c r="A32" s="23">
        <v>29</v>
      </c>
      <c r="B32" s="24">
        <v>46232</v>
      </c>
      <c r="C32" s="14"/>
      <c r="D32" s="14"/>
      <c r="E32" s="187"/>
      <c r="F32" s="187"/>
      <c r="G32" s="202">
        <f t="shared" si="0"/>
        <v>0</v>
      </c>
      <c r="H32" s="258"/>
      <c r="I32" s="202"/>
      <c r="J32" s="202">
        <f t="shared" si="3"/>
        <v>0</v>
      </c>
      <c r="K32" s="202">
        <f t="shared" si="4"/>
        <v>0</v>
      </c>
      <c r="L32" s="202">
        <f t="shared" si="2"/>
        <v>0</v>
      </c>
      <c r="M32" s="187"/>
      <c r="N32" s="14"/>
    </row>
    <row r="33" spans="1:14">
      <c r="A33" s="23">
        <v>30</v>
      </c>
      <c r="B33" s="24">
        <v>46233</v>
      </c>
      <c r="C33" s="14"/>
      <c r="D33" s="14"/>
      <c r="E33" s="187"/>
      <c r="F33" s="187"/>
      <c r="G33" s="202">
        <f t="shared" ref="G33:G34" si="5">E33*F33</f>
        <v>0</v>
      </c>
      <c r="H33" s="258"/>
      <c r="I33" s="202"/>
      <c r="J33" s="202">
        <f t="shared" si="3"/>
        <v>0</v>
      </c>
      <c r="K33" s="202">
        <f t="shared" si="4"/>
        <v>0</v>
      </c>
      <c r="L33" s="202">
        <f t="shared" si="2"/>
        <v>0</v>
      </c>
      <c r="M33" s="187"/>
      <c r="N33" s="14"/>
    </row>
    <row r="34" spans="1:14">
      <c r="A34" s="23">
        <v>31</v>
      </c>
      <c r="B34" s="24">
        <v>46204</v>
      </c>
      <c r="C34" s="14"/>
      <c r="D34" s="14"/>
      <c r="E34" s="187"/>
      <c r="F34" s="187"/>
      <c r="G34" s="202">
        <f t="shared" si="5"/>
        <v>0</v>
      </c>
      <c r="H34" s="258"/>
      <c r="I34" s="202"/>
      <c r="J34" s="202">
        <f t="shared" si="3"/>
        <v>0</v>
      </c>
      <c r="K34" s="202">
        <f t="shared" si="1"/>
        <v>0</v>
      </c>
      <c r="L34" s="202">
        <f t="shared" si="1"/>
        <v>0</v>
      </c>
      <c r="M34" s="187"/>
      <c r="N34" s="14"/>
    </row>
    <row r="35" spans="1:14">
      <c r="A35" s="174"/>
      <c r="B35" s="174"/>
      <c r="C35" s="174"/>
      <c r="D35" s="174"/>
      <c r="E35" s="174">
        <f>SUM(E4:E34)</f>
        <v>140.48000000000002</v>
      </c>
      <c r="F35" s="174"/>
      <c r="G35" s="174">
        <f>SUM(G4:G34)</f>
        <v>13965.1168</v>
      </c>
      <c r="H35" s="174">
        <f>SUM(H4:H34)</f>
        <v>0</v>
      </c>
      <c r="I35" s="174"/>
      <c r="J35" s="174">
        <f>SUM(J4:J34)</f>
        <v>0</v>
      </c>
      <c r="K35" s="174">
        <f>SUM(K4:K34)</f>
        <v>13965.1168</v>
      </c>
      <c r="L35" s="174">
        <f>SUM(L4:L34)</f>
        <v>13965.1168</v>
      </c>
      <c r="M35" s="174"/>
      <c r="N35" s="174"/>
    </row>
  </sheetData>
  <mergeCells count="2">
    <mergeCell ref="A1:N1"/>
    <mergeCell ref="A3: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U41"/>
  <sheetViews>
    <sheetView workbookViewId="0">
      <pane ySplit="2" topLeftCell="A24" activePane="bottomLeft" state="frozen"/>
      <selection pane="bottomLeft" activeCell="M34" sqref="M34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7" width="9.140625" style="5"/>
    <col min="18" max="18" width="9.7109375" style="5" customWidth="1"/>
    <col min="19" max="19" width="15.42578125" style="5" customWidth="1"/>
    <col min="20" max="20" width="14.28515625" style="5" bestFit="1" customWidth="1"/>
    <col min="21" max="21" width="12.42578125" style="5" bestFit="1" customWidth="1"/>
    <col min="22" max="16384" width="9.140625" style="5"/>
  </cols>
  <sheetData>
    <row r="1" spans="1:18" ht="15.75" customHeight="1">
      <c r="A1" s="576" t="s">
        <v>265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</row>
    <row r="2" spans="1:18">
      <c r="A2" s="61" t="s">
        <v>0</v>
      </c>
      <c r="B2" s="61" t="s">
        <v>163</v>
      </c>
      <c r="C2" s="61" t="s">
        <v>164</v>
      </c>
      <c r="D2" s="61" t="s">
        <v>165</v>
      </c>
      <c r="E2" s="88" t="s">
        <v>166</v>
      </c>
      <c r="F2" s="88" t="s">
        <v>167</v>
      </c>
      <c r="G2" s="88" t="s">
        <v>168</v>
      </c>
      <c r="H2" s="88" t="s">
        <v>169</v>
      </c>
      <c r="I2" s="88" t="s">
        <v>167</v>
      </c>
      <c r="J2" s="88" t="s">
        <v>168</v>
      </c>
      <c r="K2" s="88" t="s">
        <v>170</v>
      </c>
      <c r="L2" s="82" t="s">
        <v>171</v>
      </c>
      <c r="M2" s="82" t="s">
        <v>187</v>
      </c>
      <c r="N2" s="61" t="s">
        <v>173</v>
      </c>
    </row>
    <row r="3" spans="1:18">
      <c r="A3" s="577" t="s">
        <v>174</v>
      </c>
      <c r="B3" s="577"/>
      <c r="C3" s="577"/>
      <c r="D3" s="577"/>
      <c r="E3" s="577"/>
      <c r="F3" s="577"/>
      <c r="G3" s="577"/>
      <c r="H3" s="577"/>
      <c r="I3" s="577"/>
      <c r="J3" s="577"/>
      <c r="K3" s="171"/>
      <c r="L3" s="99"/>
      <c r="M3" s="99">
        <v>15058.506800000017</v>
      </c>
    </row>
    <row r="4" spans="1:18">
      <c r="A4" s="23">
        <v>1</v>
      </c>
      <c r="B4" s="24">
        <v>45839</v>
      </c>
      <c r="C4" s="6"/>
      <c r="D4" s="6"/>
      <c r="E4" s="429"/>
      <c r="F4" s="429"/>
      <c r="G4" s="63">
        <f>E4*F4</f>
        <v>0</v>
      </c>
      <c r="H4" s="429"/>
      <c r="I4" s="430"/>
      <c r="J4" s="63">
        <f>H4*I4</f>
        <v>0</v>
      </c>
      <c r="K4" s="63">
        <f>G4+J4</f>
        <v>0</v>
      </c>
      <c r="L4" s="63"/>
      <c r="M4" s="63">
        <f>M3+K4-L4</f>
        <v>15058.506800000017</v>
      </c>
      <c r="N4" s="6"/>
    </row>
    <row r="5" spans="1:18">
      <c r="A5" s="23">
        <v>2</v>
      </c>
      <c r="B5" s="24">
        <v>45840</v>
      </c>
      <c r="C5" s="6"/>
      <c r="D5" s="6"/>
      <c r="E5" s="429"/>
      <c r="F5" s="429"/>
      <c r="G5" s="63">
        <f>E5*F5</f>
        <v>0</v>
      </c>
      <c r="H5" s="429"/>
      <c r="I5" s="430"/>
      <c r="J5" s="63">
        <f>H5*I5</f>
        <v>0</v>
      </c>
      <c r="K5" s="63">
        <f>G5+J5</f>
        <v>0</v>
      </c>
      <c r="L5" s="63"/>
      <c r="M5" s="63">
        <f t="shared" ref="M5:M40" si="0">M4+K5-L5</f>
        <v>15058.506800000017</v>
      </c>
      <c r="N5" s="6"/>
    </row>
    <row r="6" spans="1:18">
      <c r="A6" s="23">
        <v>3</v>
      </c>
      <c r="B6" s="24">
        <v>45841</v>
      </c>
      <c r="C6" s="6"/>
      <c r="D6" s="6"/>
      <c r="E6" s="429">
        <v>50</v>
      </c>
      <c r="F6" s="429">
        <v>99.78</v>
      </c>
      <c r="G6" s="63">
        <f t="shared" ref="G6:G40" si="1">E6*F6</f>
        <v>4989</v>
      </c>
      <c r="H6" s="429"/>
      <c r="I6" s="430"/>
      <c r="J6" s="63">
        <f t="shared" ref="J6:J39" si="2">H6*I6</f>
        <v>0</v>
      </c>
      <c r="K6" s="63">
        <f t="shared" ref="K6:K39" si="3">G6+J6</f>
        <v>4989</v>
      </c>
      <c r="L6" s="63"/>
      <c r="M6" s="63">
        <f t="shared" si="0"/>
        <v>20047.506800000017</v>
      </c>
      <c r="N6" s="6"/>
    </row>
    <row r="7" spans="1:18">
      <c r="A7" s="23">
        <v>4</v>
      </c>
      <c r="B7" s="24">
        <v>45842</v>
      </c>
      <c r="C7" s="6"/>
      <c r="D7" s="6"/>
      <c r="E7" s="257"/>
      <c r="F7" s="41"/>
      <c r="G7" s="63">
        <f t="shared" si="1"/>
        <v>0</v>
      </c>
      <c r="H7" s="41"/>
      <c r="I7" s="41"/>
      <c r="J7" s="63">
        <f t="shared" ref="J7:J40" si="4">H7*I7</f>
        <v>0</v>
      </c>
      <c r="K7" s="63">
        <f t="shared" si="3"/>
        <v>0</v>
      </c>
      <c r="L7" s="63"/>
      <c r="M7" s="63">
        <f t="shared" si="0"/>
        <v>20047.506800000017</v>
      </c>
      <c r="N7" s="6"/>
    </row>
    <row r="8" spans="1:18">
      <c r="A8" s="23">
        <v>5</v>
      </c>
      <c r="B8" s="24">
        <v>45843</v>
      </c>
      <c r="C8" s="6"/>
      <c r="D8" s="6"/>
      <c r="E8" s="257"/>
      <c r="F8" s="41"/>
      <c r="G8" s="63">
        <f t="shared" si="1"/>
        <v>0</v>
      </c>
      <c r="H8" s="41"/>
      <c r="I8" s="41"/>
      <c r="J8" s="63">
        <f t="shared" si="4"/>
        <v>0</v>
      </c>
      <c r="K8" s="63">
        <f t="shared" si="3"/>
        <v>0</v>
      </c>
      <c r="L8" s="63"/>
      <c r="M8" s="63">
        <f t="shared" si="0"/>
        <v>20047.506800000017</v>
      </c>
      <c r="N8" s="6"/>
    </row>
    <row r="9" spans="1:18">
      <c r="A9" s="23">
        <v>6</v>
      </c>
      <c r="B9" s="24">
        <v>45844</v>
      </c>
      <c r="C9" s="6"/>
      <c r="D9" s="6"/>
      <c r="E9" s="257"/>
      <c r="F9" s="41"/>
      <c r="G9" s="63">
        <f t="shared" si="1"/>
        <v>0</v>
      </c>
      <c r="H9" s="41"/>
      <c r="I9" s="41"/>
      <c r="J9" s="63">
        <f t="shared" si="4"/>
        <v>0</v>
      </c>
      <c r="K9" s="63">
        <f t="shared" si="3"/>
        <v>0</v>
      </c>
      <c r="L9" s="63"/>
      <c r="M9" s="63">
        <f t="shared" si="0"/>
        <v>20047.506800000017</v>
      </c>
      <c r="N9" s="6"/>
    </row>
    <row r="10" spans="1:18">
      <c r="A10" s="23">
        <v>7</v>
      </c>
      <c r="B10" s="24">
        <v>45845</v>
      </c>
      <c r="C10" s="6"/>
      <c r="D10" s="6"/>
      <c r="E10" s="257">
        <v>45</v>
      </c>
      <c r="F10" s="41">
        <v>99.78</v>
      </c>
      <c r="G10" s="63">
        <f t="shared" si="1"/>
        <v>4490.1000000000004</v>
      </c>
      <c r="H10" s="41">
        <v>5</v>
      </c>
      <c r="I10" s="41">
        <v>111.98</v>
      </c>
      <c r="J10" s="63">
        <f t="shared" si="4"/>
        <v>559.9</v>
      </c>
      <c r="K10" s="63">
        <f t="shared" si="3"/>
        <v>5050</v>
      </c>
      <c r="L10" s="63">
        <v>20000</v>
      </c>
      <c r="M10" s="63">
        <f t="shared" si="0"/>
        <v>5097.5068000000174</v>
      </c>
      <c r="N10" s="6"/>
    </row>
    <row r="11" spans="1:18">
      <c r="A11" s="23">
        <v>8</v>
      </c>
      <c r="B11" s="24">
        <v>45846</v>
      </c>
      <c r="C11" s="6"/>
      <c r="D11" s="6"/>
      <c r="E11" s="257">
        <v>50</v>
      </c>
      <c r="F11" s="41">
        <v>99.78</v>
      </c>
      <c r="G11" s="63">
        <f t="shared" si="1"/>
        <v>4989</v>
      </c>
      <c r="H11" s="41">
        <v>5</v>
      </c>
      <c r="I11" s="41">
        <v>111.98</v>
      </c>
      <c r="J11" s="63">
        <f t="shared" si="4"/>
        <v>559.9</v>
      </c>
      <c r="K11" s="63">
        <f t="shared" si="3"/>
        <v>5548.9</v>
      </c>
      <c r="L11" s="63"/>
      <c r="M11" s="63">
        <f t="shared" si="0"/>
        <v>10646.406800000017</v>
      </c>
      <c r="N11" s="6"/>
      <c r="R11" s="41"/>
    </row>
    <row r="12" spans="1:18">
      <c r="A12" s="23">
        <v>9</v>
      </c>
      <c r="B12" s="24">
        <v>45847</v>
      </c>
      <c r="C12" s="6"/>
      <c r="D12" s="6"/>
      <c r="E12" s="257">
        <v>50</v>
      </c>
      <c r="F12" s="41">
        <v>99.78</v>
      </c>
      <c r="G12" s="63">
        <f t="shared" si="1"/>
        <v>4989</v>
      </c>
      <c r="H12" s="41">
        <v>15</v>
      </c>
      <c r="I12" s="41">
        <v>111.98</v>
      </c>
      <c r="J12" s="63">
        <f t="shared" si="4"/>
        <v>1679.7</v>
      </c>
      <c r="K12" s="63">
        <f t="shared" si="3"/>
        <v>6668.7</v>
      </c>
      <c r="L12" s="63"/>
      <c r="M12" s="63">
        <f t="shared" si="0"/>
        <v>17315.106800000016</v>
      </c>
      <c r="N12" s="6"/>
    </row>
    <row r="13" spans="1:18">
      <c r="A13" s="23">
        <v>10</v>
      </c>
      <c r="B13" s="24">
        <v>45848</v>
      </c>
      <c r="C13" s="6"/>
      <c r="D13" s="6"/>
      <c r="E13" s="257"/>
      <c r="F13" s="41"/>
      <c r="G13" s="63">
        <f t="shared" si="1"/>
        <v>0</v>
      </c>
      <c r="H13" s="41"/>
      <c r="I13" s="41"/>
      <c r="J13" s="63">
        <f t="shared" si="4"/>
        <v>0</v>
      </c>
      <c r="K13" s="63">
        <f t="shared" si="3"/>
        <v>0</v>
      </c>
      <c r="L13" s="63"/>
      <c r="M13" s="63">
        <f t="shared" si="0"/>
        <v>17315.106800000016</v>
      </c>
      <c r="N13" s="6"/>
    </row>
    <row r="14" spans="1:18">
      <c r="A14" s="23">
        <v>11</v>
      </c>
      <c r="B14" s="24">
        <v>45849</v>
      </c>
      <c r="C14" s="6"/>
      <c r="D14" s="6"/>
      <c r="E14" s="257"/>
      <c r="F14" s="41"/>
      <c r="G14" s="63">
        <f t="shared" si="1"/>
        <v>0</v>
      </c>
      <c r="H14" s="41"/>
      <c r="I14" s="41"/>
      <c r="J14" s="63">
        <f t="shared" si="4"/>
        <v>0</v>
      </c>
      <c r="K14" s="63">
        <f t="shared" si="3"/>
        <v>0</v>
      </c>
      <c r="L14" s="63"/>
      <c r="M14" s="63">
        <f t="shared" si="0"/>
        <v>17315.106800000016</v>
      </c>
      <c r="N14" s="6"/>
    </row>
    <row r="15" spans="1:18">
      <c r="A15" s="23">
        <v>12</v>
      </c>
      <c r="B15" s="24">
        <v>45850</v>
      </c>
      <c r="C15" s="6"/>
      <c r="D15" s="6"/>
      <c r="E15" s="257"/>
      <c r="F15" s="41"/>
      <c r="G15" s="63">
        <f t="shared" si="1"/>
        <v>0</v>
      </c>
      <c r="H15" s="41">
        <v>5</v>
      </c>
      <c r="I15" s="41">
        <v>111.98</v>
      </c>
      <c r="J15" s="63">
        <f t="shared" si="4"/>
        <v>559.9</v>
      </c>
      <c r="K15" s="63">
        <f t="shared" si="3"/>
        <v>559.9</v>
      </c>
      <c r="L15" s="63"/>
      <c r="M15" s="63">
        <f t="shared" si="0"/>
        <v>17875.006800000017</v>
      </c>
      <c r="N15" s="6"/>
    </row>
    <row r="16" spans="1:18">
      <c r="A16" s="23">
        <v>13</v>
      </c>
      <c r="B16" s="24">
        <v>45851</v>
      </c>
      <c r="C16" s="6"/>
      <c r="D16" s="6"/>
      <c r="E16" s="257">
        <v>60</v>
      </c>
      <c r="F16" s="41">
        <v>99.78</v>
      </c>
      <c r="G16" s="63">
        <f t="shared" si="1"/>
        <v>5986.8</v>
      </c>
      <c r="H16" s="41"/>
      <c r="I16" s="41"/>
      <c r="J16" s="63">
        <f t="shared" si="4"/>
        <v>0</v>
      </c>
      <c r="K16" s="63">
        <f t="shared" si="3"/>
        <v>5986.8</v>
      </c>
      <c r="L16" s="63"/>
      <c r="M16" s="63">
        <f t="shared" si="0"/>
        <v>23861.806800000017</v>
      </c>
      <c r="N16" s="6"/>
    </row>
    <row r="17" spans="1:21">
      <c r="A17" s="23">
        <v>14</v>
      </c>
      <c r="B17" s="24">
        <v>45852</v>
      </c>
      <c r="C17" s="6"/>
      <c r="D17" s="6"/>
      <c r="E17" s="257">
        <v>50</v>
      </c>
      <c r="F17" s="257">
        <v>99.78</v>
      </c>
      <c r="G17" s="63">
        <f t="shared" si="1"/>
        <v>4989</v>
      </c>
      <c r="H17" s="41">
        <v>10</v>
      </c>
      <c r="I17" s="41">
        <v>111.98</v>
      </c>
      <c r="J17" s="63">
        <f t="shared" si="4"/>
        <v>1119.8</v>
      </c>
      <c r="K17" s="63">
        <f t="shared" si="3"/>
        <v>6108.8</v>
      </c>
      <c r="L17" s="63"/>
      <c r="M17" s="63">
        <f t="shared" si="0"/>
        <v>29970.606800000016</v>
      </c>
      <c r="N17" s="6"/>
    </row>
    <row r="18" spans="1:21">
      <c r="A18" s="23">
        <v>15</v>
      </c>
      <c r="B18" s="24">
        <v>45853</v>
      </c>
      <c r="C18" s="6"/>
      <c r="D18" s="6"/>
      <c r="E18" s="257">
        <v>40</v>
      </c>
      <c r="F18" s="257">
        <v>99.78</v>
      </c>
      <c r="G18" s="63">
        <f t="shared" si="1"/>
        <v>3991.2</v>
      </c>
      <c r="H18" s="41"/>
      <c r="I18" s="41"/>
      <c r="J18" s="63">
        <f t="shared" si="4"/>
        <v>0</v>
      </c>
      <c r="K18" s="63">
        <f t="shared" si="3"/>
        <v>3991.2</v>
      </c>
      <c r="L18" s="63"/>
      <c r="M18" s="63">
        <f t="shared" si="0"/>
        <v>33961.806800000013</v>
      </c>
      <c r="N18" s="6"/>
    </row>
    <row r="19" spans="1:21">
      <c r="A19" s="23">
        <v>16</v>
      </c>
      <c r="B19" s="24">
        <v>45854</v>
      </c>
      <c r="C19" s="6"/>
      <c r="D19" s="6"/>
      <c r="E19" s="257">
        <v>60</v>
      </c>
      <c r="F19" s="257">
        <v>99.78</v>
      </c>
      <c r="G19" s="63">
        <f t="shared" si="1"/>
        <v>5986.8</v>
      </c>
      <c r="H19" s="41"/>
      <c r="I19" s="41"/>
      <c r="J19" s="63">
        <f t="shared" si="4"/>
        <v>0</v>
      </c>
      <c r="K19" s="63">
        <f t="shared" si="3"/>
        <v>5986.8</v>
      </c>
      <c r="L19" s="63"/>
      <c r="M19" s="63">
        <f t="shared" si="0"/>
        <v>39948.606800000016</v>
      </c>
      <c r="N19" s="6"/>
    </row>
    <row r="20" spans="1:21">
      <c r="A20" s="23">
        <v>17</v>
      </c>
      <c r="B20" s="24">
        <v>45855</v>
      </c>
      <c r="C20" s="170"/>
      <c r="D20" s="6"/>
      <c r="E20" s="257">
        <v>50</v>
      </c>
      <c r="F20" s="257">
        <v>99.78</v>
      </c>
      <c r="G20" s="63">
        <f t="shared" si="1"/>
        <v>4989</v>
      </c>
      <c r="H20" s="41"/>
      <c r="I20" s="41"/>
      <c r="J20" s="63">
        <f t="shared" si="4"/>
        <v>0</v>
      </c>
      <c r="K20" s="63">
        <f t="shared" si="3"/>
        <v>4989</v>
      </c>
      <c r="L20" s="63"/>
      <c r="M20" s="63">
        <f t="shared" si="0"/>
        <v>44937.606800000016</v>
      </c>
      <c r="N20" s="6"/>
    </row>
    <row r="21" spans="1:21">
      <c r="A21" s="23">
        <v>18</v>
      </c>
      <c r="B21" s="24">
        <v>45856</v>
      </c>
      <c r="C21" s="170"/>
      <c r="D21" s="6"/>
      <c r="E21" s="257">
        <v>70</v>
      </c>
      <c r="F21" s="257">
        <v>99.78</v>
      </c>
      <c r="G21" s="63">
        <f t="shared" si="1"/>
        <v>6984.6</v>
      </c>
      <c r="H21" s="41">
        <v>5</v>
      </c>
      <c r="I21" s="41">
        <v>111.98</v>
      </c>
      <c r="J21" s="63">
        <f t="shared" si="4"/>
        <v>559.9</v>
      </c>
      <c r="K21" s="63">
        <f t="shared" si="3"/>
        <v>7544.5</v>
      </c>
      <c r="L21" s="63"/>
      <c r="M21" s="63">
        <f t="shared" si="0"/>
        <v>52482.106800000016</v>
      </c>
      <c r="N21" s="6"/>
    </row>
    <row r="22" spans="1:21">
      <c r="A22" s="23">
        <v>19</v>
      </c>
      <c r="B22" s="24">
        <v>45857</v>
      </c>
      <c r="C22" s="170"/>
      <c r="D22" s="6"/>
      <c r="E22" s="257"/>
      <c r="F22" s="41"/>
      <c r="G22" s="63">
        <f>E22*F22</f>
        <v>0</v>
      </c>
      <c r="H22" s="41"/>
      <c r="I22" s="41"/>
      <c r="J22" s="63">
        <f>H22*I22</f>
        <v>0</v>
      </c>
      <c r="K22" s="63">
        <f>G22+J22</f>
        <v>0</v>
      </c>
      <c r="L22" s="63"/>
      <c r="M22" s="63">
        <f t="shared" si="0"/>
        <v>52482.106800000016</v>
      </c>
      <c r="N22" s="6"/>
    </row>
    <row r="23" spans="1:21">
      <c r="A23" s="23">
        <v>20</v>
      </c>
      <c r="B23" s="24">
        <v>45858</v>
      </c>
      <c r="C23" s="170"/>
      <c r="D23" s="6"/>
      <c r="E23" s="257"/>
      <c r="F23" s="41"/>
      <c r="G23" s="63">
        <f t="shared" si="1"/>
        <v>0</v>
      </c>
      <c r="H23" s="41">
        <v>5</v>
      </c>
      <c r="I23" s="41">
        <v>111.98</v>
      </c>
      <c r="J23" s="63">
        <f t="shared" si="4"/>
        <v>559.9</v>
      </c>
      <c r="K23" s="63">
        <f t="shared" si="3"/>
        <v>559.9</v>
      </c>
      <c r="L23" s="63"/>
      <c r="M23" s="63">
        <f t="shared" si="0"/>
        <v>53042.006800000017</v>
      </c>
      <c r="N23" s="6"/>
    </row>
    <row r="24" spans="1:21">
      <c r="A24" s="23">
        <v>21</v>
      </c>
      <c r="B24" s="24">
        <v>45859</v>
      </c>
      <c r="C24" s="170"/>
      <c r="D24" s="6"/>
      <c r="E24" s="257"/>
      <c r="F24" s="41"/>
      <c r="G24" s="63">
        <f t="shared" si="1"/>
        <v>0</v>
      </c>
      <c r="H24" s="41"/>
      <c r="I24" s="41"/>
      <c r="J24" s="63">
        <f t="shared" si="4"/>
        <v>0</v>
      </c>
      <c r="K24" s="63">
        <f t="shared" si="3"/>
        <v>0</v>
      </c>
      <c r="L24" s="63"/>
      <c r="M24" s="63">
        <f t="shared" si="0"/>
        <v>53042.006800000017</v>
      </c>
      <c r="N24" s="6"/>
    </row>
    <row r="25" spans="1:21">
      <c r="A25" s="23">
        <v>22</v>
      </c>
      <c r="B25" s="24">
        <v>45860</v>
      </c>
      <c r="C25" s="170"/>
      <c r="D25" s="6"/>
      <c r="E25" s="257">
        <v>50</v>
      </c>
      <c r="F25" s="41">
        <v>99.78</v>
      </c>
      <c r="G25" s="63">
        <f t="shared" si="1"/>
        <v>4989</v>
      </c>
      <c r="H25" s="41"/>
      <c r="I25" s="41"/>
      <c r="J25" s="63">
        <f t="shared" si="4"/>
        <v>0</v>
      </c>
      <c r="K25" s="63">
        <f t="shared" si="3"/>
        <v>4989</v>
      </c>
      <c r="L25" s="63"/>
      <c r="M25" s="63">
        <f t="shared" si="0"/>
        <v>58031.006800000017</v>
      </c>
      <c r="N25" s="6"/>
    </row>
    <row r="26" spans="1:21">
      <c r="A26" s="23">
        <v>23</v>
      </c>
      <c r="B26" s="24">
        <v>45861</v>
      </c>
      <c r="C26" s="170"/>
      <c r="D26" s="6"/>
      <c r="E26" s="257">
        <v>60</v>
      </c>
      <c r="F26" s="41">
        <v>99.78</v>
      </c>
      <c r="G26" s="63">
        <f t="shared" si="1"/>
        <v>5986.8</v>
      </c>
      <c r="H26" s="41"/>
      <c r="I26" s="41"/>
      <c r="J26" s="63">
        <f t="shared" si="4"/>
        <v>0</v>
      </c>
      <c r="K26" s="63">
        <f t="shared" si="3"/>
        <v>5986.8</v>
      </c>
      <c r="L26" s="63"/>
      <c r="M26" s="63">
        <f t="shared" si="0"/>
        <v>64017.80680000002</v>
      </c>
      <c r="N26" s="6"/>
      <c r="R26" s="578" t="s">
        <v>266</v>
      </c>
      <c r="S26" s="578"/>
      <c r="T26" s="390" t="s">
        <v>267</v>
      </c>
      <c r="U26" s="390"/>
    </row>
    <row r="27" spans="1:21">
      <c r="A27" s="23">
        <v>24</v>
      </c>
      <c r="B27" s="24">
        <v>45862</v>
      </c>
      <c r="C27" s="170"/>
      <c r="D27" s="6"/>
      <c r="E27" s="257">
        <v>60</v>
      </c>
      <c r="F27" s="41">
        <v>99.78</v>
      </c>
      <c r="G27" s="63">
        <f t="shared" si="1"/>
        <v>5986.8</v>
      </c>
      <c r="H27" s="41"/>
      <c r="I27" s="41"/>
      <c r="J27" s="63">
        <f t="shared" si="4"/>
        <v>0</v>
      </c>
      <c r="K27" s="63">
        <f t="shared" si="3"/>
        <v>5986.8</v>
      </c>
      <c r="L27" s="63"/>
      <c r="M27" s="63">
        <f t="shared" si="0"/>
        <v>70004.606800000023</v>
      </c>
      <c r="N27" s="6"/>
      <c r="R27" s="6" t="s">
        <v>268</v>
      </c>
      <c r="S27" s="6" t="s">
        <v>269</v>
      </c>
      <c r="T27" s="6" t="s">
        <v>270</v>
      </c>
      <c r="U27" s="6" t="s">
        <v>64</v>
      </c>
    </row>
    <row r="28" spans="1:21">
      <c r="A28" s="23">
        <v>25</v>
      </c>
      <c r="B28" s="24">
        <v>45863</v>
      </c>
      <c r="C28" s="170"/>
      <c r="D28" s="6"/>
      <c r="E28" s="257">
        <v>80</v>
      </c>
      <c r="F28" s="41">
        <v>99.78</v>
      </c>
      <c r="G28" s="63">
        <f t="shared" si="1"/>
        <v>7982.4</v>
      </c>
      <c r="H28" s="41">
        <v>10</v>
      </c>
      <c r="I28" s="41">
        <v>111.98</v>
      </c>
      <c r="J28" s="63">
        <f t="shared" si="4"/>
        <v>1119.8</v>
      </c>
      <c r="K28" s="63">
        <f t="shared" si="3"/>
        <v>9102.1999999999989</v>
      </c>
      <c r="L28" s="63"/>
      <c r="M28" s="63">
        <f t="shared" si="0"/>
        <v>79106.80680000002</v>
      </c>
      <c r="N28" s="6"/>
      <c r="R28" s="6" t="s">
        <v>271</v>
      </c>
      <c r="S28" s="6">
        <v>2040</v>
      </c>
      <c r="T28" s="6">
        <v>90</v>
      </c>
      <c r="U28" s="6">
        <v>169925</v>
      </c>
    </row>
    <row r="29" spans="1:21">
      <c r="A29" s="23">
        <v>26</v>
      </c>
      <c r="B29" s="24">
        <v>45864</v>
      </c>
      <c r="C29" s="170"/>
      <c r="D29" s="6"/>
      <c r="E29" s="257">
        <v>50</v>
      </c>
      <c r="F29" s="41">
        <v>99.78</v>
      </c>
      <c r="G29" s="63">
        <f t="shared" si="1"/>
        <v>4989</v>
      </c>
      <c r="H29" s="41"/>
      <c r="I29" s="41"/>
      <c r="J29" s="63">
        <f t="shared" si="4"/>
        <v>0</v>
      </c>
      <c r="K29" s="63">
        <f t="shared" si="3"/>
        <v>4989</v>
      </c>
      <c r="L29" s="63"/>
      <c r="M29" s="63">
        <f t="shared" si="0"/>
        <v>84095.80680000002</v>
      </c>
      <c r="N29" s="6"/>
      <c r="R29" s="6" t="s">
        <v>272</v>
      </c>
      <c r="S29" s="6">
        <v>2115</v>
      </c>
      <c r="T29" s="6">
        <v>185</v>
      </c>
      <c r="U29" s="6">
        <v>206053</v>
      </c>
    </row>
    <row r="30" spans="1:21">
      <c r="A30" s="23">
        <v>27</v>
      </c>
      <c r="B30" s="24">
        <v>45865</v>
      </c>
      <c r="C30" s="170"/>
      <c r="D30" s="6"/>
      <c r="E30" s="257"/>
      <c r="F30" s="41"/>
      <c r="G30" s="63">
        <f t="shared" si="1"/>
        <v>0</v>
      </c>
      <c r="H30" s="41"/>
      <c r="I30" s="41"/>
      <c r="J30" s="63">
        <f t="shared" si="4"/>
        <v>0</v>
      </c>
      <c r="K30" s="63">
        <f t="shared" si="3"/>
        <v>0</v>
      </c>
      <c r="L30" s="63"/>
      <c r="M30" s="63">
        <f t="shared" si="0"/>
        <v>84095.80680000002</v>
      </c>
      <c r="N30" s="6"/>
      <c r="R30" s="6" t="s">
        <v>273</v>
      </c>
      <c r="S30" s="6">
        <v>2145</v>
      </c>
      <c r="T30" s="6">
        <v>177</v>
      </c>
      <c r="U30" s="6">
        <v>247835</v>
      </c>
    </row>
    <row r="31" spans="1:21">
      <c r="A31" s="23">
        <v>28</v>
      </c>
      <c r="B31" s="24">
        <v>45866</v>
      </c>
      <c r="C31" s="170"/>
      <c r="D31" s="6"/>
      <c r="E31" s="257">
        <v>50</v>
      </c>
      <c r="F31" s="41">
        <v>99.78</v>
      </c>
      <c r="G31" s="63">
        <f t="shared" si="1"/>
        <v>4989</v>
      </c>
      <c r="H31" s="41"/>
      <c r="I31" s="41"/>
      <c r="J31" s="63">
        <f t="shared" si="4"/>
        <v>0</v>
      </c>
      <c r="K31" s="63">
        <f t="shared" si="3"/>
        <v>4989</v>
      </c>
      <c r="L31" s="63"/>
      <c r="M31" s="63">
        <f t="shared" si="0"/>
        <v>89084.80680000002</v>
      </c>
      <c r="N31" s="6"/>
      <c r="R31" s="6" t="s">
        <v>274</v>
      </c>
      <c r="S31" s="6">
        <v>545</v>
      </c>
      <c r="T31" s="6">
        <v>50</v>
      </c>
      <c r="U31" s="6">
        <v>44201</v>
      </c>
    </row>
    <row r="32" spans="1:21">
      <c r="A32" s="23">
        <v>29</v>
      </c>
      <c r="B32" s="24">
        <v>45867</v>
      </c>
      <c r="C32" s="170"/>
      <c r="D32" s="6"/>
      <c r="E32" s="257">
        <v>70</v>
      </c>
      <c r="F32" s="41">
        <v>99.78</v>
      </c>
      <c r="G32" s="63">
        <f t="shared" si="1"/>
        <v>6984.6</v>
      </c>
      <c r="H32" s="41">
        <v>15</v>
      </c>
      <c r="I32" s="41">
        <v>111.98</v>
      </c>
      <c r="J32" s="63">
        <f t="shared" si="4"/>
        <v>1679.7</v>
      </c>
      <c r="K32" s="63">
        <f t="shared" si="3"/>
        <v>8664.3000000000011</v>
      </c>
      <c r="L32" s="63">
        <v>50000</v>
      </c>
      <c r="M32" s="63">
        <f t="shared" si="0"/>
        <v>47749.106800000023</v>
      </c>
      <c r="N32" s="6"/>
      <c r="R32" s="6"/>
      <c r="S32" s="390">
        <f>SUM(S28:S31)</f>
        <v>6845</v>
      </c>
      <c r="T32" s="390">
        <f>SUM(T28:T31)</f>
        <v>502</v>
      </c>
      <c r="U32" s="390">
        <f>SUM(U28:U31)</f>
        <v>668014</v>
      </c>
    </row>
    <row r="33" spans="1:14">
      <c r="A33" s="23">
        <v>30</v>
      </c>
      <c r="B33" s="24">
        <v>45868</v>
      </c>
      <c r="C33" s="170"/>
      <c r="D33" s="6"/>
      <c r="E33" s="257"/>
      <c r="F33" s="41"/>
      <c r="G33" s="63">
        <f t="shared" si="1"/>
        <v>0</v>
      </c>
      <c r="H33" s="41"/>
      <c r="I33" s="41"/>
      <c r="J33" s="63">
        <f t="shared" si="4"/>
        <v>0</v>
      </c>
      <c r="K33" s="63">
        <f t="shared" si="3"/>
        <v>0</v>
      </c>
      <c r="L33" s="63"/>
      <c r="M33" s="63">
        <f t="shared" si="0"/>
        <v>47749.106800000023</v>
      </c>
      <c r="N33" s="6"/>
    </row>
    <row r="34" spans="1:14">
      <c r="A34" s="23">
        <v>31</v>
      </c>
      <c r="B34" s="24">
        <v>45869</v>
      </c>
      <c r="C34" s="170"/>
      <c r="D34" s="6"/>
      <c r="E34" s="257">
        <v>115</v>
      </c>
      <c r="F34" s="41">
        <v>99.78</v>
      </c>
      <c r="G34" s="63">
        <f t="shared" si="1"/>
        <v>11474.7</v>
      </c>
      <c r="H34" s="41">
        <v>10</v>
      </c>
      <c r="I34" s="41">
        <v>111.98</v>
      </c>
      <c r="J34" s="63">
        <f t="shared" si="4"/>
        <v>1119.8</v>
      </c>
      <c r="K34" s="63">
        <f t="shared" si="3"/>
        <v>12594.5</v>
      </c>
      <c r="L34" s="63"/>
      <c r="M34" s="63">
        <f t="shared" si="0"/>
        <v>60343.606800000023</v>
      </c>
      <c r="N34" s="6"/>
    </row>
    <row r="35" spans="1:14">
      <c r="A35" s="23">
        <v>32</v>
      </c>
      <c r="B35" s="24">
        <v>45870</v>
      </c>
      <c r="C35" s="170"/>
      <c r="D35" s="6"/>
      <c r="E35" s="257"/>
      <c r="F35" s="41"/>
      <c r="G35" s="63">
        <f t="shared" si="1"/>
        <v>0</v>
      </c>
      <c r="H35" s="41"/>
      <c r="I35" s="41"/>
      <c r="J35" s="63">
        <f t="shared" si="4"/>
        <v>0</v>
      </c>
      <c r="K35" s="63">
        <f t="shared" si="3"/>
        <v>0</v>
      </c>
      <c r="L35" s="63"/>
      <c r="M35" s="63">
        <f t="shared" si="0"/>
        <v>60343.606800000023</v>
      </c>
      <c r="N35" s="6"/>
    </row>
    <row r="36" spans="1:14">
      <c r="A36" s="23">
        <v>33</v>
      </c>
      <c r="B36" s="24"/>
      <c r="C36" s="170"/>
      <c r="D36" s="6"/>
      <c r="E36" s="257"/>
      <c r="F36" s="41"/>
      <c r="G36" s="63">
        <f t="shared" si="1"/>
        <v>0</v>
      </c>
      <c r="H36" s="41"/>
      <c r="I36" s="41"/>
      <c r="J36" s="63">
        <f t="shared" si="4"/>
        <v>0</v>
      </c>
      <c r="K36" s="63">
        <f t="shared" si="3"/>
        <v>0</v>
      </c>
      <c r="L36" s="63"/>
      <c r="M36" s="63">
        <f t="shared" si="0"/>
        <v>60343.606800000023</v>
      </c>
      <c r="N36" s="6"/>
    </row>
    <row r="37" spans="1:14">
      <c r="A37" s="23">
        <v>34</v>
      </c>
      <c r="B37" s="24"/>
      <c r="C37" s="170"/>
      <c r="D37" s="6"/>
      <c r="E37" s="257"/>
      <c r="F37" s="41"/>
      <c r="G37" s="63">
        <f t="shared" ref="G37" si="5">E37*F37</f>
        <v>0</v>
      </c>
      <c r="H37" s="41"/>
      <c r="I37" s="41"/>
      <c r="J37" s="63">
        <f t="shared" ref="J37" si="6">H37*I37</f>
        <v>0</v>
      </c>
      <c r="K37" s="63">
        <f t="shared" ref="K37:L37" si="7">G37+J37</f>
        <v>0</v>
      </c>
      <c r="L37" s="63"/>
      <c r="M37" s="63">
        <f t="shared" si="0"/>
        <v>60343.606800000023</v>
      </c>
      <c r="N37" s="6"/>
    </row>
    <row r="38" spans="1:14">
      <c r="A38" s="23">
        <v>35</v>
      </c>
      <c r="B38" s="24"/>
      <c r="C38" s="170"/>
      <c r="D38" s="6"/>
      <c r="E38" s="426"/>
      <c r="F38" s="426"/>
      <c r="G38" s="63">
        <f t="shared" si="1"/>
        <v>0</v>
      </c>
      <c r="H38" s="41"/>
      <c r="I38" s="41"/>
      <c r="J38" s="63">
        <f t="shared" si="4"/>
        <v>0</v>
      </c>
      <c r="K38" s="63">
        <f t="shared" si="3"/>
        <v>0</v>
      </c>
      <c r="L38" s="63"/>
      <c r="M38" s="63">
        <f t="shared" si="0"/>
        <v>60343.606800000023</v>
      </c>
      <c r="N38" s="6"/>
    </row>
    <row r="39" spans="1:14">
      <c r="A39" s="23">
        <v>36</v>
      </c>
      <c r="B39" s="24"/>
      <c r="C39" s="170"/>
      <c r="D39" s="6"/>
      <c r="E39" s="426"/>
      <c r="F39" s="426"/>
      <c r="G39" s="63">
        <f t="shared" si="1"/>
        <v>0</v>
      </c>
      <c r="H39" s="41"/>
      <c r="I39" s="41"/>
      <c r="J39" s="63">
        <f t="shared" si="4"/>
        <v>0</v>
      </c>
      <c r="K39" s="63">
        <f t="shared" si="3"/>
        <v>0</v>
      </c>
      <c r="L39" s="63"/>
      <c r="M39" s="63">
        <f t="shared" si="0"/>
        <v>60343.606800000023</v>
      </c>
      <c r="N39" s="6"/>
    </row>
    <row r="40" spans="1:14">
      <c r="A40" s="23">
        <v>37</v>
      </c>
      <c r="B40" s="24"/>
      <c r="C40" s="170"/>
      <c r="D40" s="6"/>
      <c r="E40" s="257"/>
      <c r="F40" s="41"/>
      <c r="G40" s="63">
        <f t="shared" si="1"/>
        <v>0</v>
      </c>
      <c r="H40" s="41"/>
      <c r="I40" s="41"/>
      <c r="J40" s="63">
        <f t="shared" si="4"/>
        <v>0</v>
      </c>
      <c r="K40" s="63">
        <f t="shared" ref="K40" si="8">G40+J40</f>
        <v>0</v>
      </c>
      <c r="L40" s="63"/>
      <c r="M40" s="63">
        <f t="shared" si="0"/>
        <v>60343.606800000023</v>
      </c>
      <c r="N40" s="6"/>
    </row>
    <row r="41" spans="1:14">
      <c r="A41" s="39"/>
      <c r="B41" s="39"/>
      <c r="C41" s="39"/>
      <c r="D41" s="39"/>
      <c r="E41" s="39">
        <f>SUM(E4:E40)</f>
        <v>1060</v>
      </c>
      <c r="F41" s="39"/>
      <c r="G41" s="39">
        <f>SUM(G4:G40)</f>
        <v>105766.8</v>
      </c>
      <c r="H41" s="39">
        <f>SUM(H4:H40)</f>
        <v>85</v>
      </c>
      <c r="I41" s="39"/>
      <c r="J41" s="39">
        <f>SUM(J4:J40)</f>
        <v>9518.2999999999993</v>
      </c>
      <c r="K41" s="39">
        <f>SUM(K4:K40)</f>
        <v>115285.1</v>
      </c>
      <c r="L41" s="39">
        <f>SUM(L4:L40)</f>
        <v>70000</v>
      </c>
      <c r="M41" s="39"/>
      <c r="N41" s="39"/>
    </row>
  </sheetData>
  <mergeCells count="3">
    <mergeCell ref="A1:N1"/>
    <mergeCell ref="A3:J3"/>
    <mergeCell ref="R26:S2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Q55"/>
  <sheetViews>
    <sheetView workbookViewId="0">
      <pane ySplit="2" topLeftCell="A30" activePane="bottomLeft" state="frozen"/>
      <selection pane="bottomLeft" activeCell="J22" sqref="J22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19" bestFit="1" customWidth="1"/>
    <col min="6" max="6" width="9.5703125" style="19" bestFit="1" customWidth="1"/>
    <col min="7" max="7" width="11.42578125" style="19" bestFit="1" customWidth="1"/>
    <col min="8" max="8" width="10.7109375" style="19" bestFit="1" customWidth="1"/>
    <col min="9" max="9" width="7.140625" style="19" bestFit="1" customWidth="1"/>
    <col min="10" max="10" width="8.7109375" style="19" bestFit="1" customWidth="1"/>
    <col min="11" max="11" width="13.5703125" style="19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4" ht="15.75">
      <c r="A1" s="579" t="s">
        <v>125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</row>
    <row r="2" spans="1:14" ht="30">
      <c r="A2" s="61" t="s">
        <v>0</v>
      </c>
      <c r="B2" s="80" t="s">
        <v>163</v>
      </c>
      <c r="C2" s="80" t="s">
        <v>164</v>
      </c>
      <c r="D2" s="80" t="s">
        <v>165</v>
      </c>
      <c r="E2" s="87" t="s">
        <v>166</v>
      </c>
      <c r="F2" s="87" t="s">
        <v>167</v>
      </c>
      <c r="G2" s="87" t="s">
        <v>168</v>
      </c>
      <c r="H2" s="87" t="s">
        <v>169</v>
      </c>
      <c r="I2" s="87" t="s">
        <v>167</v>
      </c>
      <c r="J2" s="87" t="s">
        <v>168</v>
      </c>
      <c r="K2" s="88" t="s">
        <v>170</v>
      </c>
      <c r="L2" s="82" t="s">
        <v>171</v>
      </c>
      <c r="M2" s="82" t="s">
        <v>187</v>
      </c>
      <c r="N2" s="121" t="s">
        <v>173</v>
      </c>
    </row>
    <row r="3" spans="1:14">
      <c r="A3" s="553" t="s">
        <v>174</v>
      </c>
      <c r="B3" s="553"/>
      <c r="C3" s="553"/>
      <c r="D3" s="553"/>
      <c r="E3" s="553"/>
      <c r="F3" s="553"/>
      <c r="G3" s="553"/>
      <c r="H3" s="553"/>
      <c r="I3" s="553"/>
      <c r="J3" s="559"/>
      <c r="K3" s="195">
        <v>0</v>
      </c>
      <c r="L3">
        <v>0</v>
      </c>
      <c r="M3" s="131">
        <v>0</v>
      </c>
      <c r="N3" s="91"/>
    </row>
    <row r="4" spans="1:14">
      <c r="A4" s="23">
        <v>1</v>
      </c>
      <c r="B4" s="24">
        <v>46204</v>
      </c>
      <c r="C4" s="14"/>
      <c r="D4" s="14"/>
      <c r="E4" s="37"/>
      <c r="F4" s="37"/>
      <c r="G4" s="37">
        <f>E4*F4</f>
        <v>0</v>
      </c>
      <c r="H4" s="37"/>
      <c r="I4" s="37"/>
      <c r="J4" s="37">
        <f>H4*I4</f>
        <v>0</v>
      </c>
      <c r="K4" s="37">
        <f>G4+J4</f>
        <v>0</v>
      </c>
      <c r="L4" s="37"/>
      <c r="M4" s="132">
        <f>M3+K4-L4</f>
        <v>0</v>
      </c>
      <c r="N4" s="14"/>
    </row>
    <row r="5" spans="1:14">
      <c r="A5" s="23">
        <v>2</v>
      </c>
      <c r="B5" s="24">
        <v>46205</v>
      </c>
      <c r="C5" s="14"/>
      <c r="D5" s="14"/>
      <c r="E5" s="37"/>
      <c r="F5" s="37"/>
      <c r="G5" s="37">
        <f t="shared" ref="G5:G39" si="0">E5*F5</f>
        <v>0</v>
      </c>
      <c r="H5" s="37"/>
      <c r="I5" s="37"/>
      <c r="J5" s="37">
        <f t="shared" ref="J5:J39" si="1">H5*I5</f>
        <v>0</v>
      </c>
      <c r="K5" s="37">
        <f t="shared" ref="K5:L39" si="2">G5+J5</f>
        <v>0</v>
      </c>
      <c r="L5" s="37"/>
      <c r="M5" s="132">
        <f>M4+K5-L5</f>
        <v>0</v>
      </c>
      <c r="N5" s="14"/>
    </row>
    <row r="6" spans="1:14">
      <c r="A6" s="23"/>
      <c r="B6" s="24">
        <v>46206</v>
      </c>
      <c r="C6" s="14"/>
      <c r="D6" s="14"/>
      <c r="E6" s="37"/>
      <c r="F6" s="37"/>
      <c r="G6" s="37">
        <f t="shared" si="0"/>
        <v>0</v>
      </c>
      <c r="H6" s="37"/>
      <c r="I6" s="37"/>
      <c r="J6" s="37">
        <f t="shared" si="1"/>
        <v>0</v>
      </c>
      <c r="K6" s="37">
        <f t="shared" si="2"/>
        <v>0</v>
      </c>
      <c r="L6" s="37"/>
      <c r="M6" s="132">
        <f>M5+K6-L6</f>
        <v>0</v>
      </c>
      <c r="N6" s="14"/>
    </row>
    <row r="7" spans="1:14">
      <c r="A7" s="23">
        <v>3</v>
      </c>
      <c r="B7" s="24">
        <v>46207</v>
      </c>
      <c r="C7" s="14"/>
      <c r="D7" s="14"/>
      <c r="E7" s="37"/>
      <c r="F7" s="37"/>
      <c r="G7" s="37">
        <f t="shared" si="0"/>
        <v>0</v>
      </c>
      <c r="H7" s="37"/>
      <c r="I7" s="37"/>
      <c r="J7" s="37">
        <f t="shared" si="1"/>
        <v>0</v>
      </c>
      <c r="K7" s="37">
        <f t="shared" si="2"/>
        <v>0</v>
      </c>
      <c r="L7" s="37"/>
      <c r="M7" s="132">
        <f t="shared" ref="M5:M16" si="3">M6+K7-L7</f>
        <v>0</v>
      </c>
      <c r="N7" s="14"/>
    </row>
    <row r="8" spans="1:14">
      <c r="A8" s="23">
        <v>4</v>
      </c>
      <c r="B8" s="24">
        <v>46208</v>
      </c>
      <c r="C8" s="14"/>
      <c r="D8" s="14"/>
      <c r="E8" s="37"/>
      <c r="F8" s="37"/>
      <c r="G8" s="37">
        <f t="shared" si="0"/>
        <v>0</v>
      </c>
      <c r="H8" s="37"/>
      <c r="I8" s="37"/>
      <c r="J8" s="37">
        <f t="shared" si="1"/>
        <v>0</v>
      </c>
      <c r="K8" s="37">
        <f t="shared" si="2"/>
        <v>0</v>
      </c>
      <c r="L8" s="37"/>
      <c r="M8" s="132">
        <f t="shared" si="3"/>
        <v>0</v>
      </c>
      <c r="N8" s="14"/>
    </row>
    <row r="9" spans="1:14">
      <c r="A9" s="23">
        <v>5</v>
      </c>
      <c r="B9" s="24">
        <v>46209</v>
      </c>
      <c r="C9" s="14"/>
      <c r="D9" s="14"/>
      <c r="E9" s="37"/>
      <c r="F9" s="37"/>
      <c r="G9" s="37">
        <f t="shared" si="0"/>
        <v>0</v>
      </c>
      <c r="H9" s="37"/>
      <c r="I9" s="37"/>
      <c r="J9" s="37">
        <f t="shared" si="1"/>
        <v>0</v>
      </c>
      <c r="K9" s="37">
        <f t="shared" si="2"/>
        <v>0</v>
      </c>
      <c r="L9" s="37"/>
      <c r="M9" s="132">
        <f t="shared" si="3"/>
        <v>0</v>
      </c>
      <c r="N9" s="14"/>
    </row>
    <row r="10" spans="1:14">
      <c r="A10" s="23">
        <v>6</v>
      </c>
      <c r="B10" s="24">
        <v>46210</v>
      </c>
      <c r="C10" s="14"/>
      <c r="D10" s="14"/>
      <c r="E10" s="37"/>
      <c r="F10" s="37"/>
      <c r="G10" s="37">
        <f t="shared" si="0"/>
        <v>0</v>
      </c>
      <c r="H10" s="37"/>
      <c r="I10" s="37"/>
      <c r="J10" s="37">
        <f t="shared" si="1"/>
        <v>0</v>
      </c>
      <c r="K10" s="37">
        <f t="shared" si="2"/>
        <v>0</v>
      </c>
      <c r="L10" s="37"/>
      <c r="M10" s="132">
        <f t="shared" si="3"/>
        <v>0</v>
      </c>
      <c r="N10" s="14"/>
    </row>
    <row r="11" spans="1:14">
      <c r="A11" s="23">
        <v>7</v>
      </c>
      <c r="B11" s="24">
        <v>46211</v>
      </c>
      <c r="C11" s="14"/>
      <c r="D11" s="14"/>
      <c r="E11" s="37"/>
      <c r="F11" s="37"/>
      <c r="G11" s="37">
        <f t="shared" si="0"/>
        <v>0</v>
      </c>
      <c r="H11" s="37"/>
      <c r="I11" s="37"/>
      <c r="J11" s="37">
        <f t="shared" si="1"/>
        <v>0</v>
      </c>
      <c r="K11" s="37">
        <f t="shared" si="2"/>
        <v>0</v>
      </c>
      <c r="L11" s="37"/>
      <c r="M11" s="132">
        <f t="shared" si="3"/>
        <v>0</v>
      </c>
      <c r="N11" s="14"/>
    </row>
    <row r="12" spans="1:14">
      <c r="A12" s="23">
        <v>8</v>
      </c>
      <c r="B12" s="24">
        <v>46212</v>
      </c>
      <c r="C12" s="14"/>
      <c r="D12" s="14"/>
      <c r="E12" s="37"/>
      <c r="F12" s="37"/>
      <c r="G12" s="37">
        <f t="shared" si="0"/>
        <v>0</v>
      </c>
      <c r="H12" s="37"/>
      <c r="I12" s="37"/>
      <c r="J12" s="37">
        <f t="shared" si="1"/>
        <v>0</v>
      </c>
      <c r="K12" s="37">
        <f t="shared" si="2"/>
        <v>0</v>
      </c>
      <c r="L12" s="37"/>
      <c r="M12" s="132">
        <f t="shared" si="3"/>
        <v>0</v>
      </c>
      <c r="N12" s="14"/>
    </row>
    <row r="13" spans="1:14">
      <c r="A13" s="23">
        <v>9</v>
      </c>
      <c r="B13" s="24">
        <v>46213</v>
      </c>
      <c r="C13" s="14"/>
      <c r="D13" s="14"/>
      <c r="E13" s="37"/>
      <c r="F13" s="37"/>
      <c r="G13" s="37">
        <f t="shared" si="0"/>
        <v>0</v>
      </c>
      <c r="H13" s="37"/>
      <c r="I13" s="37"/>
      <c r="J13" s="37">
        <f t="shared" si="1"/>
        <v>0</v>
      </c>
      <c r="K13" s="37">
        <f t="shared" si="2"/>
        <v>0</v>
      </c>
      <c r="L13" s="37"/>
      <c r="M13" s="132">
        <f t="shared" si="3"/>
        <v>0</v>
      </c>
      <c r="N13" s="14"/>
    </row>
    <row r="14" spans="1:14">
      <c r="A14" s="23">
        <v>10</v>
      </c>
      <c r="B14" s="24">
        <v>46214</v>
      </c>
      <c r="C14" s="14"/>
      <c r="D14" s="14"/>
      <c r="E14" s="37"/>
      <c r="F14" s="37"/>
      <c r="G14" s="37">
        <f t="shared" si="0"/>
        <v>0</v>
      </c>
      <c r="H14" s="37"/>
      <c r="I14" s="37"/>
      <c r="J14" s="37">
        <f t="shared" si="1"/>
        <v>0</v>
      </c>
      <c r="K14" s="37">
        <f t="shared" si="2"/>
        <v>0</v>
      </c>
      <c r="L14" s="37"/>
      <c r="M14" s="132">
        <f t="shared" si="3"/>
        <v>0</v>
      </c>
      <c r="N14" s="41"/>
    </row>
    <row r="15" spans="1:14">
      <c r="A15" s="23">
        <v>11</v>
      </c>
      <c r="B15" s="24">
        <v>46215</v>
      </c>
      <c r="C15" s="14"/>
      <c r="D15" s="14"/>
      <c r="E15" s="37"/>
      <c r="F15" s="37"/>
      <c r="G15" s="37">
        <f t="shared" si="0"/>
        <v>0</v>
      </c>
      <c r="H15" s="37"/>
      <c r="I15" s="37"/>
      <c r="J15" s="37">
        <f t="shared" si="1"/>
        <v>0</v>
      </c>
      <c r="K15" s="37">
        <f t="shared" si="2"/>
        <v>0</v>
      </c>
      <c r="L15" s="37"/>
      <c r="M15" s="132">
        <f t="shared" si="3"/>
        <v>0</v>
      </c>
      <c r="N15" s="41"/>
    </row>
    <row r="16" spans="1:14">
      <c r="A16" s="23">
        <v>12</v>
      </c>
      <c r="B16" s="24">
        <v>46216</v>
      </c>
      <c r="C16" s="14"/>
      <c r="D16" s="14"/>
      <c r="E16" s="37"/>
      <c r="F16" s="37"/>
      <c r="G16" s="37">
        <f t="shared" si="0"/>
        <v>0</v>
      </c>
      <c r="H16" s="37"/>
      <c r="I16" s="37"/>
      <c r="J16" s="37">
        <f t="shared" si="1"/>
        <v>0</v>
      </c>
      <c r="K16" s="37">
        <f t="shared" si="2"/>
        <v>0</v>
      </c>
      <c r="L16" s="37"/>
      <c r="M16" s="132">
        <f t="shared" si="3"/>
        <v>0</v>
      </c>
      <c r="N16" s="41"/>
    </row>
    <row r="17" spans="1:16">
      <c r="A17" s="23">
        <v>13</v>
      </c>
      <c r="B17" s="24">
        <v>46217</v>
      </c>
      <c r="C17" s="14"/>
      <c r="D17" s="14"/>
      <c r="E17" s="37"/>
      <c r="F17" s="37"/>
      <c r="G17" s="37">
        <f t="shared" si="0"/>
        <v>0</v>
      </c>
      <c r="H17" s="37"/>
      <c r="I17" s="37"/>
      <c r="J17" s="37">
        <f t="shared" si="1"/>
        <v>0</v>
      </c>
      <c r="K17" s="37">
        <f t="shared" si="2"/>
        <v>0</v>
      </c>
      <c r="L17" s="37"/>
      <c r="M17" s="132">
        <f t="shared" ref="M5:M54" si="4">M16+K17-L17</f>
        <v>0</v>
      </c>
      <c r="N17" s="41"/>
    </row>
    <row r="18" spans="1:16">
      <c r="A18" s="23">
        <v>14</v>
      </c>
      <c r="B18" s="24">
        <v>46218</v>
      </c>
      <c r="C18" s="14"/>
      <c r="D18" s="14"/>
      <c r="E18" s="37"/>
      <c r="F18" s="37"/>
      <c r="G18" s="37">
        <f t="shared" si="0"/>
        <v>0</v>
      </c>
      <c r="H18" s="37"/>
      <c r="I18" s="37"/>
      <c r="J18" s="37">
        <f t="shared" si="1"/>
        <v>0</v>
      </c>
      <c r="K18" s="37">
        <f t="shared" si="2"/>
        <v>0</v>
      </c>
      <c r="L18" s="37"/>
      <c r="M18" s="132">
        <f t="shared" si="4"/>
        <v>0</v>
      </c>
      <c r="N18" s="41"/>
    </row>
    <row r="19" spans="1:16">
      <c r="A19" s="23">
        <v>15</v>
      </c>
      <c r="B19" s="24">
        <v>46219</v>
      </c>
      <c r="C19" s="14"/>
      <c r="D19" s="14"/>
      <c r="E19" s="37"/>
      <c r="F19" s="37"/>
      <c r="G19" s="37">
        <f t="shared" si="0"/>
        <v>0</v>
      </c>
      <c r="H19" s="37"/>
      <c r="I19" s="37"/>
      <c r="J19" s="37">
        <f t="shared" si="1"/>
        <v>0</v>
      </c>
      <c r="K19" s="37">
        <f t="shared" si="2"/>
        <v>0</v>
      </c>
      <c r="L19" s="37"/>
      <c r="M19" s="132">
        <f t="shared" si="4"/>
        <v>0</v>
      </c>
      <c r="N19" s="41" t="s">
        <v>189</v>
      </c>
    </row>
    <row r="20" spans="1:16">
      <c r="A20" s="23">
        <v>16</v>
      </c>
      <c r="B20" s="24">
        <v>46220</v>
      </c>
      <c r="C20" s="14"/>
      <c r="D20" s="14"/>
      <c r="E20" s="37"/>
      <c r="F20" s="37"/>
      <c r="G20" s="37">
        <f t="shared" si="0"/>
        <v>0</v>
      </c>
      <c r="H20" s="37"/>
      <c r="I20" s="37"/>
      <c r="J20" s="37">
        <f t="shared" si="1"/>
        <v>0</v>
      </c>
      <c r="K20" s="37">
        <f t="shared" si="2"/>
        <v>0</v>
      </c>
      <c r="L20" s="37"/>
      <c r="M20" s="132">
        <f t="shared" si="4"/>
        <v>0</v>
      </c>
      <c r="N20" s="41"/>
      <c r="P20" s="19"/>
    </row>
    <row r="21" spans="1:16">
      <c r="A21" s="23">
        <v>17</v>
      </c>
      <c r="B21" s="24">
        <v>46221</v>
      </c>
      <c r="C21" s="14"/>
      <c r="D21" s="14"/>
      <c r="E21" s="37"/>
      <c r="F21" s="37"/>
      <c r="G21" s="37">
        <f t="shared" si="0"/>
        <v>0</v>
      </c>
      <c r="H21" s="37"/>
      <c r="I21" s="37"/>
      <c r="J21" s="37">
        <f t="shared" si="1"/>
        <v>0</v>
      </c>
      <c r="K21" s="37">
        <f t="shared" si="2"/>
        <v>0</v>
      </c>
      <c r="L21" s="37"/>
      <c r="M21" s="132">
        <f t="shared" si="4"/>
        <v>0</v>
      </c>
      <c r="N21" s="41"/>
      <c r="P21" s="19"/>
    </row>
    <row r="22" spans="1:16">
      <c r="A22" s="23">
        <v>18</v>
      </c>
      <c r="B22" s="24">
        <v>46222</v>
      </c>
      <c r="C22" s="14"/>
      <c r="D22" s="14"/>
      <c r="E22" s="37"/>
      <c r="F22" s="37"/>
      <c r="G22" s="37">
        <f t="shared" si="0"/>
        <v>0</v>
      </c>
      <c r="H22" s="37"/>
      <c r="I22" s="37"/>
      <c r="J22" s="37">
        <f t="shared" si="1"/>
        <v>0</v>
      </c>
      <c r="K22" s="37">
        <f t="shared" si="2"/>
        <v>0</v>
      </c>
      <c r="L22" s="37"/>
      <c r="M22" s="132">
        <f t="shared" si="4"/>
        <v>0</v>
      </c>
      <c r="N22" s="41"/>
      <c r="P22" s="19"/>
    </row>
    <row r="23" spans="1:16">
      <c r="A23" s="23">
        <v>19</v>
      </c>
      <c r="B23" s="24">
        <v>46223</v>
      </c>
      <c r="C23" s="14"/>
      <c r="D23" s="14"/>
      <c r="E23" s="37"/>
      <c r="F23" s="37"/>
      <c r="G23" s="37">
        <f t="shared" si="0"/>
        <v>0</v>
      </c>
      <c r="H23" s="37"/>
      <c r="I23" s="37"/>
      <c r="J23" s="37">
        <f t="shared" si="1"/>
        <v>0</v>
      </c>
      <c r="K23" s="37">
        <f t="shared" si="2"/>
        <v>0</v>
      </c>
      <c r="L23" s="37"/>
      <c r="M23" s="132">
        <f t="shared" si="4"/>
        <v>0</v>
      </c>
      <c r="N23" s="41"/>
      <c r="P23" s="19"/>
    </row>
    <row r="24" spans="1:16">
      <c r="A24" s="23">
        <v>20</v>
      </c>
      <c r="B24" s="24">
        <v>46224</v>
      </c>
      <c r="C24" s="14"/>
      <c r="D24" s="14"/>
      <c r="E24" s="37"/>
      <c r="F24" s="37"/>
      <c r="G24" s="37">
        <f t="shared" si="0"/>
        <v>0</v>
      </c>
      <c r="H24" s="37"/>
      <c r="I24" s="37"/>
      <c r="J24" s="37">
        <f t="shared" si="1"/>
        <v>0</v>
      </c>
      <c r="K24" s="37">
        <f t="shared" si="2"/>
        <v>0</v>
      </c>
      <c r="L24" s="37"/>
      <c r="M24" s="132">
        <f t="shared" si="4"/>
        <v>0</v>
      </c>
      <c r="N24" s="41"/>
      <c r="P24" s="19"/>
    </row>
    <row r="25" spans="1:16">
      <c r="A25" s="23">
        <v>21</v>
      </c>
      <c r="B25" s="24">
        <v>46225</v>
      </c>
      <c r="C25" s="14"/>
      <c r="D25" s="14"/>
      <c r="E25" s="37"/>
      <c r="F25" s="37"/>
      <c r="G25" s="37">
        <f t="shared" si="0"/>
        <v>0</v>
      </c>
      <c r="H25" s="37"/>
      <c r="I25" s="37"/>
      <c r="J25" s="37">
        <f t="shared" si="1"/>
        <v>0</v>
      </c>
      <c r="K25" s="37">
        <f t="shared" si="2"/>
        <v>0</v>
      </c>
      <c r="L25" s="37"/>
      <c r="M25" s="132">
        <f t="shared" si="4"/>
        <v>0</v>
      </c>
      <c r="N25" s="41"/>
      <c r="P25" s="19"/>
    </row>
    <row r="26" spans="1:16">
      <c r="A26" s="23">
        <v>22</v>
      </c>
      <c r="B26" s="24">
        <v>46226</v>
      </c>
      <c r="C26" s="14"/>
      <c r="D26" s="14"/>
      <c r="E26" s="37"/>
      <c r="F26" s="37"/>
      <c r="G26" s="37">
        <f t="shared" si="0"/>
        <v>0</v>
      </c>
      <c r="H26" s="37"/>
      <c r="I26" s="37"/>
      <c r="J26" s="37">
        <f t="shared" si="1"/>
        <v>0</v>
      </c>
      <c r="K26" s="37">
        <f t="shared" si="2"/>
        <v>0</v>
      </c>
      <c r="L26" s="37"/>
      <c r="M26" s="132">
        <f t="shared" si="4"/>
        <v>0</v>
      </c>
      <c r="N26" s="41"/>
      <c r="P26" s="19"/>
    </row>
    <row r="27" spans="1:16">
      <c r="A27" s="23">
        <v>23</v>
      </c>
      <c r="B27" s="24">
        <v>46227</v>
      </c>
      <c r="C27" s="14"/>
      <c r="D27" s="14"/>
      <c r="E27" s="37"/>
      <c r="F27" s="37"/>
      <c r="G27" s="37">
        <f t="shared" si="0"/>
        <v>0</v>
      </c>
      <c r="H27" s="37"/>
      <c r="I27" s="37"/>
      <c r="J27" s="37">
        <f t="shared" si="1"/>
        <v>0</v>
      </c>
      <c r="K27" s="37">
        <f t="shared" si="2"/>
        <v>0</v>
      </c>
      <c r="L27" s="37"/>
      <c r="M27" s="132">
        <f t="shared" si="4"/>
        <v>0</v>
      </c>
      <c r="N27" s="41"/>
      <c r="P27" s="19"/>
    </row>
    <row r="28" spans="1:16">
      <c r="A28" s="23">
        <v>24</v>
      </c>
      <c r="B28" s="24">
        <v>46228</v>
      </c>
      <c r="C28" s="14"/>
      <c r="D28" s="14"/>
      <c r="E28" s="37"/>
      <c r="F28" s="37"/>
      <c r="G28" s="37">
        <f t="shared" si="0"/>
        <v>0</v>
      </c>
      <c r="H28" s="37"/>
      <c r="I28" s="37"/>
      <c r="J28" s="37">
        <f t="shared" si="1"/>
        <v>0</v>
      </c>
      <c r="K28" s="37">
        <f t="shared" si="2"/>
        <v>0</v>
      </c>
      <c r="L28" s="37"/>
      <c r="M28" s="132">
        <f t="shared" si="4"/>
        <v>0</v>
      </c>
      <c r="N28" s="41"/>
      <c r="P28" s="19"/>
    </row>
    <row r="29" spans="1:16">
      <c r="A29" s="23">
        <v>25</v>
      </c>
      <c r="B29" s="24">
        <v>46229</v>
      </c>
      <c r="C29" s="14"/>
      <c r="D29" s="14"/>
      <c r="E29" s="37"/>
      <c r="F29" s="37"/>
      <c r="G29" s="37">
        <f t="shared" si="0"/>
        <v>0</v>
      </c>
      <c r="H29" s="37"/>
      <c r="I29" s="37"/>
      <c r="J29" s="37">
        <f t="shared" si="1"/>
        <v>0</v>
      </c>
      <c r="K29" s="37">
        <f t="shared" si="2"/>
        <v>0</v>
      </c>
      <c r="L29" s="37"/>
      <c r="M29" s="132">
        <f t="shared" si="4"/>
        <v>0</v>
      </c>
      <c r="N29" s="41"/>
    </row>
    <row r="30" spans="1:16">
      <c r="A30" s="23">
        <v>26</v>
      </c>
      <c r="B30" s="24">
        <v>46230</v>
      </c>
      <c r="C30" s="14"/>
      <c r="D30" s="14"/>
      <c r="E30" s="37"/>
      <c r="F30" s="37"/>
      <c r="G30" s="37">
        <f t="shared" si="0"/>
        <v>0</v>
      </c>
      <c r="H30" s="37"/>
      <c r="I30" s="37"/>
      <c r="J30" s="37">
        <f t="shared" si="1"/>
        <v>0</v>
      </c>
      <c r="K30" s="37">
        <f t="shared" si="2"/>
        <v>0</v>
      </c>
      <c r="L30" s="37"/>
      <c r="M30" s="132">
        <f t="shared" si="4"/>
        <v>0</v>
      </c>
      <c r="N30" s="41"/>
    </row>
    <row r="31" spans="1:16">
      <c r="A31" s="23">
        <v>27</v>
      </c>
      <c r="B31" s="24">
        <v>46231</v>
      </c>
      <c r="C31" s="14"/>
      <c r="D31" s="14"/>
      <c r="E31" s="37"/>
      <c r="F31" s="37"/>
      <c r="G31" s="37">
        <f t="shared" si="0"/>
        <v>0</v>
      </c>
      <c r="H31" s="37"/>
      <c r="I31" s="37"/>
      <c r="J31" s="37">
        <f t="shared" si="1"/>
        <v>0</v>
      </c>
      <c r="K31" s="37">
        <f t="shared" si="2"/>
        <v>0</v>
      </c>
      <c r="L31" s="37"/>
      <c r="M31" s="132">
        <f t="shared" si="4"/>
        <v>0</v>
      </c>
      <c r="N31" s="41"/>
    </row>
    <row r="32" spans="1:16">
      <c r="A32" s="23">
        <v>28</v>
      </c>
      <c r="B32" s="24">
        <v>46232</v>
      </c>
      <c r="C32" s="14"/>
      <c r="D32" s="14"/>
      <c r="E32" s="37"/>
      <c r="F32" s="37"/>
      <c r="G32" s="37">
        <f t="shared" si="0"/>
        <v>0</v>
      </c>
      <c r="H32" s="37"/>
      <c r="I32" s="37"/>
      <c r="J32" s="37">
        <f t="shared" si="1"/>
        <v>0</v>
      </c>
      <c r="K32" s="37">
        <f t="shared" si="2"/>
        <v>0</v>
      </c>
      <c r="L32" s="37"/>
      <c r="M32" s="132">
        <f t="shared" si="4"/>
        <v>0</v>
      </c>
      <c r="N32" s="41"/>
    </row>
    <row r="33" spans="1:17">
      <c r="A33" s="23">
        <v>29</v>
      </c>
      <c r="B33" s="24">
        <v>46233</v>
      </c>
      <c r="C33" s="14"/>
      <c r="D33" s="14"/>
      <c r="E33" s="37"/>
      <c r="F33" s="37"/>
      <c r="G33" s="37">
        <f t="shared" si="0"/>
        <v>0</v>
      </c>
      <c r="H33" s="37"/>
      <c r="I33" s="37"/>
      <c r="J33" s="37">
        <f t="shared" si="1"/>
        <v>0</v>
      </c>
      <c r="K33" s="37">
        <f t="shared" si="2"/>
        <v>0</v>
      </c>
      <c r="L33" s="37"/>
      <c r="M33" s="132">
        <f t="shared" si="4"/>
        <v>0</v>
      </c>
      <c r="N33" s="41"/>
    </row>
    <row r="34" spans="1:17">
      <c r="A34" s="23">
        <v>30</v>
      </c>
      <c r="B34" s="24"/>
      <c r="C34" s="14"/>
      <c r="D34" s="14"/>
      <c r="E34" s="37"/>
      <c r="F34" s="37"/>
      <c r="G34" s="37">
        <f t="shared" si="0"/>
        <v>0</v>
      </c>
      <c r="H34" s="37"/>
      <c r="I34" s="37"/>
      <c r="J34" s="37">
        <f t="shared" si="1"/>
        <v>0</v>
      </c>
      <c r="K34" s="37">
        <f t="shared" si="2"/>
        <v>0</v>
      </c>
      <c r="L34" s="37"/>
      <c r="M34" s="132">
        <f t="shared" si="4"/>
        <v>0</v>
      </c>
      <c r="N34" s="41"/>
    </row>
    <row r="35" spans="1:17">
      <c r="A35" s="23">
        <v>31</v>
      </c>
      <c r="B35" s="24"/>
      <c r="C35" s="14"/>
      <c r="D35" s="14"/>
      <c r="E35" s="37"/>
      <c r="F35" s="37"/>
      <c r="G35" s="37">
        <f t="shared" si="0"/>
        <v>0</v>
      </c>
      <c r="H35" s="37"/>
      <c r="I35" s="37"/>
      <c r="J35" s="37">
        <f t="shared" si="1"/>
        <v>0</v>
      </c>
      <c r="K35" s="37">
        <f t="shared" si="2"/>
        <v>0</v>
      </c>
      <c r="L35" s="37"/>
      <c r="M35" s="132">
        <f t="shared" si="4"/>
        <v>0</v>
      </c>
      <c r="N35" s="41"/>
    </row>
    <row r="36" spans="1:17">
      <c r="A36" s="23">
        <v>32</v>
      </c>
      <c r="B36" s="24"/>
      <c r="C36" s="14"/>
      <c r="D36" s="14"/>
      <c r="E36" s="37"/>
      <c r="F36" s="37"/>
      <c r="G36" s="37">
        <f t="shared" si="0"/>
        <v>0</v>
      </c>
      <c r="H36" s="37"/>
      <c r="I36" s="37"/>
      <c r="J36" s="37">
        <f t="shared" si="1"/>
        <v>0</v>
      </c>
      <c r="K36" s="37">
        <f t="shared" si="2"/>
        <v>0</v>
      </c>
      <c r="L36" s="37"/>
      <c r="M36" s="132">
        <f t="shared" si="4"/>
        <v>0</v>
      </c>
      <c r="N36" s="41"/>
    </row>
    <row r="37" spans="1:17">
      <c r="A37" s="23">
        <v>33</v>
      </c>
      <c r="B37" s="24"/>
      <c r="C37" s="14"/>
      <c r="D37" s="14"/>
      <c r="E37" s="37"/>
      <c r="F37" s="37"/>
      <c r="G37" s="37">
        <f t="shared" si="0"/>
        <v>0</v>
      </c>
      <c r="H37" s="37"/>
      <c r="I37" s="37"/>
      <c r="J37" s="37">
        <f t="shared" si="1"/>
        <v>0</v>
      </c>
      <c r="K37" s="37">
        <f t="shared" si="2"/>
        <v>0</v>
      </c>
      <c r="L37" s="37"/>
      <c r="M37" s="132">
        <f t="shared" si="4"/>
        <v>0</v>
      </c>
      <c r="N37" s="41"/>
    </row>
    <row r="38" spans="1:17">
      <c r="A38" s="23">
        <v>34</v>
      </c>
      <c r="B38" s="24"/>
      <c r="C38" s="14"/>
      <c r="D38" s="14"/>
      <c r="E38" s="37"/>
      <c r="F38" s="37"/>
      <c r="G38" s="37">
        <f t="shared" si="0"/>
        <v>0</v>
      </c>
      <c r="H38" s="37"/>
      <c r="I38" s="37"/>
      <c r="J38" s="37">
        <f t="shared" si="1"/>
        <v>0</v>
      </c>
      <c r="K38" s="37">
        <f t="shared" si="2"/>
        <v>0</v>
      </c>
      <c r="L38" s="37"/>
      <c r="M38" s="132">
        <f t="shared" si="4"/>
        <v>0</v>
      </c>
      <c r="N38" s="41"/>
      <c r="P38">
        <v>41</v>
      </c>
    </row>
    <row r="39" spans="1:17">
      <c r="A39" s="23">
        <v>35</v>
      </c>
      <c r="B39" s="24"/>
      <c r="C39" s="14"/>
      <c r="D39" s="14"/>
      <c r="E39" s="37"/>
      <c r="F39" s="37"/>
      <c r="G39" s="37">
        <f t="shared" si="0"/>
        <v>0</v>
      </c>
      <c r="H39" s="37"/>
      <c r="I39" s="37"/>
      <c r="J39" s="37">
        <f t="shared" si="1"/>
        <v>0</v>
      </c>
      <c r="K39" s="37">
        <f t="shared" si="2"/>
        <v>0</v>
      </c>
      <c r="L39" s="37"/>
      <c r="M39" s="132">
        <f t="shared" si="4"/>
        <v>0</v>
      </c>
      <c r="N39" s="41"/>
      <c r="P39">
        <v>40</v>
      </c>
      <c r="Q39">
        <v>5</v>
      </c>
    </row>
    <row r="40" spans="1:17">
      <c r="A40" s="23">
        <v>36</v>
      </c>
      <c r="B40" s="24"/>
      <c r="C40" s="14"/>
      <c r="D40" s="14"/>
      <c r="E40" s="37"/>
      <c r="F40" s="37"/>
      <c r="G40" s="37">
        <f t="shared" ref="G5:G53" si="5">E40*F40</f>
        <v>0</v>
      </c>
      <c r="H40" s="37"/>
      <c r="I40" s="37"/>
      <c r="J40" s="37">
        <f t="shared" ref="J5:J53" si="6">H40*I40</f>
        <v>0</v>
      </c>
      <c r="K40" s="37">
        <f t="shared" ref="K5:K53" si="7">G40+J40</f>
        <v>0</v>
      </c>
      <c r="L40" s="37"/>
      <c r="M40" s="132">
        <f t="shared" si="4"/>
        <v>0</v>
      </c>
      <c r="N40" s="41"/>
    </row>
    <row r="41" spans="1:17">
      <c r="A41" s="23">
        <v>37</v>
      </c>
      <c r="B41" s="24"/>
      <c r="C41" s="14"/>
      <c r="D41" s="14"/>
      <c r="E41" s="37"/>
      <c r="F41" s="37"/>
      <c r="G41" s="37">
        <f t="shared" si="5"/>
        <v>0</v>
      </c>
      <c r="H41" s="37"/>
      <c r="I41" s="37"/>
      <c r="J41" s="37">
        <f t="shared" si="6"/>
        <v>0</v>
      </c>
      <c r="K41" s="37">
        <f t="shared" si="7"/>
        <v>0</v>
      </c>
      <c r="L41" s="37"/>
      <c r="M41" s="132">
        <f t="shared" si="4"/>
        <v>0</v>
      </c>
      <c r="N41" s="41"/>
    </row>
    <row r="42" spans="1:17">
      <c r="A42" s="23">
        <v>38</v>
      </c>
      <c r="B42" s="24"/>
      <c r="C42" s="14"/>
      <c r="D42" s="14"/>
      <c r="E42" s="37"/>
      <c r="F42" s="37"/>
      <c r="G42" s="37">
        <f t="shared" si="5"/>
        <v>0</v>
      </c>
      <c r="H42" s="37"/>
      <c r="I42" s="37"/>
      <c r="J42" s="37">
        <f t="shared" si="6"/>
        <v>0</v>
      </c>
      <c r="K42" s="37">
        <f t="shared" si="7"/>
        <v>0</v>
      </c>
      <c r="L42" s="37"/>
      <c r="M42" s="132">
        <f t="shared" si="4"/>
        <v>0</v>
      </c>
      <c r="N42" s="41"/>
    </row>
    <row r="43" spans="1:17">
      <c r="A43" s="23">
        <v>39</v>
      </c>
      <c r="B43" s="24"/>
      <c r="C43" s="14"/>
      <c r="D43" s="14"/>
      <c r="E43" s="37"/>
      <c r="F43" s="37"/>
      <c r="G43" s="37">
        <f t="shared" si="5"/>
        <v>0</v>
      </c>
      <c r="H43" s="37"/>
      <c r="I43" s="37"/>
      <c r="J43" s="37">
        <f t="shared" si="6"/>
        <v>0</v>
      </c>
      <c r="K43" s="37">
        <f t="shared" si="7"/>
        <v>0</v>
      </c>
      <c r="L43" s="37"/>
      <c r="M43" s="132">
        <f t="shared" si="4"/>
        <v>0</v>
      </c>
      <c r="N43" s="41"/>
    </row>
    <row r="44" spans="1:17">
      <c r="A44" s="23">
        <v>40</v>
      </c>
      <c r="B44" s="24"/>
      <c r="C44" s="14"/>
      <c r="D44" s="14"/>
      <c r="E44" s="37"/>
      <c r="F44" s="37"/>
      <c r="G44" s="37">
        <f t="shared" si="5"/>
        <v>0</v>
      </c>
      <c r="H44" s="37"/>
      <c r="I44" s="37"/>
      <c r="J44" s="37">
        <f t="shared" si="6"/>
        <v>0</v>
      </c>
      <c r="K44" s="37">
        <f t="shared" si="7"/>
        <v>0</v>
      </c>
      <c r="L44" s="37"/>
      <c r="M44" s="132">
        <f t="shared" si="4"/>
        <v>0</v>
      </c>
      <c r="N44" s="41"/>
    </row>
    <row r="45" spans="1:17">
      <c r="A45" s="23">
        <v>41</v>
      </c>
      <c r="B45" s="24"/>
      <c r="C45" s="14"/>
      <c r="D45" s="14"/>
      <c r="E45" s="37"/>
      <c r="F45" s="37"/>
      <c r="G45" s="37">
        <f t="shared" si="5"/>
        <v>0</v>
      </c>
      <c r="H45" s="37"/>
      <c r="I45" s="37"/>
      <c r="J45" s="37">
        <f t="shared" si="6"/>
        <v>0</v>
      </c>
      <c r="K45" s="37">
        <f t="shared" si="7"/>
        <v>0</v>
      </c>
      <c r="L45" s="37"/>
      <c r="M45" s="132">
        <f t="shared" si="4"/>
        <v>0</v>
      </c>
      <c r="N45" s="41"/>
    </row>
    <row r="46" spans="1:17">
      <c r="A46" s="23">
        <v>42</v>
      </c>
      <c r="B46" s="24"/>
      <c r="C46" s="14"/>
      <c r="D46" s="14"/>
      <c r="E46" s="37"/>
      <c r="F46" s="37"/>
      <c r="G46" s="37">
        <f t="shared" si="5"/>
        <v>0</v>
      </c>
      <c r="H46" s="37"/>
      <c r="I46" s="37"/>
      <c r="J46" s="37">
        <f t="shared" si="6"/>
        <v>0</v>
      </c>
      <c r="K46" s="37">
        <f t="shared" si="7"/>
        <v>0</v>
      </c>
      <c r="L46" s="37"/>
      <c r="M46" s="132">
        <f t="shared" si="4"/>
        <v>0</v>
      </c>
      <c r="N46" s="41"/>
    </row>
    <row r="47" spans="1:17">
      <c r="A47" s="23">
        <v>43</v>
      </c>
      <c r="B47" s="24"/>
      <c r="C47" s="14"/>
      <c r="D47" s="14"/>
      <c r="E47" s="37"/>
      <c r="F47" s="37"/>
      <c r="G47" s="37">
        <f t="shared" si="5"/>
        <v>0</v>
      </c>
      <c r="H47" s="37"/>
      <c r="I47" s="37"/>
      <c r="J47" s="37">
        <f t="shared" si="6"/>
        <v>0</v>
      </c>
      <c r="K47" s="37">
        <f t="shared" si="7"/>
        <v>0</v>
      </c>
      <c r="L47" s="37"/>
      <c r="M47" s="132">
        <f t="shared" si="4"/>
        <v>0</v>
      </c>
      <c r="N47" s="41"/>
    </row>
    <row r="48" spans="1:17">
      <c r="A48" s="23">
        <v>44</v>
      </c>
      <c r="B48" s="24"/>
      <c r="C48" s="14"/>
      <c r="D48" s="14"/>
      <c r="E48" s="37"/>
      <c r="F48" s="37"/>
      <c r="G48" s="37">
        <f t="shared" si="5"/>
        <v>0</v>
      </c>
      <c r="H48" s="37"/>
      <c r="I48" s="37"/>
      <c r="J48" s="37">
        <f t="shared" si="6"/>
        <v>0</v>
      </c>
      <c r="K48" s="37">
        <f t="shared" si="7"/>
        <v>0</v>
      </c>
      <c r="L48" s="37"/>
      <c r="M48" s="132">
        <f t="shared" si="4"/>
        <v>0</v>
      </c>
      <c r="N48" s="41"/>
    </row>
    <row r="49" spans="1:16">
      <c r="A49" s="23">
        <v>45</v>
      </c>
      <c r="B49" s="24"/>
      <c r="C49" s="14"/>
      <c r="D49" s="14"/>
      <c r="E49" s="37"/>
      <c r="F49" s="37"/>
      <c r="G49" s="37">
        <f t="shared" si="5"/>
        <v>0</v>
      </c>
      <c r="H49" s="37"/>
      <c r="I49" s="37"/>
      <c r="J49" s="37">
        <f t="shared" si="6"/>
        <v>0</v>
      </c>
      <c r="K49" s="37">
        <f t="shared" si="7"/>
        <v>0</v>
      </c>
      <c r="L49" s="37"/>
      <c r="M49" s="132">
        <f t="shared" si="4"/>
        <v>0</v>
      </c>
      <c r="N49" s="41"/>
    </row>
    <row r="50" spans="1:16">
      <c r="A50" s="23">
        <v>46</v>
      </c>
      <c r="B50" s="24"/>
      <c r="C50" s="14"/>
      <c r="D50" s="14"/>
      <c r="E50" s="37"/>
      <c r="F50" s="37"/>
      <c r="G50" s="37">
        <f t="shared" si="5"/>
        <v>0</v>
      </c>
      <c r="H50" s="37"/>
      <c r="I50" s="37"/>
      <c r="J50" s="37">
        <f t="shared" si="6"/>
        <v>0</v>
      </c>
      <c r="K50" s="37">
        <f t="shared" si="7"/>
        <v>0</v>
      </c>
      <c r="L50" s="37"/>
      <c r="M50" s="132">
        <f t="shared" si="4"/>
        <v>0</v>
      </c>
      <c r="N50" s="41"/>
    </row>
    <row r="51" spans="1:16">
      <c r="A51" s="23">
        <v>47</v>
      </c>
      <c r="B51" s="24"/>
      <c r="C51" s="14"/>
      <c r="D51" s="14"/>
      <c r="E51" s="37"/>
      <c r="F51" s="37"/>
      <c r="G51" s="37">
        <f t="shared" si="5"/>
        <v>0</v>
      </c>
      <c r="H51" s="37"/>
      <c r="I51" s="37"/>
      <c r="J51" s="37">
        <f t="shared" si="6"/>
        <v>0</v>
      </c>
      <c r="K51" s="37">
        <f t="shared" si="7"/>
        <v>0</v>
      </c>
      <c r="L51" s="37">
        <v>0</v>
      </c>
      <c r="M51" s="132">
        <f t="shared" si="4"/>
        <v>0</v>
      </c>
      <c r="N51" s="41"/>
    </row>
    <row r="52" spans="1:16">
      <c r="A52" s="23">
        <v>48</v>
      </c>
      <c r="B52" s="24"/>
      <c r="C52" s="91"/>
      <c r="D52" s="91"/>
      <c r="E52" s="37"/>
      <c r="F52" s="37"/>
      <c r="G52" s="37">
        <f t="shared" si="5"/>
        <v>0</v>
      </c>
      <c r="H52" s="37"/>
      <c r="I52" s="37"/>
      <c r="J52" s="37">
        <f t="shared" si="6"/>
        <v>0</v>
      </c>
      <c r="K52" s="37">
        <f t="shared" si="7"/>
        <v>0</v>
      </c>
      <c r="L52" s="37">
        <v>0</v>
      </c>
      <c r="M52" s="132">
        <f t="shared" si="4"/>
        <v>0</v>
      </c>
      <c r="N52" s="217"/>
    </row>
    <row r="53" spans="1:16">
      <c r="A53" s="23">
        <v>49</v>
      </c>
      <c r="B53" s="24"/>
      <c r="C53" s="14"/>
      <c r="D53" s="14"/>
      <c r="E53" s="37"/>
      <c r="F53" s="37"/>
      <c r="G53" s="37">
        <f t="shared" si="5"/>
        <v>0</v>
      </c>
      <c r="H53" s="37"/>
      <c r="I53" s="37"/>
      <c r="J53" s="37">
        <f t="shared" si="6"/>
        <v>0</v>
      </c>
      <c r="K53" s="37">
        <f t="shared" si="7"/>
        <v>0</v>
      </c>
      <c r="L53" s="37">
        <v>0</v>
      </c>
      <c r="M53" s="132">
        <f t="shared" si="4"/>
        <v>0</v>
      </c>
      <c r="N53" s="41"/>
    </row>
    <row r="54" spans="1:16">
      <c r="A54" s="23">
        <v>50</v>
      </c>
      <c r="B54" s="24"/>
      <c r="C54" s="14"/>
      <c r="D54" s="14"/>
      <c r="E54" s="37"/>
      <c r="F54" s="37"/>
      <c r="G54" s="37">
        <f t="shared" ref="G54" si="8">E54*F54</f>
        <v>0</v>
      </c>
      <c r="H54" s="37"/>
      <c r="I54" s="37"/>
      <c r="J54" s="37">
        <f t="shared" ref="J54" si="9">H54*I54</f>
        <v>0</v>
      </c>
      <c r="K54" s="37">
        <f t="shared" ref="K54" si="10">G54+J54</f>
        <v>0</v>
      </c>
      <c r="L54" s="37">
        <v>0</v>
      </c>
      <c r="M54" s="132">
        <f t="shared" si="4"/>
        <v>0</v>
      </c>
      <c r="N54" s="41"/>
      <c r="O54">
        <v>1109792.2825999993</v>
      </c>
      <c r="P54" s="167">
        <f>M54-O54</f>
        <v>-1109792.2825999993</v>
      </c>
    </row>
    <row r="55" spans="1:16">
      <c r="A55" s="174"/>
      <c r="B55" s="174"/>
      <c r="C55" s="174"/>
      <c r="D55" s="174"/>
      <c r="E55" s="174">
        <f>SUM(E4:E54)</f>
        <v>0</v>
      </c>
      <c r="F55" s="174"/>
      <c r="G55" s="174">
        <f>SUM(G4:G54)</f>
        <v>0</v>
      </c>
      <c r="H55" s="174">
        <f>SUM(H4:H54)</f>
        <v>0</v>
      </c>
      <c r="I55" s="174"/>
      <c r="J55" s="174">
        <f>SUM(J4:J54)</f>
        <v>0</v>
      </c>
      <c r="K55" s="174">
        <f>SUM(K4:K54)</f>
        <v>0</v>
      </c>
      <c r="L55" s="174">
        <f>SUM(L4:L54)</f>
        <v>0</v>
      </c>
      <c r="M55" s="174"/>
      <c r="N55" s="174"/>
    </row>
  </sheetData>
  <mergeCells count="2">
    <mergeCell ref="A1:N1"/>
    <mergeCell ref="A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8753-EB45-413F-AA43-E56ACFC36C88}">
  <dimension ref="A1:Q56"/>
  <sheetViews>
    <sheetView topLeftCell="A22" workbookViewId="0">
      <selection activeCell="M30" sqref="M30"/>
    </sheetView>
  </sheetViews>
  <sheetFormatPr defaultRowHeight="15"/>
  <cols>
    <col min="2" max="2" width="10.42578125" bestFit="1" customWidth="1"/>
    <col min="4" max="4" width="11.5703125" customWidth="1"/>
    <col min="5" max="5" width="10.42578125" bestFit="1" customWidth="1"/>
    <col min="7" max="7" width="14.7109375" customWidth="1"/>
    <col min="11" max="11" width="13.5703125" bestFit="1" customWidth="1"/>
    <col min="12" max="12" width="11.42578125" bestFit="1" customWidth="1"/>
    <col min="13" max="13" width="13.5703125" bestFit="1" customWidth="1"/>
    <col min="14" max="14" width="27.5703125" customWidth="1"/>
  </cols>
  <sheetData>
    <row r="1" spans="1:16" ht="15.75">
      <c r="A1" s="579" t="s">
        <v>275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</row>
    <row r="2" spans="1:16" ht="30.75">
      <c r="A2" s="61" t="s">
        <v>0</v>
      </c>
      <c r="B2" s="80" t="s">
        <v>163</v>
      </c>
      <c r="C2" s="80" t="s">
        <v>164</v>
      </c>
      <c r="D2" s="80" t="s">
        <v>165</v>
      </c>
      <c r="E2" s="87" t="s">
        <v>166</v>
      </c>
      <c r="F2" s="87" t="s">
        <v>167</v>
      </c>
      <c r="G2" s="87" t="s">
        <v>168</v>
      </c>
      <c r="H2" s="87" t="s">
        <v>169</v>
      </c>
      <c r="I2" s="87" t="s">
        <v>167</v>
      </c>
      <c r="J2" s="87" t="s">
        <v>168</v>
      </c>
      <c r="K2" s="88" t="s">
        <v>170</v>
      </c>
      <c r="L2" s="82" t="s">
        <v>171</v>
      </c>
      <c r="M2" s="82" t="s">
        <v>187</v>
      </c>
      <c r="N2" s="121" t="s">
        <v>173</v>
      </c>
    </row>
    <row r="3" spans="1:16">
      <c r="A3" s="553" t="s">
        <v>174</v>
      </c>
      <c r="B3" s="553"/>
      <c r="C3" s="553"/>
      <c r="D3" s="553"/>
      <c r="E3" s="553"/>
      <c r="F3" s="553"/>
      <c r="G3" s="553"/>
      <c r="H3" s="553"/>
      <c r="I3" s="553"/>
      <c r="J3" s="559"/>
      <c r="K3" s="195">
        <v>2547026.4441000004</v>
      </c>
      <c r="M3" s="131">
        <v>2547026.4441000004</v>
      </c>
      <c r="N3" s="91"/>
      <c r="P3">
        <v>5472110</v>
      </c>
    </row>
    <row r="4" spans="1:16">
      <c r="A4" s="23">
        <v>1</v>
      </c>
      <c r="B4" s="24">
        <v>46204</v>
      </c>
      <c r="C4" s="14"/>
      <c r="D4" s="14"/>
      <c r="E4" s="37"/>
      <c r="F4" s="37"/>
      <c r="G4" s="37">
        <f>E4*F4</f>
        <v>0</v>
      </c>
      <c r="H4" s="37"/>
      <c r="I4" s="37"/>
      <c r="J4" s="37">
        <f>H4*I4</f>
        <v>0</v>
      </c>
      <c r="K4" s="37">
        <f>G4+J4</f>
        <v>0</v>
      </c>
      <c r="L4" s="37"/>
      <c r="M4" s="132">
        <f>M3+K4-L4</f>
        <v>2547026.4441000004</v>
      </c>
      <c r="N4" s="14"/>
    </row>
    <row r="5" spans="1:16">
      <c r="A5" s="23">
        <v>2</v>
      </c>
      <c r="B5" s="24">
        <v>46205</v>
      </c>
      <c r="C5" s="14"/>
      <c r="D5" s="14"/>
      <c r="E5" s="37"/>
      <c r="F5" s="37"/>
      <c r="G5" s="37">
        <f>E5*F5</f>
        <v>0</v>
      </c>
      <c r="H5" s="37"/>
      <c r="I5" s="37"/>
      <c r="J5" s="37">
        <f t="shared" ref="J5:J36" si="0">H5*I5</f>
        <v>0</v>
      </c>
      <c r="K5" s="37">
        <f t="shared" ref="K5:L36" si="1">G5+J5</f>
        <v>0</v>
      </c>
      <c r="L5" s="37"/>
      <c r="M5" s="132">
        <f t="shared" ref="M5:M55" si="2">M4+K5-L5</f>
        <v>2547026.4441000004</v>
      </c>
      <c r="N5" s="14"/>
    </row>
    <row r="6" spans="1:16">
      <c r="A6" s="23">
        <v>3</v>
      </c>
      <c r="B6" s="24">
        <v>46206</v>
      </c>
      <c r="C6" s="14"/>
      <c r="D6" s="14"/>
      <c r="E6" s="37">
        <v>2700</v>
      </c>
      <c r="F6" s="37">
        <v>99.51</v>
      </c>
      <c r="G6" s="37">
        <f t="shared" ref="G5:G36" si="3">E6*F6</f>
        <v>268677</v>
      </c>
      <c r="H6" s="37"/>
      <c r="I6" s="37"/>
      <c r="J6" s="37">
        <f t="shared" si="0"/>
        <v>0</v>
      </c>
      <c r="K6" s="37">
        <f t="shared" si="1"/>
        <v>268677</v>
      </c>
      <c r="L6" s="37"/>
      <c r="M6" s="132">
        <f t="shared" si="2"/>
        <v>2815703.4441000004</v>
      </c>
      <c r="N6" s="14"/>
    </row>
    <row r="7" spans="1:16">
      <c r="A7" s="23">
        <v>4</v>
      </c>
      <c r="B7" s="24">
        <v>46207</v>
      </c>
      <c r="C7" s="14"/>
      <c r="D7" s="14"/>
      <c r="E7" s="37"/>
      <c r="F7" s="37"/>
      <c r="G7" s="37">
        <f t="shared" si="3"/>
        <v>0</v>
      </c>
      <c r="H7" s="37"/>
      <c r="I7" s="37"/>
      <c r="J7" s="37">
        <f t="shared" si="0"/>
        <v>0</v>
      </c>
      <c r="K7" s="37">
        <f t="shared" si="1"/>
        <v>0</v>
      </c>
      <c r="L7" s="37"/>
      <c r="M7" s="132">
        <f t="shared" si="2"/>
        <v>2815703.4441000004</v>
      </c>
      <c r="N7" s="14"/>
    </row>
    <row r="8" spans="1:16">
      <c r="A8" s="23">
        <v>5</v>
      </c>
      <c r="B8" s="24">
        <v>46208</v>
      </c>
      <c r="C8" s="14"/>
      <c r="D8" s="14"/>
      <c r="E8" s="37"/>
      <c r="F8" s="37"/>
      <c r="G8" s="37">
        <f t="shared" si="3"/>
        <v>0</v>
      </c>
      <c r="H8" s="37"/>
      <c r="I8" s="37"/>
      <c r="J8" s="37">
        <f t="shared" si="0"/>
        <v>0</v>
      </c>
      <c r="K8" s="37">
        <f t="shared" si="1"/>
        <v>0</v>
      </c>
      <c r="L8" s="37"/>
      <c r="M8" s="132">
        <f t="shared" si="2"/>
        <v>2815703.4441000004</v>
      </c>
      <c r="N8" s="14"/>
    </row>
    <row r="9" spans="1:16">
      <c r="A9" s="23">
        <v>6</v>
      </c>
      <c r="B9" s="24">
        <v>46209</v>
      </c>
      <c r="C9" s="14"/>
      <c r="D9" s="14"/>
      <c r="E9" s="37"/>
      <c r="F9" s="37"/>
      <c r="G9" s="37">
        <f t="shared" si="3"/>
        <v>0</v>
      </c>
      <c r="H9" s="37"/>
      <c r="I9" s="37"/>
      <c r="J9" s="37">
        <f t="shared" si="0"/>
        <v>0</v>
      </c>
      <c r="K9" s="37">
        <f t="shared" si="1"/>
        <v>0</v>
      </c>
      <c r="L9" s="37"/>
      <c r="M9" s="132">
        <f t="shared" si="2"/>
        <v>2815703.4441000004</v>
      </c>
      <c r="N9" s="14"/>
    </row>
    <row r="10" spans="1:16">
      <c r="A10" s="23">
        <v>7</v>
      </c>
      <c r="B10" s="24">
        <v>46210</v>
      </c>
      <c r="C10" s="14"/>
      <c r="D10" s="14"/>
      <c r="E10" s="37"/>
      <c r="F10" s="37"/>
      <c r="G10" s="37">
        <f t="shared" si="3"/>
        <v>0</v>
      </c>
      <c r="H10" s="37"/>
      <c r="I10" s="37"/>
      <c r="J10" s="37">
        <f t="shared" si="0"/>
        <v>0</v>
      </c>
      <c r="K10" s="37">
        <f t="shared" si="1"/>
        <v>0</v>
      </c>
      <c r="L10" s="37"/>
      <c r="M10" s="132">
        <f t="shared" si="2"/>
        <v>2815703.4441000004</v>
      </c>
      <c r="N10" s="14"/>
    </row>
    <row r="11" spans="1:16">
      <c r="A11" s="23">
        <v>8</v>
      </c>
      <c r="B11" s="24">
        <v>46211</v>
      </c>
      <c r="C11" s="14"/>
      <c r="D11" s="14"/>
      <c r="E11" s="37"/>
      <c r="F11" s="37"/>
      <c r="G11" s="37">
        <f t="shared" si="3"/>
        <v>0</v>
      </c>
      <c r="H11" s="37"/>
      <c r="I11" s="37"/>
      <c r="J11" s="37">
        <f t="shared" si="0"/>
        <v>0</v>
      </c>
      <c r="K11" s="37">
        <f t="shared" si="1"/>
        <v>0</v>
      </c>
      <c r="L11" s="37"/>
      <c r="M11" s="132">
        <f>M10+K11-L11</f>
        <v>2815703.4441000004</v>
      </c>
      <c r="N11" s="41"/>
    </row>
    <row r="12" spans="1:16">
      <c r="A12" s="23">
        <v>9</v>
      </c>
      <c r="B12" s="24">
        <v>46212</v>
      </c>
      <c r="C12" s="14"/>
      <c r="D12" s="14"/>
      <c r="E12" s="37"/>
      <c r="F12" s="37"/>
      <c r="G12" s="37">
        <f t="shared" si="3"/>
        <v>0</v>
      </c>
      <c r="H12" s="37">
        <v>30</v>
      </c>
      <c r="I12" s="37">
        <v>113.18</v>
      </c>
      <c r="J12" s="37">
        <f t="shared" si="0"/>
        <v>3395.4</v>
      </c>
      <c r="K12" s="37">
        <f t="shared" si="1"/>
        <v>3395.4</v>
      </c>
      <c r="L12" s="37"/>
      <c r="M12" s="132">
        <f>M11+K12-L12</f>
        <v>2819098.8441000003</v>
      </c>
      <c r="N12" s="14"/>
    </row>
    <row r="13" spans="1:16">
      <c r="A13" s="23">
        <v>10</v>
      </c>
      <c r="B13" s="24">
        <v>46213</v>
      </c>
      <c r="C13" s="14"/>
      <c r="D13" s="14"/>
      <c r="E13" s="37">
        <v>2850</v>
      </c>
      <c r="F13" s="37">
        <v>99.51</v>
      </c>
      <c r="G13" s="37">
        <f t="shared" si="3"/>
        <v>283603.5</v>
      </c>
      <c r="H13" s="37"/>
      <c r="I13" s="37"/>
      <c r="J13" s="37">
        <f t="shared" si="0"/>
        <v>0</v>
      </c>
      <c r="K13" s="37">
        <f t="shared" si="1"/>
        <v>283603.5</v>
      </c>
      <c r="L13" s="37"/>
      <c r="M13" s="132">
        <f t="shared" si="2"/>
        <v>3102702.3441000003</v>
      </c>
      <c r="N13" s="14"/>
    </row>
    <row r="14" spans="1:16">
      <c r="A14" s="23">
        <v>11</v>
      </c>
      <c r="B14" s="24">
        <v>46214</v>
      </c>
      <c r="C14" s="14"/>
      <c r="D14" s="14"/>
      <c r="E14" s="37"/>
      <c r="F14" s="37"/>
      <c r="G14" s="37">
        <f t="shared" si="3"/>
        <v>0</v>
      </c>
      <c r="H14" s="37"/>
      <c r="I14" s="37"/>
      <c r="J14" s="37">
        <f t="shared" si="0"/>
        <v>0</v>
      </c>
      <c r="K14" s="37">
        <f t="shared" si="1"/>
        <v>0</v>
      </c>
      <c r="L14" s="37"/>
      <c r="M14" s="132">
        <f t="shared" si="2"/>
        <v>3102702.3441000003</v>
      </c>
      <c r="N14" s="14"/>
    </row>
    <row r="15" spans="1:16">
      <c r="A15" s="23">
        <v>12</v>
      </c>
      <c r="B15" s="24">
        <v>46215</v>
      </c>
      <c r="C15" s="14"/>
      <c r="D15" s="14"/>
      <c r="E15" s="37"/>
      <c r="F15" s="37"/>
      <c r="G15" s="37">
        <f t="shared" si="3"/>
        <v>0</v>
      </c>
      <c r="H15" s="37"/>
      <c r="I15" s="37"/>
      <c r="J15" s="37">
        <f t="shared" si="0"/>
        <v>0</v>
      </c>
      <c r="K15" s="37">
        <f t="shared" si="1"/>
        <v>0</v>
      </c>
      <c r="L15" s="37"/>
      <c r="M15" s="132">
        <f t="shared" si="2"/>
        <v>3102702.3441000003</v>
      </c>
      <c r="N15" s="14"/>
    </row>
    <row r="16" spans="1:16">
      <c r="A16" s="23">
        <v>13</v>
      </c>
      <c r="B16" s="24">
        <v>46216</v>
      </c>
      <c r="C16" s="14"/>
      <c r="D16" s="14"/>
      <c r="E16" s="37">
        <v>2745</v>
      </c>
      <c r="F16" s="37">
        <v>99.51</v>
      </c>
      <c r="G16" s="37">
        <f t="shared" si="3"/>
        <v>273154.95</v>
      </c>
      <c r="H16" s="37">
        <v>30</v>
      </c>
      <c r="I16" s="37">
        <v>113.18</v>
      </c>
      <c r="J16" s="37">
        <f t="shared" si="0"/>
        <v>3395.4</v>
      </c>
      <c r="K16" s="37">
        <f t="shared" si="1"/>
        <v>276550.35000000003</v>
      </c>
      <c r="L16" s="37"/>
      <c r="M16" s="132">
        <f t="shared" si="2"/>
        <v>3379252.6941000004</v>
      </c>
      <c r="N16" s="14"/>
    </row>
    <row r="17" spans="1:16">
      <c r="A17" s="23">
        <v>14</v>
      </c>
      <c r="B17" s="24">
        <v>46217</v>
      </c>
      <c r="C17" s="14"/>
      <c r="D17" s="14"/>
      <c r="E17" s="37">
        <v>41.53</v>
      </c>
      <c r="F17" s="37">
        <v>97.97</v>
      </c>
      <c r="G17" s="37">
        <f t="shared" si="3"/>
        <v>4068.6941000000002</v>
      </c>
      <c r="H17" s="37"/>
      <c r="I17" s="37"/>
      <c r="J17" s="37">
        <f t="shared" si="0"/>
        <v>0</v>
      </c>
      <c r="K17" s="37">
        <f t="shared" si="1"/>
        <v>4068.6941000000002</v>
      </c>
      <c r="L17" s="37">
        <f t="shared" si="1"/>
        <v>4068.6941000000002</v>
      </c>
      <c r="M17" s="132">
        <f t="shared" si="2"/>
        <v>3379252.6941000004</v>
      </c>
      <c r="N17" s="14" t="s">
        <v>276</v>
      </c>
    </row>
    <row r="18" spans="1:16">
      <c r="A18" s="23">
        <v>15</v>
      </c>
      <c r="B18" s="24">
        <v>46218</v>
      </c>
      <c r="C18" s="14"/>
      <c r="D18" s="14"/>
      <c r="E18" s="37"/>
      <c r="F18" s="37"/>
      <c r="G18" s="37">
        <f t="shared" si="3"/>
        <v>0</v>
      </c>
      <c r="H18" s="37"/>
      <c r="I18" s="37"/>
      <c r="J18" s="37">
        <f t="shared" si="0"/>
        <v>0</v>
      </c>
      <c r="K18" s="37">
        <f t="shared" si="1"/>
        <v>0</v>
      </c>
      <c r="L18" s="37"/>
      <c r="M18" s="132">
        <f t="shared" si="2"/>
        <v>3379252.6941000004</v>
      </c>
      <c r="N18" s="41"/>
    </row>
    <row r="19" spans="1:16">
      <c r="A19" s="23">
        <v>16</v>
      </c>
      <c r="B19" s="24">
        <v>46219</v>
      </c>
      <c r="C19" s="14"/>
      <c r="D19" s="14"/>
      <c r="E19" s="37">
        <v>2872.91</v>
      </c>
      <c r="F19" s="37">
        <v>99.51</v>
      </c>
      <c r="G19" s="37">
        <f t="shared" si="3"/>
        <v>285883.27409999998</v>
      </c>
      <c r="H19" s="37">
        <v>30</v>
      </c>
      <c r="I19" s="37">
        <v>113.18</v>
      </c>
      <c r="J19" s="37">
        <f t="shared" si="0"/>
        <v>3395.4</v>
      </c>
      <c r="K19" s="37">
        <f t="shared" si="1"/>
        <v>289278.6741</v>
      </c>
      <c r="L19" s="37"/>
      <c r="M19" s="132">
        <f t="shared" si="2"/>
        <v>3668531.3682000004</v>
      </c>
      <c r="N19" s="41"/>
    </row>
    <row r="20" spans="1:16">
      <c r="A20" s="23">
        <v>17</v>
      </c>
      <c r="B20" s="24">
        <v>46220</v>
      </c>
      <c r="C20" s="14"/>
      <c r="D20" s="14"/>
      <c r="E20" s="37"/>
      <c r="F20" s="37"/>
      <c r="G20" s="37">
        <f t="shared" si="3"/>
        <v>0</v>
      </c>
      <c r="H20" s="37"/>
      <c r="I20" s="37"/>
      <c r="J20" s="37">
        <f t="shared" si="0"/>
        <v>0</v>
      </c>
      <c r="K20" s="37">
        <f t="shared" si="1"/>
        <v>0</v>
      </c>
      <c r="L20" s="37"/>
      <c r="M20" s="132">
        <f t="shared" si="2"/>
        <v>3668531.3682000004</v>
      </c>
      <c r="N20" s="41"/>
      <c r="P20" s="19"/>
    </row>
    <row r="21" spans="1:16">
      <c r="A21" s="23">
        <v>18</v>
      </c>
      <c r="B21" s="24">
        <v>46221</v>
      </c>
      <c r="C21" s="14"/>
      <c r="D21" s="14"/>
      <c r="E21" s="37"/>
      <c r="F21" s="37"/>
      <c r="G21" s="37">
        <f t="shared" si="3"/>
        <v>0</v>
      </c>
      <c r="H21" s="37"/>
      <c r="I21" s="37"/>
      <c r="J21" s="37">
        <f t="shared" si="0"/>
        <v>0</v>
      </c>
      <c r="K21" s="37">
        <f t="shared" si="1"/>
        <v>0</v>
      </c>
      <c r="L21" s="37"/>
      <c r="M21" s="132">
        <f t="shared" si="2"/>
        <v>3668531.3682000004</v>
      </c>
      <c r="N21" s="41"/>
      <c r="P21" s="19"/>
    </row>
    <row r="22" spans="1:16">
      <c r="A22" s="23">
        <v>19</v>
      </c>
      <c r="B22" s="24">
        <v>46222</v>
      </c>
      <c r="C22" s="14"/>
      <c r="D22" s="14"/>
      <c r="E22" s="37">
        <v>2904</v>
      </c>
      <c r="F22" s="37">
        <v>99.51</v>
      </c>
      <c r="G22" s="37">
        <f t="shared" si="3"/>
        <v>288977.04000000004</v>
      </c>
      <c r="H22" s="37"/>
      <c r="I22" s="37"/>
      <c r="J22" s="37">
        <f t="shared" si="0"/>
        <v>0</v>
      </c>
      <c r="K22" s="37">
        <f t="shared" si="1"/>
        <v>288977.04000000004</v>
      </c>
      <c r="L22" s="37"/>
      <c r="M22" s="132">
        <f t="shared" si="2"/>
        <v>3957508.4082000004</v>
      </c>
      <c r="N22" s="41"/>
      <c r="P22" s="19"/>
    </row>
    <row r="23" spans="1:16">
      <c r="A23" s="23">
        <v>20</v>
      </c>
      <c r="B23" s="24">
        <v>46223</v>
      </c>
      <c r="C23" s="14"/>
      <c r="D23" s="14"/>
      <c r="E23" s="37"/>
      <c r="F23" s="37"/>
      <c r="G23" s="37">
        <f t="shared" si="3"/>
        <v>0</v>
      </c>
      <c r="H23" s="37"/>
      <c r="I23" s="37"/>
      <c r="J23" s="37">
        <f t="shared" si="0"/>
        <v>0</v>
      </c>
      <c r="K23" s="37">
        <f t="shared" si="1"/>
        <v>0</v>
      </c>
      <c r="L23" s="37"/>
      <c r="M23" s="132">
        <f t="shared" si="2"/>
        <v>3957508.4082000004</v>
      </c>
      <c r="N23" s="41"/>
      <c r="P23" s="19"/>
    </row>
    <row r="24" spans="1:16">
      <c r="A24" s="23">
        <v>21</v>
      </c>
      <c r="B24" s="24">
        <v>46224</v>
      </c>
      <c r="C24" s="14"/>
      <c r="D24" s="14"/>
      <c r="E24" s="37"/>
      <c r="F24" s="37"/>
      <c r="G24" s="37">
        <f t="shared" si="3"/>
        <v>0</v>
      </c>
      <c r="H24" s="37"/>
      <c r="I24" s="37"/>
      <c r="J24" s="37">
        <f t="shared" si="0"/>
        <v>0</v>
      </c>
      <c r="K24" s="37">
        <f t="shared" si="1"/>
        <v>0</v>
      </c>
      <c r="L24" s="37"/>
      <c r="M24" s="132">
        <f t="shared" si="2"/>
        <v>3957508.4082000004</v>
      </c>
      <c r="N24" s="41"/>
      <c r="P24" s="19"/>
    </row>
    <row r="25" spans="1:16">
      <c r="A25" s="23">
        <v>22</v>
      </c>
      <c r="B25" s="24">
        <v>46225</v>
      </c>
      <c r="C25" s="14"/>
      <c r="D25" s="14"/>
      <c r="E25" s="37"/>
      <c r="F25" s="37"/>
      <c r="G25" s="37">
        <f t="shared" si="3"/>
        <v>0</v>
      </c>
      <c r="H25" s="37"/>
      <c r="I25" s="37"/>
      <c r="J25" s="37">
        <f t="shared" si="0"/>
        <v>0</v>
      </c>
      <c r="K25" s="37">
        <f t="shared" si="1"/>
        <v>0</v>
      </c>
      <c r="L25" s="37"/>
      <c r="M25" s="132">
        <f t="shared" si="2"/>
        <v>3957508.4082000004</v>
      </c>
      <c r="N25" s="41"/>
      <c r="P25" s="19"/>
    </row>
    <row r="26" spans="1:16">
      <c r="A26" s="23">
        <v>23</v>
      </c>
      <c r="B26" s="24">
        <v>46226</v>
      </c>
      <c r="C26" s="14"/>
      <c r="D26" s="14"/>
      <c r="E26" s="37">
        <v>2906</v>
      </c>
      <c r="F26" s="37">
        <v>99.51</v>
      </c>
      <c r="G26" s="37">
        <f t="shared" si="3"/>
        <v>289176.06</v>
      </c>
      <c r="H26" s="37">
        <v>30</v>
      </c>
      <c r="I26" s="37">
        <v>113.18</v>
      </c>
      <c r="J26" s="37">
        <f t="shared" si="0"/>
        <v>3395.4</v>
      </c>
      <c r="K26" s="37">
        <f t="shared" si="1"/>
        <v>292571.46000000002</v>
      </c>
      <c r="L26" s="37"/>
      <c r="M26" s="132">
        <f t="shared" si="2"/>
        <v>4250079.8682000004</v>
      </c>
      <c r="N26" s="41"/>
      <c r="P26" s="19"/>
    </row>
    <row r="27" spans="1:16">
      <c r="A27" s="23">
        <v>24</v>
      </c>
      <c r="B27" s="24">
        <v>46227</v>
      </c>
      <c r="C27" s="14"/>
      <c r="D27" s="14"/>
      <c r="E27" s="37"/>
      <c r="F27" s="37"/>
      <c r="G27" s="37">
        <f t="shared" si="3"/>
        <v>0</v>
      </c>
      <c r="H27" s="37"/>
      <c r="I27" s="37"/>
      <c r="J27" s="37">
        <f t="shared" si="0"/>
        <v>0</v>
      </c>
      <c r="K27" s="37">
        <f t="shared" si="1"/>
        <v>0</v>
      </c>
      <c r="L27" s="37"/>
      <c r="M27" s="132">
        <f t="shared" si="2"/>
        <v>4250079.8682000004</v>
      </c>
      <c r="N27" s="41"/>
      <c r="P27" s="19"/>
    </row>
    <row r="28" spans="1:16">
      <c r="A28" s="23">
        <v>25</v>
      </c>
      <c r="B28" s="24">
        <v>46228</v>
      </c>
      <c r="C28" s="14"/>
      <c r="D28" s="14"/>
      <c r="E28" s="37"/>
      <c r="F28" s="37"/>
      <c r="G28" s="37">
        <f t="shared" si="3"/>
        <v>0</v>
      </c>
      <c r="H28" s="37"/>
      <c r="I28" s="37"/>
      <c r="J28" s="37">
        <f t="shared" si="0"/>
        <v>0</v>
      </c>
      <c r="K28" s="37">
        <f t="shared" si="1"/>
        <v>0</v>
      </c>
      <c r="L28" s="37"/>
      <c r="M28" s="132">
        <f t="shared" si="2"/>
        <v>4250079.8682000004</v>
      </c>
      <c r="N28" s="41"/>
      <c r="P28" s="19"/>
    </row>
    <row r="29" spans="1:16">
      <c r="A29" s="23">
        <v>26</v>
      </c>
      <c r="B29" s="24">
        <v>46229</v>
      </c>
      <c r="C29" s="14"/>
      <c r="D29" s="14"/>
      <c r="E29" s="37"/>
      <c r="F29" s="37"/>
      <c r="G29" s="37">
        <f t="shared" si="3"/>
        <v>0</v>
      </c>
      <c r="H29" s="37"/>
      <c r="I29" s="37"/>
      <c r="J29" s="37">
        <f t="shared" si="0"/>
        <v>0</v>
      </c>
      <c r="K29" s="37">
        <f t="shared" si="1"/>
        <v>0</v>
      </c>
      <c r="L29" s="37"/>
      <c r="M29" s="132">
        <f t="shared" si="2"/>
        <v>4250079.8682000004</v>
      </c>
      <c r="N29" s="41"/>
      <c r="P29" s="19"/>
    </row>
    <row r="30" spans="1:16">
      <c r="A30" s="23">
        <v>27</v>
      </c>
      <c r="B30" s="24">
        <v>46230</v>
      </c>
      <c r="C30" s="14"/>
      <c r="D30" s="14"/>
      <c r="E30" s="37">
        <v>2790</v>
      </c>
      <c r="F30" s="37">
        <v>99.51</v>
      </c>
      <c r="G30" s="37">
        <f t="shared" si="3"/>
        <v>277632.90000000002</v>
      </c>
      <c r="H30" s="37">
        <v>30</v>
      </c>
      <c r="I30" s="37">
        <v>113.18</v>
      </c>
      <c r="J30" s="37">
        <f t="shared" si="0"/>
        <v>3395.4</v>
      </c>
      <c r="K30" s="37">
        <f t="shared" si="1"/>
        <v>281028.30000000005</v>
      </c>
      <c r="L30" s="37"/>
      <c r="M30" s="132">
        <f t="shared" si="2"/>
        <v>4531108.1682000002</v>
      </c>
      <c r="N30" s="41"/>
    </row>
    <row r="31" spans="1:16">
      <c r="A31" s="23">
        <v>28</v>
      </c>
      <c r="B31" s="24">
        <v>46231</v>
      </c>
      <c r="C31" s="14"/>
      <c r="D31" s="14"/>
      <c r="E31" s="37"/>
      <c r="F31" s="37"/>
      <c r="G31" s="37">
        <f t="shared" si="3"/>
        <v>0</v>
      </c>
      <c r="H31" s="37"/>
      <c r="I31" s="37"/>
      <c r="J31" s="37">
        <f t="shared" si="0"/>
        <v>0</v>
      </c>
      <c r="K31" s="37">
        <f t="shared" si="1"/>
        <v>0</v>
      </c>
      <c r="L31" s="37"/>
      <c r="M31" s="132">
        <f t="shared" si="2"/>
        <v>4531108.1682000002</v>
      </c>
      <c r="N31" s="41"/>
    </row>
    <row r="32" spans="1:16">
      <c r="A32" s="23">
        <v>29</v>
      </c>
      <c r="B32" s="24">
        <v>46232</v>
      </c>
      <c r="C32" s="14"/>
      <c r="D32" s="14"/>
      <c r="E32" s="37"/>
      <c r="F32" s="37"/>
      <c r="G32" s="37">
        <f t="shared" si="3"/>
        <v>0</v>
      </c>
      <c r="H32" s="37"/>
      <c r="I32" s="37"/>
      <c r="J32" s="37">
        <f t="shared" si="0"/>
        <v>0</v>
      </c>
      <c r="K32" s="37">
        <f t="shared" si="1"/>
        <v>0</v>
      </c>
      <c r="L32" s="37"/>
      <c r="M32" s="132">
        <f t="shared" si="2"/>
        <v>4531108.1682000002</v>
      </c>
      <c r="N32" s="41"/>
    </row>
    <row r="33" spans="1:17">
      <c r="A33" s="23">
        <v>30</v>
      </c>
      <c r="B33" s="24">
        <v>46233</v>
      </c>
      <c r="C33" s="14"/>
      <c r="D33" s="14"/>
      <c r="E33" s="37"/>
      <c r="F33" s="37"/>
      <c r="G33" s="37">
        <f t="shared" si="3"/>
        <v>0</v>
      </c>
      <c r="H33" s="37"/>
      <c r="I33" s="37"/>
      <c r="J33" s="37">
        <f t="shared" si="0"/>
        <v>0</v>
      </c>
      <c r="K33" s="37">
        <f t="shared" si="1"/>
        <v>0</v>
      </c>
      <c r="L33" s="37"/>
      <c r="M33" s="132">
        <f t="shared" si="2"/>
        <v>4531108.1682000002</v>
      </c>
      <c r="N33" s="41"/>
    </row>
    <row r="34" spans="1:17">
      <c r="A34" s="23">
        <v>31</v>
      </c>
      <c r="B34" s="24"/>
      <c r="C34" s="14"/>
      <c r="D34" s="14"/>
      <c r="E34" s="37"/>
      <c r="F34" s="37"/>
      <c r="G34" s="37">
        <f t="shared" si="3"/>
        <v>0</v>
      </c>
      <c r="H34" s="37"/>
      <c r="I34" s="37"/>
      <c r="J34" s="37">
        <f t="shared" si="0"/>
        <v>0</v>
      </c>
      <c r="K34" s="37">
        <f t="shared" si="1"/>
        <v>0</v>
      </c>
      <c r="L34" s="37"/>
      <c r="M34" s="132">
        <f t="shared" si="2"/>
        <v>4531108.1682000002</v>
      </c>
      <c r="N34" s="41"/>
    </row>
    <row r="35" spans="1:17">
      <c r="A35" s="23">
        <v>32</v>
      </c>
      <c r="B35" s="24"/>
      <c r="C35" s="14"/>
      <c r="D35" s="14"/>
      <c r="E35" s="37"/>
      <c r="F35" s="37"/>
      <c r="G35" s="37">
        <f t="shared" si="3"/>
        <v>0</v>
      </c>
      <c r="H35" s="37"/>
      <c r="I35" s="37"/>
      <c r="J35" s="37">
        <f t="shared" si="0"/>
        <v>0</v>
      </c>
      <c r="K35" s="37">
        <f t="shared" si="1"/>
        <v>0</v>
      </c>
      <c r="L35" s="37"/>
      <c r="M35" s="132">
        <f t="shared" si="2"/>
        <v>4531108.1682000002</v>
      </c>
      <c r="N35" s="41"/>
    </row>
    <row r="36" spans="1:17">
      <c r="A36" s="23">
        <v>33</v>
      </c>
      <c r="B36" s="24"/>
      <c r="C36" s="14"/>
      <c r="D36" s="14"/>
      <c r="E36" s="37"/>
      <c r="F36" s="37"/>
      <c r="G36" s="37">
        <f t="shared" si="3"/>
        <v>0</v>
      </c>
      <c r="H36" s="37"/>
      <c r="I36" s="37"/>
      <c r="J36" s="37">
        <f t="shared" si="0"/>
        <v>0</v>
      </c>
      <c r="K36" s="37">
        <f t="shared" si="1"/>
        <v>0</v>
      </c>
      <c r="L36" s="37"/>
      <c r="M36" s="132">
        <f t="shared" si="2"/>
        <v>4531108.1682000002</v>
      </c>
      <c r="N36" s="41"/>
    </row>
    <row r="37" spans="1:17">
      <c r="A37" s="23">
        <v>34</v>
      </c>
      <c r="B37" s="24"/>
      <c r="C37" s="14"/>
      <c r="D37" s="14"/>
      <c r="E37" s="37"/>
      <c r="F37" s="37"/>
      <c r="G37" s="37">
        <f t="shared" ref="G5:G55" si="4">E37*F37</f>
        <v>0</v>
      </c>
      <c r="H37" s="37"/>
      <c r="I37" s="37"/>
      <c r="J37" s="37">
        <f t="shared" ref="J5:J55" si="5">H37*I37</f>
        <v>0</v>
      </c>
      <c r="K37" s="37">
        <f>G37+J37</f>
        <v>0</v>
      </c>
      <c r="L37" s="37"/>
      <c r="M37" s="132">
        <f t="shared" si="2"/>
        <v>4531108.1682000002</v>
      </c>
      <c r="N37" s="41"/>
    </row>
    <row r="38" spans="1:17">
      <c r="A38" s="23">
        <v>35</v>
      </c>
      <c r="B38" s="24"/>
      <c r="C38" s="14"/>
      <c r="D38" s="14"/>
      <c r="E38" s="37"/>
      <c r="F38" s="37"/>
      <c r="G38" s="37">
        <f t="shared" si="4"/>
        <v>0</v>
      </c>
      <c r="H38" s="37"/>
      <c r="I38" s="37"/>
      <c r="J38" s="37">
        <f t="shared" si="5"/>
        <v>0</v>
      </c>
      <c r="K38" s="37">
        <f>G38+J38</f>
        <v>0</v>
      </c>
      <c r="L38" s="37"/>
      <c r="M38" s="132">
        <f t="shared" si="2"/>
        <v>4531108.1682000002</v>
      </c>
      <c r="N38" s="41"/>
    </row>
    <row r="39" spans="1:17">
      <c r="A39" s="23">
        <v>36</v>
      </c>
      <c r="B39" s="24"/>
      <c r="C39" s="14"/>
      <c r="D39" s="14"/>
      <c r="E39" s="37"/>
      <c r="F39" s="37"/>
      <c r="G39" s="37">
        <f t="shared" si="4"/>
        <v>0</v>
      </c>
      <c r="H39" s="37"/>
      <c r="I39" s="37"/>
      <c r="J39" s="37">
        <f t="shared" si="5"/>
        <v>0</v>
      </c>
      <c r="K39" s="37">
        <f>G39+J39</f>
        <v>0</v>
      </c>
      <c r="L39" s="37"/>
      <c r="M39" s="132">
        <f t="shared" si="2"/>
        <v>4531108.1682000002</v>
      </c>
      <c r="N39" s="41"/>
      <c r="P39">
        <v>41</v>
      </c>
    </row>
    <row r="40" spans="1:17">
      <c r="A40" s="23">
        <v>37</v>
      </c>
      <c r="B40" s="24"/>
      <c r="C40" s="14"/>
      <c r="D40" s="14"/>
      <c r="E40" s="37"/>
      <c r="F40" s="37"/>
      <c r="G40" s="37">
        <f t="shared" si="4"/>
        <v>0</v>
      </c>
      <c r="H40" s="37"/>
      <c r="I40" s="37"/>
      <c r="J40" s="37">
        <f t="shared" si="5"/>
        <v>0</v>
      </c>
      <c r="K40" s="37">
        <f>G40+J40</f>
        <v>0</v>
      </c>
      <c r="L40" s="37"/>
      <c r="M40" s="132">
        <f t="shared" si="2"/>
        <v>4531108.1682000002</v>
      </c>
      <c r="N40" s="41"/>
      <c r="P40">
        <v>40</v>
      </c>
      <c r="Q40">
        <v>5</v>
      </c>
    </row>
    <row r="41" spans="1:17">
      <c r="A41" s="23">
        <v>38</v>
      </c>
      <c r="B41" s="24"/>
      <c r="C41" s="14"/>
      <c r="D41" s="14"/>
      <c r="E41" s="37"/>
      <c r="F41" s="37"/>
      <c r="G41" s="37">
        <f t="shared" si="4"/>
        <v>0</v>
      </c>
      <c r="H41" s="37"/>
      <c r="I41" s="37"/>
      <c r="J41" s="37">
        <f t="shared" si="5"/>
        <v>0</v>
      </c>
      <c r="K41" s="37">
        <f>G41+J41</f>
        <v>0</v>
      </c>
      <c r="L41" s="37"/>
      <c r="M41" s="132">
        <f t="shared" si="2"/>
        <v>4531108.1682000002</v>
      </c>
      <c r="N41" s="41"/>
    </row>
    <row r="42" spans="1:17">
      <c r="A42" s="23">
        <v>39</v>
      </c>
      <c r="B42" s="24"/>
      <c r="C42" s="14"/>
      <c r="D42" s="14"/>
      <c r="E42" s="37"/>
      <c r="F42" s="37"/>
      <c r="G42" s="37">
        <f t="shared" si="4"/>
        <v>0</v>
      </c>
      <c r="H42" s="37"/>
      <c r="I42" s="37"/>
      <c r="J42" s="37">
        <f t="shared" si="5"/>
        <v>0</v>
      </c>
      <c r="K42" s="37">
        <f>G42+J42</f>
        <v>0</v>
      </c>
      <c r="L42" s="37"/>
      <c r="M42" s="132">
        <f t="shared" si="2"/>
        <v>4531108.1682000002</v>
      </c>
      <c r="N42" s="41"/>
    </row>
    <row r="43" spans="1:17">
      <c r="A43" s="23">
        <v>40</v>
      </c>
      <c r="B43" s="24"/>
      <c r="C43" s="14"/>
      <c r="D43" s="14"/>
      <c r="E43" s="37"/>
      <c r="F43" s="37"/>
      <c r="G43" s="37">
        <f t="shared" si="4"/>
        <v>0</v>
      </c>
      <c r="H43" s="37"/>
      <c r="I43" s="37"/>
      <c r="J43" s="37">
        <f t="shared" si="5"/>
        <v>0</v>
      </c>
      <c r="K43" s="37">
        <f>G43+J43</f>
        <v>0</v>
      </c>
      <c r="L43" s="37"/>
      <c r="M43" s="132">
        <f t="shared" si="2"/>
        <v>4531108.1682000002</v>
      </c>
      <c r="N43" s="41"/>
    </row>
    <row r="44" spans="1:17">
      <c r="A44" s="23">
        <v>41</v>
      </c>
      <c r="B44" s="24"/>
      <c r="C44" s="14"/>
      <c r="D44" s="14"/>
      <c r="E44" s="37"/>
      <c r="F44" s="37"/>
      <c r="G44" s="37">
        <f t="shared" si="4"/>
        <v>0</v>
      </c>
      <c r="H44" s="37"/>
      <c r="I44" s="37"/>
      <c r="J44" s="37">
        <f t="shared" si="5"/>
        <v>0</v>
      </c>
      <c r="K44" s="37">
        <f>G44+J44</f>
        <v>0</v>
      </c>
      <c r="L44" s="37"/>
      <c r="M44" s="132">
        <f t="shared" si="2"/>
        <v>4531108.1682000002</v>
      </c>
      <c r="N44" s="41"/>
    </row>
    <row r="45" spans="1:17">
      <c r="A45" s="23">
        <v>42</v>
      </c>
      <c r="B45" s="24"/>
      <c r="C45" s="14"/>
      <c r="D45" s="14"/>
      <c r="E45" s="37"/>
      <c r="F45" s="37"/>
      <c r="G45" s="37">
        <f t="shared" si="4"/>
        <v>0</v>
      </c>
      <c r="H45" s="37"/>
      <c r="I45" s="37"/>
      <c r="J45" s="37">
        <f t="shared" si="5"/>
        <v>0</v>
      </c>
      <c r="K45" s="37">
        <f>G45+J45</f>
        <v>0</v>
      </c>
      <c r="L45" s="37"/>
      <c r="M45" s="132">
        <f t="shared" si="2"/>
        <v>4531108.1682000002</v>
      </c>
      <c r="N45" s="41"/>
    </row>
    <row r="46" spans="1:17">
      <c r="A46" s="23">
        <v>43</v>
      </c>
      <c r="B46" s="24"/>
      <c r="C46" s="14"/>
      <c r="D46" s="14"/>
      <c r="E46" s="37"/>
      <c r="F46" s="37"/>
      <c r="G46" s="37">
        <f t="shared" si="4"/>
        <v>0</v>
      </c>
      <c r="H46" s="37"/>
      <c r="I46" s="37"/>
      <c r="J46" s="37">
        <f t="shared" si="5"/>
        <v>0</v>
      </c>
      <c r="K46" s="37">
        <f>G46+J46</f>
        <v>0</v>
      </c>
      <c r="L46" s="37"/>
      <c r="M46" s="132">
        <f t="shared" si="2"/>
        <v>4531108.1682000002</v>
      </c>
      <c r="N46" s="41"/>
    </row>
    <row r="47" spans="1:17">
      <c r="A47" s="23">
        <v>44</v>
      </c>
      <c r="B47" s="24"/>
      <c r="C47" s="14"/>
      <c r="D47" s="14"/>
      <c r="E47" s="37"/>
      <c r="F47" s="37"/>
      <c r="G47" s="37">
        <f t="shared" si="4"/>
        <v>0</v>
      </c>
      <c r="H47" s="37"/>
      <c r="I47" s="37"/>
      <c r="J47" s="37">
        <f t="shared" si="5"/>
        <v>0</v>
      </c>
      <c r="K47" s="37">
        <f>G47+J47</f>
        <v>0</v>
      </c>
      <c r="L47" s="37"/>
      <c r="M47" s="132">
        <f t="shared" si="2"/>
        <v>4531108.1682000002</v>
      </c>
      <c r="N47" s="41"/>
    </row>
    <row r="48" spans="1:17">
      <c r="A48" s="23">
        <v>45</v>
      </c>
      <c r="B48" s="24"/>
      <c r="C48" s="14"/>
      <c r="D48" s="14"/>
      <c r="E48" s="37"/>
      <c r="F48" s="37"/>
      <c r="G48" s="37">
        <f t="shared" si="4"/>
        <v>0</v>
      </c>
      <c r="H48" s="37"/>
      <c r="I48" s="37"/>
      <c r="J48" s="37">
        <f t="shared" si="5"/>
        <v>0</v>
      </c>
      <c r="K48" s="37">
        <f>G48+J48</f>
        <v>0</v>
      </c>
      <c r="L48" s="37"/>
      <c r="M48" s="132">
        <f t="shared" si="2"/>
        <v>4531108.1682000002</v>
      </c>
      <c r="N48" s="41"/>
    </row>
    <row r="49" spans="1:16">
      <c r="A49" s="23">
        <v>46</v>
      </c>
      <c r="B49" s="24"/>
      <c r="C49" s="14"/>
      <c r="D49" s="14"/>
      <c r="E49" s="37"/>
      <c r="F49" s="37"/>
      <c r="G49" s="37">
        <f t="shared" si="4"/>
        <v>0</v>
      </c>
      <c r="H49" s="37"/>
      <c r="I49" s="37"/>
      <c r="J49" s="37">
        <f t="shared" si="5"/>
        <v>0</v>
      </c>
      <c r="K49" s="37">
        <f>G49+J49</f>
        <v>0</v>
      </c>
      <c r="L49" s="37"/>
      <c r="M49" s="132">
        <f t="shared" si="2"/>
        <v>4531108.1682000002</v>
      </c>
      <c r="N49" s="41"/>
    </row>
    <row r="50" spans="1:16">
      <c r="A50" s="23">
        <v>47</v>
      </c>
      <c r="B50" s="24"/>
      <c r="C50" s="14"/>
      <c r="D50" s="14"/>
      <c r="E50" s="37"/>
      <c r="F50" s="37"/>
      <c r="G50" s="37">
        <f t="shared" si="4"/>
        <v>0</v>
      </c>
      <c r="H50" s="37"/>
      <c r="I50" s="37"/>
      <c r="J50" s="37">
        <f t="shared" si="5"/>
        <v>0</v>
      </c>
      <c r="K50" s="37">
        <f>G50+J50</f>
        <v>0</v>
      </c>
      <c r="L50" s="37"/>
      <c r="M50" s="132">
        <f t="shared" si="2"/>
        <v>4531108.1682000002</v>
      </c>
      <c r="N50" s="41"/>
    </row>
    <row r="51" spans="1:16">
      <c r="A51" s="23">
        <v>48</v>
      </c>
      <c r="B51" s="24"/>
      <c r="C51" s="14"/>
      <c r="D51" s="14"/>
      <c r="E51" s="37"/>
      <c r="F51" s="37"/>
      <c r="G51" s="37">
        <f t="shared" si="4"/>
        <v>0</v>
      </c>
      <c r="H51" s="37"/>
      <c r="I51" s="37"/>
      <c r="J51" s="37">
        <f t="shared" si="5"/>
        <v>0</v>
      </c>
      <c r="K51" s="37">
        <f>G51+J51</f>
        <v>0</v>
      </c>
      <c r="L51" s="37"/>
      <c r="M51" s="132">
        <f t="shared" si="2"/>
        <v>4531108.1682000002</v>
      </c>
      <c r="N51" s="41"/>
    </row>
    <row r="52" spans="1:16">
      <c r="A52" s="23">
        <v>49</v>
      </c>
      <c r="B52" s="24"/>
      <c r="C52" s="14"/>
      <c r="D52" s="14"/>
      <c r="E52" s="37"/>
      <c r="F52" s="37"/>
      <c r="G52" s="37">
        <f t="shared" si="4"/>
        <v>0</v>
      </c>
      <c r="H52" s="37"/>
      <c r="I52" s="37"/>
      <c r="J52" s="37">
        <f t="shared" si="5"/>
        <v>0</v>
      </c>
      <c r="K52" s="37">
        <f>G52+J52</f>
        <v>0</v>
      </c>
      <c r="L52" s="37">
        <v>0</v>
      </c>
      <c r="M52" s="132">
        <f t="shared" si="2"/>
        <v>4531108.1682000002</v>
      </c>
      <c r="N52" s="41"/>
    </row>
    <row r="53" spans="1:16">
      <c r="A53" s="23">
        <v>50</v>
      </c>
      <c r="B53" s="24"/>
      <c r="C53" s="91"/>
      <c r="D53" s="91"/>
      <c r="E53" s="37"/>
      <c r="F53" s="37"/>
      <c r="G53" s="37">
        <f t="shared" si="4"/>
        <v>0</v>
      </c>
      <c r="H53" s="37"/>
      <c r="I53" s="37"/>
      <c r="J53" s="37">
        <f t="shared" si="5"/>
        <v>0</v>
      </c>
      <c r="K53" s="37">
        <f>G53+J53</f>
        <v>0</v>
      </c>
      <c r="L53" s="37">
        <v>0</v>
      </c>
      <c r="M53" s="132">
        <f t="shared" si="2"/>
        <v>4531108.1682000002</v>
      </c>
      <c r="N53" s="217"/>
    </row>
    <row r="54" spans="1:16">
      <c r="A54" s="23">
        <v>50</v>
      </c>
      <c r="B54" s="24"/>
      <c r="C54" s="14"/>
      <c r="D54" s="14"/>
      <c r="E54" s="37"/>
      <c r="F54" s="37"/>
      <c r="G54" s="37">
        <f t="shared" si="4"/>
        <v>0</v>
      </c>
      <c r="H54" s="37"/>
      <c r="I54" s="37"/>
      <c r="J54" s="37">
        <f t="shared" si="5"/>
        <v>0</v>
      </c>
      <c r="K54" s="37">
        <f>G54+J54</f>
        <v>0</v>
      </c>
      <c r="L54" s="37">
        <v>0</v>
      </c>
      <c r="M54" s="132">
        <f t="shared" si="2"/>
        <v>4531108.1682000002</v>
      </c>
      <c r="N54" s="41"/>
    </row>
    <row r="55" spans="1:16">
      <c r="A55" s="23">
        <v>51</v>
      </c>
      <c r="B55" s="24"/>
      <c r="C55" s="14"/>
      <c r="D55" s="14"/>
      <c r="E55" s="37"/>
      <c r="F55" s="37"/>
      <c r="G55" s="37">
        <f t="shared" si="4"/>
        <v>0</v>
      </c>
      <c r="H55" s="37"/>
      <c r="I55" s="37"/>
      <c r="J55" s="37">
        <f t="shared" si="5"/>
        <v>0</v>
      </c>
      <c r="K55" s="37">
        <f>G55+J55</f>
        <v>0</v>
      </c>
      <c r="L55" s="37">
        <v>0</v>
      </c>
      <c r="M55" s="132">
        <f t="shared" si="2"/>
        <v>4531108.1682000002</v>
      </c>
      <c r="N55" s="41"/>
      <c r="O55">
        <v>1109792.2825999993</v>
      </c>
      <c r="P55" s="167">
        <f>M55-O55</f>
        <v>3421315.8856000006</v>
      </c>
    </row>
    <row r="56" spans="1:16">
      <c r="A56" s="174"/>
      <c r="B56" s="174"/>
      <c r="C56" s="174"/>
      <c r="D56" s="174"/>
      <c r="E56" s="174">
        <f>SUM(E4:E55)</f>
        <v>19809.440000000002</v>
      </c>
      <c r="F56" s="174"/>
      <c r="G56" s="174">
        <f>SUM(G4:G55)</f>
        <v>1971173.4182000002</v>
      </c>
      <c r="H56" s="174">
        <f>SUM(H4:H55)</f>
        <v>150</v>
      </c>
      <c r="I56" s="174"/>
      <c r="J56" s="174">
        <f>SUM(J4:J55)</f>
        <v>16977</v>
      </c>
      <c r="K56" s="174">
        <f>SUM(K4:K55)</f>
        <v>1988150.4182</v>
      </c>
      <c r="L56" s="174">
        <f>SUM(L4:L55)</f>
        <v>4068.6941000000002</v>
      </c>
      <c r="M56" s="174"/>
      <c r="N56" s="174"/>
    </row>
  </sheetData>
  <mergeCells count="2">
    <mergeCell ref="A1:N1"/>
    <mergeCell ref="A3:J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45"/>
  <sheetViews>
    <sheetView tabSelected="1" workbookViewId="0">
      <pane ySplit="2" topLeftCell="A3" activePane="bottomLeft" state="frozen"/>
      <selection pane="bottomLeft" activeCell="M3" sqref="M3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26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9.7109375" bestFit="1" customWidth="1"/>
  </cols>
  <sheetData>
    <row r="1" spans="1:15" ht="15.75" customHeight="1">
      <c r="A1" s="560" t="s">
        <v>129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0"/>
    </row>
    <row r="2" spans="1:15" ht="30">
      <c r="A2" s="51" t="s">
        <v>0</v>
      </c>
      <c r="B2" s="52" t="s">
        <v>163</v>
      </c>
      <c r="C2" s="52" t="s">
        <v>164</v>
      </c>
      <c r="D2" s="52" t="s">
        <v>165</v>
      </c>
      <c r="E2" s="52" t="s">
        <v>166</v>
      </c>
      <c r="F2" s="52" t="s">
        <v>167</v>
      </c>
      <c r="G2" s="52" t="s">
        <v>168</v>
      </c>
      <c r="H2" s="52" t="s">
        <v>169</v>
      </c>
      <c r="I2" s="52" t="s">
        <v>167</v>
      </c>
      <c r="J2" s="53" t="s">
        <v>168</v>
      </c>
      <c r="K2" s="54" t="s">
        <v>170</v>
      </c>
      <c r="L2" s="55" t="s">
        <v>171</v>
      </c>
      <c r="M2" s="112" t="s">
        <v>187</v>
      </c>
      <c r="N2" s="98" t="s">
        <v>173</v>
      </c>
      <c r="O2" s="56"/>
    </row>
    <row r="3" spans="1:15">
      <c r="A3" s="128" t="s">
        <v>174</v>
      </c>
      <c r="B3" s="129"/>
      <c r="C3" s="129"/>
      <c r="D3" s="129"/>
      <c r="E3" s="129"/>
      <c r="F3" s="129"/>
      <c r="G3" s="129"/>
      <c r="H3" s="129"/>
      <c r="I3" s="129"/>
      <c r="J3" s="129"/>
      <c r="K3" s="306">
        <v>631570.80990000116</v>
      </c>
      <c r="L3" s="130"/>
      <c r="M3" s="254">
        <v>631570.80990000116</v>
      </c>
      <c r="N3" s="14"/>
      <c r="O3" s="56"/>
    </row>
    <row r="4" spans="1:15">
      <c r="A4" s="43">
        <v>1</v>
      </c>
      <c r="B4" s="194">
        <v>46204</v>
      </c>
      <c r="C4" s="10"/>
      <c r="D4" s="15"/>
      <c r="E4" s="186"/>
      <c r="F4" s="8"/>
      <c r="G4" s="13">
        <f>E4*F4</f>
        <v>0</v>
      </c>
      <c r="H4" s="7"/>
      <c r="I4" s="7"/>
      <c r="J4" s="18">
        <f>H4*I4</f>
        <v>0</v>
      </c>
      <c r="K4" s="8">
        <f>G4+J4</f>
        <v>0</v>
      </c>
      <c r="L4" s="8"/>
      <c r="M4" s="8">
        <f t="shared" ref="M4:M23" si="0">M3+K4-L4</f>
        <v>631570.80990000116</v>
      </c>
      <c r="N4" s="16"/>
      <c r="O4" s="1"/>
    </row>
    <row r="5" spans="1:15">
      <c r="A5" s="43">
        <v>2</v>
      </c>
      <c r="B5" s="194">
        <v>46205</v>
      </c>
      <c r="C5" s="10"/>
      <c r="D5" s="15"/>
      <c r="E5" s="186"/>
      <c r="F5" s="8"/>
      <c r="G5" s="13">
        <f t="shared" ref="G5:G9" si="1">E5*F5</f>
        <v>0</v>
      </c>
      <c r="H5" s="7"/>
      <c r="I5" s="7"/>
      <c r="J5" s="18">
        <f t="shared" ref="J5" si="2">H5*I5</f>
        <v>0</v>
      </c>
      <c r="K5" s="8">
        <f t="shared" ref="K5:K8" si="3">G5+J5</f>
        <v>0</v>
      </c>
      <c r="L5" s="8"/>
      <c r="M5" s="8">
        <f t="shared" si="0"/>
        <v>631570.80990000116</v>
      </c>
      <c r="N5" s="8"/>
      <c r="O5" s="1"/>
    </row>
    <row r="6" spans="1:15" ht="15.75">
      <c r="A6" s="43">
        <v>3</v>
      </c>
      <c r="B6" s="194">
        <v>46206</v>
      </c>
      <c r="C6" s="10"/>
      <c r="D6" s="467"/>
      <c r="E6" s="186"/>
      <c r="F6" s="8"/>
      <c r="G6" s="13">
        <f t="shared" si="1"/>
        <v>0</v>
      </c>
      <c r="H6" s="7"/>
      <c r="I6" s="7"/>
      <c r="J6" s="18">
        <f>H6*I6</f>
        <v>0</v>
      </c>
      <c r="K6" s="8">
        <f t="shared" si="3"/>
        <v>0</v>
      </c>
      <c r="L6" s="8"/>
      <c r="M6" s="8">
        <f t="shared" si="0"/>
        <v>631570.80990000116</v>
      </c>
      <c r="N6" s="8"/>
      <c r="O6" s="1"/>
    </row>
    <row r="7" spans="1:15" ht="15.75">
      <c r="A7" s="43">
        <v>3</v>
      </c>
      <c r="B7" s="194">
        <v>46207</v>
      </c>
      <c r="C7" s="10"/>
      <c r="D7" s="468"/>
      <c r="E7" s="8"/>
      <c r="F7" s="8"/>
      <c r="G7" s="13">
        <f t="shared" ref="G7" si="4">E7*F7</f>
        <v>0</v>
      </c>
      <c r="H7" s="7"/>
      <c r="I7" s="7"/>
      <c r="J7" s="18">
        <f>H7*I7</f>
        <v>0</v>
      </c>
      <c r="K7" s="8">
        <f t="shared" ref="K7" si="5">G7+J7</f>
        <v>0</v>
      </c>
      <c r="L7" s="8"/>
      <c r="M7" s="8">
        <f t="shared" si="0"/>
        <v>631570.80990000116</v>
      </c>
      <c r="N7" s="8"/>
      <c r="O7" s="1"/>
    </row>
    <row r="8" spans="1:15">
      <c r="A8" s="43">
        <v>4</v>
      </c>
      <c r="B8" s="194">
        <v>46208</v>
      </c>
      <c r="C8" s="10"/>
      <c r="D8" s="15"/>
      <c r="E8" s="8"/>
      <c r="F8" s="8"/>
      <c r="G8" s="13">
        <f t="shared" si="1"/>
        <v>0</v>
      </c>
      <c r="H8" s="7"/>
      <c r="I8" s="7"/>
      <c r="J8" s="18">
        <f>H8*I8</f>
        <v>0</v>
      </c>
      <c r="K8" s="8">
        <f t="shared" si="3"/>
        <v>0</v>
      </c>
      <c r="L8" s="8"/>
      <c r="M8" s="8">
        <f t="shared" si="0"/>
        <v>631570.80990000116</v>
      </c>
      <c r="N8" s="8"/>
      <c r="O8" s="1"/>
    </row>
    <row r="9" spans="1:15">
      <c r="A9" s="43">
        <v>5</v>
      </c>
      <c r="B9" s="194">
        <v>46209</v>
      </c>
      <c r="C9" s="10"/>
      <c r="D9" s="15"/>
      <c r="E9" s="8"/>
      <c r="F9" s="8"/>
      <c r="G9" s="13">
        <f t="shared" si="1"/>
        <v>0</v>
      </c>
      <c r="H9" s="7"/>
      <c r="I9" s="7"/>
      <c r="J9" s="18">
        <v>0</v>
      </c>
      <c r="K9" s="8">
        <f t="shared" ref="K9:K41" si="6">G9+J9</f>
        <v>0</v>
      </c>
      <c r="L9" s="8"/>
      <c r="M9" s="8">
        <f t="shared" si="0"/>
        <v>631570.80990000116</v>
      </c>
      <c r="N9" s="8"/>
      <c r="O9" s="1"/>
    </row>
    <row r="10" spans="1:15">
      <c r="A10" s="43">
        <v>6</v>
      </c>
      <c r="B10" s="194">
        <v>46210</v>
      </c>
      <c r="C10" s="10"/>
      <c r="D10" s="15"/>
      <c r="E10" s="8"/>
      <c r="F10" s="8"/>
      <c r="G10" s="13">
        <f>E10*F10</f>
        <v>0</v>
      </c>
      <c r="H10" s="7"/>
      <c r="I10" s="7"/>
      <c r="J10" s="13">
        <f>H10*I10</f>
        <v>0</v>
      </c>
      <c r="K10" s="8">
        <f t="shared" ref="K10:K40" si="7">G10+J10</f>
        <v>0</v>
      </c>
      <c r="L10" s="8"/>
      <c r="M10" s="8">
        <f t="shared" si="0"/>
        <v>631570.80990000116</v>
      </c>
      <c r="N10" s="8"/>
      <c r="O10" s="1"/>
    </row>
    <row r="11" spans="1:15">
      <c r="A11" s="43">
        <v>7</v>
      </c>
      <c r="B11" s="194">
        <v>46211</v>
      </c>
      <c r="C11" s="10"/>
      <c r="D11" s="15"/>
      <c r="E11" s="8"/>
      <c r="F11" s="8"/>
      <c r="G11" s="13">
        <f>E11*F11</f>
        <v>0</v>
      </c>
      <c r="H11" s="7"/>
      <c r="I11" s="7"/>
      <c r="J11" s="13">
        <f>H11*I11</f>
        <v>0</v>
      </c>
      <c r="K11" s="8">
        <f t="shared" si="7"/>
        <v>0</v>
      </c>
      <c r="L11" s="8"/>
      <c r="M11" s="8">
        <f t="shared" si="0"/>
        <v>631570.80990000116</v>
      </c>
      <c r="N11" s="8"/>
      <c r="O11" s="1"/>
    </row>
    <row r="12" spans="1:15">
      <c r="A12" s="43">
        <v>8</v>
      </c>
      <c r="B12" s="194">
        <v>46212</v>
      </c>
      <c r="C12" s="10"/>
      <c r="D12" s="15"/>
      <c r="E12" s="8"/>
      <c r="F12" s="8"/>
      <c r="G12" s="13">
        <f>E12*F12</f>
        <v>0</v>
      </c>
      <c r="H12" s="7"/>
      <c r="I12" s="7"/>
      <c r="J12" s="13">
        <f>H12*I12</f>
        <v>0</v>
      </c>
      <c r="K12" s="8">
        <f t="shared" si="7"/>
        <v>0</v>
      </c>
      <c r="L12" s="8"/>
      <c r="M12" s="8">
        <f t="shared" si="0"/>
        <v>631570.80990000116</v>
      </c>
      <c r="N12" s="8"/>
      <c r="O12" s="1"/>
    </row>
    <row r="13" spans="1:15">
      <c r="A13" s="43">
        <v>9</v>
      </c>
      <c r="B13" s="194">
        <v>46213</v>
      </c>
      <c r="C13" s="10"/>
      <c r="D13" s="15"/>
      <c r="E13" s="8"/>
      <c r="F13" s="8"/>
      <c r="G13" s="13">
        <v>0</v>
      </c>
      <c r="H13" s="7"/>
      <c r="I13" s="7"/>
      <c r="J13" s="18">
        <v>0</v>
      </c>
      <c r="K13" s="8">
        <f t="shared" si="7"/>
        <v>0</v>
      </c>
      <c r="L13" s="8"/>
      <c r="M13" s="8">
        <f t="shared" si="0"/>
        <v>631570.80990000116</v>
      </c>
      <c r="N13" s="8"/>
      <c r="O13" s="1"/>
    </row>
    <row r="14" spans="1:15">
      <c r="A14" s="43">
        <v>10</v>
      </c>
      <c r="B14" s="194">
        <v>46214</v>
      </c>
      <c r="C14" s="10"/>
      <c r="D14" s="15"/>
      <c r="E14" s="8"/>
      <c r="F14" s="8"/>
      <c r="G14" s="13">
        <f>E14*F14</f>
        <v>0</v>
      </c>
      <c r="H14" s="7"/>
      <c r="I14" s="7"/>
      <c r="J14" s="13">
        <f>H14*I14</f>
        <v>0</v>
      </c>
      <c r="K14" s="8">
        <f t="shared" ref="K14" si="8">G14+J14</f>
        <v>0</v>
      </c>
      <c r="L14" s="8"/>
      <c r="M14" s="8">
        <f t="shared" si="0"/>
        <v>631570.80990000116</v>
      </c>
      <c r="N14" s="8"/>
      <c r="O14" s="1"/>
    </row>
    <row r="15" spans="1:15">
      <c r="A15" s="43">
        <v>11</v>
      </c>
      <c r="B15" s="194">
        <v>46215</v>
      </c>
      <c r="C15" s="10"/>
      <c r="D15" s="15"/>
      <c r="E15" s="8"/>
      <c r="F15" s="8"/>
      <c r="G15" s="13">
        <f>E15*F15</f>
        <v>0</v>
      </c>
      <c r="H15" s="7"/>
      <c r="I15" s="7"/>
      <c r="J15" s="13">
        <f>H15*I15</f>
        <v>0</v>
      </c>
      <c r="K15" s="8">
        <f>G15+J15</f>
        <v>0</v>
      </c>
      <c r="L15" s="8"/>
      <c r="M15" s="8">
        <f t="shared" si="0"/>
        <v>631570.80990000116</v>
      </c>
      <c r="N15" s="186"/>
      <c r="O15" s="1"/>
    </row>
    <row r="16" spans="1:15">
      <c r="A16" s="43">
        <v>12</v>
      </c>
      <c r="B16" s="194">
        <v>46216</v>
      </c>
      <c r="C16" s="10"/>
      <c r="D16" s="15"/>
      <c r="E16" s="8"/>
      <c r="F16" s="8"/>
      <c r="G16" s="13">
        <f t="shared" ref="G16:G17" si="9">E16*F16</f>
        <v>0</v>
      </c>
      <c r="H16" s="7"/>
      <c r="I16" s="7"/>
      <c r="J16" s="13"/>
      <c r="K16" s="8">
        <f t="shared" ref="K16:K18" si="10">G16+J16</f>
        <v>0</v>
      </c>
      <c r="L16" s="8"/>
      <c r="M16" s="8">
        <f t="shared" si="0"/>
        <v>631570.80990000116</v>
      </c>
      <c r="N16" s="186"/>
      <c r="O16" s="1"/>
    </row>
    <row r="17" spans="1:17">
      <c r="A17" s="43">
        <v>13</v>
      </c>
      <c r="B17" s="194">
        <v>46217</v>
      </c>
      <c r="C17" s="10"/>
      <c r="D17" s="15"/>
      <c r="E17" s="8">
        <v>3000</v>
      </c>
      <c r="F17" s="8">
        <v>98.94</v>
      </c>
      <c r="G17" s="13">
        <f t="shared" si="9"/>
        <v>296820</v>
      </c>
      <c r="H17" s="7"/>
      <c r="I17" s="7"/>
      <c r="J17" s="13"/>
      <c r="K17" s="8">
        <f t="shared" si="10"/>
        <v>296820</v>
      </c>
      <c r="L17" s="8"/>
      <c r="M17" s="8">
        <f t="shared" si="0"/>
        <v>928390.80990000116</v>
      </c>
      <c r="N17" s="186"/>
      <c r="O17" s="1"/>
    </row>
    <row r="18" spans="1:17">
      <c r="A18" s="43">
        <v>14</v>
      </c>
      <c r="B18" s="194">
        <v>46218</v>
      </c>
      <c r="C18" s="10"/>
      <c r="D18" s="15"/>
      <c r="E18" s="8"/>
      <c r="F18" s="8"/>
      <c r="G18" s="13">
        <f t="shared" ref="G18:G23" si="11">E18*F18</f>
        <v>0</v>
      </c>
      <c r="H18" s="7"/>
      <c r="I18" s="7"/>
      <c r="J18" s="13">
        <f t="shared" ref="J18:J28" si="12">H18*I18</f>
        <v>0</v>
      </c>
      <c r="K18" s="8">
        <f t="shared" si="10"/>
        <v>0</v>
      </c>
      <c r="L18" s="8"/>
      <c r="M18" s="8">
        <f t="shared" si="0"/>
        <v>928390.80990000116</v>
      </c>
      <c r="N18" s="186"/>
      <c r="O18" s="1"/>
    </row>
    <row r="19" spans="1:17">
      <c r="A19" s="43">
        <v>15</v>
      </c>
      <c r="B19" s="194">
        <v>46219</v>
      </c>
      <c r="C19" s="10"/>
      <c r="D19" s="15"/>
      <c r="E19" s="8"/>
      <c r="F19" s="8"/>
      <c r="G19" s="13">
        <f t="shared" si="11"/>
        <v>0</v>
      </c>
      <c r="H19" s="7"/>
      <c r="I19" s="7"/>
      <c r="J19" s="13">
        <f t="shared" si="12"/>
        <v>0</v>
      </c>
      <c r="K19" s="8">
        <f t="shared" si="7"/>
        <v>0</v>
      </c>
      <c r="L19" s="8"/>
      <c r="M19" s="8">
        <f t="shared" si="0"/>
        <v>928390.80990000116</v>
      </c>
      <c r="N19" s="186"/>
      <c r="O19" s="1"/>
    </row>
    <row r="20" spans="1:17">
      <c r="A20" s="43">
        <v>16</v>
      </c>
      <c r="B20" s="194">
        <v>46220</v>
      </c>
      <c r="C20" s="10"/>
      <c r="D20" s="15"/>
      <c r="E20" s="8"/>
      <c r="F20" s="8"/>
      <c r="G20" s="13">
        <f t="shared" si="11"/>
        <v>0</v>
      </c>
      <c r="H20" s="7"/>
      <c r="I20" s="7"/>
      <c r="J20" s="13">
        <f t="shared" si="12"/>
        <v>0</v>
      </c>
      <c r="K20" s="8">
        <f t="shared" si="7"/>
        <v>0</v>
      </c>
      <c r="L20" s="8"/>
      <c r="M20" s="8">
        <f t="shared" si="0"/>
        <v>928390.80990000116</v>
      </c>
      <c r="N20" s="186"/>
      <c r="O20" s="1"/>
    </row>
    <row r="21" spans="1:17">
      <c r="A21" s="43">
        <v>17</v>
      </c>
      <c r="B21" s="194">
        <v>46221</v>
      </c>
      <c r="C21" s="10"/>
      <c r="D21" s="15"/>
      <c r="E21" s="8"/>
      <c r="F21" s="8"/>
      <c r="G21" s="13">
        <f t="shared" si="11"/>
        <v>0</v>
      </c>
      <c r="H21" s="7"/>
      <c r="I21" s="7"/>
      <c r="J21" s="13">
        <f t="shared" si="12"/>
        <v>0</v>
      </c>
      <c r="K21" s="8">
        <f t="shared" si="7"/>
        <v>0</v>
      </c>
      <c r="L21" s="8"/>
      <c r="M21" s="8">
        <f t="shared" si="0"/>
        <v>928390.80990000116</v>
      </c>
      <c r="N21" s="186"/>
      <c r="O21" s="1"/>
    </row>
    <row r="22" spans="1:17">
      <c r="A22" s="43">
        <v>18</v>
      </c>
      <c r="B22" s="194">
        <v>46222</v>
      </c>
      <c r="C22" s="10"/>
      <c r="D22" s="15"/>
      <c r="E22" s="8"/>
      <c r="F22" s="8"/>
      <c r="G22" s="13">
        <f t="shared" si="11"/>
        <v>0</v>
      </c>
      <c r="H22" s="7"/>
      <c r="I22" s="7"/>
      <c r="J22" s="13">
        <f t="shared" si="12"/>
        <v>0</v>
      </c>
      <c r="K22" s="8">
        <f t="shared" si="7"/>
        <v>0</v>
      </c>
      <c r="L22" s="8"/>
      <c r="M22" s="8">
        <f t="shared" si="0"/>
        <v>928390.80990000116</v>
      </c>
      <c r="N22" s="186"/>
      <c r="O22" s="1"/>
    </row>
    <row r="23" spans="1:17">
      <c r="A23" s="43">
        <v>19</v>
      </c>
      <c r="B23" s="194">
        <v>46223</v>
      </c>
      <c r="C23" s="10"/>
      <c r="D23" s="15"/>
      <c r="E23" s="8"/>
      <c r="F23" s="8"/>
      <c r="G23" s="13">
        <f t="shared" si="11"/>
        <v>0</v>
      </c>
      <c r="H23" s="7"/>
      <c r="I23" s="7"/>
      <c r="J23" s="13">
        <f t="shared" si="12"/>
        <v>0</v>
      </c>
      <c r="K23" s="8">
        <f t="shared" si="7"/>
        <v>0</v>
      </c>
      <c r="L23" s="8"/>
      <c r="M23" s="8">
        <f t="shared" si="0"/>
        <v>928390.80990000116</v>
      </c>
      <c r="N23" s="186"/>
      <c r="O23" s="1"/>
    </row>
    <row r="24" spans="1:17">
      <c r="A24" s="43">
        <v>20</v>
      </c>
      <c r="B24" s="194">
        <v>46224</v>
      </c>
      <c r="C24" s="10"/>
      <c r="D24" s="15"/>
      <c r="E24" s="8"/>
      <c r="F24" s="8"/>
      <c r="G24" s="13"/>
      <c r="H24" s="7"/>
      <c r="I24" s="7"/>
      <c r="J24" s="13">
        <f t="shared" si="12"/>
        <v>0</v>
      </c>
      <c r="K24" s="8">
        <f t="shared" si="7"/>
        <v>0</v>
      </c>
      <c r="L24" s="8"/>
      <c r="M24" s="8">
        <f t="shared" ref="M20:M41" si="13">M23+K24-L24</f>
        <v>928390.80990000116</v>
      </c>
      <c r="N24" s="186"/>
      <c r="O24" s="1"/>
    </row>
    <row r="25" spans="1:17">
      <c r="A25" s="43">
        <v>21</v>
      </c>
      <c r="B25" s="194">
        <v>46225</v>
      </c>
      <c r="C25" s="10"/>
      <c r="D25" s="15"/>
      <c r="E25" s="8"/>
      <c r="F25" s="8"/>
      <c r="G25" s="13">
        <f>E25*F25</f>
        <v>0</v>
      </c>
      <c r="H25" s="7"/>
      <c r="I25" s="7"/>
      <c r="J25" s="13">
        <f t="shared" si="12"/>
        <v>0</v>
      </c>
      <c r="K25" s="8">
        <f t="shared" si="7"/>
        <v>0</v>
      </c>
      <c r="L25" s="8"/>
      <c r="M25" s="8">
        <f t="shared" si="13"/>
        <v>928390.80990000116</v>
      </c>
      <c r="N25" s="186"/>
      <c r="O25" s="1"/>
    </row>
    <row r="26" spans="1:17">
      <c r="A26" s="43">
        <v>22</v>
      </c>
      <c r="B26" s="194">
        <v>46226</v>
      </c>
      <c r="C26" s="10"/>
      <c r="D26" s="15"/>
      <c r="E26" s="8"/>
      <c r="F26" s="8"/>
      <c r="G26" s="13">
        <f t="shared" ref="G26:G28" si="14">E26*F26</f>
        <v>0</v>
      </c>
      <c r="H26" s="7"/>
      <c r="I26" s="7"/>
      <c r="J26" s="13">
        <f t="shared" si="12"/>
        <v>0</v>
      </c>
      <c r="K26" s="8">
        <f t="shared" si="7"/>
        <v>0</v>
      </c>
      <c r="L26" s="8"/>
      <c r="M26" s="8">
        <f t="shared" si="13"/>
        <v>928390.80990000116</v>
      </c>
      <c r="N26" s="186"/>
      <c r="O26" s="1"/>
      <c r="Q26" s="324"/>
    </row>
    <row r="27" spans="1:17">
      <c r="A27" s="43">
        <v>23</v>
      </c>
      <c r="B27" s="194">
        <v>46227</v>
      </c>
      <c r="C27" s="10"/>
      <c r="D27" s="15"/>
      <c r="E27" s="8"/>
      <c r="F27" s="8"/>
      <c r="G27" s="13">
        <f t="shared" si="14"/>
        <v>0</v>
      </c>
      <c r="H27" s="7"/>
      <c r="I27" s="7"/>
      <c r="J27" s="13">
        <f t="shared" si="12"/>
        <v>0</v>
      </c>
      <c r="K27" s="8">
        <f t="shared" si="7"/>
        <v>0</v>
      </c>
      <c r="L27" s="8"/>
      <c r="M27" s="8">
        <f t="shared" si="13"/>
        <v>928390.80990000116</v>
      </c>
      <c r="N27" s="186"/>
      <c r="O27" s="1"/>
    </row>
    <row r="28" spans="1:17">
      <c r="A28" s="43">
        <v>24</v>
      </c>
      <c r="B28" s="194">
        <v>46228</v>
      </c>
      <c r="C28" s="10"/>
      <c r="D28" s="15"/>
      <c r="E28" s="8"/>
      <c r="F28" s="8"/>
      <c r="G28" s="13">
        <f t="shared" si="14"/>
        <v>0</v>
      </c>
      <c r="H28" s="7"/>
      <c r="I28" s="7"/>
      <c r="J28" s="13">
        <f t="shared" si="12"/>
        <v>0</v>
      </c>
      <c r="K28" s="8">
        <f t="shared" si="7"/>
        <v>0</v>
      </c>
      <c r="L28" s="8"/>
      <c r="M28" s="8">
        <f t="shared" si="13"/>
        <v>928390.80990000116</v>
      </c>
      <c r="N28" s="186"/>
      <c r="O28" s="1"/>
    </row>
    <row r="29" spans="1:17">
      <c r="A29" s="43">
        <v>25</v>
      </c>
      <c r="B29" s="194">
        <v>46229</v>
      </c>
      <c r="C29" s="10"/>
      <c r="D29" s="15"/>
      <c r="E29" s="8"/>
      <c r="F29" s="8"/>
      <c r="G29" s="13">
        <f t="shared" ref="G29:G37" si="15">E29*F29</f>
        <v>0</v>
      </c>
      <c r="H29" s="7"/>
      <c r="I29" s="7"/>
      <c r="J29" s="13">
        <f t="shared" ref="J29:J36" si="16">H29*I29</f>
        <v>0</v>
      </c>
      <c r="K29" s="8">
        <f t="shared" ref="K29" si="17">G29+J29</f>
        <v>0</v>
      </c>
      <c r="L29" s="8"/>
      <c r="M29" s="8">
        <f t="shared" si="13"/>
        <v>928390.80990000116</v>
      </c>
      <c r="N29" s="186"/>
      <c r="O29" s="1"/>
    </row>
    <row r="30" spans="1:17">
      <c r="A30" s="43">
        <v>26</v>
      </c>
      <c r="B30" s="194">
        <v>46230</v>
      </c>
      <c r="C30" s="10"/>
      <c r="D30" s="15"/>
      <c r="E30" s="8"/>
      <c r="F30" s="8"/>
      <c r="G30" s="13">
        <f t="shared" si="15"/>
        <v>0</v>
      </c>
      <c r="H30" s="7"/>
      <c r="I30" s="7"/>
      <c r="J30" s="13">
        <f t="shared" si="16"/>
        <v>0</v>
      </c>
      <c r="K30" s="8">
        <f t="shared" si="7"/>
        <v>0</v>
      </c>
      <c r="L30" s="8"/>
      <c r="M30" s="8">
        <f t="shared" si="13"/>
        <v>928390.80990000116</v>
      </c>
      <c r="N30" s="186"/>
      <c r="O30" s="1"/>
    </row>
    <row r="31" spans="1:17">
      <c r="A31" s="43">
        <v>27</v>
      </c>
      <c r="B31" s="194">
        <v>46231</v>
      </c>
      <c r="C31" s="10"/>
      <c r="D31" s="15"/>
      <c r="E31" s="8"/>
      <c r="F31" s="8"/>
      <c r="G31" s="13">
        <f t="shared" si="15"/>
        <v>0</v>
      </c>
      <c r="H31" s="7">
        <v>10</v>
      </c>
      <c r="I31" s="7">
        <v>112.27</v>
      </c>
      <c r="J31" s="13">
        <f t="shared" si="16"/>
        <v>1122.7</v>
      </c>
      <c r="K31" s="8">
        <f t="shared" si="7"/>
        <v>1122.7</v>
      </c>
      <c r="L31" s="8"/>
      <c r="M31" s="8">
        <f t="shared" si="13"/>
        <v>929513.50990000111</v>
      </c>
      <c r="N31" s="186"/>
      <c r="O31" s="1"/>
    </row>
    <row r="32" spans="1:17">
      <c r="A32" s="43">
        <v>28</v>
      </c>
      <c r="B32" s="194">
        <v>46232</v>
      </c>
      <c r="C32" s="10"/>
      <c r="D32" s="15"/>
      <c r="E32" s="8"/>
      <c r="F32" s="8"/>
      <c r="G32" s="13">
        <f t="shared" si="15"/>
        <v>0</v>
      </c>
      <c r="H32" s="7"/>
      <c r="I32" s="7"/>
      <c r="J32" s="13">
        <f t="shared" si="16"/>
        <v>0</v>
      </c>
      <c r="K32" s="8">
        <f t="shared" si="7"/>
        <v>0</v>
      </c>
      <c r="L32" s="8"/>
      <c r="M32" s="8">
        <f t="shared" si="13"/>
        <v>929513.50990000111</v>
      </c>
      <c r="N32" s="186"/>
      <c r="O32" s="1"/>
    </row>
    <row r="33" spans="1:17">
      <c r="A33" s="43">
        <v>29</v>
      </c>
      <c r="B33" s="194">
        <v>46233</v>
      </c>
      <c r="C33" s="10"/>
      <c r="D33" s="15"/>
      <c r="E33" s="8"/>
      <c r="F33" s="8"/>
      <c r="G33" s="13">
        <f t="shared" si="15"/>
        <v>0</v>
      </c>
      <c r="H33" s="7"/>
      <c r="I33" s="7"/>
      <c r="J33" s="13">
        <f t="shared" si="16"/>
        <v>0</v>
      </c>
      <c r="K33" s="8">
        <f t="shared" si="7"/>
        <v>0</v>
      </c>
      <c r="L33" s="8"/>
      <c r="M33" s="8">
        <f t="shared" si="13"/>
        <v>929513.50990000111</v>
      </c>
      <c r="N33" s="186"/>
      <c r="O33" s="1"/>
    </row>
    <row r="34" spans="1:17">
      <c r="A34" s="43">
        <v>30</v>
      </c>
      <c r="B34" s="194">
        <v>46234</v>
      </c>
      <c r="C34" s="10"/>
      <c r="D34" s="15"/>
      <c r="E34" s="8"/>
      <c r="F34" s="315"/>
      <c r="G34" s="13">
        <f t="shared" si="15"/>
        <v>0</v>
      </c>
      <c r="H34" s="7"/>
      <c r="I34" s="7"/>
      <c r="J34" s="13">
        <f t="shared" si="16"/>
        <v>0</v>
      </c>
      <c r="K34" s="8">
        <f t="shared" si="7"/>
        <v>0</v>
      </c>
      <c r="L34" s="8"/>
      <c r="M34" s="8">
        <f t="shared" si="13"/>
        <v>929513.50990000111</v>
      </c>
      <c r="N34" s="186"/>
      <c r="O34" s="1"/>
    </row>
    <row r="35" spans="1:17">
      <c r="A35" s="43">
        <v>31</v>
      </c>
      <c r="B35" s="194"/>
      <c r="C35" s="10"/>
      <c r="D35" s="15"/>
      <c r="E35" s="8"/>
      <c r="F35" s="8"/>
      <c r="G35" s="13">
        <f t="shared" si="15"/>
        <v>0</v>
      </c>
      <c r="H35" s="7"/>
      <c r="I35" s="7"/>
      <c r="J35" s="13">
        <f t="shared" si="16"/>
        <v>0</v>
      </c>
      <c r="K35" s="8">
        <f t="shared" si="7"/>
        <v>0</v>
      </c>
      <c r="L35" s="8"/>
      <c r="M35" s="8">
        <f t="shared" si="13"/>
        <v>929513.50990000111</v>
      </c>
      <c r="N35" s="186"/>
      <c r="O35" s="1"/>
    </row>
    <row r="36" spans="1:17">
      <c r="A36" s="43">
        <v>32</v>
      </c>
      <c r="B36" s="194"/>
      <c r="C36" s="10"/>
      <c r="D36" s="15"/>
      <c r="E36" s="8"/>
      <c r="F36" s="8"/>
      <c r="G36" s="13">
        <f t="shared" si="15"/>
        <v>0</v>
      </c>
      <c r="H36" s="7"/>
      <c r="I36" s="7"/>
      <c r="J36" s="13">
        <f t="shared" si="16"/>
        <v>0</v>
      </c>
      <c r="K36" s="8">
        <f t="shared" si="7"/>
        <v>0</v>
      </c>
      <c r="L36" s="8"/>
      <c r="M36" s="8">
        <f t="shared" si="13"/>
        <v>929513.50990000111</v>
      </c>
      <c r="N36" s="186"/>
      <c r="O36" s="1"/>
    </row>
    <row r="37" spans="1:17">
      <c r="A37" s="43">
        <v>33</v>
      </c>
      <c r="B37" s="194"/>
      <c r="C37" s="10"/>
      <c r="D37" s="15"/>
      <c r="E37" s="8"/>
      <c r="F37" s="315"/>
      <c r="G37" s="13">
        <f t="shared" si="15"/>
        <v>0</v>
      </c>
      <c r="H37" s="7"/>
      <c r="I37" s="7"/>
      <c r="J37" s="18">
        <v>0</v>
      </c>
      <c r="K37" s="8">
        <f t="shared" si="7"/>
        <v>0</v>
      </c>
      <c r="L37" s="8"/>
      <c r="M37" s="8">
        <f t="shared" si="13"/>
        <v>929513.50990000111</v>
      </c>
      <c r="N37" s="186"/>
      <c r="O37" s="1"/>
    </row>
    <row r="38" spans="1:17">
      <c r="A38" s="43">
        <v>34</v>
      </c>
      <c r="B38" s="194"/>
      <c r="C38" s="10"/>
      <c r="D38" s="15"/>
      <c r="E38" s="8"/>
      <c r="F38" s="8"/>
      <c r="G38" s="13">
        <v>0</v>
      </c>
      <c r="H38" s="7"/>
      <c r="I38" s="7"/>
      <c r="J38" s="18">
        <v>0</v>
      </c>
      <c r="K38" s="8">
        <f t="shared" si="7"/>
        <v>0</v>
      </c>
      <c r="L38" s="8"/>
      <c r="M38" s="8">
        <f t="shared" si="13"/>
        <v>929513.50990000111</v>
      </c>
      <c r="N38" s="186"/>
      <c r="O38" s="1"/>
    </row>
    <row r="39" spans="1:17">
      <c r="A39" s="43">
        <v>35</v>
      </c>
      <c r="B39" s="194"/>
      <c r="C39" s="10"/>
      <c r="D39" s="15"/>
      <c r="E39" s="8"/>
      <c r="F39" s="8"/>
      <c r="G39" s="13">
        <f t="shared" ref="G10:G40" si="18">E39*F39</f>
        <v>0</v>
      </c>
      <c r="H39" s="7"/>
      <c r="I39" s="7"/>
      <c r="J39" s="18">
        <f t="shared" ref="J10:J40" si="19">H39*I39</f>
        <v>0</v>
      </c>
      <c r="K39" s="8">
        <f t="shared" si="7"/>
        <v>0</v>
      </c>
      <c r="L39" s="8"/>
      <c r="M39" s="8">
        <f t="shared" si="13"/>
        <v>929513.50990000111</v>
      </c>
      <c r="N39" s="186"/>
      <c r="O39" s="1"/>
    </row>
    <row r="40" spans="1:17">
      <c r="A40" s="43">
        <v>36</v>
      </c>
      <c r="B40" s="194"/>
      <c r="C40" s="241"/>
      <c r="D40" s="242"/>
      <c r="E40" s="8"/>
      <c r="F40" s="8"/>
      <c r="G40" s="13">
        <f t="shared" si="18"/>
        <v>0</v>
      </c>
      <c r="H40" s="7"/>
      <c r="I40" s="7"/>
      <c r="J40" s="18">
        <f t="shared" si="19"/>
        <v>0</v>
      </c>
      <c r="K40" s="8">
        <f t="shared" si="7"/>
        <v>0</v>
      </c>
      <c r="L40" s="8"/>
      <c r="M40" s="8">
        <f t="shared" si="13"/>
        <v>929513.50990000111</v>
      </c>
      <c r="N40" s="186"/>
      <c r="O40" s="1"/>
    </row>
    <row r="41" spans="1:17">
      <c r="A41" s="43">
        <v>37</v>
      </c>
      <c r="B41" s="194"/>
      <c r="C41" s="22"/>
      <c r="D41" s="15"/>
      <c r="E41" s="8">
        <v>0</v>
      </c>
      <c r="F41" s="8">
        <v>0</v>
      </c>
      <c r="G41" s="13">
        <f t="shared" ref="G9:G41" si="20">E41*F41</f>
        <v>0</v>
      </c>
      <c r="H41" s="7"/>
      <c r="I41" s="7"/>
      <c r="J41" s="18">
        <f t="shared" ref="J9:J41" si="21">H41*I41</f>
        <v>0</v>
      </c>
      <c r="K41" s="8">
        <f t="shared" si="6"/>
        <v>0</v>
      </c>
      <c r="L41" s="8"/>
      <c r="M41" s="8">
        <f t="shared" si="13"/>
        <v>929513.50990000111</v>
      </c>
      <c r="N41" s="186"/>
      <c r="O41" s="1"/>
      <c r="Q41" s="290"/>
    </row>
    <row r="42" spans="1:17">
      <c r="A42" s="153"/>
      <c r="B42" s="153"/>
      <c r="C42" s="153"/>
      <c r="D42" s="153"/>
      <c r="E42" s="154">
        <f>SUM(E4:E41)</f>
        <v>3000</v>
      </c>
      <c r="F42" s="154"/>
      <c r="G42" s="154">
        <f>SUM(G4:G41)</f>
        <v>296820</v>
      </c>
      <c r="H42" s="154">
        <f>SUM(H4:H41)</f>
        <v>10</v>
      </c>
      <c r="I42" s="154"/>
      <c r="J42" s="154">
        <f>SUM(J4:J41)</f>
        <v>1122.7</v>
      </c>
      <c r="K42" s="154">
        <f>SUM(K4:K41)</f>
        <v>297942.7</v>
      </c>
      <c r="L42" s="154">
        <f>SUM(L4:L41)</f>
        <v>0</v>
      </c>
      <c r="M42" s="154"/>
      <c r="N42" s="60"/>
      <c r="O42" s="56"/>
    </row>
    <row r="43" spans="1:17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</row>
    <row r="44" spans="1:17">
      <c r="A44" s="1"/>
      <c r="B44" s="580"/>
      <c r="C44" s="580"/>
      <c r="D44" s="580"/>
      <c r="E44" s="580"/>
      <c r="F44" s="1"/>
      <c r="G44" s="1"/>
      <c r="H44" s="1"/>
      <c r="I44" s="580"/>
      <c r="J44" s="580"/>
      <c r="K44" s="580"/>
      <c r="L44" s="580"/>
      <c r="M44" s="580"/>
      <c r="N44" s="580"/>
      <c r="O44" s="4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"/>
    </row>
  </sheetData>
  <mergeCells count="3">
    <mergeCell ref="B44:E44"/>
    <mergeCell ref="I44:N44"/>
    <mergeCell ref="A1:N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81-4949-437A-B00D-681FFAC09D30}">
  <sheetPr>
    <tabColor rgb="FF7030A0"/>
  </sheetPr>
  <dimension ref="A1:O56"/>
  <sheetViews>
    <sheetView topLeftCell="A27" workbookViewId="0">
      <selection activeCell="L34" sqref="L34:M34"/>
    </sheetView>
  </sheetViews>
  <sheetFormatPr defaultRowHeight="15"/>
  <cols>
    <col min="2" max="2" width="10" customWidth="1"/>
    <col min="4" max="4" width="11.85546875" customWidth="1"/>
    <col min="5" max="5" width="10.5703125" customWidth="1"/>
    <col min="7" max="7" width="18.7109375" customWidth="1"/>
    <col min="10" max="10" width="14" customWidth="1"/>
    <col min="11" max="12" width="13.5703125" bestFit="1" customWidth="1"/>
    <col min="13" max="13" width="11.85546875" bestFit="1" customWidth="1"/>
    <col min="14" max="14" width="17.140625" bestFit="1" customWidth="1"/>
    <col min="17" max="17" width="11.28515625" customWidth="1"/>
  </cols>
  <sheetData>
    <row r="1" spans="1:15" ht="15.75">
      <c r="A1" s="550" t="s">
        <v>277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0"/>
    </row>
    <row r="2" spans="1:15" ht="30.75">
      <c r="A2" s="61" t="s">
        <v>0</v>
      </c>
      <c r="B2" s="80" t="s">
        <v>163</v>
      </c>
      <c r="C2" s="80" t="s">
        <v>164</v>
      </c>
      <c r="D2" s="80" t="s">
        <v>165</v>
      </c>
      <c r="E2" s="80" t="s">
        <v>166</v>
      </c>
      <c r="F2" s="80" t="s">
        <v>167</v>
      </c>
      <c r="G2" s="80" t="s">
        <v>168</v>
      </c>
      <c r="H2" s="80" t="s">
        <v>169</v>
      </c>
      <c r="I2" s="80" t="s">
        <v>167</v>
      </c>
      <c r="J2" s="81" t="s">
        <v>168</v>
      </c>
      <c r="K2" s="61" t="s">
        <v>170</v>
      </c>
      <c r="L2" s="82" t="s">
        <v>171</v>
      </c>
      <c r="M2" s="159" t="s">
        <v>187</v>
      </c>
      <c r="N2" s="80" t="s">
        <v>173</v>
      </c>
      <c r="O2" s="56"/>
    </row>
    <row r="3" spans="1:15">
      <c r="A3" s="140"/>
      <c r="B3" s="141"/>
      <c r="C3" s="141"/>
      <c r="D3" s="128" t="s">
        <v>174</v>
      </c>
      <c r="E3" s="141"/>
      <c r="F3" s="141"/>
      <c r="G3" s="141"/>
      <c r="H3" s="141"/>
      <c r="I3" s="141"/>
      <c r="J3" s="142"/>
      <c r="K3" s="255"/>
      <c r="L3" s="224">
        <v>132797.44649999982</v>
      </c>
      <c r="M3" s="224">
        <v>132797.44649999982</v>
      </c>
      <c r="N3" s="141"/>
      <c r="O3" s="56"/>
    </row>
    <row r="4" spans="1:15">
      <c r="A4" s="43">
        <v>1</v>
      </c>
      <c r="B4" s="194">
        <v>46204</v>
      </c>
      <c r="C4" s="22"/>
      <c r="D4" s="22"/>
      <c r="E4" s="8">
        <v>325</v>
      </c>
      <c r="F4" s="8">
        <v>99.3</v>
      </c>
      <c r="G4" s="8">
        <f>E4*F4</f>
        <v>32272.5</v>
      </c>
      <c r="H4" s="9"/>
      <c r="I4" s="9"/>
      <c r="J4" s="8">
        <f>H4*I4</f>
        <v>0</v>
      </c>
      <c r="K4" s="8">
        <f>G4+J4</f>
        <v>32272.5</v>
      </c>
      <c r="L4" s="143"/>
      <c r="M4" s="8">
        <f>M3+K4-L4</f>
        <v>165069.94649999982</v>
      </c>
      <c r="N4" s="41"/>
      <c r="O4" s="1"/>
    </row>
    <row r="5" spans="1:15">
      <c r="A5" s="43">
        <v>2</v>
      </c>
      <c r="B5" s="194">
        <v>46205</v>
      </c>
      <c r="C5" s="22"/>
      <c r="D5" s="22"/>
      <c r="E5" s="8">
        <v>135.01</v>
      </c>
      <c r="F5" s="8">
        <v>99.3</v>
      </c>
      <c r="G5" s="8">
        <f t="shared" ref="G5:G34" si="0">E5*F5</f>
        <v>13406.492999999999</v>
      </c>
      <c r="H5" s="9"/>
      <c r="I5" s="9"/>
      <c r="J5" s="8">
        <f t="shared" ref="J5:J34" si="1">H5*I5</f>
        <v>0</v>
      </c>
      <c r="K5" s="8">
        <f t="shared" ref="K5:K40" si="2">G5+J5</f>
        <v>13406.492999999999</v>
      </c>
      <c r="L5" s="143"/>
      <c r="M5" s="8">
        <f t="shared" ref="M5:M41" si="3">M4+K5-L5</f>
        <v>178476.4394999998</v>
      </c>
      <c r="N5" s="41"/>
      <c r="O5" s="1"/>
    </row>
    <row r="6" spans="1:15">
      <c r="A6" s="43">
        <v>3</v>
      </c>
      <c r="B6" s="194">
        <v>46206</v>
      </c>
      <c r="C6" s="22"/>
      <c r="D6" s="22"/>
      <c r="E6" s="8">
        <v>110.01</v>
      </c>
      <c r="F6" s="8">
        <v>99.3</v>
      </c>
      <c r="G6" s="8">
        <f t="shared" si="0"/>
        <v>10923.993</v>
      </c>
      <c r="H6" s="9">
        <v>7</v>
      </c>
      <c r="I6" s="9">
        <v>111.4</v>
      </c>
      <c r="J6" s="8">
        <f t="shared" si="1"/>
        <v>779.80000000000007</v>
      </c>
      <c r="K6" s="8">
        <f t="shared" si="2"/>
        <v>11703.793</v>
      </c>
      <c r="L6" s="143"/>
      <c r="M6" s="8">
        <f t="shared" si="3"/>
        <v>190180.23249999981</v>
      </c>
      <c r="N6" s="41"/>
      <c r="O6" s="1"/>
    </row>
    <row r="7" spans="1:15">
      <c r="A7" s="43">
        <v>4</v>
      </c>
      <c r="B7" s="194">
        <v>46207</v>
      </c>
      <c r="C7" s="22"/>
      <c r="D7" s="22"/>
      <c r="E7" s="8">
        <v>36.119999999999997</v>
      </c>
      <c r="F7" s="8">
        <v>99.3</v>
      </c>
      <c r="G7" s="8">
        <f t="shared" si="0"/>
        <v>3586.7159999999994</v>
      </c>
      <c r="H7" s="9"/>
      <c r="I7" s="9"/>
      <c r="J7" s="8">
        <f t="shared" si="1"/>
        <v>0</v>
      </c>
      <c r="K7" s="8">
        <f t="shared" si="2"/>
        <v>3586.7159999999994</v>
      </c>
      <c r="L7" s="143"/>
      <c r="M7" s="8">
        <f t="shared" si="3"/>
        <v>193766.94849999979</v>
      </c>
      <c r="N7" s="41"/>
      <c r="O7" s="1"/>
    </row>
    <row r="8" spans="1:15">
      <c r="A8" s="43">
        <v>5</v>
      </c>
      <c r="B8" s="194">
        <v>46208</v>
      </c>
      <c r="C8" s="22"/>
      <c r="D8" s="22"/>
      <c r="E8" s="8"/>
      <c r="F8" s="8"/>
      <c r="G8" s="8">
        <f t="shared" si="0"/>
        <v>0</v>
      </c>
      <c r="H8" s="9"/>
      <c r="I8" s="9"/>
      <c r="J8" s="8">
        <f t="shared" si="1"/>
        <v>0</v>
      </c>
      <c r="K8" s="8">
        <f t="shared" si="2"/>
        <v>0</v>
      </c>
      <c r="L8" s="143"/>
      <c r="M8" s="8">
        <f t="shared" si="3"/>
        <v>193766.94849999979</v>
      </c>
      <c r="N8" s="41"/>
      <c r="O8" s="1"/>
    </row>
    <row r="9" spans="1:15">
      <c r="A9" s="43">
        <v>6</v>
      </c>
      <c r="B9" s="194">
        <v>46209</v>
      </c>
      <c r="C9" s="22"/>
      <c r="D9" s="22"/>
      <c r="E9" s="433">
        <v>46.01</v>
      </c>
      <c r="F9" s="434">
        <v>99.3</v>
      </c>
      <c r="G9" s="8">
        <f t="shared" si="0"/>
        <v>4568.7929999999997</v>
      </c>
      <c r="H9" s="433"/>
      <c r="I9" s="9"/>
      <c r="J9" s="8">
        <f t="shared" si="1"/>
        <v>0</v>
      </c>
      <c r="K9" s="8">
        <f t="shared" si="2"/>
        <v>4568.7929999999997</v>
      </c>
      <c r="L9" s="143"/>
      <c r="M9" s="8">
        <f t="shared" si="3"/>
        <v>198335.7414999998</v>
      </c>
      <c r="N9" s="41"/>
      <c r="O9" s="1"/>
    </row>
    <row r="10" spans="1:15">
      <c r="A10" s="43">
        <v>7</v>
      </c>
      <c r="B10" s="194">
        <v>46210</v>
      </c>
      <c r="C10" s="22"/>
      <c r="D10" s="22"/>
      <c r="E10" s="433">
        <v>211.15</v>
      </c>
      <c r="F10" s="434">
        <v>99.3</v>
      </c>
      <c r="G10" s="8">
        <f t="shared" si="0"/>
        <v>20967.195</v>
      </c>
      <c r="H10" s="433"/>
      <c r="I10" s="9"/>
      <c r="J10" s="8">
        <f t="shared" si="1"/>
        <v>0</v>
      </c>
      <c r="K10" s="8">
        <f t="shared" si="2"/>
        <v>20967.195</v>
      </c>
      <c r="L10" s="143">
        <v>198000</v>
      </c>
      <c r="M10" s="8">
        <f t="shared" si="3"/>
        <v>21302.936499999807</v>
      </c>
      <c r="N10" s="41"/>
      <c r="O10" s="1"/>
    </row>
    <row r="11" spans="1:15">
      <c r="A11" s="43">
        <v>8</v>
      </c>
      <c r="B11" s="194">
        <v>46211</v>
      </c>
      <c r="C11" s="22"/>
      <c r="D11" s="22"/>
      <c r="E11" s="8">
        <v>453.47</v>
      </c>
      <c r="F11" s="8">
        <v>99.3</v>
      </c>
      <c r="G11" s="8">
        <f t="shared" si="0"/>
        <v>45029.571000000004</v>
      </c>
      <c r="H11" s="9"/>
      <c r="I11" s="9"/>
      <c r="J11" s="8">
        <f t="shared" si="1"/>
        <v>0</v>
      </c>
      <c r="K11" s="8">
        <f t="shared" si="2"/>
        <v>45029.571000000004</v>
      </c>
      <c r="L11" s="8"/>
      <c r="M11" s="8">
        <f t="shared" si="3"/>
        <v>66332.507499999803</v>
      </c>
      <c r="N11" s="41"/>
      <c r="O11" s="1"/>
    </row>
    <row r="12" spans="1:15">
      <c r="A12" s="43">
        <v>9</v>
      </c>
      <c r="B12" s="194">
        <v>46212</v>
      </c>
      <c r="C12" s="22"/>
      <c r="D12" s="22"/>
      <c r="E12" s="8">
        <v>48</v>
      </c>
      <c r="F12" s="8">
        <v>99.3</v>
      </c>
      <c r="G12" s="8">
        <f t="shared" si="0"/>
        <v>4766.3999999999996</v>
      </c>
      <c r="H12" s="9">
        <v>8.26</v>
      </c>
      <c r="I12" s="9">
        <v>111.4</v>
      </c>
      <c r="J12" s="8">
        <f t="shared" si="1"/>
        <v>920.16399999999999</v>
      </c>
      <c r="K12" s="8">
        <f t="shared" si="2"/>
        <v>5686.5639999999994</v>
      </c>
      <c r="L12" s="143"/>
      <c r="M12" s="8">
        <f t="shared" si="3"/>
        <v>72019.071499999802</v>
      </c>
      <c r="N12" s="41"/>
      <c r="O12" s="1" t="s">
        <v>278</v>
      </c>
    </row>
    <row r="13" spans="1:15">
      <c r="A13" s="43">
        <v>10</v>
      </c>
      <c r="B13" s="194">
        <v>46213</v>
      </c>
      <c r="C13" s="22"/>
      <c r="D13" s="22"/>
      <c r="E13" s="8">
        <v>151.6</v>
      </c>
      <c r="F13" s="8">
        <v>99.3</v>
      </c>
      <c r="G13" s="8">
        <f t="shared" si="0"/>
        <v>15053.88</v>
      </c>
      <c r="H13" s="9"/>
      <c r="I13" s="9"/>
      <c r="J13" s="8">
        <f t="shared" si="1"/>
        <v>0</v>
      </c>
      <c r="K13" s="8">
        <f t="shared" si="2"/>
        <v>15053.88</v>
      </c>
      <c r="L13" s="143"/>
      <c r="M13" s="8">
        <f t="shared" si="3"/>
        <v>87072.951499999806</v>
      </c>
      <c r="N13" s="41"/>
      <c r="O13" s="1"/>
    </row>
    <row r="14" spans="1:15">
      <c r="A14" s="43">
        <v>11</v>
      </c>
      <c r="B14" s="194">
        <v>46214</v>
      </c>
      <c r="C14" s="22"/>
      <c r="D14" s="22"/>
      <c r="E14" s="8">
        <v>168</v>
      </c>
      <c r="F14" s="8">
        <v>99.3</v>
      </c>
      <c r="G14" s="8">
        <f t="shared" si="0"/>
        <v>16682.399999999998</v>
      </c>
      <c r="H14" s="9">
        <v>6</v>
      </c>
      <c r="I14" s="9">
        <v>111.4</v>
      </c>
      <c r="J14" s="8">
        <f t="shared" si="1"/>
        <v>668.40000000000009</v>
      </c>
      <c r="K14" s="8">
        <f t="shared" si="2"/>
        <v>17350.8</v>
      </c>
      <c r="L14" s="143"/>
      <c r="M14" s="8">
        <f t="shared" si="3"/>
        <v>104423.75149999981</v>
      </c>
      <c r="N14" s="41"/>
      <c r="O14" s="1"/>
    </row>
    <row r="15" spans="1:15">
      <c r="A15" s="43">
        <v>12</v>
      </c>
      <c r="B15" s="194">
        <v>46215</v>
      </c>
      <c r="C15" s="22"/>
      <c r="D15" s="22"/>
      <c r="E15" s="8">
        <v>114</v>
      </c>
      <c r="F15" s="8">
        <v>99.3</v>
      </c>
      <c r="G15" s="8">
        <f t="shared" si="0"/>
        <v>11320.199999999999</v>
      </c>
      <c r="H15" s="9"/>
      <c r="I15" s="9"/>
      <c r="J15" s="8">
        <f t="shared" si="1"/>
        <v>0</v>
      </c>
      <c r="K15" s="8">
        <f t="shared" si="2"/>
        <v>11320.199999999999</v>
      </c>
      <c r="L15" s="143"/>
      <c r="M15" s="8">
        <f t="shared" si="3"/>
        <v>115743.95149999981</v>
      </c>
      <c r="N15" s="41"/>
      <c r="O15" s="1"/>
    </row>
    <row r="16" spans="1:15">
      <c r="A16" s="43">
        <v>13</v>
      </c>
      <c r="B16" s="194">
        <v>46216</v>
      </c>
      <c r="C16" s="22"/>
      <c r="D16" s="22"/>
      <c r="E16" s="8">
        <v>48.02</v>
      </c>
      <c r="F16" s="8">
        <v>99.3</v>
      </c>
      <c r="G16" s="8">
        <f t="shared" si="0"/>
        <v>4768.3860000000004</v>
      </c>
      <c r="H16" s="9">
        <v>19</v>
      </c>
      <c r="I16" s="9">
        <v>111.4</v>
      </c>
      <c r="J16" s="8">
        <f t="shared" si="1"/>
        <v>2116.6</v>
      </c>
      <c r="K16" s="8">
        <f t="shared" si="2"/>
        <v>6884.9860000000008</v>
      </c>
      <c r="L16" s="143"/>
      <c r="M16" s="8">
        <f t="shared" si="3"/>
        <v>122628.93749999981</v>
      </c>
      <c r="N16" s="41"/>
      <c r="O16" s="1"/>
    </row>
    <row r="17" spans="1:15">
      <c r="A17" s="43">
        <v>14</v>
      </c>
      <c r="B17" s="194">
        <v>46217</v>
      </c>
      <c r="C17" s="22"/>
      <c r="D17" s="22"/>
      <c r="E17" s="8">
        <v>388.68</v>
      </c>
      <c r="F17" s="8">
        <v>99.3</v>
      </c>
      <c r="G17" s="8">
        <f t="shared" si="0"/>
        <v>38595.923999999999</v>
      </c>
      <c r="H17" s="9">
        <v>13.35</v>
      </c>
      <c r="I17" s="9">
        <v>111.4</v>
      </c>
      <c r="J17" s="8">
        <f t="shared" si="1"/>
        <v>1487.19</v>
      </c>
      <c r="K17" s="8">
        <f t="shared" si="2"/>
        <v>40083.114000000001</v>
      </c>
      <c r="L17" s="143"/>
      <c r="M17" s="8">
        <f t="shared" si="3"/>
        <v>162712.05149999983</v>
      </c>
      <c r="N17" s="41"/>
      <c r="O17" s="1"/>
    </row>
    <row r="18" spans="1:15">
      <c r="A18" s="43">
        <v>15</v>
      </c>
      <c r="B18" s="194">
        <v>46218</v>
      </c>
      <c r="C18" s="22"/>
      <c r="D18" s="22"/>
      <c r="E18" s="8">
        <v>100</v>
      </c>
      <c r="F18" s="8">
        <v>99.3</v>
      </c>
      <c r="G18" s="8">
        <f t="shared" si="0"/>
        <v>9930</v>
      </c>
      <c r="H18" s="9">
        <v>7.18</v>
      </c>
      <c r="I18" s="9">
        <v>111.4</v>
      </c>
      <c r="J18" s="8">
        <f t="shared" si="1"/>
        <v>799.85199999999998</v>
      </c>
      <c r="K18" s="8">
        <f t="shared" si="2"/>
        <v>10729.852000000001</v>
      </c>
      <c r="L18" s="143"/>
      <c r="M18" s="8">
        <f t="shared" si="3"/>
        <v>173441.90349999984</v>
      </c>
      <c r="N18" s="41"/>
      <c r="O18" s="1"/>
    </row>
    <row r="19" spans="1:15">
      <c r="A19" s="43">
        <v>16</v>
      </c>
      <c r="B19" s="194">
        <v>46219</v>
      </c>
      <c r="C19" s="22"/>
      <c r="D19" s="22"/>
      <c r="E19" s="8">
        <v>30</v>
      </c>
      <c r="F19" s="8">
        <v>99.3</v>
      </c>
      <c r="G19" s="8">
        <f t="shared" si="0"/>
        <v>2979</v>
      </c>
      <c r="H19" s="9"/>
      <c r="I19" s="376"/>
      <c r="J19" s="8">
        <f t="shared" si="1"/>
        <v>0</v>
      </c>
      <c r="K19" s="8">
        <f t="shared" si="2"/>
        <v>2979</v>
      </c>
      <c r="L19" s="143"/>
      <c r="M19" s="8">
        <f t="shared" si="3"/>
        <v>176420.90349999984</v>
      </c>
      <c r="N19" s="41"/>
      <c r="O19" s="1"/>
    </row>
    <row r="20" spans="1:15">
      <c r="A20" s="43">
        <v>17</v>
      </c>
      <c r="B20" s="194">
        <v>46220</v>
      </c>
      <c r="C20" s="22"/>
      <c r="D20" s="22"/>
      <c r="E20" s="8">
        <v>197</v>
      </c>
      <c r="F20" s="8">
        <v>99.3</v>
      </c>
      <c r="G20" s="8">
        <f t="shared" si="0"/>
        <v>19562.099999999999</v>
      </c>
      <c r="H20" s="9"/>
      <c r="I20" s="9"/>
      <c r="J20" s="8">
        <f t="shared" si="1"/>
        <v>0</v>
      </c>
      <c r="K20" s="8">
        <f t="shared" si="2"/>
        <v>19562.099999999999</v>
      </c>
      <c r="L20" s="143"/>
      <c r="M20" s="8">
        <f t="shared" si="3"/>
        <v>195983.00349999985</v>
      </c>
      <c r="N20" s="41"/>
      <c r="O20" s="1"/>
    </row>
    <row r="21" spans="1:15">
      <c r="A21" s="43">
        <v>18</v>
      </c>
      <c r="B21" s="194">
        <v>46221</v>
      </c>
      <c r="C21" s="22"/>
      <c r="D21" s="22"/>
      <c r="E21" s="8">
        <v>42</v>
      </c>
      <c r="F21" s="8">
        <v>99.3</v>
      </c>
      <c r="G21" s="8">
        <f t="shared" si="0"/>
        <v>4170.5999999999995</v>
      </c>
      <c r="H21" s="9"/>
      <c r="I21" s="9"/>
      <c r="J21" s="8">
        <f t="shared" si="1"/>
        <v>0</v>
      </c>
      <c r="K21" s="8">
        <f t="shared" si="2"/>
        <v>4170.5999999999995</v>
      </c>
      <c r="L21" s="143"/>
      <c r="M21" s="8">
        <f t="shared" si="3"/>
        <v>200153.60349999985</v>
      </c>
      <c r="N21" s="41"/>
      <c r="O21" s="1"/>
    </row>
    <row r="22" spans="1:15">
      <c r="A22" s="43">
        <v>19</v>
      </c>
      <c r="B22" s="194">
        <v>46222</v>
      </c>
      <c r="C22" s="22"/>
      <c r="D22" s="22"/>
      <c r="E22" s="8"/>
      <c r="F22" s="8"/>
      <c r="G22" s="8">
        <f t="shared" si="0"/>
        <v>0</v>
      </c>
      <c r="H22" s="9"/>
      <c r="I22" s="9"/>
      <c r="J22" s="8">
        <f t="shared" si="1"/>
        <v>0</v>
      </c>
      <c r="K22" s="8">
        <f t="shared" si="2"/>
        <v>0</v>
      </c>
      <c r="L22" s="143"/>
      <c r="M22" s="8">
        <f t="shared" si="3"/>
        <v>200153.60349999985</v>
      </c>
      <c r="N22" s="41"/>
      <c r="O22" s="1"/>
    </row>
    <row r="23" spans="1:15">
      <c r="A23" s="43"/>
      <c r="B23" s="194">
        <v>46223</v>
      </c>
      <c r="C23" s="22"/>
      <c r="D23" s="22"/>
      <c r="E23" s="8">
        <v>100</v>
      </c>
      <c r="F23" s="8">
        <v>99.3</v>
      </c>
      <c r="G23" s="8">
        <f t="shared" si="0"/>
        <v>9930</v>
      </c>
      <c r="H23" s="9">
        <v>7</v>
      </c>
      <c r="I23" s="9">
        <v>111.4</v>
      </c>
      <c r="J23" s="8">
        <f t="shared" si="1"/>
        <v>779.80000000000007</v>
      </c>
      <c r="K23" s="8">
        <f t="shared" si="2"/>
        <v>10709.8</v>
      </c>
      <c r="L23" s="8"/>
      <c r="M23" s="8">
        <f t="shared" si="3"/>
        <v>210863.40349999984</v>
      </c>
      <c r="N23" s="41"/>
      <c r="O23" s="1"/>
    </row>
    <row r="24" spans="1:15">
      <c r="A24" s="43">
        <v>20</v>
      </c>
      <c r="B24" s="194">
        <v>46224</v>
      </c>
      <c r="C24" s="22"/>
      <c r="D24" s="22"/>
      <c r="E24" s="8">
        <v>198</v>
      </c>
      <c r="F24" s="8">
        <v>99.3</v>
      </c>
      <c r="G24" s="8">
        <f t="shared" si="0"/>
        <v>19661.399999999998</v>
      </c>
      <c r="H24" s="9"/>
      <c r="I24" s="9"/>
      <c r="J24" s="8">
        <f t="shared" si="1"/>
        <v>0</v>
      </c>
      <c r="K24" s="8">
        <f t="shared" si="2"/>
        <v>19661.399999999998</v>
      </c>
      <c r="L24" s="143"/>
      <c r="M24" s="8">
        <f t="shared" si="3"/>
        <v>230524.80349999983</v>
      </c>
      <c r="N24" s="41"/>
      <c r="O24" s="1"/>
    </row>
    <row r="25" spans="1:15">
      <c r="A25" s="43">
        <v>21</v>
      </c>
      <c r="B25" s="194">
        <v>46225</v>
      </c>
      <c r="C25" s="22"/>
      <c r="D25" s="22"/>
      <c r="E25" s="8">
        <v>30.34</v>
      </c>
      <c r="F25" s="8">
        <v>98.88</v>
      </c>
      <c r="G25" s="8">
        <f t="shared" si="0"/>
        <v>3000.0191999999997</v>
      </c>
      <c r="H25" s="9"/>
      <c r="I25" s="9"/>
      <c r="J25" s="8">
        <f t="shared" si="1"/>
        <v>0</v>
      </c>
      <c r="K25" s="8">
        <f t="shared" si="2"/>
        <v>3000.0191999999997</v>
      </c>
      <c r="L25" s="143">
        <v>3000.0191999999997</v>
      </c>
      <c r="M25" s="8">
        <f t="shared" si="3"/>
        <v>230524.80349999983</v>
      </c>
      <c r="N25" s="41" t="s">
        <v>279</v>
      </c>
      <c r="O25" s="1"/>
    </row>
    <row r="26" spans="1:15">
      <c r="A26" s="43">
        <v>22</v>
      </c>
      <c r="B26" s="194">
        <v>46226</v>
      </c>
      <c r="C26" s="22"/>
      <c r="D26" s="22"/>
      <c r="E26" s="8">
        <v>70</v>
      </c>
      <c r="F26" s="8">
        <v>99.3</v>
      </c>
      <c r="G26" s="8">
        <f t="shared" si="0"/>
        <v>6951</v>
      </c>
      <c r="H26" s="9">
        <v>12</v>
      </c>
      <c r="I26" s="9">
        <v>111.4</v>
      </c>
      <c r="J26" s="8">
        <f t="shared" si="1"/>
        <v>1336.8000000000002</v>
      </c>
      <c r="K26" s="8">
        <f t="shared" si="2"/>
        <v>8287.7999999999993</v>
      </c>
      <c r="L26" s="143"/>
      <c r="M26" s="8">
        <f>M25+K26-L26</f>
        <v>238812.60349999982</v>
      </c>
      <c r="N26" s="41"/>
      <c r="O26" s="1"/>
    </row>
    <row r="27" spans="1:15">
      <c r="A27" s="43">
        <v>23</v>
      </c>
      <c r="B27" s="194">
        <v>46227</v>
      </c>
      <c r="C27" s="22"/>
      <c r="D27" s="22"/>
      <c r="E27" s="8">
        <v>38.840000000000003</v>
      </c>
      <c r="F27" s="8">
        <v>99.3</v>
      </c>
      <c r="G27" s="8">
        <f t="shared" si="0"/>
        <v>3856.8120000000004</v>
      </c>
      <c r="H27" s="9">
        <v>5</v>
      </c>
      <c r="I27" s="9">
        <v>111.4</v>
      </c>
      <c r="J27" s="8">
        <f t="shared" si="1"/>
        <v>557</v>
      </c>
      <c r="K27" s="8">
        <f t="shared" si="2"/>
        <v>4413.8119999999999</v>
      </c>
      <c r="L27" s="143"/>
      <c r="M27" s="8">
        <f t="shared" si="3"/>
        <v>243226.41549999983</v>
      </c>
      <c r="N27" s="41"/>
      <c r="O27" s="1"/>
    </row>
    <row r="28" spans="1:15">
      <c r="A28" s="43">
        <v>24</v>
      </c>
      <c r="B28" s="194">
        <v>46228</v>
      </c>
      <c r="C28" s="22"/>
      <c r="D28" s="22"/>
      <c r="E28" s="8">
        <v>45</v>
      </c>
      <c r="F28" s="8">
        <v>99.3</v>
      </c>
      <c r="G28" s="8">
        <f t="shared" si="0"/>
        <v>4468.5</v>
      </c>
      <c r="H28" s="9"/>
      <c r="I28" s="9"/>
      <c r="J28" s="8">
        <f t="shared" si="1"/>
        <v>0</v>
      </c>
      <c r="K28" s="8">
        <f t="shared" si="2"/>
        <v>4468.5</v>
      </c>
      <c r="L28" s="143"/>
      <c r="M28" s="8">
        <f t="shared" si="3"/>
        <v>247694.91549999983</v>
      </c>
      <c r="N28" s="41"/>
      <c r="O28" s="1"/>
    </row>
    <row r="29" spans="1:15">
      <c r="A29" s="43">
        <v>25</v>
      </c>
      <c r="B29" s="194">
        <v>46229</v>
      </c>
      <c r="C29" s="22"/>
      <c r="D29" s="22"/>
      <c r="E29" s="8"/>
      <c r="F29" s="8"/>
      <c r="G29" s="8">
        <f t="shared" si="0"/>
        <v>0</v>
      </c>
      <c r="H29" s="9"/>
      <c r="I29" s="9"/>
      <c r="J29" s="8">
        <f t="shared" si="1"/>
        <v>0</v>
      </c>
      <c r="K29" s="8">
        <f t="shared" si="2"/>
        <v>0</v>
      </c>
      <c r="L29" s="143"/>
      <c r="M29" s="8">
        <f t="shared" si="3"/>
        <v>247694.91549999983</v>
      </c>
      <c r="N29" s="41"/>
      <c r="O29" s="1"/>
    </row>
    <row r="30" spans="1:15">
      <c r="A30" s="43">
        <v>26</v>
      </c>
      <c r="B30" s="194">
        <v>46230</v>
      </c>
      <c r="C30" s="22"/>
      <c r="D30" s="22"/>
      <c r="E30" s="8">
        <v>43.02</v>
      </c>
      <c r="F30" s="8">
        <v>99.3</v>
      </c>
      <c r="G30" s="8">
        <f t="shared" si="0"/>
        <v>4271.8860000000004</v>
      </c>
      <c r="H30" s="9"/>
      <c r="I30" s="9"/>
      <c r="J30" s="8">
        <f t="shared" si="1"/>
        <v>0</v>
      </c>
      <c r="K30" s="8">
        <f t="shared" si="2"/>
        <v>4271.8860000000004</v>
      </c>
      <c r="L30" s="143"/>
      <c r="M30" s="8">
        <f t="shared" si="3"/>
        <v>251966.80149999983</v>
      </c>
      <c r="N30" s="41"/>
      <c r="O30" s="1"/>
    </row>
    <row r="31" spans="1:15">
      <c r="A31" s="43">
        <v>27</v>
      </c>
      <c r="B31" s="194">
        <v>46231</v>
      </c>
      <c r="C31" s="22"/>
      <c r="D31" s="22"/>
      <c r="E31" s="8">
        <v>354</v>
      </c>
      <c r="F31" s="8">
        <v>99.3</v>
      </c>
      <c r="G31" s="8">
        <f t="shared" si="0"/>
        <v>35152.199999999997</v>
      </c>
      <c r="H31" s="9">
        <v>7</v>
      </c>
      <c r="I31" s="9">
        <v>111.4</v>
      </c>
      <c r="J31" s="8">
        <f t="shared" si="1"/>
        <v>779.80000000000007</v>
      </c>
      <c r="K31" s="8">
        <f t="shared" si="2"/>
        <v>35932</v>
      </c>
      <c r="L31" s="143"/>
      <c r="M31" s="8">
        <f t="shared" si="3"/>
        <v>287898.80149999983</v>
      </c>
      <c r="N31" s="41"/>
      <c r="O31" s="1"/>
    </row>
    <row r="32" spans="1:15">
      <c r="A32" s="43">
        <v>28</v>
      </c>
      <c r="B32" s="194">
        <v>46232</v>
      </c>
      <c r="C32" s="22"/>
      <c r="D32" s="22"/>
      <c r="E32" s="8">
        <v>47.2</v>
      </c>
      <c r="F32" s="8">
        <v>99.3</v>
      </c>
      <c r="G32" s="8">
        <f t="shared" si="0"/>
        <v>4686.96</v>
      </c>
      <c r="H32" s="9"/>
      <c r="I32" s="9"/>
      <c r="J32" s="8">
        <f t="shared" si="1"/>
        <v>0</v>
      </c>
      <c r="K32" s="8">
        <f t="shared" si="2"/>
        <v>4686.96</v>
      </c>
      <c r="L32" s="143"/>
      <c r="M32" s="8">
        <f t="shared" si="3"/>
        <v>292585.76149999985</v>
      </c>
      <c r="N32" s="41"/>
      <c r="O32" s="1"/>
    </row>
    <row r="33" spans="1:15">
      <c r="A33" s="43">
        <v>29</v>
      </c>
      <c r="B33" s="194">
        <v>46233</v>
      </c>
      <c r="C33" s="22"/>
      <c r="D33" s="22"/>
      <c r="E33" s="8">
        <v>35</v>
      </c>
      <c r="F33" s="8">
        <v>99.3</v>
      </c>
      <c r="G33" s="8">
        <f t="shared" si="0"/>
        <v>3475.5</v>
      </c>
      <c r="H33" s="9">
        <v>15</v>
      </c>
      <c r="I33" s="9">
        <v>111.4</v>
      </c>
      <c r="J33" s="8">
        <f t="shared" si="1"/>
        <v>1671</v>
      </c>
      <c r="K33" s="8">
        <f t="shared" si="2"/>
        <v>5146.5</v>
      </c>
      <c r="L33" s="143"/>
      <c r="M33" s="8">
        <f t="shared" si="3"/>
        <v>297732.26149999985</v>
      </c>
      <c r="N33" s="41"/>
      <c r="O33" s="1"/>
    </row>
    <row r="34" spans="1:15">
      <c r="A34" s="43">
        <v>30</v>
      </c>
      <c r="B34" s="194">
        <v>46234</v>
      </c>
      <c r="C34" s="22"/>
      <c r="D34" s="22"/>
      <c r="E34" s="8">
        <v>206.68</v>
      </c>
      <c r="F34" s="8">
        <v>99.3</v>
      </c>
      <c r="G34" s="8">
        <f t="shared" si="0"/>
        <v>20523.324000000001</v>
      </c>
      <c r="H34" s="9">
        <v>7</v>
      </c>
      <c r="I34" s="9">
        <v>111.4</v>
      </c>
      <c r="J34" s="8">
        <f t="shared" si="1"/>
        <v>779.80000000000007</v>
      </c>
      <c r="K34" s="8">
        <f t="shared" si="2"/>
        <v>21303.124</v>
      </c>
      <c r="L34" s="143">
        <v>200000</v>
      </c>
      <c r="M34" s="8">
        <f t="shared" si="3"/>
        <v>119035.38549999986</v>
      </c>
      <c r="N34" s="41"/>
      <c r="O34" s="1"/>
    </row>
    <row r="35" spans="1:15">
      <c r="A35" s="43">
        <v>31</v>
      </c>
      <c r="B35" s="194"/>
      <c r="C35" s="22"/>
      <c r="D35" s="22"/>
      <c r="E35" s="8"/>
      <c r="F35" s="8"/>
      <c r="G35" s="8">
        <f t="shared" ref="G35:G40" si="4">E35*F35</f>
        <v>0</v>
      </c>
      <c r="H35" s="9"/>
      <c r="I35" s="9"/>
      <c r="J35" s="8">
        <f t="shared" ref="J35:J40" si="5">H35*I35</f>
        <v>0</v>
      </c>
      <c r="K35" s="8">
        <f t="shared" si="2"/>
        <v>0</v>
      </c>
      <c r="L35" s="143"/>
      <c r="M35" s="8">
        <f t="shared" si="3"/>
        <v>119035.38549999986</v>
      </c>
      <c r="N35" s="41"/>
      <c r="O35" s="1"/>
    </row>
    <row r="36" spans="1:15">
      <c r="A36" s="43">
        <v>32</v>
      </c>
      <c r="B36" s="194"/>
      <c r="C36" s="22"/>
      <c r="D36" s="22"/>
      <c r="E36" s="8"/>
      <c r="F36" s="8"/>
      <c r="G36" s="8">
        <f t="shared" si="4"/>
        <v>0</v>
      </c>
      <c r="H36" s="9"/>
      <c r="I36" s="9"/>
      <c r="J36" s="8">
        <f t="shared" si="5"/>
        <v>0</v>
      </c>
      <c r="K36" s="8">
        <f t="shared" si="2"/>
        <v>0</v>
      </c>
      <c r="L36" s="143"/>
      <c r="M36" s="8">
        <f t="shared" si="3"/>
        <v>119035.38549999986</v>
      </c>
      <c r="N36" s="41"/>
      <c r="O36" s="1"/>
    </row>
    <row r="37" spans="1:15">
      <c r="A37" s="43">
        <v>33</v>
      </c>
      <c r="B37" s="194"/>
      <c r="C37" s="22"/>
      <c r="D37" s="22"/>
      <c r="E37" s="8"/>
      <c r="F37" s="8"/>
      <c r="G37" s="8">
        <f t="shared" si="4"/>
        <v>0</v>
      </c>
      <c r="H37" s="9"/>
      <c r="I37" s="9"/>
      <c r="J37" s="8">
        <f t="shared" si="5"/>
        <v>0</v>
      </c>
      <c r="K37" s="8">
        <f t="shared" si="2"/>
        <v>0</v>
      </c>
      <c r="L37" s="143"/>
      <c r="M37" s="8">
        <f t="shared" si="3"/>
        <v>119035.38549999986</v>
      </c>
      <c r="N37" s="41"/>
      <c r="O37" s="1"/>
    </row>
    <row r="38" spans="1:15">
      <c r="A38" s="43">
        <v>34</v>
      </c>
      <c r="B38" s="194"/>
      <c r="C38" s="22"/>
      <c r="D38" s="22"/>
      <c r="E38" s="8"/>
      <c r="F38" s="8"/>
      <c r="G38" s="8">
        <f t="shared" si="4"/>
        <v>0</v>
      </c>
      <c r="H38" s="9"/>
      <c r="I38" s="9"/>
      <c r="J38" s="8">
        <f t="shared" si="5"/>
        <v>0</v>
      </c>
      <c r="K38" s="8">
        <f t="shared" si="2"/>
        <v>0</v>
      </c>
      <c r="L38" s="143"/>
      <c r="M38" s="8">
        <f t="shared" si="3"/>
        <v>119035.38549999986</v>
      </c>
      <c r="N38" s="41"/>
      <c r="O38" s="1"/>
    </row>
    <row r="39" spans="1:15">
      <c r="A39" s="43">
        <v>35</v>
      </c>
      <c r="B39" s="194"/>
      <c r="C39" s="22"/>
      <c r="D39" s="22"/>
      <c r="E39" s="8"/>
      <c r="F39" s="8"/>
      <c r="G39" s="8">
        <f t="shared" si="4"/>
        <v>0</v>
      </c>
      <c r="H39" s="9"/>
      <c r="I39" s="9"/>
      <c r="J39" s="8">
        <f t="shared" si="5"/>
        <v>0</v>
      </c>
      <c r="K39" s="8">
        <f t="shared" si="2"/>
        <v>0</v>
      </c>
      <c r="L39" s="143"/>
      <c r="M39" s="8">
        <f t="shared" si="3"/>
        <v>119035.38549999986</v>
      </c>
      <c r="N39" s="41"/>
      <c r="O39" s="1"/>
    </row>
    <row r="40" spans="1:15">
      <c r="A40" s="43">
        <v>36</v>
      </c>
      <c r="B40" s="194"/>
      <c r="C40" s="22"/>
      <c r="D40" s="22"/>
      <c r="E40" s="8"/>
      <c r="F40" s="8"/>
      <c r="G40" s="8">
        <f t="shared" si="4"/>
        <v>0</v>
      </c>
      <c r="H40" s="9"/>
      <c r="I40" s="9"/>
      <c r="J40" s="8">
        <f t="shared" si="5"/>
        <v>0</v>
      </c>
      <c r="K40" s="8">
        <f t="shared" si="2"/>
        <v>0</v>
      </c>
      <c r="L40" s="143">
        <v>0</v>
      </c>
      <c r="M40" s="8">
        <f t="shared" si="3"/>
        <v>119035.38549999986</v>
      </c>
      <c r="N40" s="41"/>
      <c r="O40" s="1"/>
    </row>
    <row r="41" spans="1:15">
      <c r="A41" s="43">
        <v>37</v>
      </c>
      <c r="B41" s="194"/>
      <c r="C41" s="22"/>
      <c r="D41" s="22"/>
      <c r="E41" s="8"/>
      <c r="F41" s="8"/>
      <c r="G41" s="8"/>
      <c r="H41" s="9">
        <v>0</v>
      </c>
      <c r="I41" s="9">
        <v>0</v>
      </c>
      <c r="J41" s="8"/>
      <c r="K41" s="8"/>
      <c r="L41" s="143"/>
      <c r="M41" s="8">
        <f t="shared" si="3"/>
        <v>119035.38549999986</v>
      </c>
      <c r="N41" s="41"/>
      <c r="O41" s="1"/>
    </row>
    <row r="42" spans="1:15">
      <c r="A42" s="59"/>
      <c r="B42" s="59"/>
      <c r="C42" s="59"/>
      <c r="D42" s="59"/>
      <c r="E42" s="60">
        <f>SUM(E4:E40)</f>
        <v>3772.1499999999996</v>
      </c>
      <c r="F42" s="60"/>
      <c r="G42" s="60">
        <f>SUM(G4:G40)</f>
        <v>374561.75220000005</v>
      </c>
      <c r="H42" s="60">
        <f>SUM(H4:H40)</f>
        <v>113.78999999999999</v>
      </c>
      <c r="I42" s="60"/>
      <c r="J42" s="60">
        <f>SUM(J4:J40)</f>
        <v>12676.205999999998</v>
      </c>
      <c r="K42" s="60">
        <f>SUM(K4:K40)</f>
        <v>387237.95819999999</v>
      </c>
      <c r="L42" s="60">
        <f>SUM(L4:L40)</f>
        <v>401000.01919999998</v>
      </c>
      <c r="M42" s="60"/>
      <c r="N42" s="60"/>
      <c r="O42" s="56"/>
    </row>
    <row r="43" spans="1:15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</row>
    <row r="44" spans="1:15">
      <c r="A44" s="1"/>
      <c r="B44" s="1"/>
      <c r="C44" s="1"/>
      <c r="D44" s="1"/>
      <c r="E44" s="1"/>
      <c r="F44" s="1"/>
      <c r="G44" s="3"/>
      <c r="H44" s="1"/>
      <c r="I44" s="1"/>
      <c r="J44" s="1"/>
      <c r="K44" s="1"/>
      <c r="L44" s="8"/>
      <c r="M44" s="1"/>
      <c r="N44" s="1"/>
      <c r="O44" s="4"/>
    </row>
    <row r="45" spans="1:15">
      <c r="A45" s="1"/>
      <c r="B45" s="580"/>
      <c r="C45" s="580"/>
      <c r="D45" s="580"/>
      <c r="E45" s="580"/>
      <c r="F45" s="1"/>
      <c r="G45" s="1"/>
      <c r="H45" s="1"/>
      <c r="I45" s="581">
        <f>K29+L29</f>
        <v>0</v>
      </c>
      <c r="J45" s="580"/>
      <c r="K45" s="580"/>
      <c r="L45" s="580"/>
      <c r="M45" s="580"/>
      <c r="N45" s="580"/>
      <c r="O45" s="4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</sheetData>
  <mergeCells count="3">
    <mergeCell ref="A1:N1"/>
    <mergeCell ref="B45:E45"/>
    <mergeCell ref="I45:N4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35C-CCFB-4420-8E82-7D2A8627C32F}">
  <sheetPr>
    <tabColor rgb="FF7030A0"/>
  </sheetPr>
  <dimension ref="A1:O48"/>
  <sheetViews>
    <sheetView workbookViewId="0">
      <selection activeCell="U26" sqref="U26:U27"/>
    </sheetView>
  </sheetViews>
  <sheetFormatPr defaultRowHeight="15"/>
  <cols>
    <col min="2" max="2" width="14.5703125" customWidth="1"/>
    <col min="4" max="4" width="11.140625" customWidth="1"/>
    <col min="7" max="7" width="11.85546875" bestFit="1" customWidth="1"/>
    <col min="10" max="10" width="17.42578125" customWidth="1"/>
    <col min="11" max="11" width="13.5703125" bestFit="1" customWidth="1"/>
    <col min="12" max="13" width="11.85546875" bestFit="1" customWidth="1"/>
    <col min="15" max="15" width="13.7109375" customWidth="1"/>
    <col min="16" max="16" width="14" customWidth="1"/>
  </cols>
  <sheetData>
    <row r="1" spans="1:15" ht="15.75">
      <c r="A1" s="550" t="s">
        <v>133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0"/>
    </row>
    <row r="2" spans="1:15" ht="30.75">
      <c r="A2" s="61" t="s">
        <v>0</v>
      </c>
      <c r="B2" s="80" t="s">
        <v>163</v>
      </c>
      <c r="C2" s="80" t="s">
        <v>164</v>
      </c>
      <c r="D2" s="80" t="s">
        <v>165</v>
      </c>
      <c r="E2" s="80" t="s">
        <v>166</v>
      </c>
      <c r="F2" s="80" t="s">
        <v>167</v>
      </c>
      <c r="G2" s="80" t="s">
        <v>168</v>
      </c>
      <c r="H2" s="80" t="s">
        <v>169</v>
      </c>
      <c r="I2" s="80" t="s">
        <v>167</v>
      </c>
      <c r="J2" s="81" t="s">
        <v>168</v>
      </c>
      <c r="K2" s="61" t="s">
        <v>170</v>
      </c>
      <c r="L2" s="82" t="s">
        <v>171</v>
      </c>
      <c r="M2" s="159" t="s">
        <v>187</v>
      </c>
      <c r="N2" s="80" t="s">
        <v>173</v>
      </c>
      <c r="O2" s="56"/>
    </row>
    <row r="3" spans="1:15">
      <c r="A3" s="140"/>
      <c r="B3" s="141"/>
      <c r="C3" s="141"/>
      <c r="D3" s="128" t="s">
        <v>174</v>
      </c>
      <c r="E3" s="141"/>
      <c r="F3" s="141"/>
      <c r="G3" s="141"/>
      <c r="H3" s="141"/>
      <c r="I3" s="141"/>
      <c r="J3" s="142"/>
      <c r="K3">
        <v>92031.493800000171</v>
      </c>
      <c r="L3" s="143">
        <v>0</v>
      </c>
      <c r="M3">
        <v>92031.493800000171</v>
      </c>
      <c r="N3" s="141"/>
      <c r="O3" s="56"/>
    </row>
    <row r="4" spans="1:15">
      <c r="A4" s="43">
        <v>1</v>
      </c>
      <c r="B4" s="194">
        <v>46204</v>
      </c>
      <c r="C4" s="22"/>
      <c r="D4" s="22"/>
      <c r="E4" s="258">
        <v>70</v>
      </c>
      <c r="F4" s="258">
        <v>99.6</v>
      </c>
      <c r="G4" s="8">
        <f>E4*F4</f>
        <v>6972</v>
      </c>
      <c r="H4" s="9"/>
      <c r="I4" s="387"/>
      <c r="J4" s="8">
        <f>H4*I4</f>
        <v>0</v>
      </c>
      <c r="K4" s="8">
        <f>G4+J4</f>
        <v>6972</v>
      </c>
      <c r="L4" s="143"/>
      <c r="M4" s="8">
        <f>M3+K4-L4</f>
        <v>99003.493800000171</v>
      </c>
      <c r="N4" s="41"/>
      <c r="O4" s="1"/>
    </row>
    <row r="5" spans="1:15">
      <c r="A5" s="43">
        <v>2</v>
      </c>
      <c r="B5" s="194">
        <v>46205</v>
      </c>
      <c r="C5" s="22"/>
      <c r="D5" s="22"/>
      <c r="E5" s="258">
        <v>200</v>
      </c>
      <c r="F5" s="8">
        <v>99.6</v>
      </c>
      <c r="G5" s="8">
        <f t="shared" ref="G5:G6" si="0">E5*F5</f>
        <v>19920</v>
      </c>
      <c r="H5" s="9">
        <v>15</v>
      </c>
      <c r="I5" s="387">
        <v>111.71</v>
      </c>
      <c r="J5" s="8">
        <f>H5*I5</f>
        <v>1675.6499999999999</v>
      </c>
      <c r="K5" s="8">
        <f t="shared" ref="K5:K34" si="1">G5+J5</f>
        <v>21595.65</v>
      </c>
      <c r="L5" s="143"/>
      <c r="M5" s="8">
        <f t="shared" ref="M5:M34" si="2">M4+K5-L5</f>
        <v>120599.14380000017</v>
      </c>
      <c r="N5" s="41"/>
      <c r="O5" s="1"/>
    </row>
    <row r="6" spans="1:15">
      <c r="A6" s="43">
        <v>3</v>
      </c>
      <c r="B6" s="194">
        <v>46206</v>
      </c>
      <c r="C6" s="22"/>
      <c r="D6" s="22"/>
      <c r="E6" s="258">
        <v>353.35</v>
      </c>
      <c r="F6" s="8">
        <v>99.6</v>
      </c>
      <c r="G6" s="8">
        <f t="shared" si="0"/>
        <v>35193.660000000003</v>
      </c>
      <c r="H6" s="9">
        <v>5</v>
      </c>
      <c r="I6" s="387">
        <v>111.71</v>
      </c>
      <c r="J6" s="8">
        <f t="shared" ref="J6:J34" si="3">H6*I6</f>
        <v>558.54999999999995</v>
      </c>
      <c r="K6" s="8">
        <f t="shared" si="1"/>
        <v>35752.210000000006</v>
      </c>
      <c r="L6" s="143"/>
      <c r="M6" s="8">
        <f t="shared" si="2"/>
        <v>156351.35380000016</v>
      </c>
      <c r="N6" s="41"/>
      <c r="O6" s="1"/>
    </row>
    <row r="7" spans="1:15">
      <c r="A7" s="43">
        <v>4</v>
      </c>
      <c r="B7" s="194">
        <v>46207</v>
      </c>
      <c r="C7" s="22"/>
      <c r="D7" s="22"/>
      <c r="E7" s="258">
        <v>250</v>
      </c>
      <c r="F7" s="8">
        <v>99.6</v>
      </c>
      <c r="G7" s="8">
        <f t="shared" ref="G5:G34" si="4">E7*F7</f>
        <v>24900</v>
      </c>
      <c r="H7" s="9"/>
      <c r="I7" s="9"/>
      <c r="J7" s="8">
        <f t="shared" si="3"/>
        <v>0</v>
      </c>
      <c r="K7" s="8">
        <f t="shared" si="1"/>
        <v>24900</v>
      </c>
      <c r="L7" s="143"/>
      <c r="M7" s="8">
        <f t="shared" si="2"/>
        <v>181251.35380000016</v>
      </c>
      <c r="N7" s="41"/>
      <c r="O7" s="1"/>
    </row>
    <row r="8" spans="1:15">
      <c r="A8" s="43">
        <v>5</v>
      </c>
      <c r="B8" s="194">
        <v>46208</v>
      </c>
      <c r="C8" s="22"/>
      <c r="D8" s="22"/>
      <c r="E8" s="258">
        <v>35</v>
      </c>
      <c r="F8" s="8">
        <v>99.6</v>
      </c>
      <c r="G8" s="8">
        <f t="shared" si="4"/>
        <v>3486</v>
      </c>
      <c r="H8" s="9"/>
      <c r="I8" s="9"/>
      <c r="J8" s="8">
        <f t="shared" si="3"/>
        <v>0</v>
      </c>
      <c r="K8" s="8">
        <f t="shared" si="1"/>
        <v>3486</v>
      </c>
      <c r="L8" s="143"/>
      <c r="M8" s="8">
        <f t="shared" si="2"/>
        <v>184737.35380000016</v>
      </c>
      <c r="N8" s="41"/>
      <c r="O8" s="1"/>
    </row>
    <row r="9" spans="1:15">
      <c r="A9" s="43">
        <v>6</v>
      </c>
      <c r="B9" s="194">
        <v>46209</v>
      </c>
      <c r="C9" s="22"/>
      <c r="D9" s="22"/>
      <c r="E9" s="258">
        <v>125</v>
      </c>
      <c r="F9" s="8">
        <v>99.6</v>
      </c>
      <c r="G9" s="8">
        <f t="shared" si="4"/>
        <v>12450</v>
      </c>
      <c r="H9" s="9">
        <v>5</v>
      </c>
      <c r="I9" s="9">
        <v>111.71</v>
      </c>
      <c r="J9" s="8">
        <f t="shared" si="3"/>
        <v>558.54999999999995</v>
      </c>
      <c r="K9" s="8">
        <f t="shared" si="1"/>
        <v>13008.55</v>
      </c>
      <c r="L9" s="143"/>
      <c r="M9" s="8">
        <f t="shared" si="2"/>
        <v>197745.90380000015</v>
      </c>
      <c r="N9" s="41"/>
      <c r="O9" s="1"/>
    </row>
    <row r="10" spans="1:15">
      <c r="A10" s="43">
        <v>7</v>
      </c>
      <c r="B10" s="194">
        <v>46210</v>
      </c>
      <c r="C10" s="22"/>
      <c r="D10" s="22"/>
      <c r="E10" s="258">
        <v>290</v>
      </c>
      <c r="F10" s="8">
        <v>99.6</v>
      </c>
      <c r="G10" s="8">
        <f t="shared" si="4"/>
        <v>28884</v>
      </c>
      <c r="H10" s="9">
        <v>10</v>
      </c>
      <c r="I10" s="9">
        <v>111.71</v>
      </c>
      <c r="J10" s="8">
        <f t="shared" si="3"/>
        <v>1117.0999999999999</v>
      </c>
      <c r="K10" s="8">
        <f t="shared" si="1"/>
        <v>30001.1</v>
      </c>
      <c r="L10" s="143"/>
      <c r="M10" s="8">
        <f t="shared" si="2"/>
        <v>227747.00380000015</v>
      </c>
      <c r="N10" s="41"/>
      <c r="O10" s="1"/>
    </row>
    <row r="11" spans="1:15">
      <c r="A11" s="43">
        <v>8</v>
      </c>
      <c r="B11" s="194">
        <v>46211</v>
      </c>
      <c r="C11" s="22"/>
      <c r="D11" s="22"/>
      <c r="E11" s="258">
        <v>320</v>
      </c>
      <c r="F11" s="8">
        <v>99.6</v>
      </c>
      <c r="G11" s="8">
        <f t="shared" si="4"/>
        <v>31872</v>
      </c>
      <c r="H11" s="9">
        <v>5</v>
      </c>
      <c r="I11" s="9">
        <v>111.71</v>
      </c>
      <c r="J11" s="8">
        <f t="shared" si="3"/>
        <v>558.54999999999995</v>
      </c>
      <c r="K11" s="8">
        <f t="shared" si="1"/>
        <v>32430.55</v>
      </c>
      <c r="L11" s="143">
        <v>150000</v>
      </c>
      <c r="M11" s="8">
        <f t="shared" si="2"/>
        <v>110177.55380000014</v>
      </c>
      <c r="N11" s="41"/>
      <c r="O11" s="1"/>
    </row>
    <row r="12" spans="1:15">
      <c r="A12" s="43">
        <v>9</v>
      </c>
      <c r="B12" s="194">
        <v>46212</v>
      </c>
      <c r="C12" s="22"/>
      <c r="D12" s="22"/>
      <c r="E12" s="258">
        <v>190</v>
      </c>
      <c r="F12" s="8">
        <v>99.6</v>
      </c>
      <c r="G12" s="8">
        <f t="shared" si="4"/>
        <v>18924</v>
      </c>
      <c r="H12" s="9">
        <v>5</v>
      </c>
      <c r="I12" s="9">
        <v>111.71</v>
      </c>
      <c r="J12" s="8">
        <f t="shared" si="3"/>
        <v>558.54999999999995</v>
      </c>
      <c r="K12" s="8">
        <f t="shared" si="1"/>
        <v>19482.55</v>
      </c>
      <c r="L12" s="143"/>
      <c r="M12" s="8">
        <f>M11+K12-L12</f>
        <v>129660.10380000014</v>
      </c>
      <c r="N12" s="41"/>
      <c r="O12" s="1" t="s">
        <v>278</v>
      </c>
    </row>
    <row r="13" spans="1:15">
      <c r="A13" s="43">
        <v>10</v>
      </c>
      <c r="B13" s="194">
        <v>46213</v>
      </c>
      <c r="C13" s="22"/>
      <c r="D13" s="22"/>
      <c r="E13" s="258">
        <v>340</v>
      </c>
      <c r="F13" s="8">
        <v>99.6</v>
      </c>
      <c r="G13" s="8">
        <f t="shared" si="4"/>
        <v>33864</v>
      </c>
      <c r="H13" s="9">
        <v>10</v>
      </c>
      <c r="I13" s="9">
        <v>111.71</v>
      </c>
      <c r="J13" s="8">
        <f t="shared" si="3"/>
        <v>1117.0999999999999</v>
      </c>
      <c r="K13" s="8">
        <f t="shared" si="1"/>
        <v>34981.1</v>
      </c>
      <c r="L13" s="143"/>
      <c r="M13" s="8">
        <f t="shared" si="2"/>
        <v>164641.20380000013</v>
      </c>
      <c r="N13" s="41"/>
      <c r="O13" s="1"/>
    </row>
    <row r="14" spans="1:15">
      <c r="A14" s="43">
        <v>11</v>
      </c>
      <c r="B14" s="194">
        <v>46214</v>
      </c>
      <c r="C14" s="22"/>
      <c r="D14" s="22"/>
      <c r="E14" s="258">
        <v>570</v>
      </c>
      <c r="F14" s="8">
        <v>99.6</v>
      </c>
      <c r="G14" s="8">
        <f t="shared" si="4"/>
        <v>56772</v>
      </c>
      <c r="H14" s="9">
        <v>10</v>
      </c>
      <c r="I14" s="9">
        <v>111.71</v>
      </c>
      <c r="J14" s="8">
        <f t="shared" si="3"/>
        <v>1117.0999999999999</v>
      </c>
      <c r="K14" s="8">
        <f t="shared" si="1"/>
        <v>57889.1</v>
      </c>
      <c r="L14" s="143"/>
      <c r="M14" s="8">
        <f t="shared" si="2"/>
        <v>222530.30380000014</v>
      </c>
      <c r="N14" s="41"/>
      <c r="O14" s="1"/>
    </row>
    <row r="15" spans="1:15">
      <c r="A15" s="43">
        <v>12</v>
      </c>
      <c r="B15" s="194">
        <v>46215</v>
      </c>
      <c r="C15" s="22"/>
      <c r="D15" s="22"/>
      <c r="E15" s="258">
        <v>130</v>
      </c>
      <c r="F15" s="8">
        <v>99.6</v>
      </c>
      <c r="G15" s="8">
        <f t="shared" si="4"/>
        <v>12948</v>
      </c>
      <c r="H15" s="9">
        <v>18.059999999999999</v>
      </c>
      <c r="I15" s="9">
        <v>111.71</v>
      </c>
      <c r="J15" s="8">
        <f t="shared" si="3"/>
        <v>2017.4825999999998</v>
      </c>
      <c r="K15" s="8">
        <f t="shared" si="1"/>
        <v>14965.482599999999</v>
      </c>
      <c r="L15" s="143"/>
      <c r="M15" s="8">
        <f t="shared" si="2"/>
        <v>237495.78640000013</v>
      </c>
      <c r="N15" s="41"/>
      <c r="O15" s="1"/>
    </row>
    <row r="16" spans="1:15">
      <c r="A16" s="43">
        <v>13</v>
      </c>
      <c r="B16" s="194">
        <v>46216</v>
      </c>
      <c r="C16" s="22"/>
      <c r="D16" s="22"/>
      <c r="E16" s="258">
        <v>100</v>
      </c>
      <c r="F16" s="8">
        <v>99.6</v>
      </c>
      <c r="G16" s="8">
        <f t="shared" si="4"/>
        <v>9960</v>
      </c>
      <c r="H16" s="435"/>
      <c r="I16" s="9"/>
      <c r="J16" s="8">
        <f t="shared" si="3"/>
        <v>0</v>
      </c>
      <c r="K16" s="8">
        <f t="shared" si="1"/>
        <v>9960</v>
      </c>
      <c r="L16" s="143"/>
      <c r="M16" s="8">
        <f t="shared" si="2"/>
        <v>247455.78640000013</v>
      </c>
      <c r="N16" s="41"/>
      <c r="O16" s="1"/>
    </row>
    <row r="17" spans="1:15">
      <c r="A17" s="43">
        <v>14</v>
      </c>
      <c r="B17" s="194">
        <v>46217</v>
      </c>
      <c r="C17" s="22"/>
      <c r="D17" s="22"/>
      <c r="E17" s="258">
        <v>405</v>
      </c>
      <c r="F17" s="8">
        <v>99.6</v>
      </c>
      <c r="G17" s="8">
        <f t="shared" si="4"/>
        <v>40338</v>
      </c>
      <c r="H17" s="435"/>
      <c r="I17" s="9"/>
      <c r="J17" s="8">
        <f t="shared" si="3"/>
        <v>0</v>
      </c>
      <c r="K17" s="8">
        <f t="shared" si="1"/>
        <v>40338</v>
      </c>
      <c r="L17" s="143"/>
      <c r="M17" s="8">
        <f t="shared" si="2"/>
        <v>287793.7864000001</v>
      </c>
      <c r="N17" s="41"/>
      <c r="O17" s="1"/>
    </row>
    <row r="18" spans="1:15">
      <c r="A18" s="43">
        <v>15</v>
      </c>
      <c r="B18" s="194">
        <v>46218</v>
      </c>
      <c r="C18" s="22"/>
      <c r="D18" s="22"/>
      <c r="E18" s="258">
        <v>295</v>
      </c>
      <c r="F18" s="8">
        <v>99.6</v>
      </c>
      <c r="G18" s="8">
        <f t="shared" si="4"/>
        <v>29382</v>
      </c>
      <c r="H18" s="435">
        <v>12</v>
      </c>
      <c r="I18" s="9">
        <v>111.71</v>
      </c>
      <c r="J18" s="8">
        <f t="shared" si="3"/>
        <v>1340.52</v>
      </c>
      <c r="K18" s="8">
        <f t="shared" si="1"/>
        <v>30722.52</v>
      </c>
      <c r="L18" s="143"/>
      <c r="M18" s="8">
        <f t="shared" si="2"/>
        <v>318516.30640000012</v>
      </c>
      <c r="N18" s="41"/>
      <c r="O18" s="1"/>
    </row>
    <row r="19" spans="1:15">
      <c r="A19" s="43">
        <v>16</v>
      </c>
      <c r="B19" s="194">
        <v>46219</v>
      </c>
      <c r="C19" s="22"/>
      <c r="D19" s="22"/>
      <c r="E19" s="258">
        <v>535</v>
      </c>
      <c r="F19" s="8">
        <v>99.6</v>
      </c>
      <c r="G19" s="8">
        <f t="shared" si="4"/>
        <v>53286</v>
      </c>
      <c r="H19" s="9"/>
      <c r="I19" s="9"/>
      <c r="J19" s="8">
        <f t="shared" si="3"/>
        <v>0</v>
      </c>
      <c r="K19" s="8">
        <f t="shared" si="1"/>
        <v>53286</v>
      </c>
      <c r="L19" s="143"/>
      <c r="M19" s="8">
        <f t="shared" si="2"/>
        <v>371802.30640000012</v>
      </c>
      <c r="N19" s="41"/>
      <c r="O19" s="1"/>
    </row>
    <row r="20" spans="1:15">
      <c r="A20" s="43">
        <v>17</v>
      </c>
      <c r="B20" s="194">
        <v>46220</v>
      </c>
      <c r="C20" s="22"/>
      <c r="D20" s="22"/>
      <c r="E20" s="258">
        <v>60</v>
      </c>
      <c r="F20" s="8">
        <v>99.6</v>
      </c>
      <c r="G20" s="8">
        <f t="shared" si="4"/>
        <v>5976</v>
      </c>
      <c r="H20" s="9">
        <v>9</v>
      </c>
      <c r="I20" s="9">
        <v>111.71</v>
      </c>
      <c r="J20" s="8">
        <f t="shared" si="3"/>
        <v>1005.39</v>
      </c>
      <c r="K20" s="8">
        <f t="shared" si="1"/>
        <v>6981.39</v>
      </c>
      <c r="L20" s="143"/>
      <c r="M20" s="8">
        <f t="shared" si="2"/>
        <v>378783.69640000013</v>
      </c>
      <c r="N20" s="41"/>
      <c r="O20" s="1"/>
    </row>
    <row r="21" spans="1:15">
      <c r="A21" s="43">
        <v>18</v>
      </c>
      <c r="B21" s="194">
        <v>46221</v>
      </c>
      <c r="C21" s="22"/>
      <c r="D21" s="22"/>
      <c r="E21" s="258">
        <v>305</v>
      </c>
      <c r="F21" s="8">
        <v>99.6</v>
      </c>
      <c r="G21" s="8">
        <f t="shared" si="4"/>
        <v>30378</v>
      </c>
      <c r="H21" s="9"/>
      <c r="I21" s="9"/>
      <c r="J21" s="8">
        <f t="shared" si="3"/>
        <v>0</v>
      </c>
      <c r="K21" s="8">
        <f t="shared" si="1"/>
        <v>30378</v>
      </c>
      <c r="L21" s="143"/>
      <c r="M21" s="8">
        <f t="shared" si="2"/>
        <v>409161.69640000013</v>
      </c>
      <c r="N21" s="41"/>
      <c r="O21" s="1"/>
    </row>
    <row r="22" spans="1:15">
      <c r="A22" s="43">
        <v>19</v>
      </c>
      <c r="B22" s="194">
        <v>46222</v>
      </c>
      <c r="C22" s="22"/>
      <c r="D22" s="22"/>
      <c r="E22" s="258">
        <v>470</v>
      </c>
      <c r="F22" s="8">
        <v>99.6</v>
      </c>
      <c r="G22" s="8">
        <f t="shared" si="4"/>
        <v>46812</v>
      </c>
      <c r="H22" s="9">
        <v>5</v>
      </c>
      <c r="I22" s="9">
        <v>111.71</v>
      </c>
      <c r="J22" s="8">
        <f t="shared" si="3"/>
        <v>558.54999999999995</v>
      </c>
      <c r="K22" s="8">
        <f t="shared" si="1"/>
        <v>47370.55</v>
      </c>
      <c r="L22" s="143"/>
      <c r="M22" s="8">
        <f t="shared" si="2"/>
        <v>456532.24640000012</v>
      </c>
      <c r="N22" s="41"/>
      <c r="O22" s="1"/>
    </row>
    <row r="23" spans="1:15">
      <c r="A23" s="43">
        <v>20</v>
      </c>
      <c r="B23" s="194">
        <v>46223</v>
      </c>
      <c r="C23" s="22"/>
      <c r="D23" s="22"/>
      <c r="E23" s="258">
        <v>265</v>
      </c>
      <c r="F23" s="8">
        <v>99.6</v>
      </c>
      <c r="G23" s="8">
        <f t="shared" si="4"/>
        <v>26394</v>
      </c>
      <c r="H23" s="9">
        <v>17</v>
      </c>
      <c r="I23" s="9">
        <v>111.71</v>
      </c>
      <c r="J23" s="8">
        <f t="shared" si="3"/>
        <v>1899.07</v>
      </c>
      <c r="K23" s="8">
        <f t="shared" si="1"/>
        <v>28293.07</v>
      </c>
      <c r="L23" s="143"/>
      <c r="M23" s="8">
        <f t="shared" si="2"/>
        <v>484825.31640000013</v>
      </c>
      <c r="N23" s="41"/>
      <c r="O23" s="1"/>
    </row>
    <row r="24" spans="1:15">
      <c r="A24" s="43">
        <v>21</v>
      </c>
      <c r="B24" s="194">
        <v>46224</v>
      </c>
      <c r="C24" s="22"/>
      <c r="D24" s="22"/>
      <c r="E24" s="258">
        <v>205</v>
      </c>
      <c r="F24" s="8">
        <v>99.6</v>
      </c>
      <c r="G24" s="8">
        <f t="shared" si="4"/>
        <v>20418</v>
      </c>
      <c r="H24" s="9">
        <v>10</v>
      </c>
      <c r="I24" s="9">
        <v>111.71</v>
      </c>
      <c r="J24" s="8">
        <f t="shared" si="3"/>
        <v>1117.0999999999999</v>
      </c>
      <c r="K24" s="8">
        <f t="shared" si="1"/>
        <v>21535.1</v>
      </c>
      <c r="L24" s="143"/>
      <c r="M24" s="8">
        <f t="shared" si="2"/>
        <v>506360.4164000001</v>
      </c>
      <c r="N24" s="41"/>
      <c r="O24" s="1"/>
    </row>
    <row r="25" spans="1:15">
      <c r="A25" s="43">
        <v>22</v>
      </c>
      <c r="B25" s="194">
        <v>46225</v>
      </c>
      <c r="C25" s="22"/>
      <c r="D25" s="22"/>
      <c r="E25" s="258">
        <v>485</v>
      </c>
      <c r="F25" s="8">
        <v>99.6</v>
      </c>
      <c r="G25" s="8">
        <f t="shared" si="4"/>
        <v>48306</v>
      </c>
      <c r="H25" s="9"/>
      <c r="I25" s="9"/>
      <c r="J25" s="8">
        <f t="shared" si="3"/>
        <v>0</v>
      </c>
      <c r="K25" s="8">
        <f t="shared" si="1"/>
        <v>48306</v>
      </c>
      <c r="L25" s="143">
        <v>400000</v>
      </c>
      <c r="M25" s="8">
        <f t="shared" si="2"/>
        <v>154666.4164000001</v>
      </c>
      <c r="N25" s="41"/>
      <c r="O25" s="1"/>
    </row>
    <row r="26" spans="1:15">
      <c r="A26" s="43">
        <v>23</v>
      </c>
      <c r="B26" s="194">
        <v>46226</v>
      </c>
      <c r="C26" s="22"/>
      <c r="D26" s="22"/>
      <c r="E26" s="258">
        <v>205</v>
      </c>
      <c r="F26" s="8">
        <v>99.6</v>
      </c>
      <c r="G26" s="8">
        <f t="shared" si="4"/>
        <v>20418</v>
      </c>
      <c r="H26" s="9"/>
      <c r="I26" s="9"/>
      <c r="J26" s="8">
        <f t="shared" si="3"/>
        <v>0</v>
      </c>
      <c r="K26" s="8">
        <f t="shared" si="1"/>
        <v>20418</v>
      </c>
      <c r="L26" s="143"/>
      <c r="M26" s="8">
        <f t="shared" si="2"/>
        <v>175084.4164000001</v>
      </c>
      <c r="N26" s="41"/>
      <c r="O26" s="1"/>
    </row>
    <row r="27" spans="1:15">
      <c r="A27" s="43">
        <v>24</v>
      </c>
      <c r="B27" s="194">
        <v>46227</v>
      </c>
      <c r="C27" s="22"/>
      <c r="D27" s="22"/>
      <c r="E27" s="258">
        <v>75</v>
      </c>
      <c r="F27" s="8">
        <v>99.6</v>
      </c>
      <c r="G27" s="8">
        <f t="shared" si="4"/>
        <v>7470</v>
      </c>
      <c r="H27" s="9"/>
      <c r="I27" s="9"/>
      <c r="J27" s="8">
        <f t="shared" si="3"/>
        <v>0</v>
      </c>
      <c r="K27" s="8">
        <f>G27+J27</f>
        <v>7470</v>
      </c>
      <c r="L27" s="143"/>
      <c r="M27" s="8">
        <f>M26+K27-L27</f>
        <v>182554.4164000001</v>
      </c>
      <c r="N27" s="41"/>
      <c r="O27" s="1"/>
    </row>
    <row r="28" spans="1:15">
      <c r="A28" s="43">
        <v>25</v>
      </c>
      <c r="B28" s="194">
        <v>46228</v>
      </c>
      <c r="C28" s="22"/>
      <c r="D28" s="22"/>
      <c r="E28" s="524">
        <v>280</v>
      </c>
      <c r="F28" s="476">
        <v>99.6</v>
      </c>
      <c r="G28" s="8">
        <f t="shared" si="4"/>
        <v>27888</v>
      </c>
      <c r="H28" s="9">
        <v>15</v>
      </c>
      <c r="I28" s="9">
        <v>111.71</v>
      </c>
      <c r="J28" s="8">
        <f t="shared" si="3"/>
        <v>1675.6499999999999</v>
      </c>
      <c r="K28" s="8">
        <f t="shared" si="1"/>
        <v>29563.65</v>
      </c>
      <c r="L28" s="143"/>
      <c r="M28" s="8">
        <f t="shared" si="2"/>
        <v>212118.0664000001</v>
      </c>
      <c r="N28" s="41"/>
      <c r="O28" s="1"/>
    </row>
    <row r="29" spans="1:15">
      <c r="A29" s="43">
        <v>26</v>
      </c>
      <c r="B29" s="194">
        <v>46229</v>
      </c>
      <c r="C29" s="22"/>
      <c r="D29" s="22"/>
      <c r="E29" s="524">
        <v>135</v>
      </c>
      <c r="F29" s="476">
        <v>99.6</v>
      </c>
      <c r="G29" s="8">
        <f t="shared" si="4"/>
        <v>13446</v>
      </c>
      <c r="H29" s="9"/>
      <c r="I29" s="9"/>
      <c r="J29" s="8">
        <f t="shared" si="3"/>
        <v>0</v>
      </c>
      <c r="K29" s="8">
        <f t="shared" si="1"/>
        <v>13446</v>
      </c>
      <c r="L29" s="143"/>
      <c r="M29" s="8">
        <f t="shared" si="2"/>
        <v>225564.0664000001</v>
      </c>
      <c r="N29" s="41"/>
      <c r="O29" s="1"/>
    </row>
    <row r="30" spans="1:15">
      <c r="A30" s="43">
        <v>27</v>
      </c>
      <c r="B30" s="194">
        <v>46230</v>
      </c>
      <c r="C30" s="22"/>
      <c r="D30" s="22"/>
      <c r="E30" s="258">
        <v>170</v>
      </c>
      <c r="F30" s="8">
        <v>99.6</v>
      </c>
      <c r="G30" s="8">
        <f t="shared" si="4"/>
        <v>16932</v>
      </c>
      <c r="H30" s="9"/>
      <c r="I30" s="9"/>
      <c r="J30" s="8">
        <f t="shared" si="3"/>
        <v>0</v>
      </c>
      <c r="K30" s="8">
        <f t="shared" si="1"/>
        <v>16932</v>
      </c>
      <c r="L30" s="143"/>
      <c r="M30" s="8">
        <f t="shared" si="2"/>
        <v>242496.0664000001</v>
      </c>
      <c r="N30" s="41"/>
      <c r="O30" s="1"/>
    </row>
    <row r="31" spans="1:15">
      <c r="A31" s="43">
        <v>28</v>
      </c>
      <c r="B31" s="194">
        <v>46231</v>
      </c>
      <c r="C31" s="22"/>
      <c r="D31" s="22"/>
      <c r="E31" s="258">
        <v>340</v>
      </c>
      <c r="F31" s="8">
        <v>99.6</v>
      </c>
      <c r="G31" s="8">
        <f t="shared" si="4"/>
        <v>33864</v>
      </c>
      <c r="H31" s="9">
        <v>5</v>
      </c>
      <c r="I31" s="9">
        <v>111.71</v>
      </c>
      <c r="J31" s="8">
        <f t="shared" si="3"/>
        <v>558.54999999999995</v>
      </c>
      <c r="K31" s="8">
        <f t="shared" si="1"/>
        <v>34422.550000000003</v>
      </c>
      <c r="L31" s="143"/>
      <c r="M31" s="8">
        <f t="shared" si="2"/>
        <v>276918.61640000012</v>
      </c>
      <c r="N31" s="41"/>
      <c r="O31" s="1"/>
    </row>
    <row r="32" spans="1:15">
      <c r="A32" s="189">
        <v>29</v>
      </c>
      <c r="B32" s="194">
        <v>46232</v>
      </c>
      <c r="C32" s="22"/>
      <c r="D32" s="22"/>
      <c r="E32" s="258">
        <v>95</v>
      </c>
      <c r="F32" s="258">
        <v>99.6</v>
      </c>
      <c r="G32" s="8">
        <f t="shared" si="4"/>
        <v>9462</v>
      </c>
      <c r="H32" s="9">
        <v>10</v>
      </c>
      <c r="I32" s="9">
        <v>111.71</v>
      </c>
      <c r="J32" s="8">
        <f t="shared" si="3"/>
        <v>1117.0999999999999</v>
      </c>
      <c r="K32" s="8">
        <f t="shared" si="1"/>
        <v>10579.1</v>
      </c>
      <c r="L32" s="143"/>
      <c r="M32" s="8">
        <f t="shared" si="2"/>
        <v>287497.71640000009</v>
      </c>
      <c r="N32" s="41"/>
      <c r="O32" s="1"/>
    </row>
    <row r="33" spans="1:15">
      <c r="A33" s="189">
        <v>30</v>
      </c>
      <c r="B33" s="194">
        <v>46233</v>
      </c>
      <c r="C33" s="22"/>
      <c r="D33" s="22"/>
      <c r="E33" s="258">
        <v>70</v>
      </c>
      <c r="F33" s="258">
        <v>99.6</v>
      </c>
      <c r="G33" s="8">
        <f t="shared" si="4"/>
        <v>6972</v>
      </c>
      <c r="H33" s="9"/>
      <c r="I33" s="9"/>
      <c r="J33" s="8">
        <f t="shared" si="3"/>
        <v>0</v>
      </c>
      <c r="K33" s="8">
        <f t="shared" si="1"/>
        <v>6972</v>
      </c>
      <c r="L33" s="143"/>
      <c r="M33" s="8">
        <f t="shared" si="2"/>
        <v>294469.71640000009</v>
      </c>
      <c r="N33" s="41"/>
      <c r="O33" s="1"/>
    </row>
    <row r="34" spans="1:15">
      <c r="A34" s="189">
        <v>31</v>
      </c>
      <c r="B34" s="194">
        <v>46234</v>
      </c>
      <c r="C34" s="22"/>
      <c r="D34" s="22"/>
      <c r="E34" s="258">
        <v>200</v>
      </c>
      <c r="F34" s="258">
        <v>99.6</v>
      </c>
      <c r="G34" s="8">
        <f t="shared" si="4"/>
        <v>19920</v>
      </c>
      <c r="H34" s="9"/>
      <c r="I34" s="9"/>
      <c r="J34" s="8">
        <f t="shared" si="3"/>
        <v>0</v>
      </c>
      <c r="K34" s="8">
        <f t="shared" si="1"/>
        <v>19920</v>
      </c>
      <c r="L34" s="143">
        <v>150000</v>
      </c>
      <c r="M34" s="8">
        <f t="shared" si="2"/>
        <v>164389.71640000009</v>
      </c>
      <c r="N34" s="41"/>
      <c r="O34" s="1"/>
    </row>
    <row r="35" spans="1:15">
      <c r="A35" s="59"/>
      <c r="B35" s="59"/>
      <c r="C35" s="59"/>
      <c r="D35" s="59"/>
      <c r="E35" s="60">
        <f>SUM(E4:E34)</f>
        <v>7568.35</v>
      </c>
      <c r="F35" s="60"/>
      <c r="G35" s="60">
        <f>SUM(G4:G34)</f>
        <v>753807.66</v>
      </c>
      <c r="H35" s="60">
        <f>SUM(H4:H34)</f>
        <v>166.06</v>
      </c>
      <c r="I35" s="60"/>
      <c r="J35" s="60">
        <f>SUM(J4:J34)</f>
        <v>18550.562599999997</v>
      </c>
      <c r="K35" s="60">
        <f>SUM(K4:K34)</f>
        <v>772358.22259999998</v>
      </c>
      <c r="L35" s="60">
        <f>SUM(L4:L34)</f>
        <v>700000</v>
      </c>
      <c r="M35" s="60"/>
      <c r="N35" s="60"/>
      <c r="O35" s="56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580"/>
      <c r="C37" s="580"/>
      <c r="D37" s="580"/>
      <c r="E37" s="580"/>
      <c r="F37" s="1"/>
      <c r="G37" s="1"/>
      <c r="H37" s="1"/>
      <c r="I37" s="581"/>
      <c r="J37" s="580"/>
      <c r="K37" s="580"/>
      <c r="L37" s="580"/>
      <c r="M37" s="580"/>
      <c r="N37" s="580"/>
      <c r="O37" s="4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/>
    </row>
    <row r="39" spans="1: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</sheetData>
  <mergeCells count="3">
    <mergeCell ref="A1:N1"/>
    <mergeCell ref="B37:E37"/>
    <mergeCell ref="I37:N3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D1B-A817-4C7F-A5CC-FB5F768C0F89}">
  <sheetPr>
    <tabColor rgb="FF7030A0"/>
  </sheetPr>
  <dimension ref="A1:U51"/>
  <sheetViews>
    <sheetView topLeftCell="A27" workbookViewId="0">
      <selection activeCell="M36" sqref="M36"/>
    </sheetView>
  </sheetViews>
  <sheetFormatPr defaultRowHeight="15"/>
  <cols>
    <col min="2" max="2" width="10" bestFit="1" customWidth="1"/>
    <col min="7" max="7" width="11.85546875" bestFit="1" customWidth="1"/>
    <col min="10" max="10" width="10.85546875" bestFit="1" customWidth="1"/>
    <col min="11" max="11" width="13.5703125" bestFit="1" customWidth="1"/>
    <col min="12" max="12" width="14.5703125" customWidth="1"/>
    <col min="13" max="13" width="11.85546875" bestFit="1" customWidth="1"/>
    <col min="17" max="17" width="14" customWidth="1"/>
  </cols>
  <sheetData>
    <row r="1" spans="1:15" ht="15.75">
      <c r="A1" s="550" t="s">
        <v>135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0"/>
    </row>
    <row r="2" spans="1:15" ht="30.75">
      <c r="A2" s="61" t="s">
        <v>0</v>
      </c>
      <c r="B2" s="80" t="s">
        <v>163</v>
      </c>
      <c r="C2" s="80" t="s">
        <v>164</v>
      </c>
      <c r="D2" s="80" t="s">
        <v>165</v>
      </c>
      <c r="E2" s="80" t="s">
        <v>166</v>
      </c>
      <c r="F2" s="80" t="s">
        <v>167</v>
      </c>
      <c r="G2" s="80" t="s">
        <v>168</v>
      </c>
      <c r="H2" s="80" t="s">
        <v>169</v>
      </c>
      <c r="I2" s="80" t="s">
        <v>167</v>
      </c>
      <c r="J2" s="81" t="s">
        <v>168</v>
      </c>
      <c r="K2" s="120" t="s">
        <v>170</v>
      </c>
      <c r="L2" s="123" t="s">
        <v>171</v>
      </c>
      <c r="M2" s="465" t="s">
        <v>187</v>
      </c>
      <c r="N2" s="80" t="s">
        <v>173</v>
      </c>
      <c r="O2" s="56"/>
    </row>
    <row r="3" spans="1:15">
      <c r="A3" s="140"/>
      <c r="B3" s="141"/>
      <c r="C3" s="141"/>
      <c r="D3" s="128" t="s">
        <v>174</v>
      </c>
      <c r="E3" s="141"/>
      <c r="F3" s="141"/>
      <c r="G3" s="141"/>
      <c r="H3" s="141"/>
      <c r="I3" s="141"/>
      <c r="J3" s="461"/>
      <c r="K3" s="255"/>
      <c r="L3" s="14"/>
      <c r="M3" s="14">
        <v>393080.15670000011</v>
      </c>
      <c r="N3" s="463"/>
      <c r="O3" s="56"/>
    </row>
    <row r="4" spans="1:15">
      <c r="A4" s="43">
        <v>1</v>
      </c>
      <c r="B4" s="194">
        <v>46204</v>
      </c>
      <c r="C4" s="22"/>
      <c r="D4" s="22"/>
      <c r="E4" s="8">
        <v>281.27999999999997</v>
      </c>
      <c r="F4" s="8">
        <v>99.7</v>
      </c>
      <c r="G4" s="8">
        <f>E4*F4</f>
        <v>28043.615999999998</v>
      </c>
      <c r="H4" s="9"/>
      <c r="I4" s="9"/>
      <c r="J4" s="462">
        <f>H4*I4</f>
        <v>0</v>
      </c>
      <c r="K4" s="8">
        <f>G4+J4</f>
        <v>28043.615999999998</v>
      </c>
      <c r="L4" s="143"/>
      <c r="M4" s="8">
        <f>M3+K4-L4</f>
        <v>421123.77270000009</v>
      </c>
      <c r="N4" s="464"/>
      <c r="O4" s="1"/>
    </row>
    <row r="5" spans="1:15">
      <c r="A5" s="43">
        <v>2</v>
      </c>
      <c r="B5" s="194">
        <v>46205</v>
      </c>
      <c r="C5" s="22"/>
      <c r="D5" s="22"/>
      <c r="E5" s="8">
        <v>194.75</v>
      </c>
      <c r="F5" s="8">
        <v>99.7</v>
      </c>
      <c r="G5" s="8">
        <f t="shared" ref="G5:G35" si="0">E5*F5</f>
        <v>19416.575000000001</v>
      </c>
      <c r="H5" s="9"/>
      <c r="I5" s="9"/>
      <c r="J5" s="462">
        <f t="shared" ref="J5:J35" si="1">H5*I5</f>
        <v>0</v>
      </c>
      <c r="K5" s="8">
        <f t="shared" ref="K5:K35" si="2">G5+J5</f>
        <v>19416.575000000001</v>
      </c>
      <c r="L5" s="143"/>
      <c r="M5" s="8">
        <f t="shared" ref="M5:M15" si="3">M4+K5-L5</f>
        <v>440540.3477000001</v>
      </c>
      <c r="N5" s="464"/>
      <c r="O5" s="1"/>
    </row>
    <row r="6" spans="1:15">
      <c r="A6" s="43">
        <v>3</v>
      </c>
      <c r="B6" s="194">
        <v>46206</v>
      </c>
      <c r="C6" s="22"/>
      <c r="D6" s="22"/>
      <c r="E6" s="8">
        <v>155</v>
      </c>
      <c r="F6" s="8">
        <v>99.7</v>
      </c>
      <c r="G6" s="8">
        <f t="shared" si="0"/>
        <v>15453.5</v>
      </c>
      <c r="H6" s="9">
        <v>3</v>
      </c>
      <c r="I6" s="9">
        <v>111.82</v>
      </c>
      <c r="J6" s="462">
        <f t="shared" si="1"/>
        <v>335.46</v>
      </c>
      <c r="K6" s="8">
        <f t="shared" si="2"/>
        <v>15788.96</v>
      </c>
      <c r="L6" s="143"/>
      <c r="M6" s="8">
        <f t="shared" si="3"/>
        <v>456329.30770000012</v>
      </c>
      <c r="N6" s="464"/>
      <c r="O6" s="1"/>
    </row>
    <row r="7" spans="1:15">
      <c r="A7" s="43">
        <v>4</v>
      </c>
      <c r="B7" s="194">
        <v>46207</v>
      </c>
      <c r="C7" s="22"/>
      <c r="D7" s="22"/>
      <c r="E7" s="258">
        <v>344.86</v>
      </c>
      <c r="F7" s="8">
        <v>99.7</v>
      </c>
      <c r="G7" s="8">
        <f t="shared" si="0"/>
        <v>34382.542000000001</v>
      </c>
      <c r="H7" s="9"/>
      <c r="I7" s="9"/>
      <c r="J7" s="462">
        <f t="shared" si="1"/>
        <v>0</v>
      </c>
      <c r="K7" s="8">
        <f t="shared" si="2"/>
        <v>34382.542000000001</v>
      </c>
      <c r="L7" s="143"/>
      <c r="M7" s="8">
        <f t="shared" si="3"/>
        <v>490711.84970000014</v>
      </c>
      <c r="N7" s="464"/>
      <c r="O7" s="1"/>
    </row>
    <row r="8" spans="1:15">
      <c r="A8" s="43">
        <v>5</v>
      </c>
      <c r="B8" s="194">
        <v>46208</v>
      </c>
      <c r="C8" s="22"/>
      <c r="D8" s="22"/>
      <c r="E8" s="258">
        <v>366.14</v>
      </c>
      <c r="F8" s="8">
        <v>99.7</v>
      </c>
      <c r="G8" s="8">
        <f t="shared" si="0"/>
        <v>36504.158000000003</v>
      </c>
      <c r="H8" s="9"/>
      <c r="I8" s="9"/>
      <c r="J8" s="462">
        <f t="shared" si="1"/>
        <v>0</v>
      </c>
      <c r="K8" s="8">
        <f t="shared" si="2"/>
        <v>36504.158000000003</v>
      </c>
      <c r="L8" s="143"/>
      <c r="M8" s="8">
        <f t="shared" si="3"/>
        <v>527216.00770000019</v>
      </c>
      <c r="N8" s="464"/>
      <c r="O8" s="1"/>
    </row>
    <row r="9" spans="1:15">
      <c r="A9" s="43">
        <v>6</v>
      </c>
      <c r="B9" s="194">
        <v>46209</v>
      </c>
      <c r="C9" s="22"/>
      <c r="D9" s="22"/>
      <c r="E9" s="258">
        <v>30</v>
      </c>
      <c r="F9" s="258">
        <v>99.7</v>
      </c>
      <c r="G9" s="8">
        <f t="shared" si="0"/>
        <v>2991</v>
      </c>
      <c r="H9" s="9">
        <v>5</v>
      </c>
      <c r="I9" s="9">
        <v>111.82</v>
      </c>
      <c r="J9" s="462">
        <f t="shared" si="1"/>
        <v>559.09999999999991</v>
      </c>
      <c r="K9" s="8">
        <f t="shared" si="2"/>
        <v>3550.1</v>
      </c>
      <c r="L9" s="143"/>
      <c r="M9" s="8">
        <f t="shared" si="3"/>
        <v>530766.10770000017</v>
      </c>
      <c r="N9" s="464"/>
      <c r="O9" s="1"/>
    </row>
    <row r="10" spans="1:15">
      <c r="A10" s="43">
        <v>7</v>
      </c>
      <c r="B10" s="194">
        <v>46210</v>
      </c>
      <c r="C10" s="22"/>
      <c r="D10" s="22"/>
      <c r="E10" s="258">
        <v>335</v>
      </c>
      <c r="F10" s="258">
        <v>99.7</v>
      </c>
      <c r="G10" s="8">
        <f t="shared" si="0"/>
        <v>33399.5</v>
      </c>
      <c r="H10" s="9">
        <v>5</v>
      </c>
      <c r="I10" s="9">
        <v>111.82</v>
      </c>
      <c r="J10" s="462">
        <f t="shared" si="1"/>
        <v>559.09999999999991</v>
      </c>
      <c r="K10" s="8">
        <f t="shared" si="2"/>
        <v>33958.6</v>
      </c>
      <c r="L10" s="143"/>
      <c r="M10" s="8">
        <f t="shared" si="3"/>
        <v>564724.70770000014</v>
      </c>
      <c r="N10" s="464"/>
      <c r="O10" s="1"/>
    </row>
    <row r="11" spans="1:15">
      <c r="A11" s="43">
        <v>8</v>
      </c>
      <c r="B11" s="194">
        <v>46211</v>
      </c>
      <c r="C11" s="22"/>
      <c r="D11" s="22"/>
      <c r="E11" s="8">
        <v>298.01</v>
      </c>
      <c r="F11" s="8">
        <v>99.7</v>
      </c>
      <c r="G11" s="8">
        <f t="shared" si="0"/>
        <v>29711.597000000002</v>
      </c>
      <c r="H11" s="9">
        <v>5</v>
      </c>
      <c r="I11" s="9">
        <v>111.82</v>
      </c>
      <c r="J11" s="462">
        <f t="shared" si="1"/>
        <v>559.09999999999991</v>
      </c>
      <c r="K11" s="8">
        <f t="shared" si="2"/>
        <v>30270.697</v>
      </c>
      <c r="L11" s="143"/>
      <c r="M11" s="8">
        <f t="shared" si="3"/>
        <v>594995.40470000019</v>
      </c>
      <c r="N11" s="464"/>
      <c r="O11" s="1"/>
    </row>
    <row r="12" spans="1:15">
      <c r="A12" s="43">
        <v>9</v>
      </c>
      <c r="B12" s="194">
        <v>46212</v>
      </c>
      <c r="C12" s="22"/>
      <c r="D12" s="22"/>
      <c r="E12" s="8">
        <v>138.38999999999999</v>
      </c>
      <c r="F12" s="8">
        <v>99.7</v>
      </c>
      <c r="G12" s="8">
        <f t="shared" si="0"/>
        <v>13797.482999999998</v>
      </c>
      <c r="H12" s="9">
        <v>6.01</v>
      </c>
      <c r="I12" s="9">
        <v>111.82</v>
      </c>
      <c r="J12" s="8">
        <f t="shared" si="1"/>
        <v>672.03819999999996</v>
      </c>
      <c r="K12" s="16">
        <f t="shared" si="2"/>
        <v>14469.521199999999</v>
      </c>
      <c r="L12" s="466"/>
      <c r="M12" s="16">
        <f t="shared" si="3"/>
        <v>609464.92590000015</v>
      </c>
      <c r="N12" s="41"/>
      <c r="O12" s="1" t="s">
        <v>278</v>
      </c>
    </row>
    <row r="13" spans="1:15">
      <c r="A13" s="43">
        <v>10</v>
      </c>
      <c r="B13" s="194">
        <v>46213</v>
      </c>
      <c r="C13" s="22"/>
      <c r="D13" s="22"/>
      <c r="E13" s="8">
        <v>210</v>
      </c>
      <c r="F13" s="8">
        <v>99.7</v>
      </c>
      <c r="G13" s="8">
        <f t="shared" si="0"/>
        <v>20937</v>
      </c>
      <c r="H13" s="9"/>
      <c r="I13" s="9"/>
      <c r="J13" s="8">
        <f t="shared" si="1"/>
        <v>0</v>
      </c>
      <c r="K13" s="8">
        <f t="shared" si="2"/>
        <v>20937</v>
      </c>
      <c r="L13" s="143"/>
      <c r="M13" s="8">
        <f t="shared" si="3"/>
        <v>630401.92590000015</v>
      </c>
      <c r="N13" s="41"/>
      <c r="O13" s="1"/>
    </row>
    <row r="14" spans="1:15">
      <c r="A14" s="43">
        <v>11</v>
      </c>
      <c r="B14" s="194">
        <v>46214</v>
      </c>
      <c r="C14" s="22"/>
      <c r="D14" s="22"/>
      <c r="E14" s="8">
        <v>135</v>
      </c>
      <c r="F14" s="8">
        <v>99.7</v>
      </c>
      <c r="G14" s="8">
        <f t="shared" si="0"/>
        <v>13459.5</v>
      </c>
      <c r="H14" s="9">
        <v>5</v>
      </c>
      <c r="I14" s="9">
        <v>111.82</v>
      </c>
      <c r="J14" s="8">
        <f t="shared" si="1"/>
        <v>559.09999999999991</v>
      </c>
      <c r="K14" s="8">
        <f t="shared" si="2"/>
        <v>14018.6</v>
      </c>
      <c r="L14" s="143"/>
      <c r="M14" s="8">
        <f t="shared" si="3"/>
        <v>644420.52590000012</v>
      </c>
      <c r="N14" s="41"/>
      <c r="O14" s="1"/>
    </row>
    <row r="15" spans="1:15">
      <c r="A15" s="43">
        <v>12</v>
      </c>
      <c r="B15" s="194">
        <v>46215</v>
      </c>
      <c r="C15" s="22"/>
      <c r="D15" s="22"/>
      <c r="E15" s="8">
        <v>312</v>
      </c>
      <c r="F15" s="8">
        <v>99.7</v>
      </c>
      <c r="G15" s="8">
        <f t="shared" si="0"/>
        <v>31106.400000000001</v>
      </c>
      <c r="H15" s="9"/>
      <c r="I15" s="9"/>
      <c r="J15" s="8">
        <f t="shared" si="1"/>
        <v>0</v>
      </c>
      <c r="K15" s="8">
        <f t="shared" si="2"/>
        <v>31106.400000000001</v>
      </c>
      <c r="L15" s="143"/>
      <c r="M15" s="8">
        <f t="shared" si="3"/>
        <v>675526.92590000015</v>
      </c>
      <c r="N15" s="41"/>
      <c r="O15" s="1"/>
    </row>
    <row r="16" spans="1:15">
      <c r="A16" s="43">
        <v>13</v>
      </c>
      <c r="B16" s="194">
        <v>46216</v>
      </c>
      <c r="C16" s="22"/>
      <c r="D16" s="22"/>
      <c r="E16" s="8">
        <v>370</v>
      </c>
      <c r="F16" s="8">
        <v>99.7</v>
      </c>
      <c r="G16" s="8">
        <f t="shared" si="0"/>
        <v>36889</v>
      </c>
      <c r="H16" s="9">
        <v>15</v>
      </c>
      <c r="I16" s="9">
        <v>111.82</v>
      </c>
      <c r="J16" s="8">
        <f t="shared" si="1"/>
        <v>1677.3</v>
      </c>
      <c r="K16" s="8">
        <f t="shared" si="2"/>
        <v>38566.300000000003</v>
      </c>
      <c r="L16" s="143"/>
      <c r="M16" s="8">
        <f>M15+K16-L16</f>
        <v>714093.22590000019</v>
      </c>
      <c r="N16" s="41"/>
      <c r="O16" s="1"/>
    </row>
    <row r="17" spans="1:21">
      <c r="A17" s="43">
        <v>14</v>
      </c>
      <c r="B17" s="194">
        <v>46217</v>
      </c>
      <c r="C17" s="22"/>
      <c r="D17" s="22"/>
      <c r="E17" s="8">
        <v>150.36000000000001</v>
      </c>
      <c r="F17" s="8">
        <v>99.7</v>
      </c>
      <c r="G17" s="8">
        <f t="shared" si="0"/>
        <v>14990.892000000002</v>
      </c>
      <c r="H17" s="9"/>
      <c r="I17" s="9"/>
      <c r="J17" s="8">
        <f t="shared" si="1"/>
        <v>0</v>
      </c>
      <c r="K17" s="8">
        <f t="shared" si="2"/>
        <v>14990.892000000002</v>
      </c>
      <c r="L17" s="143"/>
      <c r="M17" s="8">
        <f>M16+K17-L17</f>
        <v>729084.11790000019</v>
      </c>
      <c r="N17" s="41"/>
      <c r="O17" s="1"/>
    </row>
    <row r="18" spans="1:21">
      <c r="A18" s="43">
        <v>15</v>
      </c>
      <c r="B18" s="194">
        <v>46218</v>
      </c>
      <c r="C18" s="22"/>
      <c r="D18" s="22"/>
      <c r="E18" s="8">
        <v>35</v>
      </c>
      <c r="F18" s="8">
        <v>99.7</v>
      </c>
      <c r="G18" s="8">
        <f t="shared" si="0"/>
        <v>3489.5</v>
      </c>
      <c r="H18" s="9"/>
      <c r="I18" s="9"/>
      <c r="J18" s="8">
        <f t="shared" si="1"/>
        <v>0</v>
      </c>
      <c r="K18" s="8">
        <f t="shared" si="2"/>
        <v>3489.5</v>
      </c>
      <c r="L18" s="143"/>
      <c r="M18" s="8">
        <f t="shared" ref="M18:M36" si="4">M17+K18-L18</f>
        <v>732573.61790000019</v>
      </c>
      <c r="N18" s="41"/>
      <c r="O18" s="1"/>
    </row>
    <row r="19" spans="1:21">
      <c r="A19" s="43">
        <v>16</v>
      </c>
      <c r="B19" s="194">
        <v>46219</v>
      </c>
      <c r="C19" s="22"/>
      <c r="D19" s="22"/>
      <c r="E19" s="8">
        <v>415.44</v>
      </c>
      <c r="F19" s="8">
        <v>99.7</v>
      </c>
      <c r="G19" s="8">
        <f t="shared" si="0"/>
        <v>41419.368000000002</v>
      </c>
      <c r="H19" s="9"/>
      <c r="I19" s="9"/>
      <c r="J19" s="8">
        <f t="shared" si="1"/>
        <v>0</v>
      </c>
      <c r="K19" s="8">
        <f t="shared" si="2"/>
        <v>41419.368000000002</v>
      </c>
      <c r="L19" s="143"/>
      <c r="M19" s="8">
        <f t="shared" si="4"/>
        <v>773992.9859000002</v>
      </c>
      <c r="N19" s="41"/>
      <c r="O19" s="1"/>
    </row>
    <row r="20" spans="1:21">
      <c r="A20" s="43">
        <v>17</v>
      </c>
      <c r="B20" s="194">
        <v>46220</v>
      </c>
      <c r="C20" s="22"/>
      <c r="D20" s="22"/>
      <c r="E20" s="8">
        <v>230</v>
      </c>
      <c r="F20" s="8">
        <v>99.7</v>
      </c>
      <c r="G20" s="8">
        <f t="shared" si="0"/>
        <v>22931</v>
      </c>
      <c r="H20" s="9">
        <v>6</v>
      </c>
      <c r="I20" s="9">
        <v>111.82</v>
      </c>
      <c r="J20" s="8">
        <f t="shared" si="1"/>
        <v>670.92</v>
      </c>
      <c r="K20" s="8">
        <f t="shared" si="2"/>
        <v>23601.919999999998</v>
      </c>
      <c r="L20" s="143"/>
      <c r="M20" s="8">
        <f t="shared" si="4"/>
        <v>797594.90590000025</v>
      </c>
      <c r="N20" s="41"/>
      <c r="O20" s="1"/>
    </row>
    <row r="21" spans="1:21">
      <c r="A21" s="43">
        <v>18</v>
      </c>
      <c r="B21" s="194">
        <v>46221</v>
      </c>
      <c r="C21" s="22"/>
      <c r="D21" s="22"/>
      <c r="E21" s="8">
        <v>120</v>
      </c>
      <c r="F21" s="8">
        <v>99.7</v>
      </c>
      <c r="G21" s="8">
        <f t="shared" si="0"/>
        <v>11964</v>
      </c>
      <c r="H21" s="476">
        <v>16</v>
      </c>
      <c r="I21" s="9">
        <v>111.82</v>
      </c>
      <c r="J21" s="8">
        <f t="shared" si="1"/>
        <v>1789.12</v>
      </c>
      <c r="K21" s="8">
        <f t="shared" si="2"/>
        <v>13753.119999999999</v>
      </c>
      <c r="L21" s="143"/>
      <c r="M21" s="8">
        <f t="shared" si="4"/>
        <v>811348.02590000024</v>
      </c>
      <c r="N21" s="41"/>
      <c r="O21" s="1"/>
    </row>
    <row r="22" spans="1:21">
      <c r="A22" s="43">
        <v>19</v>
      </c>
      <c r="B22" s="194">
        <v>46222</v>
      </c>
      <c r="C22" s="22"/>
      <c r="D22" s="22"/>
      <c r="E22" s="8">
        <v>30</v>
      </c>
      <c r="F22" s="8">
        <v>99.7</v>
      </c>
      <c r="G22" s="8">
        <f t="shared" si="0"/>
        <v>2991</v>
      </c>
      <c r="H22" s="476">
        <v>5</v>
      </c>
      <c r="I22" s="9">
        <v>111.82</v>
      </c>
      <c r="J22" s="8">
        <f t="shared" si="1"/>
        <v>559.09999999999991</v>
      </c>
      <c r="K22" s="8">
        <f>G22+J22</f>
        <v>3550.1</v>
      </c>
      <c r="L22" s="143"/>
      <c r="M22" s="8">
        <f t="shared" si="4"/>
        <v>814898.12590000022</v>
      </c>
      <c r="N22" s="41"/>
      <c r="O22" s="1"/>
      <c r="U22">
        <f>70+20+E2690</f>
        <v>90</v>
      </c>
    </row>
    <row r="23" spans="1:21">
      <c r="A23" s="43">
        <v>20</v>
      </c>
      <c r="B23" s="194">
        <v>46223</v>
      </c>
      <c r="C23" s="22"/>
      <c r="D23" s="22"/>
      <c r="E23" s="8">
        <v>515</v>
      </c>
      <c r="F23" s="8">
        <v>99.7</v>
      </c>
      <c r="G23" s="8">
        <f t="shared" si="0"/>
        <v>51345.5</v>
      </c>
      <c r="H23" s="9"/>
      <c r="I23" s="9"/>
      <c r="J23" s="8">
        <f t="shared" si="1"/>
        <v>0</v>
      </c>
      <c r="K23" s="8">
        <f t="shared" si="2"/>
        <v>51345.5</v>
      </c>
      <c r="L23" s="143"/>
      <c r="M23" s="8">
        <f t="shared" si="4"/>
        <v>866243.62590000022</v>
      </c>
      <c r="N23" s="41"/>
      <c r="O23" s="1"/>
    </row>
    <row r="24" spans="1:21">
      <c r="A24" s="43">
        <v>21</v>
      </c>
      <c r="B24" s="194">
        <v>46224</v>
      </c>
      <c r="C24" s="22"/>
      <c r="D24" s="22"/>
      <c r="E24" s="8"/>
      <c r="F24" s="8"/>
      <c r="G24" s="8">
        <f t="shared" si="0"/>
        <v>0</v>
      </c>
      <c r="H24" s="9">
        <v>5</v>
      </c>
      <c r="I24" s="9">
        <v>111.82</v>
      </c>
      <c r="J24" s="8">
        <f t="shared" si="1"/>
        <v>559.09999999999991</v>
      </c>
      <c r="K24" s="8">
        <f t="shared" si="2"/>
        <v>559.09999999999991</v>
      </c>
      <c r="L24" s="143"/>
      <c r="M24" s="8">
        <f t="shared" si="4"/>
        <v>866802.72590000019</v>
      </c>
      <c r="N24" s="41"/>
      <c r="O24" s="1"/>
    </row>
    <row r="25" spans="1:21">
      <c r="A25" s="43">
        <v>22</v>
      </c>
      <c r="B25" s="194">
        <v>46225</v>
      </c>
      <c r="C25" s="22"/>
      <c r="D25" s="22"/>
      <c r="E25" s="8">
        <v>75</v>
      </c>
      <c r="F25" s="8">
        <v>99.7</v>
      </c>
      <c r="G25" s="8">
        <f t="shared" si="0"/>
        <v>7477.5</v>
      </c>
      <c r="H25" s="9"/>
      <c r="I25" s="9"/>
      <c r="J25" s="8">
        <f>H25*I25</f>
        <v>0</v>
      </c>
      <c r="K25" s="8">
        <f>G25+J25</f>
        <v>7477.5</v>
      </c>
      <c r="L25" s="143">
        <v>650000</v>
      </c>
      <c r="M25" s="8">
        <f t="shared" si="4"/>
        <v>224280.22590000019</v>
      </c>
      <c r="N25" s="41"/>
      <c r="O25" s="1"/>
    </row>
    <row r="26" spans="1:21">
      <c r="A26" s="43">
        <v>23</v>
      </c>
      <c r="B26" s="194">
        <v>46226</v>
      </c>
      <c r="C26" s="22"/>
      <c r="D26" s="22"/>
      <c r="E26" s="8">
        <v>70</v>
      </c>
      <c r="F26" s="8">
        <v>99.7</v>
      </c>
      <c r="G26" s="8">
        <f t="shared" si="0"/>
        <v>6979</v>
      </c>
      <c r="H26" s="9">
        <v>5</v>
      </c>
      <c r="I26" s="9">
        <v>111.82</v>
      </c>
      <c r="J26" s="8">
        <f t="shared" si="1"/>
        <v>559.09999999999991</v>
      </c>
      <c r="K26" s="8">
        <f>G26+J26</f>
        <v>7538.1</v>
      </c>
      <c r="L26" s="143"/>
      <c r="M26" s="8">
        <f t="shared" si="4"/>
        <v>231818.3259000002</v>
      </c>
      <c r="N26" s="41"/>
      <c r="O26" s="1"/>
    </row>
    <row r="27" spans="1:21">
      <c r="A27" s="43">
        <v>24</v>
      </c>
      <c r="B27" s="194">
        <v>46227</v>
      </c>
      <c r="C27" s="22"/>
      <c r="D27" s="22"/>
      <c r="E27" s="8">
        <v>255</v>
      </c>
      <c r="F27" s="8">
        <v>99.7</v>
      </c>
      <c r="G27" s="8">
        <f t="shared" si="0"/>
        <v>25423.5</v>
      </c>
      <c r="H27" s="9">
        <v>5</v>
      </c>
      <c r="I27" s="9">
        <v>111.82</v>
      </c>
      <c r="J27" s="8">
        <f t="shared" si="1"/>
        <v>559.09999999999991</v>
      </c>
      <c r="K27" s="8">
        <f>G27+J27</f>
        <v>25982.6</v>
      </c>
      <c r="L27" s="143"/>
      <c r="M27" s="8">
        <f t="shared" si="4"/>
        <v>257800.92590000021</v>
      </c>
      <c r="N27" s="41"/>
      <c r="O27" s="1"/>
    </row>
    <row r="28" spans="1:21">
      <c r="A28" s="43">
        <v>25</v>
      </c>
      <c r="B28" s="194">
        <v>46228</v>
      </c>
      <c r="C28" s="22"/>
      <c r="D28" s="22"/>
      <c r="E28" s="8">
        <v>160</v>
      </c>
      <c r="F28" s="8">
        <v>99.7</v>
      </c>
      <c r="G28" s="8">
        <f t="shared" si="0"/>
        <v>15952</v>
      </c>
      <c r="H28" s="9">
        <v>6</v>
      </c>
      <c r="I28" s="9">
        <v>111.82</v>
      </c>
      <c r="J28" s="8">
        <f t="shared" si="1"/>
        <v>670.92</v>
      </c>
      <c r="K28" s="8">
        <f t="shared" si="2"/>
        <v>16622.919999999998</v>
      </c>
      <c r="L28" s="143"/>
      <c r="M28" s="8">
        <f t="shared" si="4"/>
        <v>274423.84590000019</v>
      </c>
      <c r="N28" s="41"/>
      <c r="O28" s="1"/>
    </row>
    <row r="29" spans="1:21">
      <c r="A29" s="43">
        <v>26</v>
      </c>
      <c r="B29" s="194">
        <v>46230</v>
      </c>
      <c r="C29" s="22"/>
      <c r="D29" s="22"/>
      <c r="E29" s="8">
        <v>80</v>
      </c>
      <c r="F29" s="8">
        <v>99.7</v>
      </c>
      <c r="G29" s="8">
        <f t="shared" si="0"/>
        <v>7976</v>
      </c>
      <c r="H29" s="9">
        <v>6</v>
      </c>
      <c r="I29" s="9">
        <v>111.82</v>
      </c>
      <c r="J29" s="8">
        <f t="shared" si="1"/>
        <v>670.92</v>
      </c>
      <c r="K29" s="8">
        <f t="shared" si="2"/>
        <v>8646.92</v>
      </c>
      <c r="L29" s="143"/>
      <c r="M29" s="8">
        <f t="shared" si="4"/>
        <v>283070.76590000017</v>
      </c>
      <c r="N29" s="41"/>
      <c r="O29" s="1"/>
    </row>
    <row r="30" spans="1:21">
      <c r="A30" s="43">
        <v>27</v>
      </c>
      <c r="B30" s="194">
        <v>46230</v>
      </c>
      <c r="C30" s="22"/>
      <c r="D30" s="22"/>
      <c r="E30" s="8"/>
      <c r="F30" s="8"/>
      <c r="G30" s="8">
        <f t="shared" si="0"/>
        <v>0</v>
      </c>
      <c r="H30" s="9">
        <v>5</v>
      </c>
      <c r="I30" s="9">
        <v>121.76</v>
      </c>
      <c r="J30" s="8">
        <f t="shared" si="1"/>
        <v>608.80000000000007</v>
      </c>
      <c r="K30" s="8">
        <f t="shared" si="2"/>
        <v>608.80000000000007</v>
      </c>
      <c r="L30" s="143"/>
      <c r="M30" s="8">
        <f t="shared" si="4"/>
        <v>283679.56590000016</v>
      </c>
      <c r="N30" s="41"/>
      <c r="O30" s="1"/>
    </row>
    <row r="31" spans="1:21">
      <c r="A31" s="43">
        <v>28</v>
      </c>
      <c r="B31" s="194">
        <v>46231</v>
      </c>
      <c r="C31" s="22"/>
      <c r="D31" s="22"/>
      <c r="E31" s="8">
        <v>30</v>
      </c>
      <c r="F31" s="8">
        <v>99.7</v>
      </c>
      <c r="G31" s="8">
        <f t="shared" si="0"/>
        <v>2991</v>
      </c>
      <c r="H31" s="9"/>
      <c r="I31" s="9"/>
      <c r="J31" s="8">
        <f>H31*I31</f>
        <v>0</v>
      </c>
      <c r="K31" s="8">
        <f t="shared" si="2"/>
        <v>2991</v>
      </c>
      <c r="L31" s="143"/>
      <c r="M31" s="8">
        <f t="shared" si="4"/>
        <v>286670.56590000016</v>
      </c>
      <c r="N31" s="41"/>
      <c r="O31" s="1"/>
    </row>
    <row r="32" spans="1:21">
      <c r="A32" s="43">
        <v>29</v>
      </c>
      <c r="B32" s="194">
        <v>46232</v>
      </c>
      <c r="C32" s="22"/>
      <c r="D32" s="22"/>
      <c r="E32" s="8">
        <v>336</v>
      </c>
      <c r="F32" s="8">
        <v>99.7</v>
      </c>
      <c r="G32" s="8">
        <f t="shared" si="0"/>
        <v>33499.200000000004</v>
      </c>
      <c r="H32" s="9"/>
      <c r="I32" s="9"/>
      <c r="J32" s="8">
        <f t="shared" si="1"/>
        <v>0</v>
      </c>
      <c r="K32" s="8">
        <f t="shared" si="2"/>
        <v>33499.200000000004</v>
      </c>
      <c r="L32" s="143"/>
      <c r="M32" s="8">
        <f t="shared" si="4"/>
        <v>320169.76590000017</v>
      </c>
      <c r="N32" s="41"/>
      <c r="O32" s="1"/>
    </row>
    <row r="33" spans="1:16">
      <c r="A33" s="43">
        <v>30</v>
      </c>
      <c r="B33" s="194">
        <v>46233</v>
      </c>
      <c r="C33" s="22"/>
      <c r="D33" s="22"/>
      <c r="E33" s="8">
        <v>164.88</v>
      </c>
      <c r="F33" s="8">
        <v>99.7</v>
      </c>
      <c r="G33" s="8">
        <f t="shared" si="0"/>
        <v>16438.536</v>
      </c>
      <c r="H33" s="9">
        <v>10</v>
      </c>
      <c r="I33" s="9">
        <v>111.82</v>
      </c>
      <c r="J33" s="8">
        <f t="shared" si="1"/>
        <v>1118.1999999999998</v>
      </c>
      <c r="K33" s="8">
        <f t="shared" si="2"/>
        <v>17556.736000000001</v>
      </c>
      <c r="L33" s="143"/>
      <c r="M33" s="8">
        <f t="shared" si="4"/>
        <v>337726.50190000015</v>
      </c>
      <c r="N33" s="41"/>
      <c r="O33" s="1"/>
    </row>
    <row r="34" spans="1:16">
      <c r="A34" s="43">
        <v>31</v>
      </c>
      <c r="B34" s="194">
        <v>46234</v>
      </c>
      <c r="C34" s="22"/>
      <c r="D34" s="22"/>
      <c r="E34" s="8">
        <v>55</v>
      </c>
      <c r="F34" s="8">
        <v>99.7</v>
      </c>
      <c r="G34" s="8">
        <f t="shared" si="0"/>
        <v>5483.5</v>
      </c>
      <c r="H34" s="9">
        <v>6</v>
      </c>
      <c r="I34" s="9">
        <v>111.82</v>
      </c>
      <c r="J34" s="8">
        <f t="shared" si="1"/>
        <v>670.92</v>
      </c>
      <c r="K34" s="8">
        <f t="shared" si="2"/>
        <v>6154.42</v>
      </c>
      <c r="L34" s="143">
        <v>0</v>
      </c>
      <c r="M34" s="8">
        <f t="shared" si="4"/>
        <v>343880.92190000013</v>
      </c>
      <c r="N34" s="41"/>
      <c r="O34" s="1"/>
    </row>
    <row r="35" spans="1:16">
      <c r="A35" s="43">
        <v>32</v>
      </c>
      <c r="B35" s="194"/>
      <c r="C35" s="22"/>
      <c r="D35" s="22"/>
      <c r="E35" s="8"/>
      <c r="F35" s="8"/>
      <c r="G35" s="8">
        <f t="shared" si="0"/>
        <v>0</v>
      </c>
      <c r="H35" s="9"/>
      <c r="I35" s="9"/>
      <c r="J35" s="8">
        <f t="shared" si="1"/>
        <v>0</v>
      </c>
      <c r="K35" s="8">
        <f t="shared" si="2"/>
        <v>0</v>
      </c>
      <c r="L35" s="143">
        <v>0</v>
      </c>
      <c r="M35" s="8">
        <f t="shared" si="4"/>
        <v>343880.92190000013</v>
      </c>
      <c r="N35" s="41"/>
      <c r="O35" s="1"/>
    </row>
    <row r="36" spans="1:16">
      <c r="A36" s="189"/>
      <c r="B36" s="194"/>
      <c r="C36" s="22"/>
      <c r="D36" s="22"/>
      <c r="E36" s="8"/>
      <c r="F36" s="8"/>
      <c r="G36" s="8"/>
      <c r="H36" s="9">
        <v>0</v>
      </c>
      <c r="I36" s="9">
        <v>0</v>
      </c>
      <c r="J36" s="8"/>
      <c r="K36" s="8"/>
      <c r="L36" s="143"/>
      <c r="M36" s="8">
        <f t="shared" si="4"/>
        <v>343880.92190000013</v>
      </c>
      <c r="N36" s="41"/>
      <c r="O36" s="1">
        <v>866821.10920000006</v>
      </c>
      <c r="P36" s="167">
        <f>O36-M36</f>
        <v>522940.18729999993</v>
      </c>
    </row>
    <row r="37" spans="1:16">
      <c r="A37" s="59"/>
      <c r="B37" s="59"/>
      <c r="C37" s="59"/>
      <c r="D37" s="59"/>
      <c r="E37" s="60">
        <f>SUM(E4:E35)</f>
        <v>5892.11</v>
      </c>
      <c r="F37" s="60"/>
      <c r="G37" s="60">
        <f>SUM(G4:G35)</f>
        <v>587443.36699999997</v>
      </c>
      <c r="H37" s="60">
        <f>SUM(H4:H35)</f>
        <v>119.00999999999999</v>
      </c>
      <c r="I37" s="60"/>
      <c r="J37" s="60">
        <f>SUM(J4:J35)</f>
        <v>13357.398200000001</v>
      </c>
      <c r="K37" s="60">
        <f>SUM(K4:K35)</f>
        <v>600800.76520000002</v>
      </c>
      <c r="L37" s="60">
        <f>SUM(L4:L35)</f>
        <v>650000</v>
      </c>
      <c r="M37" s="60"/>
      <c r="N37" s="60"/>
      <c r="O37" s="56"/>
    </row>
    <row r="38" spans="1:16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6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6">
      <c r="A40" s="1"/>
      <c r="B40" s="580"/>
      <c r="C40" s="580"/>
      <c r="D40" s="580"/>
      <c r="E40" s="580"/>
      <c r="F40" s="1"/>
      <c r="G40" s="1"/>
      <c r="H40" s="1"/>
      <c r="I40" s="581">
        <f>K25+L25</f>
        <v>657477.5</v>
      </c>
      <c r="J40" s="580"/>
      <c r="K40" s="580"/>
      <c r="L40" s="580"/>
      <c r="M40" s="580"/>
      <c r="N40" s="580"/>
      <c r="O40" s="4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5"/>
  <sheetViews>
    <sheetView workbookViewId="0">
      <pane ySplit="2" topLeftCell="A26" activePane="bottomLeft" state="frozen"/>
      <selection pane="bottomLeft" activeCell="L34" sqref="L34:M34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539" t="s">
        <v>137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79"/>
    </row>
    <row r="2" spans="1:16">
      <c r="A2" s="95" t="s">
        <v>0</v>
      </c>
      <c r="B2" s="96" t="s">
        <v>163</v>
      </c>
      <c r="C2" s="96" t="s">
        <v>164</v>
      </c>
      <c r="D2" s="96" t="s">
        <v>186</v>
      </c>
      <c r="E2" s="96" t="s">
        <v>166</v>
      </c>
      <c r="F2" s="96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135" t="s">
        <v>171</v>
      </c>
      <c r="M2" s="138" t="s">
        <v>187</v>
      </c>
      <c r="N2" s="98" t="s">
        <v>173</v>
      </c>
      <c r="O2" s="56"/>
    </row>
    <row r="3" spans="1:16">
      <c r="A3" s="567" t="s">
        <v>174</v>
      </c>
      <c r="B3" s="567"/>
      <c r="C3" s="567"/>
      <c r="D3" s="567"/>
      <c r="E3" s="567"/>
      <c r="F3" s="567"/>
      <c r="G3" s="567"/>
      <c r="H3" s="567"/>
      <c r="I3" s="567"/>
      <c r="J3" s="567"/>
      <c r="K3" s="92">
        <v>79945.407999999967</v>
      </c>
      <c r="L3" s="14"/>
      <c r="M3" s="14">
        <v>79945.407999999967</v>
      </c>
      <c r="N3" s="226"/>
      <c r="O3" s="56"/>
    </row>
    <row r="4" spans="1:16">
      <c r="A4" s="43">
        <v>1</v>
      </c>
      <c r="B4" s="313">
        <v>46204</v>
      </c>
      <c r="C4" s="64"/>
      <c r="D4" s="152"/>
      <c r="E4" s="62">
        <v>40</v>
      </c>
      <c r="F4" s="62">
        <v>99.64</v>
      </c>
      <c r="G4" s="8">
        <f>E4*F4</f>
        <v>3985.6</v>
      </c>
      <c r="H4" s="62">
        <v>5</v>
      </c>
      <c r="I4" s="63">
        <v>111.77</v>
      </c>
      <c r="J4" s="8">
        <f>H4*I4</f>
        <v>558.85</v>
      </c>
      <c r="K4" s="8">
        <f>G4+J4</f>
        <v>4544.45</v>
      </c>
      <c r="L4" s="65"/>
      <c r="M4" s="65">
        <f t="shared" ref="M4:M21" si="0">M3+K4-L4</f>
        <v>84489.857999999964</v>
      </c>
      <c r="N4" s="451"/>
    </row>
    <row r="5" spans="1:16">
      <c r="A5" s="43">
        <v>2</v>
      </c>
      <c r="B5" s="313">
        <v>46205</v>
      </c>
      <c r="C5" s="64"/>
      <c r="D5" s="64"/>
      <c r="E5" s="62">
        <v>30</v>
      </c>
      <c r="F5" s="62">
        <v>99.64</v>
      </c>
      <c r="G5" s="8">
        <f t="shared" ref="G5:G35" si="1">E5*F5</f>
        <v>2989.2</v>
      </c>
      <c r="H5" s="62"/>
      <c r="I5" s="63"/>
      <c r="J5" s="8">
        <f t="shared" ref="J5:J35" si="2">H5*I5</f>
        <v>0</v>
      </c>
      <c r="K5" s="8">
        <f t="shared" ref="K5:K35" si="3">G5+J5</f>
        <v>2989.2</v>
      </c>
      <c r="L5" s="65"/>
      <c r="M5" s="65">
        <f t="shared" si="0"/>
        <v>87479.057999999961</v>
      </c>
      <c r="N5" s="452"/>
    </row>
    <row r="6" spans="1:16">
      <c r="A6" s="43">
        <v>3</v>
      </c>
      <c r="B6" s="313">
        <v>46206</v>
      </c>
      <c r="C6" s="64"/>
      <c r="D6" s="64"/>
      <c r="E6" s="62"/>
      <c r="F6" s="62"/>
      <c r="G6" s="8">
        <f t="shared" si="1"/>
        <v>0</v>
      </c>
      <c r="H6" s="62"/>
      <c r="I6" s="63"/>
      <c r="J6" s="8">
        <f t="shared" si="2"/>
        <v>0</v>
      </c>
      <c r="K6" s="8">
        <f t="shared" si="3"/>
        <v>0</v>
      </c>
      <c r="L6" s="65"/>
      <c r="M6" s="65">
        <f t="shared" si="0"/>
        <v>87479.057999999961</v>
      </c>
      <c r="N6" s="453"/>
    </row>
    <row r="7" spans="1:16">
      <c r="A7" s="43">
        <v>4</v>
      </c>
      <c r="B7" s="313">
        <v>46207</v>
      </c>
      <c r="C7" s="64"/>
      <c r="D7" s="68"/>
      <c r="E7" s="62">
        <v>30</v>
      </c>
      <c r="F7" s="62">
        <v>99.64</v>
      </c>
      <c r="G7" s="8">
        <f t="shared" si="1"/>
        <v>2989.2</v>
      </c>
      <c r="H7" s="62">
        <v>8</v>
      </c>
      <c r="I7" s="63">
        <v>111.77</v>
      </c>
      <c r="J7" s="8">
        <f t="shared" si="2"/>
        <v>894.16</v>
      </c>
      <c r="K7" s="8">
        <f t="shared" si="3"/>
        <v>3883.3599999999997</v>
      </c>
      <c r="L7" s="65"/>
      <c r="M7" s="65">
        <f t="shared" si="0"/>
        <v>91362.417999999961</v>
      </c>
      <c r="N7" s="454"/>
    </row>
    <row r="8" spans="1:16">
      <c r="A8" s="43">
        <v>5</v>
      </c>
      <c r="B8" s="313">
        <v>46208</v>
      </c>
      <c r="C8" s="64"/>
      <c r="D8" s="68"/>
      <c r="E8" s="62">
        <v>20</v>
      </c>
      <c r="F8" s="62">
        <v>99.64</v>
      </c>
      <c r="G8" s="8">
        <f t="shared" si="1"/>
        <v>1992.8</v>
      </c>
      <c r="H8" s="62"/>
      <c r="I8" s="63"/>
      <c r="J8" s="8">
        <f t="shared" si="2"/>
        <v>0</v>
      </c>
      <c r="K8" s="8">
        <f t="shared" si="3"/>
        <v>1992.8</v>
      </c>
      <c r="L8" s="65"/>
      <c r="M8" s="65">
        <f t="shared" si="0"/>
        <v>93355.217999999964</v>
      </c>
      <c r="N8" s="454"/>
      <c r="O8" s="236">
        <v>8497892194</v>
      </c>
      <c r="P8" s="237" t="s">
        <v>280</v>
      </c>
    </row>
    <row r="9" spans="1:16">
      <c r="A9" s="189">
        <v>6</v>
      </c>
      <c r="B9" s="313">
        <v>46209</v>
      </c>
      <c r="C9" s="455"/>
      <c r="D9" s="456"/>
      <c r="E9" s="62">
        <v>20</v>
      </c>
      <c r="F9" s="62">
        <v>99.64</v>
      </c>
      <c r="G9" s="136">
        <f t="shared" si="1"/>
        <v>1992.8</v>
      </c>
      <c r="H9" s="146"/>
      <c r="I9" s="147"/>
      <c r="J9" s="17">
        <f t="shared" si="2"/>
        <v>0</v>
      </c>
      <c r="K9" s="17">
        <f t="shared" si="3"/>
        <v>1992.8</v>
      </c>
      <c r="L9" s="137"/>
      <c r="M9" s="137">
        <f t="shared" si="0"/>
        <v>95348.017999999967</v>
      </c>
      <c r="N9" s="38"/>
      <c r="O9" s="66"/>
    </row>
    <row r="10" spans="1:16">
      <c r="A10" s="43">
        <v>7</v>
      </c>
      <c r="B10" s="313">
        <v>46210</v>
      </c>
      <c r="C10" s="67"/>
      <c r="D10" s="68"/>
      <c r="E10" s="146"/>
      <c r="F10" s="146"/>
      <c r="G10" s="136">
        <f t="shared" si="1"/>
        <v>0</v>
      </c>
      <c r="H10" s="146"/>
      <c r="I10" s="147"/>
      <c r="J10" s="17">
        <f t="shared" si="2"/>
        <v>0</v>
      </c>
      <c r="K10" s="17">
        <f t="shared" si="3"/>
        <v>0</v>
      </c>
      <c r="L10" s="137"/>
      <c r="M10" s="11">
        <f t="shared" si="0"/>
        <v>95348.017999999967</v>
      </c>
      <c r="N10" s="38"/>
      <c r="O10" s="66"/>
    </row>
    <row r="11" spans="1:16">
      <c r="A11" s="43">
        <v>8</v>
      </c>
      <c r="B11" s="313">
        <v>46211</v>
      </c>
      <c r="C11" s="67"/>
      <c r="D11" s="68"/>
      <c r="E11" s="146">
        <v>40</v>
      </c>
      <c r="F11" s="146">
        <v>99.64</v>
      </c>
      <c r="G11" s="136">
        <f t="shared" si="1"/>
        <v>3985.6</v>
      </c>
      <c r="H11" s="146">
        <v>6</v>
      </c>
      <c r="I11" s="147">
        <v>111.77</v>
      </c>
      <c r="J11" s="17">
        <f t="shared" si="2"/>
        <v>670.62</v>
      </c>
      <c r="K11" s="17">
        <f t="shared" si="3"/>
        <v>4656.22</v>
      </c>
      <c r="L11" s="137"/>
      <c r="M11" s="11">
        <f t="shared" si="0"/>
        <v>100004.23799999997</v>
      </c>
      <c r="N11" s="38"/>
      <c r="O11" s="66"/>
    </row>
    <row r="12" spans="1:16">
      <c r="A12" s="43">
        <v>9</v>
      </c>
      <c r="B12" s="313">
        <v>46212</v>
      </c>
      <c r="C12" s="67"/>
      <c r="D12" s="68"/>
      <c r="E12" s="146">
        <v>20</v>
      </c>
      <c r="F12" s="146">
        <v>99.64</v>
      </c>
      <c r="G12" s="136">
        <f t="shared" si="1"/>
        <v>1992.8</v>
      </c>
      <c r="H12" s="146"/>
      <c r="I12" s="147"/>
      <c r="J12" s="17">
        <f t="shared" si="2"/>
        <v>0</v>
      </c>
      <c r="K12" s="17">
        <f t="shared" si="3"/>
        <v>1992.8</v>
      </c>
      <c r="L12" s="137"/>
      <c r="M12" s="11">
        <f t="shared" si="0"/>
        <v>101997.03799999997</v>
      </c>
      <c r="N12" s="38"/>
      <c r="O12" s="66"/>
    </row>
    <row r="13" spans="1:16">
      <c r="A13" s="43">
        <v>10</v>
      </c>
      <c r="B13" s="313">
        <v>46213</v>
      </c>
      <c r="C13" s="67"/>
      <c r="D13" s="68"/>
      <c r="E13" s="146">
        <v>20</v>
      </c>
      <c r="F13" s="146">
        <v>99.64</v>
      </c>
      <c r="G13" s="136">
        <f t="shared" si="1"/>
        <v>1992.8</v>
      </c>
      <c r="H13" s="146"/>
      <c r="I13" s="147"/>
      <c r="J13" s="17">
        <f t="shared" si="2"/>
        <v>0</v>
      </c>
      <c r="K13" s="17">
        <f t="shared" si="3"/>
        <v>1992.8</v>
      </c>
      <c r="L13" s="137"/>
      <c r="M13" s="11">
        <f t="shared" si="0"/>
        <v>103989.83799999997</v>
      </c>
      <c r="N13" s="38"/>
      <c r="O13" s="66"/>
    </row>
    <row r="14" spans="1:16">
      <c r="A14" s="43">
        <v>11</v>
      </c>
      <c r="B14" s="313">
        <v>46214</v>
      </c>
      <c r="C14" s="67"/>
      <c r="D14" s="68"/>
      <c r="E14" s="146">
        <v>40</v>
      </c>
      <c r="F14" s="146">
        <v>99.64</v>
      </c>
      <c r="G14" s="136">
        <f t="shared" si="1"/>
        <v>3985.6</v>
      </c>
      <c r="H14" s="146"/>
      <c r="I14" s="147"/>
      <c r="J14" s="17">
        <f t="shared" si="2"/>
        <v>0</v>
      </c>
      <c r="K14" s="17">
        <f t="shared" si="3"/>
        <v>3985.6</v>
      </c>
      <c r="L14" s="137"/>
      <c r="M14" s="11">
        <f t="shared" si="0"/>
        <v>107975.43799999998</v>
      </c>
      <c r="N14" s="38"/>
      <c r="O14" s="66"/>
      <c r="P14">
        <f>535.3/5.36</f>
        <v>99.869402985074615</v>
      </c>
    </row>
    <row r="15" spans="1:16">
      <c r="A15" s="43">
        <v>12</v>
      </c>
      <c r="B15" s="313">
        <v>46215</v>
      </c>
      <c r="C15" s="67"/>
      <c r="D15" s="68"/>
      <c r="E15" s="146">
        <v>50</v>
      </c>
      <c r="F15" s="146">
        <v>99.64</v>
      </c>
      <c r="G15" s="136">
        <f t="shared" si="1"/>
        <v>4982</v>
      </c>
      <c r="H15" s="146"/>
      <c r="I15" s="147"/>
      <c r="J15" s="17">
        <f t="shared" si="2"/>
        <v>0</v>
      </c>
      <c r="K15" s="17">
        <f t="shared" si="3"/>
        <v>4982</v>
      </c>
      <c r="L15" s="137"/>
      <c r="M15" s="11">
        <f t="shared" si="0"/>
        <v>112957.43799999998</v>
      </c>
      <c r="N15" s="38"/>
      <c r="O15" s="66"/>
    </row>
    <row r="16" spans="1:16">
      <c r="A16" s="43">
        <v>13</v>
      </c>
      <c r="B16" s="313">
        <v>46216</v>
      </c>
      <c r="C16" s="67"/>
      <c r="D16" s="68"/>
      <c r="E16" s="146">
        <v>20</v>
      </c>
      <c r="F16" s="146">
        <v>99.64</v>
      </c>
      <c r="G16" s="136">
        <f t="shared" si="1"/>
        <v>1992.8</v>
      </c>
      <c r="H16" s="146">
        <v>12</v>
      </c>
      <c r="I16" s="147">
        <v>111.77</v>
      </c>
      <c r="J16" s="17">
        <f t="shared" si="2"/>
        <v>1341.24</v>
      </c>
      <c r="K16" s="17">
        <f t="shared" si="3"/>
        <v>3334.04</v>
      </c>
      <c r="L16" s="137"/>
      <c r="M16" s="235">
        <f t="shared" si="0"/>
        <v>116291.47799999997</v>
      </c>
      <c r="N16" s="38"/>
      <c r="O16" s="66"/>
    </row>
    <row r="17" spans="1:18">
      <c r="A17" s="43">
        <v>14</v>
      </c>
      <c r="B17" s="313">
        <v>46217</v>
      </c>
      <c r="C17" s="67"/>
      <c r="D17" s="68"/>
      <c r="E17" s="146">
        <v>20</v>
      </c>
      <c r="F17" s="146">
        <v>99.64</v>
      </c>
      <c r="G17" s="136">
        <f t="shared" si="1"/>
        <v>1992.8</v>
      </c>
      <c r="H17" s="146"/>
      <c r="I17" s="147"/>
      <c r="J17" s="17">
        <f t="shared" si="2"/>
        <v>0</v>
      </c>
      <c r="K17" s="17">
        <f t="shared" si="3"/>
        <v>1992.8</v>
      </c>
      <c r="L17" s="137"/>
      <c r="M17" s="11">
        <f t="shared" si="0"/>
        <v>118284.27799999998</v>
      </c>
      <c r="N17" s="38"/>
      <c r="O17" s="66"/>
    </row>
    <row r="18" spans="1:18">
      <c r="A18" s="43">
        <v>15</v>
      </c>
      <c r="B18" s="313">
        <v>46218</v>
      </c>
      <c r="C18" s="67"/>
      <c r="D18" s="68"/>
      <c r="E18" s="146">
        <v>20</v>
      </c>
      <c r="F18" s="146">
        <v>99.64</v>
      </c>
      <c r="G18" s="136">
        <f t="shared" si="1"/>
        <v>1992.8</v>
      </c>
      <c r="H18" s="146"/>
      <c r="I18" s="147"/>
      <c r="J18" s="17">
        <f t="shared" si="2"/>
        <v>0</v>
      </c>
      <c r="K18" s="17">
        <f t="shared" si="3"/>
        <v>1992.8</v>
      </c>
      <c r="L18" s="137"/>
      <c r="M18" s="11">
        <f t="shared" si="0"/>
        <v>120277.07799999998</v>
      </c>
      <c r="N18" s="38"/>
      <c r="O18" s="66"/>
    </row>
    <row r="19" spans="1:18">
      <c r="A19" s="43">
        <v>16</v>
      </c>
      <c r="B19" s="313">
        <v>46219</v>
      </c>
      <c r="C19" s="183"/>
      <c r="D19" s="184"/>
      <c r="E19" s="146">
        <v>40</v>
      </c>
      <c r="F19" s="146">
        <v>99.64</v>
      </c>
      <c r="G19" s="136">
        <f t="shared" si="1"/>
        <v>3985.6</v>
      </c>
      <c r="H19" s="146"/>
      <c r="I19" s="147"/>
      <c r="J19" s="17">
        <f t="shared" si="2"/>
        <v>0</v>
      </c>
      <c r="K19" s="17">
        <f t="shared" si="3"/>
        <v>3985.6</v>
      </c>
      <c r="L19" s="137"/>
      <c r="M19" s="12">
        <f t="shared" si="0"/>
        <v>124262.67799999999</v>
      </c>
      <c r="N19" s="185"/>
      <c r="O19" s="66"/>
    </row>
    <row r="20" spans="1:18">
      <c r="A20" s="43">
        <v>17</v>
      </c>
      <c r="B20" s="313">
        <v>46220</v>
      </c>
      <c r="C20" s="64"/>
      <c r="D20" s="68"/>
      <c r="E20" s="146">
        <v>20</v>
      </c>
      <c r="F20" s="146">
        <v>99.64</v>
      </c>
      <c r="G20" s="136">
        <f t="shared" si="1"/>
        <v>1992.8</v>
      </c>
      <c r="H20" s="146"/>
      <c r="I20" s="147"/>
      <c r="J20" s="17">
        <f t="shared" si="2"/>
        <v>0</v>
      </c>
      <c r="K20" s="17">
        <f t="shared" si="3"/>
        <v>1992.8</v>
      </c>
      <c r="L20" s="137"/>
      <c r="M20" s="12">
        <f t="shared" si="0"/>
        <v>126255.47799999999</v>
      </c>
      <c r="N20" s="38"/>
      <c r="O20" s="66"/>
    </row>
    <row r="21" spans="1:18">
      <c r="A21" s="43">
        <v>18</v>
      </c>
      <c r="B21" s="313">
        <v>46221</v>
      </c>
      <c r="C21" s="64"/>
      <c r="D21" s="68"/>
      <c r="E21" s="476">
        <v>20</v>
      </c>
      <c r="F21" s="476">
        <v>99.64</v>
      </c>
      <c r="G21" s="136">
        <f t="shared" si="1"/>
        <v>1992.8</v>
      </c>
      <c r="H21" s="146"/>
      <c r="I21" s="147"/>
      <c r="J21" s="17">
        <f t="shared" si="2"/>
        <v>0</v>
      </c>
      <c r="K21" s="17">
        <f t="shared" si="3"/>
        <v>1992.8</v>
      </c>
      <c r="L21" s="137"/>
      <c r="M21" s="12">
        <f t="shared" si="0"/>
        <v>128248.27799999999</v>
      </c>
      <c r="N21" s="38"/>
      <c r="O21" s="66"/>
    </row>
    <row r="22" spans="1:18">
      <c r="A22" s="43">
        <v>19</v>
      </c>
      <c r="B22" s="313">
        <v>46222</v>
      </c>
      <c r="C22" s="64"/>
      <c r="D22" s="68"/>
      <c r="E22" s="476">
        <v>20</v>
      </c>
      <c r="F22" s="476">
        <v>99.64</v>
      </c>
      <c r="G22" s="136">
        <f t="shared" si="1"/>
        <v>1992.8</v>
      </c>
      <c r="H22" s="146">
        <v>5</v>
      </c>
      <c r="I22" s="147">
        <v>111.77</v>
      </c>
      <c r="J22" s="17">
        <f t="shared" si="2"/>
        <v>558.85</v>
      </c>
      <c r="K22" s="17">
        <f t="shared" si="3"/>
        <v>2551.65</v>
      </c>
      <c r="L22" s="137"/>
      <c r="M22" s="12">
        <f t="shared" ref="M22:M31" si="4">M21+K22-L22</f>
        <v>130799.92799999999</v>
      </c>
      <c r="N22" s="38"/>
      <c r="O22" s="66"/>
    </row>
    <row r="23" spans="1:18">
      <c r="A23" s="43"/>
      <c r="B23" s="313">
        <v>46223</v>
      </c>
      <c r="C23" s="64"/>
      <c r="D23" s="68"/>
      <c r="E23" s="146">
        <v>40</v>
      </c>
      <c r="F23" s="146">
        <v>99.64</v>
      </c>
      <c r="G23" s="136">
        <f t="shared" si="1"/>
        <v>3985.6</v>
      </c>
      <c r="H23" s="146">
        <v>5</v>
      </c>
      <c r="I23" s="147">
        <v>111.77</v>
      </c>
      <c r="J23" s="17">
        <f t="shared" si="2"/>
        <v>558.85</v>
      </c>
      <c r="K23" s="17">
        <f t="shared" si="3"/>
        <v>4544.45</v>
      </c>
      <c r="L23" s="137"/>
      <c r="M23" s="12">
        <f t="shared" si="4"/>
        <v>135344.378</v>
      </c>
      <c r="N23" s="38"/>
      <c r="O23" s="66"/>
    </row>
    <row r="24" spans="1:18">
      <c r="A24" s="43">
        <v>20</v>
      </c>
      <c r="B24" s="313">
        <v>46224</v>
      </c>
      <c r="C24" s="64"/>
      <c r="D24" s="68"/>
      <c r="E24" s="146">
        <v>20</v>
      </c>
      <c r="F24" s="146">
        <v>99.64</v>
      </c>
      <c r="G24" s="136">
        <f t="shared" si="1"/>
        <v>1992.8</v>
      </c>
      <c r="H24" s="146"/>
      <c r="I24" s="147"/>
      <c r="J24" s="17">
        <f t="shared" si="2"/>
        <v>0</v>
      </c>
      <c r="K24" s="17">
        <f t="shared" si="3"/>
        <v>1992.8</v>
      </c>
      <c r="L24" s="137"/>
      <c r="M24" s="12">
        <f t="shared" si="4"/>
        <v>137337.17799999999</v>
      </c>
      <c r="N24" s="38"/>
      <c r="O24" s="66"/>
    </row>
    <row r="25" spans="1:18">
      <c r="A25" s="43">
        <v>21</v>
      </c>
      <c r="B25" s="313">
        <v>46225</v>
      </c>
      <c r="C25" s="64"/>
      <c r="D25" s="68"/>
      <c r="E25" s="146">
        <v>20</v>
      </c>
      <c r="F25" s="146">
        <v>99.64</v>
      </c>
      <c r="G25" s="136">
        <f t="shared" si="1"/>
        <v>1992.8</v>
      </c>
      <c r="H25" s="146"/>
      <c r="I25" s="147"/>
      <c r="J25" s="17">
        <f t="shared" si="2"/>
        <v>0</v>
      </c>
      <c r="K25" s="17">
        <f t="shared" si="3"/>
        <v>1992.8</v>
      </c>
      <c r="L25" s="137"/>
      <c r="M25" s="12">
        <f t="shared" si="4"/>
        <v>139329.97799999997</v>
      </c>
      <c r="N25" s="38"/>
      <c r="O25" s="66"/>
    </row>
    <row r="26" spans="1:18">
      <c r="A26" s="43">
        <v>22</v>
      </c>
      <c r="B26" s="313">
        <v>46226</v>
      </c>
      <c r="C26" s="64"/>
      <c r="D26" s="68"/>
      <c r="E26" s="146">
        <v>20</v>
      </c>
      <c r="F26" s="146">
        <v>99.64</v>
      </c>
      <c r="G26" s="136">
        <f t="shared" si="1"/>
        <v>1992.8</v>
      </c>
      <c r="H26" s="146"/>
      <c r="I26" s="147"/>
      <c r="J26" s="17">
        <f t="shared" si="2"/>
        <v>0</v>
      </c>
      <c r="K26" s="17">
        <f t="shared" si="3"/>
        <v>1992.8</v>
      </c>
      <c r="L26" s="137"/>
      <c r="M26" s="12">
        <f t="shared" si="4"/>
        <v>141322.77799999996</v>
      </c>
      <c r="N26" s="38"/>
      <c r="O26" s="66"/>
    </row>
    <row r="27" spans="1:18">
      <c r="A27" s="43">
        <v>23</v>
      </c>
      <c r="B27" s="313">
        <v>46227</v>
      </c>
      <c r="C27" s="64"/>
      <c r="D27" s="68"/>
      <c r="E27" s="146">
        <v>20</v>
      </c>
      <c r="F27" s="146">
        <v>99.64</v>
      </c>
      <c r="G27" s="136">
        <f t="shared" si="1"/>
        <v>1992.8</v>
      </c>
      <c r="H27" s="146">
        <v>5.63</v>
      </c>
      <c r="I27" s="147">
        <v>111.77</v>
      </c>
      <c r="J27" s="17">
        <f t="shared" si="2"/>
        <v>629.26509999999996</v>
      </c>
      <c r="K27" s="17">
        <f t="shared" si="3"/>
        <v>2622.0650999999998</v>
      </c>
      <c r="L27" s="137"/>
      <c r="M27" s="12">
        <f t="shared" si="4"/>
        <v>143944.84309999997</v>
      </c>
      <c r="N27" s="38"/>
      <c r="O27" s="66"/>
    </row>
    <row r="28" spans="1:18">
      <c r="A28" s="43">
        <v>24</v>
      </c>
      <c r="B28" s="313">
        <v>46228</v>
      </c>
      <c r="C28" s="64"/>
      <c r="D28" s="68"/>
      <c r="E28" s="146">
        <v>20</v>
      </c>
      <c r="F28" s="146">
        <v>99.64</v>
      </c>
      <c r="G28" s="136">
        <f t="shared" si="1"/>
        <v>1992.8</v>
      </c>
      <c r="H28" s="146"/>
      <c r="I28" s="147"/>
      <c r="J28" s="17">
        <f t="shared" si="2"/>
        <v>0</v>
      </c>
      <c r="K28" s="17">
        <f t="shared" si="3"/>
        <v>1992.8</v>
      </c>
      <c r="L28" s="137"/>
      <c r="M28" s="12">
        <f t="shared" si="4"/>
        <v>145937.64309999996</v>
      </c>
      <c r="N28" s="38"/>
      <c r="O28" s="66"/>
      <c r="R28">
        <v>66742</v>
      </c>
    </row>
    <row r="29" spans="1:18">
      <c r="A29" s="211">
        <v>25</v>
      </c>
      <c r="B29" s="313">
        <v>46229</v>
      </c>
      <c r="C29" s="188"/>
      <c r="D29" s="184"/>
      <c r="E29" s="146">
        <v>20</v>
      </c>
      <c r="F29" s="146">
        <v>99.64</v>
      </c>
      <c r="G29" s="136">
        <f t="shared" si="1"/>
        <v>1992.8</v>
      </c>
      <c r="H29" s="146"/>
      <c r="I29" s="147"/>
      <c r="J29" s="17">
        <f t="shared" si="2"/>
        <v>0</v>
      </c>
      <c r="K29" s="17">
        <f t="shared" si="3"/>
        <v>1992.8</v>
      </c>
      <c r="L29" s="137"/>
      <c r="M29" s="12">
        <f t="shared" si="4"/>
        <v>147930.44309999995</v>
      </c>
      <c r="N29" s="185"/>
      <c r="O29" s="66"/>
    </row>
    <row r="30" spans="1:18">
      <c r="A30" s="43">
        <v>26</v>
      </c>
      <c r="B30" s="313">
        <v>46230</v>
      </c>
      <c r="C30" s="64"/>
      <c r="D30" s="68"/>
      <c r="E30" s="146">
        <v>20</v>
      </c>
      <c r="F30" s="146">
        <v>99.64</v>
      </c>
      <c r="G30" s="136">
        <f t="shared" si="1"/>
        <v>1992.8</v>
      </c>
      <c r="H30" s="146"/>
      <c r="I30" s="147"/>
      <c r="J30" s="17">
        <f t="shared" si="2"/>
        <v>0</v>
      </c>
      <c r="K30" s="17">
        <f t="shared" si="3"/>
        <v>1992.8</v>
      </c>
      <c r="L30" s="137"/>
      <c r="M30" s="12">
        <f t="shared" si="4"/>
        <v>149923.24309999993</v>
      </c>
      <c r="N30" s="38"/>
      <c r="O30" s="66"/>
    </row>
    <row r="31" spans="1:18">
      <c r="A31" s="43">
        <v>27</v>
      </c>
      <c r="B31" s="313">
        <v>46231</v>
      </c>
      <c r="C31" s="64"/>
      <c r="D31" s="68"/>
      <c r="E31" s="146">
        <v>40</v>
      </c>
      <c r="F31" s="146">
        <v>99.64</v>
      </c>
      <c r="G31" s="136">
        <f t="shared" si="1"/>
        <v>3985.6</v>
      </c>
      <c r="H31" s="146"/>
      <c r="I31" s="147"/>
      <c r="J31" s="17">
        <f t="shared" si="2"/>
        <v>0</v>
      </c>
      <c r="K31" s="17">
        <f t="shared" si="3"/>
        <v>3985.6</v>
      </c>
      <c r="L31" s="137"/>
      <c r="M31" s="12">
        <f t="shared" si="4"/>
        <v>153908.84309999994</v>
      </c>
      <c r="N31" s="38"/>
      <c r="O31" s="66"/>
    </row>
    <row r="32" spans="1:18">
      <c r="A32" s="43">
        <v>28</v>
      </c>
      <c r="B32" s="313">
        <v>46232</v>
      </c>
      <c r="C32" s="64"/>
      <c r="D32" s="68"/>
      <c r="E32" s="146"/>
      <c r="F32" s="146"/>
      <c r="G32" s="136">
        <f t="shared" si="1"/>
        <v>0</v>
      </c>
      <c r="H32" s="146"/>
      <c r="I32" s="147"/>
      <c r="J32" s="17">
        <f t="shared" si="2"/>
        <v>0</v>
      </c>
      <c r="K32" s="17">
        <f t="shared" si="3"/>
        <v>0</v>
      </c>
      <c r="L32" s="137"/>
      <c r="M32" s="12">
        <f>M31+K32-L32</f>
        <v>153908.84309999994</v>
      </c>
      <c r="N32" s="38"/>
      <c r="O32" s="66"/>
    </row>
    <row r="33" spans="1:15">
      <c r="A33" s="43">
        <v>29</v>
      </c>
      <c r="B33" s="313">
        <v>46233</v>
      </c>
      <c r="C33" s="64"/>
      <c r="D33" s="68"/>
      <c r="E33" s="146">
        <v>20</v>
      </c>
      <c r="F33" s="146">
        <v>99.64</v>
      </c>
      <c r="G33" s="136">
        <f t="shared" si="1"/>
        <v>1992.8</v>
      </c>
      <c r="H33" s="146"/>
      <c r="I33" s="147"/>
      <c r="J33" s="17">
        <f t="shared" si="2"/>
        <v>0</v>
      </c>
      <c r="K33" s="17">
        <f t="shared" si="3"/>
        <v>1992.8</v>
      </c>
      <c r="L33" s="460"/>
      <c r="M33" s="12">
        <f>M32+K33-L33</f>
        <v>155901.64309999993</v>
      </c>
      <c r="N33" s="38"/>
      <c r="O33" s="66"/>
    </row>
    <row r="34" spans="1:15">
      <c r="A34" s="43">
        <v>30</v>
      </c>
      <c r="B34" s="313">
        <v>46234</v>
      </c>
      <c r="C34" s="64"/>
      <c r="D34" s="68"/>
      <c r="E34" s="146">
        <v>40</v>
      </c>
      <c r="F34" s="146">
        <v>99.64</v>
      </c>
      <c r="G34" s="136">
        <f t="shared" si="1"/>
        <v>3985.6</v>
      </c>
      <c r="H34" s="146"/>
      <c r="I34" s="147"/>
      <c r="J34" s="17">
        <f t="shared" si="2"/>
        <v>0</v>
      </c>
      <c r="K34" s="457">
        <f t="shared" si="3"/>
        <v>3985.6</v>
      </c>
      <c r="L34" s="65">
        <v>100000</v>
      </c>
      <c r="M34" s="65">
        <f>M33+K34-L34</f>
        <v>59887.243099999934</v>
      </c>
      <c r="N34" s="454"/>
      <c r="O34" s="66"/>
    </row>
    <row r="35" spans="1:15">
      <c r="A35" s="43">
        <v>31</v>
      </c>
      <c r="B35" s="313">
        <v>46235</v>
      </c>
      <c r="C35" s="64"/>
      <c r="D35" s="68"/>
      <c r="E35" s="146"/>
      <c r="F35" s="146"/>
      <c r="G35" s="136">
        <f t="shared" si="1"/>
        <v>0</v>
      </c>
      <c r="H35" s="146"/>
      <c r="I35" s="147"/>
      <c r="J35" s="17">
        <f t="shared" si="2"/>
        <v>0</v>
      </c>
      <c r="K35" s="457">
        <f t="shared" si="3"/>
        <v>0</v>
      </c>
      <c r="L35" s="65"/>
      <c r="M35" s="65">
        <f>M34+K35-L35</f>
        <v>59887.243099999934</v>
      </c>
      <c r="N35" s="454"/>
      <c r="O35" s="66"/>
    </row>
    <row r="36" spans="1:15">
      <c r="A36" s="153"/>
      <c r="B36" s="153"/>
      <c r="C36" s="153"/>
      <c r="D36" s="153"/>
      <c r="E36" s="154">
        <f>SUM(E4:E35)</f>
        <v>750</v>
      </c>
      <c r="F36" s="154"/>
      <c r="G36" s="154">
        <f>SUM(G4:G35)</f>
        <v>74730.000000000044</v>
      </c>
      <c r="H36" s="154">
        <f>SUM(H4:H35)</f>
        <v>46.63</v>
      </c>
      <c r="I36" s="154"/>
      <c r="J36" s="154">
        <f>SUM(J4:J35)</f>
        <v>5211.8350999999993</v>
      </c>
      <c r="K36" s="458">
        <f>SUM(K4:K35)</f>
        <v>79941.83510000004</v>
      </c>
      <c r="L36" s="60">
        <f>SUM(L4:L35)</f>
        <v>100000</v>
      </c>
      <c r="M36" s="60"/>
      <c r="N36" s="459"/>
      <c r="O36" s="56"/>
    </row>
    <row r="37" spans="1:15">
      <c r="A37" s="69"/>
      <c r="B37" s="70"/>
      <c r="C37" s="69"/>
      <c r="D37" s="69"/>
      <c r="E37" s="71"/>
      <c r="F37" s="71"/>
      <c r="G37" s="71"/>
      <c r="H37" s="71"/>
      <c r="I37" s="71"/>
      <c r="J37" s="72"/>
      <c r="K37" s="72"/>
      <c r="L37" s="72"/>
      <c r="M37" s="72"/>
      <c r="N37" s="71"/>
      <c r="O37" s="66"/>
    </row>
    <row r="38" spans="1:15"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A43" s="66"/>
      <c r="B43" s="56"/>
      <c r="C43" s="66"/>
      <c r="D43" s="66"/>
      <c r="E43" s="66"/>
      <c r="F43" s="66"/>
      <c r="G43" s="73"/>
      <c r="H43" s="66"/>
      <c r="I43" s="66"/>
      <c r="J43" s="56"/>
      <c r="K43" s="56"/>
      <c r="L43" s="56"/>
      <c r="M43" s="56"/>
      <c r="N43" s="66"/>
      <c r="O43" s="71"/>
    </row>
    <row r="44" spans="1:15">
      <c r="A44" s="66"/>
      <c r="B44" s="558"/>
      <c r="C44" s="558"/>
      <c r="D44" s="558"/>
      <c r="E44" s="558"/>
      <c r="F44" s="66"/>
      <c r="G44" s="66"/>
      <c r="H44" s="66"/>
      <c r="I44" s="558"/>
      <c r="J44" s="558"/>
      <c r="K44" s="558"/>
      <c r="L44" s="558"/>
      <c r="M44" s="558"/>
      <c r="N44" s="558"/>
      <c r="O44" s="71"/>
    </row>
    <row r="45" spans="1:15">
      <c r="A45" s="66"/>
      <c r="B45" s="56"/>
      <c r="C45" s="66"/>
      <c r="D45" s="66"/>
      <c r="E45" s="66"/>
      <c r="F45" s="66"/>
      <c r="G45" s="66"/>
      <c r="H45" s="66"/>
      <c r="I45" s="66"/>
      <c r="J45" s="56"/>
      <c r="K45" s="56"/>
      <c r="L45" s="56"/>
      <c r="M45" s="56"/>
      <c r="N45" s="66"/>
      <c r="O45" s="71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3"/>
  <sheetViews>
    <sheetView topLeftCell="A24" workbookViewId="0">
      <selection activeCell="M34" sqref="M34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19" bestFit="1" customWidth="1"/>
  </cols>
  <sheetData>
    <row r="1" spans="1:16" ht="15.75">
      <c r="A1" s="560" t="s">
        <v>139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6" ht="30">
      <c r="A2" s="95" t="s">
        <v>0</v>
      </c>
      <c r="B2" s="96" t="s">
        <v>163</v>
      </c>
      <c r="C2" s="96" t="s">
        <v>164</v>
      </c>
      <c r="D2" s="96" t="s">
        <v>165</v>
      </c>
      <c r="E2" s="96" t="s">
        <v>166</v>
      </c>
      <c r="F2" s="96" t="s">
        <v>167</v>
      </c>
      <c r="G2" s="176" t="s">
        <v>168</v>
      </c>
      <c r="H2" s="96" t="s">
        <v>169</v>
      </c>
      <c r="I2" s="96" t="s">
        <v>167</v>
      </c>
      <c r="J2" s="179" t="s">
        <v>168</v>
      </c>
      <c r="K2" s="97" t="s">
        <v>170</v>
      </c>
      <c r="L2" s="135" t="s">
        <v>171</v>
      </c>
      <c r="M2" s="291" t="s">
        <v>187</v>
      </c>
      <c r="N2" s="98" t="s">
        <v>173</v>
      </c>
    </row>
    <row r="3" spans="1:16">
      <c r="A3" s="148"/>
      <c r="B3" s="14"/>
      <c r="C3" s="14"/>
      <c r="D3" s="213" t="s">
        <v>174</v>
      </c>
      <c r="E3" s="14"/>
      <c r="F3" s="14"/>
      <c r="G3" s="177"/>
      <c r="H3" s="14"/>
      <c r="I3" s="14"/>
      <c r="J3" s="177"/>
      <c r="K3">
        <v>144866.45830000142</v>
      </c>
      <c r="L3" s="14"/>
      <c r="M3">
        <v>144866.45830000142</v>
      </c>
      <c r="N3" s="14">
        <v>0</v>
      </c>
      <c r="P3" s="19"/>
    </row>
    <row r="4" spans="1:16">
      <c r="A4" s="189">
        <v>1</v>
      </c>
      <c r="B4" s="212">
        <v>46204</v>
      </c>
      <c r="C4" s="133"/>
      <c r="D4" s="133"/>
      <c r="E4" s="431"/>
      <c r="F4" s="432"/>
      <c r="G4" s="246">
        <f t="shared" ref="G4:G38" si="0">E4*F4</f>
        <v>0</v>
      </c>
      <c r="H4" s="238"/>
      <c r="I4" s="246"/>
      <c r="J4" s="238">
        <f>H4*I4</f>
        <v>0</v>
      </c>
      <c r="K4" s="246">
        <f>G4+J4</f>
        <v>0</v>
      </c>
      <c r="L4" s="133"/>
      <c r="M4" s="292">
        <f>M3+K4-L4</f>
        <v>144866.45830000142</v>
      </c>
      <c r="N4" s="133"/>
      <c r="O4" s="19"/>
    </row>
    <row r="5" spans="1:16">
      <c r="A5" s="43">
        <v>2</v>
      </c>
      <c r="B5" s="212">
        <v>46205</v>
      </c>
      <c r="C5" s="14"/>
      <c r="D5" s="14"/>
      <c r="E5" s="431">
        <v>548.44000000000005</v>
      </c>
      <c r="F5" s="432">
        <v>99.29</v>
      </c>
      <c r="G5" s="246">
        <f t="shared" ref="G5:G39" si="1">E5*F5</f>
        <v>54454.60760000001</v>
      </c>
      <c r="H5" s="238"/>
      <c r="I5" s="246"/>
      <c r="J5" s="238">
        <f t="shared" ref="J5:J39" si="2">H5*I5</f>
        <v>0</v>
      </c>
      <c r="K5" s="246">
        <f t="shared" ref="K5:K41" si="3">G5+J5</f>
        <v>54454.60760000001</v>
      </c>
      <c r="L5" s="133"/>
      <c r="M5" s="292">
        <f t="shared" ref="M5:M41" si="4">M4+K5-L5</f>
        <v>199321.06590000144</v>
      </c>
      <c r="N5" s="14"/>
    </row>
    <row r="6" spans="1:16">
      <c r="A6" s="43">
        <v>3</v>
      </c>
      <c r="B6" s="212">
        <v>46206</v>
      </c>
      <c r="C6" s="14"/>
      <c r="D6" s="14"/>
      <c r="E6" s="238"/>
      <c r="F6" s="286"/>
      <c r="G6" s="246">
        <f t="shared" si="1"/>
        <v>0</v>
      </c>
      <c r="H6" s="238"/>
      <c r="I6" s="246"/>
      <c r="J6" s="238">
        <f t="shared" si="2"/>
        <v>0</v>
      </c>
      <c r="K6" s="246">
        <f t="shared" si="3"/>
        <v>0</v>
      </c>
      <c r="L6" s="133"/>
      <c r="M6" s="292">
        <f t="shared" si="4"/>
        <v>199321.06590000144</v>
      </c>
      <c r="N6" s="14"/>
    </row>
    <row r="7" spans="1:16">
      <c r="A7" s="189">
        <v>4</v>
      </c>
      <c r="B7" s="212">
        <v>46207</v>
      </c>
      <c r="C7" s="14"/>
      <c r="D7" s="14"/>
      <c r="E7" s="238"/>
      <c r="F7" s="286"/>
      <c r="G7" s="246">
        <f t="shared" si="1"/>
        <v>0</v>
      </c>
      <c r="H7" s="238"/>
      <c r="I7" s="246"/>
      <c r="J7" s="238">
        <f t="shared" si="2"/>
        <v>0</v>
      </c>
      <c r="K7" s="246">
        <f t="shared" si="3"/>
        <v>0</v>
      </c>
      <c r="L7" s="133"/>
      <c r="M7" s="292">
        <f t="shared" si="4"/>
        <v>199321.06590000144</v>
      </c>
      <c r="N7" s="14"/>
    </row>
    <row r="8" spans="1:16">
      <c r="A8" s="189">
        <v>5</v>
      </c>
      <c r="B8" s="212">
        <v>46208</v>
      </c>
      <c r="C8" s="14"/>
      <c r="D8" s="14"/>
      <c r="E8" s="238"/>
      <c r="F8" s="286"/>
      <c r="G8" s="246">
        <f t="shared" si="1"/>
        <v>0</v>
      </c>
      <c r="H8" s="238"/>
      <c r="I8" s="246"/>
      <c r="J8" s="238">
        <f t="shared" si="2"/>
        <v>0</v>
      </c>
      <c r="K8" s="246">
        <f t="shared" si="3"/>
        <v>0</v>
      </c>
      <c r="L8" s="133"/>
      <c r="M8" s="292">
        <f t="shared" si="4"/>
        <v>199321.06590000144</v>
      </c>
      <c r="N8" s="14"/>
    </row>
    <row r="9" spans="1:16">
      <c r="A9" s="43">
        <v>6</v>
      </c>
      <c r="B9" s="212">
        <v>46209</v>
      </c>
      <c r="C9" s="14"/>
      <c r="D9" s="14"/>
      <c r="E9" s="238"/>
      <c r="F9" s="286"/>
      <c r="G9" s="246">
        <f t="shared" si="1"/>
        <v>0</v>
      </c>
      <c r="H9" s="238"/>
      <c r="I9" s="246"/>
      <c r="J9" s="238">
        <f t="shared" si="2"/>
        <v>0</v>
      </c>
      <c r="K9" s="246">
        <f t="shared" si="3"/>
        <v>0</v>
      </c>
      <c r="L9" s="133"/>
      <c r="M9" s="292">
        <f t="shared" si="4"/>
        <v>199321.06590000144</v>
      </c>
      <c r="N9" s="14"/>
    </row>
    <row r="10" spans="1:16">
      <c r="A10" s="43">
        <v>7</v>
      </c>
      <c r="B10" s="212">
        <v>46210</v>
      </c>
      <c r="C10" s="14"/>
      <c r="D10" s="14"/>
      <c r="E10" s="238"/>
      <c r="F10" s="286"/>
      <c r="G10" s="246">
        <f t="shared" si="1"/>
        <v>0</v>
      </c>
      <c r="H10" s="238"/>
      <c r="I10" s="246"/>
      <c r="J10" s="238">
        <f t="shared" si="2"/>
        <v>0</v>
      </c>
      <c r="K10" s="246">
        <f t="shared" si="3"/>
        <v>0</v>
      </c>
      <c r="L10" s="133"/>
      <c r="M10" s="292">
        <f t="shared" si="4"/>
        <v>199321.06590000144</v>
      </c>
      <c r="N10" s="14"/>
    </row>
    <row r="11" spans="1:16">
      <c r="A11" s="189">
        <v>8</v>
      </c>
      <c r="B11" s="212">
        <v>46211</v>
      </c>
      <c r="C11" s="14"/>
      <c r="D11" s="14"/>
      <c r="E11" s="238"/>
      <c r="F11" s="286"/>
      <c r="G11" s="246">
        <f t="shared" si="1"/>
        <v>0</v>
      </c>
      <c r="H11" s="238"/>
      <c r="I11" s="246"/>
      <c r="J11" s="238">
        <f t="shared" si="2"/>
        <v>0</v>
      </c>
      <c r="K11" s="246">
        <f t="shared" si="3"/>
        <v>0</v>
      </c>
      <c r="L11" s="133"/>
      <c r="M11" s="292">
        <f t="shared" si="4"/>
        <v>199321.06590000144</v>
      </c>
      <c r="N11" s="14"/>
    </row>
    <row r="12" spans="1:16">
      <c r="A12" s="189">
        <v>9</v>
      </c>
      <c r="B12" s="212">
        <v>46212</v>
      </c>
      <c r="C12" s="14"/>
      <c r="D12" s="14"/>
      <c r="E12" s="238"/>
      <c r="F12" s="286"/>
      <c r="G12" s="246">
        <f t="shared" si="1"/>
        <v>0</v>
      </c>
      <c r="H12" s="238"/>
      <c r="I12" s="246"/>
      <c r="J12" s="238">
        <f t="shared" si="2"/>
        <v>0</v>
      </c>
      <c r="K12" s="246">
        <f t="shared" si="3"/>
        <v>0</v>
      </c>
      <c r="L12" s="133"/>
      <c r="M12" s="292">
        <f t="shared" si="4"/>
        <v>199321.06590000144</v>
      </c>
      <c r="N12" s="14"/>
      <c r="P12" s="19"/>
    </row>
    <row r="13" spans="1:16">
      <c r="A13" s="43">
        <v>10</v>
      </c>
      <c r="B13" s="212">
        <v>46213</v>
      </c>
      <c r="C13" s="14"/>
      <c r="D13" s="14"/>
      <c r="E13" s="238">
        <v>314.2</v>
      </c>
      <c r="F13" s="286">
        <v>99.29</v>
      </c>
      <c r="G13" s="246">
        <f t="shared" si="1"/>
        <v>31196.918000000001</v>
      </c>
      <c r="H13" s="238"/>
      <c r="I13" s="246"/>
      <c r="J13" s="238">
        <f t="shared" si="2"/>
        <v>0</v>
      </c>
      <c r="K13" s="246">
        <f t="shared" si="3"/>
        <v>31196.918000000001</v>
      </c>
      <c r="L13" s="133"/>
      <c r="M13" s="292">
        <f t="shared" si="4"/>
        <v>230517.98390000145</v>
      </c>
      <c r="N13" s="14"/>
    </row>
    <row r="14" spans="1:16">
      <c r="A14" s="43">
        <v>11</v>
      </c>
      <c r="B14" s="212">
        <v>46214</v>
      </c>
      <c r="C14" s="14"/>
      <c r="D14" s="14"/>
      <c r="E14" s="238">
        <v>448.77</v>
      </c>
      <c r="F14" s="286">
        <v>99.29</v>
      </c>
      <c r="G14" s="246">
        <f t="shared" si="1"/>
        <v>44558.373299999999</v>
      </c>
      <c r="H14" s="238"/>
      <c r="I14" s="246"/>
      <c r="J14" s="238">
        <f t="shared" si="2"/>
        <v>0</v>
      </c>
      <c r="K14" s="246">
        <f t="shared" si="3"/>
        <v>44558.373299999999</v>
      </c>
      <c r="L14" s="133"/>
      <c r="M14" s="292">
        <f t="shared" si="4"/>
        <v>275076.35720000142</v>
      </c>
      <c r="N14" s="14"/>
    </row>
    <row r="15" spans="1:16">
      <c r="A15" s="189">
        <v>12</v>
      </c>
      <c r="B15" s="212">
        <v>46215</v>
      </c>
      <c r="C15" s="14"/>
      <c r="D15" s="14"/>
      <c r="E15" s="238">
        <v>199.87</v>
      </c>
      <c r="F15" s="286">
        <v>99.29</v>
      </c>
      <c r="G15" s="246">
        <f t="shared" si="1"/>
        <v>19845.0923</v>
      </c>
      <c r="H15" s="238">
        <v>5</v>
      </c>
      <c r="I15" s="246">
        <v>111.38</v>
      </c>
      <c r="J15" s="238">
        <f t="shared" si="2"/>
        <v>556.9</v>
      </c>
      <c r="K15" s="246">
        <f t="shared" si="3"/>
        <v>20401.992300000002</v>
      </c>
      <c r="L15" s="133"/>
      <c r="M15" s="292">
        <f t="shared" si="4"/>
        <v>295478.34950000141</v>
      </c>
      <c r="N15" s="14"/>
    </row>
    <row r="16" spans="1:16">
      <c r="A16" s="189">
        <v>13</v>
      </c>
      <c r="B16" s="212">
        <v>46216</v>
      </c>
      <c r="C16" s="14"/>
      <c r="D16" s="14"/>
      <c r="E16" s="238"/>
      <c r="F16" s="286"/>
      <c r="G16" s="246">
        <f t="shared" si="1"/>
        <v>0</v>
      </c>
      <c r="H16" s="238"/>
      <c r="I16" s="246"/>
      <c r="J16" s="238">
        <f t="shared" si="2"/>
        <v>0</v>
      </c>
      <c r="K16" s="246">
        <f t="shared" si="3"/>
        <v>0</v>
      </c>
      <c r="L16" s="133"/>
      <c r="M16" s="292">
        <f t="shared" si="4"/>
        <v>295478.34950000141</v>
      </c>
      <c r="N16" s="14"/>
    </row>
    <row r="17" spans="1:16">
      <c r="A17" s="43">
        <v>14</v>
      </c>
      <c r="B17" s="212">
        <v>46217</v>
      </c>
      <c r="C17" s="14"/>
      <c r="D17" s="14"/>
      <c r="E17" s="238">
        <v>250</v>
      </c>
      <c r="F17" s="286">
        <v>99.29</v>
      </c>
      <c r="G17" s="246">
        <f t="shared" si="1"/>
        <v>24822.5</v>
      </c>
      <c r="H17" s="238"/>
      <c r="I17" s="246"/>
      <c r="J17" s="238">
        <f t="shared" si="2"/>
        <v>0</v>
      </c>
      <c r="K17" s="246">
        <f t="shared" si="3"/>
        <v>24822.5</v>
      </c>
      <c r="L17" s="133"/>
      <c r="M17" s="292">
        <f t="shared" si="4"/>
        <v>320300.84950000141</v>
      </c>
      <c r="N17" s="14"/>
    </row>
    <row r="18" spans="1:16">
      <c r="A18" s="43">
        <v>15</v>
      </c>
      <c r="B18" s="212">
        <v>46218</v>
      </c>
      <c r="C18" s="14"/>
      <c r="D18" s="14"/>
      <c r="E18" s="238">
        <v>300</v>
      </c>
      <c r="F18" s="286">
        <v>99.29</v>
      </c>
      <c r="G18" s="246">
        <f t="shared" si="1"/>
        <v>29787.000000000004</v>
      </c>
      <c r="H18" s="238"/>
      <c r="I18" s="246"/>
      <c r="J18" s="238">
        <f t="shared" si="2"/>
        <v>0</v>
      </c>
      <c r="K18" s="246">
        <f t="shared" si="3"/>
        <v>29787.000000000004</v>
      </c>
      <c r="L18" s="133"/>
      <c r="M18" s="292">
        <f t="shared" si="4"/>
        <v>350087.84950000141</v>
      </c>
      <c r="N18" s="14"/>
    </row>
    <row r="19" spans="1:16">
      <c r="A19" s="189">
        <v>16</v>
      </c>
      <c r="B19" s="212">
        <v>46219</v>
      </c>
      <c r="C19" s="14"/>
      <c r="D19" s="14"/>
      <c r="E19" s="238"/>
      <c r="F19" s="286"/>
      <c r="G19" s="246">
        <f t="shared" si="1"/>
        <v>0</v>
      </c>
      <c r="H19" s="238"/>
      <c r="I19" s="246"/>
      <c r="J19" s="238">
        <f t="shared" si="2"/>
        <v>0</v>
      </c>
      <c r="K19" s="246">
        <f t="shared" si="3"/>
        <v>0</v>
      </c>
      <c r="L19" s="133"/>
      <c r="M19" s="292">
        <f t="shared" si="4"/>
        <v>350087.84950000141</v>
      </c>
      <c r="N19" s="14"/>
      <c r="P19" s="256"/>
    </row>
    <row r="20" spans="1:16">
      <c r="A20" s="189">
        <v>17</v>
      </c>
      <c r="B20" s="212">
        <v>46220</v>
      </c>
      <c r="C20" s="14"/>
      <c r="D20" s="14"/>
      <c r="E20" s="238">
        <v>250</v>
      </c>
      <c r="F20" s="286">
        <v>99.29</v>
      </c>
      <c r="G20" s="246">
        <f t="shared" si="1"/>
        <v>24822.5</v>
      </c>
      <c r="H20" s="238"/>
      <c r="I20" s="246"/>
      <c r="J20" s="238">
        <f t="shared" si="2"/>
        <v>0</v>
      </c>
      <c r="K20" s="246">
        <f t="shared" si="3"/>
        <v>24822.5</v>
      </c>
      <c r="L20" s="133"/>
      <c r="M20" s="292">
        <f t="shared" si="4"/>
        <v>374910.34950000141</v>
      </c>
      <c r="N20" s="14"/>
    </row>
    <row r="21" spans="1:16">
      <c r="A21" s="43">
        <v>18</v>
      </c>
      <c r="B21" s="212">
        <v>46221</v>
      </c>
      <c r="C21" s="14"/>
      <c r="D21" s="14"/>
      <c r="E21" s="238">
        <v>400</v>
      </c>
      <c r="F21" s="286">
        <v>99.29</v>
      </c>
      <c r="G21" s="246">
        <f t="shared" si="1"/>
        <v>39716</v>
      </c>
      <c r="H21" s="238"/>
      <c r="I21" s="246"/>
      <c r="J21" s="238">
        <f t="shared" si="2"/>
        <v>0</v>
      </c>
      <c r="K21" s="246">
        <f t="shared" si="3"/>
        <v>39716</v>
      </c>
      <c r="L21" s="133"/>
      <c r="M21" s="292">
        <f>M20+K21-L21</f>
        <v>414626.34950000141</v>
      </c>
      <c r="N21" s="14"/>
      <c r="P21" s="19"/>
    </row>
    <row r="22" spans="1:16">
      <c r="A22" s="43">
        <v>19</v>
      </c>
      <c r="B22" s="212">
        <v>46222</v>
      </c>
      <c r="C22" s="14"/>
      <c r="D22" s="14"/>
      <c r="E22" s="238">
        <v>500</v>
      </c>
      <c r="F22" s="286">
        <v>99.29</v>
      </c>
      <c r="G22" s="246">
        <f t="shared" si="1"/>
        <v>49645</v>
      </c>
      <c r="H22" s="238"/>
      <c r="I22" s="246"/>
      <c r="J22" s="238">
        <f t="shared" si="2"/>
        <v>0</v>
      </c>
      <c r="K22" s="246">
        <f t="shared" si="3"/>
        <v>49645</v>
      </c>
      <c r="L22" s="133"/>
      <c r="M22" s="292">
        <f t="shared" si="4"/>
        <v>464271.34950000141</v>
      </c>
      <c r="N22" s="14"/>
    </row>
    <row r="23" spans="1:16">
      <c r="A23" s="189">
        <v>20</v>
      </c>
      <c r="B23" s="212">
        <v>46223</v>
      </c>
      <c r="C23" s="14"/>
      <c r="D23" s="14"/>
      <c r="E23" s="238"/>
      <c r="F23" s="286"/>
      <c r="G23" s="246">
        <f t="shared" si="1"/>
        <v>0</v>
      </c>
      <c r="H23" s="238"/>
      <c r="I23" s="246"/>
      <c r="J23" s="238">
        <f t="shared" si="2"/>
        <v>0</v>
      </c>
      <c r="K23" s="246">
        <f t="shared" si="3"/>
        <v>0</v>
      </c>
      <c r="L23" s="133"/>
      <c r="M23" s="292">
        <f t="shared" si="4"/>
        <v>464271.34950000141</v>
      </c>
      <c r="N23" s="14"/>
    </row>
    <row r="24" spans="1:16">
      <c r="A24" s="189">
        <v>21</v>
      </c>
      <c r="B24" s="212">
        <v>46224</v>
      </c>
      <c r="C24" s="14"/>
      <c r="D24" s="14"/>
      <c r="E24" s="238">
        <v>500</v>
      </c>
      <c r="F24" s="286">
        <v>99.29</v>
      </c>
      <c r="G24" s="246">
        <f t="shared" si="1"/>
        <v>49645</v>
      </c>
      <c r="H24" s="238"/>
      <c r="I24" s="246"/>
      <c r="J24" s="238">
        <f t="shared" si="2"/>
        <v>0</v>
      </c>
      <c r="K24" s="246">
        <f t="shared" si="3"/>
        <v>49645</v>
      </c>
      <c r="L24" s="133"/>
      <c r="M24" s="292">
        <f t="shared" si="4"/>
        <v>513916.34950000141</v>
      </c>
      <c r="N24" s="14"/>
    </row>
    <row r="25" spans="1:16">
      <c r="A25" s="43">
        <v>22</v>
      </c>
      <c r="B25" s="212">
        <v>46225</v>
      </c>
      <c r="C25" s="14"/>
      <c r="D25" s="14"/>
      <c r="E25" s="238">
        <v>127.01</v>
      </c>
      <c r="F25" s="286">
        <v>99.29</v>
      </c>
      <c r="G25" s="246">
        <f t="shared" si="1"/>
        <v>12610.822900000001</v>
      </c>
      <c r="H25" s="238"/>
      <c r="I25" s="246"/>
      <c r="J25" s="238">
        <f>H25*I25</f>
        <v>0</v>
      </c>
      <c r="K25" s="246">
        <f t="shared" si="3"/>
        <v>12610.822900000001</v>
      </c>
      <c r="L25" s="133">
        <v>500000</v>
      </c>
      <c r="M25" s="292">
        <f t="shared" si="4"/>
        <v>26527.172400001436</v>
      </c>
      <c r="N25" s="14"/>
      <c r="P25" s="19"/>
    </row>
    <row r="26" spans="1:16">
      <c r="A26" s="43">
        <v>23</v>
      </c>
      <c r="B26" s="212">
        <v>46226</v>
      </c>
      <c r="C26" s="14"/>
      <c r="D26" s="14"/>
      <c r="E26" s="238">
        <v>1782.62</v>
      </c>
      <c r="F26" s="286">
        <v>99.29</v>
      </c>
      <c r="G26" s="246">
        <f t="shared" si="1"/>
        <v>176996.33979999999</v>
      </c>
      <c r="H26" s="238">
        <v>15</v>
      </c>
      <c r="I26" s="246">
        <v>111.38</v>
      </c>
      <c r="J26" s="238">
        <f t="shared" si="2"/>
        <v>1670.6999999999998</v>
      </c>
      <c r="K26" s="246">
        <f t="shared" si="3"/>
        <v>178667.0398</v>
      </c>
      <c r="L26" s="133"/>
      <c r="M26" s="292">
        <f t="shared" si="4"/>
        <v>205194.21220000144</v>
      </c>
      <c r="N26" s="14"/>
    </row>
    <row r="27" spans="1:16">
      <c r="A27" s="189">
        <v>24</v>
      </c>
      <c r="B27" s="212">
        <v>46227</v>
      </c>
      <c r="C27" s="14"/>
      <c r="D27" s="14"/>
      <c r="E27" s="238">
        <v>138.54</v>
      </c>
      <c r="F27" s="286">
        <v>99.29</v>
      </c>
      <c r="G27" s="246">
        <f t="shared" si="1"/>
        <v>13755.6366</v>
      </c>
      <c r="H27" s="238">
        <v>5</v>
      </c>
      <c r="I27" s="246">
        <v>111.38</v>
      </c>
      <c r="J27" s="238">
        <f t="shared" si="2"/>
        <v>556.9</v>
      </c>
      <c r="K27" s="246">
        <f t="shared" si="3"/>
        <v>14312.536599999999</v>
      </c>
      <c r="L27" s="133"/>
      <c r="M27" s="292">
        <f t="shared" si="4"/>
        <v>219506.74880000143</v>
      </c>
      <c r="N27" s="14"/>
    </row>
    <row r="28" spans="1:16">
      <c r="A28" s="189">
        <v>25</v>
      </c>
      <c r="B28" s="212">
        <v>46228</v>
      </c>
      <c r="C28" s="14"/>
      <c r="D28" s="14"/>
      <c r="E28" s="238">
        <v>50</v>
      </c>
      <c r="F28" s="286">
        <v>99.29</v>
      </c>
      <c r="G28" s="246">
        <f t="shared" si="1"/>
        <v>4964.5</v>
      </c>
      <c r="H28" s="238">
        <v>5</v>
      </c>
      <c r="I28" s="246">
        <v>111.38</v>
      </c>
      <c r="J28" s="238">
        <f t="shared" si="2"/>
        <v>556.9</v>
      </c>
      <c r="K28" s="246">
        <f t="shared" si="3"/>
        <v>5521.4</v>
      </c>
      <c r="L28" s="133"/>
      <c r="M28" s="292">
        <f t="shared" si="4"/>
        <v>225028.14880000142</v>
      </c>
      <c r="N28" s="14"/>
    </row>
    <row r="29" spans="1:16">
      <c r="A29" s="43">
        <v>26</v>
      </c>
      <c r="B29" s="212">
        <v>46229</v>
      </c>
      <c r="C29" s="14"/>
      <c r="D29" s="14"/>
      <c r="E29" s="238">
        <v>320.01</v>
      </c>
      <c r="F29" s="286">
        <v>99.29</v>
      </c>
      <c r="G29" s="246">
        <f t="shared" si="1"/>
        <v>31773.7929</v>
      </c>
      <c r="H29" s="238">
        <v>5</v>
      </c>
      <c r="I29" s="246">
        <v>111.38</v>
      </c>
      <c r="J29" s="238">
        <f t="shared" si="2"/>
        <v>556.9</v>
      </c>
      <c r="K29" s="246">
        <f t="shared" si="3"/>
        <v>32330.692900000002</v>
      </c>
      <c r="L29" s="133"/>
      <c r="M29" s="292">
        <f t="shared" si="4"/>
        <v>257358.84170000142</v>
      </c>
      <c r="N29" s="14"/>
    </row>
    <row r="30" spans="1:16">
      <c r="A30" s="43">
        <v>27</v>
      </c>
      <c r="B30" s="212">
        <v>46230</v>
      </c>
      <c r="C30" s="14"/>
      <c r="D30" s="14"/>
      <c r="E30" s="238">
        <v>738.9</v>
      </c>
      <c r="F30" s="286">
        <v>99.29</v>
      </c>
      <c r="G30" s="246">
        <f t="shared" si="1"/>
        <v>73365.381000000008</v>
      </c>
      <c r="H30" s="238">
        <v>5</v>
      </c>
      <c r="I30" s="246">
        <v>111.38</v>
      </c>
      <c r="J30" s="238">
        <f t="shared" si="2"/>
        <v>556.9</v>
      </c>
      <c r="K30" s="246">
        <f t="shared" si="3"/>
        <v>73922.281000000003</v>
      </c>
      <c r="L30" s="133"/>
      <c r="M30" s="292">
        <f t="shared" si="4"/>
        <v>331281.1227000014</v>
      </c>
      <c r="N30" s="14"/>
      <c r="P30" s="19"/>
    </row>
    <row r="31" spans="1:16">
      <c r="A31" s="189">
        <v>28</v>
      </c>
      <c r="B31" s="212">
        <v>46231</v>
      </c>
      <c r="C31" s="14"/>
      <c r="D31" s="14"/>
      <c r="E31" s="238">
        <v>500</v>
      </c>
      <c r="F31" s="286">
        <v>99.29</v>
      </c>
      <c r="G31" s="246">
        <f t="shared" si="1"/>
        <v>49645</v>
      </c>
      <c r="H31" s="238"/>
      <c r="I31" s="246"/>
      <c r="J31" s="238">
        <f t="shared" si="2"/>
        <v>0</v>
      </c>
      <c r="K31" s="246">
        <f t="shared" si="3"/>
        <v>49645</v>
      </c>
      <c r="L31" s="133"/>
      <c r="M31" s="292">
        <f t="shared" si="4"/>
        <v>380926.1227000014</v>
      </c>
      <c r="N31" s="14"/>
    </row>
    <row r="32" spans="1:16">
      <c r="A32" s="189">
        <v>29</v>
      </c>
      <c r="B32" s="212">
        <v>46232</v>
      </c>
      <c r="C32" s="14"/>
      <c r="D32" s="14"/>
      <c r="E32" s="238">
        <v>497.7</v>
      </c>
      <c r="F32" s="286">
        <v>99.29</v>
      </c>
      <c r="G32" s="246">
        <f t="shared" si="1"/>
        <v>49416.633000000002</v>
      </c>
      <c r="H32" s="238">
        <v>5</v>
      </c>
      <c r="I32" s="246">
        <v>111.38</v>
      </c>
      <c r="J32" s="238">
        <f t="shared" si="2"/>
        <v>556.9</v>
      </c>
      <c r="K32" s="246">
        <f t="shared" si="3"/>
        <v>49973.533000000003</v>
      </c>
      <c r="L32" s="133"/>
      <c r="M32" s="292">
        <f t="shared" si="4"/>
        <v>430899.6557000014</v>
      </c>
      <c r="N32" s="14"/>
    </row>
    <row r="33" spans="1:16">
      <c r="A33" s="43">
        <v>30</v>
      </c>
      <c r="B33" s="212">
        <v>46233</v>
      </c>
      <c r="C33" s="91"/>
      <c r="D33" s="91"/>
      <c r="E33" s="238">
        <v>70</v>
      </c>
      <c r="F33" s="286">
        <v>99.29</v>
      </c>
      <c r="G33" s="246">
        <f t="shared" si="1"/>
        <v>6950.3</v>
      </c>
      <c r="H33" s="238"/>
      <c r="I33" s="246"/>
      <c r="J33" s="238">
        <f t="shared" si="2"/>
        <v>0</v>
      </c>
      <c r="K33" s="246">
        <f t="shared" si="3"/>
        <v>6950.3</v>
      </c>
      <c r="L33" s="133"/>
      <c r="M33" s="292">
        <f t="shared" si="4"/>
        <v>437849.95570000139</v>
      </c>
      <c r="N33" s="91"/>
    </row>
    <row r="34" spans="1:16">
      <c r="A34" s="43">
        <v>31</v>
      </c>
      <c r="B34" s="212">
        <v>46234</v>
      </c>
      <c r="C34" s="14"/>
      <c r="D34" s="14"/>
      <c r="E34" s="238">
        <v>50</v>
      </c>
      <c r="F34" s="286">
        <v>99.29</v>
      </c>
      <c r="G34" s="246">
        <f t="shared" si="1"/>
        <v>4964.5</v>
      </c>
      <c r="H34" s="238"/>
      <c r="I34" s="246"/>
      <c r="J34" s="238">
        <f t="shared" si="2"/>
        <v>0</v>
      </c>
      <c r="K34" s="246">
        <f t="shared" si="3"/>
        <v>4964.5</v>
      </c>
      <c r="L34" s="133"/>
      <c r="M34" s="292">
        <f t="shared" si="4"/>
        <v>442814.45570000139</v>
      </c>
      <c r="N34" s="14"/>
    </row>
    <row r="35" spans="1:16">
      <c r="A35" s="189">
        <v>32</v>
      </c>
      <c r="B35" s="212"/>
      <c r="C35" s="14"/>
      <c r="D35" s="14"/>
      <c r="E35" s="238"/>
      <c r="F35" s="286"/>
      <c r="G35" s="246">
        <f t="shared" si="1"/>
        <v>0</v>
      </c>
      <c r="H35" s="238"/>
      <c r="I35" s="246"/>
      <c r="J35" s="238">
        <f t="shared" si="2"/>
        <v>0</v>
      </c>
      <c r="K35" s="246">
        <f t="shared" si="3"/>
        <v>0</v>
      </c>
      <c r="L35" s="133"/>
      <c r="M35" s="292">
        <f t="shared" si="4"/>
        <v>442814.45570000139</v>
      </c>
      <c r="N35" s="14"/>
    </row>
    <row r="36" spans="1:16">
      <c r="A36" s="189">
        <v>33</v>
      </c>
      <c r="B36" s="212"/>
      <c r="C36" s="14"/>
      <c r="D36" s="14"/>
      <c r="E36" s="238"/>
      <c r="F36" s="286"/>
      <c r="G36" s="246">
        <f t="shared" si="1"/>
        <v>0</v>
      </c>
      <c r="H36" s="238"/>
      <c r="I36" s="246"/>
      <c r="J36" s="238">
        <f t="shared" si="2"/>
        <v>0</v>
      </c>
      <c r="K36" s="246">
        <f t="shared" si="3"/>
        <v>0</v>
      </c>
      <c r="L36" s="133"/>
      <c r="M36" s="292">
        <f t="shared" si="4"/>
        <v>442814.45570000139</v>
      </c>
      <c r="N36" s="14"/>
    </row>
    <row r="37" spans="1:16">
      <c r="A37" s="43">
        <v>34</v>
      </c>
      <c r="B37" s="212"/>
      <c r="C37" s="14"/>
      <c r="D37" s="14"/>
      <c r="E37" s="238"/>
      <c r="F37" s="286"/>
      <c r="G37" s="246">
        <f t="shared" si="1"/>
        <v>0</v>
      </c>
      <c r="H37" s="238"/>
      <c r="I37" s="246"/>
      <c r="J37" s="238">
        <f t="shared" si="2"/>
        <v>0</v>
      </c>
      <c r="K37" s="246">
        <f t="shared" si="3"/>
        <v>0</v>
      </c>
      <c r="L37" s="133"/>
      <c r="M37" s="292">
        <f t="shared" si="4"/>
        <v>442814.45570000139</v>
      </c>
      <c r="N37" s="14"/>
    </row>
    <row r="38" spans="1:16">
      <c r="A38" s="43">
        <v>35</v>
      </c>
      <c r="B38" s="212"/>
      <c r="C38" s="14"/>
      <c r="D38" s="14"/>
      <c r="E38" s="238"/>
      <c r="F38" s="286"/>
      <c r="G38" s="246">
        <f t="shared" si="1"/>
        <v>0</v>
      </c>
      <c r="H38" s="238"/>
      <c r="I38" s="246"/>
      <c r="J38" s="238">
        <f t="shared" si="2"/>
        <v>0</v>
      </c>
      <c r="K38" s="246">
        <f t="shared" si="3"/>
        <v>0</v>
      </c>
      <c r="L38" s="133"/>
      <c r="M38" s="292">
        <f t="shared" si="4"/>
        <v>442814.45570000139</v>
      </c>
      <c r="N38" s="14"/>
    </row>
    <row r="39" spans="1:16">
      <c r="A39" s="189">
        <v>36</v>
      </c>
      <c r="B39" s="212"/>
      <c r="C39" s="14"/>
      <c r="D39" s="14"/>
      <c r="E39" s="238"/>
      <c r="F39" s="286"/>
      <c r="G39" s="246">
        <f t="shared" si="1"/>
        <v>0</v>
      </c>
      <c r="H39" s="238"/>
      <c r="I39" s="246"/>
      <c r="J39" s="238">
        <f t="shared" si="2"/>
        <v>0</v>
      </c>
      <c r="K39" s="246">
        <f t="shared" si="3"/>
        <v>0</v>
      </c>
      <c r="L39" s="133"/>
      <c r="M39" s="292">
        <f t="shared" si="4"/>
        <v>442814.45570000139</v>
      </c>
      <c r="N39" s="91"/>
    </row>
    <row r="40" spans="1:16">
      <c r="A40" s="189">
        <v>37</v>
      </c>
      <c r="B40" s="212"/>
      <c r="C40" s="14"/>
      <c r="D40" s="14"/>
      <c r="E40" s="238"/>
      <c r="F40" s="238"/>
      <c r="G40" s="246">
        <f t="shared" ref="G5:G41" si="5">E40*F40</f>
        <v>0</v>
      </c>
      <c r="H40" s="238"/>
      <c r="I40" s="238"/>
      <c r="J40" s="238">
        <f t="shared" ref="J5:J41" si="6">H40*I40</f>
        <v>0</v>
      </c>
      <c r="K40" s="246">
        <f t="shared" si="3"/>
        <v>0</v>
      </c>
      <c r="L40" s="133"/>
      <c r="M40" s="292">
        <f t="shared" si="4"/>
        <v>442814.45570000139</v>
      </c>
      <c r="N40" s="14"/>
      <c r="P40" s="19"/>
    </row>
    <row r="41" spans="1:16">
      <c r="A41" s="42"/>
      <c r="B41" s="212"/>
      <c r="C41" s="14"/>
      <c r="D41" s="14"/>
      <c r="E41" s="238"/>
      <c r="F41" s="238"/>
      <c r="G41" s="246">
        <f t="shared" si="5"/>
        <v>0</v>
      </c>
      <c r="H41" s="238"/>
      <c r="I41" s="238"/>
      <c r="J41" s="238">
        <f t="shared" si="6"/>
        <v>0</v>
      </c>
      <c r="K41" s="246">
        <f t="shared" si="3"/>
        <v>0</v>
      </c>
      <c r="L41" s="133"/>
      <c r="M41" s="292">
        <f t="shared" si="4"/>
        <v>442814.45570000139</v>
      </c>
      <c r="N41" s="14"/>
      <c r="O41" s="19"/>
      <c r="P41" s="19"/>
    </row>
    <row r="42" spans="1:16">
      <c r="A42" s="174"/>
      <c r="B42" s="174"/>
      <c r="C42" s="174"/>
      <c r="D42" s="174"/>
      <c r="E42" s="174">
        <f>SUM(E4:E39)</f>
        <v>7986.0599999999995</v>
      </c>
      <c r="F42" s="174"/>
      <c r="G42" s="174">
        <f>SUM(G4:G39)</f>
        <v>792935.89740000013</v>
      </c>
      <c r="H42" s="174">
        <f>SUM(H4:H39)</f>
        <v>45</v>
      </c>
      <c r="I42" s="174"/>
      <c r="J42" s="174">
        <f>SUM(J4:J39)</f>
        <v>5012.0999999999995</v>
      </c>
      <c r="K42" s="174">
        <f>SUM(K4:K39)</f>
        <v>797947.99740000011</v>
      </c>
      <c r="L42" s="174">
        <f>SUM(L4:L39)</f>
        <v>500000</v>
      </c>
      <c r="M42" s="174"/>
      <c r="N42" s="174"/>
    </row>
    <row r="43" spans="1:16">
      <c r="P43" s="19"/>
    </row>
  </sheetData>
  <mergeCells count="1">
    <mergeCell ref="A1:N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P35"/>
  <sheetViews>
    <sheetView topLeftCell="A21" workbookViewId="0">
      <selection activeCell="L34" sqref="L34:M34"/>
    </sheetView>
  </sheetViews>
  <sheetFormatPr defaultRowHeight="15"/>
  <cols>
    <col min="2" max="2" width="10.5703125" bestFit="1" customWidth="1"/>
    <col min="5" max="5" width="9.7109375" bestFit="1" customWidth="1"/>
    <col min="11" max="11" width="13.5703125" bestFit="1" customWidth="1"/>
    <col min="12" max="12" width="12.42578125" bestFit="1" customWidth="1"/>
    <col min="13" max="13" width="10.5703125" bestFit="1" customWidth="1"/>
    <col min="19" max="19" width="10.140625" customWidth="1"/>
  </cols>
  <sheetData>
    <row r="1" spans="1:16" ht="15.75">
      <c r="A1" s="582" t="s">
        <v>281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4"/>
    </row>
    <row r="2" spans="1:16" ht="45" customHeight="1">
      <c r="A2" s="120" t="s">
        <v>0</v>
      </c>
      <c r="B2" s="206" t="s">
        <v>163</v>
      </c>
      <c r="C2" s="206" t="s">
        <v>164</v>
      </c>
      <c r="D2" s="206" t="s">
        <v>186</v>
      </c>
      <c r="E2" s="206" t="s">
        <v>166</v>
      </c>
      <c r="F2" s="206" t="s">
        <v>167</v>
      </c>
      <c r="G2" s="206" t="s">
        <v>168</v>
      </c>
      <c r="H2" s="206" t="s">
        <v>169</v>
      </c>
      <c r="I2" s="206" t="s">
        <v>167</v>
      </c>
      <c r="J2" s="206" t="s">
        <v>168</v>
      </c>
      <c r="K2" s="168" t="s">
        <v>170</v>
      </c>
      <c r="L2" s="168" t="s">
        <v>171</v>
      </c>
      <c r="M2" s="168" t="s">
        <v>187</v>
      </c>
      <c r="N2" s="206" t="s">
        <v>173</v>
      </c>
    </row>
    <row r="3" spans="1:16">
      <c r="A3" s="585" t="s">
        <v>174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7"/>
      <c r="M3" s="585">
        <v>235407.38489999998</v>
      </c>
      <c r="N3" s="587"/>
    </row>
    <row r="4" spans="1:16">
      <c r="A4" s="189">
        <v>1</v>
      </c>
      <c r="B4" s="212">
        <v>46204</v>
      </c>
      <c r="C4" s="37"/>
      <c r="D4" s="37"/>
      <c r="E4" s="258">
        <v>30</v>
      </c>
      <c r="F4" s="286">
        <v>99.13</v>
      </c>
      <c r="G4" s="37">
        <f>E4*F4</f>
        <v>2973.8999999999996</v>
      </c>
      <c r="H4" s="37"/>
      <c r="I4" s="37"/>
      <c r="J4" s="37">
        <f>H4*I4</f>
        <v>0</v>
      </c>
      <c r="K4" s="37">
        <f>G4+J4</f>
        <v>2973.8999999999996</v>
      </c>
      <c r="L4" s="37"/>
      <c r="M4" s="37">
        <f>M3+K4-L4</f>
        <v>238381.28489999997</v>
      </c>
      <c r="N4" s="37"/>
    </row>
    <row r="5" spans="1:16">
      <c r="A5" s="43">
        <v>2</v>
      </c>
      <c r="B5" s="212">
        <v>46205</v>
      </c>
      <c r="C5" s="37"/>
      <c r="D5" s="37"/>
      <c r="E5" s="258">
        <v>25</v>
      </c>
      <c r="F5" s="286">
        <v>99.13</v>
      </c>
      <c r="G5" s="37">
        <f t="shared" ref="G5:G34" si="0">E5*F5</f>
        <v>2478.25</v>
      </c>
      <c r="H5" s="37"/>
      <c r="I5" s="37"/>
      <c r="J5" s="37">
        <f t="shared" ref="J5:J34" si="1">H5*I5</f>
        <v>0</v>
      </c>
      <c r="K5" s="37">
        <f t="shared" ref="K5:K34" si="2">G5+J5</f>
        <v>2478.25</v>
      </c>
      <c r="L5" s="37"/>
      <c r="M5" s="37">
        <f t="shared" ref="M5:M34" si="3">M4+K5-L5</f>
        <v>240859.53489999997</v>
      </c>
      <c r="N5" s="37"/>
    </row>
    <row r="6" spans="1:16">
      <c r="A6" s="43">
        <v>3</v>
      </c>
      <c r="B6" s="212">
        <v>46206</v>
      </c>
      <c r="C6" s="37"/>
      <c r="D6" s="37"/>
      <c r="E6" s="258">
        <v>175.66</v>
      </c>
      <c r="F6" s="286">
        <v>99.13</v>
      </c>
      <c r="G6" s="37">
        <f t="shared" si="0"/>
        <v>17413.175799999997</v>
      </c>
      <c r="H6" s="37">
        <v>10</v>
      </c>
      <c r="I6" s="37">
        <v>111.21</v>
      </c>
      <c r="J6" s="37">
        <f t="shared" si="1"/>
        <v>1112.0999999999999</v>
      </c>
      <c r="K6" s="37">
        <f t="shared" si="2"/>
        <v>18525.275799999996</v>
      </c>
      <c r="L6" s="37"/>
      <c r="M6" s="37">
        <f t="shared" si="3"/>
        <v>259384.81069999997</v>
      </c>
      <c r="N6" s="37"/>
    </row>
    <row r="7" spans="1:16">
      <c r="A7" s="43">
        <v>4</v>
      </c>
      <c r="B7" s="212">
        <v>46207</v>
      </c>
      <c r="C7" s="37"/>
      <c r="D7" s="37"/>
      <c r="E7" s="258"/>
      <c r="F7" s="286"/>
      <c r="G7" s="37">
        <f t="shared" si="0"/>
        <v>0</v>
      </c>
      <c r="H7" s="37"/>
      <c r="I7" s="37"/>
      <c r="J7" s="37">
        <f t="shared" si="1"/>
        <v>0</v>
      </c>
      <c r="K7" s="37">
        <f t="shared" si="2"/>
        <v>0</v>
      </c>
      <c r="L7" s="37"/>
      <c r="M7" s="37">
        <f t="shared" si="3"/>
        <v>259384.81069999997</v>
      </c>
      <c r="N7" s="37"/>
    </row>
    <row r="8" spans="1:16">
      <c r="A8" s="43">
        <v>5</v>
      </c>
      <c r="B8" s="212">
        <v>46208</v>
      </c>
      <c r="C8" s="37"/>
      <c r="D8" s="37"/>
      <c r="E8" s="258"/>
      <c r="F8" s="286"/>
      <c r="G8" s="37">
        <f t="shared" si="0"/>
        <v>0</v>
      </c>
      <c r="H8" s="37"/>
      <c r="I8" s="37"/>
      <c r="J8" s="37">
        <f t="shared" si="1"/>
        <v>0</v>
      </c>
      <c r="K8" s="37">
        <f t="shared" si="2"/>
        <v>0</v>
      </c>
      <c r="L8" s="37"/>
      <c r="M8" s="37">
        <f t="shared" si="3"/>
        <v>259384.81069999997</v>
      </c>
      <c r="N8" s="37"/>
    </row>
    <row r="9" spans="1:16">
      <c r="A9" s="43">
        <v>6</v>
      </c>
      <c r="B9" s="212">
        <v>46209</v>
      </c>
      <c r="C9" s="37"/>
      <c r="D9" s="37"/>
      <c r="E9" s="258"/>
      <c r="F9" s="286"/>
      <c r="G9" s="37">
        <f t="shared" si="0"/>
        <v>0</v>
      </c>
      <c r="H9" s="37"/>
      <c r="I9" s="37"/>
      <c r="J9" s="37">
        <f t="shared" si="1"/>
        <v>0</v>
      </c>
      <c r="K9" s="37">
        <f t="shared" si="2"/>
        <v>0</v>
      </c>
      <c r="L9" s="37"/>
      <c r="M9" s="37">
        <f t="shared" si="3"/>
        <v>259384.81069999997</v>
      </c>
      <c r="N9" s="37"/>
    </row>
    <row r="10" spans="1:16">
      <c r="A10" s="43">
        <v>7</v>
      </c>
      <c r="B10" s="212">
        <v>46210</v>
      </c>
      <c r="C10" s="37"/>
      <c r="D10" s="37"/>
      <c r="E10" s="258"/>
      <c r="F10" s="286"/>
      <c r="G10" s="37">
        <f t="shared" si="0"/>
        <v>0</v>
      </c>
      <c r="H10" s="37"/>
      <c r="I10" s="37"/>
      <c r="J10" s="37">
        <f t="shared" si="1"/>
        <v>0</v>
      </c>
      <c r="K10" s="37">
        <f t="shared" si="2"/>
        <v>0</v>
      </c>
      <c r="L10" s="37"/>
      <c r="M10" s="37">
        <f t="shared" si="3"/>
        <v>259384.81069999997</v>
      </c>
      <c r="N10" s="37"/>
    </row>
    <row r="11" spans="1:16">
      <c r="A11" s="43">
        <v>8</v>
      </c>
      <c r="B11" s="212">
        <v>46211</v>
      </c>
      <c r="C11" s="37"/>
      <c r="D11" s="37"/>
      <c r="E11" s="258"/>
      <c r="F11" s="286"/>
      <c r="G11" s="37">
        <f t="shared" si="0"/>
        <v>0</v>
      </c>
      <c r="H11" s="37"/>
      <c r="I11" s="37"/>
      <c r="J11" s="37">
        <f t="shared" si="1"/>
        <v>0</v>
      </c>
      <c r="K11" s="37">
        <f t="shared" si="2"/>
        <v>0</v>
      </c>
      <c r="L11" s="37"/>
      <c r="M11" s="37">
        <f t="shared" si="3"/>
        <v>259384.81069999997</v>
      </c>
      <c r="N11" s="37"/>
      <c r="P11" s="19"/>
    </row>
    <row r="12" spans="1:16">
      <c r="A12" s="43">
        <v>9</v>
      </c>
      <c r="B12" s="212">
        <v>46212</v>
      </c>
      <c r="C12" s="37"/>
      <c r="D12" s="37"/>
      <c r="E12" s="258"/>
      <c r="F12" s="286"/>
      <c r="G12" s="37">
        <f t="shared" si="0"/>
        <v>0</v>
      </c>
      <c r="H12" s="37"/>
      <c r="I12" s="37"/>
      <c r="J12" s="37">
        <f t="shared" si="1"/>
        <v>0</v>
      </c>
      <c r="K12" s="37">
        <f t="shared" si="2"/>
        <v>0</v>
      </c>
      <c r="L12" s="37"/>
      <c r="M12" s="37">
        <f t="shared" si="3"/>
        <v>259384.81069999997</v>
      </c>
      <c r="N12" s="37"/>
    </row>
    <row r="13" spans="1:16">
      <c r="A13" s="43">
        <v>10</v>
      </c>
      <c r="B13" s="212">
        <v>46213</v>
      </c>
      <c r="C13" s="37"/>
      <c r="D13" s="37"/>
      <c r="E13" s="258"/>
      <c r="F13" s="286"/>
      <c r="G13" s="37">
        <f t="shared" si="0"/>
        <v>0</v>
      </c>
      <c r="H13" s="37"/>
      <c r="I13" s="37"/>
      <c r="J13" s="37">
        <f t="shared" si="1"/>
        <v>0</v>
      </c>
      <c r="K13" s="37">
        <f t="shared" si="2"/>
        <v>0</v>
      </c>
      <c r="L13" s="37"/>
      <c r="M13" s="37">
        <f t="shared" si="3"/>
        <v>259384.81069999997</v>
      </c>
      <c r="N13" s="37"/>
    </row>
    <row r="14" spans="1:16">
      <c r="A14" s="43">
        <v>11</v>
      </c>
      <c r="B14" s="212">
        <v>46214</v>
      </c>
      <c r="C14" s="37"/>
      <c r="D14" s="37"/>
      <c r="E14" s="258">
        <v>25</v>
      </c>
      <c r="F14" s="286">
        <v>99.13</v>
      </c>
      <c r="G14" s="37">
        <f t="shared" si="0"/>
        <v>2478.25</v>
      </c>
      <c r="H14" s="37"/>
      <c r="I14" s="37"/>
      <c r="J14" s="37">
        <f t="shared" si="1"/>
        <v>0</v>
      </c>
      <c r="K14" s="37">
        <f t="shared" si="2"/>
        <v>2478.25</v>
      </c>
      <c r="L14" s="37"/>
      <c r="M14" s="37">
        <f t="shared" si="3"/>
        <v>261863.06069999997</v>
      </c>
      <c r="N14" s="37"/>
    </row>
    <row r="15" spans="1:16">
      <c r="A15" s="43">
        <v>12</v>
      </c>
      <c r="B15" s="212">
        <v>46215</v>
      </c>
      <c r="C15" s="37"/>
      <c r="D15" s="37"/>
      <c r="E15" s="258"/>
      <c r="F15" s="286"/>
      <c r="G15" s="37">
        <f t="shared" si="0"/>
        <v>0</v>
      </c>
      <c r="H15" s="37"/>
      <c r="I15" s="37"/>
      <c r="J15" s="37">
        <f t="shared" si="1"/>
        <v>0</v>
      </c>
      <c r="K15" s="37">
        <f t="shared" ref="K15:K25" si="4">G15+J15</f>
        <v>0</v>
      </c>
      <c r="L15" s="37"/>
      <c r="M15" s="37">
        <f t="shared" si="3"/>
        <v>261863.06069999997</v>
      </c>
      <c r="N15" s="37"/>
    </row>
    <row r="16" spans="1:16">
      <c r="A16" s="43">
        <v>13</v>
      </c>
      <c r="B16" s="212">
        <v>46216</v>
      </c>
      <c r="C16" s="37"/>
      <c r="D16" s="37"/>
      <c r="E16" s="258"/>
      <c r="F16" s="286"/>
      <c r="G16" s="37">
        <f t="shared" si="0"/>
        <v>0</v>
      </c>
      <c r="H16" s="374"/>
      <c r="I16" s="37"/>
      <c r="J16" s="37">
        <f t="shared" si="1"/>
        <v>0</v>
      </c>
      <c r="K16" s="37">
        <f t="shared" si="4"/>
        <v>0</v>
      </c>
      <c r="L16" s="37"/>
      <c r="M16" s="37">
        <f>M15+K16-L16</f>
        <v>261863.06069999997</v>
      </c>
      <c r="N16" s="37"/>
    </row>
    <row r="17" spans="1:14">
      <c r="A17" s="43">
        <v>14</v>
      </c>
      <c r="B17" s="212">
        <v>46217</v>
      </c>
      <c r="C17" s="37"/>
      <c r="D17" s="37"/>
      <c r="E17" s="258"/>
      <c r="F17" s="286"/>
      <c r="G17" s="37">
        <f t="shared" si="0"/>
        <v>0</v>
      </c>
      <c r="H17" s="37"/>
      <c r="I17" s="37"/>
      <c r="J17" s="37">
        <f t="shared" si="1"/>
        <v>0</v>
      </c>
      <c r="K17" s="37">
        <f t="shared" si="4"/>
        <v>0</v>
      </c>
      <c r="L17" s="37"/>
      <c r="M17" s="37">
        <f t="shared" si="3"/>
        <v>261863.06069999997</v>
      </c>
      <c r="N17" s="37"/>
    </row>
    <row r="18" spans="1:14">
      <c r="A18" s="43">
        <v>15</v>
      </c>
      <c r="B18" s="212">
        <v>46218</v>
      </c>
      <c r="C18" s="37"/>
      <c r="D18" s="37"/>
      <c r="E18" s="258">
        <v>27.5</v>
      </c>
      <c r="F18" s="286">
        <v>99.13</v>
      </c>
      <c r="G18" s="37">
        <f t="shared" si="0"/>
        <v>2726.0749999999998</v>
      </c>
      <c r="H18" s="37"/>
      <c r="I18" s="37"/>
      <c r="J18" s="37">
        <f t="shared" si="1"/>
        <v>0</v>
      </c>
      <c r="K18" s="37">
        <f t="shared" si="4"/>
        <v>2726.0749999999998</v>
      </c>
      <c r="L18" s="37"/>
      <c r="M18" s="37">
        <f t="shared" si="3"/>
        <v>264589.13569999998</v>
      </c>
      <c r="N18" s="37"/>
    </row>
    <row r="19" spans="1:14">
      <c r="A19" s="43">
        <v>16</v>
      </c>
      <c r="B19" s="212">
        <v>46219</v>
      </c>
      <c r="C19" s="37"/>
      <c r="D19" s="37"/>
      <c r="E19" s="258">
        <v>420</v>
      </c>
      <c r="F19" s="286">
        <v>99.13</v>
      </c>
      <c r="G19" s="37">
        <f t="shared" si="0"/>
        <v>41634.6</v>
      </c>
      <c r="H19" s="37"/>
      <c r="I19" s="37"/>
      <c r="J19" s="37">
        <f t="shared" si="1"/>
        <v>0</v>
      </c>
      <c r="K19" s="37">
        <f t="shared" si="4"/>
        <v>41634.6</v>
      </c>
      <c r="L19" s="37"/>
      <c r="M19" s="37">
        <f t="shared" si="3"/>
        <v>306223.73569999996</v>
      </c>
      <c r="N19" s="37"/>
    </row>
    <row r="20" spans="1:14">
      <c r="A20" s="43">
        <v>17</v>
      </c>
      <c r="B20" s="212">
        <v>46220</v>
      </c>
      <c r="C20" s="37"/>
      <c r="D20" s="37"/>
      <c r="E20" s="258"/>
      <c r="F20" s="286"/>
      <c r="G20" s="37">
        <f t="shared" si="0"/>
        <v>0</v>
      </c>
      <c r="H20" s="37"/>
      <c r="I20" s="37"/>
      <c r="J20" s="37">
        <f t="shared" si="1"/>
        <v>0</v>
      </c>
      <c r="K20" s="37">
        <f t="shared" si="4"/>
        <v>0</v>
      </c>
      <c r="L20" s="37"/>
      <c r="M20" s="37">
        <f t="shared" si="3"/>
        <v>306223.73569999996</v>
      </c>
      <c r="N20" s="37"/>
    </row>
    <row r="21" spans="1:14">
      <c r="A21" s="43">
        <v>18</v>
      </c>
      <c r="B21" s="212">
        <v>46221</v>
      </c>
      <c r="C21" s="37"/>
      <c r="D21" s="37"/>
      <c r="E21" s="258">
        <v>50</v>
      </c>
      <c r="F21" s="286">
        <v>99.13</v>
      </c>
      <c r="G21" s="37">
        <f t="shared" si="0"/>
        <v>4956.5</v>
      </c>
      <c r="H21" s="37"/>
      <c r="I21" s="37"/>
      <c r="J21" s="37">
        <f t="shared" si="1"/>
        <v>0</v>
      </c>
      <c r="K21" s="37">
        <f t="shared" si="4"/>
        <v>4956.5</v>
      </c>
      <c r="L21" s="37"/>
      <c r="M21" s="37">
        <f>M20+K21-L21</f>
        <v>311180.23569999996</v>
      </c>
      <c r="N21" s="37"/>
    </row>
    <row r="22" spans="1:14">
      <c r="A22" s="43">
        <v>19</v>
      </c>
      <c r="B22" s="212">
        <v>46222</v>
      </c>
      <c r="C22" s="37"/>
      <c r="D22" s="37"/>
      <c r="E22" s="258"/>
      <c r="F22" s="286"/>
      <c r="G22" s="37">
        <f t="shared" si="0"/>
        <v>0</v>
      </c>
      <c r="H22" s="37"/>
      <c r="I22" s="37"/>
      <c r="J22" s="37">
        <f t="shared" si="1"/>
        <v>0</v>
      </c>
      <c r="K22" s="37">
        <f t="shared" si="4"/>
        <v>0</v>
      </c>
      <c r="L22" s="37"/>
      <c r="M22" s="37">
        <f t="shared" si="3"/>
        <v>311180.23569999996</v>
      </c>
      <c r="N22" s="37"/>
    </row>
    <row r="23" spans="1:14">
      <c r="A23" s="43">
        <v>20</v>
      </c>
      <c r="B23" s="212">
        <v>46223</v>
      </c>
      <c r="C23" s="37"/>
      <c r="D23" s="37"/>
      <c r="E23" s="258"/>
      <c r="F23" s="286"/>
      <c r="G23" s="37">
        <f t="shared" si="0"/>
        <v>0</v>
      </c>
      <c r="H23" s="37"/>
      <c r="I23" s="37"/>
      <c r="J23" s="37">
        <f t="shared" si="1"/>
        <v>0</v>
      </c>
      <c r="K23" s="37">
        <f t="shared" si="4"/>
        <v>0</v>
      </c>
      <c r="L23" s="37"/>
      <c r="M23" s="37">
        <f t="shared" si="3"/>
        <v>311180.23569999996</v>
      </c>
      <c r="N23" s="37"/>
    </row>
    <row r="24" spans="1:14">
      <c r="A24" s="43">
        <v>21</v>
      </c>
      <c r="B24" s="212">
        <v>46224</v>
      </c>
      <c r="C24" s="37"/>
      <c r="D24" s="37"/>
      <c r="E24" s="258"/>
      <c r="F24" s="286"/>
      <c r="G24" s="37">
        <f t="shared" si="0"/>
        <v>0</v>
      </c>
      <c r="H24" s="37">
        <v>10</v>
      </c>
      <c r="I24" s="37">
        <v>111.21</v>
      </c>
      <c r="J24" s="37">
        <f t="shared" si="1"/>
        <v>1112.0999999999999</v>
      </c>
      <c r="K24" s="37">
        <f t="shared" si="4"/>
        <v>1112.0999999999999</v>
      </c>
      <c r="L24" s="37"/>
      <c r="M24" s="37">
        <f t="shared" si="3"/>
        <v>312292.33569999994</v>
      </c>
      <c r="N24" s="37"/>
    </row>
    <row r="25" spans="1:14">
      <c r="A25" s="43">
        <v>22</v>
      </c>
      <c r="B25" s="212">
        <v>46225</v>
      </c>
      <c r="C25" s="37"/>
      <c r="D25" s="37"/>
      <c r="E25" s="258"/>
      <c r="F25" s="286"/>
      <c r="G25" s="37">
        <f t="shared" si="0"/>
        <v>0</v>
      </c>
      <c r="H25" s="37"/>
      <c r="I25" s="37"/>
      <c r="J25" s="37">
        <f t="shared" si="1"/>
        <v>0</v>
      </c>
      <c r="K25" s="37">
        <f t="shared" si="4"/>
        <v>0</v>
      </c>
      <c r="L25" s="37"/>
      <c r="M25" s="37">
        <f t="shared" si="3"/>
        <v>312292.33569999994</v>
      </c>
      <c r="N25" s="37"/>
    </row>
    <row r="26" spans="1:14">
      <c r="A26" s="43">
        <v>23</v>
      </c>
      <c r="B26" s="212">
        <v>46226</v>
      </c>
      <c r="C26" s="37"/>
      <c r="D26" s="37"/>
      <c r="E26" s="258">
        <v>20</v>
      </c>
      <c r="F26" s="286">
        <v>99.13</v>
      </c>
      <c r="G26" s="37">
        <f t="shared" si="0"/>
        <v>1982.6</v>
      </c>
      <c r="H26" s="37"/>
      <c r="I26" s="37"/>
      <c r="J26" s="37">
        <f t="shared" si="1"/>
        <v>0</v>
      </c>
      <c r="K26" s="37">
        <f t="shared" si="2"/>
        <v>1982.6</v>
      </c>
      <c r="L26" s="37"/>
      <c r="M26" s="37">
        <f t="shared" si="3"/>
        <v>314274.93569999991</v>
      </c>
      <c r="N26" s="37"/>
    </row>
    <row r="27" spans="1:14">
      <c r="A27" s="43">
        <v>24</v>
      </c>
      <c r="B27" s="212">
        <v>46227</v>
      </c>
      <c r="C27" s="37"/>
      <c r="D27" s="37"/>
      <c r="E27" s="258"/>
      <c r="F27" s="286"/>
      <c r="G27" s="37">
        <f t="shared" si="0"/>
        <v>0</v>
      </c>
      <c r="H27" s="37"/>
      <c r="I27" s="37"/>
      <c r="J27" s="37">
        <f t="shared" si="1"/>
        <v>0</v>
      </c>
      <c r="K27" s="37">
        <f t="shared" si="2"/>
        <v>0</v>
      </c>
      <c r="L27" s="37"/>
      <c r="M27" s="37">
        <f t="shared" si="3"/>
        <v>314274.93569999991</v>
      </c>
      <c r="N27" s="37"/>
    </row>
    <row r="28" spans="1:14">
      <c r="A28" s="214">
        <v>25</v>
      </c>
      <c r="B28" s="212">
        <v>46228</v>
      </c>
      <c r="C28" s="37"/>
      <c r="D28" s="37"/>
      <c r="E28" s="258"/>
      <c r="F28" s="286"/>
      <c r="G28" s="37">
        <f t="shared" si="0"/>
        <v>0</v>
      </c>
      <c r="H28" s="37"/>
      <c r="I28" s="37"/>
      <c r="J28" s="37">
        <f t="shared" si="1"/>
        <v>0</v>
      </c>
      <c r="K28" s="37">
        <f t="shared" si="2"/>
        <v>0</v>
      </c>
      <c r="L28" s="37"/>
      <c r="M28" s="37">
        <f t="shared" si="3"/>
        <v>314274.93569999991</v>
      </c>
      <c r="N28" s="37"/>
    </row>
    <row r="29" spans="1:14">
      <c r="A29" s="214">
        <v>26</v>
      </c>
      <c r="B29" s="212">
        <v>46229</v>
      </c>
      <c r="C29" s="37"/>
      <c r="D29" s="37"/>
      <c r="E29" s="258"/>
      <c r="F29" s="286"/>
      <c r="G29" s="37">
        <f t="shared" si="0"/>
        <v>0</v>
      </c>
      <c r="H29" s="37"/>
      <c r="I29" s="37"/>
      <c r="J29" s="37">
        <f t="shared" si="1"/>
        <v>0</v>
      </c>
      <c r="K29" s="37">
        <f t="shared" si="2"/>
        <v>0</v>
      </c>
      <c r="L29" s="37"/>
      <c r="M29" s="37">
        <f t="shared" si="3"/>
        <v>314274.93569999991</v>
      </c>
      <c r="N29" s="37"/>
    </row>
    <row r="30" spans="1:14">
      <c r="A30" s="214">
        <v>27</v>
      </c>
      <c r="B30" s="212">
        <v>46230</v>
      </c>
      <c r="C30" s="37"/>
      <c r="D30" s="37"/>
      <c r="E30" s="258"/>
      <c r="F30" s="286"/>
      <c r="G30" s="37">
        <f t="shared" si="0"/>
        <v>0</v>
      </c>
      <c r="H30" s="37"/>
      <c r="I30" s="37"/>
      <c r="J30" s="37">
        <f t="shared" si="1"/>
        <v>0</v>
      </c>
      <c r="K30" s="37">
        <f t="shared" si="2"/>
        <v>0</v>
      </c>
      <c r="L30" s="37"/>
      <c r="M30" s="37">
        <f t="shared" si="3"/>
        <v>314274.93569999991</v>
      </c>
      <c r="N30" s="37"/>
    </row>
    <row r="31" spans="1:14">
      <c r="A31" s="214">
        <v>28</v>
      </c>
      <c r="B31" s="212">
        <v>46231</v>
      </c>
      <c r="C31" s="37"/>
      <c r="D31" s="37"/>
      <c r="E31" s="258"/>
      <c r="F31" s="286"/>
      <c r="G31" s="37">
        <f t="shared" si="0"/>
        <v>0</v>
      </c>
      <c r="H31" s="37"/>
      <c r="I31" s="37"/>
      <c r="J31" s="37">
        <f t="shared" si="1"/>
        <v>0</v>
      </c>
      <c r="K31" s="37">
        <f t="shared" si="2"/>
        <v>0</v>
      </c>
      <c r="L31" s="37"/>
      <c r="M31" s="37">
        <f t="shared" si="3"/>
        <v>314274.93569999991</v>
      </c>
      <c r="N31" s="37"/>
    </row>
    <row r="32" spans="1:14">
      <c r="A32" s="215">
        <v>29</v>
      </c>
      <c r="B32" s="212">
        <v>46232</v>
      </c>
      <c r="C32" s="37"/>
      <c r="D32" s="37"/>
      <c r="E32" s="258"/>
      <c r="F32" s="286"/>
      <c r="G32" s="37">
        <f t="shared" si="0"/>
        <v>0</v>
      </c>
      <c r="H32" s="37"/>
      <c r="I32" s="37"/>
      <c r="J32" s="37">
        <f t="shared" si="1"/>
        <v>0</v>
      </c>
      <c r="K32" s="37">
        <f t="shared" si="2"/>
        <v>0</v>
      </c>
      <c r="L32" s="37"/>
      <c r="M32" s="37">
        <f t="shared" si="3"/>
        <v>314274.93569999991</v>
      </c>
      <c r="N32" s="37"/>
    </row>
    <row r="33" spans="1:14">
      <c r="A33" s="215">
        <v>30</v>
      </c>
      <c r="B33" s="212">
        <v>46233</v>
      </c>
      <c r="C33" s="37"/>
      <c r="D33" s="37"/>
      <c r="E33" s="258"/>
      <c r="F33" s="286"/>
      <c r="G33" s="37">
        <f t="shared" si="0"/>
        <v>0</v>
      </c>
      <c r="H33" s="37"/>
      <c r="I33" s="37"/>
      <c r="J33" s="37">
        <f t="shared" si="1"/>
        <v>0</v>
      </c>
      <c r="K33" s="37">
        <f t="shared" si="2"/>
        <v>0</v>
      </c>
      <c r="L33" s="37"/>
      <c r="M33" s="37">
        <f t="shared" si="3"/>
        <v>314274.93569999991</v>
      </c>
      <c r="N33" s="37"/>
    </row>
    <row r="34" spans="1:14">
      <c r="A34" s="215">
        <v>31</v>
      </c>
      <c r="B34" s="212">
        <v>46234</v>
      </c>
      <c r="C34" s="37"/>
      <c r="D34" s="37"/>
      <c r="E34" s="258"/>
      <c r="F34" s="286"/>
      <c r="G34" s="37">
        <f t="shared" si="0"/>
        <v>0</v>
      </c>
      <c r="H34" s="37"/>
      <c r="I34" s="37"/>
      <c r="J34" s="37">
        <f t="shared" si="1"/>
        <v>0</v>
      </c>
      <c r="K34" s="37">
        <f t="shared" si="2"/>
        <v>0</v>
      </c>
      <c r="L34" s="37">
        <v>200000</v>
      </c>
      <c r="M34" s="37">
        <f t="shared" si="3"/>
        <v>114274.93569999991</v>
      </c>
      <c r="N34" s="37"/>
    </row>
    <row r="35" spans="1:14">
      <c r="A35" s="174"/>
      <c r="B35" s="174"/>
      <c r="C35" s="174"/>
      <c r="D35" s="174"/>
      <c r="E35" s="174">
        <f>SUM(E4:E34)</f>
        <v>773.16</v>
      </c>
      <c r="F35" s="174"/>
      <c r="G35" s="174">
        <f>SUM(G4:G34)</f>
        <v>76643.3508</v>
      </c>
      <c r="H35" s="174">
        <f>SUM(H4:H34)</f>
        <v>20</v>
      </c>
      <c r="I35" s="174"/>
      <c r="J35" s="174">
        <f>SUM(J4:J34)</f>
        <v>2224.1999999999998</v>
      </c>
      <c r="K35" s="174">
        <f>SUM(K4:K34)</f>
        <v>78867.550800000012</v>
      </c>
      <c r="L35" s="174">
        <f>SUM(L4:L34)</f>
        <v>200000</v>
      </c>
      <c r="M35" s="174"/>
      <c r="N35" s="17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677C-45ED-46D2-B6DD-48C42A14EFA2}">
  <sheetPr>
    <tabColor rgb="FF002060"/>
  </sheetPr>
  <dimension ref="A1:P35"/>
  <sheetViews>
    <sheetView workbookViewId="0">
      <selection activeCell="M34" sqref="M34"/>
    </sheetView>
  </sheetViews>
  <sheetFormatPr defaultRowHeight="15"/>
  <cols>
    <col min="2" max="2" width="12.5703125" customWidth="1"/>
    <col min="5" max="5" width="9.7109375" bestFit="1" customWidth="1"/>
    <col min="7" max="7" width="10.42578125" bestFit="1" customWidth="1"/>
    <col min="11" max="11" width="13.5703125" bestFit="1" customWidth="1"/>
    <col min="12" max="12" width="12.42578125" bestFit="1" customWidth="1"/>
    <col min="13" max="13" width="10.5703125" bestFit="1" customWidth="1"/>
    <col min="18" max="18" width="9.28515625" bestFit="1" customWidth="1"/>
  </cols>
  <sheetData>
    <row r="1" spans="1:16" ht="15.75">
      <c r="A1" s="582" t="s">
        <v>282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4"/>
    </row>
    <row r="2" spans="1:16" ht="30.75">
      <c r="A2" s="120" t="s">
        <v>0</v>
      </c>
      <c r="B2" s="206" t="s">
        <v>163</v>
      </c>
      <c r="C2" s="206" t="s">
        <v>164</v>
      </c>
      <c r="D2" s="206" t="s">
        <v>186</v>
      </c>
      <c r="E2" s="206" t="s">
        <v>166</v>
      </c>
      <c r="F2" s="206" t="s">
        <v>167</v>
      </c>
      <c r="G2" s="206" t="s">
        <v>168</v>
      </c>
      <c r="H2" s="206" t="s">
        <v>169</v>
      </c>
      <c r="I2" s="206" t="s">
        <v>167</v>
      </c>
      <c r="J2" s="206" t="s">
        <v>168</v>
      </c>
      <c r="K2" s="168" t="s">
        <v>170</v>
      </c>
      <c r="L2" s="168" t="s">
        <v>171</v>
      </c>
      <c r="M2" s="168" t="s">
        <v>187</v>
      </c>
      <c r="N2" s="206" t="s">
        <v>173</v>
      </c>
    </row>
    <row r="3" spans="1:16">
      <c r="A3" s="585" t="s">
        <v>174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7"/>
      <c r="M3" s="585">
        <v>300159.8882000001</v>
      </c>
      <c r="N3" s="587"/>
    </row>
    <row r="4" spans="1:16">
      <c r="A4" s="189">
        <v>1</v>
      </c>
      <c r="B4" s="212">
        <v>46204</v>
      </c>
      <c r="C4" s="37"/>
      <c r="D4" s="37"/>
      <c r="E4" s="258"/>
      <c r="F4" s="286"/>
      <c r="G4" s="37">
        <f>E4*F4</f>
        <v>0</v>
      </c>
      <c r="H4" s="37"/>
      <c r="I4" s="37"/>
      <c r="J4" s="37">
        <f>H4*I4</f>
        <v>0</v>
      </c>
      <c r="K4" s="37">
        <f>G4+J4</f>
        <v>0</v>
      </c>
      <c r="L4" s="37">
        <v>0</v>
      </c>
      <c r="M4" s="37">
        <f>M3+K4-L4</f>
        <v>300159.8882000001</v>
      </c>
      <c r="N4" s="37"/>
    </row>
    <row r="5" spans="1:16">
      <c r="A5" s="43">
        <v>2</v>
      </c>
      <c r="B5" s="212">
        <v>46205</v>
      </c>
      <c r="C5" s="37"/>
      <c r="D5" s="37"/>
      <c r="E5" s="258">
        <v>1000</v>
      </c>
      <c r="F5" s="286">
        <v>99.13</v>
      </c>
      <c r="G5" s="37">
        <f t="shared" ref="G5:G34" si="0">E5*F5</f>
        <v>99130</v>
      </c>
      <c r="H5" s="37"/>
      <c r="I5" s="37"/>
      <c r="J5" s="37">
        <f t="shared" ref="J5:J34" si="1">H5*I5</f>
        <v>0</v>
      </c>
      <c r="K5" s="37">
        <f t="shared" ref="K5:K34" si="2">G5+J5</f>
        <v>99130</v>
      </c>
      <c r="L5" s="37">
        <v>0</v>
      </c>
      <c r="M5" s="37">
        <f t="shared" ref="M5:M32" si="3">M4+K5-L5</f>
        <v>399289.8882000001</v>
      </c>
      <c r="N5" s="37"/>
    </row>
    <row r="6" spans="1:16">
      <c r="A6" s="189">
        <v>3</v>
      </c>
      <c r="B6" s="212">
        <v>46206</v>
      </c>
      <c r="C6" s="37"/>
      <c r="D6" s="37"/>
      <c r="E6" s="258"/>
      <c r="F6" s="286"/>
      <c r="G6" s="37">
        <f t="shared" si="0"/>
        <v>0</v>
      </c>
      <c r="H6" s="37"/>
      <c r="I6" s="37"/>
      <c r="J6" s="37">
        <f t="shared" si="1"/>
        <v>0</v>
      </c>
      <c r="K6" s="37">
        <f>G6+J6</f>
        <v>0</v>
      </c>
      <c r="L6" s="37">
        <v>0</v>
      </c>
      <c r="M6" s="37">
        <f t="shared" si="3"/>
        <v>399289.8882000001</v>
      </c>
      <c r="N6" s="37"/>
    </row>
    <row r="7" spans="1:16">
      <c r="A7" s="43">
        <v>4</v>
      </c>
      <c r="B7" s="212">
        <v>46207</v>
      </c>
      <c r="C7" s="37"/>
      <c r="D7" s="37"/>
      <c r="E7" s="286">
        <v>600</v>
      </c>
      <c r="F7" s="37">
        <v>99.13</v>
      </c>
      <c r="G7" s="37">
        <f t="shared" si="0"/>
        <v>59478</v>
      </c>
      <c r="H7" s="37"/>
      <c r="I7" s="37"/>
      <c r="J7" s="37">
        <f t="shared" si="1"/>
        <v>0</v>
      </c>
      <c r="K7" s="37">
        <f t="shared" si="2"/>
        <v>59478</v>
      </c>
      <c r="L7" s="37">
        <v>0</v>
      </c>
      <c r="M7" s="37">
        <f t="shared" si="3"/>
        <v>458767.8882000001</v>
      </c>
      <c r="N7" s="37"/>
    </row>
    <row r="8" spans="1:16">
      <c r="A8" s="189">
        <v>5</v>
      </c>
      <c r="B8" s="212">
        <v>46208</v>
      </c>
      <c r="C8" s="37"/>
      <c r="D8" s="37"/>
      <c r="E8" s="258"/>
      <c r="F8" s="286"/>
      <c r="G8" s="37">
        <f t="shared" si="0"/>
        <v>0</v>
      </c>
      <c r="H8" s="37"/>
      <c r="I8" s="37"/>
      <c r="J8" s="37">
        <f t="shared" si="1"/>
        <v>0</v>
      </c>
      <c r="K8" s="37">
        <f t="shared" si="2"/>
        <v>0</v>
      </c>
      <c r="L8" s="37">
        <v>0</v>
      </c>
      <c r="M8" s="37">
        <f t="shared" si="3"/>
        <v>458767.8882000001</v>
      </c>
      <c r="N8" s="37"/>
    </row>
    <row r="9" spans="1:16">
      <c r="A9" s="43">
        <v>6</v>
      </c>
      <c r="B9" s="212">
        <v>46209</v>
      </c>
      <c r="C9" s="37"/>
      <c r="D9" s="37"/>
      <c r="E9" s="258">
        <v>40.340000000000003</v>
      </c>
      <c r="F9" s="286">
        <v>99.13</v>
      </c>
      <c r="G9" s="37">
        <f t="shared" si="0"/>
        <v>3998.9041999999999</v>
      </c>
      <c r="H9" s="37"/>
      <c r="I9" s="37"/>
      <c r="J9" s="37">
        <f t="shared" si="1"/>
        <v>0</v>
      </c>
      <c r="K9" s="37">
        <f t="shared" si="2"/>
        <v>3998.9041999999999</v>
      </c>
      <c r="L9" s="37">
        <v>0</v>
      </c>
      <c r="M9" s="37">
        <f t="shared" si="3"/>
        <v>462766.79240000009</v>
      </c>
      <c r="N9" s="37"/>
    </row>
    <row r="10" spans="1:16">
      <c r="A10" s="189">
        <v>7</v>
      </c>
      <c r="B10" s="212">
        <v>46210</v>
      </c>
      <c r="C10" s="37"/>
      <c r="D10" s="37"/>
      <c r="E10" s="258">
        <v>1000</v>
      </c>
      <c r="F10" s="286">
        <v>99.13</v>
      </c>
      <c r="G10" s="37">
        <f t="shared" si="0"/>
        <v>99130</v>
      </c>
      <c r="H10" s="37"/>
      <c r="I10" s="37"/>
      <c r="J10" s="37">
        <f t="shared" si="1"/>
        <v>0</v>
      </c>
      <c r="K10" s="37">
        <f t="shared" si="2"/>
        <v>99130</v>
      </c>
      <c r="L10" s="37">
        <v>0</v>
      </c>
      <c r="M10" s="37">
        <f t="shared" si="3"/>
        <v>561896.79240000015</v>
      </c>
      <c r="N10" s="37"/>
    </row>
    <row r="11" spans="1:16">
      <c r="A11" s="43">
        <v>8</v>
      </c>
      <c r="B11" s="212">
        <v>46211</v>
      </c>
      <c r="C11" s="37"/>
      <c r="D11" s="37"/>
      <c r="E11" s="258"/>
      <c r="F11" s="286"/>
      <c r="G11" s="37">
        <f t="shared" si="0"/>
        <v>0</v>
      </c>
      <c r="H11" s="37"/>
      <c r="I11" s="37"/>
      <c r="J11" s="37">
        <f t="shared" si="1"/>
        <v>0</v>
      </c>
      <c r="K11" s="37">
        <f t="shared" si="2"/>
        <v>0</v>
      </c>
      <c r="L11" s="37">
        <v>0</v>
      </c>
      <c r="M11" s="37">
        <f t="shared" si="3"/>
        <v>561896.79240000015</v>
      </c>
      <c r="N11" s="37"/>
      <c r="P11" s="19"/>
    </row>
    <row r="12" spans="1:16">
      <c r="A12" s="189">
        <v>9</v>
      </c>
      <c r="B12" s="212">
        <v>46212</v>
      </c>
      <c r="C12" s="37"/>
      <c r="D12" s="37"/>
      <c r="E12" s="258">
        <v>1000</v>
      </c>
      <c r="F12" s="286">
        <v>99.13</v>
      </c>
      <c r="G12" s="37">
        <f t="shared" si="0"/>
        <v>99130</v>
      </c>
      <c r="H12" s="37"/>
      <c r="I12" s="37"/>
      <c r="J12" s="37">
        <f t="shared" si="1"/>
        <v>0</v>
      </c>
      <c r="K12" s="37">
        <f t="shared" si="2"/>
        <v>99130</v>
      </c>
      <c r="L12" s="37">
        <v>0</v>
      </c>
      <c r="M12" s="37">
        <f t="shared" si="3"/>
        <v>661026.79240000015</v>
      </c>
      <c r="N12" s="37"/>
    </row>
    <row r="13" spans="1:16">
      <c r="A13" s="43">
        <v>10</v>
      </c>
      <c r="B13" s="212">
        <v>46213</v>
      </c>
      <c r="C13" s="37"/>
      <c r="D13" s="37"/>
      <c r="E13" s="258"/>
      <c r="F13" s="286"/>
      <c r="G13" s="37">
        <f t="shared" si="0"/>
        <v>0</v>
      </c>
      <c r="H13" s="37"/>
      <c r="I13" s="37"/>
      <c r="J13" s="37">
        <f t="shared" si="1"/>
        <v>0</v>
      </c>
      <c r="K13" s="37">
        <f t="shared" si="2"/>
        <v>0</v>
      </c>
      <c r="L13" s="37">
        <v>0</v>
      </c>
      <c r="M13" s="37">
        <f t="shared" si="3"/>
        <v>661026.79240000015</v>
      </c>
      <c r="N13" s="37"/>
    </row>
    <row r="14" spans="1:16">
      <c r="A14" s="189">
        <v>11</v>
      </c>
      <c r="B14" s="212">
        <v>46214</v>
      </c>
      <c r="C14" s="37"/>
      <c r="D14" s="37"/>
      <c r="E14" s="258">
        <v>1032.06</v>
      </c>
      <c r="F14" s="286">
        <v>99.13</v>
      </c>
      <c r="G14" s="37">
        <f t="shared" si="0"/>
        <v>102308.10779999998</v>
      </c>
      <c r="H14" s="37"/>
      <c r="I14" s="37"/>
      <c r="J14" s="37">
        <f t="shared" si="1"/>
        <v>0</v>
      </c>
      <c r="K14" s="37">
        <f t="shared" si="2"/>
        <v>102308.10779999998</v>
      </c>
      <c r="L14" s="37">
        <v>0</v>
      </c>
      <c r="M14" s="37">
        <f t="shared" si="3"/>
        <v>763334.90020000015</v>
      </c>
      <c r="N14" s="37"/>
    </row>
    <row r="15" spans="1:16">
      <c r="A15" s="43">
        <v>12</v>
      </c>
      <c r="B15" s="212">
        <v>46215</v>
      </c>
      <c r="C15" s="37"/>
      <c r="D15" s="37"/>
      <c r="E15" s="258"/>
      <c r="F15" s="286"/>
      <c r="G15" s="37">
        <f t="shared" si="0"/>
        <v>0</v>
      </c>
      <c r="H15" s="37"/>
      <c r="I15" s="37"/>
      <c r="J15" s="37">
        <f t="shared" si="1"/>
        <v>0</v>
      </c>
      <c r="K15" s="37">
        <f t="shared" si="2"/>
        <v>0</v>
      </c>
      <c r="L15" s="37">
        <v>0</v>
      </c>
      <c r="M15" s="37">
        <f t="shared" si="3"/>
        <v>763334.90020000015</v>
      </c>
      <c r="N15" s="37"/>
    </row>
    <row r="16" spans="1:16">
      <c r="A16" s="189">
        <v>13</v>
      </c>
      <c r="B16" s="212">
        <v>46216</v>
      </c>
      <c r="C16" s="37"/>
      <c r="D16" s="37"/>
      <c r="E16" s="258">
        <v>36.76</v>
      </c>
      <c r="F16" s="286">
        <v>99.13</v>
      </c>
      <c r="G16" s="37">
        <f t="shared" si="0"/>
        <v>3644.0187999999998</v>
      </c>
      <c r="H16" s="37"/>
      <c r="I16" s="37"/>
      <c r="J16" s="37">
        <f t="shared" si="1"/>
        <v>0</v>
      </c>
      <c r="K16" s="37">
        <f t="shared" si="2"/>
        <v>3644.0187999999998</v>
      </c>
      <c r="L16" s="37">
        <v>0</v>
      </c>
      <c r="M16" s="37">
        <f t="shared" si="3"/>
        <v>766978.91900000011</v>
      </c>
      <c r="N16" s="37"/>
    </row>
    <row r="17" spans="1:14">
      <c r="A17" s="43">
        <v>14</v>
      </c>
      <c r="B17" s="212">
        <v>46217</v>
      </c>
      <c r="C17" s="37"/>
      <c r="D17" s="37"/>
      <c r="E17" s="258">
        <v>1030.32</v>
      </c>
      <c r="F17" s="286">
        <v>99.13</v>
      </c>
      <c r="G17" s="37">
        <f t="shared" si="0"/>
        <v>102135.62159999998</v>
      </c>
      <c r="H17" s="37"/>
      <c r="I17" s="37"/>
      <c r="J17" s="37">
        <f t="shared" si="1"/>
        <v>0</v>
      </c>
      <c r="K17" s="37">
        <f t="shared" si="2"/>
        <v>102135.62159999998</v>
      </c>
      <c r="L17" s="37">
        <v>0</v>
      </c>
      <c r="M17" s="37">
        <f t="shared" si="3"/>
        <v>869114.54060000007</v>
      </c>
      <c r="N17" s="37"/>
    </row>
    <row r="18" spans="1:14">
      <c r="A18" s="189">
        <v>15</v>
      </c>
      <c r="B18" s="212">
        <v>46218</v>
      </c>
      <c r="C18" s="37"/>
      <c r="D18" s="37"/>
      <c r="E18" s="258"/>
      <c r="F18" s="286"/>
      <c r="G18" s="37">
        <f t="shared" si="0"/>
        <v>0</v>
      </c>
      <c r="H18" s="37"/>
      <c r="I18" s="37"/>
      <c r="J18" s="37">
        <f t="shared" si="1"/>
        <v>0</v>
      </c>
      <c r="K18" s="37">
        <f t="shared" si="2"/>
        <v>0</v>
      </c>
      <c r="L18" s="37">
        <v>0</v>
      </c>
      <c r="M18" s="37">
        <f t="shared" si="3"/>
        <v>869114.54060000007</v>
      </c>
      <c r="N18" s="37"/>
    </row>
    <row r="19" spans="1:14">
      <c r="A19" s="43">
        <v>16</v>
      </c>
      <c r="B19" s="212">
        <v>46219</v>
      </c>
      <c r="C19" s="37"/>
      <c r="D19" s="37"/>
      <c r="E19" s="258"/>
      <c r="F19" s="286"/>
      <c r="G19" s="37">
        <f t="shared" si="0"/>
        <v>0</v>
      </c>
      <c r="H19" s="37"/>
      <c r="I19" s="37"/>
      <c r="J19" s="37">
        <f t="shared" si="1"/>
        <v>0</v>
      </c>
      <c r="K19" s="37">
        <f t="shared" si="2"/>
        <v>0</v>
      </c>
      <c r="L19" s="37">
        <v>0</v>
      </c>
      <c r="M19" s="37">
        <f>M18+K19-L19</f>
        <v>869114.54060000007</v>
      </c>
      <c r="N19" s="37"/>
    </row>
    <row r="20" spans="1:14">
      <c r="A20" s="189">
        <v>17</v>
      </c>
      <c r="B20" s="212">
        <v>46220</v>
      </c>
      <c r="C20" s="37"/>
      <c r="D20" s="37"/>
      <c r="E20" s="258">
        <v>1000</v>
      </c>
      <c r="F20" s="286">
        <v>99.13</v>
      </c>
      <c r="G20" s="37">
        <f t="shared" si="0"/>
        <v>99130</v>
      </c>
      <c r="H20" s="37"/>
      <c r="I20" s="37"/>
      <c r="J20" s="37">
        <f t="shared" si="1"/>
        <v>0</v>
      </c>
      <c r="K20" s="37">
        <f t="shared" si="2"/>
        <v>99130</v>
      </c>
      <c r="L20" s="37">
        <v>0</v>
      </c>
      <c r="M20" s="37">
        <f t="shared" si="3"/>
        <v>968244.54060000007</v>
      </c>
      <c r="N20" s="37"/>
    </row>
    <row r="21" spans="1:14">
      <c r="A21" s="43">
        <v>18</v>
      </c>
      <c r="B21" s="212">
        <v>46221</v>
      </c>
      <c r="C21" s="37"/>
      <c r="D21" s="37"/>
      <c r="E21" s="258"/>
      <c r="F21" s="286"/>
      <c r="G21" s="37">
        <f t="shared" si="0"/>
        <v>0</v>
      </c>
      <c r="H21" s="37"/>
      <c r="I21" s="37"/>
      <c r="J21" s="37">
        <f t="shared" si="1"/>
        <v>0</v>
      </c>
      <c r="K21" s="37">
        <f t="shared" si="2"/>
        <v>0</v>
      </c>
      <c r="L21" s="37">
        <v>0</v>
      </c>
      <c r="M21" s="37">
        <f t="shared" si="3"/>
        <v>968244.54060000007</v>
      </c>
      <c r="N21" s="37"/>
    </row>
    <row r="22" spans="1:14">
      <c r="A22" s="189">
        <v>19</v>
      </c>
      <c r="B22" s="212">
        <v>46222</v>
      </c>
      <c r="C22" s="37"/>
      <c r="D22" s="37"/>
      <c r="E22" s="258">
        <v>1100</v>
      </c>
      <c r="F22" s="286">
        <v>99.13</v>
      </c>
      <c r="G22" s="37">
        <f t="shared" si="0"/>
        <v>109043</v>
      </c>
      <c r="H22" s="37"/>
      <c r="I22" s="37"/>
      <c r="J22" s="37">
        <f t="shared" si="1"/>
        <v>0</v>
      </c>
      <c r="K22" s="37">
        <f t="shared" si="2"/>
        <v>109043</v>
      </c>
      <c r="L22" s="37">
        <v>0</v>
      </c>
      <c r="M22" s="37">
        <f t="shared" si="3"/>
        <v>1077287.5405999999</v>
      </c>
      <c r="N22" s="37"/>
    </row>
    <row r="23" spans="1:14">
      <c r="A23" s="43">
        <v>20</v>
      </c>
      <c r="B23" s="212">
        <v>46223</v>
      </c>
      <c r="C23" s="37"/>
      <c r="D23" s="37"/>
      <c r="E23" s="258">
        <v>60</v>
      </c>
      <c r="F23" s="286">
        <v>99.13</v>
      </c>
      <c r="G23" s="37">
        <f t="shared" si="0"/>
        <v>5947.7999999999993</v>
      </c>
      <c r="H23" s="37"/>
      <c r="I23" s="37"/>
      <c r="J23" s="37">
        <f t="shared" si="1"/>
        <v>0</v>
      </c>
      <c r="K23" s="37">
        <f t="shared" si="2"/>
        <v>5947.7999999999993</v>
      </c>
      <c r="L23" s="37">
        <v>0</v>
      </c>
      <c r="M23" s="37">
        <f t="shared" si="3"/>
        <v>1083235.3406</v>
      </c>
      <c r="N23" s="37"/>
    </row>
    <row r="24" spans="1:14">
      <c r="A24" s="189">
        <v>21</v>
      </c>
      <c r="B24" s="212">
        <v>46224</v>
      </c>
      <c r="C24" s="37"/>
      <c r="D24" s="37"/>
      <c r="E24" s="258">
        <v>1000</v>
      </c>
      <c r="F24" s="286">
        <v>99.13</v>
      </c>
      <c r="G24" s="37">
        <f t="shared" si="0"/>
        <v>99130</v>
      </c>
      <c r="H24" s="37"/>
      <c r="I24" s="37"/>
      <c r="J24" s="37">
        <f t="shared" si="1"/>
        <v>0</v>
      </c>
      <c r="K24" s="37">
        <f t="shared" si="2"/>
        <v>99130</v>
      </c>
      <c r="L24" s="37">
        <v>0</v>
      </c>
      <c r="M24" s="37">
        <f t="shared" si="3"/>
        <v>1182365.3406</v>
      </c>
      <c r="N24" s="37"/>
    </row>
    <row r="25" spans="1:14">
      <c r="A25" s="43">
        <v>22</v>
      </c>
      <c r="B25" s="212">
        <v>46225</v>
      </c>
      <c r="C25" s="37"/>
      <c r="D25" s="37"/>
      <c r="E25" s="258">
        <v>141.84</v>
      </c>
      <c r="F25" s="286">
        <v>99.13</v>
      </c>
      <c r="G25" s="37">
        <f t="shared" si="0"/>
        <v>14060.599200000001</v>
      </c>
      <c r="H25" s="37"/>
      <c r="I25" s="37"/>
      <c r="J25" s="37">
        <f t="shared" si="1"/>
        <v>0</v>
      </c>
      <c r="K25" s="37">
        <f t="shared" si="2"/>
        <v>14060.599200000001</v>
      </c>
      <c r="L25" s="37">
        <v>0</v>
      </c>
      <c r="M25" s="37">
        <f t="shared" si="3"/>
        <v>1196425.9398000001</v>
      </c>
      <c r="N25" s="37"/>
    </row>
    <row r="26" spans="1:14">
      <c r="A26" s="189">
        <v>23</v>
      </c>
      <c r="B26" s="212">
        <v>46226</v>
      </c>
      <c r="C26" s="37"/>
      <c r="D26" s="37"/>
      <c r="E26" s="258"/>
      <c r="F26" s="286"/>
      <c r="G26" s="37">
        <f t="shared" si="0"/>
        <v>0</v>
      </c>
      <c r="H26" s="37"/>
      <c r="I26" s="37"/>
      <c r="J26" s="37">
        <f t="shared" si="1"/>
        <v>0</v>
      </c>
      <c r="K26" s="37">
        <f t="shared" si="2"/>
        <v>0</v>
      </c>
      <c r="L26" s="37">
        <v>0</v>
      </c>
      <c r="M26" s="37">
        <f t="shared" si="3"/>
        <v>1196425.9398000001</v>
      </c>
      <c r="N26" s="37"/>
    </row>
    <row r="27" spans="1:14">
      <c r="A27" s="43">
        <v>24</v>
      </c>
      <c r="B27" s="212">
        <v>46227</v>
      </c>
      <c r="C27" s="37"/>
      <c r="D27" s="37"/>
      <c r="E27" s="258"/>
      <c r="F27" s="286"/>
      <c r="G27" s="37">
        <f t="shared" si="0"/>
        <v>0</v>
      </c>
      <c r="H27" s="37"/>
      <c r="I27" s="37"/>
      <c r="J27" s="37">
        <f t="shared" si="1"/>
        <v>0</v>
      </c>
      <c r="K27" s="37">
        <f t="shared" si="2"/>
        <v>0</v>
      </c>
      <c r="L27" s="37">
        <v>0</v>
      </c>
      <c r="M27" s="37">
        <f t="shared" si="3"/>
        <v>1196425.9398000001</v>
      </c>
      <c r="N27" s="37"/>
    </row>
    <row r="28" spans="1:14">
      <c r="A28" s="189">
        <v>25</v>
      </c>
      <c r="B28" s="212">
        <v>46228</v>
      </c>
      <c r="C28" s="37"/>
      <c r="D28" s="37"/>
      <c r="E28" s="258"/>
      <c r="F28" s="286"/>
      <c r="G28" s="37">
        <f t="shared" si="0"/>
        <v>0</v>
      </c>
      <c r="H28" s="37"/>
      <c r="I28" s="37"/>
      <c r="J28" s="37">
        <f t="shared" si="1"/>
        <v>0</v>
      </c>
      <c r="K28" s="37">
        <f t="shared" si="2"/>
        <v>0</v>
      </c>
      <c r="L28" s="37">
        <v>0</v>
      </c>
      <c r="M28" s="37">
        <f t="shared" si="3"/>
        <v>1196425.9398000001</v>
      </c>
      <c r="N28" s="37"/>
    </row>
    <row r="29" spans="1:14">
      <c r="A29" s="43">
        <v>26</v>
      </c>
      <c r="B29" s="212">
        <v>46229</v>
      </c>
      <c r="C29" s="37"/>
      <c r="D29" s="37"/>
      <c r="E29" s="258">
        <v>1000</v>
      </c>
      <c r="F29" s="286">
        <v>99.13</v>
      </c>
      <c r="G29" s="37">
        <f t="shared" si="0"/>
        <v>99130</v>
      </c>
      <c r="H29" s="37"/>
      <c r="I29" s="37"/>
      <c r="J29" s="37">
        <f t="shared" si="1"/>
        <v>0</v>
      </c>
      <c r="K29" s="37">
        <f t="shared" si="2"/>
        <v>99130</v>
      </c>
      <c r="L29" s="37">
        <v>0</v>
      </c>
      <c r="M29" s="37">
        <f t="shared" si="3"/>
        <v>1295555.9398000001</v>
      </c>
      <c r="N29" s="37"/>
    </row>
    <row r="30" spans="1:14">
      <c r="A30" s="189">
        <v>27</v>
      </c>
      <c r="B30" s="212">
        <v>46230</v>
      </c>
      <c r="C30" s="37"/>
      <c r="D30" s="37"/>
      <c r="E30" s="258"/>
      <c r="F30" s="286"/>
      <c r="G30" s="37">
        <f t="shared" si="0"/>
        <v>0</v>
      </c>
      <c r="H30" s="37"/>
      <c r="I30" s="37"/>
      <c r="J30" s="37">
        <f t="shared" si="1"/>
        <v>0</v>
      </c>
      <c r="K30" s="37">
        <f t="shared" si="2"/>
        <v>0</v>
      </c>
      <c r="L30" s="37">
        <v>0</v>
      </c>
      <c r="M30" s="37">
        <f t="shared" si="3"/>
        <v>1295555.9398000001</v>
      </c>
      <c r="N30" s="37"/>
    </row>
    <row r="31" spans="1:14">
      <c r="A31" s="43">
        <v>28</v>
      </c>
      <c r="B31" s="212">
        <v>46231</v>
      </c>
      <c r="C31" s="37"/>
      <c r="D31" s="37"/>
      <c r="E31" s="258"/>
      <c r="F31" s="286"/>
      <c r="G31" s="37">
        <f t="shared" si="0"/>
        <v>0</v>
      </c>
      <c r="H31" s="37"/>
      <c r="I31" s="37"/>
      <c r="J31" s="37">
        <f t="shared" si="1"/>
        <v>0</v>
      </c>
      <c r="K31" s="37">
        <f t="shared" si="2"/>
        <v>0</v>
      </c>
      <c r="L31" s="37">
        <v>0</v>
      </c>
      <c r="M31" s="37">
        <f t="shared" si="3"/>
        <v>1295555.9398000001</v>
      </c>
      <c r="N31" s="37"/>
    </row>
    <row r="32" spans="1:14">
      <c r="A32" s="189">
        <v>29</v>
      </c>
      <c r="B32" s="212">
        <v>46232</v>
      </c>
      <c r="C32" s="37"/>
      <c r="D32" s="37"/>
      <c r="E32" s="258">
        <v>1000</v>
      </c>
      <c r="F32" s="286">
        <v>99.13</v>
      </c>
      <c r="G32" s="37">
        <f t="shared" si="0"/>
        <v>99130</v>
      </c>
      <c r="H32" s="37"/>
      <c r="I32" s="37"/>
      <c r="J32" s="37">
        <f t="shared" si="1"/>
        <v>0</v>
      </c>
      <c r="K32" s="37">
        <f t="shared" si="2"/>
        <v>99130</v>
      </c>
      <c r="L32" s="37">
        <v>0</v>
      </c>
      <c r="M32" s="37">
        <f t="shared" si="3"/>
        <v>1394685.9398000001</v>
      </c>
      <c r="N32" s="37"/>
    </row>
    <row r="33" spans="1:14">
      <c r="A33" s="43">
        <v>30</v>
      </c>
      <c r="B33" s="212">
        <v>46233</v>
      </c>
      <c r="C33" s="37"/>
      <c r="D33" s="37"/>
      <c r="E33" s="258"/>
      <c r="F33" s="286"/>
      <c r="G33" s="37">
        <f>E33*F33</f>
        <v>0</v>
      </c>
      <c r="H33" s="37"/>
      <c r="I33" s="37"/>
      <c r="J33" s="37">
        <f>H33*I33</f>
        <v>0</v>
      </c>
      <c r="K33" s="37">
        <f>G33+J33</f>
        <v>0</v>
      </c>
      <c r="L33" s="37"/>
      <c r="M33" s="37">
        <f>M32+K33-L33</f>
        <v>1394685.9398000001</v>
      </c>
      <c r="N33" s="37"/>
    </row>
    <row r="34" spans="1:14">
      <c r="A34" s="189">
        <v>31</v>
      </c>
      <c r="B34" s="212">
        <v>46234</v>
      </c>
      <c r="C34" s="37"/>
      <c r="D34" s="37"/>
      <c r="E34" s="258">
        <v>35.340000000000003</v>
      </c>
      <c r="F34" s="286">
        <v>99.13</v>
      </c>
      <c r="G34" s="37">
        <f t="shared" si="0"/>
        <v>3503.2542000000003</v>
      </c>
      <c r="H34" s="37"/>
      <c r="I34" s="37"/>
      <c r="J34" s="37">
        <f t="shared" si="1"/>
        <v>0</v>
      </c>
      <c r="K34" s="37">
        <f t="shared" si="2"/>
        <v>3503.2542000000003</v>
      </c>
      <c r="L34" s="37">
        <v>0</v>
      </c>
      <c r="M34" s="37">
        <f>M32+K34-L34</f>
        <v>1398189.1940000001</v>
      </c>
      <c r="N34" s="37"/>
    </row>
    <row r="35" spans="1:14">
      <c r="A35" s="174"/>
      <c r="B35" s="174"/>
      <c r="C35" s="174"/>
      <c r="D35" s="174"/>
      <c r="E35" s="174">
        <f>SUM(E4:E34)</f>
        <v>11076.66</v>
      </c>
      <c r="F35" s="174"/>
      <c r="G35" s="174">
        <f>SUM(G4:G34)</f>
        <v>1098029.3058000002</v>
      </c>
      <c r="H35" s="174">
        <f>SUM(H4:H34)</f>
        <v>0</v>
      </c>
      <c r="I35" s="174"/>
      <c r="J35" s="174">
        <f>SUM(J4:J34)</f>
        <v>0</v>
      </c>
      <c r="K35" s="174">
        <f>SUM(K4:K34)</f>
        <v>1098029.3058000002</v>
      </c>
      <c r="L35" s="174">
        <f>SUM(L4:L34)</f>
        <v>0</v>
      </c>
      <c r="M35" s="174"/>
      <c r="N35" s="17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4F00-955C-484E-8374-CC217A19A54B}">
  <sheetPr>
    <tabColor rgb="FF002060"/>
  </sheetPr>
  <dimension ref="A1:P35"/>
  <sheetViews>
    <sheetView topLeftCell="A18" workbookViewId="0">
      <selection activeCell="H34" sqref="H34"/>
    </sheetView>
  </sheetViews>
  <sheetFormatPr defaultRowHeight="15"/>
  <cols>
    <col min="2" max="2" width="9.85546875" customWidth="1"/>
    <col min="7" max="7" width="10" customWidth="1"/>
    <col min="11" max="11" width="13.5703125" bestFit="1" customWidth="1"/>
    <col min="12" max="12" width="10.42578125" bestFit="1" customWidth="1"/>
    <col min="13" max="13" width="10.5703125" bestFit="1" customWidth="1"/>
    <col min="18" max="18" width="13.7109375" customWidth="1"/>
  </cols>
  <sheetData>
    <row r="1" spans="1:16" ht="15.75">
      <c r="A1" s="582" t="s">
        <v>145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4"/>
    </row>
    <row r="2" spans="1:16" ht="30.75">
      <c r="A2" s="120" t="s">
        <v>0</v>
      </c>
      <c r="B2" s="206" t="s">
        <v>163</v>
      </c>
      <c r="C2" s="206" t="s">
        <v>164</v>
      </c>
      <c r="D2" s="206" t="s">
        <v>186</v>
      </c>
      <c r="E2" s="206" t="s">
        <v>166</v>
      </c>
      <c r="F2" s="206" t="s">
        <v>167</v>
      </c>
      <c r="G2" s="206" t="s">
        <v>168</v>
      </c>
      <c r="H2" s="206" t="s">
        <v>169</v>
      </c>
      <c r="I2" s="206" t="s">
        <v>167</v>
      </c>
      <c r="J2" s="206" t="s">
        <v>168</v>
      </c>
      <c r="K2" s="168" t="s">
        <v>170</v>
      </c>
      <c r="L2" s="168" t="s">
        <v>171</v>
      </c>
      <c r="M2" s="168" t="s">
        <v>187</v>
      </c>
      <c r="N2" s="206" t="s">
        <v>173</v>
      </c>
    </row>
    <row r="3" spans="1:16">
      <c r="A3" s="585" t="s">
        <v>174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7"/>
      <c r="M3" s="585">
        <v>293806.42680000019</v>
      </c>
      <c r="N3" s="587"/>
    </row>
    <row r="4" spans="1:16">
      <c r="A4" s="189">
        <v>1</v>
      </c>
      <c r="B4" s="212">
        <v>46204</v>
      </c>
      <c r="C4" s="37"/>
      <c r="D4" s="37"/>
      <c r="E4" s="258">
        <v>217.98</v>
      </c>
      <c r="F4" s="286">
        <v>99.37</v>
      </c>
      <c r="G4" s="37">
        <f>E4*F4</f>
        <v>21660.672600000002</v>
      </c>
      <c r="H4" s="37">
        <v>25</v>
      </c>
      <c r="I4" s="37">
        <v>111.46</v>
      </c>
      <c r="J4" s="37">
        <f>H4*I4</f>
        <v>2786.5</v>
      </c>
      <c r="K4" s="37">
        <f>G4+J4</f>
        <v>24447.172600000002</v>
      </c>
      <c r="L4" s="37">
        <v>0</v>
      </c>
      <c r="M4" s="37">
        <f>M3+K4-L4</f>
        <v>318253.59940000018</v>
      </c>
      <c r="N4" s="37"/>
    </row>
    <row r="5" spans="1:16">
      <c r="A5" s="43">
        <v>2</v>
      </c>
      <c r="B5" s="212">
        <v>46205</v>
      </c>
      <c r="C5" s="37"/>
      <c r="D5" s="37"/>
      <c r="E5" s="258">
        <v>308.45</v>
      </c>
      <c r="F5" s="286">
        <v>99.37</v>
      </c>
      <c r="G5" s="37">
        <f t="shared" ref="G5:G34" si="0">E5*F5</f>
        <v>30650.676500000001</v>
      </c>
      <c r="H5" s="37">
        <v>30</v>
      </c>
      <c r="I5" s="37">
        <v>111.46</v>
      </c>
      <c r="J5" s="37">
        <f t="shared" ref="J5:J33" si="1">H5*I5</f>
        <v>3343.7999999999997</v>
      </c>
      <c r="K5" s="37">
        <f t="shared" ref="K5:K33" si="2">G5+J5</f>
        <v>33994.476500000004</v>
      </c>
      <c r="L5" s="37">
        <v>0</v>
      </c>
      <c r="M5" s="37">
        <f t="shared" ref="M5:M34" si="3">M4+K5-L5</f>
        <v>352248.07590000017</v>
      </c>
      <c r="N5" s="37"/>
    </row>
    <row r="6" spans="1:16">
      <c r="A6" s="43">
        <v>3</v>
      </c>
      <c r="B6" s="212">
        <v>46206</v>
      </c>
      <c r="C6" s="37"/>
      <c r="D6" s="37"/>
      <c r="E6" s="258">
        <v>143.1</v>
      </c>
      <c r="F6" s="286">
        <v>99.37</v>
      </c>
      <c r="G6" s="37">
        <f t="shared" si="0"/>
        <v>14219.847</v>
      </c>
      <c r="H6" s="37"/>
      <c r="I6" s="37"/>
      <c r="J6" s="37">
        <f t="shared" si="1"/>
        <v>0</v>
      </c>
      <c r="K6" s="37">
        <f>G6+J6</f>
        <v>14219.847</v>
      </c>
      <c r="L6" s="37">
        <v>0</v>
      </c>
      <c r="M6" s="37">
        <f t="shared" si="3"/>
        <v>366467.92290000018</v>
      </c>
      <c r="N6" s="37"/>
    </row>
    <row r="7" spans="1:16">
      <c r="A7" s="43">
        <v>4</v>
      </c>
      <c r="B7" s="212">
        <v>46207</v>
      </c>
      <c r="C7" s="37"/>
      <c r="D7" s="37"/>
      <c r="E7" s="258">
        <v>235</v>
      </c>
      <c r="F7" s="286">
        <v>99.37</v>
      </c>
      <c r="G7" s="37">
        <f t="shared" si="0"/>
        <v>23351.95</v>
      </c>
      <c r="H7" s="37">
        <v>5</v>
      </c>
      <c r="I7" s="37">
        <v>111.46</v>
      </c>
      <c r="J7" s="37">
        <f t="shared" si="1"/>
        <v>557.29999999999995</v>
      </c>
      <c r="K7" s="37">
        <f t="shared" si="2"/>
        <v>23909.25</v>
      </c>
      <c r="L7" s="37">
        <v>0</v>
      </c>
      <c r="M7" s="37">
        <f t="shared" si="3"/>
        <v>390377.17290000018</v>
      </c>
      <c r="N7" s="37"/>
    </row>
    <row r="8" spans="1:16">
      <c r="A8" s="43">
        <v>5</v>
      </c>
      <c r="B8" s="212">
        <v>46208</v>
      </c>
      <c r="C8" s="37"/>
      <c r="D8" s="37"/>
      <c r="E8" s="258"/>
      <c r="F8" s="286"/>
      <c r="G8" s="37">
        <f t="shared" si="0"/>
        <v>0</v>
      </c>
      <c r="H8" s="37">
        <v>5</v>
      </c>
      <c r="I8" s="37">
        <v>111.46</v>
      </c>
      <c r="J8" s="37">
        <f t="shared" si="1"/>
        <v>557.29999999999995</v>
      </c>
      <c r="K8" s="37">
        <f t="shared" si="2"/>
        <v>557.29999999999995</v>
      </c>
      <c r="L8" s="37">
        <v>0</v>
      </c>
      <c r="M8" s="37">
        <f t="shared" si="3"/>
        <v>390934.47290000017</v>
      </c>
      <c r="N8" s="37"/>
    </row>
    <row r="9" spans="1:16">
      <c r="A9" s="43">
        <v>6</v>
      </c>
      <c r="B9" s="212">
        <v>46209</v>
      </c>
      <c r="C9" s="37"/>
      <c r="D9" s="37"/>
      <c r="E9" s="258">
        <v>721.51</v>
      </c>
      <c r="F9" s="286">
        <v>99.37</v>
      </c>
      <c r="G9" s="37">
        <f t="shared" si="0"/>
        <v>71696.448700000008</v>
      </c>
      <c r="H9" s="37">
        <v>40</v>
      </c>
      <c r="I9" s="37">
        <v>111.46</v>
      </c>
      <c r="J9" s="37">
        <f t="shared" si="1"/>
        <v>4458.3999999999996</v>
      </c>
      <c r="K9" s="37">
        <f t="shared" si="2"/>
        <v>76154.848700000002</v>
      </c>
      <c r="L9" s="37">
        <v>0</v>
      </c>
      <c r="M9" s="37">
        <f t="shared" si="3"/>
        <v>467089.32160000014</v>
      </c>
      <c r="N9" s="37"/>
    </row>
    <row r="10" spans="1:16">
      <c r="A10" s="43">
        <v>7</v>
      </c>
      <c r="B10" s="212">
        <v>46210</v>
      </c>
      <c r="C10" s="37"/>
      <c r="D10" s="37"/>
      <c r="E10" s="258">
        <v>150</v>
      </c>
      <c r="F10" s="286">
        <v>99.37</v>
      </c>
      <c r="G10" s="37">
        <f t="shared" si="0"/>
        <v>14905.5</v>
      </c>
      <c r="H10" s="37">
        <v>15</v>
      </c>
      <c r="I10" s="37">
        <v>111.46</v>
      </c>
      <c r="J10" s="37">
        <f t="shared" si="1"/>
        <v>1671.8999999999999</v>
      </c>
      <c r="K10" s="37">
        <f t="shared" si="2"/>
        <v>16577.400000000001</v>
      </c>
      <c r="L10" s="37">
        <v>0</v>
      </c>
      <c r="M10" s="37">
        <f t="shared" si="3"/>
        <v>483666.72160000016</v>
      </c>
      <c r="N10" s="37"/>
    </row>
    <row r="11" spans="1:16">
      <c r="A11" s="43">
        <v>8</v>
      </c>
      <c r="B11" s="212">
        <v>46211</v>
      </c>
      <c r="C11" s="37"/>
      <c r="D11" s="37"/>
      <c r="E11" s="258">
        <v>653.46</v>
      </c>
      <c r="F11" s="286">
        <v>99.37</v>
      </c>
      <c r="G11" s="37">
        <f t="shared" si="0"/>
        <v>64934.320200000009</v>
      </c>
      <c r="H11" s="37">
        <v>20</v>
      </c>
      <c r="I11" s="37">
        <v>111.46</v>
      </c>
      <c r="J11" s="37">
        <f t="shared" si="1"/>
        <v>2229.1999999999998</v>
      </c>
      <c r="K11" s="37">
        <f t="shared" si="2"/>
        <v>67163.520200000014</v>
      </c>
      <c r="L11" s="37">
        <v>0</v>
      </c>
      <c r="M11" s="37">
        <f t="shared" si="3"/>
        <v>550830.24180000019</v>
      </c>
      <c r="N11" s="37"/>
      <c r="P11" s="19"/>
    </row>
    <row r="12" spans="1:16">
      <c r="A12" s="43">
        <v>9</v>
      </c>
      <c r="B12" s="212">
        <v>46212</v>
      </c>
      <c r="C12" s="37"/>
      <c r="D12" s="37"/>
      <c r="E12" s="258">
        <v>302.23</v>
      </c>
      <c r="F12" s="286">
        <v>99.37</v>
      </c>
      <c r="G12" s="37">
        <f t="shared" si="0"/>
        <v>30032.595100000002</v>
      </c>
      <c r="H12" s="37">
        <v>5</v>
      </c>
      <c r="I12" s="37">
        <v>111.46</v>
      </c>
      <c r="J12" s="37">
        <f t="shared" si="1"/>
        <v>557.29999999999995</v>
      </c>
      <c r="K12" s="37">
        <f t="shared" si="2"/>
        <v>30589.895100000002</v>
      </c>
      <c r="L12" s="37">
        <v>0</v>
      </c>
      <c r="M12" s="37">
        <f t="shared" si="3"/>
        <v>581420.13690000016</v>
      </c>
      <c r="N12" s="37"/>
    </row>
    <row r="13" spans="1:16">
      <c r="A13" s="43">
        <v>11</v>
      </c>
      <c r="B13" s="212">
        <v>46213</v>
      </c>
      <c r="C13" s="37"/>
      <c r="D13" s="37"/>
      <c r="E13" s="258">
        <v>113.4</v>
      </c>
      <c r="F13" s="286">
        <v>99.37</v>
      </c>
      <c r="G13" s="37">
        <f t="shared" si="0"/>
        <v>11268.558000000001</v>
      </c>
      <c r="H13" s="37">
        <v>20</v>
      </c>
      <c r="I13" s="37">
        <v>111.46</v>
      </c>
      <c r="J13" s="37">
        <f t="shared" si="1"/>
        <v>2229.1999999999998</v>
      </c>
      <c r="K13" s="37">
        <f t="shared" si="2"/>
        <v>13497.758000000002</v>
      </c>
      <c r="L13" s="37">
        <v>0</v>
      </c>
      <c r="M13" s="37">
        <f t="shared" si="3"/>
        <v>594917.89490000019</v>
      </c>
      <c r="N13" s="37"/>
    </row>
    <row r="14" spans="1:16">
      <c r="A14" s="43">
        <v>12</v>
      </c>
      <c r="B14" s="212">
        <v>46214</v>
      </c>
      <c r="C14" s="37"/>
      <c r="D14" s="37"/>
      <c r="E14" s="258">
        <v>82.61</v>
      </c>
      <c r="F14" s="286">
        <v>99.37</v>
      </c>
      <c r="G14" s="37">
        <f t="shared" si="0"/>
        <v>8208.9557000000004</v>
      </c>
      <c r="H14" s="37">
        <v>15</v>
      </c>
      <c r="I14" s="37">
        <v>111.46</v>
      </c>
      <c r="J14" s="37">
        <f t="shared" si="1"/>
        <v>1671.8999999999999</v>
      </c>
      <c r="K14" s="37">
        <f t="shared" si="2"/>
        <v>9880.8557000000001</v>
      </c>
      <c r="L14" s="37">
        <v>0</v>
      </c>
      <c r="M14" s="37">
        <f t="shared" si="3"/>
        <v>604798.75060000014</v>
      </c>
      <c r="N14" s="37"/>
    </row>
    <row r="15" spans="1:16">
      <c r="A15" s="43">
        <v>13</v>
      </c>
      <c r="B15" s="212">
        <v>46215</v>
      </c>
      <c r="C15" s="37"/>
      <c r="D15" s="37"/>
      <c r="E15" s="258">
        <v>461.04</v>
      </c>
      <c r="F15" s="286">
        <v>99.37</v>
      </c>
      <c r="G15" s="37">
        <f t="shared" si="0"/>
        <v>45813.544800000003</v>
      </c>
      <c r="H15" s="37">
        <v>5</v>
      </c>
      <c r="I15" s="37">
        <v>111.46</v>
      </c>
      <c r="J15" s="37">
        <f t="shared" si="1"/>
        <v>557.29999999999995</v>
      </c>
      <c r="K15" s="37">
        <f t="shared" si="2"/>
        <v>46370.844800000006</v>
      </c>
      <c r="L15" s="37">
        <v>0</v>
      </c>
      <c r="M15" s="37">
        <f t="shared" si="3"/>
        <v>651169.59540000011</v>
      </c>
      <c r="N15" s="37"/>
    </row>
    <row r="16" spans="1:16">
      <c r="A16" s="43">
        <v>14</v>
      </c>
      <c r="B16" s="212">
        <v>46216</v>
      </c>
      <c r="C16" s="37"/>
      <c r="D16" s="37"/>
      <c r="E16" s="258">
        <v>39.21</v>
      </c>
      <c r="F16" s="286">
        <v>99.37</v>
      </c>
      <c r="G16" s="37">
        <f t="shared" si="0"/>
        <v>3896.2977000000001</v>
      </c>
      <c r="H16" s="37">
        <v>35</v>
      </c>
      <c r="I16" s="37">
        <v>111.46</v>
      </c>
      <c r="J16" s="37">
        <f t="shared" si="1"/>
        <v>3901.1</v>
      </c>
      <c r="K16" s="37">
        <f t="shared" si="2"/>
        <v>7797.3976999999995</v>
      </c>
      <c r="L16" s="37">
        <v>0</v>
      </c>
      <c r="M16" s="37">
        <f t="shared" si="3"/>
        <v>658966.99310000008</v>
      </c>
      <c r="N16" s="37"/>
    </row>
    <row r="17" spans="1:14">
      <c r="A17" s="43">
        <v>15</v>
      </c>
      <c r="B17" s="212">
        <v>46217</v>
      </c>
      <c r="C17" s="37"/>
      <c r="D17" s="37"/>
      <c r="E17" s="258">
        <v>220.61</v>
      </c>
      <c r="F17" s="286">
        <v>99.37</v>
      </c>
      <c r="G17" s="37">
        <f t="shared" si="0"/>
        <v>21922.015700000004</v>
      </c>
      <c r="H17" s="37">
        <v>15</v>
      </c>
      <c r="I17" s="37">
        <v>111.46</v>
      </c>
      <c r="J17" s="37">
        <f t="shared" si="1"/>
        <v>1671.8999999999999</v>
      </c>
      <c r="K17" s="37">
        <f t="shared" si="2"/>
        <v>23593.915700000005</v>
      </c>
      <c r="L17" s="37">
        <v>0</v>
      </c>
      <c r="M17" s="37">
        <f t="shared" si="3"/>
        <v>682560.90880000009</v>
      </c>
      <c r="N17" s="37"/>
    </row>
    <row r="18" spans="1:14">
      <c r="A18" s="43">
        <v>16</v>
      </c>
      <c r="B18" s="212">
        <v>46218</v>
      </c>
      <c r="C18" s="37"/>
      <c r="D18" s="37"/>
      <c r="E18" s="258">
        <v>135.21</v>
      </c>
      <c r="F18" s="286">
        <v>99.37</v>
      </c>
      <c r="G18" s="37">
        <f t="shared" si="0"/>
        <v>13435.817700000001</v>
      </c>
      <c r="H18" s="37">
        <v>12</v>
      </c>
      <c r="I18" s="37">
        <v>111.46</v>
      </c>
      <c r="J18" s="37">
        <f t="shared" si="1"/>
        <v>1337.52</v>
      </c>
      <c r="K18" s="37">
        <f t="shared" si="2"/>
        <v>14773.337700000002</v>
      </c>
      <c r="L18" s="37">
        <v>0</v>
      </c>
      <c r="M18" s="37">
        <f t="shared" si="3"/>
        <v>697334.24650000012</v>
      </c>
      <c r="N18" s="37"/>
    </row>
    <row r="19" spans="1:14">
      <c r="A19" s="43">
        <v>17</v>
      </c>
      <c r="B19" s="212">
        <v>46219</v>
      </c>
      <c r="C19" s="37"/>
      <c r="D19" s="37"/>
      <c r="E19" s="258">
        <v>573.51</v>
      </c>
      <c r="F19" s="286">
        <v>99.37</v>
      </c>
      <c r="G19" s="37">
        <f t="shared" si="0"/>
        <v>56989.688699999999</v>
      </c>
      <c r="H19" s="37">
        <v>30</v>
      </c>
      <c r="I19" s="37">
        <v>111.46</v>
      </c>
      <c r="J19" s="37">
        <f t="shared" si="1"/>
        <v>3343.7999999999997</v>
      </c>
      <c r="K19" s="37">
        <f t="shared" si="2"/>
        <v>60333.488700000002</v>
      </c>
      <c r="L19" s="37">
        <v>0</v>
      </c>
      <c r="M19" s="37">
        <f t="shared" si="3"/>
        <v>757667.73520000011</v>
      </c>
      <c r="N19" s="37"/>
    </row>
    <row r="20" spans="1:14">
      <c r="A20" s="43">
        <v>18</v>
      </c>
      <c r="B20" s="212">
        <v>46220</v>
      </c>
      <c r="C20" s="37"/>
      <c r="D20" s="37"/>
      <c r="E20" s="258">
        <v>86.39</v>
      </c>
      <c r="F20" s="286">
        <v>99.37</v>
      </c>
      <c r="G20" s="37">
        <f t="shared" si="0"/>
        <v>8584.5743000000002</v>
      </c>
      <c r="H20" s="37">
        <v>5</v>
      </c>
      <c r="I20" s="37">
        <v>111.46</v>
      </c>
      <c r="J20" s="37">
        <f t="shared" si="1"/>
        <v>557.29999999999995</v>
      </c>
      <c r="K20" s="37">
        <f t="shared" si="2"/>
        <v>9141.8742999999995</v>
      </c>
      <c r="L20" s="37">
        <v>0</v>
      </c>
      <c r="M20" s="37">
        <f t="shared" si="3"/>
        <v>766809.60950000014</v>
      </c>
      <c r="N20" s="37"/>
    </row>
    <row r="21" spans="1:14">
      <c r="A21" s="43">
        <v>19</v>
      </c>
      <c r="B21" s="212">
        <v>46221</v>
      </c>
      <c r="C21" s="37"/>
      <c r="D21" s="37"/>
      <c r="E21" s="258">
        <v>160.6</v>
      </c>
      <c r="F21" s="286">
        <v>99.37</v>
      </c>
      <c r="G21" s="37">
        <f t="shared" si="0"/>
        <v>15958.822</v>
      </c>
      <c r="H21" s="37">
        <v>20</v>
      </c>
      <c r="I21" s="37">
        <v>111.46</v>
      </c>
      <c r="J21" s="37">
        <f t="shared" si="1"/>
        <v>2229.1999999999998</v>
      </c>
      <c r="K21" s="37">
        <f t="shared" si="2"/>
        <v>18188.022000000001</v>
      </c>
      <c r="L21" s="37">
        <v>0</v>
      </c>
      <c r="M21" s="37">
        <f>M20+K21-L21</f>
        <v>784997.63150000013</v>
      </c>
      <c r="N21" s="37"/>
    </row>
    <row r="22" spans="1:14">
      <c r="A22" s="43">
        <v>20</v>
      </c>
      <c r="B22" s="212">
        <v>46222</v>
      </c>
      <c r="C22" s="37"/>
      <c r="D22" s="37"/>
      <c r="E22" s="258">
        <v>56.54</v>
      </c>
      <c r="F22" s="286">
        <v>99.37</v>
      </c>
      <c r="G22" s="37">
        <f t="shared" si="0"/>
        <v>5618.3798000000006</v>
      </c>
      <c r="H22" s="37">
        <v>10</v>
      </c>
      <c r="I22" s="37">
        <v>111.46</v>
      </c>
      <c r="J22" s="37">
        <f t="shared" si="1"/>
        <v>1114.5999999999999</v>
      </c>
      <c r="K22" s="37">
        <f t="shared" si="2"/>
        <v>6732.979800000001</v>
      </c>
      <c r="L22" s="37">
        <v>0</v>
      </c>
      <c r="M22" s="37">
        <f t="shared" si="3"/>
        <v>791730.61130000011</v>
      </c>
      <c r="N22" s="37"/>
    </row>
    <row r="23" spans="1:14">
      <c r="A23" s="43">
        <v>21</v>
      </c>
      <c r="B23" s="212">
        <v>46223</v>
      </c>
      <c r="C23" s="37"/>
      <c r="D23" s="37"/>
      <c r="E23" s="258">
        <v>413.59</v>
      </c>
      <c r="F23" s="286">
        <v>99.37</v>
      </c>
      <c r="G23" s="37">
        <f t="shared" si="0"/>
        <v>41098.438300000002</v>
      </c>
      <c r="H23" s="37">
        <v>20</v>
      </c>
      <c r="I23" s="37">
        <v>111.46</v>
      </c>
      <c r="J23" s="37">
        <f t="shared" si="1"/>
        <v>2229.1999999999998</v>
      </c>
      <c r="K23" s="37">
        <f t="shared" si="2"/>
        <v>43327.638299999999</v>
      </c>
      <c r="L23" s="37">
        <v>0</v>
      </c>
      <c r="M23" s="37">
        <f t="shared" si="3"/>
        <v>835058.2496000001</v>
      </c>
      <c r="N23" s="37"/>
    </row>
    <row r="24" spans="1:14">
      <c r="A24" s="43">
        <v>22</v>
      </c>
      <c r="B24" s="212">
        <v>46224</v>
      </c>
      <c r="C24" s="37"/>
      <c r="D24" s="37"/>
      <c r="E24" s="258">
        <v>250.69</v>
      </c>
      <c r="F24" s="286">
        <v>99.37</v>
      </c>
      <c r="G24" s="37">
        <f t="shared" si="0"/>
        <v>24911.065300000002</v>
      </c>
      <c r="H24" s="37">
        <v>25</v>
      </c>
      <c r="I24" s="37">
        <v>111.46</v>
      </c>
      <c r="J24" s="37">
        <f t="shared" si="1"/>
        <v>2786.5</v>
      </c>
      <c r="K24" s="37">
        <f t="shared" si="2"/>
        <v>27697.565300000002</v>
      </c>
      <c r="L24" s="37">
        <v>0</v>
      </c>
      <c r="M24" s="37">
        <f t="shared" si="3"/>
        <v>862755.81490000011</v>
      </c>
      <c r="N24" s="37"/>
    </row>
    <row r="25" spans="1:14">
      <c r="A25" s="43">
        <v>23</v>
      </c>
      <c r="B25" s="212">
        <v>46225</v>
      </c>
      <c r="C25" s="37"/>
      <c r="D25" s="37"/>
      <c r="E25" s="258">
        <v>480.2</v>
      </c>
      <c r="F25" s="286">
        <v>99.37</v>
      </c>
      <c r="G25" s="37">
        <f t="shared" si="0"/>
        <v>47717.474000000002</v>
      </c>
      <c r="H25" s="37">
        <v>12</v>
      </c>
      <c r="I25" s="37">
        <v>111.46</v>
      </c>
      <c r="J25" s="37">
        <f t="shared" si="1"/>
        <v>1337.52</v>
      </c>
      <c r="K25" s="37">
        <f t="shared" si="2"/>
        <v>49054.993999999999</v>
      </c>
      <c r="L25" s="37">
        <v>0</v>
      </c>
      <c r="M25" s="37">
        <f t="shared" si="3"/>
        <v>911810.80890000006</v>
      </c>
      <c r="N25" s="37"/>
    </row>
    <row r="26" spans="1:14">
      <c r="A26" s="43">
        <v>24</v>
      </c>
      <c r="B26" s="212">
        <v>46226</v>
      </c>
      <c r="C26" s="37"/>
      <c r="D26" s="37"/>
      <c r="E26" s="258"/>
      <c r="F26" s="286"/>
      <c r="G26" s="37">
        <f t="shared" si="0"/>
        <v>0</v>
      </c>
      <c r="H26" s="37"/>
      <c r="I26" s="37"/>
      <c r="J26" s="37">
        <f t="shared" si="1"/>
        <v>0</v>
      </c>
      <c r="K26" s="37">
        <f t="shared" si="2"/>
        <v>0</v>
      </c>
      <c r="L26" s="37">
        <v>0</v>
      </c>
      <c r="M26" s="37">
        <f t="shared" si="3"/>
        <v>911810.80890000006</v>
      </c>
      <c r="N26" s="37"/>
    </row>
    <row r="27" spans="1:14">
      <c r="A27" s="214">
        <v>25</v>
      </c>
      <c r="B27" s="212">
        <v>46227</v>
      </c>
      <c r="C27" s="37"/>
      <c r="D27" s="37"/>
      <c r="E27" s="258">
        <v>153.47</v>
      </c>
      <c r="F27" s="286">
        <v>99.37</v>
      </c>
      <c r="G27" s="37">
        <f t="shared" si="0"/>
        <v>15250.313900000001</v>
      </c>
      <c r="H27" s="37">
        <v>10</v>
      </c>
      <c r="I27" s="37">
        <v>111.46</v>
      </c>
      <c r="J27" s="37">
        <f t="shared" si="1"/>
        <v>1114.5999999999999</v>
      </c>
      <c r="K27" s="37">
        <f t="shared" si="2"/>
        <v>16364.913900000001</v>
      </c>
      <c r="L27" s="37">
        <v>0</v>
      </c>
      <c r="M27" s="37">
        <f t="shared" si="3"/>
        <v>928175.72280000011</v>
      </c>
      <c r="N27" s="37"/>
    </row>
    <row r="28" spans="1:14">
      <c r="A28" s="214">
        <v>26</v>
      </c>
      <c r="B28" s="212">
        <v>46228</v>
      </c>
      <c r="C28" s="37"/>
      <c r="D28" s="37"/>
      <c r="E28" s="258">
        <v>334.41</v>
      </c>
      <c r="F28" s="286">
        <v>99.37</v>
      </c>
      <c r="G28" s="37">
        <f t="shared" si="0"/>
        <v>33230.3217</v>
      </c>
      <c r="H28" s="37">
        <v>5</v>
      </c>
      <c r="I28" s="37">
        <v>111.46</v>
      </c>
      <c r="J28" s="37">
        <f t="shared" si="1"/>
        <v>557.29999999999995</v>
      </c>
      <c r="K28" s="37">
        <f t="shared" si="2"/>
        <v>33787.621700000003</v>
      </c>
      <c r="L28" s="37">
        <v>0</v>
      </c>
      <c r="M28" s="37">
        <f t="shared" si="3"/>
        <v>961963.34450000012</v>
      </c>
      <c r="N28" s="37"/>
    </row>
    <row r="29" spans="1:14">
      <c r="A29" s="214">
        <v>27</v>
      </c>
      <c r="B29" s="212">
        <v>46229</v>
      </c>
      <c r="C29" s="37"/>
      <c r="D29" s="37"/>
      <c r="E29" s="258">
        <v>100</v>
      </c>
      <c r="F29" s="286">
        <v>99.37</v>
      </c>
      <c r="G29" s="37">
        <f t="shared" si="0"/>
        <v>9937</v>
      </c>
      <c r="H29" s="37"/>
      <c r="I29" s="37"/>
      <c r="J29" s="37">
        <f t="shared" si="1"/>
        <v>0</v>
      </c>
      <c r="K29" s="37">
        <f t="shared" si="2"/>
        <v>9937</v>
      </c>
      <c r="L29" s="37">
        <v>0</v>
      </c>
      <c r="M29" s="37">
        <f t="shared" si="3"/>
        <v>971900.34450000012</v>
      </c>
      <c r="N29" s="37"/>
    </row>
    <row r="30" spans="1:14">
      <c r="A30" s="214">
        <v>28</v>
      </c>
      <c r="B30" s="212">
        <v>46230</v>
      </c>
      <c r="C30" s="37"/>
      <c r="D30" s="37"/>
      <c r="E30" s="258">
        <v>136.9</v>
      </c>
      <c r="F30" s="286">
        <v>99.37</v>
      </c>
      <c r="G30" s="37">
        <f t="shared" si="0"/>
        <v>13603.753000000001</v>
      </c>
      <c r="H30" s="37">
        <v>25</v>
      </c>
      <c r="I30" s="37">
        <v>111.46</v>
      </c>
      <c r="J30" s="37">
        <f t="shared" si="1"/>
        <v>2786.5</v>
      </c>
      <c r="K30" s="37">
        <f t="shared" si="2"/>
        <v>16390.253000000001</v>
      </c>
      <c r="L30" s="37">
        <v>0</v>
      </c>
      <c r="M30" s="37">
        <f t="shared" si="3"/>
        <v>988290.59750000015</v>
      </c>
      <c r="N30" s="37"/>
    </row>
    <row r="31" spans="1:14">
      <c r="A31" s="445">
        <v>29</v>
      </c>
      <c r="B31" s="446">
        <v>46231</v>
      </c>
      <c r="C31" s="205"/>
      <c r="D31" s="205"/>
      <c r="E31" s="424">
        <v>0</v>
      </c>
      <c r="F31" s="286">
        <v>0</v>
      </c>
      <c r="G31" s="205">
        <f t="shared" si="0"/>
        <v>0</v>
      </c>
      <c r="H31" s="205">
        <v>10</v>
      </c>
      <c r="I31" s="37">
        <v>111.46</v>
      </c>
      <c r="J31" s="205">
        <f t="shared" si="1"/>
        <v>1114.5999999999999</v>
      </c>
      <c r="K31" s="205">
        <f t="shared" si="2"/>
        <v>1114.5999999999999</v>
      </c>
      <c r="L31" s="205">
        <v>0</v>
      </c>
      <c r="M31" s="205">
        <f t="shared" si="3"/>
        <v>989405.19750000013</v>
      </c>
      <c r="N31" s="205"/>
    </row>
    <row r="32" spans="1:14">
      <c r="A32" s="43">
        <v>30</v>
      </c>
      <c r="B32" s="313">
        <v>46232</v>
      </c>
      <c r="C32" s="37"/>
      <c r="D32" s="37"/>
      <c r="E32" s="258">
        <v>183.42</v>
      </c>
      <c r="F32" s="286">
        <v>99.37</v>
      </c>
      <c r="G32" s="37">
        <f t="shared" si="0"/>
        <v>18226.445400000001</v>
      </c>
      <c r="H32" s="37">
        <v>10</v>
      </c>
      <c r="I32" s="37">
        <v>111.46</v>
      </c>
      <c r="J32" s="37">
        <f t="shared" si="1"/>
        <v>1114.5999999999999</v>
      </c>
      <c r="K32" s="37">
        <f t="shared" si="2"/>
        <v>19341.045399999999</v>
      </c>
      <c r="L32" s="37">
        <v>0</v>
      </c>
      <c r="M32" s="37">
        <f t="shared" si="3"/>
        <v>1008746.2429000001</v>
      </c>
      <c r="N32" s="37"/>
    </row>
    <row r="33" spans="1:14">
      <c r="A33" s="43">
        <v>31</v>
      </c>
      <c r="B33" s="313">
        <v>46233</v>
      </c>
      <c r="C33" s="37"/>
      <c r="D33" s="37"/>
      <c r="E33" s="258">
        <v>145.1</v>
      </c>
      <c r="F33" s="286">
        <v>99.373999999999995</v>
      </c>
      <c r="G33" s="37">
        <f t="shared" si="0"/>
        <v>14419.167399999998</v>
      </c>
      <c r="H33" s="37"/>
      <c r="I33" s="37"/>
      <c r="J33" s="37">
        <f t="shared" si="1"/>
        <v>0</v>
      </c>
      <c r="K33" s="37">
        <f t="shared" si="2"/>
        <v>14419.167399999998</v>
      </c>
      <c r="L33" s="37">
        <v>0</v>
      </c>
      <c r="M33" s="37">
        <f t="shared" si="3"/>
        <v>1023165.4103000001</v>
      </c>
      <c r="N33" s="37"/>
    </row>
    <row r="34" spans="1:14">
      <c r="A34" s="211"/>
      <c r="B34" s="450">
        <v>46234</v>
      </c>
      <c r="C34" s="205"/>
      <c r="D34" s="205"/>
      <c r="E34" s="424">
        <v>220.95</v>
      </c>
      <c r="F34" s="286">
        <v>99.373999999999995</v>
      </c>
      <c r="G34" s="37">
        <f t="shared" si="0"/>
        <v>21956.685299999997</v>
      </c>
      <c r="H34" s="205">
        <v>10</v>
      </c>
      <c r="I34" s="37">
        <v>111.46</v>
      </c>
      <c r="J34" s="205">
        <f t="shared" ref="J34" si="4">H34*I34</f>
        <v>1114.5999999999999</v>
      </c>
      <c r="K34" s="205">
        <f t="shared" ref="K34" si="5">G34+J34</f>
        <v>23071.285299999996</v>
      </c>
      <c r="L34" s="205"/>
      <c r="M34" s="205">
        <f t="shared" si="3"/>
        <v>1046236.6956000001</v>
      </c>
      <c r="N34" s="205"/>
    </row>
    <row r="35" spans="1:14">
      <c r="A35" s="447"/>
      <c r="B35" s="448"/>
      <c r="C35" s="448"/>
      <c r="D35" s="448"/>
      <c r="E35" s="448">
        <f>SUM(E4:E34)</f>
        <v>7079.5800000000008</v>
      </c>
      <c r="F35" s="448"/>
      <c r="G35" s="448">
        <f>SUM(G4:G34)</f>
        <v>703499.3287999999</v>
      </c>
      <c r="H35" s="448">
        <f>SUM(H4:H34)</f>
        <v>439</v>
      </c>
      <c r="I35" s="448"/>
      <c r="J35" s="448">
        <f>SUM(J4:J34)</f>
        <v>48930.939999999988</v>
      </c>
      <c r="K35" s="448">
        <f>SUM(K4:K34)</f>
        <v>752430.26880000008</v>
      </c>
      <c r="L35" s="448">
        <f>SUM(L4:L33)</f>
        <v>0</v>
      </c>
      <c r="M35" s="448"/>
      <c r="N35" s="449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5"/>
  <sheetViews>
    <sheetView topLeftCell="A12" workbookViewId="0">
      <selection activeCell="P19" sqref="P19"/>
    </sheetView>
  </sheetViews>
  <sheetFormatPr defaultRowHeight="15"/>
  <cols>
    <col min="2" max="2" width="10.5703125" bestFit="1" customWidth="1"/>
    <col min="11" max="11" width="13.5703125" bestFit="1" customWidth="1"/>
    <col min="12" max="12" width="12.42578125" bestFit="1" customWidth="1"/>
  </cols>
  <sheetData>
    <row r="1" spans="1:14" ht="15.75">
      <c r="A1" s="588" t="s">
        <v>283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</row>
    <row r="2" spans="1:14" ht="45">
      <c r="A2" s="120" t="s">
        <v>0</v>
      </c>
      <c r="B2" s="206" t="s">
        <v>163</v>
      </c>
      <c r="C2" s="206" t="s">
        <v>164</v>
      </c>
      <c r="D2" s="206" t="s">
        <v>186</v>
      </c>
      <c r="E2" s="206" t="s">
        <v>166</v>
      </c>
      <c r="F2" s="206" t="s">
        <v>167</v>
      </c>
      <c r="G2" s="206" t="s">
        <v>168</v>
      </c>
      <c r="H2" s="206" t="s">
        <v>169</v>
      </c>
      <c r="I2" s="206" t="s">
        <v>167</v>
      </c>
      <c r="J2" s="206" t="s">
        <v>168</v>
      </c>
      <c r="K2" s="168" t="s">
        <v>170</v>
      </c>
      <c r="L2" s="168" t="s">
        <v>171</v>
      </c>
      <c r="M2" s="168" t="s">
        <v>187</v>
      </c>
      <c r="N2" s="206" t="s">
        <v>173</v>
      </c>
    </row>
    <row r="3" spans="1:14">
      <c r="A3" s="589" t="s">
        <v>174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>
        <v>0</v>
      </c>
      <c r="N3" s="589"/>
    </row>
    <row r="4" spans="1:14">
      <c r="A4" s="189">
        <v>1</v>
      </c>
      <c r="B4" s="212">
        <v>46204</v>
      </c>
      <c r="C4" s="37"/>
      <c r="D4" s="37"/>
      <c r="E4" s="37"/>
      <c r="F4" s="37"/>
      <c r="G4" s="37">
        <f>E4*F4</f>
        <v>0</v>
      </c>
      <c r="H4" s="37"/>
      <c r="I4" s="37"/>
      <c r="J4" s="37">
        <f>H4*I4</f>
        <v>0</v>
      </c>
      <c r="K4" s="37">
        <f>G4+J4</f>
        <v>0</v>
      </c>
      <c r="L4" s="37">
        <f>+K4</f>
        <v>0</v>
      </c>
      <c r="M4" s="37">
        <f>M3+K4-L4</f>
        <v>0</v>
      </c>
      <c r="N4" s="37"/>
    </row>
    <row r="5" spans="1:14">
      <c r="A5" s="43">
        <v>2</v>
      </c>
      <c r="B5" s="212">
        <v>46205</v>
      </c>
      <c r="C5" s="37"/>
      <c r="D5" s="37"/>
      <c r="E5" s="37"/>
      <c r="F5" s="37"/>
      <c r="G5" s="37">
        <f t="shared" ref="G5:G34" si="0">E5*F5</f>
        <v>0</v>
      </c>
      <c r="H5" s="37"/>
      <c r="I5" s="37"/>
      <c r="J5" s="37">
        <f t="shared" ref="J5:J34" si="1">H5*I5</f>
        <v>0</v>
      </c>
      <c r="K5" s="37">
        <f t="shared" ref="K5:K34" si="2">G5+J5</f>
        <v>0</v>
      </c>
      <c r="L5" s="37">
        <f t="shared" ref="L5:L32" si="3">+K5</f>
        <v>0</v>
      </c>
      <c r="M5" s="37">
        <f t="shared" ref="M5:M34" si="4">M4+K5-L5</f>
        <v>0</v>
      </c>
      <c r="N5" s="37"/>
    </row>
    <row r="6" spans="1:14">
      <c r="A6" s="43">
        <v>3</v>
      </c>
      <c r="B6" s="212">
        <v>46206</v>
      </c>
      <c r="C6" s="37"/>
      <c r="D6" s="37"/>
      <c r="E6" s="37"/>
      <c r="F6" s="37"/>
      <c r="G6" s="37">
        <f t="shared" si="0"/>
        <v>0</v>
      </c>
      <c r="H6" s="37">
        <v>5</v>
      </c>
      <c r="I6" s="37">
        <v>111.2</v>
      </c>
      <c r="J6" s="37">
        <f t="shared" si="1"/>
        <v>556</v>
      </c>
      <c r="K6" s="37">
        <f t="shared" si="2"/>
        <v>556</v>
      </c>
      <c r="L6" s="37">
        <f t="shared" si="3"/>
        <v>556</v>
      </c>
      <c r="M6" s="37">
        <f t="shared" si="4"/>
        <v>0</v>
      </c>
      <c r="N6" s="37"/>
    </row>
    <row r="7" spans="1:14">
      <c r="A7" s="43">
        <v>4</v>
      </c>
      <c r="B7" s="212">
        <v>46207</v>
      </c>
      <c r="C7" s="37"/>
      <c r="D7" s="37"/>
      <c r="E7" s="37"/>
      <c r="F7" s="37"/>
      <c r="G7" s="37">
        <f t="shared" si="0"/>
        <v>0</v>
      </c>
      <c r="H7" s="37"/>
      <c r="I7" s="37"/>
      <c r="J7" s="37">
        <f t="shared" si="1"/>
        <v>0</v>
      </c>
      <c r="K7" s="37">
        <f t="shared" si="2"/>
        <v>0</v>
      </c>
      <c r="L7" s="37">
        <f t="shared" si="3"/>
        <v>0</v>
      </c>
      <c r="M7" s="37">
        <f t="shared" si="4"/>
        <v>0</v>
      </c>
      <c r="N7" s="37"/>
    </row>
    <row r="8" spans="1:14">
      <c r="A8" s="43">
        <v>5</v>
      </c>
      <c r="B8" s="212">
        <v>46208</v>
      </c>
      <c r="C8" s="37"/>
      <c r="D8" s="37"/>
      <c r="E8" s="37"/>
      <c r="F8" s="37"/>
      <c r="G8" s="37">
        <f t="shared" si="0"/>
        <v>0</v>
      </c>
      <c r="H8" s="37"/>
      <c r="I8" s="37"/>
      <c r="J8" s="37">
        <f t="shared" si="1"/>
        <v>0</v>
      </c>
      <c r="K8" s="37">
        <f t="shared" si="2"/>
        <v>0</v>
      </c>
      <c r="L8" s="37">
        <f t="shared" si="3"/>
        <v>0</v>
      </c>
      <c r="M8" s="37">
        <f t="shared" si="4"/>
        <v>0</v>
      </c>
      <c r="N8" s="37"/>
    </row>
    <row r="9" spans="1:14">
      <c r="A9" s="43">
        <v>6</v>
      </c>
      <c r="B9" s="212">
        <v>46209</v>
      </c>
      <c r="C9" s="37"/>
      <c r="D9" s="37"/>
      <c r="E9" s="37"/>
      <c r="F9" s="37"/>
      <c r="G9" s="37">
        <f t="shared" si="0"/>
        <v>0</v>
      </c>
      <c r="H9" s="37"/>
      <c r="I9" s="37"/>
      <c r="J9" s="37">
        <f t="shared" si="1"/>
        <v>0</v>
      </c>
      <c r="K9" s="37">
        <f t="shared" si="2"/>
        <v>0</v>
      </c>
      <c r="L9" s="37">
        <f t="shared" si="3"/>
        <v>0</v>
      </c>
      <c r="M9" s="37">
        <f t="shared" si="4"/>
        <v>0</v>
      </c>
      <c r="N9" s="37"/>
    </row>
    <row r="10" spans="1:14">
      <c r="A10" s="43">
        <v>7</v>
      </c>
      <c r="B10" s="212">
        <v>46210</v>
      </c>
      <c r="C10" s="37"/>
      <c r="D10" s="37"/>
      <c r="E10" s="37"/>
      <c r="F10" s="37"/>
      <c r="G10" s="37">
        <f t="shared" si="0"/>
        <v>0</v>
      </c>
      <c r="H10" s="37"/>
      <c r="I10" s="37"/>
      <c r="J10" s="37">
        <f t="shared" si="1"/>
        <v>0</v>
      </c>
      <c r="K10" s="37">
        <f t="shared" si="2"/>
        <v>0</v>
      </c>
      <c r="L10" s="37">
        <f t="shared" si="3"/>
        <v>0</v>
      </c>
      <c r="M10" s="37">
        <f t="shared" si="4"/>
        <v>0</v>
      </c>
      <c r="N10" s="37"/>
    </row>
    <row r="11" spans="1:14">
      <c r="A11" s="43">
        <v>8</v>
      </c>
      <c r="B11" s="212">
        <v>46211</v>
      </c>
      <c r="C11" s="37"/>
      <c r="D11" s="37"/>
      <c r="E11" s="37"/>
      <c r="F11" s="37"/>
      <c r="G11" s="37">
        <f t="shared" si="0"/>
        <v>0</v>
      </c>
      <c r="H11" s="37"/>
      <c r="I11" s="37"/>
      <c r="J11" s="37">
        <f t="shared" si="1"/>
        <v>0</v>
      </c>
      <c r="K11" s="37">
        <f t="shared" si="2"/>
        <v>0</v>
      </c>
      <c r="L11" s="37">
        <f t="shared" si="3"/>
        <v>0</v>
      </c>
      <c r="M11" s="37">
        <f t="shared" si="4"/>
        <v>0</v>
      </c>
      <c r="N11" s="37"/>
    </row>
    <row r="12" spans="1:14">
      <c r="A12" s="43">
        <v>9</v>
      </c>
      <c r="B12" s="212">
        <v>46212</v>
      </c>
      <c r="C12" s="37"/>
      <c r="D12" s="37"/>
      <c r="E12" s="37"/>
      <c r="F12" s="37"/>
      <c r="G12" s="37">
        <f t="shared" si="0"/>
        <v>0</v>
      </c>
      <c r="H12" s="37"/>
      <c r="I12" s="37"/>
      <c r="J12" s="37">
        <f t="shared" si="1"/>
        <v>0</v>
      </c>
      <c r="K12" s="37">
        <f t="shared" si="2"/>
        <v>0</v>
      </c>
      <c r="L12" s="37">
        <f t="shared" si="3"/>
        <v>0</v>
      </c>
      <c r="M12" s="37">
        <f t="shared" si="4"/>
        <v>0</v>
      </c>
      <c r="N12" s="37"/>
    </row>
    <row r="13" spans="1:14">
      <c r="A13" s="43">
        <v>10</v>
      </c>
      <c r="B13" s="212">
        <v>46213</v>
      </c>
      <c r="C13" s="37"/>
      <c r="D13" s="37"/>
      <c r="E13" s="37">
        <v>20</v>
      </c>
      <c r="F13" s="37">
        <v>99.12</v>
      </c>
      <c r="G13" s="37">
        <f t="shared" si="0"/>
        <v>1982.4</v>
      </c>
      <c r="H13" s="37"/>
      <c r="I13" s="37"/>
      <c r="J13" s="37">
        <f t="shared" si="1"/>
        <v>0</v>
      </c>
      <c r="K13" s="37">
        <f t="shared" si="2"/>
        <v>1982.4</v>
      </c>
      <c r="L13" s="37">
        <f t="shared" si="3"/>
        <v>1982.4</v>
      </c>
      <c r="M13" s="37">
        <f t="shared" si="4"/>
        <v>0</v>
      </c>
      <c r="N13" s="37"/>
    </row>
    <row r="14" spans="1:14">
      <c r="A14" s="43">
        <v>11</v>
      </c>
      <c r="B14" s="212">
        <v>46214</v>
      </c>
      <c r="C14" s="37"/>
      <c r="D14" s="37"/>
      <c r="E14" s="37"/>
      <c r="F14" s="37"/>
      <c r="G14" s="37">
        <f t="shared" si="0"/>
        <v>0</v>
      </c>
      <c r="H14" s="37"/>
      <c r="I14" s="37"/>
      <c r="J14" s="37">
        <f t="shared" si="1"/>
        <v>0</v>
      </c>
      <c r="K14" s="37">
        <f t="shared" si="2"/>
        <v>0</v>
      </c>
      <c r="L14" s="37">
        <f t="shared" si="3"/>
        <v>0</v>
      </c>
      <c r="M14" s="37">
        <f t="shared" si="4"/>
        <v>0</v>
      </c>
      <c r="N14" s="37"/>
    </row>
    <row r="15" spans="1:14">
      <c r="A15" s="43">
        <v>12</v>
      </c>
      <c r="B15" s="212">
        <v>46215</v>
      </c>
      <c r="C15" s="37"/>
      <c r="D15" s="37"/>
      <c r="E15" s="37"/>
      <c r="F15" s="37"/>
      <c r="G15" s="37">
        <f t="shared" si="0"/>
        <v>0</v>
      </c>
      <c r="H15" s="37"/>
      <c r="I15" s="37"/>
      <c r="J15" s="37">
        <f t="shared" si="1"/>
        <v>0</v>
      </c>
      <c r="K15" s="37">
        <f t="shared" si="2"/>
        <v>0</v>
      </c>
      <c r="L15" s="37">
        <f t="shared" si="3"/>
        <v>0</v>
      </c>
      <c r="M15" s="37">
        <f t="shared" si="4"/>
        <v>0</v>
      </c>
      <c r="N15" s="37"/>
    </row>
    <row r="16" spans="1:14">
      <c r="A16" s="43">
        <v>13</v>
      </c>
      <c r="B16" s="212">
        <v>46216</v>
      </c>
      <c r="C16" s="37"/>
      <c r="D16" s="37"/>
      <c r="E16" s="37"/>
      <c r="F16" s="37"/>
      <c r="G16" s="37">
        <f t="shared" si="0"/>
        <v>0</v>
      </c>
      <c r="H16" s="37"/>
      <c r="I16" s="37"/>
      <c r="J16" s="37">
        <f t="shared" si="1"/>
        <v>0</v>
      </c>
      <c r="K16" s="37">
        <f t="shared" si="2"/>
        <v>0</v>
      </c>
      <c r="L16" s="37">
        <f t="shared" si="3"/>
        <v>0</v>
      </c>
      <c r="M16" s="37">
        <f t="shared" si="4"/>
        <v>0</v>
      </c>
      <c r="N16" s="37"/>
    </row>
    <row r="17" spans="1:14">
      <c r="A17" s="43">
        <v>14</v>
      </c>
      <c r="B17" s="212">
        <v>46217</v>
      </c>
      <c r="C17" s="37"/>
      <c r="D17" s="37"/>
      <c r="E17" s="37"/>
      <c r="F17" s="37"/>
      <c r="G17" s="37">
        <f t="shared" si="0"/>
        <v>0</v>
      </c>
      <c r="H17" s="37"/>
      <c r="I17" s="37"/>
      <c r="J17" s="37">
        <f t="shared" si="1"/>
        <v>0</v>
      </c>
      <c r="K17" s="37">
        <f t="shared" si="2"/>
        <v>0</v>
      </c>
      <c r="L17" s="37">
        <f t="shared" si="3"/>
        <v>0</v>
      </c>
      <c r="M17" s="37">
        <f t="shared" si="4"/>
        <v>0</v>
      </c>
      <c r="N17" s="37"/>
    </row>
    <row r="18" spans="1:14">
      <c r="A18" s="43">
        <v>15</v>
      </c>
      <c r="B18" s="212">
        <v>46218</v>
      </c>
      <c r="C18" s="37"/>
      <c r="D18" s="37"/>
      <c r="E18" s="37">
        <v>20</v>
      </c>
      <c r="F18" s="37">
        <v>99.12</v>
      </c>
      <c r="G18" s="37">
        <f t="shared" si="0"/>
        <v>1982.4</v>
      </c>
      <c r="H18" s="37">
        <v>5</v>
      </c>
      <c r="I18" s="37">
        <v>111.2</v>
      </c>
      <c r="J18" s="37">
        <f t="shared" si="1"/>
        <v>556</v>
      </c>
      <c r="K18" s="37">
        <f t="shared" si="2"/>
        <v>2538.4</v>
      </c>
      <c r="L18" s="37">
        <f t="shared" si="3"/>
        <v>2538.4</v>
      </c>
      <c r="M18" s="37">
        <f t="shared" si="4"/>
        <v>0</v>
      </c>
      <c r="N18" s="37"/>
    </row>
    <row r="19" spans="1:14">
      <c r="A19" s="43">
        <v>16</v>
      </c>
      <c r="B19" s="212">
        <v>46219</v>
      </c>
      <c r="C19" s="37"/>
      <c r="D19" s="37"/>
      <c r="E19" s="37"/>
      <c r="F19" s="37"/>
      <c r="G19" s="37">
        <f t="shared" si="0"/>
        <v>0</v>
      </c>
      <c r="H19" s="37"/>
      <c r="I19" s="37"/>
      <c r="J19" s="37">
        <f t="shared" si="1"/>
        <v>0</v>
      </c>
      <c r="K19" s="37">
        <f t="shared" si="2"/>
        <v>0</v>
      </c>
      <c r="L19" s="37">
        <f t="shared" si="3"/>
        <v>0</v>
      </c>
      <c r="M19" s="37">
        <f t="shared" si="4"/>
        <v>0</v>
      </c>
      <c r="N19" s="37"/>
    </row>
    <row r="20" spans="1:14">
      <c r="A20" s="43">
        <v>17</v>
      </c>
      <c r="B20" s="212">
        <v>46220</v>
      </c>
      <c r="C20" s="37"/>
      <c r="D20" s="37"/>
      <c r="E20" s="37"/>
      <c r="F20" s="37"/>
      <c r="G20" s="37">
        <f t="shared" si="0"/>
        <v>0</v>
      </c>
      <c r="H20" s="37"/>
      <c r="I20" s="37"/>
      <c r="J20" s="37">
        <f t="shared" si="1"/>
        <v>0</v>
      </c>
      <c r="K20" s="37">
        <f t="shared" si="2"/>
        <v>0</v>
      </c>
      <c r="L20" s="37">
        <f t="shared" si="3"/>
        <v>0</v>
      </c>
      <c r="M20" s="37">
        <f t="shared" si="4"/>
        <v>0</v>
      </c>
      <c r="N20" s="37"/>
    </row>
    <row r="21" spans="1:14">
      <c r="A21" s="43">
        <v>18</v>
      </c>
      <c r="B21" s="212">
        <v>46221</v>
      </c>
      <c r="C21" s="37"/>
      <c r="D21" s="37"/>
      <c r="E21" s="37"/>
      <c r="F21" s="37"/>
      <c r="G21" s="37">
        <f t="shared" si="0"/>
        <v>0</v>
      </c>
      <c r="H21" s="37"/>
      <c r="I21" s="37"/>
      <c r="J21" s="37">
        <f t="shared" si="1"/>
        <v>0</v>
      </c>
      <c r="K21" s="37">
        <f t="shared" si="2"/>
        <v>0</v>
      </c>
      <c r="L21" s="37">
        <f t="shared" si="3"/>
        <v>0</v>
      </c>
      <c r="M21" s="37">
        <f t="shared" si="4"/>
        <v>0</v>
      </c>
      <c r="N21" s="37"/>
    </row>
    <row r="22" spans="1:14">
      <c r="A22" s="43">
        <v>19</v>
      </c>
      <c r="B22" s="212">
        <v>46222</v>
      </c>
      <c r="C22" s="37"/>
      <c r="D22" s="37"/>
      <c r="E22" s="37"/>
      <c r="F22" s="37"/>
      <c r="G22" s="37">
        <f t="shared" si="0"/>
        <v>0</v>
      </c>
      <c r="H22" s="37"/>
      <c r="I22" s="37"/>
      <c r="J22" s="37">
        <f t="shared" si="1"/>
        <v>0</v>
      </c>
      <c r="K22" s="37">
        <f t="shared" si="2"/>
        <v>0</v>
      </c>
      <c r="L22" s="37">
        <f t="shared" si="3"/>
        <v>0</v>
      </c>
      <c r="M22" s="37">
        <f t="shared" si="4"/>
        <v>0</v>
      </c>
      <c r="N22" s="37"/>
    </row>
    <row r="23" spans="1:14">
      <c r="A23" s="43">
        <v>20</v>
      </c>
      <c r="B23" s="212">
        <v>46223</v>
      </c>
      <c r="C23" s="37"/>
      <c r="D23" s="37"/>
      <c r="E23" s="37"/>
      <c r="F23" s="37"/>
      <c r="G23" s="37">
        <f t="shared" si="0"/>
        <v>0</v>
      </c>
      <c r="H23" s="37"/>
      <c r="I23" s="37"/>
      <c r="J23" s="37">
        <f t="shared" si="1"/>
        <v>0</v>
      </c>
      <c r="K23" s="37">
        <f t="shared" si="2"/>
        <v>0</v>
      </c>
      <c r="L23" s="37">
        <f t="shared" si="3"/>
        <v>0</v>
      </c>
      <c r="M23" s="37">
        <f t="shared" si="4"/>
        <v>0</v>
      </c>
      <c r="N23" s="37"/>
    </row>
    <row r="24" spans="1:14">
      <c r="A24" s="43">
        <v>21</v>
      </c>
      <c r="B24" s="212">
        <v>46224</v>
      </c>
      <c r="C24" s="37"/>
      <c r="D24" s="37"/>
      <c r="E24" s="37"/>
      <c r="F24" s="37"/>
      <c r="G24" s="37">
        <f t="shared" si="0"/>
        <v>0</v>
      </c>
      <c r="H24" s="37"/>
      <c r="I24" s="37"/>
      <c r="J24" s="37">
        <f t="shared" si="1"/>
        <v>0</v>
      </c>
      <c r="K24" s="37">
        <f t="shared" si="2"/>
        <v>0</v>
      </c>
      <c r="L24" s="37">
        <f t="shared" si="3"/>
        <v>0</v>
      </c>
      <c r="M24" s="37">
        <f t="shared" si="4"/>
        <v>0</v>
      </c>
      <c r="N24" s="37"/>
    </row>
    <row r="25" spans="1:14">
      <c r="A25" s="43">
        <v>22</v>
      </c>
      <c r="B25" s="212">
        <v>46225</v>
      </c>
      <c r="C25" s="37"/>
      <c r="D25" s="37"/>
      <c r="E25" s="37"/>
      <c r="F25" s="37"/>
      <c r="G25" s="37">
        <f t="shared" si="0"/>
        <v>0</v>
      </c>
      <c r="H25" s="37">
        <v>2</v>
      </c>
      <c r="I25" s="37">
        <v>111.2</v>
      </c>
      <c r="J25" s="37">
        <f t="shared" si="1"/>
        <v>222.4</v>
      </c>
      <c r="K25" s="37">
        <f t="shared" si="2"/>
        <v>222.4</v>
      </c>
      <c r="L25" s="37">
        <f t="shared" si="3"/>
        <v>222.4</v>
      </c>
      <c r="M25" s="37">
        <f t="shared" si="4"/>
        <v>0</v>
      </c>
      <c r="N25" s="37"/>
    </row>
    <row r="26" spans="1:14">
      <c r="A26" s="43">
        <v>23</v>
      </c>
      <c r="B26" s="212">
        <v>46226</v>
      </c>
      <c r="C26" s="37"/>
      <c r="D26" s="37"/>
      <c r="E26" s="37"/>
      <c r="F26" s="37"/>
      <c r="G26" s="37">
        <f t="shared" si="0"/>
        <v>0</v>
      </c>
      <c r="H26" s="37">
        <v>2</v>
      </c>
      <c r="I26" s="37">
        <v>111.2</v>
      </c>
      <c r="J26" s="37">
        <f t="shared" si="1"/>
        <v>222.4</v>
      </c>
      <c r="K26" s="37">
        <f t="shared" si="2"/>
        <v>222.4</v>
      </c>
      <c r="L26" s="37">
        <f t="shared" si="3"/>
        <v>222.4</v>
      </c>
      <c r="M26" s="37">
        <f t="shared" si="4"/>
        <v>0</v>
      </c>
      <c r="N26" s="37"/>
    </row>
    <row r="27" spans="1:14">
      <c r="A27" s="43">
        <v>24</v>
      </c>
      <c r="B27" s="212">
        <v>46227</v>
      </c>
      <c r="C27" s="37"/>
      <c r="D27" s="37"/>
      <c r="E27" s="37"/>
      <c r="F27" s="37"/>
      <c r="G27" s="37">
        <f t="shared" si="0"/>
        <v>0</v>
      </c>
      <c r="H27" s="37"/>
      <c r="I27" s="37"/>
      <c r="J27" s="37">
        <f t="shared" si="1"/>
        <v>0</v>
      </c>
      <c r="K27" s="37">
        <f t="shared" si="2"/>
        <v>0</v>
      </c>
      <c r="L27" s="37">
        <f t="shared" si="3"/>
        <v>0</v>
      </c>
      <c r="M27" s="37">
        <f t="shared" si="4"/>
        <v>0</v>
      </c>
      <c r="N27" s="37"/>
    </row>
    <row r="28" spans="1:14">
      <c r="A28" s="214">
        <v>25</v>
      </c>
      <c r="B28" s="212">
        <v>46228</v>
      </c>
      <c r="C28" s="37"/>
      <c r="D28" s="37"/>
      <c r="E28" s="37"/>
      <c r="F28" s="37"/>
      <c r="G28" s="37">
        <f t="shared" si="0"/>
        <v>0</v>
      </c>
      <c r="H28" s="37"/>
      <c r="I28" s="37"/>
      <c r="J28" s="37">
        <f t="shared" si="1"/>
        <v>0</v>
      </c>
      <c r="K28" s="37">
        <f t="shared" si="2"/>
        <v>0</v>
      </c>
      <c r="L28" s="37">
        <f t="shared" si="3"/>
        <v>0</v>
      </c>
      <c r="M28" s="37">
        <f t="shared" si="4"/>
        <v>0</v>
      </c>
      <c r="N28" s="37"/>
    </row>
    <row r="29" spans="1:14">
      <c r="A29" s="214">
        <v>26</v>
      </c>
      <c r="B29" s="212">
        <v>46229</v>
      </c>
      <c r="C29" s="37"/>
      <c r="D29" s="37"/>
      <c r="E29" s="37"/>
      <c r="F29" s="37"/>
      <c r="G29" s="37">
        <f t="shared" si="0"/>
        <v>0</v>
      </c>
      <c r="H29" s="37"/>
      <c r="I29" s="37"/>
      <c r="J29" s="37">
        <f t="shared" si="1"/>
        <v>0</v>
      </c>
      <c r="K29" s="37">
        <f t="shared" si="2"/>
        <v>0</v>
      </c>
      <c r="L29" s="37">
        <f t="shared" si="3"/>
        <v>0</v>
      </c>
      <c r="M29" s="37">
        <f t="shared" si="4"/>
        <v>0</v>
      </c>
      <c r="N29" s="37"/>
    </row>
    <row r="30" spans="1:14">
      <c r="A30" s="214">
        <v>27</v>
      </c>
      <c r="B30" s="212">
        <v>46230</v>
      </c>
      <c r="C30" s="37"/>
      <c r="D30" s="37"/>
      <c r="E30" s="37">
        <v>20</v>
      </c>
      <c r="F30" s="37">
        <v>99.12</v>
      </c>
      <c r="G30" s="37">
        <f t="shared" si="0"/>
        <v>1982.4</v>
      </c>
      <c r="H30" s="37"/>
      <c r="I30" s="37"/>
      <c r="J30" s="37">
        <f t="shared" si="1"/>
        <v>0</v>
      </c>
      <c r="K30" s="37">
        <f t="shared" si="2"/>
        <v>1982.4</v>
      </c>
      <c r="L30" s="37">
        <f t="shared" si="3"/>
        <v>1982.4</v>
      </c>
      <c r="M30" s="37">
        <f t="shared" si="4"/>
        <v>0</v>
      </c>
      <c r="N30" s="37"/>
    </row>
    <row r="31" spans="1:14">
      <c r="A31" s="214">
        <v>28</v>
      </c>
      <c r="B31" s="212">
        <v>46231</v>
      </c>
      <c r="C31" s="37"/>
      <c r="D31" s="37"/>
      <c r="E31" s="37"/>
      <c r="F31" s="37"/>
      <c r="G31" s="37">
        <f t="shared" si="0"/>
        <v>0</v>
      </c>
      <c r="H31" s="37"/>
      <c r="I31" s="37"/>
      <c r="J31" s="37">
        <f t="shared" si="1"/>
        <v>0</v>
      </c>
      <c r="K31" s="37">
        <f t="shared" si="2"/>
        <v>0</v>
      </c>
      <c r="L31" s="37">
        <f t="shared" si="3"/>
        <v>0</v>
      </c>
      <c r="M31" s="37">
        <f t="shared" si="4"/>
        <v>0</v>
      </c>
      <c r="N31" s="37"/>
    </row>
    <row r="32" spans="1:14">
      <c r="A32" s="215">
        <v>29</v>
      </c>
      <c r="B32" s="212">
        <v>46232</v>
      </c>
      <c r="C32" s="37"/>
      <c r="D32" s="37"/>
      <c r="E32" s="37"/>
      <c r="F32" s="37"/>
      <c r="G32" s="37">
        <f t="shared" si="0"/>
        <v>0</v>
      </c>
      <c r="H32" s="37"/>
      <c r="I32" s="37"/>
      <c r="J32" s="37">
        <f t="shared" si="1"/>
        <v>0</v>
      </c>
      <c r="K32" s="37">
        <f t="shared" si="2"/>
        <v>0</v>
      </c>
      <c r="L32" s="37">
        <f t="shared" si="3"/>
        <v>0</v>
      </c>
      <c r="M32" s="37">
        <f t="shared" si="4"/>
        <v>0</v>
      </c>
      <c r="N32" s="37"/>
    </row>
    <row r="33" spans="1:14">
      <c r="A33" s="215">
        <v>30</v>
      </c>
      <c r="B33" s="212">
        <v>46233</v>
      </c>
      <c r="C33" s="37"/>
      <c r="D33" s="37"/>
      <c r="E33" s="37"/>
      <c r="F33" s="37"/>
      <c r="G33" s="37">
        <f t="shared" si="0"/>
        <v>0</v>
      </c>
      <c r="H33" s="37"/>
      <c r="I33" s="37"/>
      <c r="J33" s="37">
        <f t="shared" si="1"/>
        <v>0</v>
      </c>
      <c r="K33" s="37">
        <f t="shared" si="2"/>
        <v>0</v>
      </c>
      <c r="L33" s="37">
        <f t="shared" ref="L33:L34" si="5">+K33</f>
        <v>0</v>
      </c>
      <c r="M33" s="37">
        <f t="shared" si="4"/>
        <v>0</v>
      </c>
      <c r="N33" s="37"/>
    </row>
    <row r="34" spans="1:14">
      <c r="A34" s="215">
        <v>31</v>
      </c>
      <c r="B34" s="212">
        <v>46234</v>
      </c>
      <c r="C34" s="37"/>
      <c r="D34" s="37"/>
      <c r="E34" s="37"/>
      <c r="F34" s="37"/>
      <c r="G34" s="37">
        <f t="shared" si="0"/>
        <v>0</v>
      </c>
      <c r="H34" s="37"/>
      <c r="I34" s="37"/>
      <c r="J34" s="37">
        <f t="shared" si="1"/>
        <v>0</v>
      </c>
      <c r="K34" s="37">
        <f t="shared" si="2"/>
        <v>0</v>
      </c>
      <c r="L34" s="37">
        <f t="shared" si="5"/>
        <v>0</v>
      </c>
      <c r="M34" s="37">
        <f t="shared" si="4"/>
        <v>0</v>
      </c>
      <c r="N34" s="37"/>
    </row>
    <row r="35" spans="1:14">
      <c r="A35" s="174"/>
      <c r="B35" s="174"/>
      <c r="C35" s="174"/>
      <c r="D35" s="174"/>
      <c r="E35" s="174">
        <f>SUM(E4:E34)</f>
        <v>60</v>
      </c>
      <c r="F35" s="174"/>
      <c r="G35" s="174">
        <f>SUM(G4:G34)</f>
        <v>5947.2000000000007</v>
      </c>
      <c r="H35" s="174">
        <f>SUM(H4:H34)</f>
        <v>14</v>
      </c>
      <c r="I35" s="174"/>
      <c r="J35" s="174">
        <f>SUM(J4:J34)</f>
        <v>1556.8000000000002</v>
      </c>
      <c r="K35" s="174">
        <f>SUM(K4:K34)</f>
        <v>7504</v>
      </c>
      <c r="L35" s="174">
        <f>SUM(L4:L34)</f>
        <v>7504</v>
      </c>
      <c r="M35" s="174"/>
      <c r="N35" s="17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P48"/>
  <sheetViews>
    <sheetView workbookViewId="0">
      <pane ySplit="2" topLeftCell="A26" activePane="bottomLeft" state="frozen"/>
      <selection pane="bottomLeft" activeCell="M34" sqref="M34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99" bestFit="1" customWidth="1"/>
    <col min="8" max="8" width="11.140625" style="5" customWidth="1"/>
    <col min="9" max="9" width="9.140625" style="5"/>
    <col min="10" max="10" width="10.85546875" style="99" bestFit="1" customWidth="1"/>
    <col min="11" max="11" width="12.85546875" style="5" customWidth="1"/>
    <col min="12" max="12" width="13.5703125" style="99" bestFit="1" customWidth="1"/>
    <col min="13" max="13" width="13.5703125" style="99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6" ht="15.75">
      <c r="A1" s="564" t="s">
        <v>284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</row>
    <row r="2" spans="1:16" ht="18" customHeight="1">
      <c r="A2" s="61" t="s">
        <v>0</v>
      </c>
      <c r="B2" s="80" t="s">
        <v>163</v>
      </c>
      <c r="C2" s="80" t="s">
        <v>164</v>
      </c>
      <c r="D2" s="80" t="s">
        <v>186</v>
      </c>
      <c r="E2" s="80" t="s">
        <v>166</v>
      </c>
      <c r="F2" s="80" t="s">
        <v>167</v>
      </c>
      <c r="G2" s="87" t="s">
        <v>168</v>
      </c>
      <c r="H2" s="80" t="s">
        <v>169</v>
      </c>
      <c r="I2" s="80" t="s">
        <v>167</v>
      </c>
      <c r="J2" s="87" t="s">
        <v>168</v>
      </c>
      <c r="K2" s="61" t="s">
        <v>170</v>
      </c>
      <c r="L2" s="88" t="s">
        <v>171</v>
      </c>
      <c r="M2" s="123" t="s">
        <v>187</v>
      </c>
      <c r="N2" s="80" t="s">
        <v>173</v>
      </c>
    </row>
    <row r="3" spans="1:16" ht="18" customHeight="1">
      <c r="A3" s="590" t="s">
        <v>174</v>
      </c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283"/>
      <c r="N3" s="282">
        <v>12987.918799999983</v>
      </c>
      <c r="P3" s="99"/>
    </row>
    <row r="4" spans="1:16">
      <c r="A4" s="6">
        <v>1</v>
      </c>
      <c r="B4" s="212">
        <v>46204</v>
      </c>
      <c r="C4" s="6"/>
      <c r="D4" s="6"/>
      <c r="E4" s="62">
        <v>33.65</v>
      </c>
      <c r="F4" s="6">
        <v>99.32</v>
      </c>
      <c r="G4" s="63">
        <f>E4*F4</f>
        <v>3342.1179999999995</v>
      </c>
      <c r="H4" s="299"/>
      <c r="I4" s="307"/>
      <c r="J4" s="63">
        <f>H4*I4</f>
        <v>0</v>
      </c>
      <c r="K4" s="63">
        <f>G4+J4</f>
        <v>3342.1179999999995</v>
      </c>
      <c r="L4" s="63"/>
      <c r="M4" s="284">
        <f>N3+K4-L4</f>
        <v>16330.036799999983</v>
      </c>
      <c r="N4" s="43"/>
    </row>
    <row r="5" spans="1:16">
      <c r="A5" s="6">
        <v>2</v>
      </c>
      <c r="B5" s="212">
        <v>46205</v>
      </c>
      <c r="C5" s="6"/>
      <c r="D5" s="6"/>
      <c r="E5" s="62"/>
      <c r="F5" s="6"/>
      <c r="G5" s="63">
        <f t="shared" ref="G5:G32" si="0">E5*F5</f>
        <v>0</v>
      </c>
      <c r="H5" s="299"/>
      <c r="I5" s="307"/>
      <c r="J5" s="63">
        <f t="shared" ref="J5:J46" si="1">H5*I5</f>
        <v>0</v>
      </c>
      <c r="K5" s="63">
        <f t="shared" ref="K5:L46" si="2">G5+J5</f>
        <v>0</v>
      </c>
      <c r="L5" s="63"/>
      <c r="M5" s="144">
        <f>M4+K5-L5</f>
        <v>16330.036799999983</v>
      </c>
      <c r="N5" s="43"/>
    </row>
    <row r="6" spans="1:16">
      <c r="A6" s="6">
        <v>3</v>
      </c>
      <c r="B6" s="212">
        <v>46206</v>
      </c>
      <c r="C6" s="6"/>
      <c r="D6" s="6"/>
      <c r="E6" s="62"/>
      <c r="F6" s="6"/>
      <c r="G6" s="63">
        <f t="shared" si="0"/>
        <v>0</v>
      </c>
      <c r="H6" s="299">
        <v>7.06</v>
      </c>
      <c r="I6" s="307">
        <v>111.42</v>
      </c>
      <c r="J6" s="63">
        <f t="shared" si="1"/>
        <v>786.62519999999995</v>
      </c>
      <c r="K6" s="63">
        <f t="shared" si="2"/>
        <v>786.62519999999995</v>
      </c>
      <c r="L6" s="63"/>
      <c r="M6" s="144">
        <f t="shared" ref="M6:M7" si="3">M5+K6-L6</f>
        <v>17116.661999999982</v>
      </c>
      <c r="N6" s="43"/>
    </row>
    <row r="7" spans="1:16">
      <c r="A7" s="6">
        <v>4</v>
      </c>
      <c r="B7" s="212">
        <v>46207</v>
      </c>
      <c r="C7" s="6"/>
      <c r="D7" s="6"/>
      <c r="E7" s="62">
        <v>20</v>
      </c>
      <c r="F7" s="6">
        <v>99.32</v>
      </c>
      <c r="G7" s="63">
        <f t="shared" si="0"/>
        <v>1986.3999999999999</v>
      </c>
      <c r="H7" s="62"/>
      <c r="I7" s="307"/>
      <c r="J7" s="63">
        <f t="shared" si="1"/>
        <v>0</v>
      </c>
      <c r="K7" s="63">
        <f t="shared" si="2"/>
        <v>1986.3999999999999</v>
      </c>
      <c r="L7" s="63"/>
      <c r="M7" s="144">
        <f t="shared" si="3"/>
        <v>19103.061999999984</v>
      </c>
      <c r="N7" s="43"/>
    </row>
    <row r="8" spans="1:16">
      <c r="A8" s="6">
        <v>5</v>
      </c>
      <c r="B8" s="212">
        <v>46208</v>
      </c>
      <c r="C8" s="6"/>
      <c r="D8" s="6"/>
      <c r="E8" s="62">
        <v>33.659999999999997</v>
      </c>
      <c r="F8" s="6">
        <v>99.32</v>
      </c>
      <c r="G8" s="63">
        <f t="shared" si="0"/>
        <v>3343.1111999999994</v>
      </c>
      <c r="H8" s="62">
        <v>5.83</v>
      </c>
      <c r="I8" s="307">
        <v>111.42</v>
      </c>
      <c r="J8" s="63">
        <f t="shared" si="1"/>
        <v>649.57860000000005</v>
      </c>
      <c r="K8" s="63">
        <f t="shared" si="2"/>
        <v>3992.6897999999992</v>
      </c>
      <c r="L8" s="63"/>
      <c r="M8" s="144">
        <f>M7+K8-L8</f>
        <v>23095.751799999984</v>
      </c>
      <c r="N8" s="43"/>
    </row>
    <row r="9" spans="1:16">
      <c r="A9" s="6">
        <v>6</v>
      </c>
      <c r="B9" s="212">
        <v>46209</v>
      </c>
      <c r="C9" s="6"/>
      <c r="D9" s="6"/>
      <c r="E9" s="62"/>
      <c r="F9" s="6"/>
      <c r="G9" s="63">
        <f t="shared" si="0"/>
        <v>0</v>
      </c>
      <c r="H9" s="62"/>
      <c r="I9" s="307"/>
      <c r="J9" s="63">
        <f t="shared" si="1"/>
        <v>0</v>
      </c>
      <c r="K9" s="63">
        <f t="shared" si="2"/>
        <v>0</v>
      </c>
      <c r="L9" s="63"/>
      <c r="M9" s="144">
        <f t="shared" ref="M9:M47" si="4">M8+K9-L9</f>
        <v>23095.751799999984</v>
      </c>
      <c r="N9" s="43"/>
    </row>
    <row r="10" spans="1:16">
      <c r="A10" s="6">
        <v>7</v>
      </c>
      <c r="B10" s="212">
        <v>46210</v>
      </c>
      <c r="C10" s="6"/>
      <c r="D10" s="6"/>
      <c r="E10" s="62"/>
      <c r="F10" s="6"/>
      <c r="G10" s="63">
        <f t="shared" si="0"/>
        <v>0</v>
      </c>
      <c r="H10" s="62"/>
      <c r="I10" s="307"/>
      <c r="J10" s="63">
        <f t="shared" si="1"/>
        <v>0</v>
      </c>
      <c r="K10" s="63">
        <f t="shared" si="2"/>
        <v>0</v>
      </c>
      <c r="L10" s="63"/>
      <c r="M10" s="144">
        <f t="shared" si="4"/>
        <v>23095.751799999984</v>
      </c>
      <c r="N10" s="43"/>
    </row>
    <row r="11" spans="1:16">
      <c r="A11" s="6">
        <v>8</v>
      </c>
      <c r="B11" s="212">
        <v>46211</v>
      </c>
      <c r="C11" s="6"/>
      <c r="D11" s="6"/>
      <c r="E11" s="62"/>
      <c r="F11" s="6"/>
      <c r="G11" s="63">
        <f t="shared" si="0"/>
        <v>0</v>
      </c>
      <c r="H11" s="62"/>
      <c r="I11" s="307"/>
      <c r="J11" s="63">
        <f t="shared" si="1"/>
        <v>0</v>
      </c>
      <c r="K11" s="63">
        <f t="shared" si="2"/>
        <v>0</v>
      </c>
      <c r="L11" s="63"/>
      <c r="M11" s="144">
        <f t="shared" si="4"/>
        <v>23095.751799999984</v>
      </c>
      <c r="N11" s="43"/>
    </row>
    <row r="12" spans="1:16">
      <c r="A12" s="6">
        <v>9</v>
      </c>
      <c r="B12" s="212">
        <v>46212</v>
      </c>
      <c r="C12" s="6"/>
      <c r="D12" s="6"/>
      <c r="E12" s="62"/>
      <c r="F12" s="6"/>
      <c r="G12" s="63">
        <f t="shared" si="0"/>
        <v>0</v>
      </c>
      <c r="H12" s="62">
        <v>5</v>
      </c>
      <c r="I12" s="307">
        <v>111.42</v>
      </c>
      <c r="J12" s="63">
        <f t="shared" si="1"/>
        <v>557.1</v>
      </c>
      <c r="K12" s="63">
        <f t="shared" si="2"/>
        <v>557.1</v>
      </c>
      <c r="L12" s="63"/>
      <c r="M12" s="144">
        <f t="shared" si="4"/>
        <v>23652.851799999982</v>
      </c>
      <c r="N12" s="43"/>
    </row>
    <row r="13" spans="1:16">
      <c r="A13" s="6">
        <v>10</v>
      </c>
      <c r="B13" s="212">
        <v>46213</v>
      </c>
      <c r="C13" s="6"/>
      <c r="D13" s="6"/>
      <c r="E13" s="62">
        <v>63.680000000000007</v>
      </c>
      <c r="F13" s="6">
        <v>99.32</v>
      </c>
      <c r="G13" s="63">
        <f t="shared" si="0"/>
        <v>6324.6976000000004</v>
      </c>
      <c r="H13" s="62">
        <v>6.47</v>
      </c>
      <c r="I13" s="307">
        <v>111.42</v>
      </c>
      <c r="J13" s="63">
        <f t="shared" si="1"/>
        <v>720.88739999999996</v>
      </c>
      <c r="K13" s="63">
        <f t="shared" si="2"/>
        <v>7045.585</v>
      </c>
      <c r="L13" s="63"/>
      <c r="M13" s="144">
        <f t="shared" si="4"/>
        <v>30698.436799999981</v>
      </c>
      <c r="N13" s="43"/>
    </row>
    <row r="14" spans="1:16">
      <c r="A14" s="6">
        <v>11</v>
      </c>
      <c r="B14" s="212">
        <v>46214</v>
      </c>
      <c r="C14" s="6"/>
      <c r="D14" s="6"/>
      <c r="E14" s="62"/>
      <c r="F14" s="6"/>
      <c r="G14" s="63">
        <f t="shared" si="0"/>
        <v>0</v>
      </c>
      <c r="H14" s="62"/>
      <c r="I14" s="307"/>
      <c r="J14" s="63">
        <f t="shared" si="1"/>
        <v>0</v>
      </c>
      <c r="K14" s="63">
        <f t="shared" si="2"/>
        <v>0</v>
      </c>
      <c r="L14" s="63"/>
      <c r="M14" s="144">
        <f t="shared" si="4"/>
        <v>30698.436799999981</v>
      </c>
      <c r="N14" s="43"/>
    </row>
    <row r="15" spans="1:16">
      <c r="A15" s="6">
        <v>12</v>
      </c>
      <c r="B15" s="212">
        <v>46215</v>
      </c>
      <c r="C15" s="6"/>
      <c r="D15" s="6"/>
      <c r="E15" s="62"/>
      <c r="F15" s="6"/>
      <c r="G15" s="63">
        <f t="shared" si="0"/>
        <v>0</v>
      </c>
      <c r="H15" s="62"/>
      <c r="I15" s="307"/>
      <c r="J15" s="63">
        <f t="shared" si="1"/>
        <v>0</v>
      </c>
      <c r="K15" s="63">
        <f t="shared" si="2"/>
        <v>0</v>
      </c>
      <c r="L15" s="63"/>
      <c r="M15" s="144">
        <f t="shared" si="4"/>
        <v>30698.436799999981</v>
      </c>
      <c r="N15" s="43"/>
    </row>
    <row r="16" spans="1:16">
      <c r="A16" s="6">
        <v>13</v>
      </c>
      <c r="B16" s="212">
        <v>46216</v>
      </c>
      <c r="C16" s="6"/>
      <c r="D16" s="6"/>
      <c r="E16" s="62"/>
      <c r="F16" s="6"/>
      <c r="G16" s="63">
        <f t="shared" si="0"/>
        <v>0</v>
      </c>
      <c r="H16" s="299">
        <v>9</v>
      </c>
      <c r="I16" s="307">
        <v>111.42</v>
      </c>
      <c r="J16" s="63">
        <f t="shared" si="1"/>
        <v>1002.78</v>
      </c>
      <c r="K16" s="63">
        <f t="shared" si="2"/>
        <v>1002.78</v>
      </c>
      <c r="L16" s="63"/>
      <c r="M16" s="144">
        <f t="shared" si="4"/>
        <v>31701.21679999998</v>
      </c>
      <c r="N16" s="43"/>
    </row>
    <row r="17" spans="1:14">
      <c r="A17" s="6">
        <v>14</v>
      </c>
      <c r="B17" s="212">
        <v>46217</v>
      </c>
      <c r="C17" s="6"/>
      <c r="D17" s="6"/>
      <c r="E17" s="62">
        <v>105.63</v>
      </c>
      <c r="F17" s="6">
        <v>99.32</v>
      </c>
      <c r="G17" s="63">
        <f t="shared" si="0"/>
        <v>10491.1716</v>
      </c>
      <c r="H17" s="62"/>
      <c r="I17" s="307"/>
      <c r="J17" s="63">
        <f t="shared" si="1"/>
        <v>0</v>
      </c>
      <c r="K17" s="63">
        <f t="shared" si="2"/>
        <v>10491.1716</v>
      </c>
      <c r="L17" s="63"/>
      <c r="M17" s="144">
        <f t="shared" si="4"/>
        <v>42192.388399999982</v>
      </c>
      <c r="N17" s="43"/>
    </row>
    <row r="18" spans="1:14">
      <c r="A18" s="6">
        <v>15</v>
      </c>
      <c r="B18" s="212">
        <v>46218</v>
      </c>
      <c r="C18" s="6"/>
      <c r="D18" s="6"/>
      <c r="E18" s="62">
        <v>20</v>
      </c>
      <c r="F18" s="6">
        <v>99.32</v>
      </c>
      <c r="G18" s="63">
        <f t="shared" si="0"/>
        <v>1986.3999999999999</v>
      </c>
      <c r="H18" s="62"/>
      <c r="I18" s="307"/>
      <c r="J18" s="63">
        <f t="shared" si="1"/>
        <v>0</v>
      </c>
      <c r="K18" s="63">
        <f t="shared" si="2"/>
        <v>1986.3999999999999</v>
      </c>
      <c r="L18" s="63">
        <v>30000</v>
      </c>
      <c r="M18" s="144">
        <f t="shared" si="4"/>
        <v>14178.788399999983</v>
      </c>
      <c r="N18" s="43"/>
    </row>
    <row r="19" spans="1:14">
      <c r="A19" s="6">
        <v>16</v>
      </c>
      <c r="B19" s="212">
        <v>46219</v>
      </c>
      <c r="C19" s="6"/>
      <c r="D19" s="6"/>
      <c r="E19" s="62">
        <v>48.75</v>
      </c>
      <c r="F19" s="6">
        <v>99.32</v>
      </c>
      <c r="G19" s="63">
        <f t="shared" si="0"/>
        <v>4841.8499999999995</v>
      </c>
      <c r="H19" s="62">
        <v>6.28</v>
      </c>
      <c r="I19" s="307">
        <v>111.42</v>
      </c>
      <c r="J19" s="63">
        <f t="shared" si="1"/>
        <v>699.71760000000006</v>
      </c>
      <c r="K19" s="63">
        <f t="shared" si="2"/>
        <v>5541.5675999999994</v>
      </c>
      <c r="L19" s="63"/>
      <c r="M19" s="144">
        <f t="shared" si="4"/>
        <v>19720.355999999982</v>
      </c>
      <c r="N19" s="43"/>
    </row>
    <row r="20" spans="1:14">
      <c r="A20" s="6">
        <v>17</v>
      </c>
      <c r="B20" s="212">
        <v>46220</v>
      </c>
      <c r="C20" s="6"/>
      <c r="D20" s="6"/>
      <c r="E20" s="62">
        <v>33.56</v>
      </c>
      <c r="F20" s="6">
        <v>99.32</v>
      </c>
      <c r="G20" s="63">
        <f t="shared" si="0"/>
        <v>3333.1792</v>
      </c>
      <c r="H20" s="62"/>
      <c r="I20" s="307"/>
      <c r="J20" s="63">
        <f t="shared" si="1"/>
        <v>0</v>
      </c>
      <c r="K20" s="63">
        <f t="shared" si="2"/>
        <v>3333.1792</v>
      </c>
      <c r="L20" s="63"/>
      <c r="M20" s="144">
        <f t="shared" si="4"/>
        <v>23053.53519999998</v>
      </c>
      <c r="N20" s="43"/>
    </row>
    <row r="21" spans="1:14">
      <c r="A21" s="6">
        <v>17</v>
      </c>
      <c r="B21" s="212">
        <v>46220</v>
      </c>
      <c r="C21" s="6"/>
      <c r="D21" s="6"/>
      <c r="E21" s="62">
        <v>39.85</v>
      </c>
      <c r="F21" s="6">
        <v>98.63</v>
      </c>
      <c r="G21" s="63">
        <f t="shared" si="0"/>
        <v>3930.4054999999998</v>
      </c>
      <c r="H21" s="62"/>
      <c r="I21" s="307"/>
      <c r="J21" s="63"/>
      <c r="K21" s="63">
        <f t="shared" si="2"/>
        <v>3930.4054999999998</v>
      </c>
      <c r="L21" s="63">
        <f t="shared" si="2"/>
        <v>3930.4054999999998</v>
      </c>
      <c r="M21" s="144">
        <f t="shared" ref="M21:M23" si="5">M20+K21-L21</f>
        <v>23053.53519999998</v>
      </c>
      <c r="N21" s="43"/>
    </row>
    <row r="22" spans="1:14">
      <c r="A22" s="6">
        <v>18</v>
      </c>
      <c r="B22" s="212">
        <v>46221</v>
      </c>
      <c r="C22" s="6"/>
      <c r="D22" s="6"/>
      <c r="E22" s="62">
        <v>90</v>
      </c>
      <c r="F22" s="6">
        <v>98.63</v>
      </c>
      <c r="G22" s="63">
        <f t="shared" si="0"/>
        <v>8876.6999999999989</v>
      </c>
      <c r="H22" s="62">
        <v>5</v>
      </c>
      <c r="I22" s="307">
        <v>111.42</v>
      </c>
      <c r="J22" s="63">
        <f t="shared" si="1"/>
        <v>557.1</v>
      </c>
      <c r="K22" s="63">
        <f t="shared" si="2"/>
        <v>9433.7999999999993</v>
      </c>
      <c r="L22" s="63"/>
      <c r="M22" s="144">
        <f t="shared" si="5"/>
        <v>32487.33519999998</v>
      </c>
      <c r="N22" s="43"/>
    </row>
    <row r="23" spans="1:14">
      <c r="A23" s="6">
        <v>19</v>
      </c>
      <c r="B23" s="212">
        <v>46222</v>
      </c>
      <c r="C23" s="6"/>
      <c r="D23" s="6"/>
      <c r="E23" s="62"/>
      <c r="F23" s="6"/>
      <c r="G23" s="63">
        <f t="shared" si="0"/>
        <v>0</v>
      </c>
      <c r="H23" s="62"/>
      <c r="I23" s="307"/>
      <c r="J23" s="63">
        <f t="shared" si="1"/>
        <v>0</v>
      </c>
      <c r="K23" s="63">
        <f t="shared" si="2"/>
        <v>0</v>
      </c>
      <c r="L23" s="63"/>
      <c r="M23" s="144">
        <f t="shared" si="5"/>
        <v>32487.33519999998</v>
      </c>
      <c r="N23" s="43"/>
    </row>
    <row r="24" spans="1:14">
      <c r="A24" s="6">
        <v>20</v>
      </c>
      <c r="B24" s="212">
        <v>46223</v>
      </c>
      <c r="C24" s="6"/>
      <c r="D24" s="6"/>
      <c r="E24" s="62"/>
      <c r="F24" s="6"/>
      <c r="G24" s="63">
        <f t="shared" si="0"/>
        <v>0</v>
      </c>
      <c r="H24" s="62"/>
      <c r="I24" s="307"/>
      <c r="J24" s="63">
        <f t="shared" si="1"/>
        <v>0</v>
      </c>
      <c r="K24" s="63">
        <f t="shared" si="2"/>
        <v>0</v>
      </c>
      <c r="L24" s="63"/>
      <c r="M24" s="144">
        <f t="shared" si="4"/>
        <v>32487.33519999998</v>
      </c>
      <c r="N24" s="43"/>
    </row>
    <row r="25" spans="1:14">
      <c r="A25" s="6">
        <v>21</v>
      </c>
      <c r="B25" s="212">
        <v>46224</v>
      </c>
      <c r="C25" s="6"/>
      <c r="D25" s="6"/>
      <c r="E25" s="62">
        <v>29.24</v>
      </c>
      <c r="F25" s="6">
        <v>99.32</v>
      </c>
      <c r="G25" s="63">
        <f t="shared" si="0"/>
        <v>2904.1167999999998</v>
      </c>
      <c r="H25" s="62"/>
      <c r="I25" s="307"/>
      <c r="J25" s="63">
        <f t="shared" si="1"/>
        <v>0</v>
      </c>
      <c r="K25" s="63">
        <f t="shared" si="2"/>
        <v>2904.1167999999998</v>
      </c>
      <c r="L25" s="63"/>
      <c r="M25" s="144">
        <f t="shared" si="4"/>
        <v>35391.451999999976</v>
      </c>
      <c r="N25" s="43"/>
    </row>
    <row r="26" spans="1:14">
      <c r="A26" s="6">
        <v>22</v>
      </c>
      <c r="B26" s="212">
        <v>46225</v>
      </c>
      <c r="C26" s="6"/>
      <c r="D26" s="6"/>
      <c r="E26" s="62">
        <v>15.22</v>
      </c>
      <c r="F26" s="6">
        <v>98.58</v>
      </c>
      <c r="G26" s="63">
        <f t="shared" si="0"/>
        <v>1500.3876</v>
      </c>
      <c r="H26" s="62"/>
      <c r="I26" s="307"/>
      <c r="J26" s="63">
        <f t="shared" si="1"/>
        <v>0</v>
      </c>
      <c r="K26" s="63">
        <f t="shared" si="2"/>
        <v>1500.3876</v>
      </c>
      <c r="L26" s="63">
        <f t="shared" si="2"/>
        <v>1500.3876</v>
      </c>
      <c r="M26" s="144">
        <f t="shared" si="4"/>
        <v>35391.451999999976</v>
      </c>
      <c r="N26" s="43"/>
    </row>
    <row r="27" spans="1:14">
      <c r="A27" s="6"/>
      <c r="B27" s="212">
        <v>46225</v>
      </c>
      <c r="C27" s="6"/>
      <c r="D27" s="6"/>
      <c r="E27" s="62"/>
      <c r="F27" s="6"/>
      <c r="G27" s="63"/>
      <c r="H27" s="62">
        <v>6.29</v>
      </c>
      <c r="I27" s="307">
        <v>111.42</v>
      </c>
      <c r="J27" s="63">
        <f t="shared" si="1"/>
        <v>700.83180000000004</v>
      </c>
      <c r="K27" s="63">
        <f t="shared" si="2"/>
        <v>700.83180000000004</v>
      </c>
      <c r="L27" s="63">
        <v>30000</v>
      </c>
      <c r="M27" s="144">
        <f t="shared" si="4"/>
        <v>6092.2837999999756</v>
      </c>
      <c r="N27" s="43"/>
    </row>
    <row r="28" spans="1:14">
      <c r="A28" s="6">
        <v>23</v>
      </c>
      <c r="B28" s="212">
        <v>46226</v>
      </c>
      <c r="C28" s="6"/>
      <c r="D28" s="6"/>
      <c r="E28" s="62"/>
      <c r="F28" s="6"/>
      <c r="G28" s="63">
        <f t="shared" si="0"/>
        <v>0</v>
      </c>
      <c r="H28" s="62"/>
      <c r="I28" s="307"/>
      <c r="J28" s="63">
        <f t="shared" si="1"/>
        <v>0</v>
      </c>
      <c r="K28" s="63">
        <f t="shared" si="2"/>
        <v>0</v>
      </c>
      <c r="L28" s="63"/>
      <c r="M28" s="144">
        <f t="shared" si="4"/>
        <v>6092.2837999999756</v>
      </c>
      <c r="N28" s="43"/>
    </row>
    <row r="29" spans="1:14">
      <c r="A29" s="6">
        <v>24</v>
      </c>
      <c r="B29" s="212">
        <v>46227</v>
      </c>
      <c r="C29" s="6"/>
      <c r="D29" s="6"/>
      <c r="E29" s="62">
        <v>45.45</v>
      </c>
      <c r="F29" s="6">
        <v>99.32</v>
      </c>
      <c r="G29" s="63">
        <f t="shared" si="0"/>
        <v>4514.0940000000001</v>
      </c>
      <c r="H29" s="62"/>
      <c r="I29" s="307"/>
      <c r="J29" s="63">
        <f t="shared" si="1"/>
        <v>0</v>
      </c>
      <c r="K29" s="63">
        <f t="shared" si="2"/>
        <v>4514.0940000000001</v>
      </c>
      <c r="L29" s="63"/>
      <c r="M29" s="144">
        <f t="shared" si="4"/>
        <v>10606.377799999977</v>
      </c>
      <c r="N29" s="43"/>
    </row>
    <row r="30" spans="1:14">
      <c r="A30" s="6">
        <v>25</v>
      </c>
      <c r="B30" s="212">
        <v>46228</v>
      </c>
      <c r="C30" s="6"/>
      <c r="D30" s="6"/>
      <c r="E30" s="62"/>
      <c r="F30" s="6"/>
      <c r="G30" s="63">
        <f t="shared" si="0"/>
        <v>0</v>
      </c>
      <c r="H30" s="62"/>
      <c r="I30" s="307"/>
      <c r="J30" s="63">
        <f t="shared" si="1"/>
        <v>0</v>
      </c>
      <c r="K30" s="63">
        <f t="shared" si="2"/>
        <v>0</v>
      </c>
      <c r="L30" s="63"/>
      <c r="M30" s="144">
        <f t="shared" si="4"/>
        <v>10606.377799999977</v>
      </c>
      <c r="N30" s="43"/>
    </row>
    <row r="31" spans="1:14">
      <c r="A31" s="6">
        <v>26</v>
      </c>
      <c r="B31" s="212">
        <v>46229</v>
      </c>
      <c r="C31" s="6"/>
      <c r="D31" s="6"/>
      <c r="E31" s="62"/>
      <c r="F31" s="6"/>
      <c r="G31" s="63">
        <f t="shared" si="0"/>
        <v>0</v>
      </c>
      <c r="H31" s="62"/>
      <c r="I31" s="307"/>
      <c r="J31" s="63">
        <f t="shared" si="1"/>
        <v>0</v>
      </c>
      <c r="K31" s="63">
        <f t="shared" si="2"/>
        <v>0</v>
      </c>
      <c r="L31" s="63"/>
      <c r="M31" s="144">
        <f t="shared" si="4"/>
        <v>10606.377799999977</v>
      </c>
      <c r="N31" s="43"/>
    </row>
    <row r="32" spans="1:14">
      <c r="A32" s="6">
        <v>27</v>
      </c>
      <c r="B32" s="212">
        <v>46230</v>
      </c>
      <c r="C32" s="6"/>
      <c r="D32" s="6"/>
      <c r="E32" s="6">
        <v>43.79</v>
      </c>
      <c r="F32" s="63">
        <v>99.32</v>
      </c>
      <c r="G32" s="63">
        <f t="shared" si="0"/>
        <v>4349.2227999999996</v>
      </c>
      <c r="H32" s="62"/>
      <c r="I32" s="307"/>
      <c r="J32" s="63">
        <f t="shared" si="1"/>
        <v>0</v>
      </c>
      <c r="K32" s="63">
        <f t="shared" si="2"/>
        <v>4349.2227999999996</v>
      </c>
      <c r="L32" s="63"/>
      <c r="M32" s="144">
        <f t="shared" si="4"/>
        <v>14955.600599999976</v>
      </c>
      <c r="N32" s="43"/>
    </row>
    <row r="33" spans="1:16">
      <c r="A33" s="6">
        <v>28</v>
      </c>
      <c r="B33" s="212">
        <v>46231</v>
      </c>
      <c r="C33" s="6"/>
      <c r="D33" s="6"/>
      <c r="E33" s="62">
        <v>32.71</v>
      </c>
      <c r="F33" s="6">
        <v>99.32</v>
      </c>
      <c r="G33" s="63">
        <f t="shared" ref="G5:G46" si="6">E33*F33</f>
        <v>3248.7572</v>
      </c>
      <c r="H33" s="62">
        <v>17.740000000000002</v>
      </c>
      <c r="I33" s="307">
        <v>111.42</v>
      </c>
      <c r="J33" s="63">
        <f t="shared" si="1"/>
        <v>1976.5908000000002</v>
      </c>
      <c r="K33" s="63">
        <f t="shared" si="2"/>
        <v>5225.348</v>
      </c>
      <c r="L33" s="63"/>
      <c r="M33" s="144">
        <f t="shared" si="4"/>
        <v>20180.948599999974</v>
      </c>
      <c r="N33" s="43"/>
    </row>
    <row r="34" spans="1:16">
      <c r="A34" s="6">
        <v>29</v>
      </c>
      <c r="B34" s="212">
        <v>46232</v>
      </c>
      <c r="C34" s="6"/>
      <c r="D34" s="6"/>
      <c r="E34" s="62"/>
      <c r="F34" s="6"/>
      <c r="G34" s="63">
        <f t="shared" si="6"/>
        <v>0</v>
      </c>
      <c r="H34" s="62"/>
      <c r="I34" s="307"/>
      <c r="J34" s="63">
        <f t="shared" si="1"/>
        <v>0</v>
      </c>
      <c r="K34" s="63">
        <f t="shared" si="2"/>
        <v>0</v>
      </c>
      <c r="L34" s="63"/>
      <c r="M34" s="144">
        <f t="shared" si="4"/>
        <v>20180.948599999974</v>
      </c>
      <c r="N34" s="43"/>
    </row>
    <row r="35" spans="1:16">
      <c r="A35" s="6">
        <v>30</v>
      </c>
      <c r="B35" s="212">
        <v>46233</v>
      </c>
      <c r="C35" s="6"/>
      <c r="D35" s="6"/>
      <c r="E35" s="62"/>
      <c r="F35" s="6"/>
      <c r="G35" s="63">
        <f t="shared" si="6"/>
        <v>0</v>
      </c>
      <c r="H35" s="62"/>
      <c r="I35" s="307"/>
      <c r="J35" s="63">
        <f t="shared" si="1"/>
        <v>0</v>
      </c>
      <c r="K35" s="63">
        <f t="shared" si="2"/>
        <v>0</v>
      </c>
      <c r="L35" s="63"/>
      <c r="M35" s="144">
        <f t="shared" si="4"/>
        <v>20180.948599999974</v>
      </c>
      <c r="N35" s="43"/>
    </row>
    <row r="36" spans="1:16">
      <c r="A36" s="6">
        <v>31</v>
      </c>
      <c r="B36" s="212">
        <v>46234</v>
      </c>
      <c r="C36" s="6"/>
      <c r="D36" s="6"/>
      <c r="E36" s="62"/>
      <c r="F36" s="6"/>
      <c r="G36" s="63">
        <f t="shared" si="6"/>
        <v>0</v>
      </c>
      <c r="H36" s="62"/>
      <c r="I36" s="6"/>
      <c r="J36" s="63">
        <f t="shared" si="1"/>
        <v>0</v>
      </c>
      <c r="K36" s="63">
        <f t="shared" si="2"/>
        <v>0</v>
      </c>
      <c r="L36" s="63"/>
      <c r="M36" s="144">
        <f t="shared" si="4"/>
        <v>20180.948599999974</v>
      </c>
      <c r="N36" s="43"/>
    </row>
    <row r="37" spans="1:16">
      <c r="A37" s="6">
        <v>32</v>
      </c>
      <c r="B37" s="212"/>
      <c r="C37" s="6"/>
      <c r="D37" s="6"/>
      <c r="E37" s="62"/>
      <c r="F37" s="6"/>
      <c r="G37" s="63">
        <f t="shared" si="6"/>
        <v>0</v>
      </c>
      <c r="H37" s="62"/>
      <c r="I37" s="6"/>
      <c r="J37" s="63">
        <f t="shared" si="1"/>
        <v>0</v>
      </c>
      <c r="K37" s="63">
        <f t="shared" si="2"/>
        <v>0</v>
      </c>
      <c r="L37" s="63"/>
      <c r="M37" s="144">
        <f t="shared" si="4"/>
        <v>20180.948599999974</v>
      </c>
      <c r="N37" s="43"/>
    </row>
    <row r="38" spans="1:16">
      <c r="A38" s="6">
        <v>33</v>
      </c>
      <c r="B38" s="75"/>
      <c r="C38" s="6"/>
      <c r="D38" s="6"/>
      <c r="E38" s="62"/>
      <c r="F38" s="6"/>
      <c r="G38" s="63">
        <f t="shared" si="6"/>
        <v>0</v>
      </c>
      <c r="H38" s="62"/>
      <c r="I38" s="6"/>
      <c r="J38" s="63">
        <f t="shared" si="1"/>
        <v>0</v>
      </c>
      <c r="K38" s="63">
        <f t="shared" si="2"/>
        <v>0</v>
      </c>
      <c r="L38" s="63"/>
      <c r="M38" s="144">
        <f t="shared" si="4"/>
        <v>20180.948599999974</v>
      </c>
      <c r="N38" s="43"/>
    </row>
    <row r="39" spans="1:16">
      <c r="A39" s="6">
        <v>34</v>
      </c>
      <c r="B39" s="75"/>
      <c r="C39" s="6"/>
      <c r="D39" s="6"/>
      <c r="E39" s="62"/>
      <c r="F39" s="6"/>
      <c r="G39" s="63">
        <f t="shared" si="6"/>
        <v>0</v>
      </c>
      <c r="H39" s="62"/>
      <c r="I39" s="6"/>
      <c r="J39" s="63">
        <f t="shared" si="1"/>
        <v>0</v>
      </c>
      <c r="K39" s="63">
        <f t="shared" si="2"/>
        <v>0</v>
      </c>
      <c r="L39" s="63"/>
      <c r="M39" s="144">
        <f t="shared" si="4"/>
        <v>20180.948599999974</v>
      </c>
      <c r="N39" s="43"/>
    </row>
    <row r="40" spans="1:16">
      <c r="A40" s="6">
        <v>35</v>
      </c>
      <c r="B40" s="75"/>
      <c r="C40" s="6"/>
      <c r="D40" s="6"/>
      <c r="E40" s="62"/>
      <c r="F40" s="6"/>
      <c r="G40" s="63">
        <f t="shared" si="6"/>
        <v>0</v>
      </c>
      <c r="H40" s="62"/>
      <c r="I40" s="6"/>
      <c r="J40" s="63">
        <f t="shared" si="1"/>
        <v>0</v>
      </c>
      <c r="K40" s="63">
        <f t="shared" si="2"/>
        <v>0</v>
      </c>
      <c r="L40" s="63"/>
      <c r="M40" s="144">
        <f t="shared" si="4"/>
        <v>20180.948599999974</v>
      </c>
      <c r="N40" s="43"/>
    </row>
    <row r="41" spans="1:16">
      <c r="A41" s="6">
        <v>36</v>
      </c>
      <c r="B41" s="75"/>
      <c r="C41" s="6"/>
      <c r="D41" s="6"/>
      <c r="E41" s="62"/>
      <c r="F41" s="6"/>
      <c r="G41" s="63">
        <f t="shared" si="6"/>
        <v>0</v>
      </c>
      <c r="H41" s="62"/>
      <c r="I41" s="6"/>
      <c r="J41" s="63">
        <f>H41*I41</f>
        <v>0</v>
      </c>
      <c r="K41" s="63">
        <f>G41+J41</f>
        <v>0</v>
      </c>
      <c r="L41" s="63"/>
      <c r="M41" s="144">
        <f t="shared" si="4"/>
        <v>20180.948599999974</v>
      </c>
      <c r="N41" s="43"/>
    </row>
    <row r="42" spans="1:16">
      <c r="A42" s="6">
        <v>37</v>
      </c>
      <c r="B42" s="75"/>
      <c r="C42" s="6"/>
      <c r="D42" s="6"/>
      <c r="E42" s="62"/>
      <c r="F42" s="6"/>
      <c r="G42" s="63">
        <f t="shared" si="6"/>
        <v>0</v>
      </c>
      <c r="H42" s="62"/>
      <c r="I42" s="6"/>
      <c r="J42" s="63">
        <f t="shared" si="1"/>
        <v>0</v>
      </c>
      <c r="K42" s="63">
        <f t="shared" si="2"/>
        <v>0</v>
      </c>
      <c r="L42" s="63"/>
      <c r="M42" s="144">
        <f t="shared" si="4"/>
        <v>20180.948599999974</v>
      </c>
      <c r="N42" s="43"/>
    </row>
    <row r="43" spans="1:16">
      <c r="A43" s="6">
        <v>38</v>
      </c>
      <c r="B43" s="75"/>
      <c r="C43" s="6"/>
      <c r="D43" s="6"/>
      <c r="E43" s="62"/>
      <c r="F43" s="6"/>
      <c r="G43" s="63">
        <f t="shared" si="6"/>
        <v>0</v>
      </c>
      <c r="H43" s="62"/>
      <c r="I43" s="6"/>
      <c r="J43" s="63">
        <f t="shared" si="1"/>
        <v>0</v>
      </c>
      <c r="K43" s="63">
        <f t="shared" si="2"/>
        <v>0</v>
      </c>
      <c r="L43" s="63"/>
      <c r="M43" s="144">
        <f t="shared" si="4"/>
        <v>20180.948599999974</v>
      </c>
      <c r="N43" s="43"/>
    </row>
    <row r="44" spans="1:16">
      <c r="A44" s="6">
        <v>39</v>
      </c>
      <c r="B44" s="163"/>
      <c r="C44" s="162"/>
      <c r="D44" s="6"/>
      <c r="E44" s="62"/>
      <c r="F44" s="6"/>
      <c r="G44" s="63">
        <f t="shared" si="6"/>
        <v>0</v>
      </c>
      <c r="H44" s="62"/>
      <c r="I44" s="6"/>
      <c r="J44" s="63">
        <f t="shared" si="1"/>
        <v>0</v>
      </c>
      <c r="K44" s="63">
        <f t="shared" si="2"/>
        <v>0</v>
      </c>
      <c r="L44" s="63"/>
      <c r="M44" s="144">
        <f t="shared" si="4"/>
        <v>20180.948599999974</v>
      </c>
      <c r="N44" s="43"/>
    </row>
    <row r="45" spans="1:16">
      <c r="A45" s="6">
        <v>40</v>
      </c>
      <c r="B45" s="6"/>
      <c r="C45" s="6"/>
      <c r="D45" s="6"/>
      <c r="E45" s="62"/>
      <c r="F45" s="6"/>
      <c r="G45" s="63">
        <f t="shared" si="6"/>
        <v>0</v>
      </c>
      <c r="H45" s="62"/>
      <c r="I45" s="6"/>
      <c r="J45" s="63">
        <f t="shared" si="1"/>
        <v>0</v>
      </c>
      <c r="K45" s="63">
        <f t="shared" si="2"/>
        <v>0</v>
      </c>
      <c r="L45" s="63"/>
      <c r="M45" s="144">
        <f t="shared" si="4"/>
        <v>20180.948599999974</v>
      </c>
      <c r="N45" s="43"/>
      <c r="P45" s="438"/>
    </row>
    <row r="46" spans="1:16">
      <c r="A46" s="6">
        <v>41</v>
      </c>
      <c r="B46" s="162"/>
      <c r="C46" s="162"/>
      <c r="D46" s="6"/>
      <c r="E46" s="62"/>
      <c r="F46" s="6"/>
      <c r="G46" s="63">
        <f t="shared" si="6"/>
        <v>0</v>
      </c>
      <c r="H46" s="62"/>
      <c r="I46" s="6"/>
      <c r="J46" s="63">
        <f t="shared" si="1"/>
        <v>0</v>
      </c>
      <c r="K46" s="63">
        <f t="shared" si="2"/>
        <v>0</v>
      </c>
      <c r="L46" s="63"/>
      <c r="M46" s="144">
        <f t="shared" si="4"/>
        <v>20180.948599999974</v>
      </c>
      <c r="N46" s="43"/>
    </row>
    <row r="47" spans="1:16">
      <c r="A47" s="6">
        <v>42</v>
      </c>
      <c r="B47" s="162"/>
      <c r="C47" s="162"/>
      <c r="D47" s="6"/>
      <c r="E47" s="62"/>
      <c r="F47" s="6"/>
      <c r="G47" s="63">
        <f t="shared" ref="G47" si="7">E47*F47</f>
        <v>0</v>
      </c>
      <c r="H47" s="62"/>
      <c r="I47" s="6"/>
      <c r="J47" s="63">
        <f>H47*I47</f>
        <v>0</v>
      </c>
      <c r="K47" s="63">
        <f t="shared" ref="K47" si="8">G47+J47</f>
        <v>0</v>
      </c>
      <c r="L47" s="155"/>
      <c r="M47" s="144">
        <f t="shared" si="4"/>
        <v>20180.948599999974</v>
      </c>
      <c r="N47" s="43"/>
    </row>
    <row r="48" spans="1:16">
      <c r="A48" s="59"/>
      <c r="B48" s="59"/>
      <c r="C48" s="59"/>
      <c r="D48" s="59"/>
      <c r="E48" s="60">
        <f>SUM(E4:E47)</f>
        <v>655.19000000000005</v>
      </c>
      <c r="F48" s="60"/>
      <c r="G48" s="60">
        <f>SUM(G4:G47)</f>
        <v>64972.611499999992</v>
      </c>
      <c r="H48" s="60">
        <f>SUM(H4:H47)</f>
        <v>68.67</v>
      </c>
      <c r="I48" s="60"/>
      <c r="J48" s="60">
        <f>SUM(J4:J47)</f>
        <v>7651.2114000000001</v>
      </c>
      <c r="K48" s="60">
        <f>SUM(K4:K47)</f>
        <v>72623.822899999999</v>
      </c>
      <c r="L48" s="60">
        <f>SUM(L4:L47)</f>
        <v>65430.793100000003</v>
      </c>
      <c r="M48" s="60"/>
      <c r="N48" s="60"/>
      <c r="O48" s="56"/>
    </row>
  </sheetData>
  <mergeCells count="2">
    <mergeCell ref="A1:N1"/>
    <mergeCell ref="A3:L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N36"/>
  <sheetViews>
    <sheetView workbookViewId="0">
      <pane ySplit="2" topLeftCell="A25" activePane="bottomLeft" state="frozen"/>
      <selection pane="bottomLeft" activeCell="M34" sqref="M34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14.7109375" style="5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" width="9.140625" style="5"/>
    <col min="17" max="17" width="13.5703125" style="5" customWidth="1"/>
    <col min="18" max="16384" width="9.140625" style="5"/>
  </cols>
  <sheetData>
    <row r="1" spans="1:14" ht="15.75">
      <c r="A1" s="560" t="s">
        <v>151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4">
      <c r="A2" s="95" t="s">
        <v>0</v>
      </c>
      <c r="B2" s="96" t="s">
        <v>163</v>
      </c>
      <c r="C2" s="96" t="s">
        <v>164</v>
      </c>
      <c r="D2" s="96" t="s">
        <v>186</v>
      </c>
      <c r="E2" s="96" t="s">
        <v>166</v>
      </c>
      <c r="F2" s="96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135" t="s">
        <v>171</v>
      </c>
      <c r="M2" s="138" t="s">
        <v>187</v>
      </c>
      <c r="N2" s="98" t="s">
        <v>173</v>
      </c>
    </row>
    <row r="3" spans="1:14">
      <c r="A3" s="148"/>
      <c r="B3" s="14" t="s">
        <v>174</v>
      </c>
      <c r="C3" s="149"/>
      <c r="D3" s="149"/>
      <c r="E3" s="149"/>
      <c r="F3" s="149"/>
      <c r="G3" s="149"/>
      <c r="H3" s="149"/>
      <c r="I3" s="149"/>
      <c r="J3" s="150"/>
      <c r="K3" s="77">
        <v>72362.652400000108</v>
      </c>
      <c r="L3" s="151"/>
      <c r="M3" s="77">
        <v>72362.652400000108</v>
      </c>
      <c r="N3" s="149"/>
    </row>
    <row r="4" spans="1:14">
      <c r="A4" s="189">
        <v>1</v>
      </c>
      <c r="B4" s="212">
        <v>46204</v>
      </c>
      <c r="C4" s="64"/>
      <c r="D4" s="152"/>
      <c r="E4" s="62">
        <v>20</v>
      </c>
      <c r="F4" s="6">
        <v>99.12</v>
      </c>
      <c r="G4" s="8">
        <f>E4*F4</f>
        <v>1982.4</v>
      </c>
      <c r="H4" s="62"/>
      <c r="I4" s="6"/>
      <c r="J4" s="8">
        <f>H4*I4</f>
        <v>0</v>
      </c>
      <c r="K4" s="8">
        <f>G4+J4</f>
        <v>1982.4</v>
      </c>
      <c r="L4" s="65"/>
      <c r="M4" s="65">
        <f>M3+K4-L4</f>
        <v>74345.052400000102</v>
      </c>
      <c r="N4" s="38"/>
    </row>
    <row r="5" spans="1:14">
      <c r="A5" s="43">
        <v>2</v>
      </c>
      <c r="B5" s="212">
        <v>46205</v>
      </c>
      <c r="C5" s="64"/>
      <c r="D5" s="68"/>
      <c r="E5" s="62"/>
      <c r="F5" s="6"/>
      <c r="G5" s="8">
        <f t="shared" ref="G5:G34" si="0">E5*F5</f>
        <v>0</v>
      </c>
      <c r="H5" s="62"/>
      <c r="I5" s="6"/>
      <c r="J5" s="8">
        <f t="shared" ref="J5:J34" si="1">H5*I5</f>
        <v>0</v>
      </c>
      <c r="K5" s="8">
        <f t="shared" ref="K5:K34" si="2">G5+J5</f>
        <v>0</v>
      </c>
      <c r="L5" s="65"/>
      <c r="M5" s="65">
        <f t="shared" ref="M5:M19" si="3">M4+K5-L5</f>
        <v>74345.052400000102</v>
      </c>
      <c r="N5" s="38"/>
    </row>
    <row r="6" spans="1:14">
      <c r="A6" s="43">
        <v>3</v>
      </c>
      <c r="B6" s="212">
        <v>46206</v>
      </c>
      <c r="C6" s="64"/>
      <c r="D6" s="68"/>
      <c r="E6" s="62"/>
      <c r="F6" s="6"/>
      <c r="G6" s="8">
        <f t="shared" si="0"/>
        <v>0</v>
      </c>
      <c r="H6" s="62"/>
      <c r="I6" s="6"/>
      <c r="J6" s="8">
        <f t="shared" si="1"/>
        <v>0</v>
      </c>
      <c r="K6" s="8">
        <f t="shared" si="2"/>
        <v>0</v>
      </c>
      <c r="L6" s="65"/>
      <c r="M6" s="65">
        <f t="shared" si="3"/>
        <v>74345.052400000102</v>
      </c>
      <c r="N6" s="38"/>
    </row>
    <row r="7" spans="1:14">
      <c r="A7" s="43">
        <v>4</v>
      </c>
      <c r="B7" s="212">
        <v>46207</v>
      </c>
      <c r="C7" s="64"/>
      <c r="D7" s="68"/>
      <c r="E7" s="62"/>
      <c r="F7" s="6"/>
      <c r="G7" s="8">
        <f t="shared" si="0"/>
        <v>0</v>
      </c>
      <c r="H7" s="62"/>
      <c r="I7" s="6"/>
      <c r="J7" s="8">
        <f t="shared" si="1"/>
        <v>0</v>
      </c>
      <c r="K7" s="8">
        <f t="shared" si="2"/>
        <v>0</v>
      </c>
      <c r="L7" s="65"/>
      <c r="M7" s="65">
        <f t="shared" si="3"/>
        <v>74345.052400000102</v>
      </c>
      <c r="N7" s="38"/>
    </row>
    <row r="8" spans="1:14">
      <c r="A8" s="43">
        <v>5</v>
      </c>
      <c r="B8" s="212">
        <v>46208</v>
      </c>
      <c r="C8" s="64"/>
      <c r="D8" s="68"/>
      <c r="E8" s="62">
        <v>20</v>
      </c>
      <c r="F8" s="6">
        <v>99.12</v>
      </c>
      <c r="G8" s="8">
        <f t="shared" si="0"/>
        <v>1982.4</v>
      </c>
      <c r="H8" s="62">
        <v>7</v>
      </c>
      <c r="I8" s="307">
        <v>113.19</v>
      </c>
      <c r="J8" s="8">
        <f t="shared" si="1"/>
        <v>792.32999999999993</v>
      </c>
      <c r="K8" s="8">
        <f t="shared" si="2"/>
        <v>2774.73</v>
      </c>
      <c r="L8" s="65"/>
      <c r="M8" s="65">
        <f t="shared" si="3"/>
        <v>77119.782400000098</v>
      </c>
      <c r="N8" s="38"/>
    </row>
    <row r="9" spans="1:14">
      <c r="A9" s="43">
        <v>6</v>
      </c>
      <c r="B9" s="212">
        <v>46209</v>
      </c>
      <c r="C9" s="64"/>
      <c r="D9" s="68"/>
      <c r="E9" s="62"/>
      <c r="F9" s="6"/>
      <c r="G9" s="8">
        <f t="shared" si="0"/>
        <v>0</v>
      </c>
      <c r="H9" s="62">
        <v>6.08</v>
      </c>
      <c r="I9" s="307">
        <v>113.19</v>
      </c>
      <c r="J9" s="8">
        <f t="shared" si="1"/>
        <v>688.1952</v>
      </c>
      <c r="K9" s="8">
        <f t="shared" si="2"/>
        <v>688.1952</v>
      </c>
      <c r="L9" s="65"/>
      <c r="M9" s="65">
        <f t="shared" si="3"/>
        <v>77807.9776000001</v>
      </c>
      <c r="N9" s="38"/>
    </row>
    <row r="10" spans="1:14">
      <c r="A10" s="43">
        <v>7</v>
      </c>
      <c r="B10" s="212">
        <v>46210</v>
      </c>
      <c r="C10" s="64"/>
      <c r="D10" s="68"/>
      <c r="E10" s="62">
        <v>195.78</v>
      </c>
      <c r="F10" s="6">
        <v>99.12</v>
      </c>
      <c r="G10" s="8">
        <f t="shared" si="0"/>
        <v>19405.713600000003</v>
      </c>
      <c r="H10" s="62"/>
      <c r="I10" s="6"/>
      <c r="J10" s="8">
        <f t="shared" si="1"/>
        <v>0</v>
      </c>
      <c r="K10" s="8">
        <f t="shared" ref="K10:K11" si="4">G10+J10</f>
        <v>19405.713600000003</v>
      </c>
      <c r="L10" s="65"/>
      <c r="M10" s="65">
        <f t="shared" si="3"/>
        <v>97213.691200000103</v>
      </c>
      <c r="N10" s="38"/>
    </row>
    <row r="11" spans="1:14">
      <c r="A11" s="43">
        <v>8</v>
      </c>
      <c r="B11" s="212">
        <v>46211</v>
      </c>
      <c r="C11" s="64"/>
      <c r="D11" s="68"/>
      <c r="E11" s="62">
        <v>120</v>
      </c>
      <c r="F11" s="6">
        <v>99.12</v>
      </c>
      <c r="G11" s="8">
        <f t="shared" si="0"/>
        <v>11894.400000000001</v>
      </c>
      <c r="H11" s="62">
        <v>5</v>
      </c>
      <c r="I11" s="6">
        <v>113.19</v>
      </c>
      <c r="J11" s="8">
        <f t="shared" si="1"/>
        <v>565.95000000000005</v>
      </c>
      <c r="K11" s="8">
        <f t="shared" si="4"/>
        <v>12460.350000000002</v>
      </c>
      <c r="L11" s="65"/>
      <c r="M11" s="65">
        <f t="shared" si="3"/>
        <v>109674.04120000011</v>
      </c>
      <c r="N11" s="38"/>
    </row>
    <row r="12" spans="1:14">
      <c r="A12" s="43">
        <v>9</v>
      </c>
      <c r="B12" s="212">
        <v>46212</v>
      </c>
      <c r="C12" s="64"/>
      <c r="D12" s="68"/>
      <c r="E12" s="62">
        <v>102.1</v>
      </c>
      <c r="F12" s="6">
        <v>99.12</v>
      </c>
      <c r="G12" s="8">
        <f t="shared" si="0"/>
        <v>10120.152</v>
      </c>
      <c r="H12" s="62"/>
      <c r="I12" s="6"/>
      <c r="J12" s="8">
        <f t="shared" si="1"/>
        <v>0</v>
      </c>
      <c r="K12" s="8">
        <f t="shared" si="2"/>
        <v>10120.152</v>
      </c>
      <c r="L12" s="65"/>
      <c r="M12" s="65">
        <f t="shared" si="3"/>
        <v>119794.19320000011</v>
      </c>
      <c r="N12" s="38"/>
    </row>
    <row r="13" spans="1:14">
      <c r="A13" s="43">
        <v>10</v>
      </c>
      <c r="B13" s="212">
        <v>46213</v>
      </c>
      <c r="C13" s="180"/>
      <c r="D13" s="181"/>
      <c r="E13" s="62">
        <v>30</v>
      </c>
      <c r="F13" s="6">
        <v>99.12</v>
      </c>
      <c r="G13" s="8">
        <f t="shared" si="0"/>
        <v>2973.6000000000004</v>
      </c>
      <c r="H13" s="62">
        <v>12.66</v>
      </c>
      <c r="I13" s="6">
        <v>111.19</v>
      </c>
      <c r="J13" s="8">
        <f t="shared" si="1"/>
        <v>1407.6654000000001</v>
      </c>
      <c r="K13" s="8">
        <f t="shared" si="2"/>
        <v>4381.2654000000002</v>
      </c>
      <c r="L13" s="65"/>
      <c r="M13" s="65">
        <f>M12+K13-L13</f>
        <v>124175.45860000011</v>
      </c>
      <c r="N13" s="38"/>
    </row>
    <row r="14" spans="1:14">
      <c r="A14" s="43">
        <v>11</v>
      </c>
      <c r="B14" s="212">
        <v>46214</v>
      </c>
      <c r="C14" s="169"/>
      <c r="D14" s="169"/>
      <c r="E14" s="299">
        <v>20</v>
      </c>
      <c r="F14" s="307">
        <v>99.12</v>
      </c>
      <c r="G14" s="8">
        <f t="shared" si="0"/>
        <v>1982.4</v>
      </c>
      <c r="H14" s="62">
        <v>5</v>
      </c>
      <c r="I14" s="6">
        <v>111.19</v>
      </c>
      <c r="J14" s="8">
        <f t="shared" si="1"/>
        <v>555.95000000000005</v>
      </c>
      <c r="K14" s="8">
        <f t="shared" si="2"/>
        <v>2538.3500000000004</v>
      </c>
      <c r="L14" s="65"/>
      <c r="M14" s="65">
        <f t="shared" si="3"/>
        <v>126713.80860000012</v>
      </c>
      <c r="N14" s="38"/>
    </row>
    <row r="15" spans="1:14">
      <c r="A15" s="43">
        <v>12</v>
      </c>
      <c r="B15" s="212">
        <v>46215</v>
      </c>
      <c r="C15" s="169"/>
      <c r="D15" s="169"/>
      <c r="E15" s="299">
        <v>60</v>
      </c>
      <c r="F15" s="307">
        <v>99.12</v>
      </c>
      <c r="G15" s="8">
        <f t="shared" si="0"/>
        <v>5947.2000000000007</v>
      </c>
      <c r="H15" s="62"/>
      <c r="I15" s="6"/>
      <c r="J15" s="8">
        <f t="shared" si="1"/>
        <v>0</v>
      </c>
      <c r="K15" s="8">
        <f t="shared" si="2"/>
        <v>5947.2000000000007</v>
      </c>
      <c r="L15" s="65"/>
      <c r="M15" s="65">
        <f>M14+K15-L15</f>
        <v>132661.00860000012</v>
      </c>
      <c r="N15" s="38"/>
    </row>
    <row r="16" spans="1:14">
      <c r="A16" s="43">
        <v>13</v>
      </c>
      <c r="B16" s="212">
        <v>46216</v>
      </c>
      <c r="C16" s="169"/>
      <c r="D16" s="169"/>
      <c r="E16" s="62">
        <v>225</v>
      </c>
      <c r="F16" s="6">
        <v>99.12</v>
      </c>
      <c r="G16" s="8">
        <f t="shared" si="0"/>
        <v>22302</v>
      </c>
      <c r="H16" s="62">
        <v>5</v>
      </c>
      <c r="I16" s="6">
        <v>111.19</v>
      </c>
      <c r="J16" s="8">
        <f t="shared" si="1"/>
        <v>555.95000000000005</v>
      </c>
      <c r="K16" s="8">
        <f t="shared" si="2"/>
        <v>22857.95</v>
      </c>
      <c r="L16" s="65"/>
      <c r="M16" s="65">
        <f t="shared" si="3"/>
        <v>155518.95860000013</v>
      </c>
      <c r="N16" s="38"/>
    </row>
    <row r="17" spans="1:14">
      <c r="A17" s="43">
        <v>14</v>
      </c>
      <c r="B17" s="212">
        <v>46217</v>
      </c>
      <c r="C17" s="169"/>
      <c r="D17" s="169"/>
      <c r="E17" s="62">
        <v>40.85</v>
      </c>
      <c r="F17" s="6">
        <v>99.12</v>
      </c>
      <c r="G17" s="8">
        <f t="shared" si="0"/>
        <v>4049.0520000000001</v>
      </c>
      <c r="H17" s="299"/>
      <c r="I17" s="6"/>
      <c r="J17" s="8">
        <f t="shared" si="1"/>
        <v>0</v>
      </c>
      <c r="K17" s="8">
        <f t="shared" si="2"/>
        <v>4049.0520000000001</v>
      </c>
      <c r="L17" s="65"/>
      <c r="M17" s="65">
        <f t="shared" si="3"/>
        <v>159568.01060000013</v>
      </c>
      <c r="N17" s="38"/>
    </row>
    <row r="18" spans="1:14">
      <c r="A18" s="43">
        <v>15</v>
      </c>
      <c r="B18" s="212">
        <v>46218</v>
      </c>
      <c r="C18" s="169"/>
      <c r="D18" s="169"/>
      <c r="E18" s="62">
        <v>29.89</v>
      </c>
      <c r="F18" s="6">
        <v>99.12</v>
      </c>
      <c r="G18" s="8">
        <f t="shared" si="0"/>
        <v>2962.6968000000002</v>
      </c>
      <c r="H18" s="62">
        <v>5</v>
      </c>
      <c r="I18" s="6">
        <v>111.19</v>
      </c>
      <c r="J18" s="8">
        <f t="shared" si="1"/>
        <v>555.95000000000005</v>
      </c>
      <c r="K18" s="8">
        <f t="shared" si="2"/>
        <v>3518.6468000000004</v>
      </c>
      <c r="L18" s="65"/>
      <c r="M18" s="65">
        <f t="shared" si="3"/>
        <v>163086.65740000011</v>
      </c>
      <c r="N18" s="38"/>
    </row>
    <row r="19" spans="1:14">
      <c r="A19" s="43">
        <v>16</v>
      </c>
      <c r="B19" s="212">
        <v>46219</v>
      </c>
      <c r="C19" s="169"/>
      <c r="D19" s="169"/>
      <c r="E19" s="62">
        <v>20</v>
      </c>
      <c r="F19" s="6">
        <v>99.12</v>
      </c>
      <c r="G19" s="8">
        <f t="shared" si="0"/>
        <v>1982.4</v>
      </c>
      <c r="H19" s="62"/>
      <c r="I19" s="6"/>
      <c r="J19" s="8">
        <f t="shared" si="1"/>
        <v>0</v>
      </c>
      <c r="K19" s="8">
        <f t="shared" si="2"/>
        <v>1982.4</v>
      </c>
      <c r="L19" s="65"/>
      <c r="M19" s="65">
        <f t="shared" si="3"/>
        <v>165069.05740000011</v>
      </c>
      <c r="N19" s="38"/>
    </row>
    <row r="20" spans="1:14">
      <c r="A20" s="43">
        <v>17</v>
      </c>
      <c r="B20" s="212">
        <v>46220</v>
      </c>
      <c r="C20" s="169"/>
      <c r="D20" s="169"/>
      <c r="E20" s="62"/>
      <c r="F20" s="6"/>
      <c r="G20" s="8">
        <f t="shared" si="0"/>
        <v>0</v>
      </c>
      <c r="H20" s="62">
        <v>11.01</v>
      </c>
      <c r="I20" s="6">
        <v>111.19</v>
      </c>
      <c r="J20" s="8">
        <f t="shared" si="1"/>
        <v>1224.2019</v>
      </c>
      <c r="K20" s="8">
        <f t="shared" si="2"/>
        <v>1224.2019</v>
      </c>
      <c r="L20" s="65"/>
      <c r="M20" s="65">
        <f t="shared" ref="M20:M34" si="5">M19+K20-L20</f>
        <v>166293.25930000009</v>
      </c>
      <c r="N20" s="38"/>
    </row>
    <row r="21" spans="1:14">
      <c r="A21" s="43">
        <v>18</v>
      </c>
      <c r="B21" s="212">
        <v>46221</v>
      </c>
      <c r="C21" s="169"/>
      <c r="D21" s="169"/>
      <c r="E21" s="62">
        <v>20</v>
      </c>
      <c r="F21" s="6">
        <v>99.12</v>
      </c>
      <c r="G21" s="8">
        <f t="shared" si="0"/>
        <v>1982.4</v>
      </c>
      <c r="H21" s="62">
        <v>6.51</v>
      </c>
      <c r="I21" s="6">
        <v>111.19</v>
      </c>
      <c r="J21" s="8">
        <f t="shared" si="1"/>
        <v>723.84690000000001</v>
      </c>
      <c r="K21" s="8">
        <f t="shared" si="2"/>
        <v>2706.2469000000001</v>
      </c>
      <c r="L21" s="65"/>
      <c r="M21" s="65">
        <f t="shared" si="5"/>
        <v>168999.50620000009</v>
      </c>
      <c r="N21" s="38"/>
    </row>
    <row r="22" spans="1:14">
      <c r="A22" s="43">
        <v>19</v>
      </c>
      <c r="B22" s="212">
        <v>46222</v>
      </c>
      <c r="C22" s="169"/>
      <c r="D22" s="169"/>
      <c r="E22" s="62">
        <v>0</v>
      </c>
      <c r="F22" s="6">
        <v>0</v>
      </c>
      <c r="G22" s="8">
        <v>0</v>
      </c>
      <c r="H22" s="62">
        <v>5</v>
      </c>
      <c r="I22" s="6">
        <v>111.19</v>
      </c>
      <c r="J22" s="8">
        <f t="shared" si="1"/>
        <v>555.95000000000005</v>
      </c>
      <c r="K22" s="8">
        <f t="shared" ref="K22" si="6">G22+J22</f>
        <v>555.95000000000005</v>
      </c>
      <c r="L22" s="65"/>
      <c r="M22" s="65">
        <f t="shared" si="5"/>
        <v>169555.4562000001</v>
      </c>
      <c r="N22" s="38"/>
    </row>
    <row r="23" spans="1:14">
      <c r="A23" s="43">
        <v>20</v>
      </c>
      <c r="B23" s="212">
        <v>46223</v>
      </c>
      <c r="C23" s="169"/>
      <c r="D23" s="169"/>
      <c r="E23" s="62">
        <v>20</v>
      </c>
      <c r="F23" s="6">
        <v>99.12</v>
      </c>
      <c r="G23" s="8">
        <f t="shared" si="0"/>
        <v>1982.4</v>
      </c>
      <c r="H23" s="62">
        <v>5</v>
      </c>
      <c r="I23" s="6">
        <v>111.19</v>
      </c>
      <c r="J23" s="8">
        <f t="shared" si="1"/>
        <v>555.95000000000005</v>
      </c>
      <c r="K23" s="8">
        <f t="shared" si="2"/>
        <v>2538.3500000000004</v>
      </c>
      <c r="L23" s="65"/>
      <c r="M23" s="65">
        <f t="shared" si="5"/>
        <v>172093.80620000011</v>
      </c>
      <c r="N23" s="38"/>
    </row>
    <row r="24" spans="1:14">
      <c r="A24" s="43">
        <v>21</v>
      </c>
      <c r="B24" s="212">
        <v>46224</v>
      </c>
      <c r="C24" s="169"/>
      <c r="D24" s="169"/>
      <c r="E24" s="62">
        <v>20</v>
      </c>
      <c r="F24" s="6">
        <v>99.12</v>
      </c>
      <c r="G24" s="8">
        <f t="shared" si="0"/>
        <v>1982.4</v>
      </c>
      <c r="H24" s="62">
        <v>9</v>
      </c>
      <c r="I24" s="6">
        <v>111.19</v>
      </c>
      <c r="J24" s="8">
        <f t="shared" si="1"/>
        <v>1000.71</v>
      </c>
      <c r="K24" s="8">
        <f t="shared" si="2"/>
        <v>2983.11</v>
      </c>
      <c r="L24" s="65"/>
      <c r="M24" s="65">
        <f t="shared" si="5"/>
        <v>175076.91620000009</v>
      </c>
      <c r="N24" s="38"/>
    </row>
    <row r="25" spans="1:14">
      <c r="A25" s="43">
        <v>22</v>
      </c>
      <c r="B25" s="212">
        <v>46225</v>
      </c>
      <c r="C25" s="169"/>
      <c r="D25" s="169"/>
      <c r="E25" s="62">
        <v>20</v>
      </c>
      <c r="F25" s="6">
        <v>99.12</v>
      </c>
      <c r="G25" s="8">
        <f t="shared" si="0"/>
        <v>1982.4</v>
      </c>
      <c r="H25" s="62"/>
      <c r="I25" s="6"/>
      <c r="J25" s="8">
        <f t="shared" si="1"/>
        <v>0</v>
      </c>
      <c r="K25" s="8">
        <f t="shared" si="2"/>
        <v>1982.4</v>
      </c>
      <c r="L25" s="65"/>
      <c r="M25" s="65">
        <f t="shared" si="5"/>
        <v>177059.31620000009</v>
      </c>
      <c r="N25" s="38"/>
    </row>
    <row r="26" spans="1:14">
      <c r="A26" s="43">
        <v>23</v>
      </c>
      <c r="B26" s="212">
        <v>46226</v>
      </c>
      <c r="C26" s="203"/>
      <c r="D26" s="203"/>
      <c r="E26" s="62"/>
      <c r="F26" s="6"/>
      <c r="G26" s="8">
        <f t="shared" si="0"/>
        <v>0</v>
      </c>
      <c r="H26" s="62">
        <v>11.31</v>
      </c>
      <c r="I26" s="6">
        <v>111.19</v>
      </c>
      <c r="J26" s="8">
        <f t="shared" si="1"/>
        <v>1257.5589</v>
      </c>
      <c r="K26" s="8">
        <f t="shared" si="2"/>
        <v>1257.5589</v>
      </c>
      <c r="L26" s="65"/>
      <c r="M26" s="65">
        <f t="shared" si="5"/>
        <v>178316.87510000009</v>
      </c>
      <c r="N26" s="204"/>
    </row>
    <row r="27" spans="1:14">
      <c r="A27" s="43">
        <v>24</v>
      </c>
      <c r="B27" s="212">
        <v>46227</v>
      </c>
      <c r="C27" s="203"/>
      <c r="D27" s="203"/>
      <c r="E27" s="62"/>
      <c r="F27" s="6"/>
      <c r="G27" s="8">
        <f t="shared" si="0"/>
        <v>0</v>
      </c>
      <c r="H27" s="62"/>
      <c r="I27" s="6"/>
      <c r="J27" s="8">
        <f t="shared" si="1"/>
        <v>0</v>
      </c>
      <c r="K27" s="8">
        <f t="shared" si="2"/>
        <v>0</v>
      </c>
      <c r="L27" s="65"/>
      <c r="M27" s="65">
        <f t="shared" si="5"/>
        <v>178316.87510000009</v>
      </c>
      <c r="N27" s="204"/>
    </row>
    <row r="28" spans="1:14">
      <c r="A28" s="214">
        <v>25</v>
      </c>
      <c r="B28" s="212">
        <v>46228</v>
      </c>
      <c r="C28" s="203"/>
      <c r="D28" s="203"/>
      <c r="E28" s="299">
        <f>10+43.6</f>
        <v>53.6</v>
      </c>
      <c r="F28" s="307">
        <v>99.12</v>
      </c>
      <c r="G28" s="8">
        <f t="shared" si="0"/>
        <v>5312.8320000000003</v>
      </c>
      <c r="H28" s="62">
        <v>5</v>
      </c>
      <c r="I28" s="6">
        <v>111.19</v>
      </c>
      <c r="J28" s="8">
        <f t="shared" si="1"/>
        <v>555.95000000000005</v>
      </c>
      <c r="K28" s="8">
        <f t="shared" si="2"/>
        <v>5868.7820000000002</v>
      </c>
      <c r="L28" s="65"/>
      <c r="M28" s="65">
        <f>M27+K28-L28</f>
        <v>184185.6571000001</v>
      </c>
      <c r="N28" s="204"/>
    </row>
    <row r="29" spans="1:14">
      <c r="A29" s="214">
        <v>26</v>
      </c>
      <c r="B29" s="212">
        <v>46229</v>
      </c>
      <c r="C29" s="203"/>
      <c r="D29" s="203"/>
      <c r="E29" s="299">
        <v>20</v>
      </c>
      <c r="F29" s="307">
        <v>99.12</v>
      </c>
      <c r="G29" s="8">
        <f t="shared" si="0"/>
        <v>1982.4</v>
      </c>
      <c r="H29" s="62">
        <v>7</v>
      </c>
      <c r="I29" s="6">
        <v>111.19</v>
      </c>
      <c r="J29" s="8">
        <f t="shared" si="1"/>
        <v>778.32999999999993</v>
      </c>
      <c r="K29" s="8">
        <f t="shared" si="2"/>
        <v>2760.73</v>
      </c>
      <c r="L29" s="65"/>
      <c r="M29" s="65">
        <f t="shared" si="5"/>
        <v>186946.38710000011</v>
      </c>
      <c r="N29" s="204"/>
    </row>
    <row r="30" spans="1:14">
      <c r="A30" s="214">
        <v>27</v>
      </c>
      <c r="B30" s="212">
        <v>46230</v>
      </c>
      <c r="C30" s="203"/>
      <c r="D30" s="203"/>
      <c r="E30" s="299">
        <v>155.01</v>
      </c>
      <c r="F30" s="307">
        <v>99.12</v>
      </c>
      <c r="G30" s="8">
        <f t="shared" si="0"/>
        <v>15364.591199999999</v>
      </c>
      <c r="H30" s="62">
        <v>5</v>
      </c>
      <c r="I30" s="6">
        <v>111.19</v>
      </c>
      <c r="J30" s="8">
        <f t="shared" si="1"/>
        <v>555.95000000000005</v>
      </c>
      <c r="K30" s="8">
        <f t="shared" si="2"/>
        <v>15920.5412</v>
      </c>
      <c r="L30" s="65"/>
      <c r="M30" s="65">
        <f t="shared" si="5"/>
        <v>202866.92830000012</v>
      </c>
      <c r="N30" s="204"/>
    </row>
    <row r="31" spans="1:14">
      <c r="A31" s="214">
        <v>28</v>
      </c>
      <c r="B31" s="212">
        <v>46231</v>
      </c>
      <c r="C31" s="203"/>
      <c r="D31" s="203"/>
      <c r="E31" s="299">
        <v>33.56</v>
      </c>
      <c r="F31" s="307">
        <v>99.12</v>
      </c>
      <c r="G31" s="8">
        <f t="shared" si="0"/>
        <v>3326.4672000000005</v>
      </c>
      <c r="H31" s="62">
        <v>2</v>
      </c>
      <c r="I31" s="6">
        <v>111.19</v>
      </c>
      <c r="J31" s="8">
        <f t="shared" si="1"/>
        <v>222.38</v>
      </c>
      <c r="K31" s="8">
        <f t="shared" si="2"/>
        <v>3548.8472000000006</v>
      </c>
      <c r="L31" s="65"/>
      <c r="M31" s="65">
        <f t="shared" si="5"/>
        <v>206415.77550000011</v>
      </c>
      <c r="N31" s="204"/>
    </row>
    <row r="32" spans="1:14">
      <c r="A32" s="215">
        <v>29</v>
      </c>
      <c r="B32" s="212">
        <v>46232</v>
      </c>
      <c r="C32" s="203"/>
      <c r="D32" s="203"/>
      <c r="E32" s="62"/>
      <c r="F32" s="6"/>
      <c r="G32" s="8">
        <f t="shared" si="0"/>
        <v>0</v>
      </c>
      <c r="H32" s="62"/>
      <c r="I32" s="6"/>
      <c r="J32" s="8">
        <f t="shared" si="1"/>
        <v>0</v>
      </c>
      <c r="K32" s="8">
        <f t="shared" si="2"/>
        <v>0</v>
      </c>
      <c r="L32" s="65"/>
      <c r="M32" s="65">
        <f t="shared" si="5"/>
        <v>206415.77550000011</v>
      </c>
      <c r="N32" s="204"/>
    </row>
    <row r="33" spans="1:14">
      <c r="A33" s="215">
        <v>30</v>
      </c>
      <c r="B33" s="212">
        <v>46233</v>
      </c>
      <c r="C33" s="203"/>
      <c r="D33" s="203"/>
      <c r="E33" s="62">
        <v>120</v>
      </c>
      <c r="F33" s="6">
        <v>99.12</v>
      </c>
      <c r="G33" s="8">
        <f t="shared" si="0"/>
        <v>11894.400000000001</v>
      </c>
      <c r="H33" s="62"/>
      <c r="I33" s="6"/>
      <c r="J33" s="8">
        <f t="shared" si="1"/>
        <v>0</v>
      </c>
      <c r="K33" s="8">
        <f t="shared" si="2"/>
        <v>11894.400000000001</v>
      </c>
      <c r="L33" s="65"/>
      <c r="M33" s="65">
        <f t="shared" si="5"/>
        <v>218310.1755000001</v>
      </c>
      <c r="N33" s="204"/>
    </row>
    <row r="34" spans="1:14">
      <c r="A34" s="215">
        <v>31</v>
      </c>
      <c r="B34" s="212">
        <v>46234</v>
      </c>
      <c r="C34" s="203"/>
      <c r="D34" s="203"/>
      <c r="E34" s="62"/>
      <c r="F34" s="6"/>
      <c r="G34" s="8">
        <f t="shared" si="0"/>
        <v>0</v>
      </c>
      <c r="H34" s="62"/>
      <c r="I34" s="6"/>
      <c r="J34" s="8">
        <f t="shared" si="1"/>
        <v>0</v>
      </c>
      <c r="K34" s="8">
        <f t="shared" si="2"/>
        <v>0</v>
      </c>
      <c r="L34" s="65">
        <v>100000</v>
      </c>
      <c r="M34" s="65">
        <f t="shared" si="5"/>
        <v>118310.1755000001</v>
      </c>
      <c r="N34" s="204"/>
    </row>
    <row r="35" spans="1:14">
      <c r="A35" s="153"/>
      <c r="B35" s="153"/>
      <c r="C35" s="153"/>
      <c r="D35" s="153"/>
      <c r="E35" s="154">
        <f>SUM(E4:E34)</f>
        <v>1345.79</v>
      </c>
      <c r="F35" s="154"/>
      <c r="G35" s="154">
        <f>SUM(G4:G34)</f>
        <v>133394.70479999995</v>
      </c>
      <c r="H35" s="154">
        <f>SUM(H4:H34)</f>
        <v>112.57</v>
      </c>
      <c r="I35" s="154"/>
      <c r="J35" s="154">
        <f>SUM(J4:J34)</f>
        <v>12552.818299999999</v>
      </c>
      <c r="K35" s="154">
        <f>SUM(K4:K34)</f>
        <v>145947.52309999999</v>
      </c>
      <c r="L35" s="154">
        <f>SUM(L4:L34)</f>
        <v>100000</v>
      </c>
      <c r="M35" s="154"/>
      <c r="N35" s="154"/>
    </row>
    <row r="36" spans="1:14">
      <c r="A36" s="69"/>
      <c r="B36" s="70"/>
      <c r="C36" s="69"/>
      <c r="D36" s="69"/>
      <c r="E36" s="71"/>
      <c r="F36" s="71"/>
      <c r="G36" s="71"/>
      <c r="H36" s="71"/>
      <c r="I36" s="71"/>
      <c r="J36" s="72"/>
      <c r="K36" s="72"/>
      <c r="L36" s="72"/>
      <c r="M36" s="72"/>
      <c r="N36" s="71"/>
    </row>
  </sheetData>
  <mergeCells count="1">
    <mergeCell ref="A1:N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O38"/>
  <sheetViews>
    <sheetView workbookViewId="0">
      <selection activeCell="M35" sqref="M35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  <col min="17" max="17" width="9.140625" bestFit="1" customWidth="1"/>
  </cols>
  <sheetData>
    <row r="1" spans="1:15" ht="15.75">
      <c r="A1" s="564" t="s">
        <v>153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"/>
    </row>
    <row r="2" spans="1:15" ht="30.75">
      <c r="A2" s="61" t="s">
        <v>0</v>
      </c>
      <c r="B2" s="80" t="s">
        <v>163</v>
      </c>
      <c r="C2" s="80" t="s">
        <v>164</v>
      </c>
      <c r="D2" s="80" t="s">
        <v>186</v>
      </c>
      <c r="E2" s="80" t="s">
        <v>166</v>
      </c>
      <c r="F2" s="80" t="s">
        <v>167</v>
      </c>
      <c r="G2" s="87" t="s">
        <v>168</v>
      </c>
      <c r="H2" s="80" t="s">
        <v>169</v>
      </c>
      <c r="I2" s="80" t="s">
        <v>167</v>
      </c>
      <c r="J2" s="87" t="s">
        <v>168</v>
      </c>
      <c r="K2" s="61" t="s">
        <v>170</v>
      </c>
      <c r="L2" s="88" t="s">
        <v>171</v>
      </c>
      <c r="M2" s="82" t="s">
        <v>187</v>
      </c>
      <c r="N2" s="80" t="s">
        <v>173</v>
      </c>
      <c r="O2" s="5"/>
    </row>
    <row r="3" spans="1:15">
      <c r="A3" s="590" t="s">
        <v>174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2">
        <v>13667.988899999997</v>
      </c>
      <c r="N3" s="592"/>
      <c r="O3" s="5"/>
    </row>
    <row r="4" spans="1:15">
      <c r="A4" s="189">
        <v>1</v>
      </c>
      <c r="B4" s="212"/>
      <c r="C4" s="6"/>
      <c r="D4" s="6"/>
      <c r="E4" s="62"/>
      <c r="F4" s="6"/>
      <c r="G4" s="63">
        <f>E4*F4</f>
        <v>0</v>
      </c>
      <c r="H4" s="62"/>
      <c r="I4" s="6"/>
      <c r="J4" s="63">
        <f>H4*I4</f>
        <v>0</v>
      </c>
      <c r="K4" s="63">
        <f>G4+J4</f>
        <v>0</v>
      </c>
      <c r="L4" s="155">
        <v>0</v>
      </c>
      <c r="M4" s="144">
        <f>M3+K4-L4</f>
        <v>13667.988899999997</v>
      </c>
      <c r="N4" s="43"/>
      <c r="O4" s="5"/>
    </row>
    <row r="5" spans="1:15">
      <c r="A5" s="43">
        <v>2</v>
      </c>
      <c r="B5" s="212"/>
      <c r="C5" s="6"/>
      <c r="D5" s="6"/>
      <c r="E5" s="62"/>
      <c r="F5" s="6"/>
      <c r="G5" s="63">
        <f t="shared" ref="G5:G17" si="0">E5*F5</f>
        <v>0</v>
      </c>
      <c r="H5" s="62"/>
      <c r="I5" s="6"/>
      <c r="J5" s="63">
        <f t="shared" ref="J5:J20" si="1">H5*I5</f>
        <v>0</v>
      </c>
      <c r="K5" s="63">
        <f t="shared" ref="K5:K20" si="2">G5+J5</f>
        <v>0</v>
      </c>
      <c r="L5" s="155">
        <v>0</v>
      </c>
      <c r="M5" s="144">
        <f t="shared" ref="M5:M20" si="3">M4+K5-L5</f>
        <v>13667.988899999997</v>
      </c>
      <c r="N5" s="43"/>
      <c r="O5" s="5"/>
    </row>
    <row r="6" spans="1:15">
      <c r="A6" s="43">
        <v>3</v>
      </c>
      <c r="B6" s="212"/>
      <c r="C6" s="6"/>
      <c r="D6" s="6"/>
      <c r="E6" s="62">
        <v>60</v>
      </c>
      <c r="F6" s="6">
        <v>99.07</v>
      </c>
      <c r="G6" s="63">
        <f t="shared" si="0"/>
        <v>5944.2</v>
      </c>
      <c r="H6" s="62"/>
      <c r="I6" s="6"/>
      <c r="J6" s="63">
        <f t="shared" si="1"/>
        <v>0</v>
      </c>
      <c r="K6" s="63">
        <f t="shared" si="2"/>
        <v>5944.2</v>
      </c>
      <c r="L6" s="155">
        <v>0</v>
      </c>
      <c r="M6" s="144">
        <f t="shared" si="3"/>
        <v>19612.188899999997</v>
      </c>
      <c r="N6" s="43"/>
      <c r="O6" s="5"/>
    </row>
    <row r="7" spans="1:15">
      <c r="A7" s="43">
        <v>4</v>
      </c>
      <c r="B7" s="212"/>
      <c r="C7" s="6"/>
      <c r="D7" s="6"/>
      <c r="E7" s="62"/>
      <c r="F7" s="6"/>
      <c r="G7" s="63">
        <f t="shared" si="0"/>
        <v>0</v>
      </c>
      <c r="H7" s="62"/>
      <c r="I7" s="6"/>
      <c r="J7" s="63">
        <f t="shared" si="1"/>
        <v>0</v>
      </c>
      <c r="K7" s="63">
        <f t="shared" si="2"/>
        <v>0</v>
      </c>
      <c r="L7" s="155">
        <v>0</v>
      </c>
      <c r="M7" s="144">
        <f t="shared" si="3"/>
        <v>19612.188899999997</v>
      </c>
      <c r="N7" s="43"/>
      <c r="O7" s="5"/>
    </row>
    <row r="8" spans="1:15">
      <c r="A8" s="43">
        <v>5</v>
      </c>
      <c r="B8" s="212" t="s">
        <v>285</v>
      </c>
      <c r="C8" s="6"/>
      <c r="D8" s="6"/>
      <c r="E8" s="62">
        <v>50</v>
      </c>
      <c r="F8" s="6">
        <v>99.07</v>
      </c>
      <c r="G8" s="63">
        <f t="shared" si="0"/>
        <v>4953.5</v>
      </c>
      <c r="H8" s="62"/>
      <c r="I8" s="6"/>
      <c r="J8" s="63">
        <f t="shared" si="1"/>
        <v>0</v>
      </c>
      <c r="K8" s="63">
        <f t="shared" si="2"/>
        <v>4953.5</v>
      </c>
      <c r="L8" s="155">
        <v>0</v>
      </c>
      <c r="M8" s="144">
        <f t="shared" si="3"/>
        <v>24565.688899999997</v>
      </c>
      <c r="N8" s="43"/>
      <c r="O8" s="5"/>
    </row>
    <row r="9" spans="1:15">
      <c r="A9" s="43">
        <v>6</v>
      </c>
      <c r="B9" s="212" t="s">
        <v>286</v>
      </c>
      <c r="C9" s="6"/>
      <c r="D9" s="6"/>
      <c r="E9" s="62">
        <v>60</v>
      </c>
      <c r="F9" s="6">
        <v>99.07</v>
      </c>
      <c r="G9" s="63">
        <f t="shared" si="0"/>
        <v>5944.2</v>
      </c>
      <c r="H9" s="62"/>
      <c r="I9" s="6"/>
      <c r="J9" s="63">
        <f t="shared" si="1"/>
        <v>0</v>
      </c>
      <c r="K9" s="63">
        <f t="shared" si="2"/>
        <v>5944.2</v>
      </c>
      <c r="L9" s="155">
        <v>0</v>
      </c>
      <c r="M9" s="144">
        <f t="shared" si="3"/>
        <v>30509.888899999998</v>
      </c>
      <c r="N9" s="43"/>
      <c r="O9" s="5"/>
    </row>
    <row r="10" spans="1:15">
      <c r="A10" s="43">
        <v>7</v>
      </c>
      <c r="B10" s="212" t="s">
        <v>287</v>
      </c>
      <c r="C10" s="6"/>
      <c r="D10" s="6"/>
      <c r="E10" s="62">
        <v>45.38</v>
      </c>
      <c r="F10" s="6">
        <v>99.07</v>
      </c>
      <c r="G10" s="63">
        <f t="shared" si="0"/>
        <v>4495.7965999999997</v>
      </c>
      <c r="H10" s="62">
        <v>5</v>
      </c>
      <c r="I10" s="6">
        <v>120.64</v>
      </c>
      <c r="J10" s="63">
        <f t="shared" si="1"/>
        <v>603.20000000000005</v>
      </c>
      <c r="K10" s="63">
        <f t="shared" si="2"/>
        <v>5098.9965999999995</v>
      </c>
      <c r="L10" s="155">
        <v>0</v>
      </c>
      <c r="M10" s="144">
        <f t="shared" si="3"/>
        <v>35608.885499999997</v>
      </c>
      <c r="N10" s="43"/>
      <c r="O10" s="5"/>
    </row>
    <row r="11" spans="1:15">
      <c r="A11" s="43">
        <v>8</v>
      </c>
      <c r="B11" s="212" t="s">
        <v>288</v>
      </c>
      <c r="C11" s="6"/>
      <c r="D11" s="6"/>
      <c r="E11" s="62">
        <v>100</v>
      </c>
      <c r="F11" s="6">
        <v>99.07</v>
      </c>
      <c r="G11" s="63">
        <f t="shared" si="0"/>
        <v>9907</v>
      </c>
      <c r="H11" s="62"/>
      <c r="I11" s="6"/>
      <c r="J11" s="63">
        <f t="shared" si="1"/>
        <v>0</v>
      </c>
      <c r="K11" s="63">
        <f t="shared" si="2"/>
        <v>9907</v>
      </c>
      <c r="L11" s="155">
        <v>0</v>
      </c>
      <c r="M11" s="144">
        <f t="shared" si="3"/>
        <v>45515.885499999997</v>
      </c>
      <c r="N11" s="43"/>
      <c r="O11" s="5"/>
    </row>
    <row r="12" spans="1:15">
      <c r="A12" s="43">
        <v>9</v>
      </c>
      <c r="B12" s="212"/>
      <c r="C12" s="6"/>
      <c r="D12" s="6"/>
      <c r="E12" s="62"/>
      <c r="F12" s="6"/>
      <c r="G12" s="63">
        <f t="shared" si="0"/>
        <v>0</v>
      </c>
      <c r="H12" s="62"/>
      <c r="I12" s="6"/>
      <c r="J12" s="63">
        <f t="shared" si="1"/>
        <v>0</v>
      </c>
      <c r="K12" s="63">
        <f t="shared" si="2"/>
        <v>0</v>
      </c>
      <c r="L12" s="155">
        <v>0</v>
      </c>
      <c r="M12" s="144">
        <f t="shared" si="3"/>
        <v>45515.885499999997</v>
      </c>
      <c r="N12" s="43"/>
      <c r="O12" s="5"/>
    </row>
    <row r="13" spans="1:15">
      <c r="A13" s="43">
        <v>10</v>
      </c>
      <c r="B13" s="212"/>
      <c r="C13" s="6"/>
      <c r="D13" s="6"/>
      <c r="E13" s="62"/>
      <c r="F13" s="6"/>
      <c r="G13" s="63">
        <f t="shared" si="0"/>
        <v>0</v>
      </c>
      <c r="H13" s="62"/>
      <c r="I13" s="6"/>
      <c r="J13" s="63">
        <f t="shared" si="1"/>
        <v>0</v>
      </c>
      <c r="K13" s="63">
        <f t="shared" si="2"/>
        <v>0</v>
      </c>
      <c r="L13" s="155">
        <v>0</v>
      </c>
      <c r="M13" s="144">
        <f t="shared" si="3"/>
        <v>45515.885499999997</v>
      </c>
      <c r="N13" s="43"/>
      <c r="O13" s="5"/>
    </row>
    <row r="14" spans="1:15">
      <c r="A14" s="43">
        <v>11</v>
      </c>
      <c r="B14" s="212"/>
      <c r="C14" s="6"/>
      <c r="D14" s="6"/>
      <c r="E14" s="62"/>
      <c r="F14" s="6"/>
      <c r="G14" s="63">
        <f t="shared" si="0"/>
        <v>0</v>
      </c>
      <c r="H14" s="62"/>
      <c r="I14" s="6"/>
      <c r="J14" s="63">
        <f t="shared" si="1"/>
        <v>0</v>
      </c>
      <c r="K14" s="63">
        <f t="shared" si="2"/>
        <v>0</v>
      </c>
      <c r="L14" s="155">
        <v>0</v>
      </c>
      <c r="M14" s="144">
        <f t="shared" si="3"/>
        <v>45515.885499999997</v>
      </c>
      <c r="N14" s="43"/>
      <c r="O14" s="5"/>
    </row>
    <row r="15" spans="1:15">
      <c r="A15" s="43">
        <v>12</v>
      </c>
      <c r="B15" s="212"/>
      <c r="C15" s="6"/>
      <c r="D15" s="6"/>
      <c r="E15" s="62"/>
      <c r="F15" s="6"/>
      <c r="G15" s="63">
        <f t="shared" si="0"/>
        <v>0</v>
      </c>
      <c r="H15" s="62"/>
      <c r="I15" s="6"/>
      <c r="J15" s="63">
        <f t="shared" si="1"/>
        <v>0</v>
      </c>
      <c r="K15" s="63">
        <f t="shared" si="2"/>
        <v>0</v>
      </c>
      <c r="L15" s="155">
        <v>0</v>
      </c>
      <c r="M15" s="144">
        <f t="shared" si="3"/>
        <v>45515.885499999997</v>
      </c>
      <c r="N15" s="43"/>
      <c r="O15" s="5"/>
    </row>
    <row r="16" spans="1:15">
      <c r="A16" s="43">
        <v>13</v>
      </c>
      <c r="B16" s="212"/>
      <c r="C16" s="6"/>
      <c r="D16" s="6"/>
      <c r="E16" s="62"/>
      <c r="F16" s="6"/>
      <c r="G16" s="63">
        <f t="shared" si="0"/>
        <v>0</v>
      </c>
      <c r="H16" s="62"/>
      <c r="I16" s="6"/>
      <c r="J16" s="63">
        <f t="shared" si="1"/>
        <v>0</v>
      </c>
      <c r="K16" s="63">
        <f t="shared" si="2"/>
        <v>0</v>
      </c>
      <c r="L16" s="155">
        <v>0</v>
      </c>
      <c r="M16" s="144">
        <f t="shared" si="3"/>
        <v>45515.885499999997</v>
      </c>
      <c r="N16" s="43"/>
      <c r="O16" s="5"/>
    </row>
    <row r="17" spans="1:15">
      <c r="A17" s="43">
        <v>14</v>
      </c>
      <c r="B17" s="212"/>
      <c r="C17" s="6"/>
      <c r="D17" s="6"/>
      <c r="E17" s="62"/>
      <c r="F17" s="6"/>
      <c r="G17" s="63">
        <f t="shared" si="0"/>
        <v>0</v>
      </c>
      <c r="H17" s="62"/>
      <c r="I17" s="6"/>
      <c r="J17" s="63">
        <f t="shared" si="1"/>
        <v>0</v>
      </c>
      <c r="K17" s="63">
        <f t="shared" si="2"/>
        <v>0</v>
      </c>
      <c r="L17" s="155">
        <v>0</v>
      </c>
      <c r="M17" s="144">
        <f t="shared" si="3"/>
        <v>45515.885499999997</v>
      </c>
      <c r="N17" s="43"/>
      <c r="O17" s="5"/>
    </row>
    <row r="18" spans="1:15">
      <c r="A18" s="43">
        <v>15</v>
      </c>
      <c r="B18" s="212" t="s">
        <v>289</v>
      </c>
      <c r="C18" s="6"/>
      <c r="D18" s="6"/>
      <c r="E18" s="62"/>
      <c r="F18" s="6"/>
      <c r="G18" s="63">
        <f t="shared" ref="G18:G19" si="4">E18*F18</f>
        <v>0</v>
      </c>
      <c r="H18" s="62"/>
      <c r="I18" s="6"/>
      <c r="J18" s="63">
        <f t="shared" si="1"/>
        <v>0</v>
      </c>
      <c r="K18" s="63">
        <f t="shared" si="2"/>
        <v>0</v>
      </c>
      <c r="L18" s="155">
        <v>40000</v>
      </c>
      <c r="M18" s="144">
        <f>M17+K18-L18</f>
        <v>5515.8854999999967</v>
      </c>
      <c r="N18" s="43"/>
      <c r="O18" s="5"/>
    </row>
    <row r="19" spans="1:15">
      <c r="A19" s="43">
        <v>16</v>
      </c>
      <c r="B19" s="212" t="s">
        <v>290</v>
      </c>
      <c r="C19" s="6"/>
      <c r="D19" s="6"/>
      <c r="E19" s="62">
        <v>110</v>
      </c>
      <c r="F19" s="6">
        <v>99.07</v>
      </c>
      <c r="G19" s="63">
        <f t="shared" si="4"/>
        <v>10897.699999999999</v>
      </c>
      <c r="H19" s="62"/>
      <c r="I19" s="6"/>
      <c r="J19" s="63">
        <f t="shared" si="1"/>
        <v>0</v>
      </c>
      <c r="K19" s="63">
        <f t="shared" si="2"/>
        <v>10897.699999999999</v>
      </c>
      <c r="L19" s="155">
        <v>0</v>
      </c>
      <c r="M19" s="144">
        <f t="shared" si="3"/>
        <v>16413.585499999994</v>
      </c>
      <c r="N19" s="43"/>
      <c r="O19" s="5"/>
    </row>
    <row r="20" spans="1:15">
      <c r="A20" s="43">
        <v>17</v>
      </c>
      <c r="B20" s="212" t="s">
        <v>291</v>
      </c>
      <c r="C20" s="6"/>
      <c r="D20" s="6"/>
      <c r="E20" s="62">
        <v>68.16</v>
      </c>
      <c r="F20" s="6">
        <v>99.07</v>
      </c>
      <c r="G20" s="63">
        <f>E20*F20</f>
        <v>6752.6111999999994</v>
      </c>
      <c r="H20" s="62"/>
      <c r="I20" s="6"/>
      <c r="J20" s="63">
        <f t="shared" si="1"/>
        <v>0</v>
      </c>
      <c r="K20" s="63">
        <f t="shared" si="2"/>
        <v>6752.6111999999994</v>
      </c>
      <c r="L20" s="155">
        <v>0</v>
      </c>
      <c r="M20" s="144">
        <f t="shared" si="3"/>
        <v>23166.196699999993</v>
      </c>
      <c r="N20" s="43"/>
      <c r="O20" s="5"/>
    </row>
    <row r="21" spans="1:15">
      <c r="A21" s="43">
        <v>18</v>
      </c>
      <c r="B21" s="212" t="s">
        <v>292</v>
      </c>
      <c r="C21" s="6"/>
      <c r="D21" s="6"/>
      <c r="E21" s="62">
        <v>96.19</v>
      </c>
      <c r="F21" s="6">
        <v>99.07</v>
      </c>
      <c r="G21" s="63">
        <f>E21*F21</f>
        <v>9529.5432999999994</v>
      </c>
      <c r="H21" s="62"/>
      <c r="I21" s="6"/>
      <c r="J21" s="63">
        <f>H21*I21</f>
        <v>0</v>
      </c>
      <c r="K21" s="63">
        <f>G21+J21</f>
        <v>9529.5432999999994</v>
      </c>
      <c r="L21" s="155">
        <v>0</v>
      </c>
      <c r="M21" s="144">
        <f>M20+K21-L21</f>
        <v>32695.739999999991</v>
      </c>
      <c r="N21" s="43"/>
      <c r="O21" s="5"/>
    </row>
    <row r="22" spans="1:15">
      <c r="A22" s="43"/>
      <c r="B22" s="212" t="s">
        <v>293</v>
      </c>
      <c r="C22" s="6"/>
      <c r="D22" s="6"/>
      <c r="E22" s="62"/>
      <c r="F22" s="6"/>
      <c r="G22" s="63"/>
      <c r="H22" s="62"/>
      <c r="I22" s="6"/>
      <c r="J22" s="63"/>
      <c r="K22" s="63"/>
      <c r="L22" s="155">
        <v>20000</v>
      </c>
      <c r="M22" s="144">
        <f>M21+K22-L22</f>
        <v>12695.739999999991</v>
      </c>
      <c r="N22" s="43"/>
      <c r="O22" s="5"/>
    </row>
    <row r="23" spans="1:15">
      <c r="A23" s="43">
        <v>19</v>
      </c>
      <c r="B23" s="212" t="s">
        <v>294</v>
      </c>
      <c r="C23" s="6"/>
      <c r="D23" s="6"/>
      <c r="E23" s="62">
        <v>110</v>
      </c>
      <c r="F23" s="6">
        <v>99.07</v>
      </c>
      <c r="G23" s="63">
        <f>E23*F23</f>
        <v>10897.699999999999</v>
      </c>
      <c r="H23" s="62"/>
      <c r="I23" s="6"/>
      <c r="J23" s="63">
        <f>H23*I23</f>
        <v>0</v>
      </c>
      <c r="K23" s="63">
        <f>G23+J23</f>
        <v>10897.699999999999</v>
      </c>
      <c r="L23" s="155">
        <v>0</v>
      </c>
      <c r="M23" s="144">
        <f t="shared" ref="M23:M35" si="5">M22+K23-L23</f>
        <v>23593.439999999988</v>
      </c>
      <c r="N23" s="43"/>
      <c r="O23" s="5"/>
    </row>
    <row r="24" spans="1:15">
      <c r="A24" s="43">
        <v>20</v>
      </c>
      <c r="B24" s="212"/>
      <c r="C24" s="6"/>
      <c r="D24" s="6"/>
      <c r="E24" s="62"/>
      <c r="F24" s="6"/>
      <c r="G24" s="63">
        <f>E24*F24</f>
        <v>0</v>
      </c>
      <c r="H24" s="62"/>
      <c r="I24" s="6"/>
      <c r="J24" s="63">
        <f>H24*I24</f>
        <v>0</v>
      </c>
      <c r="K24" s="63">
        <f>G24+J24</f>
        <v>0</v>
      </c>
      <c r="L24" s="155">
        <v>0</v>
      </c>
      <c r="M24" s="144">
        <f t="shared" si="5"/>
        <v>23593.439999999988</v>
      </c>
      <c r="N24" s="43"/>
      <c r="O24" s="5"/>
    </row>
    <row r="25" spans="1:15">
      <c r="A25" s="43">
        <v>21</v>
      </c>
      <c r="B25" s="212"/>
      <c r="C25" s="6"/>
      <c r="D25" s="6"/>
      <c r="E25" s="62"/>
      <c r="F25" s="6"/>
      <c r="G25" s="63">
        <f>E25*F25</f>
        <v>0</v>
      </c>
      <c r="H25" s="62"/>
      <c r="I25" s="6"/>
      <c r="J25" s="63">
        <f>H25*I25</f>
        <v>0</v>
      </c>
      <c r="K25" s="63">
        <f>G25+J25</f>
        <v>0</v>
      </c>
      <c r="L25" s="155">
        <v>0</v>
      </c>
      <c r="M25" s="144">
        <f t="shared" si="5"/>
        <v>23593.439999999988</v>
      </c>
      <c r="N25" s="43"/>
      <c r="O25" s="5"/>
    </row>
    <row r="26" spans="1:15">
      <c r="A26" s="43">
        <v>22</v>
      </c>
      <c r="B26" s="212"/>
      <c r="C26" s="6"/>
      <c r="D26" s="6"/>
      <c r="E26" s="62"/>
      <c r="F26" s="6"/>
      <c r="G26" s="63">
        <f>E26*F26</f>
        <v>0</v>
      </c>
      <c r="H26" s="62"/>
      <c r="I26" s="6"/>
      <c r="J26" s="63">
        <f>H26*I26</f>
        <v>0</v>
      </c>
      <c r="K26" s="63">
        <f>G26+J26</f>
        <v>0</v>
      </c>
      <c r="L26" s="155">
        <v>0</v>
      </c>
      <c r="M26" s="144">
        <f t="shared" si="5"/>
        <v>23593.439999999988</v>
      </c>
      <c r="N26" s="43"/>
      <c r="O26" s="5"/>
    </row>
    <row r="27" spans="1:15">
      <c r="A27" s="43">
        <v>23</v>
      </c>
      <c r="B27" s="212"/>
      <c r="C27" s="6"/>
      <c r="D27" s="6"/>
      <c r="E27" s="62"/>
      <c r="F27" s="6"/>
      <c r="G27" s="63">
        <f>E27*F27</f>
        <v>0</v>
      </c>
      <c r="H27" s="62"/>
      <c r="I27" s="6"/>
      <c r="J27" s="63">
        <f>H27*I27</f>
        <v>0</v>
      </c>
      <c r="K27" s="63">
        <f>G27+J27</f>
        <v>0</v>
      </c>
      <c r="L27" s="155">
        <v>0</v>
      </c>
      <c r="M27" s="144">
        <f t="shared" si="5"/>
        <v>23593.439999999988</v>
      </c>
      <c r="N27" s="43"/>
      <c r="O27" s="5"/>
    </row>
    <row r="28" spans="1:15">
      <c r="A28" s="43">
        <v>24</v>
      </c>
      <c r="B28" s="212"/>
      <c r="C28" s="6"/>
      <c r="D28" s="6"/>
      <c r="E28" s="62"/>
      <c r="F28" s="6"/>
      <c r="G28" s="63">
        <f>E28*F28</f>
        <v>0</v>
      </c>
      <c r="H28" s="62"/>
      <c r="I28" s="6"/>
      <c r="J28" s="63">
        <f>H28*I28</f>
        <v>0</v>
      </c>
      <c r="K28" s="63">
        <f>G28+J28</f>
        <v>0</v>
      </c>
      <c r="L28" s="155">
        <v>0</v>
      </c>
      <c r="M28" s="144">
        <f t="shared" si="5"/>
        <v>23593.439999999988</v>
      </c>
      <c r="N28" s="6"/>
      <c r="O28" s="5"/>
    </row>
    <row r="29" spans="1:15">
      <c r="A29" s="214">
        <v>25</v>
      </c>
      <c r="B29" s="212"/>
      <c r="C29" s="6"/>
      <c r="D29" s="6"/>
      <c r="E29" s="62"/>
      <c r="F29" s="6"/>
      <c r="G29" s="63">
        <f>E29*F29</f>
        <v>0</v>
      </c>
      <c r="H29" s="62"/>
      <c r="I29" s="6"/>
      <c r="J29" s="63">
        <f>H29*I29</f>
        <v>0</v>
      </c>
      <c r="K29" s="63">
        <f>G29+J29</f>
        <v>0</v>
      </c>
      <c r="L29" s="155">
        <v>0</v>
      </c>
      <c r="M29" s="144">
        <f t="shared" si="5"/>
        <v>23593.439999999988</v>
      </c>
      <c r="N29" s="6"/>
      <c r="O29" s="5"/>
    </row>
    <row r="30" spans="1:15">
      <c r="A30" s="214">
        <v>26</v>
      </c>
      <c r="B30" s="212"/>
      <c r="C30" s="6"/>
      <c r="D30" s="6"/>
      <c r="E30" s="62"/>
      <c r="F30" s="6"/>
      <c r="G30" s="63">
        <f>E30*F30</f>
        <v>0</v>
      </c>
      <c r="H30" s="62"/>
      <c r="I30" s="6"/>
      <c r="J30" s="63">
        <f>H30*I30</f>
        <v>0</v>
      </c>
      <c r="K30" s="63">
        <f>G30+J30</f>
        <v>0</v>
      </c>
      <c r="L30" s="155">
        <v>0</v>
      </c>
      <c r="M30" s="144">
        <f t="shared" si="5"/>
        <v>23593.439999999988</v>
      </c>
      <c r="N30" s="6"/>
      <c r="O30" s="5"/>
    </row>
    <row r="31" spans="1:15">
      <c r="A31" s="214">
        <v>27</v>
      </c>
      <c r="B31" s="212"/>
      <c r="C31" s="6"/>
      <c r="D31" s="6"/>
      <c r="E31" s="62"/>
      <c r="F31" s="6"/>
      <c r="G31" s="63">
        <f>E31*F31</f>
        <v>0</v>
      </c>
      <c r="H31" s="62"/>
      <c r="I31" s="6"/>
      <c r="J31" s="63">
        <f>H31*I31</f>
        <v>0</v>
      </c>
      <c r="K31" s="63">
        <f>G31+J31</f>
        <v>0</v>
      </c>
      <c r="L31" s="155">
        <v>0</v>
      </c>
      <c r="M31" s="144">
        <f t="shared" si="5"/>
        <v>23593.439999999988</v>
      </c>
      <c r="N31" s="6"/>
      <c r="O31" s="5"/>
    </row>
    <row r="32" spans="1:15">
      <c r="A32" s="214">
        <v>28</v>
      </c>
      <c r="B32" s="212"/>
      <c r="C32" s="6"/>
      <c r="D32" s="6"/>
      <c r="E32" s="62"/>
      <c r="F32" s="6"/>
      <c r="G32" s="63">
        <f>E32*F32</f>
        <v>0</v>
      </c>
      <c r="H32" s="62"/>
      <c r="I32" s="6"/>
      <c r="J32" s="63">
        <f>H32*I32</f>
        <v>0</v>
      </c>
      <c r="K32" s="63">
        <f>G32+J32</f>
        <v>0</v>
      </c>
      <c r="L32" s="155">
        <v>0</v>
      </c>
      <c r="M32" s="144">
        <f t="shared" si="5"/>
        <v>23593.439999999988</v>
      </c>
      <c r="N32" s="6"/>
      <c r="O32" s="5"/>
    </row>
    <row r="33" spans="1:15">
      <c r="A33" s="215">
        <v>29</v>
      </c>
      <c r="B33" s="212"/>
      <c r="C33" s="6"/>
      <c r="D33" s="6"/>
      <c r="E33" s="62"/>
      <c r="F33" s="6"/>
      <c r="G33" s="63">
        <f>E33*F33</f>
        <v>0</v>
      </c>
      <c r="H33" s="62"/>
      <c r="I33" s="6"/>
      <c r="J33" s="63">
        <f>H33*I33</f>
        <v>0</v>
      </c>
      <c r="K33" s="63">
        <f>G33+J33</f>
        <v>0</v>
      </c>
      <c r="L33" s="155">
        <v>0</v>
      </c>
      <c r="M33" s="144">
        <f t="shared" si="5"/>
        <v>23593.439999999988</v>
      </c>
      <c r="N33" s="6"/>
      <c r="O33" s="5"/>
    </row>
    <row r="34" spans="1:15">
      <c r="A34" s="215">
        <v>30</v>
      </c>
      <c r="B34" s="212"/>
      <c r="C34" s="6"/>
      <c r="D34" s="6"/>
      <c r="E34" s="62"/>
      <c r="F34" s="6"/>
      <c r="G34" s="63">
        <f>E34*F34</f>
        <v>0</v>
      </c>
      <c r="H34" s="62"/>
      <c r="I34" s="6"/>
      <c r="J34" s="63">
        <f>H34*I34</f>
        <v>0</v>
      </c>
      <c r="K34" s="63">
        <f>G34+J34</f>
        <v>0</v>
      </c>
      <c r="L34" s="155">
        <v>0</v>
      </c>
      <c r="M34" s="144">
        <f t="shared" si="5"/>
        <v>23593.439999999988</v>
      </c>
      <c r="N34" s="6"/>
      <c r="O34" s="5"/>
    </row>
    <row r="35" spans="1:15">
      <c r="A35" s="215">
        <v>31</v>
      </c>
      <c r="B35" s="212"/>
      <c r="C35" s="6"/>
      <c r="D35" s="6"/>
      <c r="E35" s="62"/>
      <c r="F35" s="6"/>
      <c r="G35" s="63">
        <f>E35*F35</f>
        <v>0</v>
      </c>
      <c r="H35" s="62"/>
      <c r="I35" s="6"/>
      <c r="J35" s="63">
        <f>H35*I35</f>
        <v>0</v>
      </c>
      <c r="K35" s="63">
        <f>G35+J35</f>
        <v>0</v>
      </c>
      <c r="L35" s="155">
        <v>0</v>
      </c>
      <c r="M35" s="144">
        <f t="shared" si="5"/>
        <v>23593.439999999988</v>
      </c>
      <c r="N35" s="6"/>
      <c r="O35" s="5"/>
    </row>
    <row r="36" spans="1:15">
      <c r="A36" s="59"/>
      <c r="B36" s="59"/>
      <c r="C36" s="59"/>
      <c r="D36" s="59"/>
      <c r="E36" s="60">
        <f>SUM(E4:E35)</f>
        <v>699.73</v>
      </c>
      <c r="F36" s="60"/>
      <c r="G36" s="60">
        <f>SUM(G4:G35)</f>
        <v>69322.251099999994</v>
      </c>
      <c r="H36" s="60">
        <f>SUM(H4:H35)</f>
        <v>5</v>
      </c>
      <c r="I36" s="60"/>
      <c r="J36" s="60">
        <f>SUM(J4:J35)</f>
        <v>603.20000000000005</v>
      </c>
      <c r="K36" s="60">
        <f>SUM(K4:K35)</f>
        <v>69925.451099999991</v>
      </c>
      <c r="L36" s="60">
        <f>SUM(L4:L35)</f>
        <v>60000</v>
      </c>
      <c r="M36" s="60"/>
      <c r="N36" s="60"/>
      <c r="O36" s="56"/>
    </row>
    <row r="37" spans="1:15">
      <c r="A37" s="5"/>
      <c r="B37" s="5"/>
      <c r="C37" s="5"/>
      <c r="D37" s="5"/>
      <c r="E37" s="5"/>
      <c r="F37" s="5"/>
      <c r="G37" s="99"/>
      <c r="H37" s="5"/>
      <c r="I37" s="5"/>
      <c r="J37" s="99"/>
      <c r="K37" s="5"/>
      <c r="L37" s="99"/>
      <c r="M37" s="99"/>
      <c r="N37" s="5"/>
      <c r="O37" s="5"/>
    </row>
    <row r="38" spans="1:15">
      <c r="A38" s="5"/>
      <c r="B38" s="5"/>
      <c r="C38" s="5"/>
      <c r="D38" s="5"/>
      <c r="E38" s="5"/>
      <c r="F38" s="5"/>
      <c r="G38" s="99"/>
      <c r="H38" s="5"/>
      <c r="I38" s="5"/>
      <c r="J38" s="99"/>
      <c r="K38" s="5"/>
      <c r="L38" s="99"/>
      <c r="M38" s="99"/>
      <c r="N38" s="5"/>
      <c r="O38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52"/>
  <sheetViews>
    <sheetView topLeftCell="A27" workbookViewId="0">
      <selection activeCell="L34" sqref="L34:M34"/>
    </sheetView>
  </sheetViews>
  <sheetFormatPr defaultRowHeight="15"/>
  <cols>
    <col min="2" max="2" width="10.85546875" bestFit="1" customWidth="1"/>
    <col min="4" max="4" width="11.5703125" customWidth="1"/>
    <col min="7" max="7" width="11.85546875" bestFit="1" customWidth="1"/>
    <col min="11" max="11" width="13.5703125" bestFit="1" customWidth="1"/>
    <col min="12" max="12" width="12.42578125" bestFit="1" customWidth="1"/>
    <col min="13" max="13" width="11.5703125" bestFit="1" customWidth="1"/>
    <col min="19" max="19" width="14.7109375" customWidth="1"/>
  </cols>
  <sheetData>
    <row r="1" spans="1:15" ht="15.75">
      <c r="A1" s="564" t="s">
        <v>155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"/>
    </row>
    <row r="2" spans="1:15" ht="45">
      <c r="A2" s="61" t="s">
        <v>0</v>
      </c>
      <c r="B2" s="80" t="s">
        <v>163</v>
      </c>
      <c r="C2" s="80" t="s">
        <v>164</v>
      </c>
      <c r="D2" s="80" t="s">
        <v>186</v>
      </c>
      <c r="E2" s="80" t="s">
        <v>166</v>
      </c>
      <c r="F2" s="80" t="s">
        <v>167</v>
      </c>
      <c r="G2" s="87" t="s">
        <v>168</v>
      </c>
      <c r="H2" s="80" t="s">
        <v>169</v>
      </c>
      <c r="I2" s="80" t="s">
        <v>167</v>
      </c>
      <c r="J2" s="87" t="s">
        <v>168</v>
      </c>
      <c r="K2" s="61" t="s">
        <v>170</v>
      </c>
      <c r="L2" s="88" t="s">
        <v>171</v>
      </c>
      <c r="M2" s="82" t="s">
        <v>187</v>
      </c>
      <c r="N2" s="80" t="s">
        <v>173</v>
      </c>
      <c r="O2" s="5"/>
    </row>
    <row r="3" spans="1:15">
      <c r="A3" s="590" t="s">
        <v>174</v>
      </c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3"/>
      <c r="M3" s="592">
        <v>159608.51110000009</v>
      </c>
      <c r="N3" s="594"/>
      <c r="O3" s="5"/>
    </row>
    <row r="4" spans="1:15">
      <c r="A4" s="189">
        <v>1</v>
      </c>
      <c r="B4" s="212">
        <v>46204</v>
      </c>
      <c r="C4" s="6"/>
      <c r="D4" s="6"/>
      <c r="E4" s="62">
        <v>89.009999999999991</v>
      </c>
      <c r="F4" s="6">
        <v>99.23</v>
      </c>
      <c r="G4" s="63">
        <f>E4*F4</f>
        <v>8832.4622999999992</v>
      </c>
      <c r="H4" s="62"/>
      <c r="I4" s="6"/>
      <c r="J4" s="63">
        <f>H4*I4</f>
        <v>0</v>
      </c>
      <c r="K4" s="63">
        <f>G4+J4</f>
        <v>8832.4622999999992</v>
      </c>
      <c r="L4" s="285">
        <v>0</v>
      </c>
      <c r="M4" s="144">
        <f>M3+K4-L4</f>
        <v>168440.97340000008</v>
      </c>
      <c r="N4" s="43"/>
      <c r="O4" s="5"/>
    </row>
    <row r="5" spans="1:15">
      <c r="A5" s="43">
        <v>2</v>
      </c>
      <c r="B5" s="212">
        <v>46205</v>
      </c>
      <c r="C5" s="6"/>
      <c r="D5" s="6"/>
      <c r="E5" s="62">
        <v>20.28</v>
      </c>
      <c r="F5" s="6">
        <v>99.23</v>
      </c>
      <c r="G5" s="63">
        <f t="shared" ref="G5:G34" si="0">E5*F5</f>
        <v>2012.3844000000001</v>
      </c>
      <c r="H5" s="62">
        <v>5</v>
      </c>
      <c r="I5" s="6">
        <v>111.32</v>
      </c>
      <c r="J5" s="63">
        <f t="shared" ref="J5:J34" si="1">H5*I5</f>
        <v>556.59999999999991</v>
      </c>
      <c r="K5" s="63">
        <f t="shared" ref="K5:K41" si="2">G5+J5</f>
        <v>2568.9844000000003</v>
      </c>
      <c r="L5" s="285">
        <v>0</v>
      </c>
      <c r="M5" s="144">
        <f t="shared" ref="M5:M49" si="3">M4+K5-L5</f>
        <v>171009.95780000006</v>
      </c>
      <c r="N5" s="43"/>
      <c r="O5" s="5"/>
    </row>
    <row r="6" spans="1:15">
      <c r="A6" s="43">
        <v>3</v>
      </c>
      <c r="B6" s="212">
        <v>46206</v>
      </c>
      <c r="C6" s="6"/>
      <c r="D6" s="6" t="s">
        <v>295</v>
      </c>
      <c r="E6" s="62"/>
      <c r="F6" s="6"/>
      <c r="G6" s="63">
        <f t="shared" si="0"/>
        <v>0</v>
      </c>
      <c r="I6" s="6"/>
      <c r="J6" s="63">
        <f>H6*I6</f>
        <v>0</v>
      </c>
      <c r="K6" s="63">
        <f t="shared" si="2"/>
        <v>0</v>
      </c>
      <c r="L6" s="285">
        <v>0</v>
      </c>
      <c r="M6" s="144">
        <f t="shared" si="3"/>
        <v>171009.95780000006</v>
      </c>
      <c r="N6" s="43"/>
      <c r="O6" s="5"/>
    </row>
    <row r="7" spans="1:15">
      <c r="A7" s="189">
        <v>4</v>
      </c>
      <c r="B7" s="212">
        <v>46207</v>
      </c>
      <c r="C7" s="6"/>
      <c r="D7" s="6"/>
      <c r="E7" s="62">
        <v>45</v>
      </c>
      <c r="F7" s="6">
        <v>99.23</v>
      </c>
      <c r="G7" s="63">
        <f t="shared" si="0"/>
        <v>4465.3500000000004</v>
      </c>
      <c r="H7" s="62"/>
      <c r="I7" s="6"/>
      <c r="J7" s="63">
        <f t="shared" si="1"/>
        <v>0</v>
      </c>
      <c r="K7" s="63">
        <f t="shared" si="2"/>
        <v>4465.3500000000004</v>
      </c>
      <c r="L7" s="285">
        <v>0</v>
      </c>
      <c r="M7" s="144">
        <f t="shared" si="3"/>
        <v>175475.30780000007</v>
      </c>
      <c r="N7" s="43"/>
      <c r="O7" s="5"/>
    </row>
    <row r="8" spans="1:15">
      <c r="A8" s="43">
        <v>5</v>
      </c>
      <c r="B8" s="212">
        <v>46208</v>
      </c>
      <c r="C8" s="6"/>
      <c r="D8" s="6"/>
      <c r="E8" s="62">
        <v>87</v>
      </c>
      <c r="F8" s="6">
        <v>99.23</v>
      </c>
      <c r="G8" s="63">
        <f t="shared" si="0"/>
        <v>8633.01</v>
      </c>
      <c r="H8" s="62"/>
      <c r="I8" s="6"/>
      <c r="J8" s="63">
        <f t="shared" si="1"/>
        <v>0</v>
      </c>
      <c r="K8" s="63">
        <f t="shared" si="2"/>
        <v>8633.01</v>
      </c>
      <c r="L8" s="285"/>
      <c r="M8" s="144">
        <f t="shared" si="3"/>
        <v>184108.31780000008</v>
      </c>
      <c r="N8" s="43"/>
      <c r="O8" s="5"/>
    </row>
    <row r="9" spans="1:15">
      <c r="A9" s="43">
        <v>6</v>
      </c>
      <c r="B9" s="212">
        <v>46209</v>
      </c>
      <c r="C9" s="6"/>
      <c r="D9" s="6"/>
      <c r="E9" s="62">
        <v>47.1</v>
      </c>
      <c r="F9" s="6">
        <v>99.23</v>
      </c>
      <c r="G9" s="63">
        <f t="shared" si="0"/>
        <v>4673.7330000000002</v>
      </c>
      <c r="H9" s="62">
        <v>5</v>
      </c>
      <c r="I9" s="6">
        <v>111.32</v>
      </c>
      <c r="J9" s="63">
        <f t="shared" si="1"/>
        <v>556.59999999999991</v>
      </c>
      <c r="K9" s="63">
        <f t="shared" si="2"/>
        <v>5230.3330000000005</v>
      </c>
      <c r="L9" s="285"/>
      <c r="M9" s="144">
        <f t="shared" si="3"/>
        <v>189338.65080000009</v>
      </c>
      <c r="N9" s="43"/>
      <c r="O9" s="5"/>
    </row>
    <row r="10" spans="1:15">
      <c r="A10" s="189">
        <v>7</v>
      </c>
      <c r="B10" s="212">
        <v>46210</v>
      </c>
      <c r="C10" s="6"/>
      <c r="D10" s="6"/>
      <c r="E10" s="62"/>
      <c r="F10" s="6"/>
      <c r="G10" s="63">
        <f t="shared" si="0"/>
        <v>0</v>
      </c>
      <c r="H10" s="62"/>
      <c r="I10" s="6"/>
      <c r="J10" s="63">
        <f t="shared" si="1"/>
        <v>0</v>
      </c>
      <c r="K10" s="63">
        <f t="shared" si="2"/>
        <v>0</v>
      </c>
      <c r="L10" s="285"/>
      <c r="M10" s="144">
        <f t="shared" si="3"/>
        <v>189338.65080000009</v>
      </c>
      <c r="N10" s="43"/>
      <c r="O10" s="5"/>
    </row>
    <row r="11" spans="1:15">
      <c r="A11" s="43">
        <v>8</v>
      </c>
      <c r="B11" s="212">
        <v>46211</v>
      </c>
      <c r="C11" s="6"/>
      <c r="D11" s="6"/>
      <c r="E11" s="62"/>
      <c r="F11" s="6"/>
      <c r="G11" s="63">
        <f t="shared" si="0"/>
        <v>0</v>
      </c>
      <c r="H11" s="62"/>
      <c r="I11" s="6"/>
      <c r="J11" s="63">
        <f>H11*I11</f>
        <v>0</v>
      </c>
      <c r="K11" s="63">
        <f t="shared" si="2"/>
        <v>0</v>
      </c>
      <c r="L11" s="285"/>
      <c r="M11" s="144">
        <f t="shared" si="3"/>
        <v>189338.65080000009</v>
      </c>
      <c r="N11" s="43"/>
      <c r="O11" s="5"/>
    </row>
    <row r="12" spans="1:15">
      <c r="A12" s="43">
        <v>9</v>
      </c>
      <c r="B12" s="212">
        <v>46212</v>
      </c>
      <c r="C12" s="6"/>
      <c r="D12" s="6"/>
      <c r="E12" s="62">
        <v>45.01</v>
      </c>
      <c r="F12" s="6">
        <v>99.23</v>
      </c>
      <c r="G12" s="63">
        <f t="shared" si="0"/>
        <v>4466.3423000000003</v>
      </c>
      <c r="H12" s="62"/>
      <c r="I12" s="6"/>
      <c r="J12" s="63">
        <f t="shared" si="1"/>
        <v>0</v>
      </c>
      <c r="K12" s="63">
        <f t="shared" si="2"/>
        <v>4466.3423000000003</v>
      </c>
      <c r="L12" s="285"/>
      <c r="M12" s="144">
        <f t="shared" si="3"/>
        <v>193804.99310000008</v>
      </c>
      <c r="N12" s="43"/>
      <c r="O12" s="5"/>
    </row>
    <row r="13" spans="1:15">
      <c r="A13" s="189">
        <v>10</v>
      </c>
      <c r="B13" s="212">
        <v>46213</v>
      </c>
      <c r="C13" s="6"/>
      <c r="D13" s="6"/>
      <c r="E13" s="62">
        <v>50</v>
      </c>
      <c r="F13" s="6">
        <v>99.23</v>
      </c>
      <c r="G13" s="63">
        <f t="shared" si="0"/>
        <v>4961.5</v>
      </c>
      <c r="H13" s="62"/>
      <c r="I13" s="6"/>
      <c r="J13" s="63">
        <f t="shared" si="1"/>
        <v>0</v>
      </c>
      <c r="K13" s="63">
        <f t="shared" si="2"/>
        <v>4961.5</v>
      </c>
      <c r="L13" s="285"/>
      <c r="M13" s="144">
        <f t="shared" si="3"/>
        <v>198766.49310000008</v>
      </c>
      <c r="N13" s="43"/>
      <c r="O13" s="5"/>
    </row>
    <row r="14" spans="1:15">
      <c r="A14" s="43">
        <v>11</v>
      </c>
      <c r="B14" s="212">
        <v>46214</v>
      </c>
      <c r="C14" s="6"/>
      <c r="D14" s="6"/>
      <c r="E14" s="62"/>
      <c r="F14" s="6"/>
      <c r="G14" s="63">
        <f t="shared" si="0"/>
        <v>0</v>
      </c>
      <c r="H14" s="62">
        <v>5</v>
      </c>
      <c r="I14" s="6">
        <v>111.32</v>
      </c>
      <c r="J14" s="63">
        <f t="shared" si="1"/>
        <v>556.59999999999991</v>
      </c>
      <c r="K14" s="63">
        <f t="shared" si="2"/>
        <v>556.59999999999991</v>
      </c>
      <c r="L14" s="285"/>
      <c r="M14" s="144">
        <f t="shared" si="3"/>
        <v>199323.09310000009</v>
      </c>
      <c r="N14" s="43"/>
      <c r="O14" s="5"/>
    </row>
    <row r="15" spans="1:15">
      <c r="A15" s="43"/>
      <c r="B15" s="212">
        <v>46215</v>
      </c>
      <c r="C15" s="6"/>
      <c r="D15" s="6"/>
      <c r="E15" s="62"/>
      <c r="F15" s="6"/>
      <c r="G15" s="63">
        <f t="shared" si="0"/>
        <v>0</v>
      </c>
      <c r="H15" s="62"/>
      <c r="I15" s="6"/>
      <c r="J15" s="63">
        <f t="shared" si="1"/>
        <v>0</v>
      </c>
      <c r="K15" s="63">
        <f t="shared" si="2"/>
        <v>0</v>
      </c>
      <c r="L15" s="285"/>
      <c r="M15" s="144">
        <f t="shared" si="3"/>
        <v>199323.09310000009</v>
      </c>
      <c r="N15" s="43"/>
      <c r="O15" s="5"/>
    </row>
    <row r="16" spans="1:15">
      <c r="A16" s="43">
        <v>12</v>
      </c>
      <c r="B16" s="212">
        <v>46216</v>
      </c>
      <c r="C16" s="6"/>
      <c r="D16" s="6"/>
      <c r="E16" s="62"/>
      <c r="F16" s="6"/>
      <c r="G16" s="63">
        <f t="shared" si="0"/>
        <v>0</v>
      </c>
      <c r="H16" s="62">
        <v>5</v>
      </c>
      <c r="I16" s="6">
        <v>120.75</v>
      </c>
      <c r="J16" s="63">
        <f t="shared" si="1"/>
        <v>603.75</v>
      </c>
      <c r="K16" s="63">
        <f t="shared" si="2"/>
        <v>603.75</v>
      </c>
      <c r="L16" s="285"/>
      <c r="M16" s="144">
        <f t="shared" si="3"/>
        <v>199926.84310000009</v>
      </c>
      <c r="N16" s="43"/>
      <c r="O16" s="5"/>
    </row>
    <row r="17" spans="1:15">
      <c r="A17" s="189">
        <v>13</v>
      </c>
      <c r="B17" s="212">
        <v>46217</v>
      </c>
      <c r="C17" s="6"/>
      <c r="D17" s="6"/>
      <c r="E17" s="62"/>
      <c r="F17" s="6"/>
      <c r="G17" s="63">
        <f t="shared" si="0"/>
        <v>0</v>
      </c>
      <c r="H17" s="62"/>
      <c r="I17" s="6"/>
      <c r="J17" s="63">
        <f t="shared" si="1"/>
        <v>0</v>
      </c>
      <c r="K17" s="63">
        <f t="shared" si="2"/>
        <v>0</v>
      </c>
      <c r="L17" s="285"/>
      <c r="M17" s="144">
        <f t="shared" si="3"/>
        <v>199926.84310000009</v>
      </c>
      <c r="N17" s="43"/>
      <c r="O17" s="5"/>
    </row>
    <row r="18" spans="1:15">
      <c r="A18" s="43">
        <v>14</v>
      </c>
      <c r="B18" s="212">
        <v>46218</v>
      </c>
      <c r="C18" s="6"/>
      <c r="D18" s="6"/>
      <c r="E18" s="299"/>
      <c r="F18" s="299"/>
      <c r="G18" s="63">
        <f t="shared" si="0"/>
        <v>0</v>
      </c>
      <c r="H18" s="62"/>
      <c r="I18" s="6"/>
      <c r="J18" s="63">
        <f t="shared" si="1"/>
        <v>0</v>
      </c>
      <c r="K18" s="63">
        <f t="shared" si="2"/>
        <v>0</v>
      </c>
      <c r="L18" s="285"/>
      <c r="M18" s="144">
        <f t="shared" si="3"/>
        <v>199926.84310000009</v>
      </c>
      <c r="N18" s="43"/>
      <c r="O18" s="5"/>
    </row>
    <row r="19" spans="1:15">
      <c r="A19" s="43"/>
      <c r="B19" s="212">
        <v>46219</v>
      </c>
      <c r="C19" s="6"/>
      <c r="D19" s="6"/>
      <c r="E19" s="299"/>
      <c r="F19" s="299"/>
      <c r="G19" s="63">
        <f t="shared" si="0"/>
        <v>0</v>
      </c>
      <c r="H19" s="62"/>
      <c r="I19" s="6"/>
      <c r="J19" s="63"/>
      <c r="K19" s="63">
        <f t="shared" si="2"/>
        <v>0</v>
      </c>
      <c r="L19" s="285"/>
      <c r="M19" s="144">
        <f t="shared" si="3"/>
        <v>199926.84310000009</v>
      </c>
      <c r="N19" s="43"/>
      <c r="O19" s="5"/>
    </row>
    <row r="20" spans="1:15">
      <c r="A20" s="43">
        <v>15</v>
      </c>
      <c r="B20" s="212">
        <v>46220</v>
      </c>
      <c r="C20" s="6"/>
      <c r="D20" s="6"/>
      <c r="E20" s="62">
        <v>215</v>
      </c>
      <c r="F20" s="6">
        <v>99.23</v>
      </c>
      <c r="G20" s="63">
        <f t="shared" si="0"/>
        <v>21334.45</v>
      </c>
      <c r="H20" s="62"/>
      <c r="I20" s="6"/>
      <c r="J20" s="63">
        <f t="shared" si="1"/>
        <v>0</v>
      </c>
      <c r="K20" s="63">
        <f t="shared" si="2"/>
        <v>21334.45</v>
      </c>
      <c r="L20" s="285"/>
      <c r="M20" s="144">
        <f t="shared" si="3"/>
        <v>221261.2931000001</v>
      </c>
      <c r="N20" s="43"/>
      <c r="O20" s="5"/>
    </row>
    <row r="21" spans="1:15">
      <c r="A21" s="189">
        <v>16</v>
      </c>
      <c r="B21" s="212">
        <v>46221</v>
      </c>
      <c r="C21" s="6"/>
      <c r="D21" s="6"/>
      <c r="E21" s="62"/>
      <c r="F21" s="6"/>
      <c r="G21" s="63">
        <f t="shared" si="0"/>
        <v>0</v>
      </c>
      <c r="H21" s="62"/>
      <c r="I21" s="6"/>
      <c r="J21" s="63">
        <f t="shared" si="1"/>
        <v>0</v>
      </c>
      <c r="K21" s="63">
        <f t="shared" si="2"/>
        <v>0</v>
      </c>
      <c r="L21" s="285"/>
      <c r="M21" s="144">
        <f t="shared" si="3"/>
        <v>221261.2931000001</v>
      </c>
      <c r="N21" s="43"/>
      <c r="O21" s="5"/>
    </row>
    <row r="22" spans="1:15">
      <c r="A22" s="43">
        <v>17</v>
      </c>
      <c r="B22" s="212">
        <v>46222</v>
      </c>
      <c r="C22" s="6"/>
      <c r="D22" s="6"/>
      <c r="E22" s="62">
        <v>85</v>
      </c>
      <c r="F22" s="6">
        <v>99.23</v>
      </c>
      <c r="G22" s="63">
        <f t="shared" si="0"/>
        <v>8434.5500000000011</v>
      </c>
      <c r="H22" s="62"/>
      <c r="I22" s="6"/>
      <c r="J22" s="63">
        <f t="shared" si="1"/>
        <v>0</v>
      </c>
      <c r="K22" s="63">
        <f t="shared" si="2"/>
        <v>8434.5500000000011</v>
      </c>
      <c r="L22" s="285"/>
      <c r="M22" s="144">
        <f t="shared" si="3"/>
        <v>229695.84310000009</v>
      </c>
      <c r="N22" s="43"/>
      <c r="O22" s="5"/>
    </row>
    <row r="23" spans="1:15">
      <c r="A23" s="43">
        <v>18</v>
      </c>
      <c r="B23" s="212">
        <v>46223</v>
      </c>
      <c r="C23" s="6"/>
      <c r="D23" s="6"/>
      <c r="E23" s="62">
        <v>287.83</v>
      </c>
      <c r="F23" s="6">
        <v>99.23</v>
      </c>
      <c r="G23" s="63">
        <f t="shared" si="0"/>
        <v>28561.370899999998</v>
      </c>
      <c r="H23" s="62">
        <v>5</v>
      </c>
      <c r="I23" s="6">
        <v>111.32</v>
      </c>
      <c r="J23" s="63">
        <f t="shared" si="1"/>
        <v>556.59999999999991</v>
      </c>
      <c r="K23" s="63">
        <f t="shared" si="2"/>
        <v>29117.970899999997</v>
      </c>
      <c r="L23" s="285"/>
      <c r="M23" s="144">
        <f t="shared" si="3"/>
        <v>258813.81400000007</v>
      </c>
      <c r="N23" s="43"/>
      <c r="O23" s="5"/>
    </row>
    <row r="24" spans="1:15">
      <c r="A24" s="189">
        <v>19</v>
      </c>
      <c r="B24" s="212">
        <v>46224</v>
      </c>
      <c r="C24" s="6"/>
      <c r="D24" s="6"/>
      <c r="E24" s="62"/>
      <c r="F24" s="6"/>
      <c r="G24" s="63">
        <f t="shared" si="0"/>
        <v>0</v>
      </c>
      <c r="H24" s="62">
        <v>5</v>
      </c>
      <c r="I24" s="6">
        <v>111.32</v>
      </c>
      <c r="J24" s="63">
        <f t="shared" si="1"/>
        <v>556.59999999999991</v>
      </c>
      <c r="K24" s="63">
        <f t="shared" si="2"/>
        <v>556.59999999999991</v>
      </c>
      <c r="L24" s="285"/>
      <c r="M24" s="144">
        <f t="shared" si="3"/>
        <v>259370.41400000008</v>
      </c>
      <c r="N24" s="43"/>
      <c r="O24" s="5"/>
    </row>
    <row r="25" spans="1:15">
      <c r="A25" s="43">
        <v>20</v>
      </c>
      <c r="B25" s="212">
        <v>46225</v>
      </c>
      <c r="C25" s="6"/>
      <c r="D25" s="6"/>
      <c r="E25" s="62">
        <v>148</v>
      </c>
      <c r="F25" s="6">
        <v>99.23</v>
      </c>
      <c r="G25" s="63">
        <f t="shared" si="0"/>
        <v>14686.04</v>
      </c>
      <c r="H25" s="62"/>
      <c r="I25" s="6"/>
      <c r="J25" s="63">
        <f t="shared" si="1"/>
        <v>0</v>
      </c>
      <c r="K25" s="63">
        <f t="shared" si="2"/>
        <v>14686.04</v>
      </c>
      <c r="L25" s="285"/>
      <c r="M25" s="144">
        <f t="shared" si="3"/>
        <v>274056.45400000009</v>
      </c>
      <c r="N25" s="43"/>
      <c r="O25" s="5"/>
    </row>
    <row r="26" spans="1:15">
      <c r="A26" s="43">
        <v>21</v>
      </c>
      <c r="B26" s="212">
        <v>46226</v>
      </c>
      <c r="C26" s="6"/>
      <c r="D26" s="6"/>
      <c r="E26" s="62">
        <v>75.92</v>
      </c>
      <c r="F26" s="6">
        <v>99.23</v>
      </c>
      <c r="G26" s="63">
        <f t="shared" si="0"/>
        <v>7533.5416000000005</v>
      </c>
      <c r="H26" s="62">
        <v>5</v>
      </c>
      <c r="I26" s="6">
        <v>111.32</v>
      </c>
      <c r="J26" s="63">
        <f t="shared" si="1"/>
        <v>556.59999999999991</v>
      </c>
      <c r="K26" s="63">
        <f t="shared" si="2"/>
        <v>8090.1416000000008</v>
      </c>
      <c r="L26" s="285"/>
      <c r="M26" s="144">
        <f t="shared" si="3"/>
        <v>282146.59560000006</v>
      </c>
      <c r="N26" s="43"/>
      <c r="O26" s="5"/>
    </row>
    <row r="27" spans="1:15">
      <c r="A27" s="189">
        <v>22</v>
      </c>
      <c r="B27" s="212">
        <v>46227</v>
      </c>
      <c r="C27" s="6"/>
      <c r="D27" s="6"/>
      <c r="E27" s="62"/>
      <c r="F27" s="6"/>
      <c r="G27" s="63">
        <f t="shared" si="0"/>
        <v>0</v>
      </c>
      <c r="H27" s="62"/>
      <c r="I27" s="6"/>
      <c r="J27" s="63">
        <f t="shared" si="1"/>
        <v>0</v>
      </c>
      <c r="K27" s="63">
        <f t="shared" si="2"/>
        <v>0</v>
      </c>
      <c r="L27" s="285"/>
      <c r="M27" s="144">
        <f t="shared" si="3"/>
        <v>282146.59560000006</v>
      </c>
      <c r="N27" s="43"/>
      <c r="O27" s="5"/>
    </row>
    <row r="28" spans="1:15">
      <c r="A28" s="43">
        <v>23</v>
      </c>
      <c r="B28" s="212">
        <v>46228</v>
      </c>
      <c r="C28" s="6"/>
      <c r="D28" s="6"/>
      <c r="E28" s="62">
        <v>88.61</v>
      </c>
      <c r="F28" s="6">
        <v>99.23</v>
      </c>
      <c r="G28" s="63">
        <f t="shared" si="0"/>
        <v>8792.7703000000001</v>
      </c>
      <c r="H28" s="62"/>
      <c r="I28" s="6"/>
      <c r="J28" s="63">
        <f t="shared" si="1"/>
        <v>0</v>
      </c>
      <c r="K28" s="63">
        <f t="shared" si="2"/>
        <v>8792.7703000000001</v>
      </c>
      <c r="L28" s="285"/>
      <c r="M28" s="144">
        <f t="shared" si="3"/>
        <v>290939.36590000003</v>
      </c>
      <c r="N28" s="43"/>
      <c r="O28" s="5"/>
    </row>
    <row r="29" spans="1:15">
      <c r="A29" s="43">
        <v>24</v>
      </c>
      <c r="B29" s="212">
        <v>46229</v>
      </c>
      <c r="C29" s="6"/>
      <c r="D29" s="6"/>
      <c r="E29" s="62">
        <v>40</v>
      </c>
      <c r="F29" s="6">
        <v>99.23</v>
      </c>
      <c r="G29" s="63">
        <f t="shared" si="0"/>
        <v>3969.2000000000003</v>
      </c>
      <c r="H29" s="62">
        <v>5</v>
      </c>
      <c r="I29" s="6">
        <v>111.32</v>
      </c>
      <c r="J29" s="63">
        <f t="shared" si="1"/>
        <v>556.59999999999991</v>
      </c>
      <c r="K29" s="63">
        <f t="shared" si="2"/>
        <v>4525.8</v>
      </c>
      <c r="L29" s="285"/>
      <c r="M29" s="144">
        <f t="shared" si="3"/>
        <v>295465.16590000002</v>
      </c>
      <c r="N29" s="43"/>
      <c r="O29" s="5"/>
    </row>
    <row r="30" spans="1:15">
      <c r="A30" s="189">
        <v>25</v>
      </c>
      <c r="B30" s="212">
        <v>46230</v>
      </c>
      <c r="C30" s="6"/>
      <c r="D30" s="6"/>
      <c r="E30" s="62">
        <v>88.02000000000001</v>
      </c>
      <c r="F30" s="6">
        <v>99.23</v>
      </c>
      <c r="G30" s="63">
        <f t="shared" si="0"/>
        <v>8734.2246000000014</v>
      </c>
      <c r="H30" s="62"/>
      <c r="I30" s="6"/>
      <c r="J30" s="63">
        <f t="shared" si="1"/>
        <v>0</v>
      </c>
      <c r="K30" s="63">
        <f t="shared" si="2"/>
        <v>8734.2246000000014</v>
      </c>
      <c r="L30" s="285"/>
      <c r="M30" s="144">
        <f t="shared" si="3"/>
        <v>304199.39050000004</v>
      </c>
      <c r="N30" s="43"/>
      <c r="O30" s="5"/>
    </row>
    <row r="31" spans="1:15">
      <c r="A31" s="43">
        <v>26</v>
      </c>
      <c r="B31" s="212">
        <v>46231</v>
      </c>
      <c r="C31" s="6"/>
      <c r="D31" s="6"/>
      <c r="E31" s="62">
        <v>98</v>
      </c>
      <c r="F31" s="6">
        <v>99.23</v>
      </c>
      <c r="G31" s="63">
        <f t="shared" si="0"/>
        <v>9724.5400000000009</v>
      </c>
      <c r="H31" s="62"/>
      <c r="I31" s="6"/>
      <c r="J31" s="63">
        <f t="shared" si="1"/>
        <v>0</v>
      </c>
      <c r="K31" s="63">
        <f t="shared" si="2"/>
        <v>9724.5400000000009</v>
      </c>
      <c r="L31" s="285"/>
      <c r="M31" s="144">
        <f t="shared" si="3"/>
        <v>313923.93050000002</v>
      </c>
      <c r="N31" s="43"/>
      <c r="O31" s="5"/>
    </row>
    <row r="32" spans="1:15">
      <c r="A32" s="43">
        <v>27</v>
      </c>
      <c r="B32" s="212">
        <v>46232</v>
      </c>
      <c r="C32" s="6"/>
      <c r="D32" s="6"/>
      <c r="E32" s="62">
        <v>96</v>
      </c>
      <c r="F32" s="6">
        <v>99.23</v>
      </c>
      <c r="G32" s="63">
        <f t="shared" si="0"/>
        <v>9526.08</v>
      </c>
      <c r="H32" s="62"/>
      <c r="I32" s="6"/>
      <c r="J32" s="63">
        <f t="shared" si="1"/>
        <v>0</v>
      </c>
      <c r="K32" s="63">
        <f t="shared" si="2"/>
        <v>9526.08</v>
      </c>
      <c r="L32" s="285"/>
      <c r="M32" s="144">
        <f t="shared" si="3"/>
        <v>323450.01050000003</v>
      </c>
      <c r="N32" s="43"/>
      <c r="O32" s="5"/>
    </row>
    <row r="33" spans="1:15">
      <c r="A33" s="189">
        <v>28</v>
      </c>
      <c r="B33" s="212">
        <v>46233</v>
      </c>
      <c r="C33" s="6"/>
      <c r="D33" s="6"/>
      <c r="E33" s="62">
        <v>59.43</v>
      </c>
      <c r="F33" s="6">
        <v>99.23</v>
      </c>
      <c r="G33" s="63">
        <f t="shared" si="0"/>
        <v>5897.2389000000003</v>
      </c>
      <c r="H33" s="62"/>
      <c r="I33" s="6"/>
      <c r="J33" s="63">
        <f t="shared" si="1"/>
        <v>0</v>
      </c>
      <c r="K33" s="63">
        <f t="shared" si="2"/>
        <v>5897.2389000000003</v>
      </c>
      <c r="L33" s="285">
        <v>0</v>
      </c>
      <c r="M33" s="144">
        <f t="shared" si="3"/>
        <v>329347.24940000003</v>
      </c>
      <c r="N33" s="43"/>
      <c r="O33" s="5"/>
    </row>
    <row r="34" spans="1:15">
      <c r="A34" s="43">
        <v>29</v>
      </c>
      <c r="B34" s="212">
        <v>46234</v>
      </c>
      <c r="C34" s="6"/>
      <c r="D34" s="6"/>
      <c r="E34" s="62">
        <v>50</v>
      </c>
      <c r="F34" s="6">
        <v>99.23</v>
      </c>
      <c r="G34" s="63">
        <f t="shared" si="0"/>
        <v>4961.5</v>
      </c>
      <c r="H34" s="62"/>
      <c r="I34" s="6"/>
      <c r="J34" s="63">
        <f t="shared" si="1"/>
        <v>0</v>
      </c>
      <c r="K34" s="63">
        <f t="shared" si="2"/>
        <v>4961.5</v>
      </c>
      <c r="L34" s="285">
        <v>150000</v>
      </c>
      <c r="M34" s="144">
        <f t="shared" si="3"/>
        <v>184308.74940000003</v>
      </c>
      <c r="N34" s="43"/>
      <c r="O34" s="5"/>
    </row>
    <row r="35" spans="1:15">
      <c r="A35" s="43">
        <v>30</v>
      </c>
      <c r="B35" s="212"/>
      <c r="C35" s="6"/>
      <c r="D35" s="6"/>
      <c r="E35" s="62"/>
      <c r="F35" s="6"/>
      <c r="G35" s="63">
        <f t="shared" ref="G5:G41" si="4">E35*F35</f>
        <v>0</v>
      </c>
      <c r="H35" s="62"/>
      <c r="I35" s="6"/>
      <c r="J35" s="63">
        <f t="shared" ref="J35:J41" si="5">H35*I35</f>
        <v>0</v>
      </c>
      <c r="K35" s="63">
        <f t="shared" si="2"/>
        <v>0</v>
      </c>
      <c r="L35" s="285">
        <v>0</v>
      </c>
      <c r="M35" s="144">
        <f t="shared" si="3"/>
        <v>184308.74940000003</v>
      </c>
      <c r="N35" s="43"/>
      <c r="O35" s="5"/>
    </row>
    <row r="36" spans="1:15">
      <c r="A36" s="189">
        <v>31</v>
      </c>
      <c r="B36" s="212"/>
      <c r="C36" s="6"/>
      <c r="D36" s="6"/>
      <c r="E36" s="62"/>
      <c r="F36" s="6"/>
      <c r="G36" s="63">
        <f t="shared" si="4"/>
        <v>0</v>
      </c>
      <c r="H36" s="62"/>
      <c r="I36" s="6"/>
      <c r="J36" s="63">
        <f t="shared" si="5"/>
        <v>0</v>
      </c>
      <c r="K36" s="63">
        <f t="shared" si="2"/>
        <v>0</v>
      </c>
      <c r="L36" s="285">
        <v>0</v>
      </c>
      <c r="M36" s="144">
        <f t="shared" si="3"/>
        <v>184308.74940000003</v>
      </c>
      <c r="N36" s="43"/>
      <c r="O36" s="5"/>
    </row>
    <row r="37" spans="1:15">
      <c r="A37" s="43">
        <v>32</v>
      </c>
      <c r="B37" s="212"/>
      <c r="C37" s="6"/>
      <c r="D37" s="6"/>
      <c r="E37" s="62"/>
      <c r="F37" s="6"/>
      <c r="G37" s="63">
        <f t="shared" si="4"/>
        <v>0</v>
      </c>
      <c r="H37" s="62"/>
      <c r="I37" s="6"/>
      <c r="J37" s="63">
        <f t="shared" si="5"/>
        <v>0</v>
      </c>
      <c r="K37" s="63">
        <f t="shared" si="2"/>
        <v>0</v>
      </c>
      <c r="L37" s="285">
        <v>0</v>
      </c>
      <c r="M37" s="144">
        <f t="shared" si="3"/>
        <v>184308.74940000003</v>
      </c>
      <c r="N37" s="43"/>
      <c r="O37" s="5"/>
    </row>
    <row r="38" spans="1:15">
      <c r="A38" s="43">
        <v>33</v>
      </c>
      <c r="B38" s="212"/>
      <c r="C38" s="6"/>
      <c r="D38" s="6"/>
      <c r="E38" s="62"/>
      <c r="F38" s="6"/>
      <c r="G38" s="63">
        <f t="shared" si="4"/>
        <v>0</v>
      </c>
      <c r="H38" s="62"/>
      <c r="I38" s="6"/>
      <c r="J38" s="63">
        <f t="shared" si="5"/>
        <v>0</v>
      </c>
      <c r="K38" s="63">
        <f t="shared" si="2"/>
        <v>0</v>
      </c>
      <c r="L38" s="285">
        <v>0</v>
      </c>
      <c r="M38" s="144">
        <f t="shared" si="3"/>
        <v>184308.74940000003</v>
      </c>
      <c r="N38" s="43"/>
      <c r="O38" s="5"/>
    </row>
    <row r="39" spans="1:15">
      <c r="A39" s="189">
        <v>34</v>
      </c>
      <c r="B39" s="212"/>
      <c r="C39" s="6"/>
      <c r="D39" s="6"/>
      <c r="E39" s="62"/>
      <c r="F39" s="6"/>
      <c r="G39" s="63">
        <f t="shared" si="4"/>
        <v>0</v>
      </c>
      <c r="H39" s="62"/>
      <c r="I39" s="6"/>
      <c r="J39" s="63">
        <f t="shared" si="5"/>
        <v>0</v>
      </c>
      <c r="K39" s="63">
        <f t="shared" si="2"/>
        <v>0</v>
      </c>
      <c r="L39" s="285">
        <v>0</v>
      </c>
      <c r="M39" s="144">
        <f t="shared" si="3"/>
        <v>184308.74940000003</v>
      </c>
      <c r="N39" s="43"/>
      <c r="O39" s="5"/>
    </row>
    <row r="40" spans="1:15">
      <c r="A40" s="43">
        <v>35</v>
      </c>
      <c r="B40" s="212"/>
      <c r="C40" s="6"/>
      <c r="D40" s="6"/>
      <c r="E40" s="62"/>
      <c r="F40" s="6"/>
      <c r="G40" s="63">
        <f t="shared" si="4"/>
        <v>0</v>
      </c>
      <c r="H40" s="62"/>
      <c r="I40" s="6"/>
      <c r="J40" s="63">
        <f t="shared" si="5"/>
        <v>0</v>
      </c>
      <c r="K40" s="63">
        <f t="shared" si="2"/>
        <v>0</v>
      </c>
      <c r="L40" s="285">
        <v>0</v>
      </c>
      <c r="M40" s="144">
        <f t="shared" si="3"/>
        <v>184308.74940000003</v>
      </c>
      <c r="N40" s="43"/>
      <c r="O40" s="5"/>
    </row>
    <row r="41" spans="1:15">
      <c r="A41" s="43">
        <v>36</v>
      </c>
      <c r="B41" s="212"/>
      <c r="C41" s="6"/>
      <c r="D41" s="6"/>
      <c r="E41" s="62"/>
      <c r="F41" s="6"/>
      <c r="G41" s="63">
        <f t="shared" si="4"/>
        <v>0</v>
      </c>
      <c r="H41" s="62"/>
      <c r="I41" s="6"/>
      <c r="J41" s="63">
        <f t="shared" si="5"/>
        <v>0</v>
      </c>
      <c r="K41" s="63">
        <f t="shared" si="2"/>
        <v>0</v>
      </c>
      <c r="L41" s="285">
        <v>0</v>
      </c>
      <c r="M41" s="144">
        <f t="shared" si="3"/>
        <v>184308.74940000003</v>
      </c>
      <c r="N41" s="6"/>
      <c r="O41" s="5"/>
    </row>
    <row r="42" spans="1:15">
      <c r="A42" s="189">
        <v>37</v>
      </c>
      <c r="B42" s="212"/>
      <c r="C42" s="6"/>
      <c r="D42" s="6"/>
      <c r="E42" s="62"/>
      <c r="F42" s="6"/>
      <c r="G42" s="63">
        <f t="shared" ref="G25:G49" si="6">E42*F42</f>
        <v>0</v>
      </c>
      <c r="H42" s="62"/>
      <c r="I42" s="6"/>
      <c r="J42" s="63">
        <f t="shared" ref="J25:J49" si="7">H42*I42</f>
        <v>0</v>
      </c>
      <c r="K42" s="63">
        <f t="shared" ref="K42:K49" si="8">G42+J42</f>
        <v>0</v>
      </c>
      <c r="L42" s="285">
        <v>0</v>
      </c>
      <c r="M42" s="144">
        <f t="shared" si="3"/>
        <v>184308.74940000003</v>
      </c>
      <c r="N42" s="6"/>
      <c r="O42" s="5"/>
    </row>
    <row r="43" spans="1:15">
      <c r="A43" s="43">
        <v>38</v>
      </c>
      <c r="B43" s="212"/>
      <c r="C43" s="6"/>
      <c r="D43" s="6"/>
      <c r="E43" s="62"/>
      <c r="F43" s="6"/>
      <c r="G43" s="63">
        <f t="shared" si="6"/>
        <v>0</v>
      </c>
      <c r="H43" s="62"/>
      <c r="I43" s="6"/>
      <c r="J43" s="63">
        <f t="shared" si="7"/>
        <v>0</v>
      </c>
      <c r="K43" s="63">
        <f t="shared" si="8"/>
        <v>0</v>
      </c>
      <c r="L43" s="285">
        <v>0</v>
      </c>
      <c r="M43" s="144">
        <f t="shared" si="3"/>
        <v>184308.74940000003</v>
      </c>
      <c r="N43" s="6"/>
      <c r="O43" s="5"/>
    </row>
    <row r="44" spans="1:15">
      <c r="A44" s="43">
        <v>39</v>
      </c>
      <c r="B44" s="212"/>
      <c r="C44" s="6"/>
      <c r="D44" s="6"/>
      <c r="E44" s="62"/>
      <c r="F44" s="6"/>
      <c r="G44" s="63">
        <f t="shared" si="6"/>
        <v>0</v>
      </c>
      <c r="H44" s="62"/>
      <c r="I44" s="6"/>
      <c r="J44" s="63">
        <f t="shared" si="7"/>
        <v>0</v>
      </c>
      <c r="K44" s="63">
        <f t="shared" si="8"/>
        <v>0</v>
      </c>
      <c r="L44" s="285">
        <v>0</v>
      </c>
      <c r="M44" s="144">
        <f t="shared" si="3"/>
        <v>184308.74940000003</v>
      </c>
      <c r="N44" s="6"/>
      <c r="O44" s="5"/>
    </row>
    <row r="45" spans="1:15">
      <c r="A45" s="189">
        <v>40</v>
      </c>
      <c r="B45" s="212"/>
      <c r="C45" s="6"/>
      <c r="D45" s="6"/>
      <c r="E45" s="62"/>
      <c r="F45" s="6"/>
      <c r="G45" s="63">
        <f t="shared" si="6"/>
        <v>0</v>
      </c>
      <c r="H45" s="62"/>
      <c r="I45" s="6"/>
      <c r="J45" s="63">
        <f t="shared" si="7"/>
        <v>0</v>
      </c>
      <c r="K45" s="63">
        <f t="shared" si="8"/>
        <v>0</v>
      </c>
      <c r="L45" s="285">
        <v>0</v>
      </c>
      <c r="M45" s="144">
        <f t="shared" si="3"/>
        <v>184308.74940000003</v>
      </c>
      <c r="N45" s="6"/>
      <c r="O45" s="5"/>
    </row>
    <row r="46" spans="1:15">
      <c r="A46" s="43">
        <v>41</v>
      </c>
      <c r="B46" s="163"/>
      <c r="C46" s="162"/>
      <c r="D46" s="6"/>
      <c r="E46" s="62"/>
      <c r="F46" s="6"/>
      <c r="G46" s="63">
        <f t="shared" si="6"/>
        <v>0</v>
      </c>
      <c r="H46" s="62"/>
      <c r="I46" s="6"/>
      <c r="J46" s="63">
        <f t="shared" si="7"/>
        <v>0</v>
      </c>
      <c r="K46" s="63">
        <f t="shared" si="8"/>
        <v>0</v>
      </c>
      <c r="L46" s="285">
        <v>0</v>
      </c>
      <c r="M46" s="144">
        <f t="shared" si="3"/>
        <v>184308.74940000003</v>
      </c>
      <c r="N46" s="162"/>
      <c r="O46" s="5"/>
    </row>
    <row r="47" spans="1:15">
      <c r="A47" s="43">
        <v>42</v>
      </c>
      <c r="B47" s="6"/>
      <c r="C47" s="6"/>
      <c r="D47" s="6"/>
      <c r="E47" s="62"/>
      <c r="F47" s="6"/>
      <c r="G47" s="63">
        <f t="shared" si="6"/>
        <v>0</v>
      </c>
      <c r="H47" s="62"/>
      <c r="I47" s="6"/>
      <c r="J47" s="63">
        <f t="shared" si="7"/>
        <v>0</v>
      </c>
      <c r="K47" s="63">
        <f t="shared" si="8"/>
        <v>0</v>
      </c>
      <c r="L47" s="285">
        <v>0</v>
      </c>
      <c r="M47" s="144">
        <f t="shared" si="3"/>
        <v>184308.74940000003</v>
      </c>
      <c r="N47" s="6"/>
      <c r="O47" s="5"/>
    </row>
    <row r="48" spans="1:15">
      <c r="A48" s="189">
        <v>43</v>
      </c>
      <c r="B48" s="162"/>
      <c r="C48" s="162"/>
      <c r="D48" s="6"/>
      <c r="E48" s="62"/>
      <c r="F48" s="6"/>
      <c r="G48" s="63">
        <f t="shared" si="6"/>
        <v>0</v>
      </c>
      <c r="H48" s="62"/>
      <c r="I48" s="6"/>
      <c r="J48" s="63">
        <f t="shared" si="7"/>
        <v>0</v>
      </c>
      <c r="K48" s="164">
        <f t="shared" si="8"/>
        <v>0</v>
      </c>
      <c r="L48" s="155"/>
      <c r="M48" s="144">
        <f t="shared" si="3"/>
        <v>184308.74940000003</v>
      </c>
      <c r="N48" s="162"/>
      <c r="O48" s="5"/>
    </row>
    <row r="49" spans="1:15">
      <c r="A49" s="43"/>
      <c r="B49" s="162"/>
      <c r="C49" s="162"/>
      <c r="D49" s="6"/>
      <c r="E49" s="62"/>
      <c r="F49" s="6"/>
      <c r="G49" s="63">
        <f t="shared" si="6"/>
        <v>0</v>
      </c>
      <c r="H49" s="62"/>
      <c r="I49" s="6"/>
      <c r="J49" s="63">
        <f t="shared" si="7"/>
        <v>0</v>
      </c>
      <c r="K49" s="164">
        <f t="shared" si="8"/>
        <v>0</v>
      </c>
      <c r="L49" s="165"/>
      <c r="M49" s="144">
        <f t="shared" si="3"/>
        <v>184308.74940000003</v>
      </c>
      <c r="N49" s="162"/>
      <c r="O49" s="5"/>
    </row>
    <row r="50" spans="1:15">
      <c r="A50" s="59"/>
      <c r="B50" s="59"/>
      <c r="C50" s="59"/>
      <c r="D50" s="59"/>
      <c r="E50" s="60">
        <f>SUM(E4:E49)</f>
        <v>1715.21</v>
      </c>
      <c r="F50" s="60"/>
      <c r="G50" s="60">
        <f>SUM(G4:G49)</f>
        <v>170200.28830000001</v>
      </c>
      <c r="H50" s="60">
        <f>SUM(H4:H49)</f>
        <v>40</v>
      </c>
      <c r="I50" s="60"/>
      <c r="J50" s="60">
        <f>SUM(J4:J49)</f>
        <v>4499.9499999999989</v>
      </c>
      <c r="K50" s="60">
        <f>SUM(K4:K49)</f>
        <v>174700.23830000003</v>
      </c>
      <c r="L50" s="60">
        <f>SUM(L4:L49)</f>
        <v>150000</v>
      </c>
      <c r="M50" s="60"/>
      <c r="N50" s="60"/>
      <c r="O50" s="56"/>
    </row>
    <row r="51" spans="1:15">
      <c r="A51" s="5"/>
      <c r="B51" s="5"/>
      <c r="C51" s="5"/>
      <c r="D51" s="5"/>
      <c r="E51" s="5"/>
      <c r="F51" s="5"/>
      <c r="G51" s="99"/>
      <c r="H51" s="5"/>
      <c r="I51" s="5"/>
      <c r="J51" s="99"/>
      <c r="K51" s="5"/>
      <c r="L51" s="99"/>
      <c r="M51" s="99"/>
      <c r="N51" s="5"/>
      <c r="O51" s="5"/>
    </row>
    <row r="52" spans="1:15">
      <c r="A52" s="5"/>
      <c r="B52" s="5"/>
      <c r="C52" s="5"/>
      <c r="D52" s="5"/>
      <c r="E52" s="5"/>
      <c r="F52" s="5"/>
      <c r="G52" s="99"/>
      <c r="H52" s="5"/>
      <c r="I52" s="5"/>
      <c r="J52" s="99"/>
      <c r="K52" s="5"/>
      <c r="L52" s="99"/>
      <c r="M52" s="99"/>
      <c r="N52" s="5"/>
      <c r="O52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A20" workbookViewId="0">
      <selection activeCell="M38" sqref="M38"/>
    </sheetView>
  </sheetViews>
  <sheetFormatPr defaultRowHeight="15"/>
  <cols>
    <col min="1" max="1" width="6.140625" customWidth="1"/>
    <col min="2" max="2" width="11.5703125" bestFit="1" customWidth="1"/>
    <col min="6" max="6" width="9.4257812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564" t="s">
        <v>157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"/>
    </row>
    <row r="2" spans="1:15" ht="45">
      <c r="A2" s="61" t="s">
        <v>0</v>
      </c>
      <c r="B2" s="80" t="s">
        <v>163</v>
      </c>
      <c r="C2" s="80" t="s">
        <v>164</v>
      </c>
      <c r="D2" s="80" t="s">
        <v>186</v>
      </c>
      <c r="E2" s="80" t="s">
        <v>166</v>
      </c>
      <c r="F2" s="80" t="s">
        <v>167</v>
      </c>
      <c r="G2" s="87" t="s">
        <v>168</v>
      </c>
      <c r="H2" s="80" t="s">
        <v>169</v>
      </c>
      <c r="I2" s="80" t="s">
        <v>167</v>
      </c>
      <c r="J2" s="87" t="s">
        <v>168</v>
      </c>
      <c r="K2" s="61" t="s">
        <v>170</v>
      </c>
      <c r="L2" s="88" t="s">
        <v>171</v>
      </c>
      <c r="M2" s="82" t="s">
        <v>187</v>
      </c>
      <c r="N2" s="80" t="s">
        <v>173</v>
      </c>
      <c r="O2" s="5"/>
    </row>
    <row r="3" spans="1:15">
      <c r="A3" s="590" t="s">
        <v>174</v>
      </c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3"/>
      <c r="M3" s="592">
        <v>69763.205799999996</v>
      </c>
      <c r="N3" s="594"/>
      <c r="O3" s="5"/>
    </row>
    <row r="4" spans="1:15">
      <c r="A4" s="189">
        <v>1</v>
      </c>
      <c r="B4" s="212">
        <v>46204</v>
      </c>
      <c r="C4" s="6"/>
      <c r="D4" s="6"/>
      <c r="E4" s="62"/>
      <c r="F4" s="6"/>
      <c r="G4" s="63">
        <f>E4*F4</f>
        <v>0</v>
      </c>
      <c r="H4" s="62"/>
      <c r="I4" s="6"/>
      <c r="J4" s="63">
        <f>H4*I4</f>
        <v>0</v>
      </c>
      <c r="K4" s="63">
        <f>G4+J4</f>
        <v>0</v>
      </c>
      <c r="L4" s="155"/>
      <c r="M4" s="288">
        <f>M3+K4-L4</f>
        <v>69763.205799999996</v>
      </c>
      <c r="N4" s="43"/>
      <c r="O4" s="5"/>
    </row>
    <row r="5" spans="1:15">
      <c r="A5" s="43">
        <v>2</v>
      </c>
      <c r="B5" s="212">
        <v>46205</v>
      </c>
      <c r="C5" s="6"/>
      <c r="D5" s="6"/>
      <c r="E5" s="62">
        <v>46.55</v>
      </c>
      <c r="F5" s="6">
        <v>99.28</v>
      </c>
      <c r="G5" s="63">
        <f t="shared" ref="G5:G34" si="0">E5*F5</f>
        <v>4621.4839999999995</v>
      </c>
      <c r="H5" s="62"/>
      <c r="I5" s="6"/>
      <c r="J5" s="63">
        <f t="shared" ref="J5:J41" si="1">H5*I5</f>
        <v>0</v>
      </c>
      <c r="K5" s="63">
        <f t="shared" ref="K5:L41" si="2">G5+J5</f>
        <v>4621.4839999999995</v>
      </c>
      <c r="L5" s="155"/>
      <c r="M5" s="288">
        <f t="shared" ref="M5:M18" si="3">M4+K5-L5</f>
        <v>74384.689799999993</v>
      </c>
      <c r="N5" s="43"/>
      <c r="O5" s="5"/>
    </row>
    <row r="6" spans="1:15">
      <c r="A6" s="43">
        <v>3</v>
      </c>
      <c r="B6" s="212">
        <v>46206</v>
      </c>
      <c r="C6" s="6"/>
      <c r="D6" s="6"/>
      <c r="E6" s="62">
        <v>5</v>
      </c>
      <c r="F6" s="6">
        <v>99.28</v>
      </c>
      <c r="G6" s="63">
        <f t="shared" si="0"/>
        <v>496.4</v>
      </c>
      <c r="H6" s="62">
        <v>6.28</v>
      </c>
      <c r="I6" s="6">
        <v>111.38</v>
      </c>
      <c r="J6" s="63">
        <f t="shared" si="1"/>
        <v>699.46640000000002</v>
      </c>
      <c r="K6" s="63">
        <f t="shared" si="2"/>
        <v>1195.8663999999999</v>
      </c>
      <c r="L6" s="155"/>
      <c r="M6" s="288">
        <f t="shared" si="3"/>
        <v>75580.556199999992</v>
      </c>
      <c r="N6" s="43"/>
      <c r="O6" s="5"/>
    </row>
    <row r="7" spans="1:15">
      <c r="A7" s="43">
        <v>4</v>
      </c>
      <c r="B7" s="212">
        <v>46207</v>
      </c>
      <c r="C7" s="162"/>
      <c r="D7" s="162"/>
      <c r="E7" s="62"/>
      <c r="F7" s="6"/>
      <c r="G7" s="63">
        <f t="shared" si="0"/>
        <v>0</v>
      </c>
      <c r="H7" s="6"/>
      <c r="I7" s="63"/>
      <c r="J7" s="63">
        <f t="shared" si="1"/>
        <v>0</v>
      </c>
      <c r="K7" s="63">
        <f t="shared" si="2"/>
        <v>0</v>
      </c>
      <c r="L7" s="155"/>
      <c r="M7" s="288">
        <f t="shared" si="3"/>
        <v>75580.556199999992</v>
      </c>
      <c r="N7" s="43"/>
      <c r="O7" s="5"/>
    </row>
    <row r="8" spans="1:15">
      <c r="A8" s="214">
        <v>5</v>
      </c>
      <c r="B8" s="212">
        <v>46208</v>
      </c>
      <c r="C8" s="6"/>
      <c r="D8" s="6"/>
      <c r="E8" s="62">
        <v>50</v>
      </c>
      <c r="F8" s="6">
        <v>99.28</v>
      </c>
      <c r="G8" s="63">
        <f t="shared" si="0"/>
        <v>4964</v>
      </c>
      <c r="H8" s="62">
        <v>5</v>
      </c>
      <c r="I8" s="6">
        <v>111.38</v>
      </c>
      <c r="J8" s="63">
        <f t="shared" si="1"/>
        <v>556.9</v>
      </c>
      <c r="K8" s="63">
        <f t="shared" si="2"/>
        <v>5520.9</v>
      </c>
      <c r="L8" s="155"/>
      <c r="M8" s="288">
        <f t="shared" si="3"/>
        <v>81101.456199999986</v>
      </c>
      <c r="N8" s="43"/>
      <c r="O8" s="5"/>
    </row>
    <row r="9" spans="1:15">
      <c r="A9" s="214">
        <v>6</v>
      </c>
      <c r="B9" s="212">
        <v>46209</v>
      </c>
      <c r="C9" s="6"/>
      <c r="D9" s="6"/>
      <c r="E9" s="62">
        <v>34.19</v>
      </c>
      <c r="F9" s="6">
        <v>99.28</v>
      </c>
      <c r="G9" s="63">
        <f t="shared" si="0"/>
        <v>3394.3831999999998</v>
      </c>
      <c r="H9" s="62"/>
      <c r="I9" s="6"/>
      <c r="J9" s="63">
        <f t="shared" si="1"/>
        <v>0</v>
      </c>
      <c r="K9" s="63">
        <f t="shared" si="2"/>
        <v>3394.3831999999998</v>
      </c>
      <c r="L9" s="155"/>
      <c r="M9" s="288">
        <f t="shared" si="3"/>
        <v>84495.839399999983</v>
      </c>
      <c r="N9" s="43"/>
      <c r="O9" s="5"/>
    </row>
    <row r="10" spans="1:15">
      <c r="A10" s="214">
        <v>7</v>
      </c>
      <c r="B10" s="212">
        <v>46210</v>
      </c>
      <c r="C10" s="6"/>
      <c r="D10" s="6"/>
      <c r="E10" s="62"/>
      <c r="F10" s="6"/>
      <c r="G10" s="63">
        <f t="shared" si="0"/>
        <v>0</v>
      </c>
      <c r="H10" s="62"/>
      <c r="I10" s="6"/>
      <c r="J10" s="63">
        <f t="shared" si="1"/>
        <v>0</v>
      </c>
      <c r="K10" s="63">
        <f t="shared" si="2"/>
        <v>0</v>
      </c>
      <c r="L10" s="155"/>
      <c r="M10" s="288">
        <f t="shared" si="3"/>
        <v>84495.839399999983</v>
      </c>
      <c r="N10" s="43"/>
      <c r="O10" s="5"/>
    </row>
    <row r="11" spans="1:15">
      <c r="A11" s="214">
        <v>8</v>
      </c>
      <c r="B11" s="212">
        <v>46211</v>
      </c>
      <c r="C11" s="6"/>
      <c r="D11" s="6"/>
      <c r="E11" s="62">
        <v>91</v>
      </c>
      <c r="F11" s="6">
        <v>99.28</v>
      </c>
      <c r="G11" s="63">
        <f t="shared" si="0"/>
        <v>9034.48</v>
      </c>
      <c r="H11" s="62"/>
      <c r="I11" s="6"/>
      <c r="J11" s="63">
        <f t="shared" si="1"/>
        <v>0</v>
      </c>
      <c r="K11" s="63">
        <f>G11+J11</f>
        <v>9034.48</v>
      </c>
      <c r="L11" s="155"/>
      <c r="M11" s="288">
        <f t="shared" si="3"/>
        <v>93530.319399999978</v>
      </c>
      <c r="N11" s="43"/>
      <c r="O11" s="5"/>
    </row>
    <row r="12" spans="1:15">
      <c r="A12" s="214">
        <v>9</v>
      </c>
      <c r="B12" s="212">
        <v>46212</v>
      </c>
      <c r="C12" s="6"/>
      <c r="D12" s="6"/>
      <c r="E12" s="62"/>
      <c r="F12" s="6"/>
      <c r="G12" s="63">
        <f t="shared" si="0"/>
        <v>0</v>
      </c>
      <c r="H12" s="62">
        <v>5</v>
      </c>
      <c r="I12" s="6">
        <v>111.38</v>
      </c>
      <c r="J12" s="63">
        <f t="shared" si="1"/>
        <v>556.9</v>
      </c>
      <c r="K12" s="63">
        <f>G12+J12</f>
        <v>556.9</v>
      </c>
      <c r="L12" s="155"/>
      <c r="M12" s="288">
        <f t="shared" si="3"/>
        <v>94087.219399999973</v>
      </c>
      <c r="N12" s="43"/>
      <c r="O12" s="5"/>
    </row>
    <row r="13" spans="1:15">
      <c r="A13" s="214">
        <v>10</v>
      </c>
      <c r="B13" s="212">
        <v>46213</v>
      </c>
      <c r="C13" s="6"/>
      <c r="D13" s="6"/>
      <c r="E13" s="62"/>
      <c r="F13" s="6"/>
      <c r="G13" s="63">
        <f t="shared" si="0"/>
        <v>0</v>
      </c>
      <c r="H13" s="62"/>
      <c r="I13" s="6"/>
      <c r="J13" s="63">
        <f t="shared" si="1"/>
        <v>0</v>
      </c>
      <c r="K13" s="63">
        <f>G13+J13</f>
        <v>0</v>
      </c>
      <c r="L13" s="155"/>
      <c r="M13" s="288">
        <f t="shared" si="3"/>
        <v>94087.219399999973</v>
      </c>
      <c r="N13" s="43"/>
      <c r="O13" s="5"/>
    </row>
    <row r="14" spans="1:15">
      <c r="A14" s="214">
        <v>11</v>
      </c>
      <c r="B14" s="212">
        <v>46214</v>
      </c>
      <c r="C14" s="6"/>
      <c r="D14" s="6"/>
      <c r="E14" s="62"/>
      <c r="F14" s="6"/>
      <c r="G14" s="63">
        <f t="shared" si="0"/>
        <v>0</v>
      </c>
      <c r="H14" s="62"/>
      <c r="I14" s="6"/>
      <c r="J14" s="63">
        <f t="shared" si="1"/>
        <v>0</v>
      </c>
      <c r="K14" s="63">
        <f t="shared" si="2"/>
        <v>0</v>
      </c>
      <c r="L14" s="155"/>
      <c r="M14" s="288">
        <f t="shared" si="3"/>
        <v>94087.219399999973</v>
      </c>
      <c r="N14" s="43"/>
      <c r="O14" s="5"/>
    </row>
    <row r="15" spans="1:15">
      <c r="A15" s="214">
        <v>12</v>
      </c>
      <c r="B15" s="212">
        <v>46215</v>
      </c>
      <c r="C15" s="6"/>
      <c r="D15" s="6"/>
      <c r="E15" s="62"/>
      <c r="F15" s="6"/>
      <c r="G15" s="63">
        <f t="shared" si="0"/>
        <v>0</v>
      </c>
      <c r="H15" s="62"/>
      <c r="I15" s="6"/>
      <c r="J15" s="63">
        <f t="shared" si="1"/>
        <v>0</v>
      </c>
      <c r="K15" s="63">
        <f t="shared" si="2"/>
        <v>0</v>
      </c>
      <c r="L15" s="155"/>
      <c r="M15" s="288">
        <f t="shared" si="3"/>
        <v>94087.219399999973</v>
      </c>
      <c r="N15" s="43"/>
      <c r="O15" s="5"/>
    </row>
    <row r="16" spans="1:15">
      <c r="A16" s="214">
        <v>13</v>
      </c>
      <c r="B16" s="212">
        <v>46216</v>
      </c>
      <c r="C16" s="6"/>
      <c r="D16" s="6"/>
      <c r="E16" s="62"/>
      <c r="F16" s="6"/>
      <c r="G16" s="63">
        <f t="shared" si="0"/>
        <v>0</v>
      </c>
      <c r="H16" s="62">
        <v>1.8</v>
      </c>
      <c r="I16" s="6">
        <v>111.09</v>
      </c>
      <c r="J16" s="63">
        <f t="shared" si="1"/>
        <v>199.96200000000002</v>
      </c>
      <c r="K16" s="63">
        <f t="shared" si="2"/>
        <v>199.96200000000002</v>
      </c>
      <c r="L16" s="63">
        <v>199.96200000000002</v>
      </c>
      <c r="M16" s="288">
        <f t="shared" si="3"/>
        <v>94087.219399999973</v>
      </c>
      <c r="N16" s="43"/>
      <c r="O16" s="5"/>
    </row>
    <row r="17" spans="1:15">
      <c r="A17" s="214">
        <v>14</v>
      </c>
      <c r="B17" s="212">
        <v>46217</v>
      </c>
      <c r="C17" s="6"/>
      <c r="D17" s="6"/>
      <c r="E17" s="62"/>
      <c r="F17" s="6"/>
      <c r="G17" s="63">
        <f t="shared" si="0"/>
        <v>0</v>
      </c>
      <c r="H17" s="62"/>
      <c r="I17" s="6"/>
      <c r="J17" s="63">
        <f t="shared" si="1"/>
        <v>0</v>
      </c>
      <c r="K17" s="63">
        <f t="shared" si="2"/>
        <v>0</v>
      </c>
      <c r="L17" s="155"/>
      <c r="M17" s="288">
        <f t="shared" si="3"/>
        <v>94087.219399999973</v>
      </c>
      <c r="N17" s="43"/>
      <c r="O17" s="5"/>
    </row>
    <row r="18" spans="1:15">
      <c r="A18" s="214">
        <v>15</v>
      </c>
      <c r="B18" s="212">
        <v>46218</v>
      </c>
      <c r="C18" s="6"/>
      <c r="D18" s="6"/>
      <c r="E18" s="62"/>
      <c r="F18" s="6"/>
      <c r="G18" s="63">
        <f t="shared" si="0"/>
        <v>0</v>
      </c>
      <c r="H18" s="62"/>
      <c r="I18" s="6"/>
      <c r="J18" s="63">
        <f t="shared" si="1"/>
        <v>0</v>
      </c>
      <c r="K18" s="63">
        <f t="shared" si="2"/>
        <v>0</v>
      </c>
      <c r="L18" s="155">
        <v>94000</v>
      </c>
      <c r="M18" s="288">
        <f t="shared" si="3"/>
        <v>87.219399999972666</v>
      </c>
      <c r="N18" s="43"/>
      <c r="O18" s="5"/>
    </row>
    <row r="19" spans="1:15">
      <c r="A19" s="214">
        <v>16</v>
      </c>
      <c r="B19" s="212">
        <v>46219</v>
      </c>
      <c r="C19" s="6"/>
      <c r="D19" s="6"/>
      <c r="E19" s="62"/>
      <c r="F19" s="6"/>
      <c r="G19" s="63">
        <f t="shared" si="0"/>
        <v>0</v>
      </c>
      <c r="H19" s="62">
        <v>5</v>
      </c>
      <c r="I19" s="6">
        <v>111.09</v>
      </c>
      <c r="J19" s="63">
        <f t="shared" si="1"/>
        <v>555.45000000000005</v>
      </c>
      <c r="K19" s="63">
        <f t="shared" si="2"/>
        <v>555.45000000000005</v>
      </c>
      <c r="L19" s="155"/>
      <c r="M19" s="289">
        <f t="shared" ref="M15:M42" si="4">M18+K19-L19</f>
        <v>642.66939999997271</v>
      </c>
      <c r="N19" s="43"/>
      <c r="O19" s="5"/>
    </row>
    <row r="20" spans="1:15">
      <c r="A20" s="214">
        <v>17</v>
      </c>
      <c r="B20" s="212">
        <v>46220</v>
      </c>
      <c r="C20" s="6"/>
      <c r="D20" s="6"/>
      <c r="E20" s="62"/>
      <c r="F20" s="6"/>
      <c r="G20" s="63">
        <f t="shared" si="0"/>
        <v>0</v>
      </c>
      <c r="H20" s="62">
        <v>5.55</v>
      </c>
      <c r="I20" s="6">
        <v>111.09</v>
      </c>
      <c r="J20" s="63">
        <f t="shared" si="1"/>
        <v>616.54949999999997</v>
      </c>
      <c r="K20" s="63">
        <f t="shared" si="2"/>
        <v>616.54949999999997</v>
      </c>
      <c r="L20" s="155"/>
      <c r="M20" s="289">
        <f t="shared" si="4"/>
        <v>1259.2188999999726</v>
      </c>
      <c r="N20" s="43"/>
      <c r="O20" s="5"/>
    </row>
    <row r="21" spans="1:15">
      <c r="A21" s="214">
        <v>18</v>
      </c>
      <c r="B21" s="212">
        <v>46221</v>
      </c>
      <c r="C21" s="6"/>
      <c r="D21" s="6"/>
      <c r="E21" s="62"/>
      <c r="F21" s="6"/>
      <c r="G21" s="63">
        <f t="shared" si="0"/>
        <v>0</v>
      </c>
      <c r="H21" s="62"/>
      <c r="I21" s="6"/>
      <c r="J21" s="63">
        <f t="shared" si="1"/>
        <v>0</v>
      </c>
      <c r="K21" s="63">
        <f t="shared" si="2"/>
        <v>0</v>
      </c>
      <c r="L21" s="155"/>
      <c r="M21" s="289">
        <f t="shared" si="4"/>
        <v>1259.2188999999726</v>
      </c>
      <c r="N21" s="43"/>
      <c r="O21" s="5"/>
    </row>
    <row r="22" spans="1:15">
      <c r="A22" s="214">
        <v>19</v>
      </c>
      <c r="B22" s="212">
        <v>46222</v>
      </c>
      <c r="C22" s="6"/>
      <c r="D22" s="6"/>
      <c r="E22" s="62">
        <v>43.01</v>
      </c>
      <c r="F22" s="6">
        <v>99.28</v>
      </c>
      <c r="G22" s="63">
        <f t="shared" si="0"/>
        <v>4270.0328</v>
      </c>
      <c r="H22" s="62">
        <v>5</v>
      </c>
      <c r="I22" s="6">
        <v>111.09</v>
      </c>
      <c r="J22" s="63">
        <f t="shared" si="1"/>
        <v>555.45000000000005</v>
      </c>
      <c r="K22" s="63">
        <f t="shared" si="2"/>
        <v>4825.4827999999998</v>
      </c>
      <c r="L22" s="155"/>
      <c r="M22" s="289">
        <f t="shared" si="4"/>
        <v>6084.7016999999723</v>
      </c>
      <c r="N22" s="43"/>
      <c r="O22" s="5"/>
    </row>
    <row r="23" spans="1:15">
      <c r="A23" s="214">
        <v>20</v>
      </c>
      <c r="B23" s="212">
        <v>46223</v>
      </c>
      <c r="C23" s="6"/>
      <c r="D23" s="6"/>
      <c r="E23" s="62"/>
      <c r="F23" s="6"/>
      <c r="G23" s="63">
        <f t="shared" si="0"/>
        <v>0</v>
      </c>
      <c r="H23" s="62"/>
      <c r="I23" s="6"/>
      <c r="J23" s="63">
        <f t="shared" si="1"/>
        <v>0</v>
      </c>
      <c r="K23" s="63">
        <f t="shared" si="2"/>
        <v>0</v>
      </c>
      <c r="L23" s="155"/>
      <c r="M23" s="289">
        <f t="shared" si="4"/>
        <v>6084.7016999999723</v>
      </c>
      <c r="N23" s="43"/>
      <c r="O23" s="5"/>
    </row>
    <row r="24" spans="1:15">
      <c r="A24" s="214">
        <v>21</v>
      </c>
      <c r="B24" s="212">
        <v>46224</v>
      </c>
      <c r="C24" s="6"/>
      <c r="D24" s="6"/>
      <c r="E24" s="62"/>
      <c r="F24" s="6"/>
      <c r="G24" s="63">
        <f t="shared" si="0"/>
        <v>0</v>
      </c>
      <c r="H24" s="62"/>
      <c r="I24" s="6"/>
      <c r="J24" s="63">
        <f t="shared" si="1"/>
        <v>0</v>
      </c>
      <c r="K24" s="63">
        <f t="shared" si="2"/>
        <v>0</v>
      </c>
      <c r="L24" s="155"/>
      <c r="M24" s="289">
        <f t="shared" si="4"/>
        <v>6084.7016999999723</v>
      </c>
      <c r="N24" s="43"/>
      <c r="O24" s="5"/>
    </row>
    <row r="25" spans="1:15">
      <c r="A25" s="43">
        <v>22</v>
      </c>
      <c r="B25" s="212">
        <v>46225</v>
      </c>
      <c r="C25" s="314"/>
      <c r="D25" s="314"/>
      <c r="E25" s="62">
        <v>29.22</v>
      </c>
      <c r="F25" s="6">
        <v>99.28</v>
      </c>
      <c r="G25" s="63">
        <f t="shared" si="0"/>
        <v>2900.9616000000001</v>
      </c>
      <c r="H25" s="62"/>
      <c r="I25" s="6"/>
      <c r="J25" s="63">
        <f t="shared" si="1"/>
        <v>0</v>
      </c>
      <c r="K25" s="63">
        <f t="shared" si="2"/>
        <v>2900.9616000000001</v>
      </c>
      <c r="L25" s="155"/>
      <c r="M25" s="252">
        <f t="shared" si="4"/>
        <v>8985.6632999999729</v>
      </c>
      <c r="N25" s="43"/>
      <c r="O25" s="5"/>
    </row>
    <row r="26" spans="1:15">
      <c r="A26" s="43">
        <v>23</v>
      </c>
      <c r="B26" s="212">
        <v>46226</v>
      </c>
      <c r="C26" s="6"/>
      <c r="D26" s="6"/>
      <c r="E26" s="62">
        <v>50</v>
      </c>
      <c r="F26" s="6">
        <v>99.28</v>
      </c>
      <c r="G26" s="63">
        <f t="shared" si="0"/>
        <v>4964</v>
      </c>
      <c r="H26" s="62"/>
      <c r="I26" s="6"/>
      <c r="J26" s="63">
        <f t="shared" si="1"/>
        <v>0</v>
      </c>
      <c r="K26" s="63">
        <f t="shared" si="2"/>
        <v>4964</v>
      </c>
      <c r="L26" s="155"/>
      <c r="M26" s="252">
        <f t="shared" si="4"/>
        <v>13949.663299999973</v>
      </c>
      <c r="N26" s="6"/>
      <c r="O26" s="5"/>
    </row>
    <row r="27" spans="1:15">
      <c r="A27" s="43">
        <v>24</v>
      </c>
      <c r="B27" s="212">
        <v>46227</v>
      </c>
      <c r="C27" s="6"/>
      <c r="D27" s="6"/>
      <c r="E27" s="62">
        <v>122.1</v>
      </c>
      <c r="F27" s="6">
        <v>99.28</v>
      </c>
      <c r="G27" s="63">
        <f t="shared" si="0"/>
        <v>12122.088</v>
      </c>
      <c r="H27" s="62">
        <v>5.0999999999999996</v>
      </c>
      <c r="I27" s="6">
        <v>111.09</v>
      </c>
      <c r="J27" s="63">
        <f t="shared" si="1"/>
        <v>566.55899999999997</v>
      </c>
      <c r="K27" s="63">
        <f t="shared" si="2"/>
        <v>12688.646999999999</v>
      </c>
      <c r="L27" s="155"/>
      <c r="M27" s="252">
        <f t="shared" si="4"/>
        <v>26638.310299999972</v>
      </c>
      <c r="N27" s="6"/>
      <c r="O27" s="5"/>
    </row>
    <row r="28" spans="1:15">
      <c r="A28" s="214">
        <v>25</v>
      </c>
      <c r="B28" s="212">
        <v>46228</v>
      </c>
      <c r="C28" s="6"/>
      <c r="D28" s="6"/>
      <c r="E28" s="62"/>
      <c r="F28" s="6"/>
      <c r="G28" s="63">
        <f t="shared" si="0"/>
        <v>0</v>
      </c>
      <c r="H28" s="62">
        <v>5</v>
      </c>
      <c r="I28" s="6">
        <v>111.09</v>
      </c>
      <c r="J28" s="63">
        <f t="shared" si="1"/>
        <v>555.45000000000005</v>
      </c>
      <c r="K28" s="63">
        <f t="shared" si="2"/>
        <v>555.45000000000005</v>
      </c>
      <c r="L28" s="155"/>
      <c r="M28" s="252">
        <f t="shared" si="4"/>
        <v>27193.760299999973</v>
      </c>
      <c r="N28" s="6"/>
      <c r="O28" s="5"/>
    </row>
    <row r="29" spans="1:15">
      <c r="A29" s="214">
        <v>26</v>
      </c>
      <c r="B29" s="212">
        <v>46229</v>
      </c>
      <c r="C29" s="6"/>
      <c r="D29" s="6"/>
      <c r="E29" s="62"/>
      <c r="F29" s="6"/>
      <c r="G29" s="63">
        <f t="shared" si="0"/>
        <v>0</v>
      </c>
      <c r="H29" s="62"/>
      <c r="I29" s="6"/>
      <c r="J29" s="63">
        <f t="shared" si="1"/>
        <v>0</v>
      </c>
      <c r="K29" s="63">
        <f t="shared" si="2"/>
        <v>0</v>
      </c>
      <c r="L29" s="155"/>
      <c r="M29" s="252">
        <f t="shared" si="4"/>
        <v>27193.760299999973</v>
      </c>
      <c r="N29" s="6"/>
      <c r="O29" s="5"/>
    </row>
    <row r="30" spans="1:15">
      <c r="A30" s="214">
        <v>27</v>
      </c>
      <c r="B30" s="212">
        <v>46230</v>
      </c>
      <c r="C30" s="6"/>
      <c r="D30" s="6"/>
      <c r="E30" s="62"/>
      <c r="F30" s="6"/>
      <c r="G30" s="63">
        <f t="shared" si="0"/>
        <v>0</v>
      </c>
      <c r="H30" s="62"/>
      <c r="I30" s="6"/>
      <c r="J30" s="63">
        <f t="shared" si="1"/>
        <v>0</v>
      </c>
      <c r="K30" s="63">
        <f t="shared" si="2"/>
        <v>0</v>
      </c>
      <c r="L30" s="155"/>
      <c r="M30" s="252">
        <f t="shared" si="4"/>
        <v>27193.760299999973</v>
      </c>
      <c r="N30" s="6"/>
      <c r="O30" s="5"/>
    </row>
    <row r="31" spans="1:15">
      <c r="A31" s="214">
        <v>28</v>
      </c>
      <c r="B31" s="212">
        <v>46231</v>
      </c>
      <c r="C31" s="6"/>
      <c r="D31" s="6"/>
      <c r="E31" s="62"/>
      <c r="F31" s="6"/>
      <c r="G31" s="63">
        <f t="shared" si="0"/>
        <v>0</v>
      </c>
      <c r="H31" s="62"/>
      <c r="I31" s="6"/>
      <c r="J31" s="63">
        <f t="shared" si="1"/>
        <v>0</v>
      </c>
      <c r="K31" s="63">
        <f t="shared" si="2"/>
        <v>0</v>
      </c>
      <c r="L31" s="155"/>
      <c r="M31" s="252">
        <f t="shared" si="4"/>
        <v>27193.760299999973</v>
      </c>
      <c r="N31" s="6"/>
      <c r="O31" s="5"/>
    </row>
    <row r="32" spans="1:15">
      <c r="A32" s="215">
        <v>29</v>
      </c>
      <c r="B32" s="212">
        <v>46232</v>
      </c>
      <c r="C32" s="6"/>
      <c r="D32" s="6"/>
      <c r="E32" s="62"/>
      <c r="F32" s="6"/>
      <c r="G32" s="63">
        <f t="shared" si="0"/>
        <v>0</v>
      </c>
      <c r="H32" s="6"/>
      <c r="I32" s="63"/>
      <c r="J32" s="63">
        <f t="shared" si="1"/>
        <v>0</v>
      </c>
      <c r="K32" s="63">
        <f t="shared" si="2"/>
        <v>0</v>
      </c>
      <c r="L32" s="155"/>
      <c r="M32" s="252">
        <f t="shared" si="4"/>
        <v>27193.760299999973</v>
      </c>
      <c r="N32" s="6"/>
      <c r="O32" s="5"/>
    </row>
    <row r="33" spans="1:15">
      <c r="A33" s="215">
        <v>30</v>
      </c>
      <c r="B33" s="212">
        <v>46233</v>
      </c>
      <c r="C33" s="6"/>
      <c r="D33" s="6"/>
      <c r="E33" s="62"/>
      <c r="F33" s="6"/>
      <c r="G33" s="63">
        <f t="shared" si="0"/>
        <v>0</v>
      </c>
      <c r="H33" s="62">
        <v>7</v>
      </c>
      <c r="I33" s="6">
        <v>111.38</v>
      </c>
      <c r="J33" s="63">
        <f t="shared" si="1"/>
        <v>779.66</v>
      </c>
      <c r="K33" s="63">
        <f t="shared" si="2"/>
        <v>779.66</v>
      </c>
      <c r="L33" s="155"/>
      <c r="M33" s="252">
        <f t="shared" si="4"/>
        <v>27973.420299999972</v>
      </c>
      <c r="N33" s="6"/>
      <c r="O33" s="5"/>
    </row>
    <row r="34" spans="1:15">
      <c r="A34" s="215">
        <v>31</v>
      </c>
      <c r="B34" s="212">
        <v>46234</v>
      </c>
      <c r="C34" s="6"/>
      <c r="D34" s="6"/>
      <c r="E34" s="62"/>
      <c r="F34" s="6"/>
      <c r="G34" s="63">
        <f t="shared" si="0"/>
        <v>0</v>
      </c>
      <c r="H34" s="62">
        <v>5</v>
      </c>
      <c r="I34" s="6">
        <v>111.38</v>
      </c>
      <c r="J34" s="63">
        <f t="shared" si="1"/>
        <v>556.9</v>
      </c>
      <c r="K34" s="63">
        <f t="shared" si="2"/>
        <v>556.9</v>
      </c>
      <c r="L34" s="155"/>
      <c r="M34" s="252">
        <f t="shared" si="4"/>
        <v>28530.320299999974</v>
      </c>
      <c r="N34" s="6"/>
      <c r="O34" s="5"/>
    </row>
    <row r="35" spans="1:15">
      <c r="A35" s="6">
        <v>35</v>
      </c>
      <c r="B35" s="75"/>
      <c r="C35" s="6"/>
      <c r="D35" s="6"/>
      <c r="E35" s="62"/>
      <c r="F35" s="6"/>
      <c r="G35" s="63">
        <v>0</v>
      </c>
      <c r="H35" s="62"/>
      <c r="I35" s="6"/>
      <c r="J35" s="63">
        <f t="shared" si="1"/>
        <v>0</v>
      </c>
      <c r="K35" s="63">
        <f t="shared" si="2"/>
        <v>0</v>
      </c>
      <c r="L35" s="155"/>
      <c r="M35" s="252">
        <f t="shared" si="4"/>
        <v>28530.320299999974</v>
      </c>
      <c r="N35" s="6"/>
      <c r="O35" s="5"/>
    </row>
    <row r="36" spans="1:15">
      <c r="A36" s="6">
        <v>36</v>
      </c>
      <c r="B36" s="75"/>
      <c r="C36" s="6"/>
      <c r="D36" s="6"/>
      <c r="E36" s="62"/>
      <c r="F36" s="6"/>
      <c r="G36" s="63">
        <v>0</v>
      </c>
      <c r="H36" s="62"/>
      <c r="I36" s="6"/>
      <c r="J36" s="63">
        <f t="shared" si="1"/>
        <v>0</v>
      </c>
      <c r="K36" s="63">
        <f t="shared" si="2"/>
        <v>0</v>
      </c>
      <c r="L36" s="155"/>
      <c r="M36" s="252">
        <f t="shared" si="4"/>
        <v>28530.320299999974</v>
      </c>
      <c r="N36" s="6"/>
      <c r="O36" s="5"/>
    </row>
    <row r="37" spans="1:15">
      <c r="A37" s="6">
        <v>37</v>
      </c>
      <c r="B37" s="75"/>
      <c r="C37" s="6"/>
      <c r="D37" s="6"/>
      <c r="E37" s="62"/>
      <c r="F37" s="6"/>
      <c r="G37" s="63">
        <v>0</v>
      </c>
      <c r="H37" s="62"/>
      <c r="I37" s="6"/>
      <c r="J37" s="63">
        <f t="shared" si="1"/>
        <v>0</v>
      </c>
      <c r="K37" s="63">
        <f t="shared" si="2"/>
        <v>0</v>
      </c>
      <c r="L37" s="155"/>
      <c r="M37" s="252">
        <f t="shared" si="4"/>
        <v>28530.320299999974</v>
      </c>
      <c r="N37" s="6"/>
      <c r="O37" s="5"/>
    </row>
    <row r="38" spans="1:15">
      <c r="A38" s="6">
        <v>38</v>
      </c>
      <c r="B38" s="75"/>
      <c r="C38" s="6"/>
      <c r="D38" s="6"/>
      <c r="E38" s="62"/>
      <c r="F38" s="6"/>
      <c r="G38" s="63">
        <v>0</v>
      </c>
      <c r="H38" s="62"/>
      <c r="I38" s="6"/>
      <c r="J38" s="63">
        <f t="shared" si="1"/>
        <v>0</v>
      </c>
      <c r="K38" s="63">
        <f t="shared" si="2"/>
        <v>0</v>
      </c>
      <c r="L38" s="155"/>
      <c r="M38" s="252">
        <f t="shared" si="4"/>
        <v>28530.320299999974</v>
      </c>
      <c r="N38" s="6"/>
      <c r="O38" s="5"/>
    </row>
    <row r="39" spans="1:15">
      <c r="A39" s="162">
        <v>39</v>
      </c>
      <c r="B39" s="163"/>
      <c r="C39" s="162"/>
      <c r="D39" s="6"/>
      <c r="E39" s="62"/>
      <c r="F39" s="6"/>
      <c r="G39" s="63">
        <v>0</v>
      </c>
      <c r="H39" s="62"/>
      <c r="I39" s="6"/>
      <c r="J39" s="63">
        <f t="shared" si="1"/>
        <v>0</v>
      </c>
      <c r="K39" s="63">
        <f t="shared" si="2"/>
        <v>0</v>
      </c>
      <c r="L39" s="155"/>
      <c r="M39" s="252">
        <f t="shared" si="4"/>
        <v>28530.320299999974</v>
      </c>
      <c r="N39" s="162"/>
      <c r="O39" s="5"/>
    </row>
    <row r="40" spans="1:15">
      <c r="A40" s="6">
        <v>40</v>
      </c>
      <c r="B40" s="6"/>
      <c r="C40" s="6"/>
      <c r="D40" s="6"/>
      <c r="E40" s="62"/>
      <c r="F40" s="6"/>
      <c r="G40" s="63">
        <v>0</v>
      </c>
      <c r="H40" s="62"/>
      <c r="I40" s="6"/>
      <c r="J40" s="63">
        <f t="shared" si="1"/>
        <v>0</v>
      </c>
      <c r="K40" s="63">
        <f t="shared" si="2"/>
        <v>0</v>
      </c>
      <c r="L40" s="155"/>
      <c r="M40" s="252">
        <f t="shared" si="4"/>
        <v>28530.320299999974</v>
      </c>
      <c r="N40" s="6"/>
      <c r="O40" s="5"/>
    </row>
    <row r="41" spans="1:15">
      <c r="A41" s="162">
        <v>41</v>
      </c>
      <c r="B41" s="162"/>
      <c r="C41" s="162"/>
      <c r="D41" s="6"/>
      <c r="E41" s="62"/>
      <c r="F41" s="6"/>
      <c r="G41" s="63">
        <v>0</v>
      </c>
      <c r="H41" s="62"/>
      <c r="I41" s="6"/>
      <c r="J41" s="63">
        <f t="shared" si="1"/>
        <v>0</v>
      </c>
      <c r="K41" s="63">
        <f t="shared" si="2"/>
        <v>0</v>
      </c>
      <c r="L41" s="155"/>
      <c r="M41" s="252">
        <f t="shared" si="4"/>
        <v>28530.320299999974</v>
      </c>
      <c r="N41" s="162"/>
      <c r="O41" s="5"/>
    </row>
    <row r="42" spans="1:15">
      <c r="A42" s="162">
        <v>42</v>
      </c>
      <c r="B42" s="162"/>
      <c r="C42" s="162"/>
      <c r="D42" s="6"/>
      <c r="E42" s="62"/>
      <c r="F42" s="6"/>
      <c r="G42" s="63">
        <f t="shared" ref="G42" si="5">E42*F42</f>
        <v>0</v>
      </c>
      <c r="H42" s="62"/>
      <c r="I42" s="6"/>
      <c r="J42" s="63">
        <f t="shared" ref="J42" si="6">H42*I42</f>
        <v>0</v>
      </c>
      <c r="K42" s="164">
        <f t="shared" ref="K42" si="7">G42+J42</f>
        <v>0</v>
      </c>
      <c r="L42" s="165"/>
      <c r="M42" s="252">
        <f t="shared" si="4"/>
        <v>28530.320299999974</v>
      </c>
      <c r="N42" s="162"/>
      <c r="O42" s="5"/>
    </row>
    <row r="43" spans="1:15">
      <c r="A43" s="59"/>
      <c r="B43" s="59"/>
      <c r="C43" s="59"/>
      <c r="D43" s="59"/>
      <c r="E43" s="60">
        <f>SUM(E4:E42)</f>
        <v>471.07000000000005</v>
      </c>
      <c r="F43" s="60"/>
      <c r="G43" s="60">
        <f>SUM(G4:G42)</f>
        <v>46767.829599999997</v>
      </c>
      <c r="H43" s="60">
        <f>SUM(H4:H42)</f>
        <v>55.730000000000004</v>
      </c>
      <c r="I43" s="60"/>
      <c r="J43" s="60">
        <f>SUM(J4:J42)</f>
        <v>6199.2468999999992</v>
      </c>
      <c r="K43" s="60">
        <f>SUM(K4:K42)</f>
        <v>52967.076500000003</v>
      </c>
      <c r="L43" s="60">
        <f>SUM(L4:L42)</f>
        <v>94199.962</v>
      </c>
      <c r="M43" s="60"/>
      <c r="N43" s="60"/>
      <c r="O43" s="56"/>
    </row>
    <row r="44" spans="1:15">
      <c r="A44" s="5"/>
      <c r="B44" s="5"/>
      <c r="C44" s="5"/>
      <c r="D44" s="5"/>
      <c r="E44" s="5"/>
      <c r="F44" s="5"/>
      <c r="G44" s="99"/>
      <c r="H44" s="5"/>
      <c r="I44" s="5"/>
      <c r="J44" s="99"/>
      <c r="K44" s="5"/>
      <c r="L44" s="99"/>
      <c r="M44" s="99"/>
      <c r="N44" s="5"/>
      <c r="O44" s="5"/>
    </row>
    <row r="45" spans="1:15">
      <c r="A45" s="5"/>
      <c r="B45" s="5"/>
      <c r="C45" s="5"/>
      <c r="D45" s="5"/>
      <c r="E45" s="5"/>
      <c r="F45" s="5"/>
      <c r="G45" s="99"/>
      <c r="H45" s="5"/>
      <c r="I45" s="5"/>
      <c r="J45" s="99"/>
      <c r="K45" s="5"/>
      <c r="L45" s="99"/>
      <c r="M45" s="99"/>
      <c r="N45" s="5"/>
      <c r="O45" s="5"/>
    </row>
    <row r="47" spans="1:15">
      <c r="L47" s="167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topLeftCell="A26" workbookViewId="0">
      <selection activeCell="M36" sqref="M36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564" t="s">
        <v>159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</row>
    <row r="2" spans="1:18" ht="45">
      <c r="A2" s="61" t="s">
        <v>0</v>
      </c>
      <c r="B2" s="80" t="s">
        <v>163</v>
      </c>
      <c r="C2" s="80" t="s">
        <v>164</v>
      </c>
      <c r="D2" s="80" t="s">
        <v>186</v>
      </c>
      <c r="E2" s="80" t="s">
        <v>166</v>
      </c>
      <c r="F2" s="80" t="s">
        <v>167</v>
      </c>
      <c r="G2" s="87" t="s">
        <v>168</v>
      </c>
      <c r="H2" s="80" t="s">
        <v>169</v>
      </c>
      <c r="I2" s="80" t="s">
        <v>167</v>
      </c>
      <c r="J2" s="87" t="s">
        <v>168</v>
      </c>
      <c r="K2" s="61" t="s">
        <v>170</v>
      </c>
      <c r="L2" s="88" t="s">
        <v>171</v>
      </c>
      <c r="M2" s="82" t="s">
        <v>187</v>
      </c>
      <c r="N2" s="80" t="s">
        <v>173</v>
      </c>
    </row>
    <row r="3" spans="1:18">
      <c r="A3" s="590" t="s">
        <v>174</v>
      </c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3"/>
      <c r="M3" s="592">
        <v>16349.323500000028</v>
      </c>
      <c r="N3" s="594"/>
    </row>
    <row r="4" spans="1:18">
      <c r="A4" s="189">
        <v>1</v>
      </c>
      <c r="B4" s="212">
        <v>46204</v>
      </c>
      <c r="C4" s="6"/>
      <c r="D4" s="6"/>
      <c r="E4" s="62"/>
      <c r="F4" s="299"/>
      <c r="G4" s="63">
        <f>E4*F4</f>
        <v>0</v>
      </c>
      <c r="H4" s="62"/>
      <c r="I4" s="6"/>
      <c r="J4" s="63">
        <f>H4*I4</f>
        <v>0</v>
      </c>
      <c r="K4" s="63">
        <f>G4+J4</f>
        <v>0</v>
      </c>
      <c r="L4" s="155">
        <v>0</v>
      </c>
      <c r="M4" s="144">
        <f>M3+K4-L4</f>
        <v>16349.323500000028</v>
      </c>
      <c r="N4" s="43"/>
    </row>
    <row r="5" spans="1:18">
      <c r="A5" s="43">
        <v>2</v>
      </c>
      <c r="B5" s="212">
        <v>46205</v>
      </c>
      <c r="C5" s="6"/>
      <c r="D5" s="6"/>
      <c r="E5" s="62"/>
      <c r="F5" s="299"/>
      <c r="G5" s="63">
        <f t="shared" ref="G5:G38" si="0">E5*F5</f>
        <v>0</v>
      </c>
      <c r="H5" s="62"/>
      <c r="I5" s="6"/>
      <c r="J5" s="63">
        <f t="shared" ref="J5:J40" si="1">H5*I5</f>
        <v>0</v>
      </c>
      <c r="K5" s="63">
        <f t="shared" ref="K5:K40" si="2">G5+J5</f>
        <v>0</v>
      </c>
      <c r="L5" s="155">
        <v>0</v>
      </c>
      <c r="M5" s="144">
        <f t="shared" ref="M5:M33" si="3">M4+K5-L5</f>
        <v>16349.323500000028</v>
      </c>
      <c r="N5" s="43"/>
    </row>
    <row r="6" spans="1:18">
      <c r="A6" s="43">
        <v>3</v>
      </c>
      <c r="B6" s="212">
        <v>46206</v>
      </c>
      <c r="C6" s="6"/>
      <c r="D6" s="6"/>
      <c r="E6" s="62"/>
      <c r="F6" s="299"/>
      <c r="G6" s="63">
        <f t="shared" si="0"/>
        <v>0</v>
      </c>
      <c r="H6" s="62"/>
      <c r="I6" s="6"/>
      <c r="J6" s="63">
        <f t="shared" si="1"/>
        <v>0</v>
      </c>
      <c r="K6" s="63">
        <f t="shared" si="2"/>
        <v>0</v>
      </c>
      <c r="L6" s="155">
        <v>0</v>
      </c>
      <c r="M6" s="144">
        <f t="shared" si="3"/>
        <v>16349.323500000028</v>
      </c>
      <c r="N6" s="43"/>
    </row>
    <row r="7" spans="1:18">
      <c r="A7" s="43">
        <v>4</v>
      </c>
      <c r="B7" s="212">
        <v>46207</v>
      </c>
      <c r="C7" s="6"/>
      <c r="D7" s="6"/>
      <c r="E7" s="62"/>
      <c r="F7" s="299"/>
      <c r="G7" s="63">
        <f t="shared" si="0"/>
        <v>0</v>
      </c>
      <c r="H7" s="62"/>
      <c r="I7" s="6"/>
      <c r="J7" s="63">
        <f t="shared" si="1"/>
        <v>0</v>
      </c>
      <c r="K7" s="63">
        <f t="shared" si="2"/>
        <v>0</v>
      </c>
      <c r="L7" s="155">
        <v>0</v>
      </c>
      <c r="M7" s="144">
        <f>M6+K7-L7</f>
        <v>16349.323500000028</v>
      </c>
      <c r="N7" s="43"/>
    </row>
    <row r="8" spans="1:18">
      <c r="A8" s="43">
        <v>5</v>
      </c>
      <c r="B8" s="212">
        <v>46208</v>
      </c>
      <c r="C8" s="6"/>
      <c r="D8" s="6"/>
      <c r="E8" s="62">
        <v>25</v>
      </c>
      <c r="F8" s="299">
        <v>99.44</v>
      </c>
      <c r="G8" s="63">
        <f t="shared" si="0"/>
        <v>2486</v>
      </c>
      <c r="H8" s="62"/>
      <c r="I8" s="6"/>
      <c r="J8" s="63">
        <f t="shared" si="1"/>
        <v>0</v>
      </c>
      <c r="K8" s="63">
        <f t="shared" si="2"/>
        <v>2486</v>
      </c>
      <c r="L8" s="155">
        <v>0</v>
      </c>
      <c r="M8" s="144">
        <f t="shared" si="3"/>
        <v>18835.323500000028</v>
      </c>
      <c r="N8" s="43"/>
    </row>
    <row r="9" spans="1:18">
      <c r="A9" s="43">
        <v>6</v>
      </c>
      <c r="B9" s="212">
        <v>46209</v>
      </c>
      <c r="C9" s="6"/>
      <c r="D9" s="6"/>
      <c r="E9" s="62"/>
      <c r="F9" s="299"/>
      <c r="G9" s="63">
        <f t="shared" si="0"/>
        <v>0</v>
      </c>
      <c r="H9" s="62"/>
      <c r="I9" s="6"/>
      <c r="J9" s="63">
        <f t="shared" si="1"/>
        <v>0</v>
      </c>
      <c r="K9" s="63">
        <f t="shared" si="2"/>
        <v>0</v>
      </c>
      <c r="L9" s="155">
        <v>0</v>
      </c>
      <c r="M9" s="144">
        <f t="shared" si="3"/>
        <v>18835.323500000028</v>
      </c>
      <c r="N9" s="43"/>
    </row>
    <row r="10" spans="1:18">
      <c r="A10" s="43">
        <v>7</v>
      </c>
      <c r="B10" s="212">
        <v>46210</v>
      </c>
      <c r="C10" s="6"/>
      <c r="D10" s="6"/>
      <c r="E10" s="62">
        <v>140.24</v>
      </c>
      <c r="F10" s="299">
        <v>99.44</v>
      </c>
      <c r="G10" s="63">
        <f t="shared" si="0"/>
        <v>13945.465600000001</v>
      </c>
      <c r="H10" s="62"/>
      <c r="I10" s="6"/>
      <c r="J10" s="63">
        <f t="shared" si="1"/>
        <v>0</v>
      </c>
      <c r="K10" s="63">
        <f t="shared" si="2"/>
        <v>13945.465600000001</v>
      </c>
      <c r="L10" s="155">
        <v>0</v>
      </c>
      <c r="M10" s="144">
        <f t="shared" si="3"/>
        <v>32780.789100000031</v>
      </c>
      <c r="N10" s="43"/>
    </row>
    <row r="11" spans="1:18">
      <c r="A11" s="43">
        <v>8</v>
      </c>
      <c r="B11" s="212">
        <v>46211</v>
      </c>
      <c r="C11" s="6"/>
      <c r="D11" s="6"/>
      <c r="E11" s="62"/>
      <c r="F11" s="299"/>
      <c r="G11" s="63">
        <f t="shared" si="0"/>
        <v>0</v>
      </c>
      <c r="H11" s="62"/>
      <c r="I11" s="6"/>
      <c r="J11" s="63">
        <f t="shared" si="1"/>
        <v>0</v>
      </c>
      <c r="K11" s="63">
        <f t="shared" si="2"/>
        <v>0</v>
      </c>
      <c r="L11" s="155">
        <v>0</v>
      </c>
      <c r="M11" s="144">
        <f t="shared" si="3"/>
        <v>32780.789100000031</v>
      </c>
      <c r="N11" s="43"/>
    </row>
    <row r="12" spans="1:18">
      <c r="A12" s="43">
        <v>9</v>
      </c>
      <c r="B12" s="212">
        <v>46212</v>
      </c>
      <c r="C12" s="6"/>
      <c r="D12" s="6"/>
      <c r="E12" s="62">
        <v>28.19</v>
      </c>
      <c r="F12" s="299">
        <v>99.44</v>
      </c>
      <c r="G12" s="63">
        <f t="shared" si="0"/>
        <v>2803.2136</v>
      </c>
      <c r="H12" s="62">
        <v>5</v>
      </c>
      <c r="I12" s="6">
        <v>121.03</v>
      </c>
      <c r="J12" s="63">
        <f t="shared" si="1"/>
        <v>605.15</v>
      </c>
      <c r="K12" s="63">
        <f t="shared" si="2"/>
        <v>3408.3636000000001</v>
      </c>
      <c r="L12" s="155">
        <v>0</v>
      </c>
      <c r="M12" s="144">
        <f t="shared" si="3"/>
        <v>36189.152700000028</v>
      </c>
      <c r="N12" s="43"/>
      <c r="R12" s="231"/>
    </row>
    <row r="13" spans="1:18">
      <c r="A13" s="43">
        <v>10</v>
      </c>
      <c r="B13" s="212">
        <v>46213</v>
      </c>
      <c r="C13" s="6"/>
      <c r="D13" s="6"/>
      <c r="E13" s="62">
        <v>143.4</v>
      </c>
      <c r="F13" s="299">
        <v>99.44</v>
      </c>
      <c r="G13" s="63">
        <f t="shared" si="0"/>
        <v>14259.696</v>
      </c>
      <c r="H13" s="62"/>
      <c r="I13" s="6"/>
      <c r="J13" s="63">
        <f t="shared" si="1"/>
        <v>0</v>
      </c>
      <c r="K13" s="63">
        <f t="shared" si="2"/>
        <v>14259.696</v>
      </c>
      <c r="L13" s="155">
        <v>0</v>
      </c>
      <c r="M13" s="144">
        <f t="shared" si="3"/>
        <v>50448.848700000031</v>
      </c>
      <c r="N13" s="43"/>
    </row>
    <row r="14" spans="1:18">
      <c r="A14" s="43">
        <v>11</v>
      </c>
      <c r="B14" s="212">
        <v>46214</v>
      </c>
      <c r="C14" s="6"/>
      <c r="D14" s="6"/>
      <c r="E14" s="62">
        <v>45</v>
      </c>
      <c r="F14" s="299">
        <v>99.44</v>
      </c>
      <c r="G14" s="63">
        <f t="shared" si="0"/>
        <v>4474.8</v>
      </c>
      <c r="H14" s="62"/>
      <c r="I14" s="6"/>
      <c r="J14" s="63">
        <f t="shared" si="1"/>
        <v>0</v>
      </c>
      <c r="K14" s="63">
        <f t="shared" si="2"/>
        <v>4474.8</v>
      </c>
      <c r="L14" s="155">
        <v>0</v>
      </c>
      <c r="M14" s="144">
        <f t="shared" si="3"/>
        <v>54923.648700000034</v>
      </c>
      <c r="N14" s="43"/>
    </row>
    <row r="15" spans="1:18">
      <c r="A15" s="43">
        <v>12</v>
      </c>
      <c r="B15" s="212">
        <v>46215</v>
      </c>
      <c r="C15" s="6"/>
      <c r="D15" s="6"/>
      <c r="E15" s="62">
        <v>100</v>
      </c>
      <c r="F15" s="299">
        <v>99.44</v>
      </c>
      <c r="G15" s="63">
        <f t="shared" si="0"/>
        <v>9944</v>
      </c>
      <c r="H15" s="62"/>
      <c r="I15" s="6"/>
      <c r="J15" s="63">
        <f t="shared" si="1"/>
        <v>0</v>
      </c>
      <c r="K15" s="63">
        <f t="shared" si="2"/>
        <v>9944</v>
      </c>
      <c r="L15" s="155">
        <v>0</v>
      </c>
      <c r="M15" s="144">
        <f>M14+K15-L15</f>
        <v>64867.648700000034</v>
      </c>
      <c r="N15" s="43"/>
    </row>
    <row r="16" spans="1:18">
      <c r="A16" s="43">
        <v>13</v>
      </c>
      <c r="B16" s="212">
        <v>46216</v>
      </c>
      <c r="C16" s="6"/>
      <c r="D16" s="6"/>
      <c r="E16" s="62"/>
      <c r="F16" s="299"/>
      <c r="G16" s="63">
        <f t="shared" si="0"/>
        <v>0</v>
      </c>
      <c r="H16" s="62"/>
      <c r="I16" s="6"/>
      <c r="J16" s="63">
        <f t="shared" si="1"/>
        <v>0</v>
      </c>
      <c r="K16" s="63">
        <f t="shared" si="2"/>
        <v>0</v>
      </c>
      <c r="L16" s="155">
        <v>0</v>
      </c>
      <c r="M16" s="144">
        <f t="shared" si="3"/>
        <v>64867.648700000034</v>
      </c>
      <c r="N16" s="43"/>
    </row>
    <row r="17" spans="1:14">
      <c r="A17" s="43">
        <v>14</v>
      </c>
      <c r="B17" s="212">
        <v>46217</v>
      </c>
      <c r="C17" s="6"/>
      <c r="D17" s="6"/>
      <c r="E17" s="62"/>
      <c r="F17" s="299"/>
      <c r="G17" s="63">
        <f t="shared" si="0"/>
        <v>0</v>
      </c>
      <c r="H17" s="62"/>
      <c r="I17" s="6"/>
      <c r="J17" s="63">
        <f t="shared" si="1"/>
        <v>0</v>
      </c>
      <c r="K17" s="63">
        <f t="shared" si="2"/>
        <v>0</v>
      </c>
      <c r="L17" s="155">
        <v>0</v>
      </c>
      <c r="M17" s="144">
        <f t="shared" si="3"/>
        <v>64867.648700000034</v>
      </c>
      <c r="N17" s="43"/>
    </row>
    <row r="18" spans="1:14">
      <c r="A18" s="43">
        <v>15</v>
      </c>
      <c r="B18" s="212">
        <v>46218</v>
      </c>
      <c r="C18" s="6"/>
      <c r="D18" s="6"/>
      <c r="E18" s="62">
        <v>197.07</v>
      </c>
      <c r="F18" s="299">
        <v>99.44</v>
      </c>
      <c r="G18" s="63">
        <f t="shared" si="0"/>
        <v>19596.640799999997</v>
      </c>
      <c r="H18" s="62">
        <v>6.45</v>
      </c>
      <c r="I18" s="6">
        <v>121.03</v>
      </c>
      <c r="J18" s="63">
        <f t="shared" si="1"/>
        <v>780.64350000000002</v>
      </c>
      <c r="K18" s="63">
        <f t="shared" si="2"/>
        <v>20377.284299999996</v>
      </c>
      <c r="L18" s="155">
        <v>0</v>
      </c>
      <c r="M18" s="144">
        <f t="shared" si="3"/>
        <v>85244.933000000034</v>
      </c>
      <c r="N18" s="43"/>
    </row>
    <row r="19" spans="1:14">
      <c r="A19" s="43">
        <v>16</v>
      </c>
      <c r="B19" s="212">
        <v>46219</v>
      </c>
      <c r="C19" s="6"/>
      <c r="D19" s="6"/>
      <c r="E19" s="62"/>
      <c r="F19" s="299"/>
      <c r="G19" s="63">
        <f t="shared" si="0"/>
        <v>0</v>
      </c>
      <c r="H19" s="62"/>
      <c r="I19" s="6"/>
      <c r="J19" s="63">
        <f t="shared" si="1"/>
        <v>0</v>
      </c>
      <c r="K19" s="63">
        <f t="shared" si="2"/>
        <v>0</v>
      </c>
      <c r="L19" s="155">
        <v>0</v>
      </c>
      <c r="M19" s="144">
        <f t="shared" si="3"/>
        <v>85244.933000000034</v>
      </c>
      <c r="N19" s="43"/>
    </row>
    <row r="20" spans="1:14">
      <c r="A20" s="43">
        <v>17</v>
      </c>
      <c r="B20" s="212">
        <v>46220</v>
      </c>
      <c r="C20" s="6"/>
      <c r="D20" s="6"/>
      <c r="E20" s="62"/>
      <c r="F20" s="299"/>
      <c r="G20" s="63">
        <f t="shared" si="0"/>
        <v>0</v>
      </c>
      <c r="H20" s="62"/>
      <c r="I20" s="6"/>
      <c r="J20" s="63">
        <f t="shared" si="1"/>
        <v>0</v>
      </c>
      <c r="K20" s="63">
        <f t="shared" si="2"/>
        <v>0</v>
      </c>
      <c r="L20" s="155">
        <v>0</v>
      </c>
      <c r="M20" s="144">
        <f t="shared" si="3"/>
        <v>85244.933000000034</v>
      </c>
      <c r="N20" s="43"/>
    </row>
    <row r="21" spans="1:14">
      <c r="A21" s="43">
        <v>18</v>
      </c>
      <c r="B21" s="212">
        <v>46221</v>
      </c>
      <c r="C21" s="6"/>
      <c r="D21" s="6"/>
      <c r="E21" s="62"/>
      <c r="F21" s="299"/>
      <c r="G21" s="63">
        <f t="shared" si="0"/>
        <v>0</v>
      </c>
      <c r="H21" s="62"/>
      <c r="I21" s="6"/>
      <c r="J21" s="63">
        <f t="shared" si="1"/>
        <v>0</v>
      </c>
      <c r="K21" s="63">
        <f t="shared" si="2"/>
        <v>0</v>
      </c>
      <c r="L21" s="155">
        <v>0</v>
      </c>
      <c r="M21" s="144">
        <f t="shared" si="3"/>
        <v>85244.933000000034</v>
      </c>
      <c r="N21" s="43"/>
    </row>
    <row r="22" spans="1:14">
      <c r="A22" s="43">
        <v>19</v>
      </c>
      <c r="B22" s="212">
        <v>46222</v>
      </c>
      <c r="C22" s="6"/>
      <c r="D22" s="6"/>
      <c r="E22" s="62"/>
      <c r="F22" s="299"/>
      <c r="G22" s="63">
        <f t="shared" si="0"/>
        <v>0</v>
      </c>
      <c r="H22" s="62"/>
      <c r="I22" s="6"/>
      <c r="J22" s="63">
        <f t="shared" si="1"/>
        <v>0</v>
      </c>
      <c r="K22" s="63">
        <f t="shared" si="2"/>
        <v>0</v>
      </c>
      <c r="L22" s="155">
        <v>0</v>
      </c>
      <c r="M22" s="144">
        <f t="shared" si="3"/>
        <v>85244.933000000034</v>
      </c>
      <c r="N22" s="43"/>
    </row>
    <row r="23" spans="1:14">
      <c r="A23" s="43">
        <v>20</v>
      </c>
      <c r="B23" s="212">
        <v>46223</v>
      </c>
      <c r="C23" s="6"/>
      <c r="D23" s="6"/>
      <c r="E23" s="62"/>
      <c r="F23" s="299"/>
      <c r="G23" s="63">
        <f>E23*F23</f>
        <v>0</v>
      </c>
      <c r="H23" s="62"/>
      <c r="I23" s="6"/>
      <c r="J23" s="63">
        <f t="shared" si="1"/>
        <v>0</v>
      </c>
      <c r="K23" s="63">
        <f t="shared" si="2"/>
        <v>0</v>
      </c>
      <c r="L23" s="155">
        <v>0</v>
      </c>
      <c r="M23" s="144">
        <f t="shared" si="3"/>
        <v>85244.933000000034</v>
      </c>
      <c r="N23" s="43"/>
    </row>
    <row r="24" spans="1:14">
      <c r="A24" s="43">
        <v>21</v>
      </c>
      <c r="B24" s="212">
        <v>46224</v>
      </c>
      <c r="C24" s="6"/>
      <c r="D24" s="6"/>
      <c r="E24" s="62"/>
      <c r="F24" s="299"/>
      <c r="G24" s="63">
        <f t="shared" si="0"/>
        <v>0</v>
      </c>
      <c r="H24" s="62"/>
      <c r="I24" s="6"/>
      <c r="J24" s="63">
        <f t="shared" si="1"/>
        <v>0</v>
      </c>
      <c r="K24" s="63">
        <f t="shared" si="2"/>
        <v>0</v>
      </c>
      <c r="L24" s="155">
        <v>0</v>
      </c>
      <c r="M24" s="144">
        <f>M23+K24-L24</f>
        <v>85244.933000000034</v>
      </c>
      <c r="N24" s="43"/>
    </row>
    <row r="25" spans="1:14">
      <c r="A25" s="43">
        <v>22</v>
      </c>
      <c r="B25" s="212">
        <v>46225</v>
      </c>
      <c r="C25" s="6"/>
      <c r="D25" s="6"/>
      <c r="E25" s="62"/>
      <c r="F25" s="299"/>
      <c r="G25" s="63">
        <f t="shared" si="0"/>
        <v>0</v>
      </c>
      <c r="H25" s="62"/>
      <c r="I25" s="6"/>
      <c r="J25" s="63">
        <f t="shared" si="1"/>
        <v>0</v>
      </c>
      <c r="K25" s="63">
        <f t="shared" si="2"/>
        <v>0</v>
      </c>
      <c r="L25" s="155">
        <v>0</v>
      </c>
      <c r="M25" s="144">
        <f t="shared" si="3"/>
        <v>85244.933000000034</v>
      </c>
      <c r="N25" s="43"/>
    </row>
    <row r="26" spans="1:14">
      <c r="A26" s="43">
        <v>23</v>
      </c>
      <c r="B26" s="212">
        <v>46226</v>
      </c>
      <c r="C26" s="6"/>
      <c r="D26" s="6"/>
      <c r="E26" s="62"/>
      <c r="F26" s="299"/>
      <c r="G26" s="63">
        <f t="shared" si="0"/>
        <v>0</v>
      </c>
      <c r="H26" s="62"/>
      <c r="I26" s="6"/>
      <c r="J26" s="63">
        <f t="shared" si="1"/>
        <v>0</v>
      </c>
      <c r="K26" s="63">
        <f t="shared" si="2"/>
        <v>0</v>
      </c>
      <c r="L26" s="155">
        <v>0</v>
      </c>
      <c r="M26" s="144">
        <f t="shared" si="3"/>
        <v>85244.933000000034</v>
      </c>
      <c r="N26" s="6"/>
    </row>
    <row r="27" spans="1:14">
      <c r="A27" s="43">
        <v>24</v>
      </c>
      <c r="B27" s="212">
        <v>46227</v>
      </c>
      <c r="C27" s="6"/>
      <c r="D27" s="6"/>
      <c r="E27" s="62">
        <v>45</v>
      </c>
      <c r="F27" s="299">
        <v>99.44</v>
      </c>
      <c r="G27" s="63">
        <f t="shared" si="0"/>
        <v>4474.8</v>
      </c>
      <c r="H27" s="62"/>
      <c r="I27" s="6"/>
      <c r="J27" s="63">
        <f t="shared" si="1"/>
        <v>0</v>
      </c>
      <c r="K27" s="63">
        <f t="shared" si="2"/>
        <v>4474.8</v>
      </c>
      <c r="L27" s="155">
        <v>0</v>
      </c>
      <c r="M27" s="144">
        <f t="shared" si="3"/>
        <v>89719.733000000037</v>
      </c>
      <c r="N27" s="6"/>
    </row>
    <row r="28" spans="1:14">
      <c r="A28" s="214">
        <v>25</v>
      </c>
      <c r="B28" s="212">
        <v>46228</v>
      </c>
      <c r="C28" s="6"/>
      <c r="D28" s="6"/>
      <c r="E28" s="62">
        <v>80</v>
      </c>
      <c r="F28" s="299">
        <v>99.44</v>
      </c>
      <c r="G28" s="63">
        <f t="shared" si="0"/>
        <v>7955.2</v>
      </c>
      <c r="H28" s="62"/>
      <c r="I28" s="6"/>
      <c r="J28" s="63">
        <f t="shared" si="1"/>
        <v>0</v>
      </c>
      <c r="K28" s="63">
        <f t="shared" si="2"/>
        <v>7955.2</v>
      </c>
      <c r="L28" s="155">
        <v>0</v>
      </c>
      <c r="M28" s="144">
        <f t="shared" si="3"/>
        <v>97674.933000000034</v>
      </c>
      <c r="N28" s="6"/>
    </row>
    <row r="29" spans="1:14">
      <c r="A29" s="214">
        <v>26</v>
      </c>
      <c r="B29" s="212">
        <v>46229</v>
      </c>
      <c r="C29" s="6"/>
      <c r="D29" s="6"/>
      <c r="E29" s="62"/>
      <c r="F29" s="299"/>
      <c r="G29" s="63">
        <f t="shared" si="0"/>
        <v>0</v>
      </c>
      <c r="H29" s="62"/>
      <c r="I29" s="6"/>
      <c r="J29" s="63">
        <f t="shared" si="1"/>
        <v>0</v>
      </c>
      <c r="K29" s="63">
        <f t="shared" si="2"/>
        <v>0</v>
      </c>
      <c r="L29" s="155">
        <v>0</v>
      </c>
      <c r="M29" s="144">
        <f t="shared" si="3"/>
        <v>97674.933000000034</v>
      </c>
      <c r="N29" s="6"/>
    </row>
    <row r="30" spans="1:14">
      <c r="A30" s="214">
        <v>27</v>
      </c>
      <c r="B30" s="212">
        <v>46230</v>
      </c>
      <c r="C30" s="6"/>
      <c r="D30" s="6"/>
      <c r="E30" s="62"/>
      <c r="F30" s="299"/>
      <c r="G30" s="63">
        <f t="shared" si="0"/>
        <v>0</v>
      </c>
      <c r="H30" s="62">
        <v>6.8</v>
      </c>
      <c r="I30" s="6">
        <v>111.55</v>
      </c>
      <c r="J30" s="63">
        <f t="shared" si="1"/>
        <v>758.54</v>
      </c>
      <c r="K30" s="63">
        <f t="shared" si="2"/>
        <v>758.54</v>
      </c>
      <c r="L30" s="155">
        <v>0</v>
      </c>
      <c r="M30" s="144">
        <f t="shared" si="3"/>
        <v>98433.473000000027</v>
      </c>
      <c r="N30" s="6"/>
    </row>
    <row r="31" spans="1:14">
      <c r="A31" s="214">
        <v>28</v>
      </c>
      <c r="B31" s="212">
        <v>46231</v>
      </c>
      <c r="C31" s="6"/>
      <c r="D31" s="6"/>
      <c r="E31" s="62">
        <v>137.01</v>
      </c>
      <c r="F31" s="299">
        <v>99.44</v>
      </c>
      <c r="G31" s="63">
        <f t="shared" si="0"/>
        <v>13624.274399999998</v>
      </c>
      <c r="H31" s="62"/>
      <c r="I31" s="6"/>
      <c r="J31" s="63">
        <f t="shared" si="1"/>
        <v>0</v>
      </c>
      <c r="K31" s="63">
        <f t="shared" si="2"/>
        <v>13624.274399999998</v>
      </c>
      <c r="L31" s="155">
        <v>0</v>
      </c>
      <c r="M31" s="144">
        <f t="shared" si="3"/>
        <v>112057.74740000002</v>
      </c>
      <c r="N31" s="6"/>
    </row>
    <row r="32" spans="1:14">
      <c r="A32" s="215">
        <v>29</v>
      </c>
      <c r="B32" s="212">
        <v>46232</v>
      </c>
      <c r="C32" s="6"/>
      <c r="D32" s="6"/>
      <c r="E32" s="62">
        <v>10.25</v>
      </c>
      <c r="F32" s="299">
        <v>99.44</v>
      </c>
      <c r="G32" s="63">
        <f t="shared" si="0"/>
        <v>1019.26</v>
      </c>
      <c r="H32" s="62"/>
      <c r="I32" s="6"/>
      <c r="J32" s="63">
        <f t="shared" si="1"/>
        <v>0</v>
      </c>
      <c r="K32" s="63">
        <f t="shared" si="2"/>
        <v>1019.26</v>
      </c>
      <c r="L32" s="155">
        <v>0</v>
      </c>
      <c r="M32" s="144">
        <f t="shared" si="3"/>
        <v>113077.00740000002</v>
      </c>
      <c r="N32" s="6"/>
    </row>
    <row r="33" spans="1:17">
      <c r="A33" s="215">
        <v>30</v>
      </c>
      <c r="B33" s="212">
        <v>46233</v>
      </c>
      <c r="C33" s="6"/>
      <c r="D33" s="6"/>
      <c r="E33" s="62"/>
      <c r="F33" s="299"/>
      <c r="G33" s="63">
        <f t="shared" si="0"/>
        <v>0</v>
      </c>
      <c r="H33" s="62"/>
      <c r="I33" s="6"/>
      <c r="J33" s="63">
        <f t="shared" si="1"/>
        <v>0</v>
      </c>
      <c r="K33" s="63">
        <f t="shared" si="2"/>
        <v>0</v>
      </c>
      <c r="L33" s="155">
        <v>0</v>
      </c>
      <c r="M33" s="144">
        <f t="shared" si="3"/>
        <v>113077.00740000002</v>
      </c>
      <c r="N33" s="6"/>
    </row>
    <row r="34" spans="1:17">
      <c r="A34" s="215">
        <v>31</v>
      </c>
      <c r="B34" s="212">
        <v>46234</v>
      </c>
      <c r="C34" s="6"/>
      <c r="D34" s="6"/>
      <c r="E34" s="299">
        <v>80</v>
      </c>
      <c r="F34" s="63">
        <v>99.44</v>
      </c>
      <c r="G34" s="63">
        <f t="shared" si="0"/>
        <v>7955.2</v>
      </c>
      <c r="H34" s="62"/>
      <c r="I34" s="6"/>
      <c r="J34" s="63">
        <f t="shared" si="1"/>
        <v>0</v>
      </c>
      <c r="K34" s="63">
        <f t="shared" si="2"/>
        <v>7955.2</v>
      </c>
      <c r="L34" s="155">
        <v>0</v>
      </c>
      <c r="M34" s="144">
        <f t="shared" ref="M34:M39" si="4">M33+K34-L34</f>
        <v>121032.20740000001</v>
      </c>
      <c r="N34" s="6"/>
    </row>
    <row r="35" spans="1:17">
      <c r="A35" s="6">
        <v>35</v>
      </c>
      <c r="B35" s="75"/>
      <c r="C35" s="6"/>
      <c r="D35" s="6"/>
      <c r="E35" s="62"/>
      <c r="F35" s="299"/>
      <c r="G35" s="63">
        <f t="shared" si="0"/>
        <v>0</v>
      </c>
      <c r="H35" s="62"/>
      <c r="I35" s="6"/>
      <c r="J35" s="63">
        <f t="shared" si="1"/>
        <v>0</v>
      </c>
      <c r="K35" s="63">
        <f t="shared" si="2"/>
        <v>0</v>
      </c>
      <c r="L35" s="155">
        <v>0</v>
      </c>
      <c r="M35" s="144">
        <f t="shared" si="4"/>
        <v>121032.20740000001</v>
      </c>
      <c r="N35" s="6"/>
    </row>
    <row r="36" spans="1:17">
      <c r="A36" s="6">
        <v>36</v>
      </c>
      <c r="B36" s="75"/>
      <c r="C36" s="6"/>
      <c r="D36" s="6"/>
      <c r="E36" s="62"/>
      <c r="F36" s="299"/>
      <c r="G36" s="63">
        <f t="shared" si="0"/>
        <v>0</v>
      </c>
      <c r="H36" s="62"/>
      <c r="I36" s="6"/>
      <c r="J36" s="63">
        <f t="shared" si="1"/>
        <v>0</v>
      </c>
      <c r="K36" s="63">
        <f t="shared" si="2"/>
        <v>0</v>
      </c>
      <c r="L36" s="155">
        <v>0</v>
      </c>
      <c r="M36" s="144">
        <f t="shared" si="4"/>
        <v>121032.20740000001</v>
      </c>
      <c r="N36" s="6"/>
    </row>
    <row r="37" spans="1:17">
      <c r="A37" s="6">
        <v>37</v>
      </c>
      <c r="B37" s="75"/>
      <c r="C37" s="6"/>
      <c r="D37" s="6"/>
      <c r="E37" s="62"/>
      <c r="F37" s="299"/>
      <c r="G37" s="63">
        <f t="shared" si="0"/>
        <v>0</v>
      </c>
      <c r="H37" s="62"/>
      <c r="I37" s="6"/>
      <c r="J37" s="63">
        <f t="shared" si="1"/>
        <v>0</v>
      </c>
      <c r="K37" s="63">
        <f t="shared" si="2"/>
        <v>0</v>
      </c>
      <c r="L37" s="155">
        <v>0</v>
      </c>
      <c r="M37" s="144">
        <f t="shared" si="4"/>
        <v>121032.20740000001</v>
      </c>
      <c r="N37" s="6"/>
    </row>
    <row r="38" spans="1:17">
      <c r="A38" s="6">
        <v>38</v>
      </c>
      <c r="B38" s="75"/>
      <c r="C38" s="6"/>
      <c r="D38" s="6"/>
      <c r="E38" s="62"/>
      <c r="F38" s="299"/>
      <c r="G38" s="63">
        <f t="shared" si="0"/>
        <v>0</v>
      </c>
      <c r="H38" s="62"/>
      <c r="I38" s="6"/>
      <c r="J38" s="63">
        <f t="shared" si="1"/>
        <v>0</v>
      </c>
      <c r="K38" s="63">
        <f t="shared" si="2"/>
        <v>0</v>
      </c>
      <c r="L38" s="155">
        <v>0</v>
      </c>
      <c r="M38" s="144">
        <f t="shared" si="4"/>
        <v>121032.20740000001</v>
      </c>
      <c r="N38" s="6"/>
    </row>
    <row r="39" spans="1:17">
      <c r="A39" s="162">
        <v>39</v>
      </c>
      <c r="B39" s="163"/>
      <c r="C39" s="162"/>
      <c r="D39" s="6"/>
      <c r="E39" s="62"/>
      <c r="F39" s="299"/>
      <c r="G39" s="63">
        <f t="shared" ref="G5:G40" si="5">E39*F39</f>
        <v>0</v>
      </c>
      <c r="H39" s="62"/>
      <c r="I39" s="6"/>
      <c r="J39" s="63">
        <f t="shared" si="1"/>
        <v>0</v>
      </c>
      <c r="K39" s="63">
        <f t="shared" si="2"/>
        <v>0</v>
      </c>
      <c r="L39" s="155">
        <v>0</v>
      </c>
      <c r="M39" s="144">
        <f>M38+K39-L39</f>
        <v>121032.20740000001</v>
      </c>
      <c r="N39" s="162"/>
    </row>
    <row r="40" spans="1:17">
      <c r="A40" s="6">
        <v>40</v>
      </c>
      <c r="B40" s="6"/>
      <c r="C40" s="6"/>
      <c r="D40" s="6"/>
      <c r="E40" s="62"/>
      <c r="F40" s="299"/>
      <c r="G40" s="63">
        <f t="shared" ref="G40:G42" si="6">E40*F40</f>
        <v>0</v>
      </c>
      <c r="H40" s="62"/>
      <c r="I40" s="6"/>
      <c r="J40" s="63">
        <f t="shared" si="1"/>
        <v>0</v>
      </c>
      <c r="K40" s="63">
        <f t="shared" si="2"/>
        <v>0</v>
      </c>
      <c r="L40" s="155">
        <v>0</v>
      </c>
      <c r="M40" s="144">
        <v>0</v>
      </c>
      <c r="N40" s="6"/>
    </row>
    <row r="41" spans="1:17">
      <c r="A41" s="162">
        <v>41</v>
      </c>
      <c r="B41" s="162"/>
      <c r="C41" s="162"/>
      <c r="D41" s="6"/>
      <c r="E41" s="62"/>
      <c r="F41" s="299"/>
      <c r="G41" s="63">
        <f t="shared" si="6"/>
        <v>0</v>
      </c>
      <c r="H41" s="62"/>
      <c r="I41" s="6"/>
      <c r="J41" s="63">
        <f t="shared" ref="J5:J41" si="7">H41*I41</f>
        <v>0</v>
      </c>
      <c r="K41" s="63">
        <f t="shared" ref="K5:K41" si="8">G41+J41</f>
        <v>0</v>
      </c>
      <c r="L41" s="155">
        <v>0</v>
      </c>
      <c r="M41" s="166">
        <v>0</v>
      </c>
      <c r="N41" s="162"/>
    </row>
    <row r="42" spans="1:17">
      <c r="A42" s="162">
        <v>42</v>
      </c>
      <c r="B42" s="162"/>
      <c r="C42" s="162"/>
      <c r="D42" s="6"/>
      <c r="E42" s="62"/>
      <c r="F42" s="299"/>
      <c r="G42" s="63">
        <f t="shared" si="6"/>
        <v>0</v>
      </c>
      <c r="H42" s="62"/>
      <c r="I42" s="6"/>
      <c r="J42" s="63">
        <f t="shared" ref="J42" si="9">H42*I42</f>
        <v>0</v>
      </c>
      <c r="K42" s="164">
        <f t="shared" ref="K42" si="10">G42+J42</f>
        <v>0</v>
      </c>
      <c r="L42" s="165">
        <f t="shared" ref="L42" si="11">+K42</f>
        <v>0</v>
      </c>
      <c r="M42" s="166">
        <v>0</v>
      </c>
      <c r="N42" s="162"/>
    </row>
    <row r="43" spans="1:17">
      <c r="A43" s="59"/>
      <c r="B43" s="59"/>
      <c r="C43" s="59"/>
      <c r="D43" s="59"/>
      <c r="E43" s="60">
        <f>SUM(E4:E42)</f>
        <v>1031.1600000000001</v>
      </c>
      <c r="F43" s="60"/>
      <c r="G43" s="60">
        <f>SUM(G4:G42)</f>
        <v>102538.55039999999</v>
      </c>
      <c r="H43" s="60">
        <f>SUM(H4:H42)</f>
        <v>18.25</v>
      </c>
      <c r="I43" s="60"/>
      <c r="J43" s="60">
        <f>SUM(J4:J42)</f>
        <v>2144.3334999999997</v>
      </c>
      <c r="K43" s="60">
        <f>SUM(K4:K42)</f>
        <v>104682.88389999999</v>
      </c>
      <c r="L43" s="60">
        <f>SUM(L4:L42)</f>
        <v>0</v>
      </c>
      <c r="M43" s="60"/>
      <c r="N43" s="60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2" topLeftCell="A19" activePane="bottomLeft" state="frozen"/>
      <selection pane="bottomLeft" activeCell="H31" sqref="H31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539" t="s">
        <v>161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79"/>
    </row>
    <row r="2" spans="1:15" ht="16.5" customHeight="1">
      <c r="A2" s="95" t="s">
        <v>0</v>
      </c>
      <c r="B2" s="96" t="s">
        <v>163</v>
      </c>
      <c r="C2" s="96" t="s">
        <v>164</v>
      </c>
      <c r="D2" s="96" t="s">
        <v>186</v>
      </c>
      <c r="E2" s="96" t="s">
        <v>166</v>
      </c>
      <c r="F2" s="96" t="s">
        <v>167</v>
      </c>
      <c r="G2" s="96" t="s">
        <v>168</v>
      </c>
      <c r="H2" s="96" t="s">
        <v>169</v>
      </c>
      <c r="I2" s="96" t="s">
        <v>167</v>
      </c>
      <c r="J2" s="134" t="s">
        <v>168</v>
      </c>
      <c r="K2" s="97" t="s">
        <v>170</v>
      </c>
      <c r="L2" s="135" t="s">
        <v>171</v>
      </c>
      <c r="M2" s="138" t="s">
        <v>187</v>
      </c>
      <c r="N2" s="98" t="s">
        <v>173</v>
      </c>
      <c r="O2" s="56"/>
    </row>
    <row r="3" spans="1:15" ht="16.5" customHeight="1">
      <c r="A3" s="540" t="s">
        <v>174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2"/>
      <c r="M3" s="143">
        <v>0</v>
      </c>
      <c r="N3" s="149"/>
      <c r="O3" s="56"/>
    </row>
    <row r="4" spans="1:15">
      <c r="A4" s="189">
        <v>1</v>
      </c>
      <c r="B4" s="212">
        <v>46204</v>
      </c>
      <c r="C4" s="64"/>
      <c r="D4" s="152"/>
      <c r="E4" s="62">
        <v>30.49</v>
      </c>
      <c r="F4" s="62">
        <v>98.39</v>
      </c>
      <c r="G4" s="8">
        <f>E4*F4</f>
        <v>2999.9110999999998</v>
      </c>
      <c r="H4" s="62">
        <v>5.59</v>
      </c>
      <c r="I4" s="63">
        <v>11.44</v>
      </c>
      <c r="J4" s="8">
        <f>H4*I4</f>
        <v>63.949599999999997</v>
      </c>
      <c r="K4" s="8">
        <f>G4+J4</f>
        <v>3063.8606999999997</v>
      </c>
      <c r="L4" s="65">
        <f>+K4</f>
        <v>3063.8606999999997</v>
      </c>
      <c r="M4" s="65">
        <v>0</v>
      </c>
      <c r="N4" s="8"/>
    </row>
    <row r="5" spans="1:15">
      <c r="A5" s="43">
        <v>2</v>
      </c>
      <c r="B5" s="212">
        <v>46205</v>
      </c>
      <c r="C5" s="64"/>
      <c r="D5" s="152"/>
      <c r="E5" s="62"/>
      <c r="F5" s="62"/>
      <c r="G5" s="8">
        <f t="shared" ref="G5:G34" si="0">E5*F5</f>
        <v>0</v>
      </c>
      <c r="H5" s="62"/>
      <c r="I5" s="63"/>
      <c r="J5" s="8">
        <f t="shared" ref="J5:J8" si="1">H5*I5</f>
        <v>0</v>
      </c>
      <c r="K5" s="8">
        <f t="shared" ref="K5:K33" si="2">G5+J5</f>
        <v>0</v>
      </c>
      <c r="L5" s="65">
        <f t="shared" ref="L5:L33" si="3">+K5</f>
        <v>0</v>
      </c>
      <c r="M5" s="65">
        <v>0</v>
      </c>
      <c r="N5" s="8"/>
    </row>
    <row r="6" spans="1:15">
      <c r="A6" s="43">
        <v>3</v>
      </c>
      <c r="B6" s="212">
        <v>46206</v>
      </c>
      <c r="C6" s="64"/>
      <c r="D6" s="152"/>
      <c r="E6" s="62"/>
      <c r="F6" s="62"/>
      <c r="G6" s="8">
        <f t="shared" si="0"/>
        <v>0</v>
      </c>
      <c r="H6" s="62"/>
      <c r="I6" s="63"/>
      <c r="J6" s="8">
        <f t="shared" si="1"/>
        <v>0</v>
      </c>
      <c r="K6" s="8">
        <f t="shared" si="2"/>
        <v>0</v>
      </c>
      <c r="L6" s="65">
        <f t="shared" si="3"/>
        <v>0</v>
      </c>
      <c r="M6" s="65">
        <v>0</v>
      </c>
      <c r="N6" s="8"/>
    </row>
    <row r="7" spans="1:15">
      <c r="A7" s="43">
        <v>4</v>
      </c>
      <c r="B7" s="212">
        <v>46207</v>
      </c>
      <c r="C7" s="64"/>
      <c r="D7" s="152"/>
      <c r="E7" s="62"/>
      <c r="F7" s="62"/>
      <c r="G7" s="8">
        <f t="shared" si="0"/>
        <v>0</v>
      </c>
      <c r="H7" s="62"/>
      <c r="I7" s="63"/>
      <c r="J7" s="8">
        <f t="shared" ref="J7" si="4">H7*I7</f>
        <v>0</v>
      </c>
      <c r="K7" s="8">
        <f t="shared" si="2"/>
        <v>0</v>
      </c>
      <c r="L7" s="65">
        <f t="shared" si="3"/>
        <v>0</v>
      </c>
      <c r="M7" s="65">
        <v>0</v>
      </c>
      <c r="N7" s="8"/>
    </row>
    <row r="8" spans="1:15">
      <c r="A8" s="43">
        <v>5</v>
      </c>
      <c r="B8" s="212">
        <v>46208</v>
      </c>
      <c r="C8" s="64"/>
      <c r="D8" s="152"/>
      <c r="E8" s="62"/>
      <c r="F8" s="62"/>
      <c r="G8" s="8">
        <f t="shared" ref="G8:G33" si="5">E8*F8</f>
        <v>0</v>
      </c>
      <c r="H8" s="62"/>
      <c r="I8" s="63"/>
      <c r="J8" s="8">
        <f t="shared" ref="J8:J33" si="6">H8*I8</f>
        <v>0</v>
      </c>
      <c r="K8" s="8">
        <f t="shared" ref="K8:K33" si="7">G8+J8</f>
        <v>0</v>
      </c>
      <c r="L8" s="65">
        <f t="shared" si="3"/>
        <v>0</v>
      </c>
      <c r="M8" s="65">
        <v>0</v>
      </c>
      <c r="N8" s="8"/>
      <c r="O8" s="66"/>
    </row>
    <row r="9" spans="1:15">
      <c r="A9" s="43">
        <v>6</v>
      </c>
      <c r="B9" s="212">
        <v>46209</v>
      </c>
      <c r="C9" s="64"/>
      <c r="D9" s="152"/>
      <c r="E9" s="62"/>
      <c r="F9" s="62"/>
      <c r="G9" s="8">
        <f t="shared" si="5"/>
        <v>0</v>
      </c>
      <c r="H9" s="62"/>
      <c r="I9" s="63"/>
      <c r="J9" s="8">
        <f t="shared" si="6"/>
        <v>0</v>
      </c>
      <c r="K9" s="8">
        <f t="shared" si="7"/>
        <v>0</v>
      </c>
      <c r="L9" s="65">
        <f t="shared" si="3"/>
        <v>0</v>
      </c>
      <c r="M9" s="65">
        <v>0</v>
      </c>
      <c r="N9" s="8"/>
      <c r="O9" s="66"/>
    </row>
    <row r="10" spans="1:15">
      <c r="A10" s="43">
        <v>7</v>
      </c>
      <c r="B10" s="212">
        <v>46210</v>
      </c>
      <c r="C10" s="64"/>
      <c r="D10" s="152"/>
      <c r="E10" s="62">
        <v>30.49</v>
      </c>
      <c r="F10" s="62">
        <v>98.39</v>
      </c>
      <c r="G10" s="469">
        <f t="shared" si="5"/>
        <v>2999.9110999999998</v>
      </c>
      <c r="H10" s="62"/>
      <c r="I10" s="63"/>
      <c r="J10" s="8">
        <f t="shared" si="6"/>
        <v>0</v>
      </c>
      <c r="K10" s="469">
        <f t="shared" si="7"/>
        <v>2999.9110999999998</v>
      </c>
      <c r="L10" s="470">
        <f t="shared" si="3"/>
        <v>2999.9110999999998</v>
      </c>
      <c r="M10" s="65">
        <v>0</v>
      </c>
      <c r="N10" s="8"/>
      <c r="O10" s="66"/>
    </row>
    <row r="11" spans="1:15">
      <c r="A11" s="43">
        <v>8</v>
      </c>
      <c r="B11" s="212">
        <v>46211</v>
      </c>
      <c r="C11" s="64"/>
      <c r="D11" s="152"/>
      <c r="E11" s="62"/>
      <c r="F11" s="62"/>
      <c r="G11" s="8">
        <f t="shared" si="5"/>
        <v>0</v>
      </c>
      <c r="H11" s="62"/>
      <c r="I11" s="63"/>
      <c r="J11" s="8">
        <f t="shared" si="6"/>
        <v>0</v>
      </c>
      <c r="K11" s="8">
        <f t="shared" si="7"/>
        <v>0</v>
      </c>
      <c r="L11" s="65">
        <f t="shared" si="3"/>
        <v>0</v>
      </c>
      <c r="M11" s="65">
        <v>0</v>
      </c>
      <c r="N11" s="8"/>
      <c r="O11" s="66"/>
    </row>
    <row r="12" spans="1:15">
      <c r="A12" s="43">
        <v>9</v>
      </c>
      <c r="B12" s="212">
        <v>46212</v>
      </c>
      <c r="C12" s="64"/>
      <c r="D12" s="152"/>
      <c r="E12" s="62"/>
      <c r="F12" s="62"/>
      <c r="G12" s="8">
        <f>E12*F12</f>
        <v>0</v>
      </c>
      <c r="H12" s="62"/>
      <c r="I12" s="63"/>
      <c r="J12" s="8">
        <f t="shared" si="6"/>
        <v>0</v>
      </c>
      <c r="K12" s="8">
        <f t="shared" si="7"/>
        <v>0</v>
      </c>
      <c r="L12" s="65">
        <f t="shared" si="3"/>
        <v>0</v>
      </c>
      <c r="M12" s="65">
        <v>0</v>
      </c>
      <c r="N12" s="8"/>
      <c r="O12" s="66"/>
    </row>
    <row r="13" spans="1:15">
      <c r="A13" s="43">
        <v>10</v>
      </c>
      <c r="B13" s="212">
        <v>46213</v>
      </c>
      <c r="C13" s="64"/>
      <c r="D13" s="152"/>
      <c r="E13" s="62">
        <v>30.49</v>
      </c>
      <c r="F13" s="62">
        <v>98.39</v>
      </c>
      <c r="G13" s="8">
        <f>E13*F13</f>
        <v>2999.9110999999998</v>
      </c>
      <c r="H13" s="62"/>
      <c r="I13" s="63"/>
      <c r="J13" s="8">
        <f t="shared" si="6"/>
        <v>0</v>
      </c>
      <c r="K13" s="8">
        <f t="shared" si="7"/>
        <v>2999.9110999999998</v>
      </c>
      <c r="L13" s="65">
        <f t="shared" si="3"/>
        <v>2999.9110999999998</v>
      </c>
      <c r="M13" s="65">
        <v>0</v>
      </c>
      <c r="N13" s="8"/>
      <c r="O13" s="66"/>
    </row>
    <row r="14" spans="1:15">
      <c r="A14" s="43">
        <v>11</v>
      </c>
      <c r="B14" s="212">
        <v>46214</v>
      </c>
      <c r="C14" s="64"/>
      <c r="D14" s="152"/>
      <c r="E14" s="62"/>
      <c r="F14" s="62"/>
      <c r="G14" s="8">
        <f t="shared" si="5"/>
        <v>0</v>
      </c>
      <c r="H14" s="62"/>
      <c r="I14" s="63"/>
      <c r="J14" s="8">
        <f t="shared" si="6"/>
        <v>0</v>
      </c>
      <c r="K14" s="8">
        <f t="shared" si="7"/>
        <v>0</v>
      </c>
      <c r="L14" s="65">
        <f t="shared" si="3"/>
        <v>0</v>
      </c>
      <c r="M14" s="65">
        <v>0</v>
      </c>
      <c r="N14" s="8"/>
      <c r="O14" s="66"/>
    </row>
    <row r="15" spans="1:15">
      <c r="A15" s="43">
        <v>12</v>
      </c>
      <c r="B15" s="212">
        <v>46215</v>
      </c>
      <c r="C15" s="64"/>
      <c r="D15" s="152"/>
      <c r="E15" s="62"/>
      <c r="F15" s="62"/>
      <c r="G15" s="8">
        <f t="shared" si="5"/>
        <v>0</v>
      </c>
      <c r="H15" s="62"/>
      <c r="I15" s="63"/>
      <c r="J15" s="8">
        <f t="shared" si="6"/>
        <v>0</v>
      </c>
      <c r="K15" s="8">
        <f t="shared" si="7"/>
        <v>0</v>
      </c>
      <c r="L15" s="65">
        <f t="shared" si="3"/>
        <v>0</v>
      </c>
      <c r="M15" s="65">
        <v>0</v>
      </c>
      <c r="N15" s="8"/>
      <c r="O15" s="66"/>
    </row>
    <row r="16" spans="1:15">
      <c r="A16" s="43">
        <v>13</v>
      </c>
      <c r="B16" s="212">
        <v>46216</v>
      </c>
      <c r="C16" s="64"/>
      <c r="D16" s="152"/>
      <c r="E16" s="62"/>
      <c r="F16" s="62"/>
      <c r="G16" s="8">
        <f t="shared" si="5"/>
        <v>0</v>
      </c>
      <c r="H16" s="62"/>
      <c r="I16" s="63"/>
      <c r="J16" s="8">
        <f t="shared" si="6"/>
        <v>0</v>
      </c>
      <c r="K16" s="8">
        <f t="shared" si="7"/>
        <v>0</v>
      </c>
      <c r="L16" s="65">
        <f t="shared" si="3"/>
        <v>0</v>
      </c>
      <c r="M16" s="65">
        <v>0</v>
      </c>
      <c r="N16" s="8"/>
      <c r="O16" s="66"/>
    </row>
    <row r="17" spans="1:15">
      <c r="A17" s="43">
        <v>14</v>
      </c>
      <c r="B17" s="212">
        <v>46217</v>
      </c>
      <c r="C17" s="64"/>
      <c r="D17" s="152"/>
      <c r="E17" s="62"/>
      <c r="F17" s="62"/>
      <c r="G17" s="8">
        <f t="shared" si="5"/>
        <v>0</v>
      </c>
      <c r="H17" s="62"/>
      <c r="I17" s="63"/>
      <c r="J17" s="8">
        <f t="shared" si="6"/>
        <v>0</v>
      </c>
      <c r="K17" s="8">
        <f t="shared" si="7"/>
        <v>0</v>
      </c>
      <c r="L17" s="65">
        <f t="shared" si="3"/>
        <v>0</v>
      </c>
      <c r="M17" s="65">
        <v>0</v>
      </c>
      <c r="N17" s="8"/>
      <c r="O17" s="66"/>
    </row>
    <row r="18" spans="1:15">
      <c r="A18" s="43">
        <v>15</v>
      </c>
      <c r="B18" s="212">
        <v>46218</v>
      </c>
      <c r="C18" s="64"/>
      <c r="D18" s="152"/>
      <c r="E18" s="62">
        <v>30.49</v>
      </c>
      <c r="F18" s="62">
        <v>98.39</v>
      </c>
      <c r="G18" s="8">
        <f t="shared" si="5"/>
        <v>2999.9110999999998</v>
      </c>
      <c r="H18" s="62"/>
      <c r="I18" s="63"/>
      <c r="J18" s="8">
        <f t="shared" si="6"/>
        <v>0</v>
      </c>
      <c r="K18" s="8">
        <f t="shared" si="7"/>
        <v>2999.9110999999998</v>
      </c>
      <c r="L18" s="65">
        <f t="shared" si="3"/>
        <v>2999.9110999999998</v>
      </c>
      <c r="M18" s="65"/>
      <c r="N18" s="8"/>
      <c r="O18" s="66"/>
    </row>
    <row r="19" spans="1:15">
      <c r="A19" s="43">
        <v>16</v>
      </c>
      <c r="B19" s="212">
        <v>46219</v>
      </c>
      <c r="C19" s="64"/>
      <c r="D19" s="152"/>
      <c r="E19" s="62"/>
      <c r="F19" s="62"/>
      <c r="G19" s="8">
        <f t="shared" si="5"/>
        <v>0</v>
      </c>
      <c r="H19" s="62"/>
      <c r="I19" s="63"/>
      <c r="J19" s="8">
        <f t="shared" si="6"/>
        <v>0</v>
      </c>
      <c r="K19" s="8">
        <f t="shared" si="7"/>
        <v>0</v>
      </c>
      <c r="L19" s="65">
        <f>+K19</f>
        <v>0</v>
      </c>
      <c r="M19" s="65">
        <v>0</v>
      </c>
      <c r="N19" s="8"/>
      <c r="O19" s="66"/>
    </row>
    <row r="20" spans="1:15">
      <c r="A20" s="43">
        <v>17</v>
      </c>
      <c r="B20" s="212">
        <v>46220</v>
      </c>
      <c r="C20" s="64"/>
      <c r="D20" s="152"/>
      <c r="E20" s="62"/>
      <c r="F20" s="62"/>
      <c r="G20" s="8">
        <f t="shared" si="5"/>
        <v>0</v>
      </c>
      <c r="H20" s="62">
        <v>9.0500000000000007</v>
      </c>
      <c r="I20" s="63">
        <v>110.44</v>
      </c>
      <c r="J20" s="8">
        <f t="shared" si="6"/>
        <v>999.48200000000008</v>
      </c>
      <c r="K20" s="8">
        <f t="shared" si="7"/>
        <v>999.48200000000008</v>
      </c>
      <c r="L20" s="65">
        <f t="shared" si="3"/>
        <v>999.48200000000008</v>
      </c>
      <c r="M20" s="65">
        <v>0</v>
      </c>
      <c r="N20" s="8"/>
      <c r="O20" s="66"/>
    </row>
    <row r="21" spans="1:15">
      <c r="A21" s="43">
        <v>18</v>
      </c>
      <c r="B21" s="212">
        <v>46221</v>
      </c>
      <c r="C21" s="64"/>
      <c r="D21" s="152"/>
      <c r="E21" s="62"/>
      <c r="F21" s="62"/>
      <c r="G21" s="8">
        <f t="shared" si="5"/>
        <v>0</v>
      </c>
      <c r="H21" s="62"/>
      <c r="I21" s="63"/>
      <c r="J21" s="8">
        <f t="shared" si="6"/>
        <v>0</v>
      </c>
      <c r="K21" s="8">
        <f t="shared" si="7"/>
        <v>0</v>
      </c>
      <c r="L21" s="65">
        <f t="shared" si="3"/>
        <v>0</v>
      </c>
      <c r="M21" s="65">
        <v>0</v>
      </c>
      <c r="N21" s="8"/>
      <c r="O21" s="66"/>
    </row>
    <row r="22" spans="1:15">
      <c r="A22" s="43">
        <v>19</v>
      </c>
      <c r="B22" s="212">
        <v>46222</v>
      </c>
      <c r="C22" s="64"/>
      <c r="D22" s="152"/>
      <c r="E22" s="62"/>
      <c r="F22" s="62"/>
      <c r="G22" s="8">
        <f t="shared" si="5"/>
        <v>0</v>
      </c>
      <c r="H22" s="62"/>
      <c r="I22" s="63"/>
      <c r="J22" s="8">
        <f t="shared" si="6"/>
        <v>0</v>
      </c>
      <c r="K22" s="8">
        <f t="shared" si="7"/>
        <v>0</v>
      </c>
      <c r="L22" s="65">
        <f t="shared" si="3"/>
        <v>0</v>
      </c>
      <c r="M22" s="65">
        <v>0</v>
      </c>
      <c r="N22" s="8"/>
      <c r="O22" s="66"/>
    </row>
    <row r="23" spans="1:15">
      <c r="A23" s="43">
        <v>20</v>
      </c>
      <c r="B23" s="212">
        <v>46223</v>
      </c>
      <c r="C23" s="64"/>
      <c r="D23" s="152"/>
      <c r="E23" s="62"/>
      <c r="F23" s="62"/>
      <c r="G23" s="8">
        <f t="shared" si="5"/>
        <v>0</v>
      </c>
      <c r="H23" s="62"/>
      <c r="I23" s="63"/>
      <c r="J23" s="8">
        <f t="shared" si="6"/>
        <v>0</v>
      </c>
      <c r="K23" s="8">
        <f t="shared" si="7"/>
        <v>0</v>
      </c>
      <c r="L23" s="65">
        <f t="shared" si="3"/>
        <v>0</v>
      </c>
      <c r="M23" s="65">
        <v>0</v>
      </c>
      <c r="N23" s="8"/>
      <c r="O23" s="66"/>
    </row>
    <row r="24" spans="1:15">
      <c r="A24" s="43">
        <v>21</v>
      </c>
      <c r="B24" s="212">
        <v>46224</v>
      </c>
      <c r="C24" s="64"/>
      <c r="D24" s="152"/>
      <c r="E24" s="62"/>
      <c r="F24" s="62"/>
      <c r="G24" s="8">
        <f t="shared" si="5"/>
        <v>0</v>
      </c>
      <c r="H24" s="62"/>
      <c r="I24" s="63"/>
      <c r="J24" s="8">
        <f t="shared" si="6"/>
        <v>0</v>
      </c>
      <c r="K24" s="8">
        <f t="shared" si="7"/>
        <v>0</v>
      </c>
      <c r="L24" s="65">
        <f t="shared" si="3"/>
        <v>0</v>
      </c>
      <c r="M24" s="65">
        <v>0</v>
      </c>
      <c r="N24" s="8"/>
      <c r="O24" s="66"/>
    </row>
    <row r="25" spans="1:15">
      <c r="A25" s="43">
        <v>22</v>
      </c>
      <c r="B25" s="212">
        <v>46225</v>
      </c>
      <c r="C25" s="64"/>
      <c r="D25" s="152"/>
      <c r="E25" s="62"/>
      <c r="F25" s="62"/>
      <c r="G25" s="8">
        <f t="shared" si="5"/>
        <v>0</v>
      </c>
      <c r="H25" s="62"/>
      <c r="I25" s="63"/>
      <c r="J25" s="8">
        <f t="shared" si="6"/>
        <v>0</v>
      </c>
      <c r="K25" s="8">
        <f t="shared" si="7"/>
        <v>0</v>
      </c>
      <c r="L25" s="65">
        <f t="shared" si="3"/>
        <v>0</v>
      </c>
      <c r="M25" s="65">
        <v>0</v>
      </c>
      <c r="N25" s="8"/>
      <c r="O25" s="66"/>
    </row>
    <row r="26" spans="1:15">
      <c r="A26" s="43">
        <v>23</v>
      </c>
      <c r="B26" s="212">
        <v>46226</v>
      </c>
      <c r="C26" s="64"/>
      <c r="D26" s="152"/>
      <c r="E26" s="62"/>
      <c r="F26" s="62"/>
      <c r="G26" s="8">
        <f t="shared" si="5"/>
        <v>0</v>
      </c>
      <c r="H26" s="62"/>
      <c r="I26" s="63"/>
      <c r="J26" s="8">
        <f t="shared" si="6"/>
        <v>0</v>
      </c>
      <c r="K26" s="8">
        <f t="shared" si="7"/>
        <v>0</v>
      </c>
      <c r="L26" s="65">
        <f t="shared" si="3"/>
        <v>0</v>
      </c>
      <c r="M26" s="65">
        <v>0</v>
      </c>
      <c r="N26" s="8"/>
      <c r="O26" s="66"/>
    </row>
    <row r="27" spans="1:15">
      <c r="A27" s="43">
        <v>24</v>
      </c>
      <c r="B27" s="212">
        <v>46227</v>
      </c>
      <c r="C27" s="64"/>
      <c r="D27" s="152"/>
      <c r="E27" s="62"/>
      <c r="F27" s="62"/>
      <c r="G27" s="8">
        <f t="shared" si="5"/>
        <v>0</v>
      </c>
      <c r="H27" s="62"/>
      <c r="I27" s="63"/>
      <c r="J27" s="8">
        <f t="shared" si="6"/>
        <v>0</v>
      </c>
      <c r="K27" s="8">
        <f t="shared" si="7"/>
        <v>0</v>
      </c>
      <c r="L27" s="65">
        <f t="shared" si="3"/>
        <v>0</v>
      </c>
      <c r="M27" s="65">
        <v>0</v>
      </c>
      <c r="N27" s="8"/>
      <c r="O27" s="66"/>
    </row>
    <row r="28" spans="1:15">
      <c r="A28" s="214">
        <v>25</v>
      </c>
      <c r="B28" s="212">
        <v>46228</v>
      </c>
      <c r="C28" s="64"/>
      <c r="D28" s="152"/>
      <c r="E28" s="62"/>
      <c r="F28" s="62"/>
      <c r="G28" s="8">
        <f t="shared" si="5"/>
        <v>0</v>
      </c>
      <c r="H28" s="62"/>
      <c r="I28" s="63"/>
      <c r="J28" s="8">
        <f t="shared" si="6"/>
        <v>0</v>
      </c>
      <c r="K28" s="8">
        <f t="shared" si="7"/>
        <v>0</v>
      </c>
      <c r="L28" s="65">
        <f t="shared" si="3"/>
        <v>0</v>
      </c>
      <c r="M28" s="65">
        <v>0</v>
      </c>
      <c r="N28" s="8"/>
      <c r="O28" s="66"/>
    </row>
    <row r="29" spans="1:15">
      <c r="A29" s="214">
        <v>26</v>
      </c>
      <c r="B29" s="212">
        <v>46229</v>
      </c>
      <c r="C29" s="64"/>
      <c r="D29" s="152"/>
      <c r="E29" s="62"/>
      <c r="F29" s="62"/>
      <c r="G29" s="8">
        <f t="shared" si="5"/>
        <v>0</v>
      </c>
      <c r="H29" s="62"/>
      <c r="I29" s="63"/>
      <c r="J29" s="8">
        <f t="shared" si="6"/>
        <v>0</v>
      </c>
      <c r="K29" s="8">
        <f t="shared" si="7"/>
        <v>0</v>
      </c>
      <c r="L29" s="65">
        <f t="shared" si="3"/>
        <v>0</v>
      </c>
      <c r="M29" s="65">
        <v>0</v>
      </c>
      <c r="N29" s="8"/>
      <c r="O29" s="66"/>
    </row>
    <row r="30" spans="1:15">
      <c r="A30" s="214">
        <v>27</v>
      </c>
      <c r="B30" s="212">
        <v>46230</v>
      </c>
      <c r="C30" s="64"/>
      <c r="D30" s="152"/>
      <c r="E30" s="62"/>
      <c r="F30" s="62"/>
      <c r="G30" s="8">
        <f t="shared" si="5"/>
        <v>0</v>
      </c>
      <c r="H30" s="62"/>
      <c r="I30" s="63"/>
      <c r="J30" s="8">
        <f t="shared" si="6"/>
        <v>0</v>
      </c>
      <c r="K30" s="8">
        <f t="shared" si="7"/>
        <v>0</v>
      </c>
      <c r="L30" s="65">
        <f t="shared" si="3"/>
        <v>0</v>
      </c>
      <c r="M30" s="65">
        <v>0</v>
      </c>
      <c r="N30" s="8"/>
      <c r="O30" s="66"/>
    </row>
    <row r="31" spans="1:15">
      <c r="A31" s="214">
        <v>28</v>
      </c>
      <c r="B31" s="212">
        <v>46231</v>
      </c>
      <c r="C31" s="64"/>
      <c r="D31" s="152"/>
      <c r="E31" s="62"/>
      <c r="F31" s="62"/>
      <c r="G31" s="8">
        <f t="shared" si="5"/>
        <v>0</v>
      </c>
      <c r="H31" s="62">
        <v>14.21</v>
      </c>
      <c r="I31" s="63">
        <v>110.44</v>
      </c>
      <c r="J31" s="8">
        <f t="shared" si="6"/>
        <v>1569.3524</v>
      </c>
      <c r="K31" s="8">
        <f t="shared" si="7"/>
        <v>1569.3524</v>
      </c>
      <c r="L31" s="65">
        <f t="shared" si="3"/>
        <v>1569.3524</v>
      </c>
      <c r="M31" s="65">
        <v>0</v>
      </c>
      <c r="N31" s="8"/>
      <c r="O31" s="66"/>
    </row>
    <row r="32" spans="1:15">
      <c r="A32" s="215">
        <v>29</v>
      </c>
      <c r="B32" s="212">
        <v>46232</v>
      </c>
      <c r="C32" s="64"/>
      <c r="D32" s="152"/>
      <c r="E32" s="62"/>
      <c r="F32" s="62"/>
      <c r="G32" s="8">
        <f t="shared" si="5"/>
        <v>0</v>
      </c>
      <c r="H32" s="62"/>
      <c r="I32" s="63"/>
      <c r="J32" s="8">
        <f t="shared" si="6"/>
        <v>0</v>
      </c>
      <c r="K32" s="8">
        <f t="shared" si="7"/>
        <v>0</v>
      </c>
      <c r="L32" s="65">
        <f t="shared" si="3"/>
        <v>0</v>
      </c>
      <c r="M32" s="65">
        <v>0</v>
      </c>
      <c r="N32" s="8"/>
      <c r="O32" s="66"/>
    </row>
    <row r="33" spans="1:15">
      <c r="A33" s="215">
        <v>30</v>
      </c>
      <c r="B33" s="212">
        <v>46233</v>
      </c>
      <c r="C33" s="64"/>
      <c r="D33" s="152"/>
      <c r="E33" s="62"/>
      <c r="F33" s="62"/>
      <c r="G33" s="8">
        <f t="shared" si="5"/>
        <v>0</v>
      </c>
      <c r="H33" s="62"/>
      <c r="I33" s="63"/>
      <c r="J33" s="8">
        <f t="shared" si="6"/>
        <v>0</v>
      </c>
      <c r="K33" s="8">
        <f t="shared" si="7"/>
        <v>0</v>
      </c>
      <c r="L33" s="65">
        <f t="shared" si="3"/>
        <v>0</v>
      </c>
      <c r="M33" s="65">
        <v>0</v>
      </c>
      <c r="N33" s="8"/>
      <c r="O33" s="66"/>
    </row>
    <row r="34" spans="1:15">
      <c r="A34" s="215">
        <v>31</v>
      </c>
      <c r="B34" s="212">
        <v>46234</v>
      </c>
      <c r="C34" s="64"/>
      <c r="D34" s="152"/>
      <c r="E34" s="62"/>
      <c r="F34" s="62"/>
      <c r="G34" s="8">
        <f t="shared" si="0"/>
        <v>0</v>
      </c>
      <c r="H34" s="62"/>
      <c r="I34" s="63"/>
      <c r="J34" s="8">
        <f t="shared" ref="J9:J34" si="8">H34*I34</f>
        <v>0</v>
      </c>
      <c r="K34" s="8">
        <f t="shared" ref="K34" si="9">G34+J34</f>
        <v>0</v>
      </c>
      <c r="L34" s="65">
        <f t="shared" ref="L34" si="10">+K34</f>
        <v>0</v>
      </c>
      <c r="M34" s="65">
        <v>0</v>
      </c>
      <c r="N34" s="8"/>
      <c r="O34" s="66"/>
    </row>
    <row r="35" spans="1:15">
      <c r="A35" s="59"/>
      <c r="B35" s="59"/>
      <c r="C35" s="59"/>
      <c r="D35" s="59"/>
      <c r="E35" s="60">
        <f>SUM(E4:E34)</f>
        <v>121.96</v>
      </c>
      <c r="F35" s="60"/>
      <c r="G35" s="60">
        <f>SUM(G4:G34)</f>
        <v>11999.644399999999</v>
      </c>
      <c r="H35" s="60">
        <f>SUM(H4:H34)</f>
        <v>28.85</v>
      </c>
      <c r="I35" s="60"/>
      <c r="J35" s="60">
        <f>SUM(J4:J34)</f>
        <v>2632.7840000000001</v>
      </c>
      <c r="K35" s="60">
        <f>SUM(K4:K34)</f>
        <v>14632.428399999999</v>
      </c>
      <c r="L35" s="60">
        <f>SUM(L4:L34)</f>
        <v>14632.428399999999</v>
      </c>
      <c r="M35" s="60"/>
      <c r="N35" s="60"/>
      <c r="O35" s="56"/>
    </row>
    <row r="36" spans="1:15">
      <c r="A36" s="69"/>
      <c r="B36" s="70"/>
      <c r="C36" s="69"/>
      <c r="D36" s="69"/>
      <c r="E36" s="71"/>
      <c r="F36" s="71"/>
      <c r="G36" s="71"/>
      <c r="H36" s="71"/>
      <c r="I36" s="71"/>
      <c r="J36" s="72"/>
      <c r="K36" s="72"/>
      <c r="L36" s="72"/>
      <c r="M36" s="72"/>
      <c r="N36" s="71"/>
      <c r="O36" s="66"/>
    </row>
    <row r="37" spans="1:15">
      <c r="O37" s="66"/>
    </row>
    <row r="38" spans="1:15"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A42" s="66"/>
      <c r="B42" s="56"/>
      <c r="C42" s="66"/>
      <c r="D42" s="66"/>
      <c r="E42" s="66"/>
      <c r="F42" s="66"/>
      <c r="G42" s="73"/>
      <c r="H42" s="66"/>
      <c r="I42" s="66"/>
      <c r="J42" s="56"/>
      <c r="K42" s="56"/>
      <c r="L42" s="56"/>
      <c r="M42" s="56"/>
      <c r="N42" s="66"/>
      <c r="O42" s="71"/>
    </row>
    <row r="43" spans="1:15">
      <c r="A43" s="66"/>
      <c r="B43" s="558"/>
      <c r="C43" s="558"/>
      <c r="D43" s="558"/>
      <c r="E43" s="558"/>
      <c r="F43" s="66"/>
      <c r="G43" s="66"/>
      <c r="H43" s="66"/>
      <c r="I43" s="558"/>
      <c r="J43" s="558"/>
      <c r="K43" s="558"/>
      <c r="L43" s="558"/>
      <c r="M43" s="558"/>
      <c r="N43" s="558"/>
      <c r="O43" s="71"/>
    </row>
    <row r="44" spans="1:15">
      <c r="A44" s="66"/>
      <c r="B44" s="56"/>
      <c r="C44" s="66"/>
      <c r="D44" s="66"/>
      <c r="E44" s="66"/>
      <c r="F44" s="66"/>
      <c r="G44" s="66"/>
      <c r="H44" s="66"/>
      <c r="I44" s="66"/>
      <c r="J44" s="56"/>
      <c r="K44" s="56"/>
      <c r="L44" s="56"/>
      <c r="M44" s="56"/>
      <c r="N44" s="66"/>
      <c r="O44" s="71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259"/>
  <sheetViews>
    <sheetView workbookViewId="0">
      <pane ySplit="3" topLeftCell="A169" activePane="bottomLeft" state="frozen"/>
      <selection pane="bottomLeft" activeCell="G189" sqref="G189"/>
    </sheetView>
  </sheetViews>
  <sheetFormatPr defaultRowHeight="15"/>
  <cols>
    <col min="1" max="1" width="15" customWidth="1"/>
    <col min="2" max="2" width="18.7109375" customWidth="1"/>
    <col min="3" max="3" width="58.42578125" customWidth="1"/>
    <col min="4" max="4" width="15.5703125" customWidth="1"/>
    <col min="5" max="5" width="12.28515625" style="178" customWidth="1"/>
    <col min="6" max="6" width="12.85546875" style="178" customWidth="1"/>
    <col min="7" max="7" width="12.5703125" style="178" bestFit="1" customWidth="1"/>
    <col min="8" max="8" width="12.5703125" style="178" customWidth="1"/>
    <col min="9" max="10" width="9.140625" style="178"/>
    <col min="11" max="11" width="18.7109375" style="178" customWidth="1"/>
    <col min="12" max="12" width="24.140625" style="178" customWidth="1"/>
    <col min="13" max="13" width="16.5703125" style="178" customWidth="1"/>
    <col min="14" max="14" width="19.85546875" style="178" customWidth="1"/>
    <col min="15" max="15" width="13.42578125" style="178" customWidth="1"/>
    <col min="16" max="16" width="11.42578125" style="178" bestFit="1" customWidth="1"/>
    <col min="17" max="21" width="9.140625" style="178"/>
  </cols>
  <sheetData>
    <row r="1" spans="1:16" ht="15.75">
      <c r="A1" s="239" t="s">
        <v>296</v>
      </c>
      <c r="B1" s="239"/>
      <c r="C1" s="239"/>
      <c r="D1" s="239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</row>
    <row r="2" spans="1:16" ht="26.25" customHeight="1">
      <c r="A2" s="61" t="s">
        <v>0</v>
      </c>
      <c r="B2" s="80" t="s">
        <v>163</v>
      </c>
      <c r="C2" s="80" t="s">
        <v>297</v>
      </c>
      <c r="D2" s="80" t="s">
        <v>298</v>
      </c>
      <c r="E2" s="272" t="s">
        <v>166</v>
      </c>
      <c r="F2" s="272" t="s">
        <v>167</v>
      </c>
      <c r="G2" s="273" t="s">
        <v>168</v>
      </c>
      <c r="H2" s="272" t="s">
        <v>169</v>
      </c>
      <c r="I2" s="272" t="s">
        <v>167</v>
      </c>
      <c r="J2" s="273" t="s">
        <v>168</v>
      </c>
      <c r="K2" s="274" t="s">
        <v>170</v>
      </c>
      <c r="L2" s="275" t="s">
        <v>299</v>
      </c>
      <c r="M2" s="276" t="s">
        <v>187</v>
      </c>
      <c r="N2" s="272" t="s">
        <v>173</v>
      </c>
      <c r="O2" s="272" t="s">
        <v>300</v>
      </c>
    </row>
    <row r="3" spans="1:16" ht="15.75">
      <c r="A3" s="240" t="s">
        <v>174</v>
      </c>
      <c r="B3" s="240"/>
      <c r="C3" s="240"/>
      <c r="D3" s="240"/>
      <c r="E3" s="277"/>
      <c r="F3" s="277"/>
      <c r="G3" s="277"/>
      <c r="H3" s="277"/>
      <c r="I3" s="277"/>
      <c r="J3" s="277"/>
      <c r="K3" s="294">
        <v>0</v>
      </c>
      <c r="L3" s="294"/>
      <c r="M3" s="294"/>
      <c r="N3" s="294"/>
      <c r="O3" s="383"/>
    </row>
    <row r="4" spans="1:16">
      <c r="A4" s="382">
        <v>1</v>
      </c>
      <c r="B4" s="216">
        <v>46204</v>
      </c>
      <c r="C4" s="373" t="s">
        <v>301</v>
      </c>
      <c r="D4" s="373" t="s">
        <v>302</v>
      </c>
      <c r="E4" s="278">
        <v>40</v>
      </c>
      <c r="F4" s="278">
        <v>104.93</v>
      </c>
      <c r="G4" s="278">
        <f>E4*F4</f>
        <v>4197.2000000000007</v>
      </c>
      <c r="H4" s="101"/>
      <c r="I4" s="101"/>
      <c r="J4" s="278">
        <f>H4*I4</f>
        <v>0</v>
      </c>
      <c r="K4" s="278">
        <f t="shared" ref="K4:K67" si="0">G4+J4</f>
        <v>4197.2000000000007</v>
      </c>
      <c r="L4" s="279"/>
      <c r="M4" s="279">
        <f>K3+L4-K4</f>
        <v>-4197.2000000000007</v>
      </c>
      <c r="N4" s="279"/>
      <c r="O4" s="279"/>
      <c r="P4" s="178" t="s">
        <v>303</v>
      </c>
    </row>
    <row r="5" spans="1:16">
      <c r="A5" s="14">
        <v>2</v>
      </c>
      <c r="B5" s="216">
        <v>46204</v>
      </c>
      <c r="C5" s="373" t="s">
        <v>304</v>
      </c>
      <c r="D5" s="373" t="s">
        <v>48</v>
      </c>
      <c r="E5" s="101">
        <v>49.57</v>
      </c>
      <c r="F5" s="101">
        <v>103.84</v>
      </c>
      <c r="G5" s="278">
        <f>E5*F5</f>
        <v>5147.3487999999998</v>
      </c>
      <c r="H5" s="101"/>
      <c r="I5" s="101"/>
      <c r="J5" s="278">
        <f t="shared" ref="J5:J73" si="1">H5*I5</f>
        <v>0</v>
      </c>
      <c r="K5" s="278">
        <f>G5+J5</f>
        <v>5147.3487999999998</v>
      </c>
      <c r="L5" s="279"/>
      <c r="M5" s="278">
        <f>M4+L5-K5</f>
        <v>-9344.5488000000005</v>
      </c>
      <c r="N5" s="278"/>
      <c r="O5" s="278"/>
    </row>
    <row r="6" spans="1:16">
      <c r="A6" s="14">
        <v>3</v>
      </c>
      <c r="B6" s="216">
        <v>46204</v>
      </c>
      <c r="C6" s="391" t="s">
        <v>305</v>
      </c>
      <c r="D6" s="391" t="s">
        <v>302</v>
      </c>
      <c r="E6" s="177">
        <v>240</v>
      </c>
      <c r="F6" s="177">
        <v>105.21</v>
      </c>
      <c r="G6" s="278">
        <f>E6*F6</f>
        <v>25250.399999999998</v>
      </c>
      <c r="H6" s="101"/>
      <c r="I6" s="101"/>
      <c r="J6" s="278">
        <f t="shared" si="1"/>
        <v>0</v>
      </c>
      <c r="K6" s="278">
        <f>G6+J6</f>
        <v>25250.399999999998</v>
      </c>
      <c r="L6" s="279"/>
      <c r="M6" s="278">
        <f>M5+L6-K6</f>
        <v>-34594.948799999998</v>
      </c>
      <c r="N6" s="278"/>
      <c r="O6" s="278"/>
    </row>
    <row r="7" spans="1:16">
      <c r="A7" s="382">
        <v>4</v>
      </c>
      <c r="B7" s="216">
        <v>46204</v>
      </c>
      <c r="C7" s="391" t="s">
        <v>306</v>
      </c>
      <c r="D7" s="391" t="s">
        <v>307</v>
      </c>
      <c r="E7" s="177">
        <v>70</v>
      </c>
      <c r="F7" s="177">
        <v>100.05</v>
      </c>
      <c r="G7" s="278">
        <f>E7*F7</f>
        <v>7003.5</v>
      </c>
      <c r="H7" s="278"/>
      <c r="I7" s="101"/>
      <c r="J7" s="278">
        <f t="shared" si="1"/>
        <v>0</v>
      </c>
      <c r="K7" s="278">
        <f>G7+J7</f>
        <v>7003.5</v>
      </c>
      <c r="L7" s="279"/>
      <c r="M7" s="278">
        <f>M6+L7-K7</f>
        <v>-41598.448799999998</v>
      </c>
      <c r="N7" s="278"/>
      <c r="O7" s="278"/>
    </row>
    <row r="8" spans="1:16">
      <c r="A8" s="14">
        <v>5</v>
      </c>
      <c r="B8" s="216">
        <v>46204</v>
      </c>
      <c r="C8" s="391" t="s">
        <v>308</v>
      </c>
      <c r="D8" s="391" t="s">
        <v>302</v>
      </c>
      <c r="E8" s="177"/>
      <c r="F8" s="177"/>
      <c r="G8" s="278">
        <f>E8*F8</f>
        <v>0</v>
      </c>
      <c r="H8" s="278">
        <v>5</v>
      </c>
      <c r="I8" s="101">
        <v>117.98</v>
      </c>
      <c r="J8" s="278">
        <f t="shared" si="1"/>
        <v>589.9</v>
      </c>
      <c r="K8" s="278">
        <f>G8+J8</f>
        <v>589.9</v>
      </c>
      <c r="L8" s="279"/>
      <c r="M8" s="278">
        <f>M7+L8-K8</f>
        <v>-42188.3488</v>
      </c>
      <c r="N8" s="278"/>
      <c r="O8" s="278"/>
    </row>
    <row r="9" spans="1:16">
      <c r="A9" s="14">
        <v>6</v>
      </c>
      <c r="B9" s="216">
        <v>46204</v>
      </c>
      <c r="C9" s="391" t="s">
        <v>309</v>
      </c>
      <c r="D9" s="391" t="s">
        <v>53</v>
      </c>
      <c r="E9" s="278">
        <v>44</v>
      </c>
      <c r="F9" s="278">
        <v>99.62</v>
      </c>
      <c r="G9" s="278">
        <f>E9*F9</f>
        <v>4383.2800000000007</v>
      </c>
      <c r="H9" s="278"/>
      <c r="I9" s="101"/>
      <c r="J9" s="278">
        <f t="shared" si="1"/>
        <v>0</v>
      </c>
      <c r="K9" s="278">
        <f>G9+J9</f>
        <v>4383.2800000000007</v>
      </c>
      <c r="L9" s="279"/>
      <c r="M9" s="278">
        <f>M8+L9-K9</f>
        <v>-46571.628799999999</v>
      </c>
      <c r="N9" s="278"/>
      <c r="O9" s="278"/>
    </row>
    <row r="10" spans="1:16">
      <c r="A10" s="382">
        <v>7</v>
      </c>
      <c r="B10" s="216">
        <v>46205</v>
      </c>
      <c r="C10" s="391" t="s">
        <v>310</v>
      </c>
      <c r="D10" s="391" t="s">
        <v>302</v>
      </c>
      <c r="E10" s="278"/>
      <c r="F10" s="278"/>
      <c r="G10" s="278">
        <f>E10*F10</f>
        <v>0</v>
      </c>
      <c r="H10" s="101">
        <v>5</v>
      </c>
      <c r="I10" s="101">
        <v>116.99</v>
      </c>
      <c r="J10" s="278">
        <f t="shared" si="1"/>
        <v>584.94999999999993</v>
      </c>
      <c r="K10" s="278">
        <f>G10+J10</f>
        <v>584.94999999999993</v>
      </c>
      <c r="L10" s="279"/>
      <c r="M10" s="278">
        <f>M9+L10-K10</f>
        <v>-47156.578799999996</v>
      </c>
      <c r="N10" s="278"/>
      <c r="O10" s="278"/>
    </row>
    <row r="11" spans="1:16">
      <c r="A11" s="14">
        <v>8</v>
      </c>
      <c r="B11" s="216">
        <v>46205</v>
      </c>
      <c r="C11" s="391" t="s">
        <v>311</v>
      </c>
      <c r="D11" s="391" t="s">
        <v>302</v>
      </c>
      <c r="E11" s="278">
        <v>85.6</v>
      </c>
      <c r="F11" s="278">
        <v>104.62</v>
      </c>
      <c r="G11" s="278">
        <f>E11*F11</f>
        <v>8955.4719999999998</v>
      </c>
      <c r="H11" s="101"/>
      <c r="I11" s="101"/>
      <c r="J11" s="278">
        <f t="shared" si="1"/>
        <v>0</v>
      </c>
      <c r="K11" s="278">
        <f>G11+J11</f>
        <v>8955.4719999999998</v>
      </c>
      <c r="L11" s="279"/>
      <c r="M11" s="278">
        <f>M10+L11-K11</f>
        <v>-56112.050799999997</v>
      </c>
      <c r="N11" s="278"/>
      <c r="O11" s="278"/>
    </row>
    <row r="12" spans="1:16">
      <c r="A12" s="14">
        <v>9</v>
      </c>
      <c r="B12" s="216">
        <v>46205</v>
      </c>
      <c r="C12" s="391" t="s">
        <v>312</v>
      </c>
      <c r="D12" s="391" t="s">
        <v>302</v>
      </c>
      <c r="E12" s="278">
        <v>18</v>
      </c>
      <c r="F12" s="278">
        <v>105.35</v>
      </c>
      <c r="G12" s="278">
        <f>E12*F12</f>
        <v>1896.3</v>
      </c>
      <c r="H12" s="101"/>
      <c r="I12" s="101"/>
      <c r="J12" s="278">
        <f t="shared" si="1"/>
        <v>0</v>
      </c>
      <c r="K12" s="278">
        <f>G12+J12</f>
        <v>1896.3</v>
      </c>
      <c r="L12" s="279"/>
      <c r="M12" s="278">
        <f>M11+L12-K12</f>
        <v>-58008.3508</v>
      </c>
      <c r="N12" s="278"/>
      <c r="O12" s="278"/>
    </row>
    <row r="13" spans="1:16">
      <c r="A13" s="382">
        <v>10</v>
      </c>
      <c r="B13" s="216">
        <v>46205</v>
      </c>
      <c r="C13" s="391" t="s">
        <v>301</v>
      </c>
      <c r="D13" s="391" t="s">
        <v>302</v>
      </c>
      <c r="E13" s="101">
        <v>37.57</v>
      </c>
      <c r="F13" s="101">
        <v>104.93</v>
      </c>
      <c r="G13" s="278">
        <f>E13*F13</f>
        <v>3942.2201000000005</v>
      </c>
      <c r="H13" s="101"/>
      <c r="I13" s="101"/>
      <c r="J13" s="278">
        <f t="shared" si="1"/>
        <v>0</v>
      </c>
      <c r="K13" s="278">
        <f>G13+J13</f>
        <v>3942.2201000000005</v>
      </c>
      <c r="L13" s="279"/>
      <c r="M13" s="278">
        <f>M12+L13-K13</f>
        <v>-61950.570899999999</v>
      </c>
      <c r="N13" s="278"/>
      <c r="O13" s="278"/>
    </row>
    <row r="14" spans="1:16">
      <c r="A14" s="14">
        <v>11</v>
      </c>
      <c r="B14" s="216">
        <v>46205</v>
      </c>
      <c r="C14" s="391" t="s">
        <v>313</v>
      </c>
      <c r="D14" s="391" t="s">
        <v>44</v>
      </c>
      <c r="E14">
        <v>36.58</v>
      </c>
      <c r="F14" s="101">
        <v>103.82</v>
      </c>
      <c r="G14" s="278">
        <f>E14*F14</f>
        <v>3797.7355999999995</v>
      </c>
      <c r="H14" s="101"/>
      <c r="I14" s="101"/>
      <c r="J14" s="278">
        <f t="shared" si="1"/>
        <v>0</v>
      </c>
      <c r="K14" s="278">
        <f>G14+J14</f>
        <v>3797.7355999999995</v>
      </c>
      <c r="L14" s="279"/>
      <c r="M14" s="278">
        <f>M13+L14-K14</f>
        <v>-65748.306499999992</v>
      </c>
      <c r="N14" s="278"/>
      <c r="O14" s="278"/>
    </row>
    <row r="15" spans="1:16">
      <c r="A15" s="14">
        <v>12</v>
      </c>
      <c r="B15" s="216">
        <v>46205</v>
      </c>
      <c r="C15" s="391" t="s">
        <v>313</v>
      </c>
      <c r="D15" s="391" t="s">
        <v>40</v>
      </c>
      <c r="E15" s="278"/>
      <c r="F15" s="278"/>
      <c r="G15" s="278">
        <f>E15*F15</f>
        <v>0</v>
      </c>
      <c r="H15" s="101">
        <v>4.59</v>
      </c>
      <c r="I15" s="101">
        <v>115.69</v>
      </c>
      <c r="J15" s="278">
        <f t="shared" si="1"/>
        <v>531.01710000000003</v>
      </c>
      <c r="K15" s="278">
        <f>G15+J15</f>
        <v>531.01710000000003</v>
      </c>
      <c r="L15" s="279"/>
      <c r="M15" s="278">
        <f>M14+L15-K15</f>
        <v>-66279.323599999989</v>
      </c>
      <c r="N15" s="278"/>
      <c r="O15" s="278"/>
    </row>
    <row r="16" spans="1:16">
      <c r="A16" s="382">
        <v>13</v>
      </c>
      <c r="B16" s="216">
        <v>46205</v>
      </c>
      <c r="C16" s="391" t="s">
        <v>308</v>
      </c>
      <c r="D16" s="391" t="s">
        <v>302</v>
      </c>
      <c r="E16" s="278">
        <v>132.56</v>
      </c>
      <c r="F16" s="278">
        <v>105.59</v>
      </c>
      <c r="G16" s="278">
        <f>E16*F16</f>
        <v>13997.010400000001</v>
      </c>
      <c r="H16" s="101"/>
      <c r="I16" s="101"/>
      <c r="J16" s="278">
        <f t="shared" si="1"/>
        <v>0</v>
      </c>
      <c r="K16" s="278">
        <f>G16+J16</f>
        <v>13997.010400000001</v>
      </c>
      <c r="L16" s="279"/>
      <c r="M16" s="278">
        <f>M15+L16-K16</f>
        <v>-80276.333999999988</v>
      </c>
      <c r="N16" s="278"/>
      <c r="O16" s="278"/>
    </row>
    <row r="17" spans="1:15">
      <c r="A17" s="14">
        <v>14</v>
      </c>
      <c r="B17" s="216">
        <v>46205</v>
      </c>
      <c r="C17" s="391" t="s">
        <v>314</v>
      </c>
      <c r="D17" s="391" t="s">
        <v>302</v>
      </c>
      <c r="E17" s="278"/>
      <c r="F17" s="278"/>
      <c r="G17" s="278">
        <f>E17*F17</f>
        <v>0</v>
      </c>
      <c r="H17" s="101">
        <v>6</v>
      </c>
      <c r="I17" s="101">
        <v>117.62</v>
      </c>
      <c r="J17" s="278">
        <f t="shared" si="1"/>
        <v>705.72</v>
      </c>
      <c r="K17" s="278">
        <f>G17+J17</f>
        <v>705.72</v>
      </c>
      <c r="L17" s="279"/>
      <c r="M17" s="278">
        <f>M16+L17-K17</f>
        <v>-80982.053999999989</v>
      </c>
      <c r="N17" s="278"/>
      <c r="O17" s="278"/>
    </row>
    <row r="18" spans="1:15">
      <c r="A18" s="14">
        <v>15</v>
      </c>
      <c r="B18" s="216">
        <v>46205</v>
      </c>
      <c r="C18" s="391" t="s">
        <v>315</v>
      </c>
      <c r="D18" s="391" t="s">
        <v>302</v>
      </c>
      <c r="E18" s="278">
        <v>40</v>
      </c>
      <c r="F18" s="278">
        <v>105.46</v>
      </c>
      <c r="G18" s="278">
        <f>E18*F18</f>
        <v>4218.3999999999996</v>
      </c>
      <c r="H18" s="101"/>
      <c r="I18" s="101"/>
      <c r="J18" s="278">
        <f t="shared" si="1"/>
        <v>0</v>
      </c>
      <c r="K18" s="278">
        <f>G18+J18</f>
        <v>4218.3999999999996</v>
      </c>
      <c r="L18" s="279"/>
      <c r="M18" s="278">
        <f>M17+L18-K18</f>
        <v>-85200.453999999983</v>
      </c>
      <c r="N18" s="278"/>
      <c r="O18" s="278"/>
    </row>
    <row r="19" spans="1:15">
      <c r="A19" s="382">
        <v>16</v>
      </c>
      <c r="B19" s="216">
        <v>46206</v>
      </c>
      <c r="C19" s="391" t="s">
        <v>310</v>
      </c>
      <c r="D19" s="391" t="s">
        <v>302</v>
      </c>
      <c r="E19" s="278">
        <v>10</v>
      </c>
      <c r="F19" s="278">
        <v>104.7</v>
      </c>
      <c r="G19" s="278">
        <f>E19*F19</f>
        <v>1047</v>
      </c>
      <c r="H19" s="101">
        <v>5</v>
      </c>
      <c r="I19" s="101">
        <v>116.99</v>
      </c>
      <c r="J19" s="278">
        <f t="shared" si="1"/>
        <v>584.94999999999993</v>
      </c>
      <c r="K19" s="278">
        <f>G19+J19</f>
        <v>1631.9499999999998</v>
      </c>
      <c r="L19" s="279"/>
      <c r="M19" s="278">
        <f>M18+L19-K19</f>
        <v>-86832.40399999998</v>
      </c>
      <c r="N19" s="278"/>
      <c r="O19" s="278"/>
    </row>
    <row r="20" spans="1:15">
      <c r="A20" s="14">
        <v>17</v>
      </c>
      <c r="B20" s="216">
        <v>46206</v>
      </c>
      <c r="C20" s="391" t="s">
        <v>312</v>
      </c>
      <c r="D20" s="391" t="s">
        <v>302</v>
      </c>
      <c r="E20" s="278">
        <v>15</v>
      </c>
      <c r="F20" s="278">
        <v>117.72</v>
      </c>
      <c r="G20" s="278">
        <f>E20*F20</f>
        <v>1765.8</v>
      </c>
      <c r="H20" s="101">
        <v>190</v>
      </c>
      <c r="I20" s="101">
        <v>105.35</v>
      </c>
      <c r="J20" s="278">
        <f t="shared" si="1"/>
        <v>20016.5</v>
      </c>
      <c r="K20" s="278">
        <f>G20+J20</f>
        <v>21782.3</v>
      </c>
      <c r="L20" s="279"/>
      <c r="M20" s="278">
        <f>M19+L20-K20</f>
        <v>-108614.70399999998</v>
      </c>
      <c r="N20" s="278"/>
      <c r="O20" s="278"/>
    </row>
    <row r="21" spans="1:15">
      <c r="A21" s="14">
        <v>18</v>
      </c>
      <c r="B21" s="216">
        <v>46206</v>
      </c>
      <c r="C21" s="391" t="s">
        <v>306</v>
      </c>
      <c r="D21" s="391" t="s">
        <v>307</v>
      </c>
      <c r="E21" s="278">
        <v>36</v>
      </c>
      <c r="F21" s="278">
        <v>100.05</v>
      </c>
      <c r="G21" s="278">
        <f>E21*F21</f>
        <v>3601.7999999999997</v>
      </c>
      <c r="H21" s="101"/>
      <c r="I21" s="101"/>
      <c r="J21" s="278">
        <f t="shared" si="1"/>
        <v>0</v>
      </c>
      <c r="K21" s="278">
        <f>G21+J21</f>
        <v>3601.7999999999997</v>
      </c>
      <c r="L21" s="279"/>
      <c r="M21" s="278">
        <f>M20+L21-K21</f>
        <v>-112216.50399999999</v>
      </c>
      <c r="N21" s="278"/>
      <c r="O21" s="278"/>
    </row>
    <row r="22" spans="1:15">
      <c r="A22" s="382">
        <v>19</v>
      </c>
      <c r="B22" s="216">
        <v>46206</v>
      </c>
      <c r="C22" s="391" t="s">
        <v>316</v>
      </c>
      <c r="D22" s="391" t="s">
        <v>302</v>
      </c>
      <c r="E22" s="278">
        <v>51.03</v>
      </c>
      <c r="F22" s="278">
        <v>94.08</v>
      </c>
      <c r="G22" s="278">
        <f>E22*F22</f>
        <v>4800.9023999999999</v>
      </c>
      <c r="H22" s="101"/>
      <c r="I22" s="101"/>
      <c r="J22" s="278">
        <f t="shared" si="1"/>
        <v>0</v>
      </c>
      <c r="K22" s="278">
        <f>G22+J22</f>
        <v>4800.9023999999999</v>
      </c>
      <c r="L22" s="279"/>
      <c r="M22" s="278">
        <f>M21+L22-K22</f>
        <v>-117017.40639999999</v>
      </c>
      <c r="N22" s="278"/>
      <c r="O22" s="278"/>
    </row>
    <row r="23" spans="1:15">
      <c r="A23" s="14">
        <v>20</v>
      </c>
      <c r="B23" s="216">
        <v>46206</v>
      </c>
      <c r="C23" s="391" t="s">
        <v>317</v>
      </c>
      <c r="D23" s="391" t="s">
        <v>302</v>
      </c>
      <c r="E23" s="278">
        <v>69.150000000000006</v>
      </c>
      <c r="F23" s="278">
        <v>105.35</v>
      </c>
      <c r="G23" s="278">
        <f>E23*F23</f>
        <v>7284.9525000000003</v>
      </c>
      <c r="H23" s="101"/>
      <c r="I23" s="101"/>
      <c r="J23" s="278">
        <f t="shared" si="1"/>
        <v>0</v>
      </c>
      <c r="K23" s="278">
        <f>G23+J23</f>
        <v>7284.9525000000003</v>
      </c>
      <c r="L23" s="279"/>
      <c r="M23" s="278">
        <f>M22+L23-K23</f>
        <v>-124302.35889999999</v>
      </c>
      <c r="N23" s="278"/>
      <c r="O23" s="278"/>
    </row>
    <row r="24" spans="1:15">
      <c r="A24" s="14">
        <v>21</v>
      </c>
      <c r="B24" s="216">
        <v>46207</v>
      </c>
      <c r="C24" s="391" t="s">
        <v>312</v>
      </c>
      <c r="D24" s="391" t="s">
        <v>302</v>
      </c>
      <c r="E24" s="278">
        <v>40.01</v>
      </c>
      <c r="F24" s="278">
        <v>105.35</v>
      </c>
      <c r="G24" s="278">
        <f>E24*F24</f>
        <v>4215.0535</v>
      </c>
      <c r="H24" s="101">
        <v>5</v>
      </c>
      <c r="I24" s="101">
        <v>117.72</v>
      </c>
      <c r="J24" s="278">
        <f t="shared" si="1"/>
        <v>588.6</v>
      </c>
      <c r="K24" s="278">
        <f>G24+J24</f>
        <v>4803.6535000000003</v>
      </c>
      <c r="L24" s="279"/>
      <c r="M24" s="278">
        <f>M23+L24-K24</f>
        <v>-129106.01239999999</v>
      </c>
      <c r="N24" s="278"/>
      <c r="O24" s="278"/>
    </row>
    <row r="25" spans="1:15">
      <c r="A25" s="382">
        <v>22</v>
      </c>
      <c r="B25" s="216">
        <v>46207</v>
      </c>
      <c r="C25" s="391" t="s">
        <v>305</v>
      </c>
      <c r="D25" s="391" t="s">
        <v>302</v>
      </c>
      <c r="E25" s="101">
        <v>120</v>
      </c>
      <c r="F25" s="278">
        <v>105.21</v>
      </c>
      <c r="G25" s="278">
        <f>E25*F25</f>
        <v>12625.199999999999</v>
      </c>
      <c r="H25" s="101"/>
      <c r="I25" s="101"/>
      <c r="J25" s="278">
        <f t="shared" si="1"/>
        <v>0</v>
      </c>
      <c r="K25" s="278">
        <f>G25+J25</f>
        <v>12625.199999999999</v>
      </c>
      <c r="L25" s="279"/>
      <c r="M25" s="278">
        <f>M24+L25-K25</f>
        <v>-141731.21239999999</v>
      </c>
      <c r="N25" s="278"/>
      <c r="O25" s="278"/>
    </row>
    <row r="26" spans="1:15">
      <c r="A26" s="14">
        <v>23</v>
      </c>
      <c r="B26" s="216">
        <v>46207</v>
      </c>
      <c r="C26" s="391" t="s">
        <v>308</v>
      </c>
      <c r="D26" s="391" t="s">
        <v>302</v>
      </c>
      <c r="E26" s="278">
        <v>40.729999999999997</v>
      </c>
      <c r="F26" s="278">
        <v>105.59</v>
      </c>
      <c r="G26" s="278">
        <f>E26*F26</f>
        <v>4300.6806999999999</v>
      </c>
      <c r="H26" s="101">
        <v>5</v>
      </c>
      <c r="I26" s="101">
        <v>117.98</v>
      </c>
      <c r="J26" s="278">
        <f t="shared" si="1"/>
        <v>589.9</v>
      </c>
      <c r="K26" s="278">
        <f>G26+J26</f>
        <v>4890.5806999999995</v>
      </c>
      <c r="L26" s="279"/>
      <c r="M26" s="278">
        <f>M25+L26-K26</f>
        <v>-146621.79309999998</v>
      </c>
      <c r="N26" s="278"/>
      <c r="O26" s="278"/>
    </row>
    <row r="27" spans="1:15">
      <c r="A27" s="14">
        <v>24</v>
      </c>
      <c r="B27" s="216">
        <v>46207</v>
      </c>
      <c r="C27" s="391" t="s">
        <v>315</v>
      </c>
      <c r="D27" s="391" t="s">
        <v>302</v>
      </c>
      <c r="E27" s="278">
        <v>40</v>
      </c>
      <c r="F27" s="278">
        <v>105.46</v>
      </c>
      <c r="G27" s="278">
        <f>E27*F27</f>
        <v>4218.3999999999996</v>
      </c>
      <c r="H27" s="101">
        <v>5</v>
      </c>
      <c r="I27" s="101">
        <v>117.84</v>
      </c>
      <c r="J27" s="278">
        <f t="shared" si="1"/>
        <v>589.20000000000005</v>
      </c>
      <c r="K27" s="278">
        <f>G27+J27</f>
        <v>4807.5999999999995</v>
      </c>
      <c r="L27" s="279"/>
      <c r="M27" s="278">
        <f>M26+L27-K27</f>
        <v>-151429.39309999999</v>
      </c>
      <c r="N27" s="278"/>
      <c r="O27" s="278"/>
    </row>
    <row r="28" spans="1:15">
      <c r="A28" s="382">
        <v>25</v>
      </c>
      <c r="B28" s="216">
        <v>46207</v>
      </c>
      <c r="C28" s="391" t="s">
        <v>317</v>
      </c>
      <c r="D28" s="391" t="s">
        <v>302</v>
      </c>
      <c r="E28" s="278">
        <v>66.34</v>
      </c>
      <c r="F28" s="278">
        <v>105.35</v>
      </c>
      <c r="G28" s="278">
        <f>E28*F28</f>
        <v>6988.9189999999999</v>
      </c>
      <c r="H28" s="101"/>
      <c r="I28" s="101"/>
      <c r="J28" s="278">
        <f t="shared" si="1"/>
        <v>0</v>
      </c>
      <c r="K28" s="278">
        <f>G28+J28</f>
        <v>6988.9189999999999</v>
      </c>
      <c r="L28" s="279"/>
      <c r="M28" s="278">
        <f>M27+L28-K28</f>
        <v>-158418.31209999998</v>
      </c>
      <c r="N28" s="278"/>
      <c r="O28" s="278"/>
    </row>
    <row r="29" spans="1:15" ht="14.25" customHeight="1">
      <c r="A29" s="14">
        <v>26</v>
      </c>
      <c r="B29" s="216">
        <v>46207</v>
      </c>
      <c r="C29" s="391" t="s">
        <v>309</v>
      </c>
      <c r="D29" s="391" t="s">
        <v>53</v>
      </c>
      <c r="E29" s="278">
        <v>40</v>
      </c>
      <c r="F29" s="278">
        <v>99.62</v>
      </c>
      <c r="G29" s="278">
        <f>E29*F29</f>
        <v>3984.8</v>
      </c>
      <c r="H29" s="101"/>
      <c r="I29" s="101"/>
      <c r="J29" s="278">
        <f t="shared" si="1"/>
        <v>0</v>
      </c>
      <c r="K29" s="278">
        <f>G29+J29</f>
        <v>3984.8</v>
      </c>
      <c r="L29" s="279"/>
      <c r="M29" s="278">
        <f>M28+L29-K29</f>
        <v>-162403.11209999997</v>
      </c>
      <c r="N29" s="278"/>
      <c r="O29" s="278"/>
    </row>
    <row r="30" spans="1:15">
      <c r="A30" s="14">
        <v>27</v>
      </c>
      <c r="B30" s="216">
        <v>46207</v>
      </c>
      <c r="C30" s="391" t="s">
        <v>318</v>
      </c>
      <c r="D30" s="391" t="s">
        <v>51</v>
      </c>
      <c r="E30" s="278">
        <v>46.98</v>
      </c>
      <c r="F30" s="278">
        <v>100.07</v>
      </c>
      <c r="G30" s="278">
        <f>E30*F30</f>
        <v>4701.288599999999</v>
      </c>
      <c r="H30" s="101"/>
      <c r="I30" s="101"/>
      <c r="J30" s="278">
        <f t="shared" si="1"/>
        <v>0</v>
      </c>
      <c r="K30" s="278">
        <f>G30+J30</f>
        <v>4701.288599999999</v>
      </c>
      <c r="L30" s="279"/>
      <c r="M30" s="278">
        <f>M29+L30-K30</f>
        <v>-167104.40069999997</v>
      </c>
      <c r="N30" s="278"/>
      <c r="O30" s="278"/>
    </row>
    <row r="31" spans="1:15">
      <c r="A31" s="382">
        <v>28</v>
      </c>
      <c r="B31" s="216">
        <v>46208</v>
      </c>
      <c r="C31" s="391" t="s">
        <v>312</v>
      </c>
      <c r="D31" s="375" t="s">
        <v>302</v>
      </c>
      <c r="E31" s="278"/>
      <c r="F31" s="278"/>
      <c r="G31" s="278">
        <f>E31*F31</f>
        <v>0</v>
      </c>
      <c r="H31" s="101">
        <v>5</v>
      </c>
      <c r="I31" s="101">
        <v>117.72</v>
      </c>
      <c r="J31" s="278">
        <f t="shared" si="1"/>
        <v>588.6</v>
      </c>
      <c r="K31" s="278">
        <f>G31+J31</f>
        <v>588.6</v>
      </c>
      <c r="L31" s="279"/>
      <c r="M31" s="278">
        <f>M30+L31-K31</f>
        <v>-167693.00069999998</v>
      </c>
      <c r="N31" s="278"/>
      <c r="O31" s="278"/>
    </row>
    <row r="32" spans="1:15">
      <c r="A32" s="14">
        <v>29</v>
      </c>
      <c r="B32" s="216">
        <v>46208</v>
      </c>
      <c r="C32" s="391" t="s">
        <v>309</v>
      </c>
      <c r="D32" s="375" t="s">
        <v>53</v>
      </c>
      <c r="E32" s="101">
        <v>19.07</v>
      </c>
      <c r="F32" s="101">
        <v>99.62</v>
      </c>
      <c r="G32" s="278">
        <f>E32*F32</f>
        <v>1899.7534000000001</v>
      </c>
      <c r="H32" s="101"/>
      <c r="I32" s="101"/>
      <c r="J32" s="278">
        <f t="shared" si="1"/>
        <v>0</v>
      </c>
      <c r="K32" s="278">
        <f>G32+J32</f>
        <v>1899.7534000000001</v>
      </c>
      <c r="L32" s="279"/>
      <c r="M32" s="278">
        <f>M31+L32-K32</f>
        <v>-169592.75409999996</v>
      </c>
      <c r="N32" s="278"/>
      <c r="O32" s="278"/>
    </row>
    <row r="33" spans="1:16">
      <c r="A33" s="14">
        <v>30</v>
      </c>
      <c r="B33" s="216">
        <v>46208</v>
      </c>
      <c r="C33" s="391" t="s">
        <v>305</v>
      </c>
      <c r="D33" s="375" t="s">
        <v>302</v>
      </c>
      <c r="E33" s="101">
        <v>10</v>
      </c>
      <c r="F33" s="101">
        <v>105.21</v>
      </c>
      <c r="G33" s="278">
        <f>E33*F33</f>
        <v>1052.0999999999999</v>
      </c>
      <c r="H33" s="101"/>
      <c r="I33" s="101"/>
      <c r="J33" s="278">
        <f t="shared" si="1"/>
        <v>0</v>
      </c>
      <c r="K33" s="278">
        <f>G33+J33</f>
        <v>1052.0999999999999</v>
      </c>
      <c r="L33" s="279"/>
      <c r="M33" s="278">
        <f>M32+L33-K33</f>
        <v>-170644.85409999997</v>
      </c>
      <c r="N33" s="278"/>
      <c r="O33" s="278"/>
    </row>
    <row r="34" spans="1:16">
      <c r="A34" s="382">
        <v>31</v>
      </c>
      <c r="B34" s="216">
        <v>46208</v>
      </c>
      <c r="C34" s="391" t="s">
        <v>310</v>
      </c>
      <c r="D34" s="375" t="s">
        <v>302</v>
      </c>
      <c r="E34" s="101"/>
      <c r="F34" s="101"/>
      <c r="G34" s="278">
        <f>E34*F34</f>
        <v>0</v>
      </c>
      <c r="H34" s="101">
        <v>10.25</v>
      </c>
      <c r="I34" s="101">
        <v>116.99</v>
      </c>
      <c r="J34" s="278">
        <f t="shared" si="1"/>
        <v>1199.1475</v>
      </c>
      <c r="K34" s="278">
        <f>G34+J34</f>
        <v>1199.1475</v>
      </c>
      <c r="L34" s="279"/>
      <c r="M34" s="278">
        <f>M33+L34-K34</f>
        <v>-171844.00159999996</v>
      </c>
      <c r="N34" s="278"/>
      <c r="O34" s="278"/>
    </row>
    <row r="35" spans="1:16">
      <c r="A35" s="14">
        <v>32</v>
      </c>
      <c r="B35" s="216">
        <v>46209</v>
      </c>
      <c r="C35" s="391" t="s">
        <v>311</v>
      </c>
      <c r="D35" s="391" t="s">
        <v>302</v>
      </c>
      <c r="E35" s="101">
        <v>48.96</v>
      </c>
      <c r="F35" s="101">
        <v>104.62</v>
      </c>
      <c r="G35" s="278">
        <f>E35*F35</f>
        <v>5122.1952000000001</v>
      </c>
      <c r="H35" s="101"/>
      <c r="I35" s="101"/>
      <c r="J35" s="278">
        <f t="shared" si="1"/>
        <v>0</v>
      </c>
      <c r="K35" s="278">
        <f>G35+J35</f>
        <v>5122.1952000000001</v>
      </c>
      <c r="L35" s="279"/>
      <c r="M35" s="278">
        <f>M34+L35-K35</f>
        <v>-176966.19679999995</v>
      </c>
      <c r="N35" s="278"/>
      <c r="O35" s="278"/>
    </row>
    <row r="36" spans="1:16">
      <c r="A36" s="14">
        <v>33</v>
      </c>
      <c r="B36" s="216">
        <v>46209</v>
      </c>
      <c r="C36" s="391" t="s">
        <v>312</v>
      </c>
      <c r="D36" s="391" t="s">
        <v>302</v>
      </c>
      <c r="E36" s="278">
        <v>78.08</v>
      </c>
      <c r="F36" s="278">
        <v>105.35</v>
      </c>
      <c r="G36" s="278">
        <f>E36*F36</f>
        <v>8225.7279999999992</v>
      </c>
      <c r="H36" s="101">
        <v>10</v>
      </c>
      <c r="I36" s="101">
        <v>117.72</v>
      </c>
      <c r="J36" s="278">
        <f t="shared" si="1"/>
        <v>1177.2</v>
      </c>
      <c r="K36" s="278">
        <f>G36+J36</f>
        <v>9402.9279999999999</v>
      </c>
      <c r="L36" s="279"/>
      <c r="M36" s="278">
        <f>M35+L36-K36</f>
        <v>-186369.12479999993</v>
      </c>
      <c r="N36" s="278"/>
      <c r="O36" s="278"/>
    </row>
    <row r="37" spans="1:16">
      <c r="A37" s="382">
        <v>34</v>
      </c>
      <c r="B37" s="216">
        <v>46209</v>
      </c>
      <c r="C37" s="391" t="s">
        <v>319</v>
      </c>
      <c r="D37" s="391" t="s">
        <v>320</v>
      </c>
      <c r="E37" s="278">
        <v>37.86</v>
      </c>
      <c r="F37" s="278">
        <v>104.22</v>
      </c>
      <c r="G37" s="278">
        <f>E37*F37</f>
        <v>3945.7691999999997</v>
      </c>
      <c r="H37" s="101"/>
      <c r="I37" s="101"/>
      <c r="J37" s="278">
        <f t="shared" si="1"/>
        <v>0</v>
      </c>
      <c r="K37" s="278">
        <f>G37+J37</f>
        <v>3945.7691999999997</v>
      </c>
      <c r="L37" s="279"/>
      <c r="M37" s="278">
        <f>M36+L37-K37</f>
        <v>-190314.89399999994</v>
      </c>
      <c r="N37" s="278"/>
      <c r="O37" s="278"/>
    </row>
    <row r="38" spans="1:16">
      <c r="A38" s="14">
        <v>35</v>
      </c>
      <c r="B38" s="216">
        <v>46209</v>
      </c>
      <c r="C38" s="391" t="s">
        <v>305</v>
      </c>
      <c r="D38" s="391" t="s">
        <v>302</v>
      </c>
      <c r="E38" s="101">
        <v>144.19999999999999</v>
      </c>
      <c r="F38" s="101">
        <v>105.21</v>
      </c>
      <c r="G38" s="278">
        <f>E38*F38</f>
        <v>15171.281999999997</v>
      </c>
      <c r="H38" s="101"/>
      <c r="I38" s="101"/>
      <c r="J38" s="278">
        <f t="shared" si="1"/>
        <v>0</v>
      </c>
      <c r="K38" s="278">
        <f>G38+J38</f>
        <v>15171.281999999997</v>
      </c>
      <c r="L38" s="279"/>
      <c r="M38" s="278">
        <f>M37+L38-K38</f>
        <v>-205486.17599999995</v>
      </c>
      <c r="N38" s="278"/>
      <c r="O38" s="278"/>
    </row>
    <row r="39" spans="1:16">
      <c r="A39" s="14">
        <v>36</v>
      </c>
      <c r="B39" s="216">
        <v>46209</v>
      </c>
      <c r="C39" s="391" t="s">
        <v>306</v>
      </c>
      <c r="D39" s="391" t="s">
        <v>307</v>
      </c>
      <c r="E39" s="101"/>
      <c r="F39" s="101"/>
      <c r="G39" s="278">
        <f>E39*F39</f>
        <v>0</v>
      </c>
      <c r="H39" s="101">
        <v>12</v>
      </c>
      <c r="I39" s="101">
        <v>112.72</v>
      </c>
      <c r="J39" s="278">
        <f t="shared" si="1"/>
        <v>1352.6399999999999</v>
      </c>
      <c r="K39" s="278">
        <f>G39+J39</f>
        <v>1352.6399999999999</v>
      </c>
      <c r="L39" s="279"/>
      <c r="M39" s="278">
        <f>M38+L39-K39</f>
        <v>-206838.81599999996</v>
      </c>
      <c r="N39" s="278"/>
      <c r="O39" s="278"/>
    </row>
    <row r="40" spans="1:16">
      <c r="A40" s="382">
        <v>37</v>
      </c>
      <c r="B40" s="216">
        <v>46209</v>
      </c>
      <c r="C40" s="391" t="s">
        <v>308</v>
      </c>
      <c r="D40" s="391" t="s">
        <v>302</v>
      </c>
      <c r="E40" s="101"/>
      <c r="F40" s="101"/>
      <c r="G40" s="278">
        <f>E40*F40</f>
        <v>0</v>
      </c>
      <c r="H40" s="101">
        <v>5</v>
      </c>
      <c r="I40" s="101">
        <v>117.98</v>
      </c>
      <c r="J40" s="278">
        <f t="shared" si="1"/>
        <v>589.9</v>
      </c>
      <c r="K40" s="278">
        <f>G40+J40</f>
        <v>589.9</v>
      </c>
      <c r="L40" s="279"/>
      <c r="M40" s="278">
        <f>M39+L40-K40</f>
        <v>-207428.71599999996</v>
      </c>
      <c r="N40" s="278"/>
      <c r="O40" s="278"/>
    </row>
    <row r="41" spans="1:16">
      <c r="A41" s="14">
        <v>38</v>
      </c>
      <c r="B41" s="216">
        <v>46209</v>
      </c>
      <c r="C41" s="391" t="s">
        <v>314</v>
      </c>
      <c r="D41" s="391" t="s">
        <v>302</v>
      </c>
      <c r="E41" s="101"/>
      <c r="F41" s="101"/>
      <c r="G41" s="278">
        <f>E41*F41</f>
        <v>0</v>
      </c>
      <c r="H41" s="101">
        <v>12.99</v>
      </c>
      <c r="I41" s="101">
        <v>117.62</v>
      </c>
      <c r="J41" s="278">
        <f t="shared" si="1"/>
        <v>1527.8838000000001</v>
      </c>
      <c r="K41" s="278">
        <f>G41+J41</f>
        <v>1527.8838000000001</v>
      </c>
      <c r="L41" s="279"/>
      <c r="M41" s="278">
        <f>M40+L41-K41</f>
        <v>-208956.59979999997</v>
      </c>
      <c r="N41" s="278"/>
      <c r="O41" s="278"/>
    </row>
    <row r="42" spans="1:16">
      <c r="A42" s="14">
        <v>39</v>
      </c>
      <c r="B42" s="216">
        <v>46209</v>
      </c>
      <c r="C42" s="373" t="s">
        <v>309</v>
      </c>
      <c r="D42" s="373" t="s">
        <v>53</v>
      </c>
      <c r="E42" s="278">
        <v>38.340000000000003</v>
      </c>
      <c r="F42" s="278">
        <v>99.62</v>
      </c>
      <c r="G42" s="278">
        <f>E42*F42</f>
        <v>3819.4308000000005</v>
      </c>
      <c r="H42" s="101"/>
      <c r="I42" s="101"/>
      <c r="J42" s="278">
        <f t="shared" si="1"/>
        <v>0</v>
      </c>
      <c r="K42" s="278">
        <f>G42+J42</f>
        <v>3819.4308000000005</v>
      </c>
      <c r="L42" s="279"/>
      <c r="M42" s="278">
        <f>M41+L42-K42</f>
        <v>-212776.03059999997</v>
      </c>
      <c r="N42" s="278"/>
      <c r="O42" s="278"/>
    </row>
    <row r="43" spans="1:16">
      <c r="A43" s="382">
        <v>40</v>
      </c>
      <c r="B43" s="400">
        <v>46210</v>
      </c>
      <c r="C43" s="373" t="s">
        <v>310</v>
      </c>
      <c r="D43" s="373" t="s">
        <v>302</v>
      </c>
      <c r="E43" s="278">
        <v>10</v>
      </c>
      <c r="F43" s="278">
        <v>104.7</v>
      </c>
      <c r="G43" s="278">
        <f>E43*F43</f>
        <v>1047</v>
      </c>
      <c r="H43" s="101"/>
      <c r="I43" s="101"/>
      <c r="J43" s="278">
        <f t="shared" si="1"/>
        <v>0</v>
      </c>
      <c r="K43" s="278">
        <f>G43+J43</f>
        <v>1047</v>
      </c>
      <c r="L43" s="279"/>
      <c r="M43" s="278">
        <f>M42+L43-K43</f>
        <v>-213823.03059999997</v>
      </c>
      <c r="N43" s="278"/>
      <c r="O43" s="278"/>
    </row>
    <row r="44" spans="1:16">
      <c r="A44" s="14">
        <v>41</v>
      </c>
      <c r="B44" s="216">
        <v>46210</v>
      </c>
      <c r="C44" s="373" t="s">
        <v>321</v>
      </c>
      <c r="D44" s="373" t="s">
        <v>40</v>
      </c>
      <c r="E44" s="395"/>
      <c r="F44" s="393"/>
      <c r="G44" s="278">
        <f>E44*F44</f>
        <v>0</v>
      </c>
      <c r="H44" s="101">
        <v>4.34</v>
      </c>
      <c r="I44" s="101">
        <v>115.69</v>
      </c>
      <c r="J44" s="278">
        <f t="shared" si="1"/>
        <v>502.09459999999996</v>
      </c>
      <c r="K44" s="278">
        <f>G44+J44</f>
        <v>502.09459999999996</v>
      </c>
      <c r="L44" s="279"/>
      <c r="M44" s="278">
        <f>M43+L44-K44</f>
        <v>-214325.12519999998</v>
      </c>
      <c r="N44" s="278"/>
      <c r="O44" s="278"/>
      <c r="P44" s="372"/>
    </row>
    <row r="45" spans="1:16">
      <c r="A45" s="14">
        <v>42</v>
      </c>
      <c r="B45" s="216">
        <v>46210</v>
      </c>
      <c r="C45" s="373" t="s">
        <v>322</v>
      </c>
      <c r="D45" s="373" t="s">
        <v>302</v>
      </c>
      <c r="E45" s="396">
        <v>50.52</v>
      </c>
      <c r="F45" s="101">
        <v>105.58</v>
      </c>
      <c r="G45" s="278">
        <f>E45*F45</f>
        <v>5333.9016000000001</v>
      </c>
      <c r="H45" s="101"/>
      <c r="I45" s="101"/>
      <c r="J45" s="278">
        <f t="shared" si="1"/>
        <v>0</v>
      </c>
      <c r="K45" s="278">
        <f>G45+J45</f>
        <v>5333.9016000000001</v>
      </c>
      <c r="L45" s="279"/>
      <c r="M45" s="278">
        <f>M44+L45-K45</f>
        <v>-219659.02679999999</v>
      </c>
      <c r="N45" s="278"/>
      <c r="O45" s="278"/>
    </row>
    <row r="46" spans="1:16">
      <c r="A46" s="382">
        <v>43</v>
      </c>
      <c r="B46" s="216">
        <v>46210</v>
      </c>
      <c r="C46" s="373" t="s">
        <v>305</v>
      </c>
      <c r="D46" s="373" t="s">
        <v>302</v>
      </c>
      <c r="E46" s="296">
        <v>120</v>
      </c>
      <c r="F46" s="375">
        <v>105.21</v>
      </c>
      <c r="G46" s="278">
        <f>E46*F46</f>
        <v>12625.199999999999</v>
      </c>
      <c r="H46" s="392"/>
      <c r="I46" s="101"/>
      <c r="J46" s="278">
        <f t="shared" si="1"/>
        <v>0</v>
      </c>
      <c r="K46" s="278">
        <f>G46+J46</f>
        <v>12625.199999999999</v>
      </c>
      <c r="L46" s="279"/>
      <c r="M46" s="278">
        <f>M45+L46-K46</f>
        <v>-232284.2268</v>
      </c>
      <c r="N46" s="278"/>
      <c r="O46" s="278"/>
    </row>
    <row r="47" spans="1:16">
      <c r="A47" s="14">
        <v>44</v>
      </c>
      <c r="B47" s="216">
        <v>46210</v>
      </c>
      <c r="C47" s="373" t="s">
        <v>306</v>
      </c>
      <c r="D47" s="373" t="s">
        <v>307</v>
      </c>
      <c r="E47" s="364">
        <v>20</v>
      </c>
      <c r="F47" s="393">
        <v>100.05</v>
      </c>
      <c r="G47" s="278">
        <f>E47*F47</f>
        <v>2001</v>
      </c>
      <c r="H47" s="101"/>
      <c r="I47" s="375"/>
      <c r="J47" s="278">
        <f t="shared" si="1"/>
        <v>0</v>
      </c>
      <c r="K47" s="278">
        <f>G47+J47</f>
        <v>2001</v>
      </c>
      <c r="L47" s="279"/>
      <c r="M47" s="278">
        <f>M46+L47-K47</f>
        <v>-234285.2268</v>
      </c>
      <c r="N47" s="278"/>
      <c r="O47" s="278"/>
    </row>
    <row r="48" spans="1:16">
      <c r="A48" s="14">
        <v>45</v>
      </c>
      <c r="B48" s="216">
        <v>46210</v>
      </c>
      <c r="C48" s="373" t="s">
        <v>323</v>
      </c>
      <c r="D48" s="373" t="s">
        <v>53</v>
      </c>
      <c r="E48" s="396">
        <v>44</v>
      </c>
      <c r="F48" s="101">
        <v>99.18</v>
      </c>
      <c r="G48" s="278">
        <f>E48*F48</f>
        <v>4363.92</v>
      </c>
      <c r="H48" s="293"/>
      <c r="I48" s="101"/>
      <c r="J48" s="278">
        <f t="shared" si="1"/>
        <v>0</v>
      </c>
      <c r="K48" s="278">
        <f>G48+J48</f>
        <v>4363.92</v>
      </c>
      <c r="L48" s="279"/>
      <c r="M48" s="278">
        <f>M47+L48-K48</f>
        <v>-238649.14680000002</v>
      </c>
      <c r="N48" s="278"/>
      <c r="O48" s="278"/>
    </row>
    <row r="49" spans="1:15">
      <c r="A49" s="382">
        <v>46</v>
      </c>
      <c r="B49" s="216">
        <v>46210</v>
      </c>
      <c r="C49" s="373" t="s">
        <v>308</v>
      </c>
      <c r="D49" s="373" t="s">
        <v>302</v>
      </c>
      <c r="E49" s="296"/>
      <c r="F49" s="375"/>
      <c r="G49" s="278">
        <f>E49*F49</f>
        <v>0</v>
      </c>
      <c r="H49" s="217">
        <v>11</v>
      </c>
      <c r="I49" s="101">
        <v>117.98</v>
      </c>
      <c r="J49" s="278">
        <f t="shared" si="1"/>
        <v>1297.78</v>
      </c>
      <c r="K49" s="278">
        <f>G49+J49</f>
        <v>1297.78</v>
      </c>
      <c r="L49" s="279"/>
      <c r="M49" s="278">
        <f>M48+L49-K49</f>
        <v>-239946.92680000002</v>
      </c>
      <c r="N49" s="278"/>
      <c r="O49" s="278"/>
    </row>
    <row r="50" spans="1:15">
      <c r="A50" s="14">
        <v>47</v>
      </c>
      <c r="B50" s="216">
        <v>46210</v>
      </c>
      <c r="C50" s="373" t="s">
        <v>315</v>
      </c>
      <c r="D50" s="373" t="s">
        <v>302</v>
      </c>
      <c r="E50" s="308">
        <v>30</v>
      </c>
      <c r="F50" s="101">
        <v>105.46</v>
      </c>
      <c r="G50" s="278">
        <f>E50*F50</f>
        <v>3163.7999999999997</v>
      </c>
      <c r="H50" s="41"/>
      <c r="I50" s="375"/>
      <c r="J50" s="278">
        <f t="shared" si="1"/>
        <v>0</v>
      </c>
      <c r="K50" s="278">
        <f>G50+J50</f>
        <v>3163.7999999999997</v>
      </c>
      <c r="L50" s="279"/>
      <c r="M50" s="278">
        <f>M49+L50-K50</f>
        <v>-243110.7268</v>
      </c>
      <c r="N50" s="278"/>
      <c r="O50" s="278"/>
    </row>
    <row r="51" spans="1:15">
      <c r="A51" s="14">
        <v>48</v>
      </c>
      <c r="B51" s="216">
        <v>46211</v>
      </c>
      <c r="C51" s="373" t="s">
        <v>310</v>
      </c>
      <c r="D51" s="373" t="s">
        <v>302</v>
      </c>
      <c r="E51" s="296">
        <v>51.25</v>
      </c>
      <c r="F51" s="375">
        <v>104.7</v>
      </c>
      <c r="G51" s="278">
        <f>E51*F51</f>
        <v>5365.875</v>
      </c>
      <c r="H51" s="401">
        <v>5</v>
      </c>
      <c r="I51" s="101">
        <v>116.99</v>
      </c>
      <c r="J51" s="278">
        <f t="shared" si="1"/>
        <v>584.94999999999993</v>
      </c>
      <c r="K51" s="278">
        <f>G51+J51</f>
        <v>5950.8249999999998</v>
      </c>
      <c r="L51" s="279"/>
      <c r="M51" s="278">
        <f>M50+L51-K51</f>
        <v>-249061.55180000002</v>
      </c>
      <c r="N51" s="278"/>
      <c r="O51" s="278"/>
    </row>
    <row r="52" spans="1:15">
      <c r="A52" s="382">
        <v>49</v>
      </c>
      <c r="B52" s="216">
        <v>46211</v>
      </c>
      <c r="C52" s="373" t="s">
        <v>312</v>
      </c>
      <c r="D52" s="373" t="s">
        <v>302</v>
      </c>
      <c r="E52" s="296">
        <v>130.25</v>
      </c>
      <c r="F52" s="101">
        <v>105.35</v>
      </c>
      <c r="G52" s="278">
        <f>E52*F52</f>
        <v>13721.8375</v>
      </c>
      <c r="H52" s="101"/>
      <c r="I52" s="375"/>
      <c r="J52" s="278">
        <f t="shared" si="1"/>
        <v>0</v>
      </c>
      <c r="K52" s="278">
        <f>G52+J52</f>
        <v>13721.8375</v>
      </c>
      <c r="L52" s="279"/>
      <c r="M52" s="278">
        <f>M51+L52-K52</f>
        <v>-262783.38930000004</v>
      </c>
      <c r="N52" s="278"/>
      <c r="O52" s="278"/>
    </row>
    <row r="53" spans="1:15">
      <c r="A53" s="14">
        <v>50</v>
      </c>
      <c r="B53" s="216">
        <v>46211</v>
      </c>
      <c r="C53" s="373" t="s">
        <v>305</v>
      </c>
      <c r="D53" s="373" t="s">
        <v>302</v>
      </c>
      <c r="E53" s="296">
        <v>213.54</v>
      </c>
      <c r="F53" s="375">
        <v>105.21</v>
      </c>
      <c r="G53" s="278">
        <f>E53*F53</f>
        <v>22466.543399999999</v>
      </c>
      <c r="H53" s="293"/>
      <c r="I53" s="101"/>
      <c r="J53" s="278">
        <f t="shared" si="1"/>
        <v>0</v>
      </c>
      <c r="K53" s="278">
        <f>G53+J53</f>
        <v>22466.543399999999</v>
      </c>
      <c r="L53" s="279"/>
      <c r="M53" s="278">
        <f>M52+L53-K53</f>
        <v>-285249.93270000006</v>
      </c>
      <c r="N53" s="278"/>
      <c r="O53" s="278"/>
    </row>
    <row r="54" spans="1:15">
      <c r="A54" s="14">
        <v>51</v>
      </c>
      <c r="B54" s="216">
        <v>46211</v>
      </c>
      <c r="C54" s="373" t="s">
        <v>308</v>
      </c>
      <c r="D54" s="373" t="s">
        <v>302</v>
      </c>
      <c r="E54" s="395">
        <v>35.68</v>
      </c>
      <c r="F54" s="375">
        <v>105.59</v>
      </c>
      <c r="G54" s="278">
        <f>E54*F54</f>
        <v>3767.4512</v>
      </c>
      <c r="H54" s="392">
        <v>5</v>
      </c>
      <c r="I54" s="392">
        <v>117.98</v>
      </c>
      <c r="J54" s="393">
        <f t="shared" si="1"/>
        <v>589.9</v>
      </c>
      <c r="K54" s="278">
        <f>G54+J54</f>
        <v>4357.3512000000001</v>
      </c>
      <c r="L54" s="279"/>
      <c r="M54" s="278">
        <f>M53+L54-K54</f>
        <v>-289607.28390000004</v>
      </c>
      <c r="N54" s="278"/>
      <c r="O54" s="278"/>
    </row>
    <row r="55" spans="1:15">
      <c r="A55" s="382">
        <v>52</v>
      </c>
      <c r="B55" s="403">
        <v>46211</v>
      </c>
      <c r="C55" s="373" t="s">
        <v>315</v>
      </c>
      <c r="D55" s="373" t="s">
        <v>302</v>
      </c>
      <c r="E55" s="101">
        <v>40</v>
      </c>
      <c r="F55" s="101">
        <v>105.46</v>
      </c>
      <c r="G55" s="278">
        <f>E55*F55</f>
        <v>4218.3999999999996</v>
      </c>
      <c r="H55" s="101"/>
      <c r="I55" s="101"/>
      <c r="J55" s="278">
        <f t="shared" si="1"/>
        <v>0</v>
      </c>
      <c r="K55" s="278">
        <f>G55+J55</f>
        <v>4218.3999999999996</v>
      </c>
      <c r="L55" s="406"/>
      <c r="M55" s="278">
        <f>M54+L55-K55</f>
        <v>-293825.68390000006</v>
      </c>
      <c r="N55" s="278"/>
      <c r="O55" s="278"/>
    </row>
    <row r="56" spans="1:15">
      <c r="A56" s="14">
        <v>53</v>
      </c>
      <c r="B56" s="404">
        <v>46211</v>
      </c>
      <c r="C56" s="373" t="s">
        <v>317</v>
      </c>
      <c r="D56" s="373" t="s">
        <v>302</v>
      </c>
      <c r="E56" s="101">
        <v>100</v>
      </c>
      <c r="F56" s="101">
        <v>105.35</v>
      </c>
      <c r="G56" s="278">
        <f>E56*F56</f>
        <v>10535</v>
      </c>
      <c r="H56" s="101"/>
      <c r="I56" s="101"/>
      <c r="J56" s="278">
        <f t="shared" si="1"/>
        <v>0</v>
      </c>
      <c r="K56" s="278">
        <f>G56+J56</f>
        <v>10535</v>
      </c>
      <c r="L56" s="407"/>
      <c r="M56" s="280">
        <f>M55+L56-K56</f>
        <v>-304360.68390000006</v>
      </c>
      <c r="N56" s="278"/>
      <c r="O56" s="278"/>
    </row>
    <row r="57" spans="1:15" ht="15" customHeight="1">
      <c r="A57" s="14">
        <v>54</v>
      </c>
      <c r="B57" s="404">
        <v>46212</v>
      </c>
      <c r="C57" s="373" t="s">
        <v>310</v>
      </c>
      <c r="D57" s="373" t="s">
        <v>302</v>
      </c>
      <c r="E57" s="101"/>
      <c r="F57" s="101"/>
      <c r="G57" s="278">
        <f>E57*F57</f>
        <v>0</v>
      </c>
      <c r="H57" s="101">
        <v>10</v>
      </c>
      <c r="I57" s="101">
        <v>116.99</v>
      </c>
      <c r="J57" s="278">
        <f t="shared" si="1"/>
        <v>1169.8999999999999</v>
      </c>
      <c r="K57" s="278">
        <f>G57+J57</f>
        <v>1169.8999999999999</v>
      </c>
      <c r="L57" s="407"/>
      <c r="M57" s="280">
        <f>M56+L57-K57</f>
        <v>-305530.58390000009</v>
      </c>
      <c r="N57" s="278"/>
      <c r="O57" s="278"/>
    </row>
    <row r="58" spans="1:15" ht="15" customHeight="1">
      <c r="A58" s="382">
        <v>55</v>
      </c>
      <c r="B58" s="404">
        <v>46212</v>
      </c>
      <c r="C58" s="373" t="s">
        <v>324</v>
      </c>
      <c r="D58" s="373" t="s">
        <v>302</v>
      </c>
      <c r="E58" s="101"/>
      <c r="F58" s="101"/>
      <c r="G58" s="278">
        <f>E58*F58</f>
        <v>0</v>
      </c>
      <c r="H58" s="101">
        <v>5</v>
      </c>
      <c r="I58" s="101">
        <v>117.98</v>
      </c>
      <c r="J58" s="278">
        <f t="shared" si="1"/>
        <v>589.9</v>
      </c>
      <c r="K58" s="278">
        <f>G58+J58</f>
        <v>589.9</v>
      </c>
      <c r="L58" s="407"/>
      <c r="M58" s="280">
        <f>M57+L58-K58</f>
        <v>-306120.48390000011</v>
      </c>
      <c r="N58" s="278"/>
      <c r="O58" s="278"/>
    </row>
    <row r="59" spans="1:15" ht="15" customHeight="1">
      <c r="A59" s="14">
        <v>56</v>
      </c>
      <c r="B59" s="404">
        <v>46212</v>
      </c>
      <c r="C59" s="373" t="s">
        <v>311</v>
      </c>
      <c r="D59" s="373" t="s">
        <v>302</v>
      </c>
      <c r="E59" s="101">
        <v>48.14</v>
      </c>
      <c r="F59" s="101">
        <v>104.62</v>
      </c>
      <c r="G59" s="278">
        <f>E59*F59</f>
        <v>5036.4068000000007</v>
      </c>
      <c r="H59" s="101"/>
      <c r="I59" s="101"/>
      <c r="J59" s="278">
        <f t="shared" si="1"/>
        <v>0</v>
      </c>
      <c r="K59" s="278">
        <f>G59+J59</f>
        <v>5036.4068000000007</v>
      </c>
      <c r="L59" s="407"/>
      <c r="M59" s="280">
        <f>M58+L59-K59</f>
        <v>-311156.89070000011</v>
      </c>
      <c r="N59" s="278"/>
      <c r="O59" s="278"/>
    </row>
    <row r="60" spans="1:15" ht="15" customHeight="1">
      <c r="A60" s="14">
        <v>57</v>
      </c>
      <c r="B60" s="404">
        <v>46212</v>
      </c>
      <c r="C60" s="373" t="s">
        <v>325</v>
      </c>
      <c r="D60" s="373" t="s">
        <v>48</v>
      </c>
      <c r="E60" s="101">
        <v>50.13</v>
      </c>
      <c r="F60" s="101">
        <v>103.85</v>
      </c>
      <c r="G60" s="278">
        <f>E60*F60</f>
        <v>5206.0005000000001</v>
      </c>
      <c r="H60" s="101"/>
      <c r="I60" s="101"/>
      <c r="J60" s="278">
        <f t="shared" si="1"/>
        <v>0</v>
      </c>
      <c r="K60" s="278">
        <f>G60+J60</f>
        <v>5206.0005000000001</v>
      </c>
      <c r="L60" s="407"/>
      <c r="M60" s="280">
        <f>M59+L60-K60</f>
        <v>-316362.89120000013</v>
      </c>
      <c r="N60" s="278"/>
      <c r="O60" s="278"/>
    </row>
    <row r="61" spans="1:15" ht="15" customHeight="1">
      <c r="A61" s="382">
        <v>58</v>
      </c>
      <c r="B61" s="404">
        <v>46212</v>
      </c>
      <c r="C61" s="373" t="s">
        <v>312</v>
      </c>
      <c r="D61" s="373" t="s">
        <v>302</v>
      </c>
      <c r="E61" s="101"/>
      <c r="F61" s="101"/>
      <c r="G61" s="278">
        <f>E61*F61</f>
        <v>0</v>
      </c>
      <c r="H61" s="101">
        <v>10</v>
      </c>
      <c r="I61" s="101">
        <v>117.98</v>
      </c>
      <c r="J61" s="278">
        <f t="shared" si="1"/>
        <v>1179.8</v>
      </c>
      <c r="K61" s="278">
        <f>G61+J61</f>
        <v>1179.8</v>
      </c>
      <c r="L61" s="407"/>
      <c r="M61" s="280">
        <f>M60+L61-K61</f>
        <v>-317542.69120000012</v>
      </c>
      <c r="N61" s="278"/>
      <c r="O61" s="278"/>
    </row>
    <row r="62" spans="1:15" ht="15" customHeight="1">
      <c r="A62" s="14">
        <v>59</v>
      </c>
      <c r="B62" s="404">
        <v>46212</v>
      </c>
      <c r="C62" s="373" t="s">
        <v>305</v>
      </c>
      <c r="D62" s="373" t="s">
        <v>302</v>
      </c>
      <c r="E62" s="101">
        <v>400</v>
      </c>
      <c r="F62" s="101">
        <v>105.21</v>
      </c>
      <c r="G62" s="278">
        <f>E62*F62</f>
        <v>42084</v>
      </c>
      <c r="H62" s="101"/>
      <c r="I62" s="101"/>
      <c r="J62" s="278">
        <f t="shared" si="1"/>
        <v>0</v>
      </c>
      <c r="K62" s="278">
        <f>G62+J62</f>
        <v>42084</v>
      </c>
      <c r="L62" s="407"/>
      <c r="M62" s="280">
        <f>M61+L62-K62</f>
        <v>-359626.69120000012</v>
      </c>
      <c r="N62" s="278"/>
      <c r="O62" s="278"/>
    </row>
    <row r="63" spans="1:15">
      <c r="A63" s="14">
        <v>60</v>
      </c>
      <c r="B63" s="404">
        <v>46212</v>
      </c>
      <c r="C63" s="101" t="s">
        <v>306</v>
      </c>
      <c r="D63" s="101" t="s">
        <v>307</v>
      </c>
      <c r="E63" s="278">
        <v>39</v>
      </c>
      <c r="F63" s="101">
        <v>100.05</v>
      </c>
      <c r="G63" s="278">
        <f>E63*F63</f>
        <v>3901.95</v>
      </c>
      <c r="H63" s="101"/>
      <c r="I63" s="101"/>
      <c r="J63" s="278">
        <f t="shared" si="1"/>
        <v>0</v>
      </c>
      <c r="K63" s="278">
        <f>G63+J63</f>
        <v>3901.95</v>
      </c>
      <c r="L63" s="407"/>
      <c r="M63" s="280">
        <f>M62+L63-K63</f>
        <v>-363528.64120000013</v>
      </c>
      <c r="N63" s="278"/>
      <c r="O63" s="278"/>
    </row>
    <row r="64" spans="1:15">
      <c r="A64" s="382">
        <v>61</v>
      </c>
      <c r="B64" s="405">
        <v>46212</v>
      </c>
      <c r="C64" s="101" t="s">
        <v>315</v>
      </c>
      <c r="D64" s="101" t="s">
        <v>302</v>
      </c>
      <c r="E64" s="278"/>
      <c r="F64" s="101"/>
      <c r="G64" s="278">
        <f>E64*F64</f>
        <v>0</v>
      </c>
      <c r="H64" s="101">
        <v>8</v>
      </c>
      <c r="I64" s="101">
        <v>117.84</v>
      </c>
      <c r="J64" s="278">
        <f t="shared" si="1"/>
        <v>942.72</v>
      </c>
      <c r="K64" s="278">
        <f>G64+J64</f>
        <v>942.72</v>
      </c>
      <c r="L64" s="408"/>
      <c r="M64" s="280">
        <f>M63+L64-K64</f>
        <v>-364471.3612000001</v>
      </c>
      <c r="N64" s="278"/>
      <c r="O64" s="278"/>
    </row>
    <row r="65" spans="1:15">
      <c r="A65" s="14">
        <v>62</v>
      </c>
      <c r="B65" s="404">
        <v>46212</v>
      </c>
      <c r="C65" s="101" t="s">
        <v>317</v>
      </c>
      <c r="D65" s="101" t="s">
        <v>302</v>
      </c>
      <c r="E65" s="101">
        <v>48.35</v>
      </c>
      <c r="F65" s="101">
        <v>105.35</v>
      </c>
      <c r="G65" s="278">
        <f>E65*F65</f>
        <v>5093.6724999999997</v>
      </c>
      <c r="H65" s="101"/>
      <c r="I65" s="101"/>
      <c r="J65" s="278">
        <f t="shared" si="1"/>
        <v>0</v>
      </c>
      <c r="K65" s="278">
        <f>G65+J65</f>
        <v>5093.6724999999997</v>
      </c>
      <c r="L65" s="407"/>
      <c r="M65" s="280">
        <f>M64+L65-K65</f>
        <v>-369565.03370000009</v>
      </c>
      <c r="N65" s="278"/>
      <c r="O65" s="278"/>
    </row>
    <row r="66" spans="1:15">
      <c r="A66" s="14">
        <v>63</v>
      </c>
      <c r="B66" s="216">
        <v>46212</v>
      </c>
      <c r="C66" s="293" t="s">
        <v>309</v>
      </c>
      <c r="D66" s="293" t="s">
        <v>53</v>
      </c>
      <c r="E66" s="308">
        <v>35.01</v>
      </c>
      <c r="F66" s="375">
        <v>99.62</v>
      </c>
      <c r="G66" s="278">
        <f>E66*F66</f>
        <v>3487.6961999999999</v>
      </c>
      <c r="H66" s="402"/>
      <c r="I66" s="293"/>
      <c r="J66" s="281">
        <f t="shared" si="1"/>
        <v>0</v>
      </c>
      <c r="K66" s="278">
        <f>G66+J66</f>
        <v>3487.6961999999999</v>
      </c>
      <c r="L66" s="279"/>
      <c r="M66" s="280">
        <f>M65+L66-K66</f>
        <v>-373052.72990000009</v>
      </c>
      <c r="N66" s="278"/>
      <c r="O66" s="278"/>
    </row>
    <row r="67" spans="1:15">
      <c r="A67" s="382">
        <v>64</v>
      </c>
      <c r="B67" s="216">
        <v>46212</v>
      </c>
      <c r="C67" s="101" t="s">
        <v>318</v>
      </c>
      <c r="D67" s="101" t="s">
        <v>51</v>
      </c>
      <c r="E67" s="364">
        <v>49.95</v>
      </c>
      <c r="F67" s="393">
        <v>100.07</v>
      </c>
      <c r="G67" s="278">
        <f>E67*F67</f>
        <v>4998.4965000000002</v>
      </c>
      <c r="H67" s="101"/>
      <c r="I67" s="375"/>
      <c r="J67" s="278">
        <f t="shared" si="1"/>
        <v>0</v>
      </c>
      <c r="K67" s="278">
        <f>G67+J67</f>
        <v>4998.4965000000002</v>
      </c>
      <c r="L67" s="279"/>
      <c r="M67" s="280">
        <f>M66+L67-K67</f>
        <v>-378051.2264000001</v>
      </c>
      <c r="N67" s="278"/>
      <c r="O67" s="278"/>
    </row>
    <row r="68" spans="1:15">
      <c r="A68" s="14">
        <v>65</v>
      </c>
      <c r="B68" s="216">
        <v>46213</v>
      </c>
      <c r="C68" s="101" t="s">
        <v>310</v>
      </c>
      <c r="D68" s="101" t="s">
        <v>302</v>
      </c>
      <c r="E68" s="398">
        <v>41.83</v>
      </c>
      <c r="F68" s="101">
        <v>104.7</v>
      </c>
      <c r="G68" s="278">
        <f>E68*F68</f>
        <v>4379.6009999999997</v>
      </c>
      <c r="H68" s="402"/>
      <c r="I68" s="392"/>
      <c r="J68" s="278">
        <f t="shared" si="1"/>
        <v>0</v>
      </c>
      <c r="K68" s="278">
        <f>G68+J68</f>
        <v>4379.6009999999997</v>
      </c>
      <c r="L68" s="279"/>
      <c r="M68" s="280">
        <f>M67+L68-K68</f>
        <v>-382430.82740000013</v>
      </c>
      <c r="N68" s="278"/>
      <c r="O68" s="278"/>
    </row>
    <row r="69" spans="1:15">
      <c r="A69" s="14">
        <v>66</v>
      </c>
      <c r="B69" s="216">
        <v>46213</v>
      </c>
      <c r="C69" s="101" t="s">
        <v>312</v>
      </c>
      <c r="D69" s="101" t="s">
        <v>302</v>
      </c>
      <c r="E69" s="280">
        <v>20</v>
      </c>
      <c r="F69" s="375">
        <v>105.35</v>
      </c>
      <c r="G69" s="278">
        <f>E69*F69</f>
        <v>2107</v>
      </c>
      <c r="H69" s="394">
        <v>5</v>
      </c>
      <c r="I69" s="392">
        <v>117.72</v>
      </c>
      <c r="J69" s="278">
        <f t="shared" si="1"/>
        <v>588.6</v>
      </c>
      <c r="K69" s="278">
        <f>G69+J69</f>
        <v>2695.6</v>
      </c>
      <c r="L69" s="279"/>
      <c r="M69" s="280">
        <f>M68+L69-K69</f>
        <v>-385126.4274000001</v>
      </c>
      <c r="N69" s="278"/>
      <c r="O69" s="278"/>
    </row>
    <row r="70" spans="1:15">
      <c r="A70" s="382">
        <v>67</v>
      </c>
      <c r="B70" s="216">
        <v>46213</v>
      </c>
      <c r="C70" s="101" t="s">
        <v>305</v>
      </c>
      <c r="D70" s="101" t="s">
        <v>302</v>
      </c>
      <c r="E70" s="280">
        <v>160</v>
      </c>
      <c r="F70" s="278">
        <v>105.21</v>
      </c>
      <c r="G70" s="278">
        <f>E70*F70</f>
        <v>16833.599999999999</v>
      </c>
      <c r="H70" s="394">
        <v>5</v>
      </c>
      <c r="I70" s="101">
        <v>117.58</v>
      </c>
      <c r="J70" s="278">
        <f t="shared" si="1"/>
        <v>587.9</v>
      </c>
      <c r="K70" s="278">
        <f>G70+J70</f>
        <v>17421.5</v>
      </c>
      <c r="L70" s="279"/>
      <c r="M70" s="280">
        <f>M69+L70-K70</f>
        <v>-402547.9274000001</v>
      </c>
      <c r="N70" s="357"/>
      <c r="O70" s="278"/>
    </row>
    <row r="71" spans="1:15">
      <c r="A71" s="14">
        <v>68</v>
      </c>
      <c r="B71" s="216">
        <v>46213</v>
      </c>
      <c r="C71" s="101" t="s">
        <v>308</v>
      </c>
      <c r="D71" s="101" t="s">
        <v>302</v>
      </c>
      <c r="E71" s="397">
        <v>28.02</v>
      </c>
      <c r="F71" s="392">
        <v>105.59</v>
      </c>
      <c r="G71" s="278">
        <f>E71*F71</f>
        <v>2958.6318000000001</v>
      </c>
      <c r="H71" s="101">
        <v>5</v>
      </c>
      <c r="I71" s="375">
        <v>117.98</v>
      </c>
      <c r="J71" s="278">
        <f t="shared" si="1"/>
        <v>589.9</v>
      </c>
      <c r="K71" s="278">
        <f>G71+J71</f>
        <v>3548.5318000000002</v>
      </c>
      <c r="L71" s="279"/>
      <c r="M71" s="280">
        <f>M70+L71-K71</f>
        <v>-406096.4592000001</v>
      </c>
      <c r="N71" s="177"/>
      <c r="O71" s="177"/>
    </row>
    <row r="72" spans="1:15">
      <c r="A72" s="14">
        <v>69</v>
      </c>
      <c r="B72" s="216">
        <v>46213</v>
      </c>
      <c r="C72" s="101" t="s">
        <v>314</v>
      </c>
      <c r="D72" s="101" t="s">
        <v>302</v>
      </c>
      <c r="E72" s="399"/>
      <c r="F72" s="101"/>
      <c r="G72" s="278">
        <f>E72*F72</f>
        <v>0</v>
      </c>
      <c r="H72" s="293">
        <v>6</v>
      </c>
      <c r="I72" s="101">
        <v>117.62</v>
      </c>
      <c r="J72" s="278">
        <f t="shared" si="1"/>
        <v>705.72</v>
      </c>
      <c r="K72" s="278">
        <f>G72+J72</f>
        <v>705.72</v>
      </c>
      <c r="L72" s="279"/>
      <c r="M72" s="280">
        <f>M71+L72-K72</f>
        <v>-406802.17920000007</v>
      </c>
      <c r="N72" s="177"/>
      <c r="O72" s="177"/>
    </row>
    <row r="73" spans="1:15">
      <c r="A73" s="382">
        <v>70</v>
      </c>
      <c r="B73" s="400">
        <v>46213</v>
      </c>
      <c r="C73" s="392" t="s">
        <v>326</v>
      </c>
      <c r="D73" s="392" t="s">
        <v>48</v>
      </c>
      <c r="E73" s="409">
        <v>53.52</v>
      </c>
      <c r="F73" s="375">
        <v>105.16</v>
      </c>
      <c r="G73" s="278">
        <f>E73*F73</f>
        <v>5628.1632</v>
      </c>
      <c r="H73" s="393"/>
      <c r="I73" s="393"/>
      <c r="J73" s="393">
        <f t="shared" si="1"/>
        <v>0</v>
      </c>
      <c r="K73" s="278">
        <f>G73+J73</f>
        <v>5628.1632</v>
      </c>
      <c r="L73" s="410"/>
      <c r="M73" s="280">
        <f>M72+L73-K73</f>
        <v>-412430.34240000008</v>
      </c>
      <c r="N73" s="177"/>
      <c r="O73" s="177"/>
    </row>
    <row r="74" spans="1:15">
      <c r="A74" s="14">
        <v>71</v>
      </c>
      <c r="B74" s="216">
        <v>46214</v>
      </c>
      <c r="C74" s="41" t="s">
        <v>310</v>
      </c>
      <c r="D74" s="41" t="s">
        <v>302</v>
      </c>
      <c r="E74" s="41">
        <v>10</v>
      </c>
      <c r="F74" s="41">
        <v>104.7</v>
      </c>
      <c r="G74" s="278">
        <f>E74*F74</f>
        <v>1047</v>
      </c>
      <c r="H74" s="278">
        <v>5</v>
      </c>
      <c r="I74" s="41">
        <v>116.99</v>
      </c>
      <c r="J74" s="278">
        <f t="shared" ref="J73:J229" si="2">H74*I74</f>
        <v>584.94999999999993</v>
      </c>
      <c r="K74" s="278">
        <f>G74+J74</f>
        <v>1631.9499999999998</v>
      </c>
      <c r="L74" s="279"/>
      <c r="M74" s="280">
        <f>M73+L74-K74</f>
        <v>-414062.29240000009</v>
      </c>
      <c r="N74" s="177"/>
      <c r="O74" s="177"/>
    </row>
    <row r="75" spans="1:15">
      <c r="A75" s="14">
        <v>72</v>
      </c>
      <c r="B75" s="216">
        <v>46214</v>
      </c>
      <c r="C75" s="41" t="s">
        <v>321</v>
      </c>
      <c r="D75" s="41" t="s">
        <v>40</v>
      </c>
      <c r="E75" s="41"/>
      <c r="F75" s="41"/>
      <c r="G75" s="278">
        <f>E75*F75</f>
        <v>0</v>
      </c>
      <c r="H75" s="278">
        <v>4.5199999999999996</v>
      </c>
      <c r="I75" s="278">
        <v>115.69</v>
      </c>
      <c r="J75" s="278">
        <f t="shared" si="2"/>
        <v>522.91879999999992</v>
      </c>
      <c r="K75" s="278">
        <f>G75+J75</f>
        <v>522.91879999999992</v>
      </c>
      <c r="L75" s="279"/>
      <c r="M75" s="280">
        <f>M74+L75-K75</f>
        <v>-414585.21120000008</v>
      </c>
      <c r="N75" s="177"/>
      <c r="O75" s="177"/>
    </row>
    <row r="76" spans="1:15">
      <c r="A76" s="382">
        <v>73</v>
      </c>
      <c r="B76" s="216">
        <v>46214</v>
      </c>
      <c r="C76" s="41" t="s">
        <v>327</v>
      </c>
      <c r="D76" s="41" t="s">
        <v>302</v>
      </c>
      <c r="E76" s="41">
        <v>145</v>
      </c>
      <c r="F76" s="41">
        <v>104.75</v>
      </c>
      <c r="G76" s="278">
        <f>E76*F76</f>
        <v>15188.75</v>
      </c>
      <c r="H76" s="101"/>
      <c r="I76" s="101"/>
      <c r="J76" s="278">
        <f t="shared" si="2"/>
        <v>0</v>
      </c>
      <c r="K76" s="278">
        <f>G76+J76</f>
        <v>15188.75</v>
      </c>
      <c r="L76" s="279"/>
      <c r="M76" s="280">
        <f>M75+L76-K76</f>
        <v>-429773.96120000008</v>
      </c>
      <c r="N76" s="177"/>
      <c r="O76" s="177"/>
    </row>
    <row r="77" spans="1:15">
      <c r="A77" s="14">
        <v>74</v>
      </c>
      <c r="B77" s="216">
        <v>46214</v>
      </c>
      <c r="C77" s="41" t="s">
        <v>328</v>
      </c>
      <c r="D77" s="41" t="s">
        <v>302</v>
      </c>
      <c r="E77" s="41">
        <v>20</v>
      </c>
      <c r="F77" s="41">
        <v>103.89</v>
      </c>
      <c r="G77" s="278">
        <f>E77*F77</f>
        <v>2077.8000000000002</v>
      </c>
      <c r="H77" s="101"/>
      <c r="I77" s="101"/>
      <c r="J77" s="278">
        <f t="shared" si="2"/>
        <v>0</v>
      </c>
      <c r="K77" s="278">
        <f>G77+J77</f>
        <v>2077.8000000000002</v>
      </c>
      <c r="L77" s="279"/>
      <c r="M77" s="280">
        <f>M76+L77-K77</f>
        <v>-431851.76120000007</v>
      </c>
      <c r="N77" s="177"/>
      <c r="O77" s="177"/>
    </row>
    <row r="78" spans="1:15">
      <c r="A78" s="14">
        <v>75</v>
      </c>
      <c r="B78" s="216">
        <v>46214</v>
      </c>
      <c r="C78" s="41" t="s">
        <v>312</v>
      </c>
      <c r="D78" s="41" t="s">
        <v>302</v>
      </c>
      <c r="E78" s="41">
        <v>130</v>
      </c>
      <c r="F78" s="41">
        <v>105.35</v>
      </c>
      <c r="G78" s="278">
        <f>E78*F78</f>
        <v>13695.5</v>
      </c>
      <c r="H78" s="278"/>
      <c r="I78" s="278"/>
      <c r="J78" s="278">
        <f t="shared" si="2"/>
        <v>0</v>
      </c>
      <c r="K78" s="278">
        <f>G78+J78</f>
        <v>13695.5</v>
      </c>
      <c r="L78" s="279"/>
      <c r="M78" s="280">
        <f>M77+L78-K78</f>
        <v>-445547.26120000007</v>
      </c>
      <c r="N78" s="177"/>
      <c r="O78" s="177"/>
    </row>
    <row r="79" spans="1:15">
      <c r="A79" s="382">
        <v>76</v>
      </c>
      <c r="B79" s="384">
        <v>46214</v>
      </c>
      <c r="C79" s="298" t="s">
        <v>329</v>
      </c>
      <c r="D79" s="298" t="s">
        <v>330</v>
      </c>
      <c r="E79" s="281">
        <v>130</v>
      </c>
      <c r="F79" s="281">
        <v>105.54</v>
      </c>
      <c r="G79" s="281">
        <f>E79*F79</f>
        <v>13720.2</v>
      </c>
      <c r="H79" s="281"/>
      <c r="I79" s="281"/>
      <c r="J79" s="281">
        <f t="shared" si="2"/>
        <v>0</v>
      </c>
      <c r="K79" s="278">
        <f>G79+J79</f>
        <v>13720.2</v>
      </c>
      <c r="L79" s="411"/>
      <c r="M79" s="280">
        <f>M78+L79-K79</f>
        <v>-459267.46120000008</v>
      </c>
      <c r="N79" s="177"/>
      <c r="O79" s="177"/>
    </row>
    <row r="80" spans="1:15">
      <c r="A80" s="14">
        <v>77</v>
      </c>
      <c r="B80" s="216">
        <v>46214</v>
      </c>
      <c r="C80" s="14" t="s">
        <v>306</v>
      </c>
      <c r="D80" s="160" t="s">
        <v>307</v>
      </c>
      <c r="E80" s="278">
        <v>70</v>
      </c>
      <c r="F80" s="278">
        <v>100.05</v>
      </c>
      <c r="G80" s="278">
        <f>E80*F80</f>
        <v>7003.5</v>
      </c>
      <c r="H80" s="278">
        <v>4.37</v>
      </c>
      <c r="I80" s="278">
        <v>112.07</v>
      </c>
      <c r="J80" s="278">
        <f t="shared" si="2"/>
        <v>489.74590000000001</v>
      </c>
      <c r="K80" s="278">
        <f>G80+J80</f>
        <v>7493.2458999999999</v>
      </c>
      <c r="L80" s="279"/>
      <c r="M80" s="280">
        <f>M79+L80-K80</f>
        <v>-466760.70710000006</v>
      </c>
      <c r="N80" s="177"/>
      <c r="O80" s="177"/>
    </row>
    <row r="81" spans="1:15">
      <c r="A81" s="14">
        <v>78</v>
      </c>
      <c r="B81" s="216">
        <v>46214</v>
      </c>
      <c r="C81" s="160" t="s">
        <v>308</v>
      </c>
      <c r="D81" s="160" t="s">
        <v>302</v>
      </c>
      <c r="E81" s="278">
        <v>44.45</v>
      </c>
      <c r="F81" s="278">
        <v>105.59</v>
      </c>
      <c r="G81" s="278">
        <f>E81*F81</f>
        <v>4693.4755000000005</v>
      </c>
      <c r="H81" s="278"/>
      <c r="I81" s="278"/>
      <c r="J81" s="278">
        <f t="shared" si="2"/>
        <v>0</v>
      </c>
      <c r="K81" s="278">
        <f>G81+J81</f>
        <v>4693.4755000000005</v>
      </c>
      <c r="L81" s="279"/>
      <c r="M81" s="280">
        <f>M80+L81-K81</f>
        <v>-471454.18260000006</v>
      </c>
      <c r="N81" s="177"/>
      <c r="O81" s="177"/>
    </row>
    <row r="82" spans="1:15">
      <c r="A82" s="382">
        <v>79</v>
      </c>
      <c r="B82" s="216">
        <v>46214</v>
      </c>
      <c r="C82" s="160" t="s">
        <v>314</v>
      </c>
      <c r="D82" s="160" t="s">
        <v>302</v>
      </c>
      <c r="E82" s="278">
        <v>47.02</v>
      </c>
      <c r="F82" s="278">
        <v>105.29</v>
      </c>
      <c r="G82" s="278">
        <f>E82*F82</f>
        <v>4950.7358000000004</v>
      </c>
      <c r="H82" s="278"/>
      <c r="I82" s="278"/>
      <c r="J82" s="278">
        <f t="shared" si="2"/>
        <v>0</v>
      </c>
      <c r="K82" s="278">
        <f>G82+J82</f>
        <v>4950.7358000000004</v>
      </c>
      <c r="L82" s="279"/>
      <c r="M82" s="280">
        <f>M81+L82-K82</f>
        <v>-476404.91840000008</v>
      </c>
      <c r="N82" s="177"/>
      <c r="O82" s="177"/>
    </row>
    <row r="83" spans="1:15">
      <c r="A83" s="14">
        <v>80</v>
      </c>
      <c r="B83" s="216">
        <v>46214</v>
      </c>
      <c r="C83" s="160" t="s">
        <v>331</v>
      </c>
      <c r="D83" s="160" t="s">
        <v>302</v>
      </c>
      <c r="E83" s="278">
        <v>46.85</v>
      </c>
      <c r="F83" s="278">
        <v>104.76</v>
      </c>
      <c r="G83" s="278">
        <f>E83*F83</f>
        <v>4908.0060000000003</v>
      </c>
      <c r="H83" s="278"/>
      <c r="I83" s="278"/>
      <c r="J83" s="278">
        <f>H83*I83</f>
        <v>0</v>
      </c>
      <c r="K83" s="278">
        <f t="shared" ref="K83:K229" si="3">G83+J83</f>
        <v>4908.0060000000003</v>
      </c>
      <c r="L83" s="279"/>
      <c r="M83" s="280">
        <f>M82+L83-K83</f>
        <v>-481312.92440000008</v>
      </c>
      <c r="N83" s="177"/>
      <c r="O83" s="177"/>
    </row>
    <row r="84" spans="1:15">
      <c r="A84" s="14">
        <v>81</v>
      </c>
      <c r="B84" s="216">
        <v>46214</v>
      </c>
      <c r="C84" s="160" t="s">
        <v>317</v>
      </c>
      <c r="D84" s="160" t="s">
        <v>302</v>
      </c>
      <c r="E84" s="278">
        <v>20</v>
      </c>
      <c r="F84" s="278">
        <v>105.35</v>
      </c>
      <c r="G84" s="278">
        <f>E84*F84</f>
        <v>2107</v>
      </c>
      <c r="H84" s="278"/>
      <c r="I84" s="278"/>
      <c r="J84" s="278">
        <f>H84*I84</f>
        <v>0</v>
      </c>
      <c r="K84" s="278">
        <f t="shared" si="3"/>
        <v>2107</v>
      </c>
      <c r="L84" s="279"/>
      <c r="M84" s="280">
        <f>M83+L84-K84</f>
        <v>-483419.92440000008</v>
      </c>
      <c r="N84" s="177"/>
      <c r="O84" s="177"/>
    </row>
    <row r="85" spans="1:15">
      <c r="A85" s="382">
        <v>82</v>
      </c>
      <c r="B85" s="216">
        <v>46215</v>
      </c>
      <c r="C85" s="160" t="s">
        <v>310</v>
      </c>
      <c r="D85" s="160" t="s">
        <v>302</v>
      </c>
      <c r="E85" s="278"/>
      <c r="F85" s="278"/>
      <c r="G85" s="278">
        <f>E85*F85</f>
        <v>0</v>
      </c>
      <c r="H85" s="278">
        <v>10</v>
      </c>
      <c r="I85" s="278">
        <v>116.99</v>
      </c>
      <c r="J85" s="278">
        <f>H85*I85</f>
        <v>1169.8999999999999</v>
      </c>
      <c r="K85" s="278">
        <f t="shared" si="3"/>
        <v>1169.8999999999999</v>
      </c>
      <c r="L85" s="279"/>
      <c r="M85" s="280">
        <f>M84+L85-K85</f>
        <v>-484589.8244000001</v>
      </c>
      <c r="N85" s="177"/>
      <c r="O85" s="177"/>
    </row>
    <row r="86" spans="1:15">
      <c r="A86" s="14">
        <v>83</v>
      </c>
      <c r="B86" s="216">
        <v>46215</v>
      </c>
      <c r="C86" s="160" t="s">
        <v>312</v>
      </c>
      <c r="D86" s="160" t="s">
        <v>302</v>
      </c>
      <c r="E86" s="278">
        <v>38.03</v>
      </c>
      <c r="F86" s="278">
        <v>105.35</v>
      </c>
      <c r="G86" s="278">
        <f>E86*F86</f>
        <v>4006.4604999999997</v>
      </c>
      <c r="H86" s="278"/>
      <c r="I86" s="278"/>
      <c r="J86" s="278">
        <f>H86*I86</f>
        <v>0</v>
      </c>
      <c r="K86" s="278">
        <f t="shared" si="3"/>
        <v>4006.4604999999997</v>
      </c>
      <c r="L86" s="279"/>
      <c r="M86" s="280">
        <f>M85+L86-K86</f>
        <v>-488596.28490000009</v>
      </c>
      <c r="N86" s="177"/>
      <c r="O86" s="177"/>
    </row>
    <row r="87" spans="1:15">
      <c r="A87" s="14">
        <v>84</v>
      </c>
      <c r="B87" s="216">
        <v>46215</v>
      </c>
      <c r="C87" s="160" t="s">
        <v>332</v>
      </c>
      <c r="D87" s="160" t="s">
        <v>51</v>
      </c>
      <c r="E87" s="278">
        <v>37.6</v>
      </c>
      <c r="F87" s="278">
        <v>98.41</v>
      </c>
      <c r="G87" s="278">
        <f>E87*F87</f>
        <v>3700.2159999999999</v>
      </c>
      <c r="H87" s="278"/>
      <c r="I87" s="278"/>
      <c r="J87" s="278">
        <f t="shared" ref="J87:J91" si="4">H87*I87</f>
        <v>0</v>
      </c>
      <c r="K87" s="278">
        <f t="shared" si="3"/>
        <v>3700.2159999999999</v>
      </c>
      <c r="L87" s="279"/>
      <c r="M87" s="280">
        <f>M86+L87-K87</f>
        <v>-492296.5009000001</v>
      </c>
      <c r="N87" s="177"/>
      <c r="O87" s="177"/>
    </row>
    <row r="88" spans="1:15">
      <c r="A88" s="382">
        <v>85</v>
      </c>
      <c r="B88" s="216">
        <v>46215</v>
      </c>
      <c r="C88" s="160" t="s">
        <v>333</v>
      </c>
      <c r="D88" s="160" t="s">
        <v>302</v>
      </c>
      <c r="E88" s="278">
        <v>55.33</v>
      </c>
      <c r="F88" s="278">
        <v>105.16</v>
      </c>
      <c r="G88" s="278">
        <f>E88*F88</f>
        <v>5818.5027999999993</v>
      </c>
      <c r="H88" s="278"/>
      <c r="I88" s="278"/>
      <c r="J88" s="278">
        <f t="shared" si="4"/>
        <v>0</v>
      </c>
      <c r="K88" s="278">
        <f t="shared" si="3"/>
        <v>5818.5027999999993</v>
      </c>
      <c r="L88" s="279"/>
      <c r="M88" s="280">
        <f>M87+L88-K88</f>
        <v>-498115.00370000012</v>
      </c>
      <c r="N88" s="177"/>
      <c r="O88" s="177"/>
    </row>
    <row r="89" spans="1:15">
      <c r="A89" s="14">
        <v>86</v>
      </c>
      <c r="B89" s="216">
        <v>46215</v>
      </c>
      <c r="C89" s="160" t="s">
        <v>305</v>
      </c>
      <c r="D89" s="160" t="s">
        <v>302</v>
      </c>
      <c r="E89" s="278">
        <v>163.46</v>
      </c>
      <c r="F89" s="278">
        <v>105.21</v>
      </c>
      <c r="G89" s="278">
        <f>E89*F89</f>
        <v>17197.6266</v>
      </c>
      <c r="H89" s="278"/>
      <c r="I89" s="278"/>
      <c r="J89" s="278">
        <f t="shared" si="4"/>
        <v>0</v>
      </c>
      <c r="K89" s="278">
        <f t="shared" si="3"/>
        <v>17197.6266</v>
      </c>
      <c r="L89" s="279"/>
      <c r="M89" s="280">
        <f>M88+L89-K89</f>
        <v>-515312.63030000014</v>
      </c>
      <c r="N89" s="177"/>
      <c r="O89" s="177"/>
    </row>
    <row r="90" spans="1:15">
      <c r="A90" s="14">
        <v>87</v>
      </c>
      <c r="B90" s="216">
        <v>46215</v>
      </c>
      <c r="C90" s="160" t="s">
        <v>315</v>
      </c>
      <c r="D90" s="160" t="s">
        <v>302</v>
      </c>
      <c r="E90" s="278">
        <v>30</v>
      </c>
      <c r="F90" s="278">
        <v>105.46</v>
      </c>
      <c r="G90" s="278">
        <f>E90*F90</f>
        <v>3163.7999999999997</v>
      </c>
      <c r="H90" s="278"/>
      <c r="I90" s="278"/>
      <c r="J90" s="278">
        <f t="shared" si="4"/>
        <v>0</v>
      </c>
      <c r="K90" s="278">
        <f t="shared" si="3"/>
        <v>3163.7999999999997</v>
      </c>
      <c r="L90" s="279"/>
      <c r="M90" s="280">
        <f>M89+L90-K90</f>
        <v>-518476.43030000012</v>
      </c>
      <c r="N90" s="177"/>
      <c r="O90" s="177"/>
    </row>
    <row r="91" spans="1:15">
      <c r="A91" s="382">
        <v>88</v>
      </c>
      <c r="B91" s="216">
        <v>46215</v>
      </c>
      <c r="C91" s="160" t="s">
        <v>309</v>
      </c>
      <c r="D91" s="160" t="s">
        <v>53</v>
      </c>
      <c r="E91" s="278">
        <v>45</v>
      </c>
      <c r="F91" s="278">
        <v>99.62</v>
      </c>
      <c r="G91" s="278">
        <f>E91*F91</f>
        <v>4482.9000000000005</v>
      </c>
      <c r="H91" s="278"/>
      <c r="I91" s="278"/>
      <c r="J91" s="278">
        <f t="shared" si="4"/>
        <v>0</v>
      </c>
      <c r="K91" s="278">
        <f t="shared" si="3"/>
        <v>4482.9000000000005</v>
      </c>
      <c r="L91" s="278"/>
      <c r="M91" s="280">
        <f>M90+L91-K91</f>
        <v>-522959.33030000015</v>
      </c>
      <c r="N91" s="177"/>
      <c r="O91" s="177"/>
    </row>
    <row r="92" spans="1:15">
      <c r="A92" s="14">
        <v>89</v>
      </c>
      <c r="B92" s="384">
        <v>46216</v>
      </c>
      <c r="C92" s="385" t="s">
        <v>311</v>
      </c>
      <c r="D92" s="298" t="s">
        <v>302</v>
      </c>
      <c r="E92" s="281">
        <v>41.11</v>
      </c>
      <c r="F92" s="281">
        <v>104.62</v>
      </c>
      <c r="G92" s="281">
        <f>E92*F92</f>
        <v>4300.9282000000003</v>
      </c>
      <c r="H92" s="281"/>
      <c r="I92" s="281"/>
      <c r="J92" s="281">
        <f t="shared" si="2"/>
        <v>0</v>
      </c>
      <c r="K92" s="278">
        <f t="shared" si="3"/>
        <v>4300.9282000000003</v>
      </c>
      <c r="L92" s="281"/>
      <c r="M92" s="280">
        <f>M91+L92-K92</f>
        <v>-527260.25850000011</v>
      </c>
      <c r="N92" s="386"/>
      <c r="O92" s="386"/>
    </row>
    <row r="93" spans="1:15">
      <c r="A93" s="14">
        <v>90</v>
      </c>
      <c r="B93" s="216">
        <v>46216</v>
      </c>
      <c r="C93" s="297" t="s">
        <v>312</v>
      </c>
      <c r="D93" s="160" t="s">
        <v>302</v>
      </c>
      <c r="E93" s="278">
        <v>40</v>
      </c>
      <c r="F93" s="278">
        <v>105.35</v>
      </c>
      <c r="G93" s="278">
        <f>E93*F93</f>
        <v>4214</v>
      </c>
      <c r="H93" s="278"/>
      <c r="I93" s="278"/>
      <c r="J93" s="278">
        <f t="shared" si="2"/>
        <v>0</v>
      </c>
      <c r="K93" s="278">
        <f t="shared" si="3"/>
        <v>4214</v>
      </c>
      <c r="L93" s="278"/>
      <c r="M93" s="280">
        <f>M92+L93-K93</f>
        <v>-531474.25850000011</v>
      </c>
      <c r="N93" s="177"/>
      <c r="O93" s="177"/>
    </row>
    <row r="94" spans="1:15">
      <c r="A94" s="382">
        <v>91</v>
      </c>
      <c r="B94" s="216">
        <v>46216</v>
      </c>
      <c r="C94" s="297" t="s">
        <v>305</v>
      </c>
      <c r="D94" s="160" t="s">
        <v>302</v>
      </c>
      <c r="E94" s="278">
        <v>150</v>
      </c>
      <c r="F94" s="278">
        <v>105.21</v>
      </c>
      <c r="G94" s="278">
        <f>E94*F94</f>
        <v>15781.499999999998</v>
      </c>
      <c r="H94" s="278"/>
      <c r="I94" s="278"/>
      <c r="J94" s="278">
        <f t="shared" si="2"/>
        <v>0</v>
      </c>
      <c r="K94" s="278">
        <f t="shared" si="3"/>
        <v>15781.499999999998</v>
      </c>
      <c r="L94" s="278"/>
      <c r="M94" s="280">
        <f>M93+L94-K94</f>
        <v>-547255.75850000011</v>
      </c>
      <c r="N94" s="177"/>
      <c r="O94" s="177"/>
    </row>
    <row r="95" spans="1:15">
      <c r="A95" s="14">
        <v>92</v>
      </c>
      <c r="B95" s="216">
        <v>46216</v>
      </c>
      <c r="C95" s="297" t="s">
        <v>306</v>
      </c>
      <c r="D95" s="160" t="s">
        <v>307</v>
      </c>
      <c r="E95" s="278">
        <v>48</v>
      </c>
      <c r="F95" s="278">
        <v>100.05</v>
      </c>
      <c r="G95" s="278">
        <f t="shared" ref="G95:G229" si="5">E95*F95</f>
        <v>4802.3999999999996</v>
      </c>
      <c r="H95" s="278"/>
      <c r="I95" s="278"/>
      <c r="J95" s="278">
        <f t="shared" si="2"/>
        <v>0</v>
      </c>
      <c r="K95" s="278">
        <f t="shared" si="3"/>
        <v>4802.3999999999996</v>
      </c>
      <c r="L95" s="278"/>
      <c r="M95" s="280">
        <f>M94+L95-K95</f>
        <v>-552058.15850000014</v>
      </c>
      <c r="N95" s="367"/>
      <c r="O95" s="367"/>
    </row>
    <row r="96" spans="1:15">
      <c r="A96" s="14">
        <v>93</v>
      </c>
      <c r="B96" s="216">
        <v>46216</v>
      </c>
      <c r="C96" s="297" t="s">
        <v>323</v>
      </c>
      <c r="D96" s="160" t="s">
        <v>53</v>
      </c>
      <c r="E96" s="278">
        <v>40</v>
      </c>
      <c r="F96" s="278">
        <v>99.18</v>
      </c>
      <c r="G96" s="278">
        <f t="shared" si="5"/>
        <v>3967.2000000000003</v>
      </c>
      <c r="H96" s="278"/>
      <c r="I96" s="278"/>
      <c r="J96" s="278"/>
      <c r="K96" s="278">
        <f t="shared" si="3"/>
        <v>3967.2000000000003</v>
      </c>
      <c r="L96" s="278"/>
      <c r="M96" s="280">
        <f>M95+L96-K96</f>
        <v>-556025.35850000009</v>
      </c>
      <c r="N96" s="177"/>
      <c r="O96" s="177"/>
    </row>
    <row r="97" spans="1:15">
      <c r="A97" s="382">
        <v>94</v>
      </c>
      <c r="B97" s="216">
        <v>46216</v>
      </c>
      <c r="C97" s="297" t="s">
        <v>308</v>
      </c>
      <c r="D97" s="160" t="s">
        <v>302</v>
      </c>
      <c r="E97" s="278">
        <v>45.12</v>
      </c>
      <c r="F97" s="278">
        <v>105.59</v>
      </c>
      <c r="G97" s="278">
        <f t="shared" si="5"/>
        <v>4764.2208000000001</v>
      </c>
      <c r="H97" s="278">
        <v>5</v>
      </c>
      <c r="I97" s="278">
        <v>117.98</v>
      </c>
      <c r="J97" s="278">
        <f t="shared" si="2"/>
        <v>589.9</v>
      </c>
      <c r="K97" s="278">
        <f t="shared" si="3"/>
        <v>5354.1207999999997</v>
      </c>
      <c r="L97" s="278"/>
      <c r="M97" s="280">
        <f>M96+L97-K97</f>
        <v>-561379.47930000012</v>
      </c>
      <c r="N97" s="357">
        <v>78625.02</v>
      </c>
      <c r="O97" s="357">
        <f>N97-M97</f>
        <v>640004.49930000014</v>
      </c>
    </row>
    <row r="98" spans="1:15">
      <c r="A98" s="14">
        <v>95</v>
      </c>
      <c r="B98" s="535">
        <v>46216</v>
      </c>
      <c r="C98" s="297" t="s">
        <v>314</v>
      </c>
      <c r="D98" s="297" t="s">
        <v>302</v>
      </c>
      <c r="E98" s="393"/>
      <c r="F98" s="393"/>
      <c r="G98" s="278">
        <f t="shared" si="5"/>
        <v>0</v>
      </c>
      <c r="H98" s="393">
        <v>6</v>
      </c>
      <c r="I98" s="393">
        <v>117.62</v>
      </c>
      <c r="J98" s="278">
        <f t="shared" si="2"/>
        <v>705.72</v>
      </c>
      <c r="K98" s="278">
        <f t="shared" si="3"/>
        <v>705.72</v>
      </c>
      <c r="L98" s="393"/>
      <c r="M98" s="280">
        <f t="shared" ref="M98:M117" si="6">M97+L98-K98</f>
        <v>-562085.19930000009</v>
      </c>
      <c r="N98" s="413"/>
      <c r="O98" s="413"/>
    </row>
    <row r="99" spans="1:15">
      <c r="A99" s="14">
        <v>96</v>
      </c>
      <c r="B99" s="536">
        <v>46216</v>
      </c>
      <c r="C99" s="14" t="s">
        <v>315</v>
      </c>
      <c r="D99" s="14" t="s">
        <v>302</v>
      </c>
      <c r="E99" s="177">
        <v>50</v>
      </c>
      <c r="F99" s="177">
        <v>105.46</v>
      </c>
      <c r="G99" s="278">
        <f t="shared" si="5"/>
        <v>5273</v>
      </c>
      <c r="H99" s="177"/>
      <c r="I99" s="177"/>
      <c r="J99" s="278">
        <f t="shared" si="2"/>
        <v>0</v>
      </c>
      <c r="K99" s="278">
        <f t="shared" si="3"/>
        <v>5273</v>
      </c>
      <c r="L99" s="177"/>
      <c r="M99" s="280">
        <f t="shared" si="6"/>
        <v>-567358.19930000009</v>
      </c>
      <c r="N99" s="177"/>
      <c r="O99" s="177"/>
    </row>
    <row r="100" spans="1:15">
      <c r="A100" s="382">
        <v>97</v>
      </c>
      <c r="B100" s="536">
        <v>46216</v>
      </c>
      <c r="C100" s="14" t="s">
        <v>317</v>
      </c>
      <c r="D100" s="14" t="s">
        <v>302</v>
      </c>
      <c r="E100" s="177">
        <v>20</v>
      </c>
      <c r="F100" s="177">
        <v>105.35</v>
      </c>
      <c r="G100" s="278">
        <f t="shared" si="5"/>
        <v>2107</v>
      </c>
      <c r="H100" s="177"/>
      <c r="I100" s="177"/>
      <c r="J100" s="278">
        <f t="shared" si="2"/>
        <v>0</v>
      </c>
      <c r="K100" s="278">
        <f t="shared" si="3"/>
        <v>2107</v>
      </c>
      <c r="L100" s="177"/>
      <c r="M100" s="280">
        <f t="shared" si="6"/>
        <v>-569465.19930000009</v>
      </c>
      <c r="N100" s="177"/>
      <c r="O100" s="177"/>
    </row>
    <row r="101" spans="1:15">
      <c r="A101" s="14">
        <v>98</v>
      </c>
      <c r="B101" s="536">
        <v>46217</v>
      </c>
      <c r="C101" s="14" t="s">
        <v>310</v>
      </c>
      <c r="D101" s="14" t="s">
        <v>302</v>
      </c>
      <c r="E101" s="177"/>
      <c r="F101" s="177"/>
      <c r="G101" s="278">
        <f t="shared" si="5"/>
        <v>0</v>
      </c>
      <c r="H101" s="177">
        <v>5</v>
      </c>
      <c r="I101" s="177">
        <v>116.99</v>
      </c>
      <c r="J101" s="278">
        <f t="shared" si="2"/>
        <v>584.94999999999993</v>
      </c>
      <c r="K101" s="278">
        <f t="shared" si="3"/>
        <v>584.94999999999993</v>
      </c>
      <c r="L101" s="177"/>
      <c r="M101" s="280">
        <f t="shared" si="6"/>
        <v>-570050.14930000005</v>
      </c>
      <c r="N101" s="177"/>
      <c r="O101" s="177"/>
    </row>
    <row r="102" spans="1:15">
      <c r="A102" s="14">
        <v>99</v>
      </c>
      <c r="B102" s="536">
        <v>46217</v>
      </c>
      <c r="C102" s="14" t="s">
        <v>312</v>
      </c>
      <c r="D102" s="14" t="s">
        <v>302</v>
      </c>
      <c r="E102" s="177">
        <v>104</v>
      </c>
      <c r="F102" s="177">
        <v>105.35</v>
      </c>
      <c r="G102" s="278">
        <f t="shared" si="5"/>
        <v>10956.4</v>
      </c>
      <c r="H102" s="177">
        <v>5</v>
      </c>
      <c r="I102" s="177">
        <v>117.72</v>
      </c>
      <c r="J102" s="278">
        <f t="shared" si="2"/>
        <v>588.6</v>
      </c>
      <c r="K102" s="278">
        <f t="shared" si="3"/>
        <v>11545</v>
      </c>
      <c r="L102" s="177"/>
      <c r="M102" s="280">
        <f t="shared" si="6"/>
        <v>-581595.14930000005</v>
      </c>
      <c r="N102" s="177"/>
      <c r="O102" s="177"/>
    </row>
    <row r="103" spans="1:15">
      <c r="A103" s="382">
        <v>100</v>
      </c>
      <c r="B103" s="536">
        <v>46217</v>
      </c>
      <c r="C103" s="14" t="s">
        <v>306</v>
      </c>
      <c r="D103" s="14" t="s">
        <v>307</v>
      </c>
      <c r="E103" s="177">
        <v>70</v>
      </c>
      <c r="F103" s="177">
        <v>100.05</v>
      </c>
      <c r="G103" s="278">
        <f t="shared" si="5"/>
        <v>7003.5</v>
      </c>
      <c r="H103" s="177"/>
      <c r="I103" s="177"/>
      <c r="J103" s="278">
        <f t="shared" si="2"/>
        <v>0</v>
      </c>
      <c r="K103" s="278">
        <f t="shared" si="3"/>
        <v>7003.5</v>
      </c>
      <c r="L103" s="177"/>
      <c r="M103" s="280">
        <f t="shared" si="6"/>
        <v>-588598.64930000005</v>
      </c>
      <c r="N103" s="177"/>
      <c r="O103" s="177"/>
    </row>
    <row r="104" spans="1:15">
      <c r="A104" s="14">
        <v>101</v>
      </c>
      <c r="B104" s="536">
        <v>46217</v>
      </c>
      <c r="C104" s="14" t="s">
        <v>308</v>
      </c>
      <c r="D104" s="14" t="s">
        <v>302</v>
      </c>
      <c r="E104" s="177">
        <v>79.48</v>
      </c>
      <c r="F104" s="177">
        <v>105.59</v>
      </c>
      <c r="G104" s="278">
        <f t="shared" si="5"/>
        <v>8392.2932000000001</v>
      </c>
      <c r="H104" s="177"/>
      <c r="I104" s="177"/>
      <c r="J104" s="278">
        <f t="shared" si="2"/>
        <v>0</v>
      </c>
      <c r="K104" s="278">
        <f t="shared" si="3"/>
        <v>8392.2932000000001</v>
      </c>
      <c r="L104" s="177"/>
      <c r="M104" s="280">
        <f t="shared" si="6"/>
        <v>-596990.9425</v>
      </c>
      <c r="N104" s="177"/>
      <c r="O104" s="177"/>
    </row>
    <row r="105" spans="1:15">
      <c r="A105" s="14">
        <v>102</v>
      </c>
      <c r="B105" s="536">
        <v>46217</v>
      </c>
      <c r="C105" s="14" t="s">
        <v>314</v>
      </c>
      <c r="D105" s="14" t="s">
        <v>302</v>
      </c>
      <c r="E105" s="177"/>
      <c r="F105" s="177"/>
      <c r="G105" s="278">
        <f t="shared" si="5"/>
        <v>0</v>
      </c>
      <c r="H105" s="177">
        <v>7.72</v>
      </c>
      <c r="I105" s="177">
        <v>117.62</v>
      </c>
      <c r="J105" s="278">
        <f t="shared" si="2"/>
        <v>908.02639999999997</v>
      </c>
      <c r="K105" s="278">
        <f t="shared" si="3"/>
        <v>908.02639999999997</v>
      </c>
      <c r="L105" s="177"/>
      <c r="M105" s="280">
        <f t="shared" si="6"/>
        <v>-597898.96889999998</v>
      </c>
      <c r="N105" s="177"/>
      <c r="O105" s="177"/>
    </row>
    <row r="106" spans="1:15">
      <c r="A106" s="382">
        <v>103</v>
      </c>
      <c r="B106" s="536">
        <v>46217</v>
      </c>
      <c r="C106" s="14" t="s">
        <v>315</v>
      </c>
      <c r="D106" s="14" t="s">
        <v>302</v>
      </c>
      <c r="E106" s="177">
        <v>45</v>
      </c>
      <c r="F106" s="177">
        <v>105.46</v>
      </c>
      <c r="G106" s="278">
        <f t="shared" si="5"/>
        <v>4745.7</v>
      </c>
      <c r="H106" s="177"/>
      <c r="I106" s="177"/>
      <c r="J106" s="278">
        <f t="shared" si="2"/>
        <v>0</v>
      </c>
      <c r="K106" s="278">
        <f t="shared" si="3"/>
        <v>4745.7</v>
      </c>
      <c r="L106" s="177"/>
      <c r="M106" s="280">
        <f t="shared" si="6"/>
        <v>-602644.66889999993</v>
      </c>
      <c r="N106" s="177"/>
      <c r="O106" s="177"/>
    </row>
    <row r="107" spans="1:15">
      <c r="A107" s="14">
        <v>104</v>
      </c>
      <c r="B107" s="536">
        <v>46217</v>
      </c>
      <c r="C107" s="14" t="s">
        <v>317</v>
      </c>
      <c r="D107" s="14" t="s">
        <v>302</v>
      </c>
      <c r="E107" s="177">
        <v>120</v>
      </c>
      <c r="F107" s="177">
        <v>105.35</v>
      </c>
      <c r="G107" s="278">
        <f t="shared" si="5"/>
        <v>12642</v>
      </c>
      <c r="H107" s="177"/>
      <c r="I107" s="177"/>
      <c r="J107" s="278">
        <f t="shared" si="2"/>
        <v>0</v>
      </c>
      <c r="K107" s="278">
        <f t="shared" si="3"/>
        <v>12642</v>
      </c>
      <c r="L107" s="177"/>
      <c r="M107" s="280">
        <f t="shared" si="6"/>
        <v>-615286.66889999993</v>
      </c>
      <c r="N107" s="177"/>
      <c r="O107" s="177"/>
    </row>
    <row r="108" spans="1:15">
      <c r="A108" s="14">
        <v>105</v>
      </c>
      <c r="B108" s="536">
        <v>46218</v>
      </c>
      <c r="C108" s="14" t="s">
        <v>310</v>
      </c>
      <c r="D108" s="14" t="s">
        <v>302</v>
      </c>
      <c r="E108" s="177"/>
      <c r="F108" s="177"/>
      <c r="G108" s="278">
        <f t="shared" si="5"/>
        <v>0</v>
      </c>
      <c r="H108" s="177">
        <v>5</v>
      </c>
      <c r="I108" s="177">
        <v>116.99</v>
      </c>
      <c r="J108" s="278">
        <f t="shared" si="2"/>
        <v>584.94999999999993</v>
      </c>
      <c r="K108" s="278">
        <f t="shared" si="3"/>
        <v>584.94999999999993</v>
      </c>
      <c r="L108" s="177"/>
      <c r="M108" s="280">
        <f t="shared" si="6"/>
        <v>-615871.61889999988</v>
      </c>
      <c r="N108" s="177"/>
      <c r="O108" s="177"/>
    </row>
    <row r="109" spans="1:15">
      <c r="A109" s="382">
        <v>106</v>
      </c>
      <c r="B109" s="536">
        <v>46218</v>
      </c>
      <c r="C109" s="14" t="s">
        <v>321</v>
      </c>
      <c r="D109" s="14" t="s">
        <v>40</v>
      </c>
      <c r="E109" s="177">
        <v>48.13</v>
      </c>
      <c r="F109" s="177">
        <v>103.82</v>
      </c>
      <c r="G109" s="278">
        <f t="shared" si="5"/>
        <v>4996.8566000000001</v>
      </c>
      <c r="H109" s="177">
        <v>3.46</v>
      </c>
      <c r="I109" s="177">
        <v>115.69</v>
      </c>
      <c r="J109" s="278">
        <f t="shared" si="2"/>
        <v>400.28739999999999</v>
      </c>
      <c r="K109" s="278">
        <f t="shared" si="3"/>
        <v>5397.1440000000002</v>
      </c>
      <c r="L109" s="177"/>
      <c r="M109" s="280">
        <f t="shared" si="6"/>
        <v>-621268.76289999986</v>
      </c>
      <c r="N109" s="177"/>
      <c r="O109" s="177"/>
    </row>
    <row r="110" spans="1:15">
      <c r="A110" s="14">
        <v>107</v>
      </c>
      <c r="B110" s="536">
        <v>46218</v>
      </c>
      <c r="C110" s="14" t="s">
        <v>312</v>
      </c>
      <c r="D110" s="14" t="s">
        <v>302</v>
      </c>
      <c r="E110" s="177">
        <v>115</v>
      </c>
      <c r="F110" s="177">
        <v>105.35</v>
      </c>
      <c r="G110" s="278">
        <f t="shared" si="5"/>
        <v>12115.25</v>
      </c>
      <c r="H110" s="177"/>
      <c r="I110" s="177"/>
      <c r="J110" s="278">
        <f t="shared" si="2"/>
        <v>0</v>
      </c>
      <c r="K110" s="278">
        <f t="shared" si="3"/>
        <v>12115.25</v>
      </c>
      <c r="L110" s="177"/>
      <c r="M110" s="280">
        <f t="shared" si="6"/>
        <v>-633384.01289999986</v>
      </c>
      <c r="N110" s="177"/>
      <c r="O110" s="177"/>
    </row>
    <row r="111" spans="1:15">
      <c r="A111" s="14">
        <v>108</v>
      </c>
      <c r="B111" s="536">
        <v>46218</v>
      </c>
      <c r="C111" s="14" t="s">
        <v>334</v>
      </c>
      <c r="D111" s="14" t="s">
        <v>302</v>
      </c>
      <c r="E111" s="177">
        <v>41.97</v>
      </c>
      <c r="F111" s="177">
        <v>104.7</v>
      </c>
      <c r="G111" s="278">
        <f t="shared" si="5"/>
        <v>4394.259</v>
      </c>
      <c r="H111" s="177"/>
      <c r="I111" s="177"/>
      <c r="J111" s="278">
        <f t="shared" si="2"/>
        <v>0</v>
      </c>
      <c r="K111" s="278">
        <f t="shared" si="3"/>
        <v>4394.259</v>
      </c>
      <c r="L111" s="177"/>
      <c r="M111" s="280">
        <f t="shared" si="6"/>
        <v>-637778.27189999982</v>
      </c>
      <c r="N111" s="177"/>
      <c r="O111" s="177"/>
    </row>
    <row r="112" spans="1:15">
      <c r="A112" s="382">
        <v>109</v>
      </c>
      <c r="B112" s="536">
        <v>46218</v>
      </c>
      <c r="C112" s="14" t="s">
        <v>301</v>
      </c>
      <c r="D112" s="14" t="s">
        <v>302</v>
      </c>
      <c r="E112" s="177">
        <v>200</v>
      </c>
      <c r="F112" s="177">
        <v>104.93</v>
      </c>
      <c r="G112" s="278">
        <f t="shared" si="5"/>
        <v>20986</v>
      </c>
      <c r="H112" s="177">
        <v>5</v>
      </c>
      <c r="I112" s="177">
        <v>117.24</v>
      </c>
      <c r="J112" s="278">
        <f t="shared" si="2"/>
        <v>586.19999999999993</v>
      </c>
      <c r="K112" s="278">
        <f t="shared" si="3"/>
        <v>21572.2</v>
      </c>
      <c r="L112" s="177"/>
      <c r="M112" s="280">
        <f t="shared" si="6"/>
        <v>-659350.47189999977</v>
      </c>
      <c r="N112" s="177"/>
      <c r="O112" s="177"/>
    </row>
    <row r="113" spans="1:15">
      <c r="A113" s="14">
        <v>110</v>
      </c>
      <c r="B113" s="536">
        <v>46218</v>
      </c>
      <c r="C113" s="14" t="s">
        <v>308</v>
      </c>
      <c r="D113" s="14" t="s">
        <v>302</v>
      </c>
      <c r="E113" s="177"/>
      <c r="F113" s="177"/>
      <c r="G113" s="278">
        <f t="shared" si="5"/>
        <v>0</v>
      </c>
      <c r="H113" s="177">
        <v>12</v>
      </c>
      <c r="I113" s="177">
        <v>117.98</v>
      </c>
      <c r="J113" s="278">
        <f t="shared" si="2"/>
        <v>1415.76</v>
      </c>
      <c r="K113" s="278">
        <f t="shared" si="3"/>
        <v>1415.76</v>
      </c>
      <c r="L113" s="177"/>
      <c r="M113" s="280">
        <f t="shared" si="6"/>
        <v>-660766.23189999978</v>
      </c>
      <c r="N113" s="177"/>
      <c r="O113" s="177"/>
    </row>
    <row r="114" spans="1:15">
      <c r="A114" s="14">
        <v>111</v>
      </c>
      <c r="B114" s="536">
        <v>46218</v>
      </c>
      <c r="C114" s="14" t="s">
        <v>326</v>
      </c>
      <c r="D114" s="14" t="s">
        <v>302</v>
      </c>
      <c r="E114" s="177">
        <v>30</v>
      </c>
      <c r="F114" s="177">
        <v>105.16</v>
      </c>
      <c r="G114" s="278">
        <f t="shared" si="5"/>
        <v>3154.7999999999997</v>
      </c>
      <c r="H114" s="177"/>
      <c r="I114" s="177"/>
      <c r="J114" s="278">
        <f t="shared" si="2"/>
        <v>0</v>
      </c>
      <c r="K114" s="278">
        <f t="shared" si="3"/>
        <v>3154.7999999999997</v>
      </c>
      <c r="L114" s="177"/>
      <c r="M114" s="280">
        <f t="shared" si="6"/>
        <v>-663921.03189999983</v>
      </c>
      <c r="N114" s="177"/>
      <c r="O114" s="177"/>
    </row>
    <row r="115" spans="1:15">
      <c r="A115" s="382">
        <v>112</v>
      </c>
      <c r="B115" s="536">
        <v>46218</v>
      </c>
      <c r="C115" s="14" t="s">
        <v>315</v>
      </c>
      <c r="D115" s="14" t="s">
        <v>302</v>
      </c>
      <c r="E115" s="177">
        <v>20</v>
      </c>
      <c r="F115" s="177">
        <v>105.46</v>
      </c>
      <c r="G115" s="278">
        <f t="shared" si="5"/>
        <v>2109.1999999999998</v>
      </c>
      <c r="H115" s="177"/>
      <c r="I115" s="177"/>
      <c r="J115" s="278">
        <f t="shared" si="2"/>
        <v>0</v>
      </c>
      <c r="K115" s="278">
        <f t="shared" si="3"/>
        <v>2109.1999999999998</v>
      </c>
      <c r="L115" s="177"/>
      <c r="M115" s="280">
        <f t="shared" si="6"/>
        <v>-666030.23189999978</v>
      </c>
      <c r="N115" s="177"/>
      <c r="O115" s="177"/>
    </row>
    <row r="116" spans="1:15">
      <c r="A116" s="14">
        <v>113</v>
      </c>
      <c r="B116" s="536">
        <v>46218</v>
      </c>
      <c r="C116" s="14" t="s">
        <v>309</v>
      </c>
      <c r="D116" s="14" t="s">
        <v>53</v>
      </c>
      <c r="E116" s="177">
        <v>40</v>
      </c>
      <c r="F116" s="177">
        <v>99.62</v>
      </c>
      <c r="G116" s="278">
        <f t="shared" si="5"/>
        <v>3984.8</v>
      </c>
      <c r="H116" s="177"/>
      <c r="I116" s="177"/>
      <c r="J116" s="278">
        <f t="shared" si="2"/>
        <v>0</v>
      </c>
      <c r="K116" s="278">
        <f t="shared" si="3"/>
        <v>3984.8</v>
      </c>
      <c r="L116" s="177"/>
      <c r="M116" s="280">
        <f t="shared" si="6"/>
        <v>-670015.03189999983</v>
      </c>
      <c r="N116" s="177"/>
      <c r="O116" s="177"/>
    </row>
    <row r="117" spans="1:15">
      <c r="A117" s="14">
        <v>114</v>
      </c>
      <c r="B117" s="536">
        <v>46219</v>
      </c>
      <c r="C117" s="14" t="s">
        <v>335</v>
      </c>
      <c r="D117" s="14" t="s">
        <v>320</v>
      </c>
      <c r="E117" s="177">
        <v>38.44</v>
      </c>
      <c r="F117" s="177">
        <v>104.95</v>
      </c>
      <c r="G117" s="278">
        <f t="shared" si="5"/>
        <v>4034.2779999999998</v>
      </c>
      <c r="H117" s="177"/>
      <c r="I117" s="177"/>
      <c r="J117" s="278">
        <f t="shared" si="2"/>
        <v>0</v>
      </c>
      <c r="K117" s="278">
        <f t="shared" si="3"/>
        <v>4034.2779999999998</v>
      </c>
      <c r="L117" s="177"/>
      <c r="M117" s="280">
        <f t="shared" si="6"/>
        <v>-674049.30989999988</v>
      </c>
      <c r="N117" s="177"/>
      <c r="O117" s="177"/>
    </row>
    <row r="118" spans="1:15">
      <c r="A118" s="382">
        <v>115</v>
      </c>
      <c r="B118" s="536">
        <v>46219</v>
      </c>
      <c r="C118" s="14" t="s">
        <v>310</v>
      </c>
      <c r="D118" s="14" t="s">
        <v>302</v>
      </c>
      <c r="E118" s="177">
        <v>45.43</v>
      </c>
      <c r="F118" s="177">
        <v>104.7</v>
      </c>
      <c r="G118" s="278">
        <f t="shared" si="5"/>
        <v>4756.5209999999997</v>
      </c>
      <c r="H118" s="177">
        <v>25</v>
      </c>
      <c r="I118" s="177">
        <v>116.99</v>
      </c>
      <c r="J118" s="278">
        <f t="shared" si="2"/>
        <v>2924.75</v>
      </c>
      <c r="K118" s="278">
        <f t="shared" si="3"/>
        <v>7681.2709999999997</v>
      </c>
      <c r="L118" s="177"/>
      <c r="M118" s="280"/>
      <c r="N118" s="177"/>
      <c r="O118" s="177"/>
    </row>
    <row r="119" spans="1:15">
      <c r="A119" s="14">
        <v>116</v>
      </c>
      <c r="B119" s="536">
        <v>46219</v>
      </c>
      <c r="C119" s="14" t="s">
        <v>312</v>
      </c>
      <c r="D119" s="14" t="s">
        <v>302</v>
      </c>
      <c r="E119" s="177">
        <v>95.29</v>
      </c>
      <c r="F119" s="177">
        <v>105.35</v>
      </c>
      <c r="G119" s="278">
        <f t="shared" si="5"/>
        <v>10038.8015</v>
      </c>
      <c r="H119" s="177">
        <v>5</v>
      </c>
      <c r="I119" s="177">
        <v>117.72</v>
      </c>
      <c r="J119" s="278">
        <f t="shared" si="2"/>
        <v>588.6</v>
      </c>
      <c r="K119" s="278">
        <f t="shared" si="3"/>
        <v>10627.4015</v>
      </c>
      <c r="L119" s="177"/>
      <c r="M119" s="280"/>
      <c r="N119" s="177"/>
      <c r="O119" s="177"/>
    </row>
    <row r="120" spans="1:15">
      <c r="A120" s="14">
        <v>117</v>
      </c>
      <c r="B120" s="536">
        <v>46219</v>
      </c>
      <c r="C120" s="14" t="s">
        <v>305</v>
      </c>
      <c r="D120" s="14" t="s">
        <v>302</v>
      </c>
      <c r="E120" s="177">
        <v>46.48</v>
      </c>
      <c r="F120" s="177">
        <v>105.21</v>
      </c>
      <c r="G120" s="278">
        <f t="shared" si="5"/>
        <v>4890.1607999999997</v>
      </c>
      <c r="H120" s="177">
        <v>5</v>
      </c>
      <c r="I120" s="177">
        <v>117.58</v>
      </c>
      <c r="J120" s="278">
        <f t="shared" si="2"/>
        <v>587.9</v>
      </c>
      <c r="K120" s="278">
        <f t="shared" si="3"/>
        <v>5478.0607999999993</v>
      </c>
      <c r="L120" s="177"/>
      <c r="M120" s="280"/>
      <c r="N120" s="177"/>
      <c r="O120" s="177"/>
    </row>
    <row r="121" spans="1:15">
      <c r="A121" s="382">
        <v>118</v>
      </c>
      <c r="B121" s="536">
        <v>46219</v>
      </c>
      <c r="C121" s="14" t="s">
        <v>306</v>
      </c>
      <c r="D121" s="14" t="s">
        <v>307</v>
      </c>
      <c r="E121" s="177">
        <v>89</v>
      </c>
      <c r="F121" s="177">
        <v>100.05</v>
      </c>
      <c r="G121" s="278">
        <f t="shared" si="5"/>
        <v>8904.4499999999989</v>
      </c>
      <c r="H121" s="177">
        <v>6</v>
      </c>
      <c r="I121" s="177">
        <v>112.07</v>
      </c>
      <c r="J121" s="278">
        <f t="shared" si="2"/>
        <v>672.42</v>
      </c>
      <c r="K121" s="278">
        <f t="shared" si="3"/>
        <v>9576.869999999999</v>
      </c>
      <c r="L121" s="177"/>
      <c r="M121" s="280"/>
      <c r="N121" s="177"/>
      <c r="O121" s="177"/>
    </row>
    <row r="122" spans="1:15">
      <c r="A122" s="14">
        <v>119</v>
      </c>
      <c r="B122" s="536">
        <v>46219</v>
      </c>
      <c r="C122" s="14" t="s">
        <v>323</v>
      </c>
      <c r="D122" s="14" t="s">
        <v>53</v>
      </c>
      <c r="E122" s="177">
        <v>39</v>
      </c>
      <c r="F122" s="177">
        <v>99.18</v>
      </c>
      <c r="G122" s="278">
        <f t="shared" si="5"/>
        <v>3868.0200000000004</v>
      </c>
      <c r="H122" s="177"/>
      <c r="I122" s="177"/>
      <c r="J122" s="278">
        <f t="shared" si="2"/>
        <v>0</v>
      </c>
      <c r="K122" s="278">
        <f t="shared" si="3"/>
        <v>3868.0200000000004</v>
      </c>
      <c r="L122" s="177"/>
      <c r="M122" s="280"/>
      <c r="N122" s="177"/>
      <c r="O122" s="177"/>
    </row>
    <row r="123" spans="1:15">
      <c r="A123" s="14">
        <v>120</v>
      </c>
      <c r="B123" s="536">
        <v>46219</v>
      </c>
      <c r="C123" s="14" t="s">
        <v>336</v>
      </c>
      <c r="D123" s="14" t="s">
        <v>302</v>
      </c>
      <c r="E123" s="177">
        <v>50.65</v>
      </c>
      <c r="F123" s="177">
        <v>105.4</v>
      </c>
      <c r="G123" s="278">
        <f t="shared" si="5"/>
        <v>5338.51</v>
      </c>
      <c r="H123" s="177">
        <v>5</v>
      </c>
      <c r="I123" s="177">
        <v>117.74</v>
      </c>
      <c r="J123" s="278">
        <f t="shared" si="2"/>
        <v>588.69999999999993</v>
      </c>
      <c r="K123" s="278">
        <f t="shared" si="3"/>
        <v>5927.21</v>
      </c>
      <c r="L123" s="177"/>
      <c r="M123" s="280"/>
      <c r="N123" s="177"/>
      <c r="O123" s="177"/>
    </row>
    <row r="124" spans="1:15">
      <c r="A124" s="382">
        <v>121</v>
      </c>
      <c r="B124" s="536">
        <v>46219</v>
      </c>
      <c r="C124" s="14" t="s">
        <v>308</v>
      </c>
      <c r="D124" s="14" t="s">
        <v>302</v>
      </c>
      <c r="E124" s="177">
        <v>43.5</v>
      </c>
      <c r="F124" s="177">
        <v>105.59</v>
      </c>
      <c r="G124" s="278">
        <f t="shared" si="5"/>
        <v>4593.165</v>
      </c>
      <c r="H124" s="177">
        <v>5</v>
      </c>
      <c r="I124" s="177">
        <v>117.98</v>
      </c>
      <c r="J124" s="278">
        <f t="shared" si="2"/>
        <v>589.9</v>
      </c>
      <c r="K124" s="278">
        <f t="shared" si="3"/>
        <v>5183.0649999999996</v>
      </c>
      <c r="L124" s="177"/>
      <c r="M124" s="280"/>
      <c r="N124" s="177"/>
      <c r="O124" s="177"/>
    </row>
    <row r="125" spans="1:15">
      <c r="A125" s="14">
        <v>122</v>
      </c>
      <c r="B125" s="536">
        <v>46219</v>
      </c>
      <c r="C125" s="14" t="s">
        <v>317</v>
      </c>
      <c r="D125" s="14" t="s">
        <v>302</v>
      </c>
      <c r="E125" s="177">
        <v>25.92</v>
      </c>
      <c r="F125" s="177">
        <v>105.35</v>
      </c>
      <c r="G125" s="278">
        <f t="shared" si="5"/>
        <v>2730.672</v>
      </c>
      <c r="H125" s="177"/>
      <c r="I125" s="177"/>
      <c r="J125" s="278">
        <f t="shared" si="2"/>
        <v>0</v>
      </c>
      <c r="K125" s="278">
        <f t="shared" si="3"/>
        <v>2730.672</v>
      </c>
      <c r="L125" s="177"/>
      <c r="M125" s="280"/>
      <c r="N125" s="177"/>
      <c r="O125" s="177"/>
    </row>
    <row r="126" spans="1:15">
      <c r="A126" s="14">
        <v>123</v>
      </c>
      <c r="B126" s="536">
        <v>46220</v>
      </c>
      <c r="C126" s="14" t="s">
        <v>310</v>
      </c>
      <c r="D126" s="14" t="s">
        <v>302</v>
      </c>
      <c r="E126" s="177"/>
      <c r="F126" s="177"/>
      <c r="G126" s="278">
        <f t="shared" si="5"/>
        <v>0</v>
      </c>
      <c r="H126" s="177">
        <v>5</v>
      </c>
      <c r="I126" s="177">
        <v>116.99</v>
      </c>
      <c r="J126" s="278">
        <f t="shared" si="2"/>
        <v>584.94999999999993</v>
      </c>
      <c r="K126" s="278">
        <f t="shared" si="3"/>
        <v>584.94999999999993</v>
      </c>
      <c r="L126" s="177"/>
      <c r="M126" s="280"/>
      <c r="N126" s="177"/>
      <c r="O126" s="177"/>
    </row>
    <row r="127" spans="1:15">
      <c r="A127" s="382">
        <v>124</v>
      </c>
      <c r="B127" s="536">
        <v>46220</v>
      </c>
      <c r="C127" s="14" t="s">
        <v>311</v>
      </c>
      <c r="D127" s="14" t="s">
        <v>302</v>
      </c>
      <c r="E127" s="177">
        <v>41.92</v>
      </c>
      <c r="F127" s="177">
        <v>104.62</v>
      </c>
      <c r="G127" s="278">
        <f t="shared" si="5"/>
        <v>4385.6704</v>
      </c>
      <c r="H127" s="177"/>
      <c r="I127" s="177"/>
      <c r="J127" s="278">
        <f t="shared" si="2"/>
        <v>0</v>
      </c>
      <c r="K127" s="278">
        <f t="shared" si="3"/>
        <v>4385.6704</v>
      </c>
      <c r="L127" s="177"/>
      <c r="M127" s="280"/>
      <c r="N127" s="177"/>
      <c r="O127" s="177"/>
    </row>
    <row r="128" spans="1:15">
      <c r="A128" s="14">
        <v>125</v>
      </c>
      <c r="B128" s="536">
        <v>46220</v>
      </c>
      <c r="C128" s="14" t="s">
        <v>312</v>
      </c>
      <c r="D128" s="14" t="s">
        <v>302</v>
      </c>
      <c r="E128" s="177">
        <v>104</v>
      </c>
      <c r="F128" s="177">
        <v>105.35</v>
      </c>
      <c r="G128" s="278">
        <f t="shared" si="5"/>
        <v>10956.4</v>
      </c>
      <c r="H128" s="177"/>
      <c r="I128" s="177"/>
      <c r="J128" s="278">
        <f t="shared" si="2"/>
        <v>0</v>
      </c>
      <c r="K128" s="278">
        <f t="shared" si="3"/>
        <v>10956.4</v>
      </c>
      <c r="L128" s="177"/>
      <c r="M128" s="280"/>
      <c r="N128" s="177"/>
      <c r="O128" s="177"/>
    </row>
    <row r="129" spans="1:15">
      <c r="A129" s="14">
        <v>126</v>
      </c>
      <c r="B129" s="536">
        <v>46220</v>
      </c>
      <c r="C129" s="14" t="s">
        <v>336</v>
      </c>
      <c r="D129" s="14" t="s">
        <v>302</v>
      </c>
      <c r="E129" s="177">
        <v>35</v>
      </c>
      <c r="F129" s="177">
        <v>105.4</v>
      </c>
      <c r="G129" s="278">
        <f t="shared" si="5"/>
        <v>3689</v>
      </c>
      <c r="H129" s="177"/>
      <c r="I129" s="177"/>
      <c r="J129" s="278">
        <f t="shared" si="2"/>
        <v>0</v>
      </c>
      <c r="K129" s="278">
        <f t="shared" si="3"/>
        <v>3689</v>
      </c>
      <c r="L129" s="177"/>
      <c r="M129" s="280"/>
      <c r="N129" s="177"/>
      <c r="O129" s="177"/>
    </row>
    <row r="130" spans="1:15">
      <c r="A130" s="382">
        <v>127</v>
      </c>
      <c r="B130" s="536">
        <v>46220</v>
      </c>
      <c r="C130" s="14" t="s">
        <v>315</v>
      </c>
      <c r="D130" s="14" t="s">
        <v>302</v>
      </c>
      <c r="E130" s="177"/>
      <c r="F130" s="177"/>
      <c r="G130" s="278">
        <f t="shared" si="5"/>
        <v>0</v>
      </c>
      <c r="H130" s="177">
        <v>5</v>
      </c>
      <c r="I130" s="177">
        <v>117.84</v>
      </c>
      <c r="J130" s="278">
        <f t="shared" si="2"/>
        <v>589.20000000000005</v>
      </c>
      <c r="K130" s="278">
        <f t="shared" si="3"/>
        <v>589.20000000000005</v>
      </c>
      <c r="L130" s="177"/>
      <c r="M130" s="280"/>
      <c r="N130" s="177"/>
      <c r="O130" s="177"/>
    </row>
    <row r="131" spans="1:15">
      <c r="A131" s="14">
        <v>128</v>
      </c>
      <c r="B131" s="536">
        <v>46220</v>
      </c>
      <c r="C131" s="14" t="s">
        <v>316</v>
      </c>
      <c r="D131" s="14" t="s">
        <v>302</v>
      </c>
      <c r="E131" s="177">
        <v>44.27</v>
      </c>
      <c r="F131" s="177">
        <v>94.08</v>
      </c>
      <c r="G131" s="278">
        <f t="shared" si="5"/>
        <v>4164.9216000000006</v>
      </c>
      <c r="H131" s="177"/>
      <c r="I131" s="177"/>
      <c r="J131" s="278">
        <f t="shared" si="2"/>
        <v>0</v>
      </c>
      <c r="K131" s="278">
        <f t="shared" si="3"/>
        <v>4164.9216000000006</v>
      </c>
      <c r="L131" s="177"/>
      <c r="M131" s="280"/>
      <c r="N131" s="177"/>
      <c r="O131" s="177"/>
    </row>
    <row r="132" spans="1:15">
      <c r="A132" s="14">
        <v>129</v>
      </c>
      <c r="B132" s="536">
        <v>46220</v>
      </c>
      <c r="C132" s="14" t="s">
        <v>317</v>
      </c>
      <c r="D132" s="14" t="s">
        <v>302</v>
      </c>
      <c r="E132" s="177">
        <v>105</v>
      </c>
      <c r="F132" s="177">
        <v>105.35</v>
      </c>
      <c r="G132" s="278">
        <f t="shared" si="5"/>
        <v>11061.75</v>
      </c>
      <c r="H132" s="177"/>
      <c r="I132" s="177"/>
      <c r="J132" s="278">
        <f t="shared" si="2"/>
        <v>0</v>
      </c>
      <c r="K132" s="278">
        <f t="shared" si="3"/>
        <v>11061.75</v>
      </c>
      <c r="L132" s="177"/>
      <c r="M132" s="280"/>
      <c r="N132" s="177"/>
      <c r="O132" s="177"/>
    </row>
    <row r="133" spans="1:15">
      <c r="A133" s="382">
        <v>130</v>
      </c>
      <c r="B133" s="536">
        <v>46221</v>
      </c>
      <c r="C133" s="14" t="s">
        <v>310</v>
      </c>
      <c r="D133" s="14" t="s">
        <v>302</v>
      </c>
      <c r="E133" s="177"/>
      <c r="F133" s="177"/>
      <c r="G133" s="278">
        <f t="shared" si="5"/>
        <v>0</v>
      </c>
      <c r="H133" s="177">
        <v>10</v>
      </c>
      <c r="I133" s="177">
        <v>116.99</v>
      </c>
      <c r="J133" s="278">
        <f t="shared" si="2"/>
        <v>1169.8999999999999</v>
      </c>
      <c r="K133" s="278">
        <f t="shared" si="3"/>
        <v>1169.8999999999999</v>
      </c>
      <c r="L133" s="177"/>
      <c r="M133" s="280"/>
      <c r="N133" s="177"/>
      <c r="O133" s="177"/>
    </row>
    <row r="134" spans="1:15">
      <c r="A134" s="14">
        <v>131</v>
      </c>
      <c r="B134" s="536">
        <v>46221</v>
      </c>
      <c r="C134" s="14" t="s">
        <v>337</v>
      </c>
      <c r="D134" s="14" t="s">
        <v>40</v>
      </c>
      <c r="E134" s="177"/>
      <c r="F134" s="177"/>
      <c r="G134" s="278">
        <f t="shared" si="5"/>
        <v>0</v>
      </c>
      <c r="H134" s="177">
        <v>4</v>
      </c>
      <c r="I134" s="177">
        <v>115.69</v>
      </c>
      <c r="J134" s="278">
        <f t="shared" si="2"/>
        <v>462.76</v>
      </c>
      <c r="K134" s="278">
        <f t="shared" si="3"/>
        <v>462.76</v>
      </c>
      <c r="L134" s="177"/>
      <c r="M134" s="280"/>
      <c r="N134" s="177"/>
      <c r="O134" s="177"/>
    </row>
    <row r="135" spans="1:15">
      <c r="A135" s="14">
        <v>132</v>
      </c>
      <c r="B135" s="536">
        <v>46221</v>
      </c>
      <c r="C135" s="14" t="s">
        <v>312</v>
      </c>
      <c r="D135" s="14" t="s">
        <v>302</v>
      </c>
      <c r="E135" s="177">
        <v>20</v>
      </c>
      <c r="F135" s="177">
        <v>105.35</v>
      </c>
      <c r="G135" s="278">
        <f t="shared" si="5"/>
        <v>2107</v>
      </c>
      <c r="H135" s="177"/>
      <c r="I135" s="177"/>
      <c r="J135" s="278">
        <f t="shared" si="2"/>
        <v>0</v>
      </c>
      <c r="K135" s="278"/>
      <c r="L135" s="177"/>
      <c r="M135" s="280"/>
      <c r="N135" s="177"/>
      <c r="O135" s="177"/>
    </row>
    <row r="136" spans="1:15">
      <c r="A136" s="382">
        <v>133</v>
      </c>
      <c r="B136" s="536">
        <v>46221</v>
      </c>
      <c r="C136" s="14" t="s">
        <v>338</v>
      </c>
      <c r="D136" s="14" t="s">
        <v>302</v>
      </c>
      <c r="E136" s="177">
        <v>48.32</v>
      </c>
      <c r="F136" s="177">
        <v>105.33</v>
      </c>
      <c r="G136" s="278">
        <f t="shared" si="5"/>
        <v>5089.5456000000004</v>
      </c>
      <c r="H136" s="177"/>
      <c r="I136" s="177"/>
      <c r="J136" s="278">
        <f t="shared" si="2"/>
        <v>0</v>
      </c>
      <c r="K136" s="278">
        <f t="shared" si="3"/>
        <v>5089.5456000000004</v>
      </c>
      <c r="L136" s="177"/>
      <c r="M136" s="280"/>
      <c r="N136" s="177"/>
      <c r="O136" s="177"/>
    </row>
    <row r="137" spans="1:15">
      <c r="A137" s="14">
        <v>134</v>
      </c>
      <c r="B137" s="536">
        <v>46221</v>
      </c>
      <c r="C137" s="14" t="s">
        <v>306</v>
      </c>
      <c r="D137" s="14" t="s">
        <v>307</v>
      </c>
      <c r="E137" s="177">
        <v>75.16</v>
      </c>
      <c r="F137" s="177">
        <v>105.33</v>
      </c>
      <c r="G137" s="278">
        <f t="shared" si="5"/>
        <v>7916.6027999999997</v>
      </c>
      <c r="H137" s="177">
        <v>5</v>
      </c>
      <c r="I137" s="177">
        <v>100.05</v>
      </c>
      <c r="J137" s="278">
        <f t="shared" si="2"/>
        <v>500.25</v>
      </c>
      <c r="K137" s="278">
        <f t="shared" si="3"/>
        <v>8416.8528000000006</v>
      </c>
      <c r="L137" s="177"/>
      <c r="M137" s="280"/>
      <c r="N137" s="177"/>
      <c r="O137" s="177"/>
    </row>
    <row r="138" spans="1:15">
      <c r="A138" s="14">
        <v>135</v>
      </c>
      <c r="B138" s="536">
        <v>46221</v>
      </c>
      <c r="C138" s="14" t="s">
        <v>308</v>
      </c>
      <c r="D138" s="14" t="s">
        <v>302</v>
      </c>
      <c r="E138" s="177"/>
      <c r="F138" s="177"/>
      <c r="G138" s="278">
        <f t="shared" si="5"/>
        <v>0</v>
      </c>
      <c r="H138" s="177">
        <v>3</v>
      </c>
      <c r="I138" s="177">
        <v>117.98</v>
      </c>
      <c r="J138" s="278">
        <f t="shared" si="2"/>
        <v>353.94</v>
      </c>
      <c r="K138" s="278">
        <f t="shared" si="3"/>
        <v>353.94</v>
      </c>
      <c r="L138" s="177"/>
      <c r="M138" s="280"/>
      <c r="N138" s="177"/>
      <c r="O138" s="177"/>
    </row>
    <row r="139" spans="1:15">
      <c r="A139" s="382">
        <v>136</v>
      </c>
      <c r="B139" s="536">
        <v>46221</v>
      </c>
      <c r="C139" s="14" t="s">
        <v>339</v>
      </c>
      <c r="D139" s="14" t="s">
        <v>302</v>
      </c>
      <c r="E139" s="177">
        <v>30</v>
      </c>
      <c r="F139" s="177">
        <v>105.01</v>
      </c>
      <c r="G139" s="278">
        <f t="shared" si="5"/>
        <v>3150.3</v>
      </c>
      <c r="H139" s="177">
        <v>5</v>
      </c>
      <c r="I139" s="177">
        <v>117.32</v>
      </c>
      <c r="J139" s="278">
        <f t="shared" si="2"/>
        <v>586.59999999999991</v>
      </c>
      <c r="K139" s="278">
        <f t="shared" si="3"/>
        <v>3736.9</v>
      </c>
      <c r="L139" s="177"/>
      <c r="M139" s="280"/>
      <c r="N139" s="177"/>
      <c r="O139" s="177"/>
    </row>
    <row r="140" spans="1:15">
      <c r="A140" s="14">
        <v>137</v>
      </c>
      <c r="B140" s="536">
        <v>46222</v>
      </c>
      <c r="C140" s="14" t="s">
        <v>312</v>
      </c>
      <c r="D140" s="14" t="s">
        <v>302</v>
      </c>
      <c r="E140" s="177">
        <v>50</v>
      </c>
      <c r="F140" s="177">
        <v>105.35</v>
      </c>
      <c r="G140" s="278">
        <f t="shared" si="5"/>
        <v>5267.5</v>
      </c>
      <c r="H140" s="177"/>
      <c r="I140" s="177"/>
      <c r="J140" s="278">
        <f t="shared" si="2"/>
        <v>0</v>
      </c>
      <c r="K140" s="278">
        <f t="shared" si="3"/>
        <v>5267.5</v>
      </c>
      <c r="L140" s="177"/>
      <c r="M140" s="280"/>
      <c r="N140" s="177"/>
      <c r="O140" s="177"/>
    </row>
    <row r="141" spans="1:15">
      <c r="A141" s="14">
        <v>138</v>
      </c>
      <c r="B141" s="536">
        <v>46222</v>
      </c>
      <c r="C141" s="14" t="s">
        <v>301</v>
      </c>
      <c r="D141" s="14" t="s">
        <v>302</v>
      </c>
      <c r="E141" s="177"/>
      <c r="F141" s="177"/>
      <c r="G141" s="278">
        <f t="shared" si="5"/>
        <v>0</v>
      </c>
      <c r="H141" s="177">
        <v>5</v>
      </c>
      <c r="I141" s="177">
        <v>117.24</v>
      </c>
      <c r="J141" s="278">
        <f t="shared" si="2"/>
        <v>586.19999999999993</v>
      </c>
      <c r="K141" s="278">
        <f t="shared" si="3"/>
        <v>586.19999999999993</v>
      </c>
      <c r="L141" s="177"/>
      <c r="M141" s="280"/>
      <c r="N141" s="177"/>
      <c r="O141" s="177"/>
    </row>
    <row r="142" spans="1:15">
      <c r="A142" s="382">
        <v>139</v>
      </c>
      <c r="B142" s="536">
        <v>46222</v>
      </c>
      <c r="C142" s="14" t="s">
        <v>306</v>
      </c>
      <c r="D142" s="14" t="s">
        <v>307</v>
      </c>
      <c r="E142" s="177"/>
      <c r="F142" s="177"/>
      <c r="G142" s="278">
        <f t="shared" si="5"/>
        <v>0</v>
      </c>
      <c r="H142" s="177">
        <v>11.97</v>
      </c>
      <c r="I142" s="177">
        <v>117.24</v>
      </c>
      <c r="J142" s="278">
        <f t="shared" si="2"/>
        <v>1403.3628000000001</v>
      </c>
      <c r="K142" s="278">
        <f t="shared" si="3"/>
        <v>1403.3628000000001</v>
      </c>
      <c r="L142" s="177"/>
      <c r="M142" s="280"/>
      <c r="N142" s="177"/>
      <c r="O142" s="177"/>
    </row>
    <row r="143" spans="1:15">
      <c r="A143" s="14">
        <v>140</v>
      </c>
      <c r="B143" s="536">
        <v>46222</v>
      </c>
      <c r="C143" s="14" t="s">
        <v>336</v>
      </c>
      <c r="D143" s="14" t="s">
        <v>302</v>
      </c>
      <c r="E143" s="177">
        <v>94</v>
      </c>
      <c r="F143" s="177">
        <v>105.35</v>
      </c>
      <c r="G143" s="278">
        <f t="shared" si="5"/>
        <v>9902.9</v>
      </c>
      <c r="H143" s="177"/>
      <c r="I143" s="177"/>
      <c r="J143" s="278">
        <f t="shared" si="2"/>
        <v>0</v>
      </c>
      <c r="K143" s="278">
        <f t="shared" si="3"/>
        <v>9902.9</v>
      </c>
      <c r="L143" s="177"/>
      <c r="M143" s="280"/>
      <c r="N143" s="177"/>
      <c r="O143" s="177"/>
    </row>
    <row r="144" spans="1:15">
      <c r="A144" s="14">
        <v>141</v>
      </c>
      <c r="B144" s="536">
        <v>46222</v>
      </c>
      <c r="C144" s="14" t="s">
        <v>308</v>
      </c>
      <c r="D144" s="14" t="s">
        <v>302</v>
      </c>
      <c r="E144" s="177">
        <v>20</v>
      </c>
      <c r="F144" s="177">
        <v>105.59</v>
      </c>
      <c r="G144" s="278">
        <f t="shared" si="5"/>
        <v>2111.8000000000002</v>
      </c>
      <c r="H144" s="177">
        <v>5</v>
      </c>
      <c r="I144" s="177">
        <v>117.98</v>
      </c>
      <c r="J144" s="278">
        <f t="shared" si="2"/>
        <v>589.9</v>
      </c>
      <c r="K144" s="278">
        <f t="shared" si="3"/>
        <v>2701.7000000000003</v>
      </c>
      <c r="L144" s="177"/>
      <c r="M144" s="280"/>
      <c r="N144" s="177"/>
      <c r="O144" s="177"/>
    </row>
    <row r="145" spans="1:15">
      <c r="A145" s="382">
        <v>142</v>
      </c>
      <c r="B145" s="536">
        <v>46222</v>
      </c>
      <c r="C145" s="14" t="s">
        <v>315</v>
      </c>
      <c r="D145" s="14" t="s">
        <v>302</v>
      </c>
      <c r="E145" s="177">
        <v>50</v>
      </c>
      <c r="F145" s="177">
        <v>105.46</v>
      </c>
      <c r="G145" s="278">
        <f t="shared" si="5"/>
        <v>5273</v>
      </c>
      <c r="H145" s="177"/>
      <c r="I145" s="177"/>
      <c r="J145" s="278">
        <f t="shared" si="2"/>
        <v>0</v>
      </c>
      <c r="K145" s="278">
        <f t="shared" si="3"/>
        <v>5273</v>
      </c>
      <c r="L145" s="177"/>
      <c r="M145" s="280"/>
      <c r="N145" s="177"/>
      <c r="O145" s="177"/>
    </row>
    <row r="146" spans="1:15">
      <c r="A146" s="14">
        <v>143</v>
      </c>
      <c r="B146" s="536">
        <v>46222</v>
      </c>
      <c r="C146" s="14" t="s">
        <v>317</v>
      </c>
      <c r="D146" s="14" t="s">
        <v>302</v>
      </c>
      <c r="E146" s="177">
        <v>35</v>
      </c>
      <c r="F146" s="177">
        <v>105.35</v>
      </c>
      <c r="G146" s="278">
        <f t="shared" si="5"/>
        <v>3687.25</v>
      </c>
      <c r="H146" s="177"/>
      <c r="I146" s="177"/>
      <c r="J146" s="278">
        <f t="shared" si="2"/>
        <v>0</v>
      </c>
      <c r="K146" s="278">
        <f t="shared" si="3"/>
        <v>3687.25</v>
      </c>
      <c r="L146" s="177"/>
      <c r="M146" s="280"/>
      <c r="N146" s="177"/>
      <c r="O146" s="177"/>
    </row>
    <row r="147" spans="1:15">
      <c r="A147" s="14">
        <v>144</v>
      </c>
      <c r="B147" s="536">
        <v>46222</v>
      </c>
      <c r="C147" s="14" t="s">
        <v>340</v>
      </c>
      <c r="D147" s="14" t="s">
        <v>48</v>
      </c>
      <c r="E147" s="177">
        <v>53.57</v>
      </c>
      <c r="F147" s="177">
        <v>104.01</v>
      </c>
      <c r="G147" s="278">
        <f t="shared" si="5"/>
        <v>5571.8157000000001</v>
      </c>
      <c r="H147" s="177"/>
      <c r="I147" s="177"/>
      <c r="J147" s="278">
        <f t="shared" si="2"/>
        <v>0</v>
      </c>
      <c r="K147" s="278">
        <f t="shared" si="3"/>
        <v>5571.8157000000001</v>
      </c>
      <c r="L147" s="177"/>
      <c r="M147" s="280"/>
      <c r="N147" s="177"/>
      <c r="O147" s="177"/>
    </row>
    <row r="148" spans="1:15">
      <c r="A148" s="382">
        <v>145</v>
      </c>
      <c r="B148" s="536">
        <v>46223</v>
      </c>
      <c r="C148" s="14" t="s">
        <v>312</v>
      </c>
      <c r="D148" s="14" t="s">
        <v>302</v>
      </c>
      <c r="E148" s="177">
        <v>184.42</v>
      </c>
      <c r="F148" s="177">
        <v>104.01</v>
      </c>
      <c r="G148" s="278">
        <f t="shared" si="5"/>
        <v>19181.5242</v>
      </c>
      <c r="H148" s="177">
        <v>10</v>
      </c>
      <c r="I148" s="177">
        <v>117.72</v>
      </c>
      <c r="J148" s="278">
        <f t="shared" si="2"/>
        <v>1177.2</v>
      </c>
      <c r="K148" s="278">
        <f>G148+J148</f>
        <v>20358.724200000001</v>
      </c>
      <c r="L148" s="177"/>
      <c r="M148" s="280"/>
      <c r="N148" s="177"/>
      <c r="O148" s="177"/>
    </row>
    <row r="149" spans="1:15">
      <c r="A149" s="14">
        <v>146</v>
      </c>
      <c r="B149" s="536">
        <v>46223</v>
      </c>
      <c r="C149" s="14" t="s">
        <v>341</v>
      </c>
      <c r="D149" s="14" t="s">
        <v>53</v>
      </c>
      <c r="E149" s="177">
        <v>40.49</v>
      </c>
      <c r="F149" s="177">
        <v>98.79</v>
      </c>
      <c r="G149" s="278">
        <f t="shared" si="5"/>
        <v>4000.0071000000003</v>
      </c>
      <c r="H149" s="177"/>
      <c r="I149" s="177"/>
      <c r="J149" s="278">
        <f t="shared" si="2"/>
        <v>0</v>
      </c>
      <c r="K149" s="278">
        <f>G149+J149</f>
        <v>4000.0071000000003</v>
      </c>
      <c r="L149" s="177"/>
      <c r="M149" s="280"/>
      <c r="N149" s="177"/>
      <c r="O149" s="177"/>
    </row>
    <row r="150" spans="1:15">
      <c r="A150" s="14">
        <v>147</v>
      </c>
      <c r="B150" s="536">
        <v>46223</v>
      </c>
      <c r="C150" s="14" t="s">
        <v>301</v>
      </c>
      <c r="D150" s="14" t="s">
        <v>302</v>
      </c>
      <c r="E150" s="177">
        <v>200</v>
      </c>
      <c r="F150" s="177">
        <v>104.93</v>
      </c>
      <c r="G150" s="278">
        <f t="shared" si="5"/>
        <v>20986</v>
      </c>
      <c r="H150" s="177"/>
      <c r="I150" s="177"/>
      <c r="J150" s="278">
        <f t="shared" si="2"/>
        <v>0</v>
      </c>
      <c r="K150" s="278">
        <f t="shared" si="3"/>
        <v>20986</v>
      </c>
      <c r="L150" s="177"/>
      <c r="M150" s="280"/>
      <c r="N150" s="177"/>
      <c r="O150" s="177"/>
    </row>
    <row r="151" spans="1:15">
      <c r="A151" s="382">
        <v>148</v>
      </c>
      <c r="B151" s="536">
        <v>46223</v>
      </c>
      <c r="C151" s="14" t="s">
        <v>336</v>
      </c>
      <c r="D151" s="14" t="s">
        <v>302</v>
      </c>
      <c r="E151" s="177">
        <v>60</v>
      </c>
      <c r="F151" s="177">
        <v>105.4</v>
      </c>
      <c r="G151" s="278">
        <f t="shared" si="5"/>
        <v>6324</v>
      </c>
      <c r="H151" s="177">
        <v>5</v>
      </c>
      <c r="I151" s="177">
        <v>117.74</v>
      </c>
      <c r="J151" s="278">
        <f t="shared" si="2"/>
        <v>588.69999999999993</v>
      </c>
      <c r="K151" s="278">
        <f t="shared" si="3"/>
        <v>6912.7</v>
      </c>
      <c r="L151" s="177"/>
      <c r="M151" s="280"/>
      <c r="N151" s="177"/>
      <c r="O151" s="177"/>
    </row>
    <row r="152" spans="1:15">
      <c r="A152" s="14">
        <v>149</v>
      </c>
      <c r="B152" s="536">
        <v>46223</v>
      </c>
      <c r="C152" s="14" t="s">
        <v>308</v>
      </c>
      <c r="D152" s="14" t="s">
        <v>302</v>
      </c>
      <c r="E152" s="177">
        <v>30</v>
      </c>
      <c r="F152" s="177">
        <v>105.59</v>
      </c>
      <c r="G152" s="278">
        <f t="shared" si="5"/>
        <v>3167.7000000000003</v>
      </c>
      <c r="H152" s="177"/>
      <c r="I152" s="177"/>
      <c r="J152" s="278">
        <f t="shared" si="2"/>
        <v>0</v>
      </c>
      <c r="K152" s="278">
        <f t="shared" si="3"/>
        <v>3167.7000000000003</v>
      </c>
      <c r="L152" s="177"/>
      <c r="M152" s="280"/>
      <c r="N152" s="177"/>
      <c r="O152" s="177"/>
    </row>
    <row r="153" spans="1:15">
      <c r="A153" s="14">
        <v>150</v>
      </c>
      <c r="B153" s="536">
        <v>46223</v>
      </c>
      <c r="C153" s="14" t="s">
        <v>317</v>
      </c>
      <c r="D153" s="14" t="s">
        <v>302</v>
      </c>
      <c r="E153" s="177">
        <v>40</v>
      </c>
      <c r="F153" s="177">
        <v>105.35</v>
      </c>
      <c r="G153" s="278">
        <f t="shared" si="5"/>
        <v>4214</v>
      </c>
      <c r="H153" s="177"/>
      <c r="I153" s="177"/>
      <c r="J153" s="278">
        <f t="shared" si="2"/>
        <v>0</v>
      </c>
      <c r="K153" s="278">
        <f t="shared" si="3"/>
        <v>4214</v>
      </c>
      <c r="L153" s="177"/>
      <c r="M153" s="280"/>
      <c r="N153" s="177"/>
      <c r="O153" s="177"/>
    </row>
    <row r="154" spans="1:15">
      <c r="A154" s="382">
        <v>151</v>
      </c>
      <c r="B154" s="536">
        <v>46224</v>
      </c>
      <c r="C154" s="14" t="s">
        <v>310</v>
      </c>
      <c r="D154" s="14" t="s">
        <v>302</v>
      </c>
      <c r="E154" s="177"/>
      <c r="F154" s="177"/>
      <c r="G154" s="278">
        <f t="shared" si="5"/>
        <v>0</v>
      </c>
      <c r="H154" s="177">
        <v>5</v>
      </c>
      <c r="I154" s="177">
        <v>116.99</v>
      </c>
      <c r="J154" s="278">
        <f t="shared" si="2"/>
        <v>584.94999999999993</v>
      </c>
      <c r="K154" s="278">
        <f t="shared" si="3"/>
        <v>584.94999999999993</v>
      </c>
      <c r="L154" s="177"/>
      <c r="M154" s="280"/>
      <c r="N154" s="177"/>
      <c r="O154" s="177"/>
    </row>
    <row r="155" spans="1:15">
      <c r="A155" s="14">
        <v>152</v>
      </c>
      <c r="B155" s="536">
        <v>46224</v>
      </c>
      <c r="C155" s="14" t="s">
        <v>311</v>
      </c>
      <c r="D155" s="14" t="s">
        <v>302</v>
      </c>
      <c r="E155" s="177">
        <v>45.46</v>
      </c>
      <c r="F155" s="177">
        <v>104.62</v>
      </c>
      <c r="G155" s="278">
        <f t="shared" si="5"/>
        <v>4756.0252</v>
      </c>
      <c r="H155" s="177">
        <v>20</v>
      </c>
      <c r="I155" s="177">
        <v>104.62</v>
      </c>
      <c r="J155" s="278">
        <f t="shared" si="2"/>
        <v>2092.4</v>
      </c>
      <c r="K155" s="278">
        <f t="shared" si="3"/>
        <v>6848.4251999999997</v>
      </c>
      <c r="L155" s="177"/>
      <c r="M155" s="280"/>
      <c r="N155" s="177"/>
      <c r="O155" s="177"/>
    </row>
    <row r="156" spans="1:15">
      <c r="A156" s="14">
        <v>153</v>
      </c>
      <c r="B156" s="536">
        <v>46224</v>
      </c>
      <c r="C156" s="14" t="s">
        <v>312</v>
      </c>
      <c r="D156" s="14" t="s">
        <v>302</v>
      </c>
      <c r="E156" s="177"/>
      <c r="F156" s="177"/>
      <c r="G156" s="278">
        <f t="shared" si="5"/>
        <v>0</v>
      </c>
      <c r="H156" s="177">
        <v>5</v>
      </c>
      <c r="I156" s="177">
        <v>117.72</v>
      </c>
      <c r="J156" s="278">
        <f t="shared" si="2"/>
        <v>588.6</v>
      </c>
      <c r="K156" s="278">
        <f t="shared" si="3"/>
        <v>588.6</v>
      </c>
      <c r="L156" s="177"/>
      <c r="M156" s="280"/>
      <c r="N156" s="177"/>
      <c r="O156" s="177"/>
    </row>
    <row r="157" spans="1:15">
      <c r="A157" s="382">
        <v>154</v>
      </c>
      <c r="B157" s="536">
        <v>46224</v>
      </c>
      <c r="C157" s="14" t="s">
        <v>301</v>
      </c>
      <c r="D157" s="14" t="s">
        <v>302</v>
      </c>
      <c r="E157" s="177">
        <v>200</v>
      </c>
      <c r="F157" s="177">
        <v>104.93</v>
      </c>
      <c r="G157" s="278">
        <f t="shared" si="5"/>
        <v>20986</v>
      </c>
      <c r="H157" s="177"/>
      <c r="I157" s="177"/>
      <c r="J157" s="278">
        <f t="shared" si="2"/>
        <v>0</v>
      </c>
      <c r="K157" s="278">
        <f t="shared" si="3"/>
        <v>20986</v>
      </c>
      <c r="L157" s="177"/>
      <c r="M157" s="280"/>
      <c r="N157" s="177"/>
      <c r="O157" s="177"/>
    </row>
    <row r="158" spans="1:15">
      <c r="A158" s="14">
        <v>155</v>
      </c>
      <c r="B158" s="536">
        <v>46224</v>
      </c>
      <c r="C158" s="14" t="s">
        <v>336</v>
      </c>
      <c r="D158" s="14" t="s">
        <v>302</v>
      </c>
      <c r="E158" s="177">
        <v>62</v>
      </c>
      <c r="F158" s="177">
        <v>105.4</v>
      </c>
      <c r="G158" s="278">
        <f t="shared" si="5"/>
        <v>6534.8</v>
      </c>
      <c r="H158" s="177"/>
      <c r="I158" s="177"/>
      <c r="J158" s="278">
        <f t="shared" si="2"/>
        <v>0</v>
      </c>
      <c r="K158" s="278">
        <f t="shared" si="3"/>
        <v>6534.8</v>
      </c>
      <c r="L158" s="177"/>
      <c r="M158" s="280"/>
      <c r="N158" s="177"/>
      <c r="O158" s="177"/>
    </row>
    <row r="159" spans="1:15">
      <c r="A159" s="14">
        <v>156</v>
      </c>
      <c r="B159" s="536">
        <v>46224</v>
      </c>
      <c r="C159" s="14" t="s">
        <v>308</v>
      </c>
      <c r="D159" s="14" t="s">
        <v>302</v>
      </c>
      <c r="E159" s="177"/>
      <c r="F159" s="177"/>
      <c r="G159" s="278">
        <f t="shared" si="5"/>
        <v>0</v>
      </c>
      <c r="H159" s="177">
        <v>7</v>
      </c>
      <c r="I159" s="177">
        <v>117.98</v>
      </c>
      <c r="J159" s="278">
        <f t="shared" si="2"/>
        <v>825.86</v>
      </c>
      <c r="K159" s="278">
        <f t="shared" si="3"/>
        <v>825.86</v>
      </c>
      <c r="L159" s="177"/>
      <c r="M159" s="280"/>
      <c r="N159" s="177"/>
      <c r="O159" s="177"/>
    </row>
    <row r="160" spans="1:15">
      <c r="A160" s="382">
        <v>157</v>
      </c>
      <c r="B160" s="536">
        <v>46224</v>
      </c>
      <c r="C160" s="14" t="s">
        <v>314</v>
      </c>
      <c r="D160" s="14" t="s">
        <v>302</v>
      </c>
      <c r="E160" s="177"/>
      <c r="F160" s="177"/>
      <c r="G160" s="278">
        <f t="shared" si="5"/>
        <v>0</v>
      </c>
      <c r="H160" s="177">
        <v>6.85</v>
      </c>
      <c r="I160" s="177">
        <v>117.62</v>
      </c>
      <c r="J160" s="278">
        <f t="shared" si="2"/>
        <v>805.697</v>
      </c>
      <c r="K160" s="278">
        <f t="shared" si="3"/>
        <v>805.697</v>
      </c>
      <c r="L160" s="177"/>
      <c r="M160" s="280"/>
      <c r="N160" s="177"/>
      <c r="O160" s="177"/>
    </row>
    <row r="161" spans="1:15">
      <c r="A161" s="14">
        <v>158</v>
      </c>
      <c r="B161" s="536">
        <v>46224</v>
      </c>
      <c r="C161" s="14" t="s">
        <v>339</v>
      </c>
      <c r="D161" s="14" t="s">
        <v>302</v>
      </c>
      <c r="E161" s="177"/>
      <c r="F161" s="177"/>
      <c r="G161" s="278">
        <f t="shared" si="5"/>
        <v>0</v>
      </c>
      <c r="H161" s="177">
        <v>5</v>
      </c>
      <c r="I161" s="177">
        <v>117.32</v>
      </c>
      <c r="J161" s="278">
        <f t="shared" si="2"/>
        <v>586.59999999999991</v>
      </c>
      <c r="K161" s="278">
        <f t="shared" si="3"/>
        <v>586.59999999999991</v>
      </c>
      <c r="L161" s="177"/>
      <c r="M161" s="280"/>
      <c r="N161" s="177"/>
      <c r="O161" s="177"/>
    </row>
    <row r="162" spans="1:15">
      <c r="A162" s="14">
        <v>159</v>
      </c>
      <c r="B162" s="536">
        <v>46224</v>
      </c>
      <c r="C162" s="14" t="s">
        <v>317</v>
      </c>
      <c r="D162" s="14" t="s">
        <v>302</v>
      </c>
      <c r="E162" s="177">
        <v>71</v>
      </c>
      <c r="F162" s="177">
        <v>105.35</v>
      </c>
      <c r="G162" s="278">
        <f t="shared" si="5"/>
        <v>7479.8499999999995</v>
      </c>
      <c r="H162" s="177"/>
      <c r="I162" s="177"/>
      <c r="J162" s="278">
        <f t="shared" si="2"/>
        <v>0</v>
      </c>
      <c r="K162" s="278">
        <f t="shared" si="3"/>
        <v>7479.8499999999995</v>
      </c>
      <c r="L162" s="177"/>
      <c r="M162" s="280"/>
      <c r="N162" s="177"/>
      <c r="O162" s="177"/>
    </row>
    <row r="163" spans="1:15">
      <c r="A163" s="382">
        <v>160</v>
      </c>
      <c r="B163" s="536">
        <v>46225</v>
      </c>
      <c r="C163" s="14" t="s">
        <v>335</v>
      </c>
      <c r="D163" s="14" t="s">
        <v>320</v>
      </c>
      <c r="E163" s="375">
        <v>42.43</v>
      </c>
      <c r="F163" s="375">
        <v>104.95</v>
      </c>
      <c r="G163" s="278">
        <f t="shared" si="5"/>
        <v>4453.0285000000003</v>
      </c>
      <c r="H163" s="177"/>
      <c r="I163" s="177"/>
      <c r="J163" s="278">
        <f t="shared" si="2"/>
        <v>0</v>
      </c>
      <c r="K163" s="278">
        <f t="shared" si="3"/>
        <v>4453.0285000000003</v>
      </c>
      <c r="L163" s="177"/>
      <c r="M163" s="280"/>
      <c r="N163" s="177"/>
      <c r="O163" s="177"/>
    </row>
    <row r="164" spans="1:15">
      <c r="A164" s="14">
        <v>161</v>
      </c>
      <c r="B164" s="536">
        <v>46225</v>
      </c>
      <c r="C164" s="14" t="s">
        <v>342</v>
      </c>
      <c r="D164" s="14" t="s">
        <v>302</v>
      </c>
      <c r="E164" s="177">
        <v>45.06</v>
      </c>
      <c r="F164" s="177">
        <v>105.22</v>
      </c>
      <c r="G164" s="278">
        <f t="shared" si="5"/>
        <v>4741.2132000000001</v>
      </c>
      <c r="H164" s="177"/>
      <c r="I164" s="177"/>
      <c r="J164" s="278">
        <f t="shared" si="2"/>
        <v>0</v>
      </c>
      <c r="K164" s="278">
        <f t="shared" si="3"/>
        <v>4741.2132000000001</v>
      </c>
      <c r="L164" s="177"/>
      <c r="M164" s="280"/>
      <c r="N164" s="177"/>
      <c r="O164" s="177"/>
    </row>
    <row r="165" spans="1:15">
      <c r="A165" s="14">
        <v>162</v>
      </c>
      <c r="B165" s="536">
        <v>46225</v>
      </c>
      <c r="C165" s="14" t="s">
        <v>312</v>
      </c>
      <c r="D165" s="14" t="s">
        <v>302</v>
      </c>
      <c r="E165" s="177"/>
      <c r="F165" s="177"/>
      <c r="G165" s="278">
        <f t="shared" si="5"/>
        <v>0</v>
      </c>
      <c r="H165" s="375">
        <v>5</v>
      </c>
      <c r="I165" s="375">
        <v>117.72</v>
      </c>
      <c r="J165" s="278">
        <f t="shared" si="2"/>
        <v>588.6</v>
      </c>
      <c r="K165" s="278">
        <f t="shared" si="3"/>
        <v>588.6</v>
      </c>
      <c r="L165" s="177"/>
      <c r="M165" s="280"/>
      <c r="N165" s="177"/>
      <c r="O165" s="177"/>
    </row>
    <row r="166" spans="1:15">
      <c r="A166" s="382">
        <v>163</v>
      </c>
      <c r="B166" s="536">
        <v>46225</v>
      </c>
      <c r="C166" s="14" t="s">
        <v>306</v>
      </c>
      <c r="D166" s="14" t="s">
        <v>307</v>
      </c>
      <c r="E166" s="177">
        <v>3041.68</v>
      </c>
      <c r="F166" s="177">
        <v>100.05</v>
      </c>
      <c r="G166" s="278">
        <f t="shared" si="5"/>
        <v>304320.08399999997</v>
      </c>
      <c r="H166" s="177"/>
      <c r="I166" s="177"/>
      <c r="J166" s="278">
        <f t="shared" si="2"/>
        <v>0</v>
      </c>
      <c r="K166" s="278">
        <f t="shared" si="3"/>
        <v>304320.08399999997</v>
      </c>
      <c r="L166" s="177"/>
      <c r="M166" s="280"/>
      <c r="N166" s="177"/>
      <c r="O166" s="177"/>
    </row>
    <row r="167" spans="1:15">
      <c r="A167" s="14">
        <v>164</v>
      </c>
      <c r="B167" s="536">
        <v>46225</v>
      </c>
      <c r="C167" s="14" t="s">
        <v>336</v>
      </c>
      <c r="D167" s="14" t="s">
        <v>302</v>
      </c>
      <c r="E167" s="177">
        <v>90</v>
      </c>
      <c r="F167" s="177">
        <v>105.4</v>
      </c>
      <c r="G167" s="278">
        <f t="shared" si="5"/>
        <v>9486</v>
      </c>
      <c r="H167" s="177"/>
      <c r="I167" s="177"/>
      <c r="J167" s="278">
        <f t="shared" si="2"/>
        <v>0</v>
      </c>
      <c r="K167" s="278">
        <f t="shared" si="3"/>
        <v>9486</v>
      </c>
      <c r="L167" s="177"/>
      <c r="M167" s="280"/>
      <c r="N167" s="177"/>
      <c r="O167" s="177"/>
    </row>
    <row r="168" spans="1:15">
      <c r="A168" s="14">
        <v>165</v>
      </c>
      <c r="B168" s="536">
        <v>46225</v>
      </c>
      <c r="C168" s="14" t="s">
        <v>343</v>
      </c>
      <c r="D168" s="14" t="s">
        <v>330</v>
      </c>
      <c r="E168" s="177">
        <v>266.42</v>
      </c>
      <c r="F168" s="177">
        <v>99.99</v>
      </c>
      <c r="G168" s="278">
        <f t="shared" si="5"/>
        <v>26639.335800000001</v>
      </c>
      <c r="H168" s="177">
        <v>30</v>
      </c>
      <c r="I168" s="177">
        <v>112.02</v>
      </c>
      <c r="J168" s="278">
        <f t="shared" si="2"/>
        <v>3360.6</v>
      </c>
      <c r="K168" s="278">
        <f t="shared" si="3"/>
        <v>29999.935799999999</v>
      </c>
      <c r="L168" s="177"/>
      <c r="M168" s="280"/>
      <c r="N168" s="177"/>
      <c r="O168" s="177"/>
    </row>
    <row r="169" spans="1:15">
      <c r="A169" s="382">
        <v>166</v>
      </c>
      <c r="B169" s="536">
        <v>46225</v>
      </c>
      <c r="C169" s="14" t="s">
        <v>308</v>
      </c>
      <c r="D169" s="14" t="s">
        <v>302</v>
      </c>
      <c r="E169" s="177"/>
      <c r="F169" s="177"/>
      <c r="G169" s="278">
        <f t="shared" si="5"/>
        <v>0</v>
      </c>
      <c r="H169" s="177">
        <v>10</v>
      </c>
      <c r="I169" s="177">
        <v>117.98</v>
      </c>
      <c r="J169" s="278">
        <f t="shared" si="2"/>
        <v>1179.8</v>
      </c>
      <c r="K169" s="278">
        <f t="shared" si="3"/>
        <v>1179.8</v>
      </c>
      <c r="L169" s="177"/>
      <c r="M169" s="280"/>
      <c r="N169" s="177"/>
      <c r="O169" s="177"/>
    </row>
    <row r="170" spans="1:15">
      <c r="A170" s="14">
        <v>167</v>
      </c>
      <c r="B170" s="536">
        <v>46225</v>
      </c>
      <c r="C170" s="14" t="s">
        <v>314</v>
      </c>
      <c r="D170" s="14" t="s">
        <v>302</v>
      </c>
      <c r="E170" s="375">
        <v>20</v>
      </c>
      <c r="F170" s="375">
        <v>105.29</v>
      </c>
      <c r="G170" s="278">
        <f t="shared" si="5"/>
        <v>2105.8000000000002</v>
      </c>
      <c r="H170" s="177">
        <v>11.55</v>
      </c>
      <c r="I170" s="177">
        <v>117.62</v>
      </c>
      <c r="J170" s="278">
        <f t="shared" si="2"/>
        <v>1358.5110000000002</v>
      </c>
      <c r="K170" s="278">
        <f t="shared" si="3"/>
        <v>3464.3110000000006</v>
      </c>
      <c r="L170" s="177"/>
      <c r="M170" s="280"/>
      <c r="N170" s="177"/>
      <c r="O170" s="177"/>
    </row>
    <row r="171" spans="1:15">
      <c r="A171" s="14">
        <v>168</v>
      </c>
      <c r="B171" s="536">
        <v>46225</v>
      </c>
      <c r="C171" s="14" t="s">
        <v>317</v>
      </c>
      <c r="D171" s="14" t="s">
        <v>302</v>
      </c>
      <c r="E171" s="177">
        <v>30</v>
      </c>
      <c r="F171" s="177">
        <v>105.35</v>
      </c>
      <c r="G171" s="278">
        <f t="shared" si="5"/>
        <v>3160.5</v>
      </c>
      <c r="H171" s="177"/>
      <c r="I171" s="177"/>
      <c r="J171" s="278">
        <f t="shared" si="2"/>
        <v>0</v>
      </c>
      <c r="K171" s="278">
        <f t="shared" si="3"/>
        <v>3160.5</v>
      </c>
      <c r="L171" s="177"/>
      <c r="M171" s="280"/>
      <c r="N171" s="177"/>
      <c r="O171" s="177"/>
    </row>
    <row r="172" spans="1:15">
      <c r="A172" s="382">
        <v>169</v>
      </c>
      <c r="B172" s="536">
        <v>46226</v>
      </c>
      <c r="C172" s="14" t="s">
        <v>310</v>
      </c>
      <c r="D172" s="14" t="s">
        <v>302</v>
      </c>
      <c r="E172" s="177">
        <v>44.11</v>
      </c>
      <c r="F172" s="177">
        <v>104.7</v>
      </c>
      <c r="G172" s="278">
        <f t="shared" si="5"/>
        <v>4618.317</v>
      </c>
      <c r="H172" s="177">
        <v>10</v>
      </c>
      <c r="I172" s="177">
        <v>116.99</v>
      </c>
      <c r="J172" s="278">
        <f t="shared" si="2"/>
        <v>1169.8999999999999</v>
      </c>
      <c r="K172" s="278">
        <f t="shared" si="3"/>
        <v>5788.2169999999996</v>
      </c>
      <c r="L172" s="177"/>
      <c r="M172" s="280"/>
      <c r="N172" s="177"/>
      <c r="O172" s="177"/>
    </row>
    <row r="173" spans="1:15">
      <c r="A173" s="14">
        <v>170</v>
      </c>
      <c r="B173" s="536">
        <v>46226</v>
      </c>
      <c r="C173" s="14" t="s">
        <v>312</v>
      </c>
      <c r="D173" s="14" t="s">
        <v>302</v>
      </c>
      <c r="E173" s="177">
        <v>35.21</v>
      </c>
      <c r="F173" s="177">
        <v>105.35</v>
      </c>
      <c r="G173" s="278">
        <f t="shared" si="5"/>
        <v>3709.3734999999997</v>
      </c>
      <c r="H173" s="177"/>
      <c r="I173" s="177"/>
      <c r="J173" s="278">
        <f t="shared" si="2"/>
        <v>0</v>
      </c>
      <c r="K173" s="278">
        <f t="shared" si="3"/>
        <v>3709.3734999999997</v>
      </c>
      <c r="L173" s="177"/>
      <c r="M173" s="280"/>
      <c r="N173" s="177"/>
      <c r="O173" s="177"/>
    </row>
    <row r="174" spans="1:15">
      <c r="A174" s="14">
        <v>171</v>
      </c>
      <c r="B174" s="536">
        <v>46226</v>
      </c>
      <c r="C174" s="14" t="s">
        <v>306</v>
      </c>
      <c r="D174" s="14" t="s">
        <v>307</v>
      </c>
      <c r="E174" s="177"/>
      <c r="F174" s="177"/>
      <c r="G174" s="278">
        <f t="shared" si="5"/>
        <v>0</v>
      </c>
      <c r="H174" s="177">
        <v>12</v>
      </c>
      <c r="I174" s="177">
        <v>112.07</v>
      </c>
      <c r="J174" s="278">
        <f t="shared" si="2"/>
        <v>1344.84</v>
      </c>
      <c r="K174" s="278">
        <f t="shared" si="3"/>
        <v>1344.84</v>
      </c>
      <c r="L174" s="177"/>
      <c r="M174" s="280"/>
      <c r="N174" s="177"/>
      <c r="O174" s="177"/>
    </row>
    <row r="175" spans="1:15">
      <c r="A175" s="382">
        <v>172</v>
      </c>
      <c r="B175" s="536">
        <v>46226</v>
      </c>
      <c r="C175" s="14" t="s">
        <v>336</v>
      </c>
      <c r="D175" s="14" t="s">
        <v>302</v>
      </c>
      <c r="E175" s="177">
        <v>90</v>
      </c>
      <c r="F175" s="177">
        <v>105.4</v>
      </c>
      <c r="G175" s="278">
        <f t="shared" si="5"/>
        <v>9486</v>
      </c>
      <c r="H175" s="177"/>
      <c r="I175" s="177"/>
      <c r="J175" s="278">
        <f t="shared" si="2"/>
        <v>0</v>
      </c>
      <c r="K175" s="278">
        <f t="shared" si="3"/>
        <v>9486</v>
      </c>
      <c r="L175" s="177"/>
      <c r="M175" s="280"/>
      <c r="N175" s="177"/>
      <c r="O175" s="177"/>
    </row>
    <row r="176" spans="1:15">
      <c r="A176" s="14">
        <v>173</v>
      </c>
      <c r="B176" s="536">
        <v>46226</v>
      </c>
      <c r="C176" s="14" t="s">
        <v>308</v>
      </c>
      <c r="D176" s="14" t="s">
        <v>302</v>
      </c>
      <c r="E176" s="177">
        <v>48.54</v>
      </c>
      <c r="F176" s="177">
        <v>105.59</v>
      </c>
      <c r="G176" s="278">
        <f t="shared" si="5"/>
        <v>5125.3386</v>
      </c>
      <c r="H176" s="177"/>
      <c r="I176" s="177"/>
      <c r="J176" s="278">
        <f t="shared" si="2"/>
        <v>0</v>
      </c>
      <c r="K176" s="278">
        <f t="shared" si="3"/>
        <v>5125.3386</v>
      </c>
      <c r="L176" s="177"/>
      <c r="M176" s="280"/>
      <c r="N176" s="177"/>
      <c r="O176" s="177"/>
    </row>
    <row r="177" spans="1:15">
      <c r="A177" s="14">
        <v>174</v>
      </c>
      <c r="B177" s="536">
        <v>46226</v>
      </c>
      <c r="C177" s="14" t="s">
        <v>317</v>
      </c>
      <c r="D177" s="14" t="s">
        <v>302</v>
      </c>
      <c r="E177" s="177">
        <v>62</v>
      </c>
      <c r="F177" s="177">
        <v>105.35</v>
      </c>
      <c r="G177" s="278">
        <f t="shared" si="5"/>
        <v>6531.7</v>
      </c>
      <c r="H177" s="177"/>
      <c r="I177" s="177"/>
      <c r="J177" s="278">
        <f t="shared" si="2"/>
        <v>0</v>
      </c>
      <c r="K177" s="278">
        <f t="shared" si="3"/>
        <v>6531.7</v>
      </c>
      <c r="L177" s="177"/>
      <c r="M177" s="280"/>
      <c r="N177" s="177"/>
      <c r="O177" s="177"/>
    </row>
    <row r="178" spans="1:15">
      <c r="A178" s="382">
        <v>175</v>
      </c>
      <c r="B178" s="14"/>
      <c r="C178" s="14"/>
      <c r="D178" s="14"/>
      <c r="E178" s="177"/>
      <c r="F178" s="177"/>
      <c r="G178" s="278"/>
      <c r="H178" s="177"/>
      <c r="I178" s="177"/>
      <c r="J178" s="278"/>
      <c r="K178" s="278"/>
      <c r="L178" s="177"/>
      <c r="M178" s="280"/>
      <c r="N178" s="177"/>
      <c r="O178" s="177"/>
    </row>
    <row r="179" spans="1:15">
      <c r="A179" s="14">
        <v>176</v>
      </c>
      <c r="B179" s="14"/>
      <c r="C179" s="14"/>
      <c r="D179" s="14"/>
      <c r="E179" s="177"/>
      <c r="F179" s="177"/>
      <c r="G179" s="278"/>
      <c r="H179" s="177"/>
      <c r="I179" s="177"/>
      <c r="J179" s="278"/>
      <c r="K179" s="278"/>
      <c r="L179" s="177"/>
      <c r="M179" s="280"/>
      <c r="N179" s="177"/>
      <c r="O179" s="177"/>
    </row>
    <row r="180" spans="1:15">
      <c r="A180" s="14">
        <v>177</v>
      </c>
      <c r="B180" s="14"/>
      <c r="C180" s="14"/>
      <c r="D180" s="14"/>
      <c r="E180" s="177"/>
      <c r="F180" s="177"/>
      <c r="G180" s="278"/>
      <c r="H180" s="177"/>
      <c r="I180" s="177"/>
      <c r="J180" s="278"/>
      <c r="K180" s="278"/>
      <c r="L180" s="177"/>
      <c r="M180" s="280"/>
      <c r="N180" s="177"/>
      <c r="O180" s="177"/>
    </row>
    <row r="181" spans="1:15">
      <c r="A181" s="382">
        <v>178</v>
      </c>
      <c r="B181" s="14"/>
      <c r="C181" s="14"/>
      <c r="D181" s="14"/>
      <c r="E181" s="177"/>
      <c r="F181" s="177"/>
      <c r="G181" s="278"/>
      <c r="H181" s="177"/>
      <c r="I181" s="177"/>
      <c r="J181" s="278"/>
      <c r="K181" s="278"/>
      <c r="L181" s="177"/>
      <c r="M181" s="280"/>
      <c r="N181" s="177"/>
      <c r="O181" s="177"/>
    </row>
    <row r="182" spans="1:15">
      <c r="A182" s="14">
        <v>179</v>
      </c>
      <c r="B182" s="14"/>
      <c r="C182" s="14"/>
      <c r="D182" s="14"/>
      <c r="E182" s="177"/>
      <c r="F182" s="177"/>
      <c r="G182" s="278"/>
      <c r="H182" s="177"/>
      <c r="I182" s="177"/>
      <c r="J182" s="278"/>
      <c r="K182" s="278"/>
      <c r="L182" s="177"/>
      <c r="M182" s="280"/>
      <c r="N182" s="177"/>
      <c r="O182" s="177"/>
    </row>
    <row r="183" spans="1:15">
      <c r="A183" s="14">
        <v>180</v>
      </c>
      <c r="B183" s="14"/>
      <c r="C183" s="14"/>
      <c r="D183" s="14"/>
      <c r="E183" s="177"/>
      <c r="F183" s="177"/>
      <c r="G183" s="278"/>
      <c r="H183" s="177"/>
      <c r="I183" s="177"/>
      <c r="J183" s="278"/>
      <c r="K183" s="278"/>
      <c r="L183" s="177"/>
      <c r="M183" s="280"/>
      <c r="N183" s="177"/>
      <c r="O183" s="177"/>
    </row>
    <row r="184" spans="1:15">
      <c r="A184" s="382">
        <v>181</v>
      </c>
      <c r="B184" s="14"/>
      <c r="C184" s="14"/>
      <c r="D184" s="14"/>
      <c r="E184" s="177"/>
      <c r="F184" s="177"/>
      <c r="G184" s="278"/>
      <c r="H184" s="177"/>
      <c r="I184" s="177"/>
      <c r="J184" s="278"/>
      <c r="K184" s="278"/>
      <c r="L184" s="177"/>
      <c r="M184" s="280"/>
      <c r="N184" s="177"/>
      <c r="O184" s="177"/>
    </row>
    <row r="185" spans="1:15">
      <c r="A185" s="14">
        <v>182</v>
      </c>
      <c r="B185" s="14"/>
      <c r="C185" s="14"/>
      <c r="D185" s="14"/>
      <c r="E185" s="177"/>
      <c r="F185" s="177"/>
      <c r="G185" s="278"/>
      <c r="H185" s="177"/>
      <c r="I185" s="177"/>
      <c r="J185" s="278"/>
      <c r="K185" s="278"/>
      <c r="L185" s="177"/>
      <c r="M185" s="280"/>
      <c r="N185" s="177"/>
      <c r="O185" s="177"/>
    </row>
    <row r="186" spans="1:15">
      <c r="A186" s="14">
        <v>183</v>
      </c>
      <c r="B186" s="14"/>
      <c r="C186" s="14"/>
      <c r="D186" s="14"/>
      <c r="E186" s="177"/>
      <c r="F186" s="177"/>
      <c r="G186" s="278"/>
      <c r="H186" s="177"/>
      <c r="I186" s="177"/>
      <c r="J186" s="278"/>
      <c r="K186" s="278"/>
      <c r="L186" s="177"/>
      <c r="M186" s="280"/>
      <c r="N186" s="177"/>
      <c r="O186" s="177"/>
    </row>
    <row r="187" spans="1:15">
      <c r="A187" s="382">
        <v>184</v>
      </c>
      <c r="B187" s="14"/>
      <c r="C187" s="14"/>
      <c r="D187" s="14"/>
      <c r="E187" s="177"/>
      <c r="F187" s="177"/>
      <c r="G187" s="278"/>
      <c r="H187" s="177"/>
      <c r="I187" s="177"/>
      <c r="J187" s="278"/>
      <c r="K187" s="278"/>
      <c r="L187" s="177"/>
      <c r="M187" s="280"/>
      <c r="N187" s="177"/>
      <c r="O187" s="177"/>
    </row>
    <row r="188" spans="1:15">
      <c r="A188" s="14">
        <v>185</v>
      </c>
      <c r="B188" s="14"/>
      <c r="C188" s="14"/>
      <c r="D188" s="14"/>
      <c r="E188" s="177"/>
      <c r="F188" s="177"/>
      <c r="G188" s="278"/>
      <c r="H188" s="177"/>
      <c r="I188" s="177"/>
      <c r="J188" s="278"/>
      <c r="K188" s="278"/>
      <c r="L188" s="177"/>
      <c r="M188" s="280"/>
      <c r="N188" s="177"/>
      <c r="O188" s="177"/>
    </row>
    <row r="189" spans="1:15">
      <c r="A189" s="14">
        <v>186</v>
      </c>
      <c r="B189" s="14"/>
      <c r="C189" s="14"/>
      <c r="D189" s="14"/>
      <c r="E189" s="177"/>
      <c r="F189" s="177"/>
      <c r="G189" s="278"/>
      <c r="H189" s="177"/>
      <c r="I189" s="177"/>
      <c r="J189" s="278"/>
      <c r="K189" s="278"/>
      <c r="L189" s="177"/>
      <c r="M189" s="280"/>
      <c r="N189" s="177"/>
      <c r="O189" s="177"/>
    </row>
    <row r="190" spans="1:15">
      <c r="A190" s="382">
        <v>187</v>
      </c>
      <c r="B190" s="14"/>
      <c r="C190" s="14"/>
      <c r="D190" s="14"/>
      <c r="E190" s="177"/>
      <c r="F190" s="177"/>
      <c r="G190" s="278"/>
      <c r="H190" s="177"/>
      <c r="I190" s="177"/>
      <c r="J190" s="278"/>
      <c r="K190" s="278"/>
      <c r="L190" s="177"/>
      <c r="M190" s="280"/>
      <c r="N190" s="177"/>
      <c r="O190" s="177"/>
    </row>
    <row r="191" spans="1:15">
      <c r="A191" s="14">
        <v>188</v>
      </c>
      <c r="B191" s="14"/>
      <c r="C191" s="14"/>
      <c r="D191" s="14"/>
      <c r="E191" s="177"/>
      <c r="F191" s="177"/>
      <c r="G191" s="278"/>
      <c r="H191" s="177"/>
      <c r="I191" s="177"/>
      <c r="J191" s="278"/>
      <c r="K191" s="278"/>
      <c r="L191" s="177"/>
      <c r="M191" s="280"/>
      <c r="N191" s="177"/>
      <c r="O191" s="177"/>
    </row>
    <row r="192" spans="1:15">
      <c r="A192" s="14">
        <v>189</v>
      </c>
      <c r="B192" s="14"/>
      <c r="C192" s="14"/>
      <c r="D192" s="14"/>
      <c r="E192" s="177"/>
      <c r="F192" s="177"/>
      <c r="G192" s="278"/>
      <c r="H192" s="177"/>
      <c r="I192" s="177"/>
      <c r="J192" s="278"/>
      <c r="K192" s="278"/>
      <c r="L192" s="177"/>
      <c r="M192" s="280"/>
      <c r="N192" s="177"/>
      <c r="O192" s="177"/>
    </row>
    <row r="193" spans="1:15">
      <c r="A193" s="382">
        <v>190</v>
      </c>
      <c r="B193" s="14"/>
      <c r="C193" s="14"/>
      <c r="D193" s="14"/>
      <c r="E193" s="177"/>
      <c r="F193" s="177"/>
      <c r="G193" s="278"/>
      <c r="H193" s="177"/>
      <c r="I193" s="177"/>
      <c r="J193" s="278"/>
      <c r="K193" s="278"/>
      <c r="L193" s="177"/>
      <c r="M193" s="280"/>
      <c r="N193" s="177"/>
      <c r="O193" s="177"/>
    </row>
    <row r="194" spans="1:15">
      <c r="A194" s="14">
        <v>191</v>
      </c>
      <c r="B194" s="14"/>
      <c r="C194" s="14"/>
      <c r="D194" s="14"/>
      <c r="E194" s="177"/>
      <c r="F194" s="177"/>
      <c r="G194" s="278"/>
      <c r="H194" s="177"/>
      <c r="I194" s="177"/>
      <c r="J194" s="278"/>
      <c r="K194" s="278"/>
      <c r="L194" s="177"/>
      <c r="M194" s="280"/>
      <c r="N194" s="177"/>
      <c r="O194" s="177"/>
    </row>
    <row r="195" spans="1:15">
      <c r="A195" s="14">
        <v>192</v>
      </c>
      <c r="B195" s="14"/>
      <c r="C195" s="14"/>
      <c r="D195" s="14"/>
      <c r="E195" s="177"/>
      <c r="F195" s="177"/>
      <c r="G195" s="278"/>
      <c r="H195" s="177"/>
      <c r="I195" s="177"/>
      <c r="J195" s="278"/>
      <c r="K195" s="278"/>
      <c r="L195" s="177"/>
      <c r="M195" s="280"/>
      <c r="N195" s="177"/>
      <c r="O195" s="177"/>
    </row>
    <row r="196" spans="1:15">
      <c r="A196" s="382">
        <v>193</v>
      </c>
      <c r="B196" s="14"/>
      <c r="C196" s="14"/>
      <c r="D196" s="14"/>
      <c r="E196" s="177"/>
      <c r="F196" s="177"/>
      <c r="G196" s="278"/>
      <c r="H196" s="177"/>
      <c r="I196" s="177"/>
      <c r="J196" s="278"/>
      <c r="K196" s="278"/>
      <c r="L196" s="177"/>
      <c r="M196" s="280"/>
      <c r="N196" s="177"/>
      <c r="O196" s="177"/>
    </row>
    <row r="197" spans="1:15">
      <c r="A197" s="14">
        <v>194</v>
      </c>
      <c r="B197" s="14"/>
      <c r="C197" s="14"/>
      <c r="D197" s="14"/>
      <c r="E197" s="177"/>
      <c r="F197" s="177"/>
      <c r="G197" s="278"/>
      <c r="H197" s="177"/>
      <c r="I197" s="177"/>
      <c r="J197" s="278"/>
      <c r="K197" s="278"/>
      <c r="L197" s="177"/>
      <c r="M197" s="280"/>
      <c r="N197" s="177"/>
      <c r="O197" s="177"/>
    </row>
    <row r="198" spans="1:15">
      <c r="A198" s="14">
        <v>195</v>
      </c>
      <c r="B198" s="14"/>
      <c r="C198" s="14"/>
      <c r="D198" s="14"/>
      <c r="E198" s="177"/>
      <c r="F198" s="177"/>
      <c r="G198" s="278"/>
      <c r="H198" s="177"/>
      <c r="I198" s="177"/>
      <c r="J198" s="278"/>
      <c r="K198" s="278"/>
      <c r="L198" s="177"/>
      <c r="M198" s="280"/>
      <c r="N198" s="177"/>
      <c r="O198" s="177"/>
    </row>
    <row r="199" spans="1:15">
      <c r="A199" s="382">
        <v>196</v>
      </c>
      <c r="B199" s="14"/>
      <c r="C199" s="14"/>
      <c r="D199" s="14"/>
      <c r="E199" s="177"/>
      <c r="F199" s="177"/>
      <c r="G199" s="278"/>
      <c r="H199" s="177"/>
      <c r="I199" s="177"/>
      <c r="J199" s="278"/>
      <c r="K199" s="278"/>
      <c r="L199" s="177"/>
      <c r="M199" s="280"/>
      <c r="N199" s="177"/>
      <c r="O199" s="177"/>
    </row>
    <row r="200" spans="1:15">
      <c r="A200" s="14">
        <v>197</v>
      </c>
      <c r="B200" s="14"/>
      <c r="C200" s="14"/>
      <c r="D200" s="14"/>
      <c r="E200" s="177"/>
      <c r="F200" s="177"/>
      <c r="G200" s="278"/>
      <c r="H200" s="177"/>
      <c r="I200" s="177"/>
      <c r="J200" s="278"/>
      <c r="K200" s="278"/>
      <c r="L200" s="177"/>
      <c r="M200" s="280"/>
      <c r="N200" s="177"/>
      <c r="O200" s="177"/>
    </row>
    <row r="201" spans="1:15">
      <c r="A201" s="14">
        <v>198</v>
      </c>
      <c r="B201" s="14"/>
      <c r="C201" s="14"/>
      <c r="D201" s="14"/>
      <c r="E201" s="177"/>
      <c r="F201" s="177"/>
      <c r="G201" s="278"/>
      <c r="H201" s="177"/>
      <c r="I201" s="177"/>
      <c r="J201" s="278"/>
      <c r="K201" s="278"/>
      <c r="L201" s="177"/>
      <c r="M201" s="280"/>
      <c r="N201" s="177"/>
      <c r="O201" s="177"/>
    </row>
    <row r="202" spans="1:15">
      <c r="A202" s="382">
        <v>199</v>
      </c>
      <c r="B202" s="14"/>
      <c r="C202" s="14"/>
      <c r="D202" s="14"/>
      <c r="E202" s="177"/>
      <c r="F202" s="177"/>
      <c r="G202" s="278"/>
      <c r="H202" s="177"/>
      <c r="I202" s="177"/>
      <c r="J202" s="278"/>
      <c r="K202" s="278"/>
      <c r="L202" s="177"/>
      <c r="M202" s="280"/>
      <c r="N202" s="177"/>
      <c r="O202" s="177"/>
    </row>
    <row r="203" spans="1:15">
      <c r="A203" s="14">
        <v>200</v>
      </c>
      <c r="B203" s="14"/>
      <c r="C203" s="14"/>
      <c r="D203" s="14"/>
      <c r="E203" s="177"/>
      <c r="F203" s="177"/>
      <c r="G203" s="278"/>
      <c r="H203" s="177"/>
      <c r="I203" s="177"/>
      <c r="J203" s="278"/>
      <c r="K203" s="278"/>
      <c r="L203" s="177"/>
      <c r="M203" s="280"/>
      <c r="N203" s="177"/>
      <c r="O203" s="177"/>
    </row>
    <row r="204" spans="1:15">
      <c r="A204" s="14">
        <v>201</v>
      </c>
      <c r="B204" s="14"/>
      <c r="C204" s="14"/>
      <c r="D204" s="14"/>
      <c r="E204" s="177"/>
      <c r="F204" s="177"/>
      <c r="G204" s="278"/>
      <c r="H204" s="177"/>
      <c r="I204" s="177"/>
      <c r="J204" s="278"/>
      <c r="K204" s="278"/>
      <c r="L204" s="177"/>
      <c r="M204" s="280"/>
      <c r="N204" s="177"/>
      <c r="O204" s="177"/>
    </row>
    <row r="205" spans="1:15">
      <c r="A205" s="382">
        <v>202</v>
      </c>
      <c r="B205" s="14"/>
      <c r="C205" s="14"/>
      <c r="D205" s="14"/>
      <c r="E205" s="177"/>
      <c r="F205" s="177"/>
      <c r="G205" s="278"/>
      <c r="H205" s="177"/>
      <c r="I205" s="177"/>
      <c r="J205" s="278"/>
      <c r="K205" s="278"/>
      <c r="L205" s="177"/>
      <c r="M205" s="280"/>
      <c r="N205" s="177"/>
      <c r="O205" s="177"/>
    </row>
    <row r="206" spans="1:15">
      <c r="A206" s="14">
        <v>203</v>
      </c>
      <c r="B206" s="14"/>
      <c r="C206" s="14"/>
      <c r="D206" s="14"/>
      <c r="E206" s="177"/>
      <c r="F206" s="177"/>
      <c r="G206" s="278"/>
      <c r="H206" s="177"/>
      <c r="I206" s="177"/>
      <c r="J206" s="278"/>
      <c r="K206" s="278"/>
      <c r="L206" s="177"/>
      <c r="M206" s="280"/>
      <c r="N206" s="177"/>
      <c r="O206" s="177"/>
    </row>
    <row r="207" spans="1:15">
      <c r="A207" s="14">
        <v>204</v>
      </c>
      <c r="B207" s="14"/>
      <c r="C207" s="14"/>
      <c r="D207" s="14"/>
      <c r="E207" s="177"/>
      <c r="F207" s="177"/>
      <c r="G207" s="278"/>
      <c r="H207" s="177"/>
      <c r="I207" s="177"/>
      <c r="J207" s="278"/>
      <c r="K207" s="278"/>
      <c r="L207" s="177"/>
      <c r="M207" s="280"/>
      <c r="N207" s="177"/>
      <c r="O207" s="177"/>
    </row>
    <row r="208" spans="1:15">
      <c r="A208" s="382">
        <v>205</v>
      </c>
      <c r="B208" s="14"/>
      <c r="C208" s="14"/>
      <c r="D208" s="14"/>
      <c r="E208" s="177"/>
      <c r="F208" s="177"/>
      <c r="G208" s="278"/>
      <c r="H208" s="177"/>
      <c r="I208" s="177"/>
      <c r="J208" s="278"/>
      <c r="K208" s="278"/>
      <c r="L208" s="177"/>
      <c r="M208" s="280"/>
      <c r="N208" s="177"/>
      <c r="O208" s="177"/>
    </row>
    <row r="209" spans="1:15">
      <c r="A209" s="14">
        <v>206</v>
      </c>
      <c r="B209" s="14"/>
      <c r="C209" s="14"/>
      <c r="D209" s="14"/>
      <c r="E209" s="177"/>
      <c r="F209" s="177"/>
      <c r="G209" s="278"/>
      <c r="H209" s="177"/>
      <c r="I209" s="177"/>
      <c r="J209" s="278"/>
      <c r="K209" s="278"/>
      <c r="L209" s="177"/>
      <c r="M209" s="280"/>
      <c r="N209" s="177"/>
      <c r="O209" s="177"/>
    </row>
    <row r="210" spans="1:15">
      <c r="A210" s="14">
        <v>207</v>
      </c>
      <c r="B210" s="14"/>
      <c r="C210" s="14"/>
      <c r="D210" s="14"/>
      <c r="E210" s="177"/>
      <c r="F210" s="177"/>
      <c r="G210" s="278"/>
      <c r="H210" s="177"/>
      <c r="I210" s="177"/>
      <c r="J210" s="278"/>
      <c r="K210" s="278"/>
      <c r="L210" s="177"/>
      <c r="M210" s="280"/>
      <c r="N210" s="177"/>
      <c r="O210" s="177"/>
    </row>
    <row r="211" spans="1:15">
      <c r="A211" s="382">
        <v>208</v>
      </c>
      <c r="B211" s="14"/>
      <c r="C211" s="14"/>
      <c r="D211" s="14"/>
      <c r="E211" s="177"/>
      <c r="F211" s="177"/>
      <c r="G211" s="278"/>
      <c r="H211" s="177"/>
      <c r="I211" s="177"/>
      <c r="J211" s="278"/>
      <c r="K211" s="278"/>
      <c r="L211" s="177"/>
      <c r="M211" s="280"/>
      <c r="N211" s="177"/>
      <c r="O211" s="177"/>
    </row>
    <row r="212" spans="1:15">
      <c r="A212" s="14">
        <v>209</v>
      </c>
      <c r="B212" s="14"/>
      <c r="C212" s="14"/>
      <c r="D212" s="14"/>
      <c r="E212" s="177"/>
      <c r="F212" s="177"/>
      <c r="G212" s="278"/>
      <c r="H212" s="177"/>
      <c r="I212" s="177"/>
      <c r="J212" s="278"/>
      <c r="K212" s="278"/>
      <c r="L212" s="177"/>
      <c r="M212" s="280"/>
      <c r="N212" s="177"/>
      <c r="O212" s="177"/>
    </row>
    <row r="213" spans="1:15">
      <c r="A213" s="14">
        <v>210</v>
      </c>
      <c r="B213" s="14"/>
      <c r="C213" s="14"/>
      <c r="D213" s="14"/>
      <c r="E213" s="177"/>
      <c r="F213" s="177"/>
      <c r="G213" s="278"/>
      <c r="H213" s="177"/>
      <c r="I213" s="177"/>
      <c r="J213" s="278"/>
      <c r="K213" s="278"/>
      <c r="L213" s="177"/>
      <c r="M213" s="280"/>
      <c r="N213" s="177"/>
      <c r="O213" s="177"/>
    </row>
    <row r="214" spans="1:15">
      <c r="A214" s="382">
        <v>211</v>
      </c>
      <c r="B214" s="14"/>
      <c r="C214" s="14"/>
      <c r="D214" s="14"/>
      <c r="E214" s="177"/>
      <c r="F214" s="177"/>
      <c r="G214" s="278"/>
      <c r="H214" s="177"/>
      <c r="I214" s="177"/>
      <c r="J214" s="278"/>
      <c r="K214" s="278"/>
      <c r="L214" s="177"/>
      <c r="M214" s="280"/>
      <c r="N214" s="177"/>
      <c r="O214" s="177"/>
    </row>
    <row r="215" spans="1:15">
      <c r="A215" s="14">
        <v>212</v>
      </c>
      <c r="B215" s="14"/>
      <c r="C215" s="14"/>
      <c r="D215" s="14"/>
      <c r="E215" s="177"/>
      <c r="F215" s="177"/>
      <c r="G215" s="278"/>
      <c r="H215" s="177"/>
      <c r="I215" s="177"/>
      <c r="J215" s="278"/>
      <c r="K215" s="278"/>
      <c r="L215" s="177"/>
      <c r="M215" s="280"/>
      <c r="N215" s="177"/>
      <c r="O215" s="177"/>
    </row>
    <row r="216" spans="1:15">
      <c r="A216" s="14">
        <v>213</v>
      </c>
      <c r="B216" s="14"/>
      <c r="C216" s="14"/>
      <c r="D216" s="14"/>
      <c r="E216" s="177"/>
      <c r="F216" s="177"/>
      <c r="G216" s="278"/>
      <c r="H216" s="177"/>
      <c r="I216" s="177"/>
      <c r="J216" s="278"/>
      <c r="K216" s="278"/>
      <c r="L216" s="177"/>
      <c r="M216" s="280"/>
      <c r="N216" s="177"/>
      <c r="O216" s="177"/>
    </row>
    <row r="217" spans="1:15">
      <c r="A217" s="382">
        <v>214</v>
      </c>
      <c r="B217" s="14"/>
      <c r="C217" s="14"/>
      <c r="D217" s="14"/>
      <c r="E217" s="177"/>
      <c r="F217" s="177"/>
      <c r="G217" s="278"/>
      <c r="H217" s="177"/>
      <c r="I217" s="177"/>
      <c r="J217" s="278"/>
      <c r="K217" s="278"/>
      <c r="L217" s="177"/>
      <c r="M217" s="280"/>
      <c r="N217" s="177"/>
      <c r="O217" s="177"/>
    </row>
    <row r="218" spans="1:15">
      <c r="A218" s="14">
        <v>215</v>
      </c>
      <c r="B218" s="14"/>
      <c r="C218" s="14"/>
      <c r="D218" s="14"/>
      <c r="E218" s="177"/>
      <c r="F218" s="177"/>
      <c r="G218" s="278"/>
      <c r="H218" s="177"/>
      <c r="I218" s="177"/>
      <c r="J218" s="278"/>
      <c r="K218" s="278"/>
      <c r="L218" s="177"/>
      <c r="M218" s="280"/>
      <c r="N218" s="177"/>
      <c r="O218" s="177"/>
    </row>
    <row r="219" spans="1:15">
      <c r="A219" s="14">
        <v>216</v>
      </c>
      <c r="B219" s="14"/>
      <c r="C219" s="14"/>
      <c r="D219" s="14"/>
      <c r="E219" s="177"/>
      <c r="F219" s="177"/>
      <c r="G219" s="278"/>
      <c r="H219" s="177"/>
      <c r="I219" s="177"/>
      <c r="J219" s="278"/>
      <c r="K219" s="278"/>
      <c r="L219" s="177"/>
      <c r="M219" s="280"/>
      <c r="N219" s="177"/>
      <c r="O219" s="177"/>
    </row>
    <row r="220" spans="1:15">
      <c r="A220" s="382">
        <v>217</v>
      </c>
      <c r="B220" s="14"/>
      <c r="C220" s="14"/>
      <c r="D220" s="14"/>
      <c r="E220" s="177"/>
      <c r="F220" s="177"/>
      <c r="G220" s="278"/>
      <c r="H220" s="177"/>
      <c r="I220" s="177"/>
      <c r="J220" s="278"/>
      <c r="K220" s="278"/>
      <c r="L220" s="177"/>
      <c r="M220" s="280"/>
      <c r="N220" s="177"/>
      <c r="O220" s="177"/>
    </row>
    <row r="221" spans="1:15">
      <c r="A221" s="14">
        <v>218</v>
      </c>
      <c r="B221" s="14"/>
      <c r="C221" s="14"/>
      <c r="D221" s="14"/>
      <c r="E221" s="177"/>
      <c r="F221" s="177"/>
      <c r="G221" s="278"/>
      <c r="H221" s="177"/>
      <c r="I221" s="177"/>
      <c r="J221" s="278"/>
      <c r="K221" s="278"/>
      <c r="L221" s="177"/>
      <c r="M221" s="280"/>
      <c r="N221" s="177"/>
      <c r="O221" s="177"/>
    </row>
    <row r="222" spans="1:15">
      <c r="A222" s="14">
        <v>219</v>
      </c>
      <c r="B222" s="14"/>
      <c r="C222" s="14"/>
      <c r="D222" s="14"/>
      <c r="E222" s="177"/>
      <c r="F222" s="177"/>
      <c r="G222" s="278"/>
      <c r="H222" s="177"/>
      <c r="I222" s="177"/>
      <c r="J222" s="278"/>
      <c r="K222" s="278"/>
      <c r="L222" s="177"/>
      <c r="M222" s="280"/>
      <c r="N222" s="177"/>
      <c r="O222" s="177"/>
    </row>
    <row r="223" spans="1:15">
      <c r="A223" s="382">
        <v>220</v>
      </c>
      <c r="B223" s="14"/>
      <c r="C223" s="14"/>
      <c r="D223" s="14"/>
      <c r="E223" s="177"/>
      <c r="F223" s="177"/>
      <c r="G223" s="278"/>
      <c r="H223" s="177"/>
      <c r="I223" s="177"/>
      <c r="J223" s="278"/>
      <c r="K223" s="278"/>
      <c r="L223" s="177"/>
      <c r="M223" s="280"/>
      <c r="N223" s="177"/>
      <c r="O223" s="177"/>
    </row>
    <row r="224" spans="1:15">
      <c r="A224" s="14"/>
      <c r="B224" s="14"/>
      <c r="C224" s="14"/>
      <c r="D224" s="14"/>
      <c r="E224" s="177"/>
      <c r="F224" s="177"/>
      <c r="G224" s="278"/>
      <c r="H224" s="177"/>
      <c r="I224" s="177"/>
      <c r="J224" s="278"/>
      <c r="K224" s="278"/>
      <c r="L224" s="177"/>
      <c r="M224" s="280"/>
      <c r="N224" s="177"/>
      <c r="O224" s="177"/>
    </row>
    <row r="225" spans="1:15">
      <c r="A225" s="14"/>
      <c r="B225" s="14"/>
      <c r="C225" s="14"/>
      <c r="D225" s="14"/>
      <c r="E225" s="177"/>
      <c r="F225" s="177"/>
      <c r="G225" s="278"/>
      <c r="H225" s="177"/>
      <c r="I225" s="177"/>
      <c r="J225" s="278"/>
      <c r="K225" s="278"/>
      <c r="L225" s="177"/>
      <c r="M225" s="280"/>
      <c r="N225" s="177"/>
      <c r="O225" s="177"/>
    </row>
    <row r="226" spans="1:15">
      <c r="A226" s="14">
        <v>131</v>
      </c>
      <c r="B226" s="14"/>
      <c r="C226" s="14"/>
      <c r="D226" s="14"/>
      <c r="E226" s="177"/>
      <c r="F226" s="177"/>
      <c r="G226" s="278"/>
      <c r="H226" s="177"/>
      <c r="I226" s="177"/>
      <c r="J226" s="278"/>
      <c r="K226" s="278"/>
      <c r="L226" s="177"/>
      <c r="M226" s="280"/>
      <c r="N226" s="177"/>
      <c r="O226" s="177"/>
    </row>
    <row r="227" spans="1:15">
      <c r="A227" s="14">
        <v>132</v>
      </c>
      <c r="B227" s="14"/>
      <c r="C227" s="14"/>
      <c r="D227" s="14"/>
      <c r="E227" s="177"/>
      <c r="F227" s="177"/>
      <c r="G227" s="278"/>
      <c r="H227" s="177"/>
      <c r="I227" s="177"/>
      <c r="J227" s="278"/>
      <c r="K227" s="278"/>
      <c r="L227" s="177"/>
      <c r="M227" s="280"/>
      <c r="N227" s="177"/>
      <c r="O227" s="177"/>
    </row>
    <row r="228" spans="1:15">
      <c r="A228" s="14">
        <v>133</v>
      </c>
      <c r="B228" s="14"/>
      <c r="C228" s="14"/>
      <c r="D228" s="14"/>
      <c r="E228" s="177"/>
      <c r="F228" s="177"/>
      <c r="G228" s="278"/>
      <c r="H228" s="177"/>
      <c r="I228" s="177"/>
      <c r="J228" s="278"/>
      <c r="K228" s="278"/>
      <c r="L228" s="177"/>
      <c r="M228" s="280"/>
      <c r="N228" s="177"/>
      <c r="O228" s="177"/>
    </row>
    <row r="229" spans="1:15">
      <c r="A229" s="14">
        <v>100</v>
      </c>
      <c r="B229" s="14"/>
      <c r="C229" s="14"/>
      <c r="D229" s="14"/>
      <c r="E229" s="177"/>
      <c r="F229" s="177"/>
      <c r="G229" s="278">
        <f t="shared" si="5"/>
        <v>0</v>
      </c>
      <c r="H229" s="177"/>
      <c r="I229" s="177"/>
      <c r="J229" s="278">
        <f t="shared" si="2"/>
        <v>0</v>
      </c>
      <c r="K229" s="278">
        <f t="shared" si="3"/>
        <v>0</v>
      </c>
      <c r="L229" s="177"/>
      <c r="M229" s="280">
        <f>M102+L229-K229</f>
        <v>-581595.14930000005</v>
      </c>
      <c r="N229" s="177"/>
      <c r="O229" s="177"/>
    </row>
    <row r="230" spans="1:15">
      <c r="G230" s="372"/>
      <c r="J230" s="372"/>
      <c r="K230" s="372"/>
      <c r="M230" s="372"/>
    </row>
    <row r="231" spans="1:15">
      <c r="G231" s="372"/>
      <c r="J231" s="372"/>
      <c r="K231" s="372"/>
      <c r="M231" s="372"/>
    </row>
    <row r="232" spans="1:15">
      <c r="G232" s="372"/>
      <c r="J232" s="372"/>
      <c r="K232" s="372"/>
      <c r="M232" s="372"/>
    </row>
    <row r="233" spans="1:15">
      <c r="G233" s="372"/>
      <c r="J233" s="372"/>
      <c r="K233" s="372"/>
      <c r="M233" s="372"/>
    </row>
    <row r="234" spans="1:15">
      <c r="G234" s="372"/>
      <c r="J234" s="372"/>
      <c r="K234" s="372"/>
      <c r="M234" s="372"/>
    </row>
    <row r="235" spans="1:15">
      <c r="G235" s="372"/>
      <c r="J235" s="372"/>
      <c r="K235" s="372"/>
      <c r="M235" s="372"/>
    </row>
    <row r="236" spans="1:15">
      <c r="G236" s="372"/>
      <c r="J236" s="372"/>
      <c r="K236" s="372"/>
      <c r="M236" s="372"/>
    </row>
    <row r="237" spans="1:15">
      <c r="G237" s="372"/>
      <c r="J237" s="372"/>
      <c r="K237" s="372"/>
      <c r="M237" s="372"/>
    </row>
    <row r="238" spans="1:15">
      <c r="G238" s="372"/>
      <c r="J238" s="372"/>
      <c r="K238" s="372"/>
      <c r="M238" s="372"/>
    </row>
    <row r="239" spans="1:15">
      <c r="G239" s="372"/>
      <c r="J239" s="372"/>
      <c r="K239" s="372"/>
      <c r="M239" s="372"/>
    </row>
    <row r="240" spans="1:15">
      <c r="G240" s="372"/>
      <c r="J240" s="372"/>
      <c r="K240" s="372"/>
      <c r="M240" s="372"/>
    </row>
    <row r="241" spans="7:13">
      <c r="G241" s="372"/>
      <c r="J241" s="372"/>
      <c r="K241" s="372"/>
      <c r="M241" s="372"/>
    </row>
    <row r="242" spans="7:13">
      <c r="G242" s="372"/>
      <c r="J242" s="372"/>
      <c r="K242" s="372"/>
      <c r="M242" s="372"/>
    </row>
    <row r="243" spans="7:13">
      <c r="G243" s="372"/>
      <c r="J243" s="372"/>
      <c r="K243" s="372"/>
      <c r="M243" s="372"/>
    </row>
    <row r="244" spans="7:13">
      <c r="G244" s="372"/>
      <c r="J244" s="372"/>
      <c r="K244" s="372"/>
      <c r="M244" s="372"/>
    </row>
    <row r="245" spans="7:13">
      <c r="G245" s="372"/>
      <c r="J245" s="372"/>
      <c r="K245" s="372"/>
      <c r="M245" s="372"/>
    </row>
    <row r="246" spans="7:13">
      <c r="G246" s="372"/>
      <c r="J246" s="372"/>
      <c r="K246" s="372"/>
      <c r="M246" s="372"/>
    </row>
    <row r="247" spans="7:13">
      <c r="G247" s="372"/>
      <c r="J247" s="372"/>
      <c r="K247" s="372"/>
      <c r="M247" s="372"/>
    </row>
    <row r="248" spans="7:13">
      <c r="G248" s="372"/>
      <c r="J248" s="372"/>
      <c r="K248" s="372"/>
      <c r="M248" s="372"/>
    </row>
    <row r="249" spans="7:13">
      <c r="G249" s="372"/>
      <c r="J249" s="372"/>
      <c r="K249" s="372"/>
      <c r="M249" s="372"/>
    </row>
    <row r="250" spans="7:13">
      <c r="G250" s="372"/>
      <c r="J250" s="372"/>
      <c r="K250" s="372"/>
      <c r="M250" s="372"/>
    </row>
    <row r="251" spans="7:13">
      <c r="G251" s="372"/>
      <c r="J251" s="372"/>
      <c r="K251" s="372"/>
      <c r="M251" s="372"/>
    </row>
    <row r="252" spans="7:13">
      <c r="G252" s="372"/>
      <c r="J252" s="372"/>
      <c r="K252" s="372"/>
      <c r="M252" s="372"/>
    </row>
    <row r="253" spans="7:13">
      <c r="G253" s="372"/>
      <c r="J253" s="372"/>
      <c r="K253" s="372"/>
      <c r="M253" s="372"/>
    </row>
    <row r="254" spans="7:13">
      <c r="G254" s="372"/>
      <c r="J254" s="372"/>
      <c r="K254" s="372"/>
      <c r="M254" s="372"/>
    </row>
    <row r="255" spans="7:13">
      <c r="G255" s="372"/>
      <c r="J255" s="372"/>
      <c r="K255" s="372"/>
      <c r="M255" s="372"/>
    </row>
    <row r="256" spans="7:13">
      <c r="G256" s="372"/>
      <c r="J256" s="372"/>
      <c r="K256" s="372"/>
      <c r="M256" s="372"/>
    </row>
    <row r="257" spans="7:13">
      <c r="G257" s="372"/>
      <c r="J257" s="372"/>
      <c r="K257" s="372"/>
      <c r="M257" s="372"/>
    </row>
    <row r="258" spans="7:13">
      <c r="G258" s="372"/>
      <c r="J258" s="372"/>
      <c r="K258" s="372"/>
      <c r="M258" s="372"/>
    </row>
    <row r="259" spans="7:13">
      <c r="G259" s="372"/>
      <c r="J259" s="372"/>
      <c r="K259" s="372"/>
      <c r="M259" s="37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131"/>
  <sheetViews>
    <sheetView workbookViewId="0">
      <selection activeCell="E19" sqref="E19"/>
    </sheetView>
  </sheetViews>
  <sheetFormatPr defaultRowHeight="15"/>
  <cols>
    <col min="1" max="1" width="9.140625" style="5"/>
    <col min="2" max="2" width="11.5703125" style="5" customWidth="1"/>
    <col min="3" max="3" width="61.140625" style="5" bestFit="1" customWidth="1"/>
    <col min="4" max="4" width="18.28515625" style="5" customWidth="1"/>
    <col min="5" max="5" width="36.5703125" style="5" customWidth="1"/>
    <col min="6" max="6" width="15.7109375" style="5" customWidth="1"/>
    <col min="7" max="7" width="9.140625" style="5"/>
    <col min="8" max="8" width="22.42578125" style="5" customWidth="1"/>
    <col min="9" max="9" width="22.140625" style="5" customWidth="1"/>
    <col min="10" max="10" width="17.7109375" style="5" bestFit="1" customWidth="1"/>
    <col min="11" max="12" width="15.42578125" style="5" customWidth="1"/>
    <col min="13" max="13" width="17.7109375" style="5" customWidth="1"/>
    <col min="14" max="14" width="12.7109375" style="5" customWidth="1"/>
    <col min="15" max="15" width="15.140625" style="5" customWidth="1"/>
    <col min="16" max="16" width="20.5703125" style="5" customWidth="1"/>
    <col min="17" max="16384" width="9.140625" style="5"/>
  </cols>
  <sheetData>
    <row r="1" spans="1:15" ht="15.75">
      <c r="A1" s="564" t="s">
        <v>344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</row>
    <row r="2" spans="1:15">
      <c r="A2" s="61" t="s">
        <v>0</v>
      </c>
      <c r="B2" s="80" t="s">
        <v>163</v>
      </c>
      <c r="C2" s="80" t="s">
        <v>297</v>
      </c>
      <c r="D2" s="80" t="s">
        <v>298</v>
      </c>
      <c r="E2" s="80" t="s">
        <v>166</v>
      </c>
      <c r="F2" s="80" t="s">
        <v>167</v>
      </c>
      <c r="G2" s="87" t="s">
        <v>168</v>
      </c>
      <c r="H2" s="80" t="s">
        <v>169</v>
      </c>
      <c r="I2" s="80" t="s">
        <v>167</v>
      </c>
      <c r="J2" s="87" t="s">
        <v>168</v>
      </c>
      <c r="K2" s="61" t="s">
        <v>170</v>
      </c>
      <c r="L2" s="88" t="s">
        <v>299</v>
      </c>
      <c r="M2" s="82" t="s">
        <v>187</v>
      </c>
      <c r="N2" s="80" t="s">
        <v>173</v>
      </c>
      <c r="O2" s="80" t="s">
        <v>300</v>
      </c>
    </row>
    <row r="3" spans="1:15">
      <c r="A3" s="595" t="s">
        <v>174</v>
      </c>
      <c r="B3" s="595"/>
      <c r="C3" s="595"/>
      <c r="D3" s="595"/>
      <c r="E3" s="595"/>
      <c r="F3" s="595"/>
      <c r="G3" s="595"/>
      <c r="H3" s="595"/>
      <c r="I3" s="595"/>
      <c r="J3" s="595"/>
      <c r="K3" s="99">
        <v>15332.38</v>
      </c>
      <c r="L3" s="217"/>
      <c r="M3" s="414">
        <v>15332.38</v>
      </c>
      <c r="N3" s="162"/>
      <c r="O3" s="162"/>
    </row>
    <row r="4" spans="1:15" ht="15.75">
      <c r="A4" s="6"/>
      <c r="B4" s="75">
        <v>46204</v>
      </c>
      <c r="C4" s="415" t="s">
        <v>345</v>
      </c>
      <c r="D4" s="596" t="s">
        <v>346</v>
      </c>
      <c r="E4" s="419">
        <v>160</v>
      </c>
      <c r="F4" s="419">
        <v>99.87</v>
      </c>
      <c r="G4" s="419">
        <f>E4*F4</f>
        <v>15979.2</v>
      </c>
      <c r="H4" s="421">
        <v>29.99</v>
      </c>
      <c r="I4" s="421">
        <v>112.06</v>
      </c>
      <c r="J4" s="421">
        <f>H4*I4</f>
        <v>3360.6794</v>
      </c>
      <c r="K4" s="421">
        <f>G4+J4</f>
        <v>19339.879400000002</v>
      </c>
      <c r="L4" s="415">
        <v>400000</v>
      </c>
      <c r="M4" s="416">
        <f>SUM(M3+L4-K4)</f>
        <v>395992.50060000003</v>
      </c>
      <c r="N4" s="6"/>
      <c r="O4" s="6"/>
    </row>
    <row r="5" spans="1:15" ht="15.75">
      <c r="A5" s="6"/>
      <c r="B5" s="75">
        <v>46204</v>
      </c>
      <c r="C5" s="415" t="s">
        <v>347</v>
      </c>
      <c r="D5" s="443" t="s">
        <v>348</v>
      </c>
      <c r="E5" s="415">
        <v>2019.8</v>
      </c>
      <c r="F5" s="419">
        <v>99.02</v>
      </c>
      <c r="G5" s="419">
        <f t="shared" ref="G5:G54" si="0">E5*F5</f>
        <v>200000.59599999999</v>
      </c>
      <c r="H5" s="597"/>
      <c r="I5" s="597"/>
      <c r="J5" s="421">
        <f t="shared" ref="J5:J56" si="1">H5*I5</f>
        <v>0</v>
      </c>
      <c r="K5" s="421">
        <f t="shared" ref="K5:K56" si="2">G5+J5</f>
        <v>200000.59599999999</v>
      </c>
      <c r="L5" s="415"/>
      <c r="M5" s="416">
        <f t="shared" ref="M5:M58" si="3">SUM(M4+L5-K5)</f>
        <v>195991.90460000004</v>
      </c>
      <c r="N5" s="6"/>
      <c r="O5" s="6"/>
    </row>
    <row r="6" spans="1:15" ht="15.75">
      <c r="A6" s="6"/>
      <c r="B6" s="75">
        <v>46204</v>
      </c>
      <c r="C6" s="415" t="s">
        <v>197</v>
      </c>
      <c r="D6" s="443" t="s">
        <v>349</v>
      </c>
      <c r="E6" s="415">
        <v>47.66</v>
      </c>
      <c r="F6" s="419">
        <v>104.92</v>
      </c>
      <c r="G6" s="419">
        <f>E6*F6</f>
        <v>5000.4871999999996</v>
      </c>
      <c r="H6" s="597"/>
      <c r="I6" s="597"/>
      <c r="J6" s="421">
        <f t="shared" si="1"/>
        <v>0</v>
      </c>
      <c r="K6" s="421">
        <f t="shared" si="2"/>
        <v>5000.4871999999996</v>
      </c>
      <c r="L6" s="415"/>
      <c r="M6" s="416">
        <f t="shared" si="3"/>
        <v>190991.41740000003</v>
      </c>
      <c r="N6" s="6"/>
      <c r="O6" s="6"/>
    </row>
    <row r="7" spans="1:15" ht="15.75">
      <c r="A7" s="6"/>
      <c r="B7" s="75">
        <v>46205</v>
      </c>
      <c r="C7" s="415" t="s">
        <v>350</v>
      </c>
      <c r="D7" s="443" t="s">
        <v>348</v>
      </c>
      <c r="E7" s="415">
        <v>1513.01</v>
      </c>
      <c r="F7" s="415">
        <v>99.14</v>
      </c>
      <c r="G7" s="419">
        <f t="shared" si="0"/>
        <v>149999.81140000001</v>
      </c>
      <c r="H7" s="597"/>
      <c r="I7" s="597"/>
      <c r="J7" s="421">
        <f t="shared" si="1"/>
        <v>0</v>
      </c>
      <c r="K7" s="421">
        <f t="shared" si="2"/>
        <v>149999.81140000001</v>
      </c>
      <c r="L7" s="415"/>
      <c r="M7" s="416">
        <f t="shared" si="3"/>
        <v>40991.606000000029</v>
      </c>
      <c r="N7" s="6"/>
      <c r="O7" s="6"/>
    </row>
    <row r="8" spans="1:15" ht="15.75">
      <c r="A8" s="6"/>
      <c r="B8" s="75">
        <v>46205</v>
      </c>
      <c r="C8" s="415" t="s">
        <v>197</v>
      </c>
      <c r="D8" s="442" t="s">
        <v>349</v>
      </c>
      <c r="E8" s="415">
        <v>60</v>
      </c>
      <c r="F8" s="415">
        <v>104.92</v>
      </c>
      <c r="G8" s="419">
        <f t="shared" si="0"/>
        <v>6295.2</v>
      </c>
      <c r="H8" s="597"/>
      <c r="I8" s="597"/>
      <c r="J8" s="421">
        <f t="shared" si="1"/>
        <v>0</v>
      </c>
      <c r="K8" s="421">
        <f t="shared" si="2"/>
        <v>6295.2</v>
      </c>
      <c r="L8" s="415"/>
      <c r="M8" s="416">
        <f t="shared" si="3"/>
        <v>34696.406000000032</v>
      </c>
      <c r="N8" s="6"/>
      <c r="O8" s="6"/>
    </row>
    <row r="9" spans="1:15" ht="15.75">
      <c r="A9" s="6"/>
      <c r="B9" s="75">
        <v>46206</v>
      </c>
      <c r="C9" s="415" t="s">
        <v>197</v>
      </c>
      <c r="D9" s="442" t="s">
        <v>349</v>
      </c>
      <c r="E9" s="415">
        <v>30</v>
      </c>
      <c r="F9" s="415">
        <v>104.92</v>
      </c>
      <c r="G9" s="419">
        <f t="shared" si="0"/>
        <v>3147.6</v>
      </c>
      <c r="H9" s="597"/>
      <c r="I9" s="597"/>
      <c r="J9" s="421">
        <f t="shared" si="1"/>
        <v>0</v>
      </c>
      <c r="K9" s="421">
        <f t="shared" si="2"/>
        <v>3147.6</v>
      </c>
      <c r="L9" s="415">
        <v>50000</v>
      </c>
      <c r="M9" s="416">
        <f t="shared" si="3"/>
        <v>81548.806000000026</v>
      </c>
      <c r="N9" s="6"/>
      <c r="O9" s="6"/>
    </row>
    <row r="10" spans="1:15" ht="15.75">
      <c r="A10" s="6"/>
      <c r="B10" s="75">
        <v>46207</v>
      </c>
      <c r="C10" s="415" t="s">
        <v>345</v>
      </c>
      <c r="D10" s="596" t="s">
        <v>346</v>
      </c>
      <c r="E10" s="415">
        <v>200</v>
      </c>
      <c r="F10" s="415">
        <v>99.87</v>
      </c>
      <c r="G10" s="419">
        <f t="shared" si="0"/>
        <v>19974</v>
      </c>
      <c r="H10" s="597"/>
      <c r="I10" s="597"/>
      <c r="J10" s="421">
        <f t="shared" si="1"/>
        <v>0</v>
      </c>
      <c r="K10" s="421">
        <f t="shared" si="2"/>
        <v>19974</v>
      </c>
      <c r="L10" s="415"/>
      <c r="M10" s="416">
        <f t="shared" si="3"/>
        <v>61574.806000000026</v>
      </c>
      <c r="N10" s="6"/>
      <c r="O10" s="6"/>
    </row>
    <row r="11" spans="1:15" ht="15.75">
      <c r="A11" s="6"/>
      <c r="B11" s="75">
        <v>46207</v>
      </c>
      <c r="C11" s="415" t="s">
        <v>197</v>
      </c>
      <c r="D11" s="442" t="s">
        <v>349</v>
      </c>
      <c r="E11" s="415">
        <v>228.12</v>
      </c>
      <c r="F11" s="415">
        <v>104.92</v>
      </c>
      <c r="G11" s="419">
        <f t="shared" si="0"/>
        <v>23934.350399999999</v>
      </c>
      <c r="H11" s="597"/>
      <c r="I11" s="597"/>
      <c r="J11" s="421">
        <f t="shared" si="1"/>
        <v>0</v>
      </c>
      <c r="K11" s="421">
        <f t="shared" si="2"/>
        <v>23934.350399999999</v>
      </c>
      <c r="L11" s="415"/>
      <c r="M11" s="416">
        <f t="shared" si="3"/>
        <v>37640.45560000003</v>
      </c>
      <c r="N11" s="6"/>
      <c r="O11" s="6"/>
    </row>
    <row r="12" spans="1:15" ht="15.75">
      <c r="A12" s="6"/>
      <c r="B12" s="75">
        <v>46211</v>
      </c>
      <c r="C12" s="415" t="s">
        <v>351</v>
      </c>
      <c r="D12" s="442" t="s">
        <v>352</v>
      </c>
      <c r="E12" s="415">
        <v>1506.03</v>
      </c>
      <c r="F12" s="415">
        <v>99.6</v>
      </c>
      <c r="G12" s="419">
        <f t="shared" si="0"/>
        <v>150000.58799999999</v>
      </c>
      <c r="H12" s="597"/>
      <c r="I12" s="597"/>
      <c r="J12" s="421">
        <f t="shared" si="1"/>
        <v>0</v>
      </c>
      <c r="K12" s="421">
        <f t="shared" si="2"/>
        <v>150000.58799999999</v>
      </c>
      <c r="L12" s="268">
        <v>300000</v>
      </c>
      <c r="M12" s="416">
        <f t="shared" si="3"/>
        <v>187639.86760000006</v>
      </c>
      <c r="N12" s="6"/>
      <c r="O12" s="6"/>
    </row>
    <row r="13" spans="1:15" ht="15.75">
      <c r="A13" s="6"/>
      <c r="B13" s="75">
        <v>46211</v>
      </c>
      <c r="C13" s="415" t="s">
        <v>350</v>
      </c>
      <c r="D13" s="442" t="s">
        <v>348</v>
      </c>
      <c r="E13" s="415">
        <v>1513.01</v>
      </c>
      <c r="F13" s="415">
        <v>99.14</v>
      </c>
      <c r="G13" s="419">
        <f t="shared" si="0"/>
        <v>149999.81140000001</v>
      </c>
      <c r="H13" s="597"/>
      <c r="I13" s="597"/>
      <c r="J13" s="421">
        <f t="shared" si="1"/>
        <v>0</v>
      </c>
      <c r="K13" s="421">
        <f t="shared" si="2"/>
        <v>149999.81140000001</v>
      </c>
      <c r="L13" s="415"/>
      <c r="M13" s="416">
        <f t="shared" si="3"/>
        <v>37640.05620000005</v>
      </c>
      <c r="N13" s="6"/>
      <c r="O13" s="6"/>
    </row>
    <row r="14" spans="1:15" ht="15.75">
      <c r="A14" s="6"/>
      <c r="B14" s="75">
        <v>46213</v>
      </c>
      <c r="C14" s="415" t="s">
        <v>345</v>
      </c>
      <c r="D14" s="442" t="s">
        <v>346</v>
      </c>
      <c r="E14" s="472">
        <v>160</v>
      </c>
      <c r="F14" s="472">
        <v>99.87</v>
      </c>
      <c r="G14" s="419">
        <f t="shared" si="0"/>
        <v>15979.2</v>
      </c>
      <c r="H14" s="597"/>
      <c r="I14" s="597"/>
      <c r="J14" s="421">
        <f t="shared" si="1"/>
        <v>0</v>
      </c>
      <c r="K14" s="421">
        <f t="shared" si="2"/>
        <v>15979.2</v>
      </c>
      <c r="L14" s="358"/>
      <c r="M14" s="416">
        <f t="shared" si="3"/>
        <v>21660.856200000049</v>
      </c>
      <c r="N14" s="6"/>
      <c r="O14" s="6"/>
    </row>
    <row r="15" spans="1:15" ht="15.75">
      <c r="A15" s="6"/>
      <c r="B15" s="75">
        <v>46213</v>
      </c>
      <c r="C15" s="415" t="s">
        <v>353</v>
      </c>
      <c r="D15" s="471" t="s">
        <v>354</v>
      </c>
      <c r="E15" s="415">
        <v>35</v>
      </c>
      <c r="F15" s="415">
        <v>103.76</v>
      </c>
      <c r="G15" s="419">
        <f t="shared" si="0"/>
        <v>3631.6000000000004</v>
      </c>
      <c r="H15" s="597"/>
      <c r="I15" s="597"/>
      <c r="J15" s="421">
        <f t="shared" si="1"/>
        <v>0</v>
      </c>
      <c r="K15" s="421">
        <f t="shared" si="2"/>
        <v>3631.6000000000004</v>
      </c>
      <c r="L15" s="63"/>
      <c r="M15" s="416">
        <f t="shared" si="3"/>
        <v>18029.256200000047</v>
      </c>
      <c r="N15" s="6"/>
      <c r="O15" s="6"/>
    </row>
    <row r="16" spans="1:15" ht="15.75">
      <c r="A16" s="6"/>
      <c r="B16" s="75">
        <v>46214</v>
      </c>
      <c r="C16" s="415" t="s">
        <v>355</v>
      </c>
      <c r="D16" s="442" t="s">
        <v>349</v>
      </c>
      <c r="E16" s="415">
        <v>120</v>
      </c>
      <c r="F16" s="415">
        <v>104.92</v>
      </c>
      <c r="G16" s="419">
        <f t="shared" si="0"/>
        <v>12590.4</v>
      </c>
      <c r="H16" s="597"/>
      <c r="I16" s="597"/>
      <c r="J16" s="421">
        <f t="shared" si="1"/>
        <v>0</v>
      </c>
      <c r="K16" s="421">
        <f t="shared" si="2"/>
        <v>12590.4</v>
      </c>
      <c r="L16" s="63"/>
      <c r="M16" s="416">
        <f t="shared" si="3"/>
        <v>5438.8562000000475</v>
      </c>
      <c r="N16" s="6"/>
      <c r="O16" s="6"/>
    </row>
    <row r="17" spans="1:15" ht="15.75">
      <c r="A17" s="6"/>
      <c r="B17" s="75">
        <v>46214</v>
      </c>
      <c r="C17" s="415" t="s">
        <v>353</v>
      </c>
      <c r="D17" s="471" t="s">
        <v>354</v>
      </c>
      <c r="E17" s="415">
        <v>35</v>
      </c>
      <c r="F17" s="415">
        <v>103.76</v>
      </c>
      <c r="G17" s="419">
        <f t="shared" si="0"/>
        <v>3631.6000000000004</v>
      </c>
      <c r="H17" s="597"/>
      <c r="I17" s="597"/>
      <c r="J17" s="421">
        <f t="shared" si="1"/>
        <v>0</v>
      </c>
      <c r="K17" s="421">
        <f t="shared" si="2"/>
        <v>3631.6000000000004</v>
      </c>
      <c r="L17" s="63"/>
      <c r="M17" s="416">
        <f t="shared" si="3"/>
        <v>1807.2562000000471</v>
      </c>
      <c r="N17" s="6"/>
      <c r="O17" s="6"/>
    </row>
    <row r="18" spans="1:15" ht="15.75">
      <c r="A18" s="6"/>
      <c r="B18" s="75">
        <v>46216</v>
      </c>
      <c r="C18" s="415"/>
      <c r="D18" s="471"/>
      <c r="E18" s="415"/>
      <c r="F18" s="415"/>
      <c r="G18" s="419">
        <f t="shared" si="0"/>
        <v>0</v>
      </c>
      <c r="H18" s="597"/>
      <c r="I18" s="597"/>
      <c r="J18" s="421">
        <f t="shared" si="1"/>
        <v>0</v>
      </c>
      <c r="K18" s="421">
        <f t="shared" si="2"/>
        <v>0</v>
      </c>
      <c r="L18" s="63">
        <v>50000</v>
      </c>
      <c r="M18" s="416">
        <f t="shared" si="3"/>
        <v>51807.256200000047</v>
      </c>
      <c r="N18" s="6"/>
      <c r="O18" s="6"/>
    </row>
    <row r="19" spans="1:15" ht="15.75">
      <c r="A19" s="6"/>
      <c r="B19" s="75">
        <v>46218</v>
      </c>
      <c r="C19" s="415" t="s">
        <v>350</v>
      </c>
      <c r="D19" s="471" t="s">
        <v>348</v>
      </c>
      <c r="E19" s="6">
        <v>1513.01</v>
      </c>
      <c r="F19" s="6">
        <v>99.14</v>
      </c>
      <c r="G19" s="419">
        <f t="shared" si="0"/>
        <v>149999.81140000001</v>
      </c>
      <c r="H19" s="597"/>
      <c r="I19" s="597"/>
      <c r="J19" s="421">
        <f t="shared" si="1"/>
        <v>0</v>
      </c>
      <c r="K19" s="421">
        <f t="shared" si="2"/>
        <v>149999.81140000001</v>
      </c>
      <c r="L19" s="63">
        <v>356000</v>
      </c>
      <c r="M19" s="416">
        <f t="shared" si="3"/>
        <v>257807.44480000006</v>
      </c>
      <c r="N19" s="6"/>
      <c r="O19" s="6"/>
    </row>
    <row r="20" spans="1:15" ht="15.75">
      <c r="A20" s="6"/>
      <c r="B20" s="75">
        <v>46218</v>
      </c>
      <c r="C20" s="415" t="s">
        <v>355</v>
      </c>
      <c r="D20" s="471" t="s">
        <v>349</v>
      </c>
      <c r="E20" s="6">
        <v>100</v>
      </c>
      <c r="F20" s="6">
        <v>104.92</v>
      </c>
      <c r="G20" s="419">
        <f t="shared" si="0"/>
        <v>10492</v>
      </c>
      <c r="H20" s="597">
        <v>3</v>
      </c>
      <c r="I20" s="597">
        <v>117.23</v>
      </c>
      <c r="J20" s="421">
        <f t="shared" si="1"/>
        <v>351.69</v>
      </c>
      <c r="K20" s="421">
        <f t="shared" si="2"/>
        <v>10843.69</v>
      </c>
      <c r="L20" s="63"/>
      <c r="M20" s="416">
        <f t="shared" si="3"/>
        <v>246963.75480000005</v>
      </c>
      <c r="N20" s="6"/>
      <c r="O20" s="6"/>
    </row>
    <row r="21" spans="1:15" ht="15.75">
      <c r="A21" s="6"/>
      <c r="B21" s="75">
        <v>46219</v>
      </c>
      <c r="C21" s="415" t="s">
        <v>345</v>
      </c>
      <c r="D21" s="471" t="s">
        <v>346</v>
      </c>
      <c r="E21" s="415">
        <v>116</v>
      </c>
      <c r="F21" s="415">
        <v>99.87</v>
      </c>
      <c r="G21" s="419">
        <f t="shared" si="0"/>
        <v>11584.92</v>
      </c>
      <c r="H21" s="597">
        <v>30</v>
      </c>
      <c r="I21" s="597">
        <v>112.06</v>
      </c>
      <c r="J21" s="421">
        <f t="shared" si="1"/>
        <v>3361.8</v>
      </c>
      <c r="K21" s="421">
        <f t="shared" si="2"/>
        <v>14946.720000000001</v>
      </c>
      <c r="L21" s="63"/>
      <c r="M21" s="416">
        <f t="shared" si="3"/>
        <v>232017.03480000005</v>
      </c>
      <c r="N21" s="6"/>
      <c r="O21" s="6"/>
    </row>
    <row r="22" spans="1:15" ht="15.75">
      <c r="A22" s="6"/>
      <c r="B22" s="75">
        <v>46219</v>
      </c>
      <c r="C22" s="415" t="s">
        <v>347</v>
      </c>
      <c r="D22" s="471" t="s">
        <v>348</v>
      </c>
      <c r="E22" s="415">
        <v>1514.85</v>
      </c>
      <c r="F22" s="415">
        <v>99.02</v>
      </c>
      <c r="G22" s="419">
        <f t="shared" si="0"/>
        <v>150000.44699999999</v>
      </c>
      <c r="H22" s="597"/>
      <c r="I22" s="597"/>
      <c r="J22" s="421">
        <f t="shared" si="1"/>
        <v>0</v>
      </c>
      <c r="K22" s="421">
        <f t="shared" si="2"/>
        <v>150000.44699999999</v>
      </c>
      <c r="L22" s="63"/>
      <c r="M22" s="416">
        <f t="shared" si="3"/>
        <v>82016.587800000067</v>
      </c>
      <c r="N22" s="6"/>
      <c r="O22" s="6"/>
    </row>
    <row r="23" spans="1:15" ht="15.75">
      <c r="A23" s="6"/>
      <c r="B23" s="75">
        <v>46219</v>
      </c>
      <c r="C23" s="415" t="s">
        <v>353</v>
      </c>
      <c r="D23" s="442" t="s">
        <v>354</v>
      </c>
      <c r="E23" s="415">
        <v>70</v>
      </c>
      <c r="F23" s="415">
        <v>103.76</v>
      </c>
      <c r="G23" s="419">
        <f t="shared" si="0"/>
        <v>7263.2000000000007</v>
      </c>
      <c r="H23" s="597"/>
      <c r="I23" s="597"/>
      <c r="J23" s="421">
        <f t="shared" si="1"/>
        <v>0</v>
      </c>
      <c r="K23" s="421">
        <f t="shared" si="2"/>
        <v>7263.2000000000007</v>
      </c>
      <c r="L23" s="63"/>
      <c r="M23" s="416">
        <f t="shared" si="3"/>
        <v>74753.38780000007</v>
      </c>
      <c r="N23" s="6"/>
      <c r="O23" s="6"/>
    </row>
    <row r="24" spans="1:15" ht="15.75">
      <c r="A24" s="6"/>
      <c r="B24" s="75">
        <v>46220</v>
      </c>
      <c r="C24" s="415" t="s">
        <v>356</v>
      </c>
      <c r="D24" s="471" t="s">
        <v>357</v>
      </c>
      <c r="E24" s="415">
        <v>478.84</v>
      </c>
      <c r="F24" s="415">
        <v>104.42</v>
      </c>
      <c r="G24" s="419">
        <f t="shared" si="0"/>
        <v>50000.472799999996</v>
      </c>
      <c r="H24" s="597"/>
      <c r="I24" s="597"/>
      <c r="J24" s="421">
        <f t="shared" si="1"/>
        <v>0</v>
      </c>
      <c r="K24" s="421">
        <f t="shared" si="2"/>
        <v>50000.472799999996</v>
      </c>
      <c r="L24" s="63"/>
      <c r="M24" s="416">
        <f t="shared" si="3"/>
        <v>24752.915000000074</v>
      </c>
      <c r="N24" s="6"/>
      <c r="O24" s="6"/>
    </row>
    <row r="25" spans="1:15" ht="15.75">
      <c r="A25" s="6"/>
      <c r="B25" s="75">
        <v>46220</v>
      </c>
      <c r="C25" s="415" t="s">
        <v>358</v>
      </c>
      <c r="D25" s="471" t="s">
        <v>346</v>
      </c>
      <c r="E25" s="415">
        <v>69.98</v>
      </c>
      <c r="F25" s="415">
        <v>100.03</v>
      </c>
      <c r="G25" s="419">
        <f t="shared" si="0"/>
        <v>7000.0994000000001</v>
      </c>
      <c r="H25" s="597"/>
      <c r="I25" s="597"/>
      <c r="J25" s="421">
        <f t="shared" si="1"/>
        <v>0</v>
      </c>
      <c r="K25" s="421">
        <f t="shared" si="2"/>
        <v>7000.0994000000001</v>
      </c>
      <c r="L25" s="63"/>
      <c r="M25" s="416">
        <f t="shared" si="3"/>
        <v>17752.815600000074</v>
      </c>
      <c r="N25" s="6"/>
      <c r="O25" s="6"/>
    </row>
    <row r="26" spans="1:15" ht="15.75">
      <c r="A26" s="6"/>
      <c r="B26" s="75">
        <v>46220</v>
      </c>
      <c r="C26" s="415" t="s">
        <v>359</v>
      </c>
      <c r="D26" s="442" t="s">
        <v>349</v>
      </c>
      <c r="E26" s="415">
        <v>52.76</v>
      </c>
      <c r="F26" s="415">
        <v>104.58</v>
      </c>
      <c r="G26" s="419">
        <f t="shared" si="0"/>
        <v>5517.6408000000001</v>
      </c>
      <c r="H26" s="597"/>
      <c r="I26" s="597"/>
      <c r="J26" s="421">
        <f t="shared" si="1"/>
        <v>0</v>
      </c>
      <c r="K26" s="421">
        <f t="shared" si="2"/>
        <v>5517.6408000000001</v>
      </c>
      <c r="L26" s="63"/>
      <c r="M26" s="416">
        <f t="shared" si="3"/>
        <v>12235.174800000073</v>
      </c>
      <c r="N26" s="6"/>
      <c r="O26" s="6"/>
    </row>
    <row r="27" spans="1:15" ht="15.75">
      <c r="A27" s="6"/>
      <c r="B27" s="75">
        <v>46221</v>
      </c>
      <c r="C27" s="415" t="s">
        <v>360</v>
      </c>
      <c r="D27" s="442" t="s">
        <v>349</v>
      </c>
      <c r="E27" s="415">
        <v>30</v>
      </c>
      <c r="F27" s="415">
        <v>105.55</v>
      </c>
      <c r="G27" s="419">
        <f t="shared" si="0"/>
        <v>3166.5</v>
      </c>
      <c r="H27" s="597"/>
      <c r="I27" s="597"/>
      <c r="J27" s="421">
        <f t="shared" si="1"/>
        <v>0</v>
      </c>
      <c r="K27" s="421">
        <f t="shared" si="2"/>
        <v>3166.5</v>
      </c>
      <c r="L27" s="63">
        <v>50000</v>
      </c>
      <c r="M27" s="416">
        <f t="shared" si="3"/>
        <v>59068.674800000073</v>
      </c>
      <c r="N27" s="6"/>
      <c r="O27" s="6"/>
    </row>
    <row r="28" spans="1:15" ht="15.75">
      <c r="A28" s="6"/>
      <c r="B28" s="75">
        <v>46221</v>
      </c>
      <c r="C28" s="415" t="s">
        <v>353</v>
      </c>
      <c r="D28" s="442" t="s">
        <v>354</v>
      </c>
      <c r="E28" s="473">
        <v>50</v>
      </c>
      <c r="F28" s="473">
        <v>103.76</v>
      </c>
      <c r="G28" s="419">
        <f t="shared" si="0"/>
        <v>5188</v>
      </c>
      <c r="H28" s="597"/>
      <c r="I28" s="597"/>
      <c r="J28" s="421">
        <f t="shared" si="1"/>
        <v>0</v>
      </c>
      <c r="K28" s="421">
        <f t="shared" si="2"/>
        <v>5188</v>
      </c>
      <c r="L28" s="63"/>
      <c r="M28" s="416">
        <f t="shared" si="3"/>
        <v>53880.674800000073</v>
      </c>
      <c r="N28" s="6"/>
      <c r="O28" s="6"/>
    </row>
    <row r="29" spans="1:15" ht="15.75">
      <c r="A29" s="6"/>
      <c r="B29" s="75">
        <v>46223</v>
      </c>
      <c r="C29" s="415" t="s">
        <v>361</v>
      </c>
      <c r="D29" s="442" t="s">
        <v>346</v>
      </c>
      <c r="E29" s="415">
        <v>199.94</v>
      </c>
      <c r="F29" s="415">
        <v>100.03</v>
      </c>
      <c r="G29" s="419">
        <f t="shared" si="0"/>
        <v>19999.998200000002</v>
      </c>
      <c r="H29" s="597"/>
      <c r="I29" s="597"/>
      <c r="J29" s="421">
        <f t="shared" si="1"/>
        <v>0</v>
      </c>
      <c r="K29" s="421">
        <f t="shared" si="2"/>
        <v>19999.998200000002</v>
      </c>
      <c r="L29" s="63"/>
      <c r="M29" s="416">
        <f t="shared" si="3"/>
        <v>33880.676600000072</v>
      </c>
      <c r="N29" s="6"/>
      <c r="O29" s="6"/>
    </row>
    <row r="30" spans="1:15" ht="15.75">
      <c r="A30" s="6"/>
      <c r="B30" s="75">
        <v>46225</v>
      </c>
      <c r="C30" s="415" t="s">
        <v>362</v>
      </c>
      <c r="D30" s="442" t="s">
        <v>346</v>
      </c>
      <c r="E30" s="415">
        <v>5035.75</v>
      </c>
      <c r="F30" s="415">
        <v>99.29</v>
      </c>
      <c r="G30" s="419">
        <f t="shared" si="0"/>
        <v>499999.61750000005</v>
      </c>
      <c r="H30" s="597"/>
      <c r="I30" s="597"/>
      <c r="J30" s="421">
        <f t="shared" si="1"/>
        <v>0</v>
      </c>
      <c r="K30" s="421">
        <f t="shared" si="2"/>
        <v>499999.61750000005</v>
      </c>
      <c r="L30" s="41">
        <v>3250000</v>
      </c>
      <c r="M30" s="416">
        <f t="shared" si="3"/>
        <v>2783881.0590999997</v>
      </c>
      <c r="N30" s="6"/>
      <c r="O30" s="6"/>
    </row>
    <row r="31" spans="1:15" ht="15.75">
      <c r="A31" s="6"/>
      <c r="B31" s="75">
        <v>46225</v>
      </c>
      <c r="C31" s="415" t="s">
        <v>351</v>
      </c>
      <c r="D31" s="442" t="s">
        <v>352</v>
      </c>
      <c r="E31" s="415">
        <v>4016.08</v>
      </c>
      <c r="F31" s="415">
        <v>99.6</v>
      </c>
      <c r="G31" s="419">
        <f t="shared" si="0"/>
        <v>400001.56799999997</v>
      </c>
      <c r="H31" s="597"/>
      <c r="I31" s="597"/>
      <c r="J31" s="421">
        <f t="shared" si="1"/>
        <v>0</v>
      </c>
      <c r="K31" s="421">
        <f t="shared" si="2"/>
        <v>400001.56799999997</v>
      </c>
      <c r="L31" s="41"/>
      <c r="M31" s="416">
        <f t="shared" si="3"/>
        <v>2383879.4910999998</v>
      </c>
      <c r="N31" s="6"/>
      <c r="O31" s="6"/>
    </row>
    <row r="32" spans="1:15" ht="15.75">
      <c r="A32" s="6"/>
      <c r="B32" s="75">
        <v>46225</v>
      </c>
      <c r="C32" s="415" t="s">
        <v>347</v>
      </c>
      <c r="D32" s="442" t="s">
        <v>348</v>
      </c>
      <c r="E32" s="415">
        <v>1514.85</v>
      </c>
      <c r="F32" s="415">
        <v>99.02</v>
      </c>
      <c r="G32" s="419">
        <f t="shared" si="0"/>
        <v>150000.44699999999</v>
      </c>
      <c r="H32" s="420"/>
      <c r="I32" s="420"/>
      <c r="J32" s="421">
        <f t="shared" si="1"/>
        <v>0</v>
      </c>
      <c r="K32" s="421">
        <f t="shared" si="2"/>
        <v>150000.44699999999</v>
      </c>
      <c r="L32" s="41"/>
      <c r="M32" s="416">
        <f t="shared" si="3"/>
        <v>2233879.0440999996</v>
      </c>
      <c r="N32" s="6"/>
      <c r="O32" s="6"/>
    </row>
    <row r="33" spans="1:15" ht="15.75">
      <c r="A33" s="6"/>
      <c r="B33" s="75">
        <v>46225</v>
      </c>
      <c r="C33" s="415" t="s">
        <v>350</v>
      </c>
      <c r="D33" s="442" t="s">
        <v>348</v>
      </c>
      <c r="E33" s="415">
        <v>2521.69</v>
      </c>
      <c r="F33" s="415">
        <v>99.14</v>
      </c>
      <c r="G33" s="419">
        <f t="shared" si="0"/>
        <v>250000.34660000002</v>
      </c>
      <c r="H33" s="597"/>
      <c r="I33" s="597"/>
      <c r="J33" s="421">
        <f t="shared" si="1"/>
        <v>0</v>
      </c>
      <c r="K33" s="421">
        <f t="shared" si="2"/>
        <v>250000.34660000002</v>
      </c>
      <c r="L33" s="41"/>
      <c r="M33" s="416">
        <f t="shared" si="3"/>
        <v>1983878.6974999995</v>
      </c>
      <c r="N33" s="6"/>
      <c r="O33" s="6"/>
    </row>
    <row r="34" spans="1:15" ht="15.75">
      <c r="A34" s="6"/>
      <c r="B34" s="75">
        <v>46225</v>
      </c>
      <c r="C34" s="415" t="s">
        <v>363</v>
      </c>
      <c r="D34" s="442" t="s">
        <v>364</v>
      </c>
      <c r="E34" s="415">
        <v>6519.57</v>
      </c>
      <c r="F34" s="415">
        <v>99.7</v>
      </c>
      <c r="G34" s="419">
        <f t="shared" si="0"/>
        <v>650001.12899999996</v>
      </c>
      <c r="H34" s="597"/>
      <c r="I34" s="597"/>
      <c r="J34" s="421">
        <f t="shared" si="1"/>
        <v>0</v>
      </c>
      <c r="K34" s="421">
        <f t="shared" si="2"/>
        <v>650001.12899999996</v>
      </c>
      <c r="L34" s="41"/>
      <c r="M34" s="416">
        <f t="shared" si="3"/>
        <v>1333877.5684999996</v>
      </c>
      <c r="N34" s="6"/>
      <c r="O34" s="6"/>
    </row>
    <row r="35" spans="1:15" ht="15.75">
      <c r="A35" s="6"/>
      <c r="B35" s="75">
        <v>46225</v>
      </c>
      <c r="C35" s="415" t="s">
        <v>365</v>
      </c>
      <c r="D35" s="442" t="s">
        <v>366</v>
      </c>
      <c r="E35" s="415">
        <v>2013.08</v>
      </c>
      <c r="F35" s="415">
        <v>99.35</v>
      </c>
      <c r="G35" s="419">
        <f t="shared" si="0"/>
        <v>199999.49799999999</v>
      </c>
      <c r="H35" s="597"/>
      <c r="I35" s="597"/>
      <c r="J35" s="421">
        <f t="shared" si="1"/>
        <v>0</v>
      </c>
      <c r="K35" s="421">
        <f t="shared" si="2"/>
        <v>199999.49799999999</v>
      </c>
      <c r="L35" s="41"/>
      <c r="M35" s="416">
        <f t="shared" si="3"/>
        <v>1133878.0704999997</v>
      </c>
      <c r="N35" s="6"/>
      <c r="O35" s="6"/>
    </row>
    <row r="36" spans="1:15" ht="15.75">
      <c r="A36" s="6"/>
      <c r="B36" s="75">
        <v>46225</v>
      </c>
      <c r="C36" s="415" t="s">
        <v>345</v>
      </c>
      <c r="D36" s="442" t="s">
        <v>346</v>
      </c>
      <c r="E36" s="415">
        <v>130.16999999999999</v>
      </c>
      <c r="F36" s="415">
        <v>99.87</v>
      </c>
      <c r="G36" s="419">
        <f t="shared" si="0"/>
        <v>13000.0779</v>
      </c>
      <c r="H36" s="597"/>
      <c r="I36" s="597"/>
      <c r="J36" s="421">
        <f t="shared" si="1"/>
        <v>0</v>
      </c>
      <c r="K36" s="421">
        <f t="shared" si="2"/>
        <v>13000.0779</v>
      </c>
      <c r="L36" s="41"/>
      <c r="M36" s="416">
        <f t="shared" si="3"/>
        <v>1120877.9925999998</v>
      </c>
      <c r="N36" s="6"/>
      <c r="O36" s="6"/>
    </row>
    <row r="37" spans="1:15" ht="15.75">
      <c r="A37" s="6"/>
      <c r="B37" s="75">
        <v>46225</v>
      </c>
      <c r="C37" s="415" t="s">
        <v>367</v>
      </c>
      <c r="D37" s="442" t="s">
        <v>346</v>
      </c>
      <c r="E37" s="415">
        <v>4010.84</v>
      </c>
      <c r="F37" s="415">
        <v>99.73</v>
      </c>
      <c r="G37" s="419">
        <f t="shared" si="0"/>
        <v>400001.07320000004</v>
      </c>
      <c r="H37" s="597"/>
      <c r="I37" s="420"/>
      <c r="J37" s="421">
        <f t="shared" si="1"/>
        <v>0</v>
      </c>
      <c r="K37" s="421">
        <f t="shared" si="2"/>
        <v>400001.07320000004</v>
      </c>
      <c r="L37" s="41"/>
      <c r="M37" s="416">
        <f t="shared" si="3"/>
        <v>720876.91939999978</v>
      </c>
      <c r="N37" s="6"/>
      <c r="O37" s="6"/>
    </row>
    <row r="38" spans="1:15" ht="15.75">
      <c r="A38" s="6"/>
      <c r="B38" s="75">
        <v>46227</v>
      </c>
      <c r="C38" s="415" t="s">
        <v>368</v>
      </c>
      <c r="D38" s="442" t="s">
        <v>369</v>
      </c>
      <c r="E38" s="415">
        <v>2800</v>
      </c>
      <c r="F38" s="415">
        <v>103.8</v>
      </c>
      <c r="G38" s="419">
        <f t="shared" si="0"/>
        <v>290640</v>
      </c>
      <c r="H38" s="597"/>
      <c r="I38" s="420"/>
      <c r="J38" s="421">
        <f t="shared" si="1"/>
        <v>0</v>
      </c>
      <c r="K38" s="421">
        <f t="shared" si="2"/>
        <v>290640</v>
      </c>
      <c r="L38" s="41"/>
      <c r="M38" s="416">
        <f t="shared" si="3"/>
        <v>430236.91939999978</v>
      </c>
      <c r="N38" s="6"/>
      <c r="O38" s="6"/>
    </row>
    <row r="39" spans="1:15" ht="15.75">
      <c r="A39" s="6"/>
      <c r="B39" s="75">
        <v>46227</v>
      </c>
      <c r="C39" s="415" t="s">
        <v>345</v>
      </c>
      <c r="D39" s="442" t="s">
        <v>346</v>
      </c>
      <c r="E39" s="415">
        <v>200</v>
      </c>
      <c r="F39" s="415">
        <v>99.87</v>
      </c>
      <c r="G39" s="419">
        <f t="shared" si="0"/>
        <v>19974</v>
      </c>
      <c r="H39" s="597"/>
      <c r="I39" s="597"/>
      <c r="J39" s="421">
        <f t="shared" si="1"/>
        <v>0</v>
      </c>
      <c r="K39" s="421">
        <f t="shared" si="2"/>
        <v>19974</v>
      </c>
      <c r="L39" s="41"/>
      <c r="M39" s="416">
        <f t="shared" si="3"/>
        <v>410262.91939999978</v>
      </c>
      <c r="N39" s="6"/>
      <c r="O39" s="6"/>
    </row>
    <row r="40" spans="1:15" ht="15.75">
      <c r="A40" s="6"/>
      <c r="B40" s="75">
        <v>46228</v>
      </c>
      <c r="C40" s="415" t="s">
        <v>368</v>
      </c>
      <c r="D40" s="442" t="s">
        <v>369</v>
      </c>
      <c r="E40" s="415">
        <v>2800</v>
      </c>
      <c r="F40" s="415">
        <v>103.8</v>
      </c>
      <c r="G40" s="419">
        <f t="shared" si="0"/>
        <v>290640</v>
      </c>
      <c r="H40" s="597"/>
      <c r="I40" s="597"/>
      <c r="J40" s="421">
        <f t="shared" si="1"/>
        <v>0</v>
      </c>
      <c r="K40" s="421">
        <f t="shared" si="2"/>
        <v>290640</v>
      </c>
      <c r="L40" s="41"/>
      <c r="M40" s="416">
        <f t="shared" si="3"/>
        <v>119622.91939999978</v>
      </c>
      <c r="N40" s="6"/>
      <c r="O40" s="6"/>
    </row>
    <row r="41" spans="1:15" ht="15.75">
      <c r="A41" s="6"/>
      <c r="B41" s="75">
        <v>46228</v>
      </c>
      <c r="C41" s="415" t="s">
        <v>361</v>
      </c>
      <c r="D41" s="442" t="s">
        <v>346</v>
      </c>
      <c r="E41" s="415">
        <v>299.91000000000003</v>
      </c>
      <c r="F41" s="415">
        <v>100.03</v>
      </c>
      <c r="G41" s="419">
        <f t="shared" si="0"/>
        <v>29999.997300000003</v>
      </c>
      <c r="H41" s="597"/>
      <c r="I41" s="597"/>
      <c r="J41" s="421">
        <f t="shared" si="1"/>
        <v>0</v>
      </c>
      <c r="K41" s="421">
        <f t="shared" si="2"/>
        <v>29999.997300000003</v>
      </c>
      <c r="L41" s="41">
        <v>200000</v>
      </c>
      <c r="M41" s="416">
        <f t="shared" si="3"/>
        <v>289622.92209999979</v>
      </c>
      <c r="N41" s="6"/>
      <c r="O41" s="6"/>
    </row>
    <row r="42" spans="1:15" ht="15.75">
      <c r="A42" s="6"/>
      <c r="B42" s="75">
        <v>46230</v>
      </c>
      <c r="C42" s="415" t="s">
        <v>370</v>
      </c>
      <c r="D42" s="442" t="s">
        <v>369</v>
      </c>
      <c r="E42" s="415">
        <v>2119.4899999999998</v>
      </c>
      <c r="F42" s="415">
        <v>103.8</v>
      </c>
      <c r="G42" s="419">
        <f t="shared" si="0"/>
        <v>220003.06199999998</v>
      </c>
      <c r="H42" s="597"/>
      <c r="I42" s="597"/>
      <c r="J42" s="421">
        <f t="shared" si="1"/>
        <v>0</v>
      </c>
      <c r="K42" s="421">
        <f t="shared" si="2"/>
        <v>220003.06199999998</v>
      </c>
      <c r="L42" s="41"/>
      <c r="M42" s="416">
        <f t="shared" si="3"/>
        <v>69619.860099999816</v>
      </c>
      <c r="N42" s="6"/>
      <c r="O42" s="6"/>
    </row>
    <row r="43" spans="1:15" ht="15.75">
      <c r="A43" s="6"/>
      <c r="B43" s="75">
        <v>46230</v>
      </c>
      <c r="C43" s="415" t="s">
        <v>361</v>
      </c>
      <c r="D43" s="442" t="s">
        <v>346</v>
      </c>
      <c r="E43" s="415">
        <v>266.3</v>
      </c>
      <c r="F43" s="415">
        <v>100.03</v>
      </c>
      <c r="G43" s="419">
        <f t="shared" si="0"/>
        <v>26637.989000000001</v>
      </c>
      <c r="H43" s="597">
        <v>30</v>
      </c>
      <c r="I43" s="597">
        <v>112.06</v>
      </c>
      <c r="J43" s="421">
        <f t="shared" si="1"/>
        <v>3361.8</v>
      </c>
      <c r="K43" s="421">
        <f t="shared" si="2"/>
        <v>29999.789000000001</v>
      </c>
      <c r="L43" s="41"/>
      <c r="M43" s="416">
        <f t="shared" si="3"/>
        <v>39620.071099999812</v>
      </c>
      <c r="N43" s="6"/>
      <c r="O43" s="6"/>
    </row>
    <row r="44" spans="1:15" ht="15.75">
      <c r="A44" s="6"/>
      <c r="B44" s="75">
        <v>46231</v>
      </c>
      <c r="C44" s="415" t="s">
        <v>371</v>
      </c>
      <c r="D44" s="442" t="s">
        <v>346</v>
      </c>
      <c r="E44" s="5">
        <v>85</v>
      </c>
      <c r="F44" s="415">
        <v>100.03</v>
      </c>
      <c r="G44" s="419">
        <f t="shared" si="0"/>
        <v>8502.5499999999993</v>
      </c>
      <c r="H44" s="597">
        <v>20</v>
      </c>
      <c r="I44" s="597">
        <v>112.06</v>
      </c>
      <c r="J44" s="421">
        <f t="shared" si="1"/>
        <v>2241.1999999999998</v>
      </c>
      <c r="K44" s="421">
        <f t="shared" si="2"/>
        <v>10743.75</v>
      </c>
      <c r="L44" s="41"/>
      <c r="M44" s="416">
        <f t="shared" si="3"/>
        <v>28876.321099999812</v>
      </c>
      <c r="N44" s="6"/>
      <c r="O44" s="6"/>
    </row>
    <row r="45" spans="1:15" ht="15.75">
      <c r="A45" s="6"/>
      <c r="B45" s="75">
        <v>46231</v>
      </c>
      <c r="C45" s="415" t="s">
        <v>353</v>
      </c>
      <c r="D45" s="442" t="s">
        <v>354</v>
      </c>
      <c r="E45" s="415">
        <v>70</v>
      </c>
      <c r="F45" s="415">
        <v>103.76</v>
      </c>
      <c r="G45" s="419">
        <f t="shared" si="0"/>
        <v>7263.2000000000007</v>
      </c>
      <c r="H45" s="597"/>
      <c r="I45" s="597"/>
      <c r="J45" s="421">
        <f t="shared" si="1"/>
        <v>0</v>
      </c>
      <c r="K45" s="421">
        <f t="shared" si="2"/>
        <v>7263.2000000000007</v>
      </c>
      <c r="L45" s="41"/>
      <c r="M45" s="416">
        <f t="shared" si="3"/>
        <v>21613.121099999811</v>
      </c>
      <c r="N45" s="6"/>
      <c r="O45" s="6"/>
    </row>
    <row r="46" spans="1:15" ht="15.75">
      <c r="A46" s="6"/>
      <c r="B46" s="75">
        <v>46232</v>
      </c>
      <c r="C46" s="415" t="s">
        <v>370</v>
      </c>
      <c r="D46" s="442" t="s">
        <v>369</v>
      </c>
      <c r="E46" s="415">
        <v>2408.48</v>
      </c>
      <c r="F46" s="415">
        <v>103.8</v>
      </c>
      <c r="G46" s="419">
        <f t="shared" si="0"/>
        <v>250000.22399999999</v>
      </c>
      <c r="H46" s="597"/>
      <c r="I46" s="597"/>
      <c r="J46" s="421">
        <f t="shared" si="1"/>
        <v>0</v>
      </c>
      <c r="K46" s="421">
        <f t="shared" si="2"/>
        <v>250000.22399999999</v>
      </c>
      <c r="L46" s="44">
        <v>350000</v>
      </c>
      <c r="M46" s="416">
        <f t="shared" si="3"/>
        <v>121612.89709999983</v>
      </c>
      <c r="N46" s="6"/>
      <c r="O46" s="6"/>
    </row>
    <row r="47" spans="1:15" ht="15.75">
      <c r="A47" s="6"/>
      <c r="B47" s="75">
        <v>46232</v>
      </c>
      <c r="C47" s="415" t="s">
        <v>353</v>
      </c>
      <c r="D47" s="442" t="s">
        <v>354</v>
      </c>
      <c r="E47" s="415">
        <v>70</v>
      </c>
      <c r="F47" s="415">
        <v>103.76</v>
      </c>
      <c r="G47" s="419">
        <f t="shared" si="0"/>
        <v>7263.2000000000007</v>
      </c>
      <c r="H47" s="597"/>
      <c r="I47" s="597"/>
      <c r="J47" s="421">
        <f t="shared" si="1"/>
        <v>0</v>
      </c>
      <c r="K47" s="421">
        <f t="shared" si="2"/>
        <v>7263.2000000000007</v>
      </c>
      <c r="L47" s="44"/>
      <c r="M47" s="416">
        <f t="shared" si="3"/>
        <v>114349.69709999983</v>
      </c>
      <c r="N47" s="6"/>
      <c r="O47" s="6"/>
    </row>
    <row r="48" spans="1:15" ht="15.75">
      <c r="A48" s="6"/>
      <c r="B48" s="75">
        <v>46233</v>
      </c>
      <c r="C48" s="415" t="s">
        <v>371</v>
      </c>
      <c r="D48" s="442" t="s">
        <v>346</v>
      </c>
      <c r="E48" s="415">
        <v>85</v>
      </c>
      <c r="F48" s="415">
        <v>100.03</v>
      </c>
      <c r="G48" s="419">
        <f t="shared" si="0"/>
        <v>8502.5499999999993</v>
      </c>
      <c r="H48" s="597">
        <v>10</v>
      </c>
      <c r="I48" s="597">
        <v>112.06</v>
      </c>
      <c r="J48" s="421">
        <f t="shared" si="1"/>
        <v>1120.5999999999999</v>
      </c>
      <c r="K48" s="421">
        <f t="shared" si="2"/>
        <v>9623.15</v>
      </c>
      <c r="L48" s="44"/>
      <c r="M48" s="416">
        <f t="shared" si="3"/>
        <v>104726.54709999984</v>
      </c>
      <c r="N48" s="6"/>
      <c r="O48" s="6"/>
    </row>
    <row r="49" spans="1:15" ht="15.75">
      <c r="A49" s="6"/>
      <c r="B49" s="75">
        <v>46234</v>
      </c>
      <c r="C49" s="415" t="s">
        <v>351</v>
      </c>
      <c r="D49" s="442" t="s">
        <v>352</v>
      </c>
      <c r="E49" s="415">
        <v>1506</v>
      </c>
      <c r="F49" s="415">
        <v>99.6</v>
      </c>
      <c r="G49" s="419">
        <f t="shared" si="0"/>
        <v>149997.6</v>
      </c>
      <c r="H49" s="597"/>
      <c r="I49" s="597"/>
      <c r="J49" s="421">
        <f t="shared" si="1"/>
        <v>0</v>
      </c>
      <c r="K49" s="421">
        <f t="shared" si="2"/>
        <v>149997.6</v>
      </c>
      <c r="L49" s="44">
        <v>700000</v>
      </c>
      <c r="M49" s="416">
        <f t="shared" si="3"/>
        <v>654728.94709999987</v>
      </c>
      <c r="N49" s="6"/>
      <c r="O49" s="6"/>
    </row>
    <row r="50" spans="1:15" ht="15.75">
      <c r="A50" s="6"/>
      <c r="B50" s="75">
        <v>46234</v>
      </c>
      <c r="C50" s="415" t="s">
        <v>347</v>
      </c>
      <c r="D50" s="442" t="s">
        <v>348</v>
      </c>
      <c r="E50" s="415">
        <v>1767.32</v>
      </c>
      <c r="F50" s="415">
        <v>99.02</v>
      </c>
      <c r="G50" s="419">
        <f t="shared" si="0"/>
        <v>175000.02639999997</v>
      </c>
      <c r="H50" s="415"/>
      <c r="I50" s="415"/>
      <c r="J50" s="421">
        <f t="shared" si="1"/>
        <v>0</v>
      </c>
      <c r="K50" s="421">
        <f t="shared" si="2"/>
        <v>175000.02639999997</v>
      </c>
      <c r="L50" s="44"/>
      <c r="M50" s="416">
        <f t="shared" si="3"/>
        <v>479728.9206999999</v>
      </c>
      <c r="N50" s="6"/>
      <c r="O50" s="6"/>
    </row>
    <row r="51" spans="1:15" ht="15.75">
      <c r="A51" s="6"/>
      <c r="B51" s="75">
        <v>46234</v>
      </c>
      <c r="C51" s="415" t="s">
        <v>350</v>
      </c>
      <c r="D51" s="442" t="s">
        <v>348</v>
      </c>
      <c r="E51" s="415">
        <v>1613.88</v>
      </c>
      <c r="F51" s="415">
        <v>99.14</v>
      </c>
      <c r="G51" s="419">
        <f t="shared" si="0"/>
        <v>160000.0632</v>
      </c>
      <c r="H51" s="415"/>
      <c r="I51" s="415"/>
      <c r="J51" s="421">
        <f t="shared" si="1"/>
        <v>0</v>
      </c>
      <c r="K51" s="421">
        <f t="shared" si="2"/>
        <v>160000.0632</v>
      </c>
      <c r="L51" s="44"/>
      <c r="M51" s="416">
        <f t="shared" si="3"/>
        <v>319728.85749999993</v>
      </c>
      <c r="N51" s="6"/>
      <c r="O51" s="6"/>
    </row>
    <row r="52" spans="1:15" ht="15.75">
      <c r="A52" s="6"/>
      <c r="B52" s="75">
        <v>46234</v>
      </c>
      <c r="C52" s="415" t="s">
        <v>368</v>
      </c>
      <c r="D52" s="442" t="s">
        <v>369</v>
      </c>
      <c r="E52" s="415">
        <v>2408.48</v>
      </c>
      <c r="F52" s="415">
        <v>103.8</v>
      </c>
      <c r="G52" s="419">
        <f t="shared" si="0"/>
        <v>250000.22399999999</v>
      </c>
      <c r="H52" s="415"/>
      <c r="I52" s="415"/>
      <c r="J52" s="421">
        <f t="shared" si="1"/>
        <v>0</v>
      </c>
      <c r="K52" s="421">
        <f t="shared" si="2"/>
        <v>250000.22399999999</v>
      </c>
      <c r="L52" s="44"/>
      <c r="M52" s="416">
        <f t="shared" si="3"/>
        <v>69728.633499999938</v>
      </c>
      <c r="N52" s="6"/>
      <c r="O52" s="6"/>
    </row>
    <row r="53" spans="1:15" ht="15.75">
      <c r="A53" s="6"/>
      <c r="B53" s="75">
        <v>46234</v>
      </c>
      <c r="C53" s="415" t="s">
        <v>345</v>
      </c>
      <c r="D53" s="442" t="s">
        <v>346</v>
      </c>
      <c r="E53" s="415">
        <v>116</v>
      </c>
      <c r="F53" s="415">
        <v>99.87</v>
      </c>
      <c r="G53" s="419">
        <f t="shared" si="0"/>
        <v>11584.92</v>
      </c>
      <c r="H53" s="415">
        <v>30</v>
      </c>
      <c r="I53" s="415">
        <v>112.06</v>
      </c>
      <c r="J53" s="421">
        <f t="shared" si="1"/>
        <v>3361.8</v>
      </c>
      <c r="K53" s="421">
        <f t="shared" si="2"/>
        <v>14946.720000000001</v>
      </c>
      <c r="L53" s="44"/>
      <c r="M53" s="416">
        <f t="shared" si="3"/>
        <v>54781.913499999937</v>
      </c>
      <c r="N53" s="6"/>
      <c r="O53" s="6"/>
    </row>
    <row r="54" spans="1:15" ht="15.75">
      <c r="A54" s="6"/>
      <c r="B54" s="75">
        <v>46234</v>
      </c>
      <c r="C54" s="415" t="s">
        <v>353</v>
      </c>
      <c r="D54" s="442" t="s">
        <v>354</v>
      </c>
      <c r="E54" s="415">
        <v>70</v>
      </c>
      <c r="F54" s="415">
        <v>103.76</v>
      </c>
      <c r="G54" s="419">
        <f t="shared" si="0"/>
        <v>7263.2000000000007</v>
      </c>
      <c r="H54" s="415"/>
      <c r="I54" s="415"/>
      <c r="J54" s="421">
        <f t="shared" si="1"/>
        <v>0</v>
      </c>
      <c r="K54" s="421">
        <f t="shared" si="2"/>
        <v>7263.2000000000007</v>
      </c>
      <c r="L54" s="44"/>
      <c r="M54" s="416">
        <f t="shared" si="3"/>
        <v>47518.71349999994</v>
      </c>
      <c r="N54" s="6"/>
      <c r="O54" s="6"/>
    </row>
    <row r="55" spans="1:15" ht="15.75">
      <c r="A55" s="6"/>
      <c r="B55" s="75"/>
      <c r="C55" s="415"/>
      <c r="D55" s="442"/>
      <c r="E55" s="415"/>
      <c r="F55" s="415"/>
      <c r="G55" s="415"/>
      <c r="H55" s="415"/>
      <c r="I55" s="415"/>
      <c r="J55" s="421">
        <f t="shared" si="1"/>
        <v>0</v>
      </c>
      <c r="K55" s="421">
        <f t="shared" si="2"/>
        <v>0</v>
      </c>
      <c r="L55" s="44"/>
      <c r="M55" s="416">
        <f t="shared" si="3"/>
        <v>47518.71349999994</v>
      </c>
      <c r="N55" s="6"/>
      <c r="O55" s="6"/>
    </row>
    <row r="56" spans="1:15" ht="15.75">
      <c r="A56" s="6"/>
      <c r="B56" s="75"/>
      <c r="C56" s="415"/>
      <c r="D56" s="442"/>
      <c r="E56" s="415"/>
      <c r="F56" s="415"/>
      <c r="G56" s="415"/>
      <c r="H56" s="415"/>
      <c r="I56" s="415"/>
      <c r="J56" s="421">
        <f t="shared" si="1"/>
        <v>0</v>
      </c>
      <c r="K56" s="421">
        <f t="shared" si="2"/>
        <v>0</v>
      </c>
      <c r="L56" s="44"/>
      <c r="M56" s="416">
        <f t="shared" si="3"/>
        <v>47518.71349999994</v>
      </c>
      <c r="N56" s="6"/>
      <c r="O56" s="6"/>
    </row>
    <row r="57" spans="1:15" ht="15.75">
      <c r="A57" s="6"/>
      <c r="B57" s="75"/>
      <c r="C57" s="415"/>
      <c r="D57" s="442"/>
      <c r="E57" s="415"/>
      <c r="F57" s="415"/>
      <c r="G57" s="415"/>
      <c r="H57" s="415"/>
      <c r="I57" s="415"/>
      <c r="J57" s="415"/>
      <c r="K57" s="421"/>
      <c r="L57" s="44"/>
      <c r="M57" s="416">
        <f t="shared" si="3"/>
        <v>47518.71349999994</v>
      </c>
      <c r="N57" s="6"/>
      <c r="O57" s="6"/>
    </row>
    <row r="58" spans="1:15" ht="15.75">
      <c r="A58" s="6"/>
      <c r="B58" s="75"/>
      <c r="C58" s="415"/>
      <c r="D58" s="442"/>
      <c r="E58" s="415"/>
      <c r="F58" s="415"/>
      <c r="G58" s="415"/>
      <c r="H58" s="415"/>
      <c r="I58" s="415"/>
      <c r="J58" s="415"/>
      <c r="K58" s="421"/>
      <c r="L58" s="44"/>
      <c r="M58" s="416">
        <f t="shared" si="3"/>
        <v>47518.71349999994</v>
      </c>
      <c r="N58" s="6"/>
      <c r="O58" s="6"/>
    </row>
    <row r="59" spans="1:15" ht="15.75">
      <c r="A59" s="6"/>
      <c r="B59" s="75"/>
      <c r="C59" s="415"/>
      <c r="D59" s="442"/>
      <c r="E59" s="415"/>
      <c r="F59" s="415"/>
      <c r="G59" s="415"/>
      <c r="H59" s="415"/>
      <c r="I59" s="415"/>
      <c r="J59" s="415"/>
      <c r="K59" s="421"/>
      <c r="L59" s="44"/>
      <c r="M59" s="416"/>
      <c r="N59" s="6"/>
      <c r="O59" s="6"/>
    </row>
    <row r="60" spans="1:15" ht="15.75">
      <c r="A60" s="6"/>
      <c r="B60" s="75"/>
      <c r="C60" s="415"/>
      <c r="D60" s="442"/>
      <c r="E60" s="415"/>
      <c r="F60" s="415"/>
      <c r="G60" s="415"/>
      <c r="H60" s="415"/>
      <c r="I60" s="415"/>
      <c r="J60" s="415"/>
      <c r="K60" s="421"/>
      <c r="L60" s="44"/>
      <c r="M60" s="416"/>
      <c r="N60" s="6"/>
      <c r="O60" s="6"/>
    </row>
    <row r="61" spans="1:15" ht="15.75">
      <c r="A61" s="6"/>
      <c r="B61" s="75"/>
      <c r="C61" s="415"/>
      <c r="D61" s="442"/>
      <c r="E61" s="415"/>
      <c r="F61" s="415"/>
      <c r="G61" s="415"/>
      <c r="H61" s="415"/>
      <c r="I61" s="415"/>
      <c r="J61" s="415"/>
      <c r="K61" s="421"/>
      <c r="L61" s="44"/>
      <c r="M61" s="416"/>
      <c r="N61" s="6"/>
      <c r="O61" s="6"/>
    </row>
    <row r="62" spans="1:15" ht="15.75">
      <c r="A62" s="6"/>
      <c r="B62" s="75"/>
      <c r="C62" s="415"/>
      <c r="D62" s="442"/>
      <c r="E62" s="415"/>
      <c r="F62" s="415"/>
      <c r="G62" s="415"/>
      <c r="H62" s="415"/>
      <c r="I62" s="415"/>
      <c r="J62" s="415"/>
      <c r="K62" s="421"/>
      <c r="L62" s="44"/>
      <c r="M62" s="416"/>
      <c r="N62" s="6"/>
      <c r="O62" s="6"/>
    </row>
    <row r="63" spans="1:15" ht="15.75">
      <c r="A63" s="6"/>
      <c r="B63" s="75"/>
      <c r="C63" s="415"/>
      <c r="D63" s="442"/>
      <c r="E63" s="415"/>
      <c r="F63" s="415"/>
      <c r="G63" s="415"/>
      <c r="H63" s="415"/>
      <c r="I63" s="415"/>
      <c r="J63" s="415"/>
      <c r="K63" s="421"/>
      <c r="L63" s="44"/>
      <c r="M63" s="416"/>
      <c r="N63" s="6"/>
      <c r="O63" s="6"/>
    </row>
    <row r="64" spans="1:15" ht="15.75">
      <c r="A64" s="6"/>
      <c r="B64" s="75"/>
      <c r="C64" s="415"/>
      <c r="D64" s="442"/>
      <c r="E64" s="415"/>
      <c r="F64" s="415"/>
      <c r="G64" s="415"/>
      <c r="H64" s="415"/>
      <c r="I64" s="415"/>
      <c r="J64" s="415"/>
      <c r="K64" s="421"/>
      <c r="L64" s="44"/>
      <c r="M64" s="416"/>
      <c r="N64" s="6"/>
      <c r="O64" s="6"/>
    </row>
    <row r="65" spans="1:15" ht="15.75">
      <c r="A65" s="6"/>
      <c r="B65" s="75"/>
      <c r="C65" s="415"/>
      <c r="D65" s="442"/>
      <c r="E65" s="415"/>
      <c r="F65" s="415"/>
      <c r="G65" s="415"/>
      <c r="H65" s="415"/>
      <c r="I65" s="415"/>
      <c r="J65" s="415"/>
      <c r="K65" s="421"/>
      <c r="L65" s="44"/>
      <c r="M65" s="416"/>
      <c r="N65" s="6"/>
      <c r="O65" s="6"/>
    </row>
    <row r="66" spans="1:15" ht="15.75">
      <c r="A66" s="6"/>
      <c r="B66" s="75"/>
      <c r="C66" s="415"/>
      <c r="D66" s="442"/>
      <c r="E66" s="415"/>
      <c r="F66" s="415"/>
      <c r="G66" s="415"/>
      <c r="H66" s="415"/>
      <c r="I66" s="415"/>
      <c r="J66" s="415"/>
      <c r="K66" s="421"/>
      <c r="L66" s="44"/>
      <c r="M66" s="416"/>
      <c r="N66" s="6"/>
      <c r="O66" s="6"/>
    </row>
    <row r="67" spans="1:15" ht="15.75">
      <c r="A67" s="6"/>
      <c r="B67" s="75"/>
      <c r="C67" s="415"/>
      <c r="D67" s="442"/>
      <c r="E67" s="415"/>
      <c r="F67" s="415"/>
      <c r="G67" s="415"/>
      <c r="H67" s="415"/>
      <c r="I67" s="415"/>
      <c r="J67" s="415"/>
      <c r="K67" s="421"/>
      <c r="L67" s="44"/>
      <c r="M67" s="416"/>
      <c r="N67" s="6"/>
      <c r="O67" s="6"/>
    </row>
    <row r="68" spans="1:15" ht="15.75">
      <c r="A68" s="6"/>
      <c r="B68" s="75"/>
      <c r="C68" s="415"/>
      <c r="D68" s="442"/>
      <c r="E68" s="415"/>
      <c r="F68" s="415"/>
      <c r="G68" s="415"/>
      <c r="H68" s="415"/>
      <c r="I68" s="415"/>
      <c r="J68" s="415"/>
      <c r="K68" s="421"/>
      <c r="L68" s="44"/>
      <c r="M68" s="416"/>
      <c r="N68" s="6"/>
      <c r="O68" s="6"/>
    </row>
    <row r="69" spans="1:15" ht="15.75">
      <c r="A69" s="6"/>
      <c r="B69" s="75"/>
      <c r="C69" s="415"/>
      <c r="D69" s="442"/>
      <c r="E69" s="415"/>
      <c r="F69" s="415"/>
      <c r="G69" s="415"/>
      <c r="H69" s="415"/>
      <c r="I69" s="415"/>
      <c r="J69" s="415"/>
      <c r="K69" s="421"/>
      <c r="L69" s="44"/>
      <c r="M69" s="416"/>
      <c r="N69" s="6"/>
      <c r="O69" s="6"/>
    </row>
    <row r="70" spans="1:15" ht="15.75">
      <c r="A70" s="6"/>
      <c r="B70" s="75"/>
      <c r="C70" s="415"/>
      <c r="D70" s="442"/>
      <c r="E70" s="415"/>
      <c r="F70" s="415"/>
      <c r="G70" s="415"/>
      <c r="H70" s="597"/>
      <c r="I70" s="597"/>
      <c r="J70" s="415"/>
      <c r="K70" s="421"/>
      <c r="L70" s="44"/>
      <c r="M70" s="416"/>
      <c r="N70" s="6"/>
      <c r="O70" s="6"/>
    </row>
    <row r="71" spans="1:15" ht="15.75">
      <c r="A71" s="6"/>
      <c r="B71" s="75"/>
      <c r="C71" s="415"/>
      <c r="D71" s="442"/>
      <c r="E71" s="415"/>
      <c r="F71" s="415"/>
      <c r="G71" s="415"/>
      <c r="H71" s="597"/>
      <c r="I71" s="597"/>
      <c r="J71" s="415"/>
      <c r="K71" s="421"/>
      <c r="L71" s="44"/>
      <c r="M71" s="416"/>
      <c r="N71" s="6"/>
      <c r="O71" s="6"/>
    </row>
    <row r="72" spans="1:15" ht="15.75">
      <c r="A72" s="6"/>
      <c r="B72" s="75"/>
      <c r="C72" s="415"/>
      <c r="D72" s="442"/>
      <c r="E72" s="415"/>
      <c r="F72" s="415"/>
      <c r="G72" s="415"/>
      <c r="H72" s="598"/>
      <c r="I72" s="598"/>
      <c r="J72" s="415"/>
      <c r="K72" s="421"/>
      <c r="L72" s="44"/>
      <c r="M72" s="416"/>
      <c r="N72" s="6"/>
      <c r="O72" s="6"/>
    </row>
    <row r="73" spans="1:15" ht="15.75">
      <c r="A73" s="6"/>
      <c r="B73" s="75"/>
      <c r="C73" s="415"/>
      <c r="D73" s="415"/>
      <c r="E73" s="415"/>
      <c r="F73" s="415"/>
      <c r="G73" s="415"/>
      <c r="H73" s="598"/>
      <c r="I73" s="598"/>
      <c r="J73" s="415"/>
      <c r="K73" s="421"/>
      <c r="L73" s="44"/>
      <c r="M73" s="416"/>
      <c r="N73" s="6"/>
      <c r="O73" s="6"/>
    </row>
    <row r="74" spans="1:15" ht="15.75">
      <c r="A74" s="6"/>
      <c r="B74" s="75"/>
      <c r="C74" s="415"/>
      <c r="D74" s="415"/>
      <c r="E74" s="415"/>
      <c r="F74" s="415"/>
      <c r="G74" s="415"/>
      <c r="H74" s="598"/>
      <c r="I74" s="598"/>
      <c r="J74" s="415"/>
      <c r="K74" s="421"/>
      <c r="L74" s="44"/>
      <c r="M74" s="416"/>
      <c r="N74" s="6"/>
      <c r="O74" s="6"/>
    </row>
    <row r="75" spans="1:15" ht="15.75">
      <c r="A75" s="6"/>
      <c r="B75" s="75"/>
      <c r="C75" s="415"/>
      <c r="D75" s="415"/>
      <c r="E75" s="415"/>
      <c r="F75" s="415"/>
      <c r="G75" s="415"/>
      <c r="H75" s="598"/>
      <c r="I75" s="598"/>
      <c r="J75" s="415"/>
      <c r="K75" s="421"/>
      <c r="L75" s="44"/>
      <c r="M75" s="416"/>
      <c r="N75" s="6"/>
      <c r="O75" s="6"/>
    </row>
    <row r="76" spans="1:15" ht="15.75">
      <c r="A76" s="6"/>
      <c r="B76" s="75"/>
      <c r="C76" s="415"/>
      <c r="D76" s="415"/>
      <c r="E76" s="415"/>
      <c r="F76" s="415"/>
      <c r="G76" s="415"/>
      <c r="H76" s="420"/>
      <c r="I76" s="420"/>
      <c r="J76" s="415"/>
      <c r="K76" s="421"/>
      <c r="L76" s="44"/>
      <c r="M76" s="416"/>
      <c r="N76" s="6"/>
      <c r="O76" s="6"/>
    </row>
    <row r="77" spans="1:15" ht="15.75">
      <c r="A77" s="6"/>
      <c r="B77" s="75"/>
      <c r="C77" s="415"/>
      <c r="D77" s="415"/>
      <c r="E77" s="415"/>
      <c r="F77" s="415"/>
      <c r="G77" s="415"/>
      <c r="H77" s="598"/>
      <c r="I77" s="598"/>
      <c r="J77" s="415"/>
      <c r="K77" s="421"/>
      <c r="L77" s="44"/>
      <c r="M77" s="416"/>
      <c r="N77" s="6"/>
      <c r="O77" s="6"/>
    </row>
    <row r="78" spans="1:15" ht="15.75">
      <c r="A78" s="6"/>
      <c r="B78" s="75"/>
      <c r="C78" s="415"/>
      <c r="D78" s="415"/>
      <c r="E78" s="415"/>
      <c r="F78" s="415"/>
      <c r="G78" s="415"/>
      <c r="H78" s="598"/>
      <c r="I78" s="598"/>
      <c r="J78" s="415"/>
      <c r="K78" s="421"/>
      <c r="L78" s="44"/>
      <c r="M78" s="416"/>
      <c r="N78" s="6"/>
      <c r="O78" s="63"/>
    </row>
    <row r="79" spans="1:15" ht="15.75">
      <c r="A79" s="6"/>
      <c r="B79" s="417"/>
      <c r="C79" s="415"/>
      <c r="D79" s="415"/>
      <c r="E79" s="415"/>
      <c r="F79" s="415"/>
      <c r="G79" s="415"/>
      <c r="H79" s="599"/>
      <c r="I79" s="599"/>
      <c r="J79" s="415"/>
      <c r="K79" s="421"/>
      <c r="L79" s="44"/>
      <c r="M79" s="416"/>
      <c r="N79" s="162"/>
      <c r="O79" s="162"/>
    </row>
    <row r="80" spans="1:15" ht="15.75">
      <c r="A80" s="6"/>
      <c r="B80" s="417"/>
      <c r="C80" s="415"/>
      <c r="D80" s="415"/>
      <c r="E80" s="415"/>
      <c r="F80" s="415"/>
      <c r="G80" s="415"/>
      <c r="H80" s="420"/>
      <c r="I80" s="420"/>
      <c r="J80" s="415"/>
      <c r="K80" s="421"/>
      <c r="L80" s="44"/>
      <c r="M80" s="416"/>
      <c r="N80" s="162"/>
      <c r="O80" s="162"/>
    </row>
    <row r="81" spans="1:15" ht="15.75">
      <c r="A81" s="6"/>
      <c r="B81" s="418"/>
      <c r="C81" s="415"/>
      <c r="D81" s="415"/>
      <c r="E81" s="415"/>
      <c r="F81" s="415"/>
      <c r="G81" s="415"/>
      <c r="H81" s="598"/>
      <c r="I81" s="598"/>
      <c r="J81" s="415"/>
      <c r="K81" s="421"/>
      <c r="L81" s="44"/>
      <c r="M81" s="416"/>
      <c r="N81" s="6"/>
      <c r="O81" s="6"/>
    </row>
    <row r="82" spans="1:15" ht="15.75">
      <c r="A82" s="6"/>
      <c r="B82" s="418"/>
      <c r="C82" s="415"/>
      <c r="D82" s="415"/>
      <c r="E82" s="415"/>
      <c r="F82" s="415"/>
      <c r="G82" s="415"/>
      <c r="H82" s="598"/>
      <c r="I82" s="598"/>
      <c r="J82" s="415"/>
      <c r="K82" s="421"/>
      <c r="L82" s="44"/>
      <c r="M82" s="416"/>
      <c r="N82" s="6"/>
      <c r="O82" s="6"/>
    </row>
    <row r="83" spans="1:15" ht="15.75">
      <c r="A83" s="6">
        <v>43</v>
      </c>
      <c r="B83" s="418"/>
      <c r="C83" s="415"/>
      <c r="D83" s="415"/>
      <c r="E83" s="415"/>
      <c r="F83" s="415"/>
      <c r="G83" s="415"/>
      <c r="H83" s="598"/>
      <c r="I83" s="598"/>
      <c r="J83" s="415"/>
      <c r="K83" s="421"/>
      <c r="L83" s="44"/>
      <c r="M83" s="416"/>
      <c r="N83" s="6"/>
      <c r="O83" s="6"/>
    </row>
    <row r="84" spans="1:15" ht="15.75">
      <c r="A84" s="6">
        <v>44</v>
      </c>
      <c r="B84" s="418"/>
      <c r="C84" s="415"/>
      <c r="D84" s="415"/>
      <c r="E84" s="415"/>
      <c r="F84" s="415"/>
      <c r="G84" s="415"/>
      <c r="H84" s="598"/>
      <c r="I84" s="598"/>
      <c r="J84" s="415"/>
      <c r="K84" s="421"/>
      <c r="L84" s="44"/>
      <c r="M84" s="416"/>
      <c r="N84" s="6"/>
      <c r="O84" s="6"/>
    </row>
    <row r="85" spans="1:15" ht="15.75">
      <c r="A85" s="6">
        <v>45</v>
      </c>
      <c r="B85" s="418"/>
      <c r="C85" s="415"/>
      <c r="D85" s="415"/>
      <c r="E85" s="415"/>
      <c r="F85" s="415"/>
      <c r="G85" s="415"/>
      <c r="H85" s="598"/>
      <c r="I85" s="598"/>
      <c r="J85" s="415"/>
      <c r="K85" s="421"/>
      <c r="L85" s="44"/>
      <c r="M85" s="416"/>
      <c r="N85" s="6"/>
      <c r="O85" s="6"/>
    </row>
    <row r="86" spans="1:15" ht="15.75">
      <c r="A86" s="6">
        <v>46</v>
      </c>
      <c r="B86" s="418"/>
      <c r="C86" s="415"/>
      <c r="D86" s="415"/>
      <c r="E86" s="415"/>
      <c r="F86" s="415"/>
      <c r="G86" s="415"/>
      <c r="H86" s="598"/>
      <c r="I86" s="598"/>
      <c r="J86" s="415"/>
      <c r="K86" s="421"/>
      <c r="L86" s="44"/>
      <c r="M86" s="416"/>
      <c r="N86" s="6"/>
      <c r="O86" s="6"/>
    </row>
    <row r="87" spans="1:15" ht="15.75">
      <c r="A87" s="6">
        <v>47</v>
      </c>
      <c r="B87" s="418"/>
      <c r="C87" s="415"/>
      <c r="D87" s="415"/>
      <c r="E87" s="415"/>
      <c r="F87" s="415"/>
      <c r="G87" s="415"/>
      <c r="H87" s="598"/>
      <c r="I87" s="598"/>
      <c r="J87" s="415"/>
      <c r="K87" s="421"/>
      <c r="L87" s="44"/>
      <c r="M87" s="416"/>
      <c r="N87" s="6"/>
      <c r="O87" s="6"/>
    </row>
    <row r="88" spans="1:15" ht="15.75">
      <c r="A88" s="6">
        <v>48</v>
      </c>
      <c r="B88" s="418"/>
      <c r="C88" s="415"/>
      <c r="D88" s="415"/>
      <c r="E88" s="415"/>
      <c r="F88" s="415"/>
      <c r="G88" s="415"/>
      <c r="H88" s="598"/>
      <c r="I88" s="598"/>
      <c r="J88" s="415"/>
      <c r="K88" s="421"/>
      <c r="L88" s="44"/>
      <c r="M88" s="416"/>
      <c r="N88" s="6"/>
      <c r="O88" s="6"/>
    </row>
    <row r="89" spans="1:15" ht="15.75">
      <c r="A89" s="6">
        <v>49</v>
      </c>
      <c r="B89" s="418"/>
      <c r="C89" s="415"/>
      <c r="D89" s="415"/>
      <c r="E89" s="415"/>
      <c r="F89" s="415"/>
      <c r="G89" s="415"/>
      <c r="H89" s="598"/>
      <c r="I89" s="598"/>
      <c r="J89" s="415"/>
      <c r="K89" s="421"/>
      <c r="L89" s="44"/>
      <c r="M89" s="416"/>
      <c r="N89" s="6"/>
      <c r="O89" s="6"/>
    </row>
    <row r="90" spans="1:15" ht="15.75">
      <c r="A90" s="6">
        <v>50</v>
      </c>
      <c r="B90" s="418"/>
      <c r="C90" s="415"/>
      <c r="D90" s="415"/>
      <c r="E90" s="415"/>
      <c r="F90" s="415"/>
      <c r="G90" s="415"/>
      <c r="H90" s="598"/>
      <c r="I90" s="420"/>
      <c r="J90" s="415"/>
      <c r="K90" s="421"/>
      <c r="L90" s="44"/>
      <c r="M90" s="416"/>
      <c r="N90" s="6"/>
      <c r="O90" s="6"/>
    </row>
    <row r="91" spans="1:15" ht="15.75">
      <c r="A91" s="6">
        <v>51</v>
      </c>
      <c r="B91" s="418"/>
      <c r="C91" s="415"/>
      <c r="D91" s="415"/>
      <c r="E91" s="415"/>
      <c r="F91" s="415"/>
      <c r="G91" s="415"/>
      <c r="H91" s="598"/>
      <c r="I91" s="598"/>
      <c r="J91" s="415"/>
      <c r="K91" s="421"/>
      <c r="L91" s="44"/>
      <c r="M91" s="416"/>
      <c r="N91" s="6"/>
      <c r="O91" s="6"/>
    </row>
    <row r="92" spans="1:15" ht="15.75">
      <c r="A92" s="6">
        <v>52</v>
      </c>
      <c r="B92" s="418"/>
      <c r="C92" s="415"/>
      <c r="D92" s="415"/>
      <c r="E92" s="415"/>
      <c r="F92" s="415"/>
      <c r="G92" s="415"/>
      <c r="H92" s="598"/>
      <c r="I92" s="598"/>
      <c r="J92" s="415"/>
      <c r="K92" s="421"/>
      <c r="L92" s="44"/>
      <c r="M92" s="416"/>
      <c r="N92" s="6"/>
      <c r="O92" s="6"/>
    </row>
    <row r="93" spans="1:15" ht="15.75">
      <c r="A93" s="6">
        <v>53</v>
      </c>
      <c r="B93" s="418"/>
      <c r="C93" s="415"/>
      <c r="D93" s="415"/>
      <c r="E93" s="415"/>
      <c r="F93" s="415"/>
      <c r="G93" s="415"/>
      <c r="H93" s="598"/>
      <c r="I93" s="598"/>
      <c r="J93" s="415"/>
      <c r="K93" s="421"/>
      <c r="L93" s="44"/>
      <c r="M93" s="416"/>
      <c r="N93" s="6"/>
      <c r="O93" s="6"/>
    </row>
    <row r="94" spans="1:15" ht="15.75">
      <c r="A94" s="6">
        <v>54</v>
      </c>
      <c r="B94" s="418"/>
      <c r="C94" s="415"/>
      <c r="D94" s="415"/>
      <c r="E94" s="415"/>
      <c r="F94" s="415"/>
      <c r="G94" s="415"/>
      <c r="H94" s="598"/>
      <c r="I94" s="598"/>
      <c r="J94" s="415"/>
      <c r="K94" s="421"/>
      <c r="L94" s="44"/>
      <c r="M94" s="416"/>
      <c r="N94" s="6"/>
      <c r="O94" s="6"/>
    </row>
    <row r="95" spans="1:15" ht="15.75">
      <c r="A95" s="6">
        <v>55</v>
      </c>
      <c r="B95" s="418"/>
      <c r="C95" s="415"/>
      <c r="D95" s="415"/>
      <c r="E95" s="415"/>
      <c r="F95" s="415"/>
      <c r="G95" s="415"/>
      <c r="H95" s="598"/>
      <c r="I95" s="420"/>
      <c r="J95" s="415"/>
      <c r="K95" s="421"/>
      <c r="L95" s="44"/>
      <c r="M95" s="416"/>
      <c r="N95" s="6"/>
      <c r="O95" s="6"/>
    </row>
    <row r="96" spans="1:15" ht="15.75">
      <c r="A96" s="6">
        <v>56</v>
      </c>
      <c r="B96" s="6"/>
      <c r="C96" s="6"/>
      <c r="D96" s="598"/>
      <c r="E96" s="598"/>
      <c r="F96" s="598"/>
      <c r="G96" s="598"/>
      <c r="H96" s="598"/>
      <c r="I96" s="598"/>
      <c r="J96" s="415"/>
      <c r="K96" s="421"/>
      <c r="L96" s="44"/>
      <c r="M96" s="416"/>
      <c r="N96" s="6"/>
      <c r="O96" s="6"/>
    </row>
    <row r="97" spans="1:15" ht="15.75">
      <c r="A97" s="6">
        <v>57</v>
      </c>
      <c r="B97" s="6"/>
      <c r="C97" s="6"/>
      <c r="D97" s="6"/>
      <c r="E97" s="6"/>
      <c r="F97" s="6"/>
      <c r="G97" s="6"/>
      <c r="H97" s="6"/>
      <c r="I97" s="6"/>
      <c r="J97" s="415"/>
      <c r="K97" s="421"/>
      <c r="L97" s="44"/>
      <c r="M97" s="416"/>
      <c r="N97" s="6"/>
      <c r="O97" s="6"/>
    </row>
    <row r="98" spans="1:15" ht="15.75">
      <c r="A98" s="6">
        <v>58</v>
      </c>
      <c r="B98" s="6"/>
      <c r="C98" s="6"/>
      <c r="D98" s="6"/>
      <c r="E98" s="6"/>
      <c r="F98" s="6"/>
      <c r="G98" s="6"/>
      <c r="H98" s="6"/>
      <c r="I98" s="6"/>
      <c r="J98" s="415"/>
      <c r="K98" s="421"/>
      <c r="L98" s="44"/>
      <c r="M98" s="416"/>
      <c r="N98" s="6"/>
      <c r="O98" s="6"/>
    </row>
    <row r="99" spans="1:15" ht="15.75">
      <c r="A99" s="6">
        <v>59</v>
      </c>
      <c r="B99" s="6"/>
      <c r="C99" s="6"/>
      <c r="D99" s="6"/>
      <c r="E99" s="6"/>
      <c r="F99" s="6"/>
      <c r="G99" s="6"/>
      <c r="H99" s="6"/>
      <c r="I99" s="6"/>
      <c r="J99" s="415"/>
      <c r="K99" s="421"/>
      <c r="L99" s="44"/>
      <c r="M99" s="416"/>
      <c r="N99" s="6"/>
      <c r="O99" s="6"/>
    </row>
    <row r="100" spans="1:15" ht="15.75">
      <c r="A100" s="6">
        <v>60</v>
      </c>
      <c r="B100" s="6"/>
      <c r="C100" s="6"/>
      <c r="D100" s="6"/>
      <c r="E100" s="6"/>
      <c r="F100" s="6"/>
      <c r="G100" s="6"/>
      <c r="H100" s="6"/>
      <c r="I100" s="6"/>
      <c r="J100" s="415"/>
      <c r="K100" s="421"/>
      <c r="L100" s="44"/>
      <c r="M100" s="416"/>
      <c r="N100" s="6"/>
      <c r="O100" s="6"/>
    </row>
    <row r="101" spans="1:15" ht="15.75">
      <c r="A101" s="6">
        <v>61</v>
      </c>
      <c r="B101" s="6"/>
      <c r="C101" s="6"/>
      <c r="D101" s="6"/>
      <c r="E101" s="6"/>
      <c r="F101" s="6"/>
      <c r="G101" s="6"/>
      <c r="H101" s="6"/>
      <c r="I101" s="6"/>
      <c r="J101" s="415"/>
      <c r="K101" s="421"/>
      <c r="L101" s="44"/>
      <c r="M101" s="416"/>
      <c r="N101" s="6"/>
      <c r="O101" s="6"/>
    </row>
    <row r="102" spans="1:15" ht="15.75">
      <c r="A102" s="6">
        <v>62</v>
      </c>
      <c r="B102" s="6"/>
      <c r="C102" s="6"/>
      <c r="D102" s="6"/>
      <c r="E102" s="6"/>
      <c r="F102" s="6"/>
      <c r="G102" s="6"/>
      <c r="H102" s="6"/>
      <c r="I102" s="6"/>
      <c r="J102" s="415"/>
      <c r="K102" s="421"/>
      <c r="L102" s="44"/>
      <c r="M102" s="416"/>
      <c r="N102" s="6"/>
      <c r="O102" s="6"/>
    </row>
    <row r="103" spans="1:15" ht="15.75">
      <c r="A103" s="6">
        <v>63</v>
      </c>
      <c r="B103" s="6"/>
      <c r="C103" s="6"/>
      <c r="D103" s="6"/>
      <c r="E103" s="6"/>
      <c r="F103" s="6"/>
      <c r="G103" s="6"/>
      <c r="H103" s="6"/>
      <c r="I103" s="6"/>
      <c r="J103" s="415"/>
      <c r="K103" s="421"/>
      <c r="L103" s="44"/>
      <c r="M103" s="416"/>
      <c r="N103" s="6"/>
      <c r="O103" s="6"/>
    </row>
    <row r="104" spans="1:15" ht="15.75">
      <c r="A104" s="6">
        <v>64</v>
      </c>
      <c r="B104" s="6"/>
      <c r="C104" s="6"/>
      <c r="D104" s="6"/>
      <c r="E104" s="6"/>
      <c r="F104" s="6"/>
      <c r="G104" s="6"/>
      <c r="H104" s="6"/>
      <c r="I104" s="6"/>
      <c r="J104" s="415"/>
      <c r="K104" s="421"/>
      <c r="L104" s="44"/>
      <c r="M104" s="6"/>
      <c r="N104" s="6"/>
      <c r="O104" s="6"/>
    </row>
    <row r="105" spans="1:15" ht="15.75">
      <c r="A105" s="6">
        <v>65</v>
      </c>
      <c r="B105" s="6"/>
      <c r="C105" s="6"/>
      <c r="D105" s="6"/>
      <c r="E105" s="6"/>
      <c r="F105" s="6"/>
      <c r="G105" s="6"/>
      <c r="H105" s="6"/>
      <c r="I105" s="6"/>
      <c r="J105" s="415"/>
      <c r="K105" s="421"/>
      <c r="L105" s="44"/>
      <c r="M105" s="6"/>
      <c r="N105" s="6"/>
      <c r="O105" s="6"/>
    </row>
    <row r="106" spans="1:15" ht="15.75">
      <c r="A106" s="6">
        <v>66</v>
      </c>
      <c r="B106" s="6"/>
      <c r="C106" s="6"/>
      <c r="D106" s="6"/>
      <c r="E106" s="6"/>
      <c r="F106" s="6"/>
      <c r="G106" s="6"/>
      <c r="H106" s="6"/>
      <c r="I106" s="6"/>
      <c r="J106" s="415"/>
      <c r="K106" s="421"/>
      <c r="L106" s="44"/>
      <c r="M106" s="6"/>
      <c r="N106" s="6"/>
      <c r="O106" s="6"/>
    </row>
    <row r="107" spans="1:15" ht="15.75">
      <c r="A107" s="6">
        <v>67</v>
      </c>
      <c r="B107" s="6"/>
      <c r="C107" s="6"/>
      <c r="D107" s="6"/>
      <c r="E107" s="6"/>
      <c r="F107" s="6"/>
      <c r="G107" s="6"/>
      <c r="H107" s="6"/>
      <c r="I107" s="6"/>
      <c r="J107" s="415"/>
      <c r="K107" s="421"/>
      <c r="L107" s="44"/>
      <c r="M107" s="6"/>
      <c r="N107" s="6"/>
      <c r="O107" s="6"/>
    </row>
    <row r="108" spans="1:15" ht="15.75">
      <c r="A108" s="6">
        <v>68</v>
      </c>
      <c r="B108" s="6"/>
      <c r="C108" s="6"/>
      <c r="D108" s="6"/>
      <c r="E108" s="6"/>
      <c r="F108" s="6"/>
      <c r="G108" s="6"/>
      <c r="H108" s="6"/>
      <c r="I108" s="6"/>
      <c r="J108" s="415"/>
      <c r="K108" s="421"/>
      <c r="L108" s="44"/>
      <c r="M108" s="6"/>
      <c r="N108" s="6"/>
      <c r="O108" s="6"/>
    </row>
    <row r="109" spans="1:15" ht="15.75">
      <c r="A109" s="6">
        <v>69</v>
      </c>
      <c r="B109" s="6"/>
      <c r="C109" s="6"/>
      <c r="D109" s="6"/>
      <c r="E109" s="6"/>
      <c r="F109" s="6"/>
      <c r="G109" s="6"/>
      <c r="H109" s="6"/>
      <c r="I109" s="6"/>
      <c r="J109" s="415"/>
      <c r="K109" s="421"/>
      <c r="L109" s="44"/>
      <c r="M109" s="6"/>
      <c r="N109" s="6"/>
      <c r="O109" s="6"/>
    </row>
    <row r="110" spans="1:15" ht="15.75">
      <c r="A110" s="6">
        <v>70</v>
      </c>
      <c r="B110" s="6"/>
      <c r="C110" s="6"/>
      <c r="D110" s="6"/>
      <c r="E110" s="6"/>
      <c r="F110" s="6"/>
      <c r="G110" s="6"/>
      <c r="H110" s="6"/>
      <c r="I110" s="6"/>
      <c r="J110" s="415"/>
      <c r="K110" s="421"/>
      <c r="L110" s="44"/>
      <c r="M110" s="6"/>
      <c r="N110" s="6"/>
      <c r="O110" s="6"/>
    </row>
    <row r="111" spans="1:15">
      <c r="A111" s="6">
        <v>71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>
      <c r="A112" s="6">
        <v>72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>
      <c r="A113" s="6">
        <v>73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>
      <c r="A114" s="6">
        <v>74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>
      <c r="A115" s="6">
        <v>75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>
      <c r="A116" s="162">
        <v>76</v>
      </c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</row>
    <row r="117" spans="1:15">
      <c r="A117" s="6">
        <v>77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>
      <c r="A118" s="6">
        <v>78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>
      <c r="A119" s="6">
        <v>79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>
      <c r="A120" s="6">
        <v>80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>
      <c r="A121" s="6">
        <v>81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>
      <c r="A122" s="6">
        <v>82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>
      <c r="A123" s="6">
        <v>83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>
      <c r="A124" s="6">
        <v>84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>
      <c r="A125" s="6">
        <v>85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>
      <c r="A126" s="6">
        <v>86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>
      <c r="A127" s="6">
        <v>87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>
      <c r="A128" s="6">
        <v>88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>
      <c r="A129" s="6">
        <v>89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>
      <c r="A130" s="6">
        <v>90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>
      <c r="A131" s="6">
        <v>91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</sheetData>
  <mergeCells count="2">
    <mergeCell ref="A1:O1"/>
    <mergeCell ref="A3:J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36F0-8AEE-4D71-B274-AD3D9F13445A}">
  <dimension ref="B2:B7"/>
  <sheetViews>
    <sheetView workbookViewId="0">
      <selection activeCell="T14" sqref="T14"/>
    </sheetView>
  </sheetViews>
  <sheetFormatPr defaultRowHeight="15"/>
  <cols>
    <col min="2" max="2" width="29.28515625" customWidth="1"/>
  </cols>
  <sheetData>
    <row r="2" spans="2:2" ht="30" customHeight="1">
      <c r="B2" s="362" t="s">
        <v>53</v>
      </c>
    </row>
    <row r="3" spans="2:2" ht="30" customHeight="1">
      <c r="B3" s="362" t="s">
        <v>307</v>
      </c>
    </row>
    <row r="4" spans="2:2" ht="30" customHeight="1">
      <c r="B4" s="362" t="s">
        <v>302</v>
      </c>
    </row>
    <row r="5" spans="2:2" ht="30" customHeight="1">
      <c r="B5" s="362" t="s">
        <v>40</v>
      </c>
    </row>
    <row r="6" spans="2:2" ht="30" customHeight="1">
      <c r="B6" s="362" t="s">
        <v>372</v>
      </c>
    </row>
    <row r="7" spans="2:2" ht="30" customHeight="1">
      <c r="B7" s="363"/>
    </row>
  </sheetData>
  <dataValidations count="1">
    <dataValidation type="list" allowBlank="1" showInputMessage="1" showErrorMessage="1" sqref="C15" xr:uid="{D64AB095-6DAA-485D-A4E6-9BA7B6FD6BF7}">
      <formula1>$B$2:$B$5</formula1>
    </dataValidation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5C14-6E7E-415C-A7E3-EBB67030E1DA}">
  <dimension ref="B3:B7"/>
  <sheetViews>
    <sheetView workbookViewId="0">
      <selection activeCell="E29" sqref="E29"/>
    </sheetView>
  </sheetViews>
  <sheetFormatPr defaultRowHeight="15"/>
  <sheetData>
    <row r="3" spans="2:2">
      <c r="B3">
        <v>1162961.45</v>
      </c>
    </row>
    <row r="4" spans="2:2">
      <c r="B4">
        <v>280260</v>
      </c>
    </row>
    <row r="5" spans="2:2">
      <c r="B5">
        <v>280000</v>
      </c>
    </row>
    <row r="6" spans="2:2">
      <c r="B6">
        <v>406000</v>
      </c>
    </row>
    <row r="7" spans="2:2">
      <c r="B7">
        <f>SUM(B3:B6)</f>
        <v>2129221.4500000002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2026-10-07T05:40:29Z</dcterms:modified>
  <cp:category/>
  <cp:contentStatus/>
</cp:coreProperties>
</file>